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aveExternalLinkValu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Varios/Scripcitos/"/>
    </mc:Choice>
  </mc:AlternateContent>
  <xr:revisionPtr revIDLastSave="1036" documentId="13_ncr:1_{8A5053F9-7E40-4BD8-989F-A5C4CA21F158}" xr6:coauthVersionLast="47" xr6:coauthVersionMax="47" xr10:uidLastSave="{5F87D3D7-80A4-43C0-BC16-338D915EC48B}"/>
  <bookViews>
    <workbookView xWindow="-120" yWindow="-120" windowWidth="38640" windowHeight="21120" tabRatio="854" activeTab="4" xr2:uid="{00000000-000D-0000-FFFF-FFFF00000000}"/>
  </bookViews>
  <sheets>
    <sheet name="Estado de Resultados" sheetId="28" r:id="rId1"/>
    <sheet name="Revisión-Pruebas-Ejercicios" sheetId="27" r:id="rId2"/>
    <sheet name="Códigos" sheetId="13" r:id="rId3"/>
    <sheet name="Hoja1" sheetId="29" r:id="rId4"/>
    <sheet name="INGRESOS A CAJA" sheetId="1" r:id="rId5"/>
    <sheet name="EGRESOS DE CAJA" sheetId="2" r:id="rId6"/>
    <sheet name="ACUM CAJADIARIO" sheetId="4" r:id="rId7"/>
    <sheet name="FACTURACIÓN" sheetId="5" r:id="rId8"/>
    <sheet name="PASIVOS GTFF" sheetId="22" r:id="rId9"/>
    <sheet name="COMITÉ CARTERA" sheetId="8" r:id="rId10"/>
    <sheet name="CARTERA del año" sheetId="21" r:id="rId11"/>
    <sheet name="CARTERA años anteriores" sheetId="6" r:id="rId12"/>
    <sheet name="CARTERA de la OFICINA" sheetId="7" r:id="rId13"/>
    <sheet name="PRESUPUESTOS" sheetId="9" r:id="rId14"/>
    <sheet name="EMPLEADO 1" sheetId="26" r:id="rId15"/>
    <sheet name="EMPLEADO 2" sheetId="11" r:id="rId16"/>
    <sheet name="BANCO" sheetId="15" r:id="rId17"/>
    <sheet name="INVESRIONES" sheetId="30" r:id="rId18"/>
    <sheet name="BANCO 2" sheetId="25" r:id="rId19"/>
    <sheet name="BANCO 3" sheetId="16" r:id="rId20"/>
  </sheets>
  <definedNames>
    <definedName name="_xlnm._FilterDatabase" localSheetId="16" hidden="1">BANCO!$A$9:$E$10</definedName>
    <definedName name="_xlnm._FilterDatabase" localSheetId="18" hidden="1">'BANCO 2'!$C$1:$C$417</definedName>
    <definedName name="_xlnm._FilterDatabase" localSheetId="11" hidden="1">'CARTERA años anteriores'!$A$7:$T$156</definedName>
    <definedName name="_xlnm._FilterDatabase" localSheetId="9" hidden="1">'COMITÉ CARTERA'!$A$11:$F$391</definedName>
    <definedName name="_xlnm._FilterDatabase" localSheetId="5" hidden="1">'EGRESOS DE CAJA'!$A$10:$J$2249</definedName>
    <definedName name="_xlnm._FilterDatabase" localSheetId="7" hidden="1">FACTURACIÓN!$P$6:$P$320</definedName>
    <definedName name="_xlnm._FilterDatabase" localSheetId="4" hidden="1">'INGRESOS A CAJA'!$A$10:$I$952</definedName>
    <definedName name="_xlnm.Print_Area" localSheetId="16">BANCO!$A$345:$D$447</definedName>
    <definedName name="_xlnm.Print_Area" localSheetId="18">'BANCO 2'!$A$121:$E$197</definedName>
    <definedName name="_xlnm.Print_Area" localSheetId="11">'CARTERA años anteriores'!$A$63:$R$68</definedName>
    <definedName name="_xlnm.Print_Area" localSheetId="2">Códigos!$A$485:$C$520</definedName>
    <definedName name="_xlnm.Print_Area" localSheetId="9">'COMITÉ CARTERA'!$A$12:$F$394</definedName>
    <definedName name="_xlnm.Print_Area" localSheetId="4">'INGRESOS A CAJA'!$A$82:$H$517</definedName>
    <definedName name="_xlnm.Print_Area">'CARTERA años anteriores'!#REF!</definedName>
    <definedName name="_xlnm.Print_Titles" localSheetId="9">'COMITÉ CARTERA'!$1:$9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0" i="27" l="1"/>
  <c r="E139" i="27"/>
  <c r="E167" i="27"/>
  <c r="E166" i="27"/>
  <c r="D191" i="27"/>
  <c r="D190" i="27"/>
  <c r="D188" i="27"/>
  <c r="D187" i="27"/>
  <c r="D175" i="27"/>
  <c r="D174" i="27"/>
  <c r="D171" i="27"/>
  <c r="D170" i="27"/>
  <c r="D163" i="27"/>
  <c r="D162" i="27"/>
  <c r="D157" i="27"/>
  <c r="D156" i="27"/>
  <c r="D153" i="27"/>
  <c r="D152" i="27"/>
  <c r="D151" i="27"/>
  <c r="D148" i="27"/>
  <c r="D147" i="27"/>
  <c r="D144" i="27"/>
  <c r="D143" i="27"/>
  <c r="D136" i="27"/>
  <c r="D135" i="27"/>
  <c r="E677" i="2"/>
  <c r="D677" i="2"/>
  <c r="E676" i="2"/>
  <c r="D676" i="2"/>
  <c r="E675" i="2"/>
  <c r="D675" i="2"/>
  <c r="H674" i="2"/>
  <c r="H675" i="2" s="1"/>
  <c r="H676" i="2" s="1"/>
  <c r="H677" i="2" s="1"/>
  <c r="D674" i="2" l="1"/>
  <c r="H673" i="2"/>
  <c r="H671" i="2"/>
  <c r="H672" i="2" s="1"/>
  <c r="G481" i="1" l="1"/>
  <c r="E670" i="2"/>
  <c r="D670" i="2"/>
  <c r="G479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4" i="2"/>
  <c r="E673" i="2"/>
  <c r="D673" i="2"/>
  <c r="E672" i="2"/>
  <c r="D672" i="2"/>
  <c r="E671" i="2"/>
  <c r="D671" i="2"/>
  <c r="E669" i="2"/>
  <c r="D669" i="2"/>
  <c r="E668" i="2"/>
  <c r="D668" i="2"/>
  <c r="E667" i="2"/>
  <c r="D667" i="2"/>
  <c r="E666" i="2"/>
  <c r="D666" i="2"/>
  <c r="E665" i="2"/>
  <c r="D665" i="2"/>
  <c r="E475" i="1"/>
  <c r="D475" i="1"/>
  <c r="E474" i="1"/>
  <c r="D474" i="1"/>
  <c r="E476" i="1"/>
  <c r="D476" i="1"/>
  <c r="D252" i="5" l="1"/>
  <c r="D253" i="5"/>
  <c r="D254" i="5"/>
  <c r="D255" i="5"/>
  <c r="E664" i="2" l="1"/>
  <c r="D664" i="2"/>
  <c r="E663" i="2"/>
  <c r="D663" i="2"/>
  <c r="E662" i="2"/>
  <c r="D662" i="2"/>
  <c r="E661" i="2"/>
  <c r="D661" i="2"/>
  <c r="G470" i="1"/>
  <c r="G471" i="1" s="1"/>
  <c r="G472" i="1" s="1"/>
  <c r="E660" i="2"/>
  <c r="D660" i="2"/>
  <c r="E659" i="2"/>
  <c r="D659" i="2"/>
  <c r="E658" i="2"/>
  <c r="D658" i="2"/>
  <c r="G468" i="1"/>
  <c r="G469" i="1" s="1"/>
  <c r="E657" i="2"/>
  <c r="D657" i="2"/>
  <c r="E656" i="2"/>
  <c r="D656" i="2"/>
  <c r="G467" i="1"/>
  <c r="E655" i="2"/>
  <c r="D655" i="2"/>
  <c r="E654" i="2" l="1"/>
  <c r="D654" i="2"/>
  <c r="E653" i="2"/>
  <c r="D653" i="2"/>
  <c r="E652" i="2"/>
  <c r="D652" i="2"/>
  <c r="E651" i="2"/>
  <c r="D651" i="2"/>
  <c r="G466" i="1"/>
  <c r="E648" i="2" l="1"/>
  <c r="D648" i="2"/>
  <c r="E462" i="1"/>
  <c r="D462" i="1"/>
  <c r="E461" i="1"/>
  <c r="D461" i="1"/>
  <c r="E645" i="2"/>
  <c r="D645" i="2"/>
  <c r="E460" i="1"/>
  <c r="D460" i="1"/>
  <c r="E456" i="1"/>
  <c r="D456" i="1"/>
  <c r="D452" i="1"/>
  <c r="E452" i="1"/>
  <c r="E642" i="2"/>
  <c r="D642" i="2"/>
  <c r="E646" i="2"/>
  <c r="D646" i="2"/>
  <c r="E634" i="2"/>
  <c r="D634" i="2"/>
  <c r="E451" i="1"/>
  <c r="D451" i="1"/>
  <c r="E450" i="1"/>
  <c r="D450" i="1"/>
  <c r="E633" i="2"/>
  <c r="D633" i="2"/>
  <c r="E604" i="2"/>
  <c r="D604" i="2"/>
  <c r="E430" i="1"/>
  <c r="D430" i="1"/>
  <c r="E423" i="1"/>
  <c r="D423" i="1"/>
  <c r="E595" i="2"/>
  <c r="D595" i="2"/>
  <c r="E577" i="2"/>
  <c r="D577" i="2"/>
  <c r="D575" i="2"/>
  <c r="E575" i="2"/>
  <c r="D576" i="2"/>
  <c r="E576" i="2"/>
  <c r="E412" i="1"/>
  <c r="D412" i="1"/>
  <c r="O200" i="5"/>
  <c r="O199" i="5"/>
  <c r="O198" i="5"/>
  <c r="O197" i="5"/>
  <c r="O196" i="5"/>
  <c r="O195" i="5"/>
  <c r="O194" i="5"/>
  <c r="O193" i="5"/>
  <c r="F464" i="1" l="1"/>
  <c r="G650" i="2"/>
  <c r="E650" i="2"/>
  <c r="D650" i="2"/>
  <c r="E649" i="2"/>
  <c r="D649" i="2"/>
  <c r="E459" i="1" l="1"/>
  <c r="D459" i="1"/>
  <c r="D448" i="1"/>
  <c r="E448" i="1"/>
  <c r="D449" i="1"/>
  <c r="E449" i="1"/>
  <c r="D453" i="1"/>
  <c r="E453" i="1"/>
  <c r="D454" i="1"/>
  <c r="E454" i="1"/>
  <c r="D455" i="1"/>
  <c r="E455" i="1"/>
  <c r="D457" i="1"/>
  <c r="E457" i="1"/>
  <c r="D458" i="1"/>
  <c r="E458" i="1"/>
  <c r="E644" i="2"/>
  <c r="D644" i="2"/>
  <c r="E643" i="2"/>
  <c r="D643" i="2"/>
  <c r="E641" i="2"/>
  <c r="D641" i="2"/>
  <c r="E640" i="2"/>
  <c r="D640" i="2"/>
  <c r="G588" i="2" l="1"/>
  <c r="G589" i="2"/>
  <c r="E638" i="2"/>
  <c r="D638" i="2"/>
  <c r="E637" i="2"/>
  <c r="D637" i="2"/>
  <c r="E635" i="2"/>
  <c r="D635" i="2"/>
  <c r="E632" i="2"/>
  <c r="D632" i="2"/>
  <c r="D631" i="2"/>
  <c r="E631" i="2"/>
  <c r="E354" i="15"/>
  <c r="E355" i="15" s="1"/>
  <c r="D331" i="15"/>
  <c r="D307" i="15"/>
  <c r="G85" i="25"/>
  <c r="E630" i="2" l="1"/>
  <c r="D630" i="2"/>
  <c r="E629" i="2"/>
  <c r="D629" i="2"/>
  <c r="E628" i="2"/>
  <c r="D628" i="2"/>
  <c r="E627" i="2"/>
  <c r="D627" i="2"/>
  <c r="E625" i="2"/>
  <c r="D625" i="2"/>
  <c r="E622" i="2" l="1"/>
  <c r="D622" i="2"/>
  <c r="E401" i="1"/>
  <c r="D401" i="1"/>
  <c r="E400" i="1"/>
  <c r="D400" i="1"/>
  <c r="E562" i="2"/>
  <c r="D562" i="2"/>
  <c r="E561" i="2"/>
  <c r="D561" i="2"/>
  <c r="E413" i="1"/>
  <c r="D413" i="1"/>
  <c r="E579" i="2"/>
  <c r="D579" i="2"/>
  <c r="E558" i="2"/>
  <c r="D558" i="2"/>
  <c r="E398" i="1"/>
  <c r="D398" i="1"/>
  <c r="F37" i="6"/>
  <c r="F25" i="6"/>
  <c r="L89" i="6"/>
  <c r="E618" i="2"/>
  <c r="D618" i="2"/>
  <c r="E617" i="2"/>
  <c r="D617" i="2"/>
  <c r="E616" i="2"/>
  <c r="D616" i="2"/>
  <c r="E615" i="2"/>
  <c r="D615" i="2"/>
  <c r="D619" i="2"/>
  <c r="E619" i="2"/>
  <c r="D438" i="1"/>
  <c r="E438" i="1"/>
  <c r="E605" i="2" l="1"/>
  <c r="D605" i="2"/>
  <c r="E614" i="2"/>
  <c r="D614" i="2"/>
  <c r="E437" i="1" l="1"/>
  <c r="D437" i="1"/>
  <c r="E608" i="2"/>
  <c r="D608" i="2"/>
  <c r="E431" i="1"/>
  <c r="D431" i="1"/>
  <c r="D427" i="1"/>
  <c r="E427" i="1"/>
  <c r="D428" i="1"/>
  <c r="E428" i="1"/>
  <c r="D429" i="1"/>
  <c r="E429" i="1"/>
  <c r="E601" i="2"/>
  <c r="D601" i="2"/>
  <c r="D602" i="2"/>
  <c r="E602" i="2"/>
  <c r="D603" i="2"/>
  <c r="E603" i="2"/>
  <c r="D606" i="2"/>
  <c r="E606" i="2"/>
  <c r="K422" i="1" l="1"/>
  <c r="E600" i="2"/>
  <c r="D600" i="2"/>
  <c r="E599" i="2"/>
  <c r="D599" i="2"/>
  <c r="E597" i="2"/>
  <c r="D597" i="2"/>
  <c r="E596" i="2" l="1"/>
  <c r="D596" i="2"/>
  <c r="E594" i="2"/>
  <c r="D594" i="2"/>
  <c r="E593" i="2"/>
  <c r="D593" i="2"/>
  <c r="E592" i="2"/>
  <c r="D592" i="2"/>
  <c r="E591" i="2"/>
  <c r="D591" i="2"/>
  <c r="D587" i="2"/>
  <c r="E587" i="2"/>
  <c r="D588" i="2"/>
  <c r="E588" i="2"/>
  <c r="D589" i="2"/>
  <c r="E589" i="2"/>
  <c r="F421" i="1"/>
  <c r="F420" i="1"/>
  <c r="E585" i="2"/>
  <c r="D585" i="2"/>
  <c r="E584" i="2"/>
  <c r="D584" i="2"/>
  <c r="E582" i="2" l="1"/>
  <c r="D582" i="2"/>
  <c r="E581" i="2"/>
  <c r="D581" i="2"/>
  <c r="E580" i="2"/>
  <c r="D580" i="2"/>
  <c r="D574" i="2"/>
  <c r="E574" i="2"/>
  <c r="D578" i="2"/>
  <c r="E578" i="2"/>
  <c r="E414" i="1"/>
  <c r="D414" i="1"/>
  <c r="E415" i="1"/>
  <c r="D415" i="1"/>
  <c r="E411" i="1"/>
  <c r="D411" i="1"/>
  <c r="E573" i="2" l="1"/>
  <c r="D573" i="2"/>
  <c r="E571" i="2" l="1"/>
  <c r="D571" i="2"/>
  <c r="E570" i="2" l="1"/>
  <c r="D570" i="2"/>
  <c r="E569" i="2"/>
  <c r="D569" i="2"/>
  <c r="E408" i="1" l="1"/>
  <c r="D408" i="1"/>
  <c r="E407" i="1"/>
  <c r="D407" i="1"/>
  <c r="E406" i="1"/>
  <c r="D406" i="1"/>
  <c r="E568" i="2"/>
  <c r="D568" i="2"/>
  <c r="E567" i="2"/>
  <c r="D567" i="2"/>
  <c r="E566" i="2"/>
  <c r="D566" i="2"/>
  <c r="E565" i="2"/>
  <c r="D565" i="2"/>
  <c r="E564" i="2"/>
  <c r="D564" i="2"/>
  <c r="E563" i="2"/>
  <c r="D563" i="2"/>
  <c r="E560" i="2"/>
  <c r="D560" i="2"/>
  <c r="E559" i="2"/>
  <c r="D559" i="2"/>
  <c r="E556" i="2" l="1"/>
  <c r="D556" i="2"/>
  <c r="E555" i="2"/>
  <c r="D555" i="2"/>
  <c r="E553" i="2" l="1"/>
  <c r="D553" i="2"/>
  <c r="E548" i="2"/>
  <c r="D548" i="2"/>
  <c r="E391" i="1"/>
  <c r="D391" i="1"/>
  <c r="E395" i="1"/>
  <c r="D395" i="1"/>
  <c r="E552" i="2"/>
  <c r="D552" i="2"/>
  <c r="E551" i="2"/>
  <c r="D551" i="2"/>
  <c r="E550" i="2"/>
  <c r="D550" i="2"/>
  <c r="E549" i="2"/>
  <c r="D549" i="2"/>
  <c r="E547" i="2"/>
  <c r="D547" i="2"/>
  <c r="E546" i="2"/>
  <c r="D546" i="2"/>
  <c r="E545" i="2"/>
  <c r="D545" i="2"/>
  <c r="E540" i="2"/>
  <c r="D540" i="2"/>
  <c r="E542" i="2"/>
  <c r="D542" i="2"/>
  <c r="E541" i="2"/>
  <c r="D541" i="2"/>
  <c r="E537" i="2"/>
  <c r="D537" i="2"/>
  <c r="E536" i="2"/>
  <c r="D536" i="2"/>
  <c r="E535" i="2"/>
  <c r="D535" i="2"/>
  <c r="E534" i="2"/>
  <c r="D534" i="2"/>
  <c r="E532" i="2"/>
  <c r="D532" i="2"/>
  <c r="E530" i="2"/>
  <c r="D530" i="2"/>
  <c r="E529" i="2"/>
  <c r="D529" i="2"/>
  <c r="E528" i="2"/>
  <c r="D528" i="2"/>
  <c r="E527" i="2"/>
  <c r="D527" i="2"/>
  <c r="E526" i="2"/>
  <c r="D526" i="2"/>
  <c r="E524" i="2"/>
  <c r="D524" i="2"/>
  <c r="E522" i="2" l="1"/>
  <c r="D522" i="2"/>
  <c r="E521" i="2"/>
  <c r="D521" i="2"/>
  <c r="E518" i="2"/>
  <c r="D518" i="2"/>
  <c r="E519" i="2"/>
  <c r="D519" i="2"/>
  <c r="E517" i="2"/>
  <c r="D517" i="2"/>
  <c r="E516" i="2"/>
  <c r="D516" i="2"/>
  <c r="E515" i="2"/>
  <c r="D515" i="2"/>
  <c r="E459" i="2" l="1"/>
  <c r="D459" i="2"/>
  <c r="E441" i="2"/>
  <c r="D441" i="2"/>
  <c r="E485" i="2"/>
  <c r="D485" i="2"/>
  <c r="E412" i="2"/>
  <c r="D412" i="2"/>
  <c r="E411" i="2"/>
  <c r="D411" i="2"/>
  <c r="E512" i="2"/>
  <c r="D512" i="2"/>
  <c r="E511" i="2"/>
  <c r="D511" i="2"/>
  <c r="E510" i="2"/>
  <c r="D510" i="2"/>
  <c r="E647" i="2"/>
  <c r="D647" i="2"/>
  <c r="E639" i="2"/>
  <c r="D639" i="2"/>
  <c r="E636" i="2"/>
  <c r="D636" i="2"/>
  <c r="E626" i="2"/>
  <c r="D626" i="2"/>
  <c r="E624" i="2"/>
  <c r="D624" i="2"/>
  <c r="E623" i="2"/>
  <c r="D623" i="2"/>
  <c r="E621" i="2"/>
  <c r="D621" i="2"/>
  <c r="E620" i="2"/>
  <c r="D620" i="2"/>
  <c r="E613" i="2"/>
  <c r="D613" i="2"/>
  <c r="E612" i="2"/>
  <c r="D612" i="2"/>
  <c r="E611" i="2"/>
  <c r="D611" i="2"/>
  <c r="E610" i="2"/>
  <c r="D610" i="2"/>
  <c r="E609" i="2"/>
  <c r="D609" i="2"/>
  <c r="E607" i="2"/>
  <c r="D607" i="2"/>
  <c r="E598" i="2"/>
  <c r="D598" i="2"/>
  <c r="E590" i="2"/>
  <c r="D590" i="2"/>
  <c r="E586" i="2"/>
  <c r="D586" i="2"/>
  <c r="E583" i="2"/>
  <c r="D583" i="2"/>
  <c r="E572" i="2"/>
  <c r="D572" i="2"/>
  <c r="E557" i="2"/>
  <c r="D557" i="2"/>
  <c r="E554" i="2"/>
  <c r="D554" i="2"/>
  <c r="E544" i="2"/>
  <c r="D544" i="2"/>
  <c r="E543" i="2"/>
  <c r="D543" i="2"/>
  <c r="E539" i="2"/>
  <c r="D539" i="2"/>
  <c r="E538" i="2"/>
  <c r="D538" i="2"/>
  <c r="E533" i="2"/>
  <c r="D533" i="2"/>
  <c r="E531" i="2"/>
  <c r="D531" i="2"/>
  <c r="E525" i="2"/>
  <c r="D525" i="2"/>
  <c r="E523" i="2"/>
  <c r="D523" i="2"/>
  <c r="E520" i="2"/>
  <c r="D520" i="2"/>
  <c r="E514" i="2"/>
  <c r="D514" i="2"/>
  <c r="E513" i="2"/>
  <c r="D513" i="2"/>
  <c r="E509" i="2"/>
  <c r="D509" i="2"/>
  <c r="E508" i="2"/>
  <c r="D508" i="2"/>
  <c r="E507" i="2"/>
  <c r="D507" i="2"/>
  <c r="E358" i="1"/>
  <c r="D358" i="1"/>
  <c r="E357" i="1"/>
  <c r="D357" i="1"/>
  <c r="E356" i="1"/>
  <c r="D356" i="1"/>
  <c r="E355" i="1"/>
  <c r="D355" i="1"/>
  <c r="E505" i="2"/>
  <c r="D505" i="2"/>
  <c r="E504" i="2"/>
  <c r="D504" i="2"/>
  <c r="E503" i="2"/>
  <c r="D503" i="2"/>
  <c r="E354" i="1"/>
  <c r="D354" i="1"/>
  <c r="E498" i="2"/>
  <c r="D498" i="2"/>
  <c r="E499" i="2"/>
  <c r="D499" i="2"/>
  <c r="E436" i="2" l="1"/>
  <c r="D436" i="2"/>
  <c r="E432" i="2"/>
  <c r="D432" i="2"/>
  <c r="E351" i="1"/>
  <c r="D351" i="1"/>
  <c r="E496" i="2"/>
  <c r="D496" i="2"/>
  <c r="E495" i="2"/>
  <c r="D495" i="2"/>
  <c r="E483" i="2"/>
  <c r="D483" i="2"/>
  <c r="G482" i="2"/>
  <c r="E482" i="2"/>
  <c r="D482" i="2"/>
  <c r="E449" i="2"/>
  <c r="D449" i="2"/>
  <c r="E481" i="2"/>
  <c r="D481" i="2"/>
  <c r="E480" i="2"/>
  <c r="D480" i="2"/>
  <c r="E491" i="2"/>
  <c r="D491" i="2"/>
  <c r="E477" i="1"/>
  <c r="D477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6" i="1"/>
  <c r="D436" i="1"/>
  <c r="E435" i="1"/>
  <c r="D435" i="1"/>
  <c r="E434" i="1"/>
  <c r="D434" i="1"/>
  <c r="E433" i="1"/>
  <c r="D433" i="1"/>
  <c r="E432" i="1"/>
  <c r="D432" i="1"/>
  <c r="E426" i="1"/>
  <c r="D426" i="1"/>
  <c r="E425" i="1"/>
  <c r="D425" i="1"/>
  <c r="E424" i="1"/>
  <c r="D424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0" i="1"/>
  <c r="D410" i="1"/>
  <c r="E409" i="1"/>
  <c r="D409" i="1"/>
  <c r="E405" i="1"/>
  <c r="D405" i="1"/>
  <c r="E404" i="1"/>
  <c r="D404" i="1"/>
  <c r="E403" i="1"/>
  <c r="D403" i="1"/>
  <c r="E402" i="1"/>
  <c r="D402" i="1"/>
  <c r="E399" i="1"/>
  <c r="D399" i="1"/>
  <c r="E397" i="1"/>
  <c r="D397" i="1"/>
  <c r="E396" i="1"/>
  <c r="D396" i="1"/>
  <c r="E394" i="1"/>
  <c r="D394" i="1"/>
  <c r="E393" i="1"/>
  <c r="D393" i="1"/>
  <c r="E392" i="1"/>
  <c r="D392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3" i="1"/>
  <c r="D353" i="1"/>
  <c r="E352" i="1"/>
  <c r="D352" i="1"/>
  <c r="E350" i="1"/>
  <c r="D350" i="1"/>
  <c r="E349" i="1"/>
  <c r="D349" i="1"/>
  <c r="E348" i="1"/>
  <c r="D348" i="1"/>
  <c r="E347" i="1"/>
  <c r="D347" i="1"/>
  <c r="E346" i="1"/>
  <c r="D346" i="1"/>
  <c r="E487" i="2"/>
  <c r="D487" i="2"/>
  <c r="E486" i="2"/>
  <c r="D486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506" i="2"/>
  <c r="D506" i="2"/>
  <c r="E502" i="2"/>
  <c r="D502" i="2"/>
  <c r="E501" i="2"/>
  <c r="D501" i="2"/>
  <c r="E500" i="2"/>
  <c r="D500" i="2"/>
  <c r="E497" i="2"/>
  <c r="D497" i="2"/>
  <c r="E494" i="2"/>
  <c r="D494" i="2"/>
  <c r="E493" i="2"/>
  <c r="D493" i="2"/>
  <c r="E492" i="2"/>
  <c r="D492" i="2"/>
  <c r="E490" i="2"/>
  <c r="D490" i="2"/>
  <c r="E489" i="2"/>
  <c r="D489" i="2"/>
  <c r="E488" i="2"/>
  <c r="D488" i="2"/>
  <c r="E484" i="2"/>
  <c r="D484" i="2"/>
  <c r="E479" i="2"/>
  <c r="D479" i="2"/>
  <c r="E478" i="2"/>
  <c r="D478" i="2"/>
  <c r="E470" i="2"/>
  <c r="D470" i="2"/>
  <c r="E469" i="2"/>
  <c r="D469" i="2"/>
  <c r="E466" i="2"/>
  <c r="D466" i="2"/>
  <c r="E465" i="2"/>
  <c r="D465" i="2"/>
  <c r="E463" i="2"/>
  <c r="D463" i="2"/>
  <c r="E462" i="2"/>
  <c r="D462" i="2"/>
  <c r="E461" i="2"/>
  <c r="D461" i="2"/>
  <c r="E460" i="2"/>
  <c r="D460" i="2"/>
  <c r="E318" i="1"/>
  <c r="D318" i="1"/>
  <c r="D319" i="1"/>
  <c r="E319" i="1"/>
  <c r="D320" i="1"/>
  <c r="E320" i="1"/>
  <c r="E457" i="2"/>
  <c r="D457" i="2"/>
  <c r="E456" i="2"/>
  <c r="D456" i="2"/>
  <c r="E455" i="2"/>
  <c r="D455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437" i="2"/>
  <c r="D437" i="2"/>
  <c r="E435" i="2"/>
  <c r="D435" i="2"/>
  <c r="E434" i="2"/>
  <c r="D434" i="2"/>
  <c r="E430" i="2"/>
  <c r="D430" i="2"/>
  <c r="E429" i="2"/>
  <c r="D429" i="2"/>
  <c r="E427" i="2"/>
  <c r="D427" i="2"/>
  <c r="E426" i="2"/>
  <c r="D426" i="2"/>
  <c r="E425" i="2"/>
  <c r="D425" i="2"/>
  <c r="E424" i="2"/>
  <c r="D424" i="2"/>
  <c r="D419" i="2" l="1"/>
  <c r="E420" i="2"/>
  <c r="D420" i="2"/>
  <c r="E417" i="2"/>
  <c r="D417" i="2"/>
  <c r="E416" i="2"/>
  <c r="D416" i="2"/>
  <c r="E415" i="2"/>
  <c r="D415" i="2"/>
  <c r="E414" i="2"/>
  <c r="D414" i="2"/>
  <c r="E413" i="2"/>
  <c r="D413" i="2"/>
  <c r="E409" i="2"/>
  <c r="D409" i="2"/>
  <c r="E408" i="2"/>
  <c r="D408" i="2"/>
  <c r="E407" i="2"/>
  <c r="D407" i="2"/>
  <c r="E406" i="2"/>
  <c r="D406" i="2"/>
  <c r="E405" i="2" l="1"/>
  <c r="D405" i="2"/>
  <c r="E404" i="2"/>
  <c r="D404" i="2"/>
  <c r="E403" i="2"/>
  <c r="D403" i="2"/>
  <c r="E402" i="2"/>
  <c r="D402" i="2"/>
  <c r="E277" i="1"/>
  <c r="D277" i="1"/>
  <c r="E393" i="2"/>
  <c r="D393" i="2"/>
  <c r="E400" i="2" l="1"/>
  <c r="D400" i="2"/>
  <c r="E399" i="2"/>
  <c r="D399" i="2"/>
  <c r="E278" i="1"/>
  <c r="D278" i="1"/>
  <c r="E247" i="1" l="1"/>
  <c r="D247" i="1"/>
  <c r="E362" i="2"/>
  <c r="D362" i="2"/>
  <c r="E395" i="2" l="1"/>
  <c r="D395" i="2"/>
  <c r="E394" i="2"/>
  <c r="D394" i="2"/>
  <c r="E392" i="2" l="1"/>
  <c r="D392" i="2"/>
  <c r="E270" i="1" l="1"/>
  <c r="D270" i="1"/>
  <c r="E389" i="2" l="1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D468" i="2"/>
  <c r="D467" i="2"/>
  <c r="D464" i="2"/>
  <c r="D458" i="2"/>
  <c r="D454" i="2"/>
  <c r="D453" i="2"/>
  <c r="D452" i="2"/>
  <c r="D451" i="2"/>
  <c r="D450" i="2"/>
  <c r="D442" i="2"/>
  <c r="D440" i="2"/>
  <c r="D439" i="2"/>
  <c r="D438" i="2"/>
  <c r="D433" i="2"/>
  <c r="D431" i="2"/>
  <c r="D428" i="2"/>
  <c r="D423" i="2"/>
  <c r="D422" i="2"/>
  <c r="D421" i="2"/>
  <c r="D418" i="2"/>
  <c r="D410" i="2"/>
  <c r="D401" i="2"/>
  <c r="D398" i="2"/>
  <c r="D397" i="2"/>
  <c r="D391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1" i="2"/>
  <c r="D360" i="2"/>
  <c r="D359" i="2"/>
  <c r="D358" i="2"/>
  <c r="D357" i="2"/>
  <c r="D356" i="2"/>
  <c r="E468" i="2" l="1"/>
  <c r="E467" i="2"/>
  <c r="E464" i="2"/>
  <c r="E458" i="2"/>
  <c r="E454" i="2"/>
  <c r="E453" i="2"/>
  <c r="E452" i="2"/>
  <c r="E451" i="2"/>
  <c r="E450" i="2"/>
  <c r="E442" i="2"/>
  <c r="E440" i="2"/>
  <c r="E439" i="2"/>
  <c r="E438" i="2"/>
  <c r="E433" i="2"/>
  <c r="E431" i="2"/>
  <c r="E428" i="2"/>
  <c r="E423" i="2"/>
  <c r="E422" i="2"/>
  <c r="E421" i="2"/>
  <c r="E419" i="2"/>
  <c r="E418" i="2"/>
  <c r="E410" i="2"/>
  <c r="E401" i="2"/>
  <c r="E398" i="2"/>
  <c r="E397" i="2"/>
  <c r="E391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L112" i="6"/>
  <c r="E251" i="1" l="1"/>
  <c r="D251" i="1"/>
  <c r="E250" i="1" l="1"/>
  <c r="D250" i="1"/>
  <c r="E364" i="2"/>
  <c r="E363" i="2"/>
  <c r="E361" i="2" l="1"/>
  <c r="E307" i="2"/>
  <c r="D307" i="2"/>
  <c r="E232" i="1"/>
  <c r="D232" i="1"/>
  <c r="E184" i="1"/>
  <c r="D184" i="1"/>
  <c r="E133" i="1"/>
  <c r="D133" i="1"/>
  <c r="E86" i="1"/>
  <c r="D86" i="1"/>
  <c r="E259" i="2"/>
  <c r="D259" i="2"/>
  <c r="E328" i="2"/>
  <c r="D328" i="2"/>
  <c r="E182" i="2"/>
  <c r="D182" i="2"/>
  <c r="E112" i="2"/>
  <c r="D112" i="2"/>
  <c r="J188" i="2"/>
  <c r="E350" i="2"/>
  <c r="D350" i="2"/>
  <c r="D346" i="2"/>
  <c r="E346" i="2"/>
  <c r="D347" i="2"/>
  <c r="E347" i="2"/>
  <c r="D348" i="2"/>
  <c r="E348" i="2"/>
  <c r="D349" i="2"/>
  <c r="E349" i="2"/>
  <c r="E345" i="2"/>
  <c r="D345" i="2"/>
  <c r="E344" i="2"/>
  <c r="D344" i="2"/>
  <c r="E342" i="2"/>
  <c r="D342" i="2"/>
  <c r="E360" i="2" l="1"/>
  <c r="E356" i="2"/>
  <c r="E355" i="2"/>
  <c r="D355" i="2"/>
  <c r="E354" i="2"/>
  <c r="D354" i="2"/>
  <c r="E353" i="2"/>
  <c r="D353" i="2"/>
  <c r="E336" i="2"/>
  <c r="D336" i="2"/>
  <c r="F233" i="1"/>
  <c r="G334" i="2"/>
  <c r="G238" i="15"/>
  <c r="G333" i="2" l="1"/>
  <c r="E331" i="2" l="1"/>
  <c r="D331" i="2"/>
  <c r="E330" i="2"/>
  <c r="D330" i="2"/>
  <c r="E329" i="2"/>
  <c r="D329" i="2"/>
  <c r="F230" i="1"/>
  <c r="G327" i="2"/>
  <c r="E326" i="2"/>
  <c r="D326" i="2"/>
  <c r="E325" i="2"/>
  <c r="D325" i="2"/>
  <c r="E324" i="2" l="1"/>
  <c r="D324" i="2"/>
  <c r="E322" i="2" l="1"/>
  <c r="D322" i="2"/>
  <c r="E321" i="2"/>
  <c r="D321" i="2"/>
  <c r="E319" i="2"/>
  <c r="D319" i="2"/>
  <c r="E317" i="2" l="1"/>
  <c r="D317" i="2"/>
  <c r="E316" i="2" l="1"/>
  <c r="D316" i="2"/>
  <c r="E315" i="2"/>
  <c r="D315" i="2"/>
  <c r="E314" i="2"/>
  <c r="D314" i="2"/>
  <c r="E313" i="2"/>
  <c r="D313" i="2"/>
  <c r="E312" i="2"/>
  <c r="D312" i="2"/>
  <c r="E311" i="2"/>
  <c r="D311" i="2"/>
  <c r="E310" i="2" l="1"/>
  <c r="D310" i="2"/>
  <c r="E215" i="1"/>
  <c r="D215" i="1"/>
  <c r="E214" i="1"/>
  <c r="D214" i="1"/>
  <c r="E304" i="2"/>
  <c r="D304" i="2"/>
  <c r="C422" i="30"/>
  <c r="E12" i="30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B3" i="30"/>
  <c r="A3" i="30"/>
  <c r="A1" i="30"/>
  <c r="H212" i="15"/>
  <c r="E302" i="2"/>
  <c r="D302" i="2"/>
  <c r="E301" i="2"/>
  <c r="D301" i="2"/>
  <c r="E300" i="2"/>
  <c r="D300" i="2"/>
  <c r="E212" i="1"/>
  <c r="D212" i="1"/>
  <c r="E299" i="2"/>
  <c r="D299" i="2"/>
  <c r="E298" i="2"/>
  <c r="D298" i="2"/>
  <c r="E211" i="1"/>
  <c r="D211" i="1"/>
  <c r="E297" i="2"/>
  <c r="D297" i="2"/>
  <c r="E296" i="2"/>
  <c r="D296" i="2"/>
  <c r="D422" i="30" l="1"/>
  <c r="E288" i="2"/>
  <c r="D288" i="2"/>
  <c r="E287" i="2"/>
  <c r="D287" i="2"/>
  <c r="E286" i="2"/>
  <c r="D286" i="2"/>
  <c r="E199" i="1" l="1"/>
  <c r="D199" i="1"/>
  <c r="E198" i="1"/>
  <c r="D198" i="1"/>
  <c r="E197" i="1"/>
  <c r="D197" i="1"/>
  <c r="E196" i="1"/>
  <c r="D196" i="1"/>
  <c r="E200" i="1"/>
  <c r="D200" i="1"/>
  <c r="E201" i="1"/>
  <c r="D201" i="1"/>
  <c r="E195" i="1"/>
  <c r="D195" i="1"/>
  <c r="E284" i="2"/>
  <c r="D284" i="2"/>
  <c r="E283" i="2"/>
  <c r="D283" i="2"/>
  <c r="E282" i="2"/>
  <c r="D282" i="2"/>
  <c r="E281" i="2"/>
  <c r="D281" i="2"/>
  <c r="E280" i="2"/>
  <c r="D280" i="2"/>
  <c r="E275" i="2" l="1"/>
  <c r="D275" i="2"/>
  <c r="E270" i="2"/>
  <c r="D270" i="2"/>
  <c r="E269" i="2"/>
  <c r="D269" i="2"/>
  <c r="G2270" i="2" l="1"/>
  <c r="G265" i="2" l="1"/>
  <c r="E265" i="2"/>
  <c r="D265" i="2"/>
  <c r="E264" i="2"/>
  <c r="D264" i="2"/>
  <c r="E186" i="1"/>
  <c r="D186" i="1"/>
  <c r="E59" i="30" l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E377" i="30" s="1"/>
  <c r="E378" i="30" s="1"/>
  <c r="E379" i="30" s="1"/>
  <c r="E380" i="30" s="1"/>
  <c r="E381" i="30" s="1"/>
  <c r="E382" i="30" s="1"/>
  <c r="E383" i="30" s="1"/>
  <c r="E384" i="30" s="1"/>
  <c r="E385" i="30" s="1"/>
  <c r="E386" i="30" s="1"/>
  <c r="E387" i="30" s="1"/>
  <c r="E388" i="30" s="1"/>
  <c r="E389" i="30" s="1"/>
  <c r="E390" i="30" s="1"/>
  <c r="E391" i="30" s="1"/>
  <c r="E392" i="30" s="1"/>
  <c r="E393" i="30" s="1"/>
  <c r="E394" i="30" s="1"/>
  <c r="E395" i="30" s="1"/>
  <c r="E396" i="30" s="1"/>
  <c r="E397" i="30" s="1"/>
  <c r="E398" i="30" s="1"/>
  <c r="E399" i="30" s="1"/>
  <c r="E400" i="30" s="1"/>
  <c r="E401" i="30" s="1"/>
  <c r="E402" i="30" s="1"/>
  <c r="E403" i="30" s="1"/>
  <c r="E404" i="30" s="1"/>
  <c r="E405" i="30" s="1"/>
  <c r="E406" i="30" s="1"/>
  <c r="E407" i="30" s="1"/>
  <c r="E408" i="30" s="1"/>
  <c r="E409" i="30" s="1"/>
  <c r="E410" i="30" s="1"/>
  <c r="E411" i="30" s="1"/>
  <c r="E412" i="30" s="1"/>
  <c r="E413" i="30" s="1"/>
  <c r="E414" i="30" s="1"/>
  <c r="E415" i="30" s="1"/>
  <c r="E416" i="30" s="1"/>
  <c r="E417" i="30" s="1"/>
  <c r="E418" i="30" s="1"/>
  <c r="E419" i="30" s="1"/>
  <c r="E420" i="30" s="1"/>
  <c r="E7" i="30" s="1"/>
  <c r="E263" i="2"/>
  <c r="D263" i="2"/>
  <c r="E262" i="2"/>
  <c r="D262" i="2"/>
  <c r="E261" i="2"/>
  <c r="D261" i="2"/>
  <c r="E260" i="2"/>
  <c r="D260" i="2"/>
  <c r="E258" i="2"/>
  <c r="D258" i="2"/>
  <c r="G247" i="2" l="1"/>
  <c r="E181" i="1"/>
  <c r="D181" i="1"/>
  <c r="E180" i="1"/>
  <c r="D180" i="1"/>
  <c r="D183" i="15"/>
  <c r="E254" i="2"/>
  <c r="D254" i="2"/>
  <c r="E253" i="2"/>
  <c r="D253" i="2"/>
  <c r="E250" i="2"/>
  <c r="D250" i="2"/>
  <c r="E249" i="2"/>
  <c r="D249" i="2"/>
  <c r="E175" i="1"/>
  <c r="D175" i="1"/>
  <c r="E174" i="1"/>
  <c r="D174" i="1"/>
  <c r="E247" i="2"/>
  <c r="D247" i="2"/>
  <c r="E246" i="2"/>
  <c r="D246" i="2"/>
  <c r="E245" i="2"/>
  <c r="D245" i="2"/>
  <c r="E244" i="2"/>
  <c r="D244" i="2"/>
  <c r="E29" i="2"/>
  <c r="D29" i="2"/>
  <c r="E32" i="1"/>
  <c r="D32" i="1"/>
  <c r="E243" i="2" l="1"/>
  <c r="D243" i="2"/>
  <c r="E242" i="2"/>
  <c r="D242" i="2"/>
  <c r="E240" i="2"/>
  <c r="D240" i="2"/>
  <c r="G238" i="2" l="1"/>
  <c r="E236" i="2"/>
  <c r="D236" i="2"/>
  <c r="E235" i="2"/>
  <c r="D235" i="2"/>
  <c r="E168" i="1"/>
  <c r="D168" i="1"/>
  <c r="E230" i="2"/>
  <c r="D230" i="2"/>
  <c r="E229" i="2"/>
  <c r="D229" i="2"/>
  <c r="E228" i="2"/>
  <c r="D228" i="2"/>
  <c r="E227" i="2"/>
  <c r="D227" i="2"/>
  <c r="E226" i="2"/>
  <c r="D226" i="2"/>
  <c r="E225" i="2"/>
  <c r="D225" i="2"/>
  <c r="E215" i="2" l="1"/>
  <c r="D215" i="2"/>
  <c r="D216" i="2"/>
  <c r="E216" i="2"/>
  <c r="G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E159" i="1" l="1"/>
  <c r="D159" i="1"/>
  <c r="E213" i="2" l="1"/>
  <c r="D213" i="2"/>
  <c r="E212" i="2" l="1"/>
  <c r="D212" i="2"/>
  <c r="E211" i="2"/>
  <c r="D211" i="2"/>
  <c r="E210" i="2"/>
  <c r="D210" i="2"/>
  <c r="E209" i="2" l="1"/>
  <c r="D209" i="2"/>
  <c r="E208" i="2"/>
  <c r="D208" i="2"/>
  <c r="E207" i="2"/>
  <c r="D207" i="2"/>
  <c r="E205" i="2"/>
  <c r="D205" i="2"/>
  <c r="E204" i="2"/>
  <c r="D204" i="2"/>
  <c r="E144" i="1"/>
  <c r="D144" i="1"/>
  <c r="E200" i="2"/>
  <c r="D200" i="2"/>
  <c r="E192" i="2"/>
  <c r="D192" i="2"/>
  <c r="E191" i="2"/>
  <c r="D191" i="2"/>
  <c r="E199" i="2"/>
  <c r="D199" i="2"/>
  <c r="E198" i="2"/>
  <c r="D198" i="2"/>
  <c r="E197" i="2"/>
  <c r="D197" i="2"/>
  <c r="D136" i="1" l="1"/>
  <c r="E136" i="1"/>
  <c r="D137" i="1"/>
  <c r="E137" i="1"/>
  <c r="D138" i="1"/>
  <c r="E138" i="1"/>
  <c r="D139" i="1"/>
  <c r="E139" i="1"/>
  <c r="D140" i="1"/>
  <c r="E140" i="1"/>
  <c r="E185" i="2"/>
  <c r="D185" i="2"/>
  <c r="D186" i="2"/>
  <c r="E186" i="2"/>
  <c r="D187" i="2"/>
  <c r="E187" i="2"/>
  <c r="D188" i="2"/>
  <c r="E188" i="2"/>
  <c r="D189" i="2"/>
  <c r="E189" i="2"/>
  <c r="D190" i="2"/>
  <c r="E190" i="2"/>
  <c r="E184" i="2" l="1"/>
  <c r="D184" i="2"/>
  <c r="E135" i="1"/>
  <c r="D135" i="1"/>
  <c r="L151" i="6"/>
  <c r="E183" i="2"/>
  <c r="D183" i="2"/>
  <c r="E134" i="1"/>
  <c r="D134" i="1"/>
  <c r="E181" i="2"/>
  <c r="D181" i="2"/>
  <c r="E180" i="2" l="1"/>
  <c r="D180" i="2"/>
  <c r="E179" i="2"/>
  <c r="D179" i="2"/>
  <c r="E178" i="2"/>
  <c r="D178" i="2"/>
  <c r="E177" i="2"/>
  <c r="D177" i="2"/>
  <c r="D133" i="15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8" i="2"/>
  <c r="D168" i="2"/>
  <c r="E165" i="2" l="1"/>
  <c r="D165" i="2"/>
  <c r="E164" i="2" l="1"/>
  <c r="D164" i="2"/>
  <c r="E163" i="2"/>
  <c r="D163" i="2"/>
  <c r="E155" i="2"/>
  <c r="D155" i="2"/>
  <c r="E154" i="2"/>
  <c r="D154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0" i="2"/>
  <c r="D150" i="2"/>
  <c r="E88" i="1"/>
  <c r="D88" i="1"/>
  <c r="E115" i="2"/>
  <c r="D115" i="2"/>
  <c r="E148" i="2"/>
  <c r="D148" i="2"/>
  <c r="E147" i="2"/>
  <c r="D147" i="2"/>
  <c r="E146" i="2"/>
  <c r="D146" i="2"/>
  <c r="E145" i="2"/>
  <c r="D145" i="2"/>
  <c r="E142" i="2" l="1"/>
  <c r="D142" i="2"/>
  <c r="E141" i="2" l="1"/>
  <c r="D141" i="2"/>
  <c r="E140" i="2"/>
  <c r="D140" i="2"/>
  <c r="E139" i="2"/>
  <c r="D139" i="2"/>
  <c r="E137" i="2" l="1"/>
  <c r="D137" i="2"/>
  <c r="E136" i="2"/>
  <c r="D136" i="2"/>
  <c r="E126" i="2"/>
  <c r="D126" i="2"/>
  <c r="E124" i="2"/>
  <c r="D124" i="2"/>
  <c r="E123" i="2"/>
  <c r="D123" i="2"/>
  <c r="E122" i="2"/>
  <c r="D122" i="2"/>
  <c r="E94" i="1"/>
  <c r="D94" i="1"/>
  <c r="E93" i="1"/>
  <c r="D93" i="1"/>
  <c r="E92" i="1"/>
  <c r="D92" i="1"/>
  <c r="E91" i="1"/>
  <c r="D91" i="1"/>
  <c r="E120" i="2"/>
  <c r="D120" i="2"/>
  <c r="E119" i="2"/>
  <c r="D119" i="2"/>
  <c r="E118" i="2"/>
  <c r="D118" i="2"/>
  <c r="E26" i="25"/>
  <c r="E27" i="25" s="1"/>
  <c r="E28" i="25" s="1"/>
  <c r="E29" i="25" s="1"/>
  <c r="E25" i="25"/>
  <c r="J156" i="6"/>
  <c r="N156" i="6" s="1"/>
  <c r="D156" i="6"/>
  <c r="J154" i="6"/>
  <c r="N154" i="6" s="1"/>
  <c r="D154" i="6"/>
  <c r="J153" i="6"/>
  <c r="N153" i="6" s="1"/>
  <c r="D153" i="6"/>
  <c r="J152" i="6"/>
  <c r="N152" i="6" s="1"/>
  <c r="D152" i="6"/>
  <c r="J151" i="6"/>
  <c r="N151" i="6" s="1"/>
  <c r="D151" i="6"/>
  <c r="J150" i="6"/>
  <c r="N150" i="6" s="1"/>
  <c r="D150" i="6"/>
  <c r="L114" i="6" l="1"/>
  <c r="E43" i="2"/>
  <c r="D43" i="2"/>
  <c r="E38" i="1"/>
  <c r="D38" i="1"/>
  <c r="E107" i="2" l="1"/>
  <c r="D107" i="2"/>
  <c r="D79" i="1"/>
  <c r="E79" i="1"/>
  <c r="D80" i="1"/>
  <c r="E80" i="1"/>
  <c r="D81" i="1"/>
  <c r="E81" i="1"/>
  <c r="E106" i="2"/>
  <c r="D106" i="2"/>
  <c r="E105" i="2"/>
  <c r="D105" i="2"/>
  <c r="E104" i="2"/>
  <c r="D104" i="2"/>
  <c r="E103" i="2"/>
  <c r="D103" i="2"/>
  <c r="E101" i="2" l="1"/>
  <c r="D101" i="2"/>
  <c r="E100" i="2"/>
  <c r="D100" i="2"/>
  <c r="E98" i="2"/>
  <c r="D98" i="2"/>
  <c r="E97" i="2"/>
  <c r="D97" i="2"/>
  <c r="E96" i="2"/>
  <c r="D96" i="2"/>
  <c r="E95" i="2"/>
  <c r="D95" i="2"/>
  <c r="E94" i="2"/>
  <c r="D94" i="2"/>
  <c r="E92" i="2" l="1"/>
  <c r="D92" i="2"/>
  <c r="J96" i="6"/>
  <c r="N96" i="6" s="1"/>
  <c r="J97" i="6"/>
  <c r="N97" i="6" s="1"/>
  <c r="J98" i="6"/>
  <c r="N98" i="6" s="1"/>
  <c r="J99" i="6"/>
  <c r="N99" i="6" s="1"/>
  <c r="J100" i="6"/>
  <c r="N100" i="6" s="1"/>
  <c r="E91" i="2" l="1"/>
  <c r="D91" i="2"/>
  <c r="E90" i="2"/>
  <c r="D90" i="2"/>
  <c r="E89" i="2"/>
  <c r="D89" i="2"/>
  <c r="E88" i="2"/>
  <c r="D88" i="2"/>
  <c r="E71" i="1"/>
  <c r="D71" i="1"/>
  <c r="E84" i="2"/>
  <c r="D84" i="2"/>
  <c r="E83" i="2"/>
  <c r="D83" i="2"/>
  <c r="E66" i="1" l="1"/>
  <c r="D66" i="1"/>
  <c r="E82" i="2" l="1"/>
  <c r="D82" i="2"/>
  <c r="E33" i="2"/>
  <c r="D33" i="2"/>
  <c r="E80" i="2" l="1"/>
  <c r="D80" i="2"/>
  <c r="E79" i="2"/>
  <c r="D79" i="2"/>
  <c r="E62" i="1"/>
  <c r="D62" i="1"/>
  <c r="D54" i="15"/>
  <c r="E74" i="2"/>
  <c r="D74" i="2"/>
  <c r="E73" i="2"/>
  <c r="D73" i="2"/>
  <c r="E72" i="2"/>
  <c r="D72" i="2"/>
  <c r="E71" i="2"/>
  <c r="D71" i="2"/>
  <c r="E70" i="2"/>
  <c r="D70" i="2"/>
  <c r="D138" i="6"/>
  <c r="J138" i="6"/>
  <c r="N138" i="6" s="1"/>
  <c r="E14" i="2"/>
  <c r="D14" i="2"/>
  <c r="D15" i="2"/>
  <c r="E15" i="2"/>
  <c r="E14" i="1"/>
  <c r="D14" i="1"/>
  <c r="G63" i="2" l="1"/>
  <c r="D36" i="1"/>
  <c r="E36" i="1"/>
  <c r="D37" i="1"/>
  <c r="E37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1" i="2"/>
  <c r="E41" i="2"/>
  <c r="D42" i="2"/>
  <c r="E42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E2084" i="2" l="1"/>
  <c r="D2084" i="2"/>
  <c r="E2083" i="2"/>
  <c r="D2083" i="2"/>
  <c r="E2082" i="2"/>
  <c r="D2082" i="2"/>
  <c r="E2081" i="2"/>
  <c r="D2081" i="2"/>
  <c r="E2080" i="2"/>
  <c r="D2080" i="2"/>
  <c r="E2079" i="2"/>
  <c r="D2079" i="2"/>
  <c r="F360" i="21"/>
  <c r="F359" i="21"/>
  <c r="F358" i="21"/>
  <c r="F357" i="21"/>
  <c r="F356" i="21"/>
  <c r="F355" i="21"/>
  <c r="F354" i="21"/>
  <c r="F353" i="21"/>
  <c r="F352" i="21"/>
  <c r="F351" i="21"/>
  <c r="F350" i="21"/>
  <c r="F349" i="21"/>
  <c r="F348" i="21"/>
  <c r="F347" i="21"/>
  <c r="F346" i="21"/>
  <c r="F345" i="21"/>
  <c r="F344" i="21"/>
  <c r="F343" i="21"/>
  <c r="F342" i="21"/>
  <c r="F341" i="21"/>
  <c r="F340" i="21"/>
  <c r="F339" i="21"/>
  <c r="F338" i="21"/>
  <c r="F337" i="21"/>
  <c r="F336" i="21"/>
  <c r="F335" i="21"/>
  <c r="F334" i="21"/>
  <c r="F333" i="21"/>
  <c r="F332" i="21"/>
  <c r="F331" i="21"/>
  <c r="F330" i="21"/>
  <c r="F329" i="21"/>
  <c r="F328" i="21"/>
  <c r="F327" i="21"/>
  <c r="F326" i="21"/>
  <c r="F325" i="21"/>
  <c r="F324" i="21"/>
  <c r="F323" i="21"/>
  <c r="F322" i="21"/>
  <c r="F321" i="21"/>
  <c r="F320" i="21"/>
  <c r="F319" i="21"/>
  <c r="F318" i="21"/>
  <c r="F317" i="21"/>
  <c r="F316" i="21"/>
  <c r="F315" i="21"/>
  <c r="F314" i="21"/>
  <c r="F313" i="21"/>
  <c r="F312" i="21"/>
  <c r="F311" i="21"/>
  <c r="F310" i="21"/>
  <c r="F309" i="21"/>
  <c r="F308" i="21"/>
  <c r="F307" i="21"/>
  <c r="F306" i="21"/>
  <c r="F305" i="21"/>
  <c r="F304" i="21"/>
  <c r="F303" i="21"/>
  <c r="F302" i="21"/>
  <c r="F301" i="21"/>
  <c r="F300" i="21"/>
  <c r="F299" i="21"/>
  <c r="F298" i="21"/>
  <c r="F297" i="21"/>
  <c r="F296" i="21"/>
  <c r="F295" i="21"/>
  <c r="F294" i="21"/>
  <c r="F293" i="21"/>
  <c r="F292" i="21"/>
  <c r="F290" i="21"/>
  <c r="F289" i="21"/>
  <c r="F288" i="21"/>
  <c r="F287" i="21"/>
  <c r="F286" i="21"/>
  <c r="F285" i="21"/>
  <c r="F284" i="21"/>
  <c r="F283" i="21"/>
  <c r="F282" i="21"/>
  <c r="F281" i="21"/>
  <c r="F280" i="21"/>
  <c r="F279" i="21"/>
  <c r="F278" i="21"/>
  <c r="F277" i="21"/>
  <c r="F276" i="21"/>
  <c r="F275" i="21"/>
  <c r="F274" i="21"/>
  <c r="F273" i="21"/>
  <c r="F272" i="21"/>
  <c r="F271" i="21"/>
  <c r="F269" i="21"/>
  <c r="F268" i="21"/>
  <c r="F267" i="21"/>
  <c r="F266" i="21"/>
  <c r="F265" i="21"/>
  <c r="F264" i="21"/>
  <c r="F263" i="21"/>
  <c r="F262" i="21"/>
  <c r="F261" i="21"/>
  <c r="F260" i="21"/>
  <c r="F259" i="21"/>
  <c r="F258" i="21"/>
  <c r="F257" i="21"/>
  <c r="F256" i="21"/>
  <c r="F255" i="21"/>
  <c r="F254" i="21"/>
  <c r="F253" i="21"/>
  <c r="F252" i="21"/>
  <c r="F251" i="21"/>
  <c r="F250" i="21"/>
  <c r="F249" i="21"/>
  <c r="F248" i="21"/>
  <c r="F247" i="21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8" i="21"/>
  <c r="F227" i="21"/>
  <c r="F226" i="21"/>
  <c r="F225" i="21"/>
  <c r="F224" i="21"/>
  <c r="F223" i="21"/>
  <c r="F222" i="21"/>
  <c r="F221" i="21"/>
  <c r="F220" i="21"/>
  <c r="F219" i="21"/>
  <c r="F218" i="21"/>
  <c r="F217" i="21"/>
  <c r="F216" i="21"/>
  <c r="F215" i="21"/>
  <c r="F214" i="21"/>
  <c r="F213" i="21"/>
  <c r="F212" i="21"/>
  <c r="F211" i="21"/>
  <c r="F210" i="21"/>
  <c r="F209" i="21"/>
  <c r="F208" i="21"/>
  <c r="F207" i="21"/>
  <c r="F206" i="21"/>
  <c r="F205" i="21"/>
  <c r="F204" i="21"/>
  <c r="F203" i="21"/>
  <c r="F202" i="21"/>
  <c r="F201" i="21"/>
  <c r="F200" i="21"/>
  <c r="F199" i="21"/>
  <c r="F198" i="21"/>
  <c r="F197" i="21"/>
  <c r="F196" i="21"/>
  <c r="F195" i="21"/>
  <c r="F194" i="21"/>
  <c r="F193" i="21"/>
  <c r="F192" i="21"/>
  <c r="F191" i="21"/>
  <c r="F190" i="21"/>
  <c r="F189" i="21"/>
  <c r="F188" i="21"/>
  <c r="F187" i="21"/>
  <c r="F186" i="21"/>
  <c r="F185" i="21"/>
  <c r="F184" i="21"/>
  <c r="F183" i="21"/>
  <c r="F182" i="21"/>
  <c r="F181" i="21"/>
  <c r="F180" i="21"/>
  <c r="F179" i="21"/>
  <c r="F178" i="21"/>
  <c r="F177" i="21"/>
  <c r="F176" i="21"/>
  <c r="F175" i="21"/>
  <c r="F174" i="21"/>
  <c r="F173" i="21"/>
  <c r="F172" i="21"/>
  <c r="F171" i="21"/>
  <c r="F170" i="21"/>
  <c r="F169" i="21"/>
  <c r="F168" i="21"/>
  <c r="F167" i="21"/>
  <c r="F166" i="21"/>
  <c r="F165" i="21"/>
  <c r="F164" i="21"/>
  <c r="F163" i="21"/>
  <c r="F162" i="21"/>
  <c r="F161" i="21"/>
  <c r="F160" i="21"/>
  <c r="F159" i="21"/>
  <c r="F158" i="21"/>
  <c r="F157" i="21"/>
  <c r="F156" i="21"/>
  <c r="F155" i="21"/>
  <c r="F154" i="21"/>
  <c r="F153" i="21"/>
  <c r="F152" i="21"/>
  <c r="F151" i="21"/>
  <c r="F150" i="21"/>
  <c r="F149" i="21"/>
  <c r="F148" i="21"/>
  <c r="F147" i="21"/>
  <c r="F146" i="21"/>
  <c r="F145" i="21"/>
  <c r="F144" i="21"/>
  <c r="F143" i="21"/>
  <c r="F142" i="21"/>
  <c r="F141" i="21"/>
  <c r="F140" i="21"/>
  <c r="F139" i="21"/>
  <c r="F138" i="21"/>
  <c r="F137" i="21"/>
  <c r="F136" i="21"/>
  <c r="F135" i="21"/>
  <c r="F134" i="21"/>
  <c r="F133" i="21"/>
  <c r="F132" i="21"/>
  <c r="F131" i="21"/>
  <c r="F130" i="21"/>
  <c r="F129" i="21"/>
  <c r="F128" i="21"/>
  <c r="F127" i="21"/>
  <c r="F126" i="21"/>
  <c r="F125" i="21"/>
  <c r="F124" i="21"/>
  <c r="F123" i="21"/>
  <c r="F122" i="21"/>
  <c r="F121" i="21"/>
  <c r="F120" i="21"/>
  <c r="F119" i="21"/>
  <c r="F118" i="21"/>
  <c r="F117" i="21"/>
  <c r="F116" i="21"/>
  <c r="F115" i="21"/>
  <c r="F114" i="21"/>
  <c r="F113" i="21"/>
  <c r="F112" i="21"/>
  <c r="F111" i="21"/>
  <c r="F110" i="21"/>
  <c r="F109" i="21"/>
  <c r="F108" i="21"/>
  <c r="F107" i="21"/>
  <c r="F106" i="21"/>
  <c r="F105" i="21"/>
  <c r="F104" i="21"/>
  <c r="F103" i="21"/>
  <c r="F102" i="21"/>
  <c r="F101" i="21"/>
  <c r="F100" i="21"/>
  <c r="F99" i="21"/>
  <c r="F98" i="21"/>
  <c r="F97" i="21"/>
  <c r="F96" i="21"/>
  <c r="F95" i="21"/>
  <c r="F94" i="21"/>
  <c r="F93" i="21"/>
  <c r="F92" i="21"/>
  <c r="F91" i="21"/>
  <c r="F90" i="21"/>
  <c r="F89" i="21"/>
  <c r="F88" i="21"/>
  <c r="F87" i="21"/>
  <c r="F86" i="21"/>
  <c r="F85" i="21"/>
  <c r="F84" i="21"/>
  <c r="F83" i="21"/>
  <c r="F82" i="21"/>
  <c r="F81" i="21"/>
  <c r="F80" i="21"/>
  <c r="F79" i="21"/>
  <c r="F78" i="21"/>
  <c r="F77" i="21"/>
  <c r="F76" i="21"/>
  <c r="F75" i="21"/>
  <c r="F74" i="21"/>
  <c r="F73" i="21"/>
  <c r="F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6" i="21"/>
  <c r="F17" i="21"/>
  <c r="D384" i="21"/>
  <c r="D383" i="21"/>
  <c r="D382" i="21"/>
  <c r="D381" i="21"/>
  <c r="D380" i="21"/>
  <c r="D379" i="21"/>
  <c r="D378" i="21"/>
  <c r="D377" i="21"/>
  <c r="D376" i="21"/>
  <c r="D375" i="21"/>
  <c r="D374" i="21"/>
  <c r="D373" i="21"/>
  <c r="D372" i="21"/>
  <c r="D371" i="21"/>
  <c r="D360" i="21"/>
  <c r="D359" i="21"/>
  <c r="D358" i="21"/>
  <c r="D357" i="21"/>
  <c r="D356" i="21"/>
  <c r="D355" i="21"/>
  <c r="D354" i="21"/>
  <c r="D353" i="21"/>
  <c r="D352" i="21"/>
  <c r="D351" i="21"/>
  <c r="D350" i="21"/>
  <c r="D349" i="21"/>
  <c r="D348" i="21"/>
  <c r="D347" i="21"/>
  <c r="D346" i="21"/>
  <c r="D345" i="21"/>
  <c r="D344" i="21"/>
  <c r="D343" i="21"/>
  <c r="D342" i="21"/>
  <c r="D341" i="21"/>
  <c r="D340" i="21"/>
  <c r="D339" i="21"/>
  <c r="D338" i="21"/>
  <c r="D337" i="21"/>
  <c r="D336" i="21"/>
  <c r="D335" i="21"/>
  <c r="D334" i="21"/>
  <c r="D333" i="21"/>
  <c r="D332" i="21"/>
  <c r="D331" i="21"/>
  <c r="D330" i="21"/>
  <c r="D329" i="21"/>
  <c r="D328" i="21"/>
  <c r="D327" i="21"/>
  <c r="D326" i="21"/>
  <c r="D325" i="21"/>
  <c r="D324" i="21"/>
  <c r="D323" i="21"/>
  <c r="D322" i="21"/>
  <c r="D321" i="21"/>
  <c r="D320" i="21"/>
  <c r="D319" i="21"/>
  <c r="D318" i="21"/>
  <c r="D317" i="21"/>
  <c r="D316" i="21"/>
  <c r="D315" i="21"/>
  <c r="D314" i="21"/>
  <c r="D313" i="21"/>
  <c r="D312" i="21"/>
  <c r="D311" i="21"/>
  <c r="D310" i="21"/>
  <c r="D309" i="21"/>
  <c r="D308" i="21"/>
  <c r="D307" i="21"/>
  <c r="D306" i="21"/>
  <c r="D305" i="21"/>
  <c r="D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4" i="21"/>
  <c r="D12" i="21"/>
  <c r="D10" i="21"/>
  <c r="D9" i="21"/>
  <c r="E390" i="22" l="1"/>
  <c r="E389" i="22"/>
  <c r="E388" i="22"/>
  <c r="E387" i="22"/>
  <c r="E386" i="22"/>
  <c r="E385" i="22"/>
  <c r="E384" i="22"/>
  <c r="E383" i="22"/>
  <c r="E382" i="22"/>
  <c r="E381" i="22"/>
  <c r="E380" i="22"/>
  <c r="E379" i="22"/>
  <c r="E378" i="22"/>
  <c r="E377" i="22"/>
  <c r="E376" i="22"/>
  <c r="E375" i="22"/>
  <c r="E374" i="22"/>
  <c r="E373" i="22"/>
  <c r="E372" i="22"/>
  <c r="E371" i="22"/>
  <c r="E370" i="22"/>
  <c r="E369" i="22"/>
  <c r="E368" i="22"/>
  <c r="E367" i="22"/>
  <c r="E366" i="22"/>
  <c r="E365" i="22"/>
  <c r="E364" i="22"/>
  <c r="E363" i="22"/>
  <c r="E361" i="22"/>
  <c r="E360" i="22"/>
  <c r="E359" i="22"/>
  <c r="E358" i="22"/>
  <c r="E357" i="22"/>
  <c r="E356" i="22"/>
  <c r="E355" i="22"/>
  <c r="E354" i="22"/>
  <c r="E353" i="22"/>
  <c r="E352" i="22"/>
  <c r="E351" i="22"/>
  <c r="E350" i="22"/>
  <c r="E349" i="22"/>
  <c r="E348" i="22"/>
  <c r="E347" i="22"/>
  <c r="E346" i="22"/>
  <c r="E345" i="22"/>
  <c r="E344" i="22"/>
  <c r="E343" i="22"/>
  <c r="E342" i="22"/>
  <c r="E341" i="22"/>
  <c r="E340" i="22"/>
  <c r="E339" i="22"/>
  <c r="E338" i="22"/>
  <c r="E337" i="22"/>
  <c r="E336" i="22"/>
  <c r="E335" i="22"/>
  <c r="E334" i="22"/>
  <c r="E333" i="22"/>
  <c r="E332" i="22"/>
  <c r="E331" i="22"/>
  <c r="E330" i="22"/>
  <c r="E329" i="22"/>
  <c r="E328" i="22"/>
  <c r="E327" i="22"/>
  <c r="E326" i="22"/>
  <c r="E325" i="22"/>
  <c r="E324" i="22"/>
  <c r="E323" i="22"/>
  <c r="E322" i="22"/>
  <c r="E321" i="22"/>
  <c r="E320" i="22"/>
  <c r="E319" i="22"/>
  <c r="E318" i="22"/>
  <c r="E317" i="22"/>
  <c r="E316" i="22"/>
  <c r="E315" i="22"/>
  <c r="E314" i="22"/>
  <c r="E313" i="22"/>
  <c r="E312" i="22"/>
  <c r="E311" i="22"/>
  <c r="E310" i="22"/>
  <c r="E309" i="22"/>
  <c r="E308" i="22"/>
  <c r="E307" i="22"/>
  <c r="E306" i="22"/>
  <c r="E305" i="22"/>
  <c r="E304" i="22"/>
  <c r="E303" i="22"/>
  <c r="E302" i="22"/>
  <c r="E301" i="22"/>
  <c r="E300" i="22"/>
  <c r="E299" i="22"/>
  <c r="E298" i="22"/>
  <c r="E297" i="22"/>
  <c r="E296" i="22"/>
  <c r="E295" i="22"/>
  <c r="E294" i="22"/>
  <c r="E293" i="22"/>
  <c r="E291" i="22"/>
  <c r="E290" i="22"/>
  <c r="E289" i="22"/>
  <c r="E288" i="22"/>
  <c r="E287" i="22"/>
  <c r="E286" i="22"/>
  <c r="E285" i="22"/>
  <c r="E284" i="22"/>
  <c r="E283" i="22"/>
  <c r="E282" i="22"/>
  <c r="E281" i="22"/>
  <c r="E280" i="22"/>
  <c r="E279" i="22"/>
  <c r="E278" i="22"/>
  <c r="E277" i="22"/>
  <c r="E276" i="22"/>
  <c r="E275" i="22"/>
  <c r="E274" i="22"/>
  <c r="E273" i="22"/>
  <c r="E272" i="22"/>
  <c r="E270" i="22"/>
  <c r="E269" i="22"/>
  <c r="E268" i="22"/>
  <c r="E267" i="22"/>
  <c r="E266" i="22"/>
  <c r="E265" i="22"/>
  <c r="E264" i="22"/>
  <c r="E263" i="22"/>
  <c r="E262" i="22"/>
  <c r="E261" i="22"/>
  <c r="E260" i="22"/>
  <c r="E259" i="22"/>
  <c r="E258" i="22"/>
  <c r="E257" i="22"/>
  <c r="E256" i="22"/>
  <c r="E255" i="22"/>
  <c r="E254" i="22"/>
  <c r="E253" i="22"/>
  <c r="E252" i="22"/>
  <c r="E251" i="22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D377" i="22"/>
  <c r="D376" i="22"/>
  <c r="D375" i="22"/>
  <c r="D374" i="22"/>
  <c r="D373" i="22"/>
  <c r="D372" i="22"/>
  <c r="D371" i="22"/>
  <c r="D370" i="22"/>
  <c r="D369" i="22"/>
  <c r="D367" i="22"/>
  <c r="D366" i="22"/>
  <c r="D365" i="22"/>
  <c r="D364" i="22"/>
  <c r="D363" i="22"/>
  <c r="D361" i="22"/>
  <c r="D360" i="22"/>
  <c r="D359" i="22"/>
  <c r="D358" i="22"/>
  <c r="D357" i="22"/>
  <c r="D356" i="22"/>
  <c r="D355" i="22"/>
  <c r="D354" i="22"/>
  <c r="D353" i="22"/>
  <c r="D351" i="22"/>
  <c r="D350" i="22"/>
  <c r="D349" i="22"/>
  <c r="D348" i="22"/>
  <c r="D347" i="22"/>
  <c r="D346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0" i="22"/>
  <c r="D329" i="22"/>
  <c r="D328" i="22"/>
  <c r="D327" i="22"/>
  <c r="D325" i="22"/>
  <c r="D324" i="22"/>
  <c r="D323" i="22"/>
  <c r="D322" i="22"/>
  <c r="D321" i="22"/>
  <c r="D320" i="22"/>
  <c r="D319" i="22"/>
  <c r="D318" i="22"/>
  <c r="D317" i="22"/>
  <c r="D316" i="22"/>
  <c r="D314" i="22"/>
  <c r="D313" i="22"/>
  <c r="D312" i="22"/>
  <c r="D311" i="22"/>
  <c r="D310" i="22"/>
  <c r="D309" i="22"/>
  <c r="D308" i="22"/>
  <c r="D307" i="22"/>
  <c r="D306" i="22"/>
  <c r="D304" i="22"/>
  <c r="D303" i="22"/>
  <c r="D302" i="22"/>
  <c r="D301" i="22"/>
  <c r="D300" i="22"/>
  <c r="D297" i="22"/>
  <c r="D295" i="22"/>
  <c r="D294" i="22"/>
  <c r="D293" i="22"/>
  <c r="D290" i="22"/>
  <c r="D288" i="22"/>
  <c r="D287" i="22"/>
  <c r="D285" i="22"/>
  <c r="D283" i="22"/>
  <c r="D281" i="22"/>
  <c r="D280" i="22"/>
  <c r="D279" i="22"/>
  <c r="D278" i="22"/>
  <c r="D277" i="22"/>
  <c r="D276" i="22"/>
  <c r="D275" i="22"/>
  <c r="D273" i="22"/>
  <c r="D272" i="22"/>
  <c r="D270" i="22"/>
  <c r="D269" i="22"/>
  <c r="D268" i="22"/>
  <c r="D267" i="22"/>
  <c r="D266" i="22"/>
  <c r="D265" i="22"/>
  <c r="D264" i="22"/>
  <c r="D263" i="22"/>
  <c r="D262" i="22"/>
  <c r="D260" i="22"/>
  <c r="D259" i="22"/>
  <c r="D258" i="22"/>
  <c r="D257" i="22"/>
  <c r="D255" i="22"/>
  <c r="D254" i="22"/>
  <c r="D252" i="22"/>
  <c r="D250" i="22"/>
  <c r="D249" i="22"/>
  <c r="D248" i="22"/>
  <c r="D246" i="22"/>
  <c r="D245" i="22"/>
  <c r="D244" i="22"/>
  <c r="D243" i="22"/>
  <c r="D242" i="22"/>
  <c r="D241" i="22"/>
  <c r="D240" i="22"/>
  <c r="D238" i="22"/>
  <c r="D237" i="22"/>
  <c r="D236" i="22"/>
  <c r="D235" i="22"/>
  <c r="D234" i="22"/>
  <c r="D233" i="22"/>
  <c r="D232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4" i="22"/>
  <c r="D213" i="22"/>
  <c r="D212" i="22"/>
  <c r="D211" i="22"/>
  <c r="D210" i="22"/>
  <c r="D209" i="22"/>
  <c r="D208" i="22"/>
  <c r="D206" i="22"/>
  <c r="D204" i="22"/>
  <c r="D202" i="22"/>
  <c r="D201" i="22"/>
  <c r="D200" i="22"/>
  <c r="D199" i="22"/>
  <c r="D198" i="22"/>
  <c r="D197" i="22"/>
  <c r="D196" i="22"/>
  <c r="D195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6" i="22"/>
  <c r="D165" i="22"/>
  <c r="D164" i="22"/>
  <c r="D163" i="22"/>
  <c r="D162" i="22"/>
  <c r="D161" i="22"/>
  <c r="D159" i="22"/>
  <c r="D158" i="22"/>
  <c r="D157" i="22"/>
  <c r="D156" i="22"/>
  <c r="D155" i="22"/>
  <c r="D154" i="22"/>
  <c r="D153" i="22"/>
  <c r="D150" i="22"/>
  <c r="D149" i="22"/>
  <c r="D148" i="22"/>
  <c r="D147" i="22"/>
  <c r="D146" i="22"/>
  <c r="D145" i="22"/>
  <c r="D144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6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0" i="22"/>
  <c r="D99" i="22"/>
  <c r="D98" i="22"/>
  <c r="D97" i="22"/>
  <c r="D96" i="22"/>
  <c r="D95" i="22"/>
  <c r="D94" i="22"/>
  <c r="D93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7" i="22"/>
  <c r="D56" i="22"/>
  <c r="D55" i="22"/>
  <c r="D54" i="22"/>
  <c r="D53" i="22"/>
  <c r="D52" i="22"/>
  <c r="D51" i="22"/>
  <c r="D50" i="22"/>
  <c r="D48" i="22"/>
  <c r="D47" i="22"/>
  <c r="D45" i="22"/>
  <c r="D44" i="22"/>
  <c r="D43" i="22"/>
  <c r="D40" i="22"/>
  <c r="D39" i="22"/>
  <c r="D37" i="22"/>
  <c r="D36" i="22"/>
  <c r="D35" i="22"/>
  <c r="D33" i="22"/>
  <c r="D32" i="22"/>
  <c r="D31" i="22"/>
  <c r="D29" i="22"/>
  <c r="D27" i="22"/>
  <c r="D26" i="22"/>
  <c r="D25" i="22"/>
  <c r="D24" i="22"/>
  <c r="D23" i="22"/>
  <c r="D22" i="22"/>
  <c r="D21" i="22"/>
  <c r="D20" i="22"/>
  <c r="D19" i="22"/>
  <c r="D16" i="22"/>
  <c r="D15" i="22"/>
  <c r="D14" i="22"/>
  <c r="D13" i="22"/>
  <c r="D12" i="22"/>
  <c r="D10" i="22"/>
  <c r="C371" i="21"/>
  <c r="C362" i="21"/>
  <c r="C360" i="21"/>
  <c r="C359" i="21"/>
  <c r="C358" i="21"/>
  <c r="C357" i="21"/>
  <c r="C356" i="21"/>
  <c r="C355" i="21"/>
  <c r="C354" i="21"/>
  <c r="C353" i="21"/>
  <c r="C352" i="21"/>
  <c r="C350" i="21"/>
  <c r="C349" i="21"/>
  <c r="C348" i="21"/>
  <c r="C347" i="21"/>
  <c r="C346" i="21"/>
  <c r="C345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29" i="21"/>
  <c r="C328" i="21"/>
  <c r="C327" i="21"/>
  <c r="C326" i="21"/>
  <c r="C324" i="21"/>
  <c r="C323" i="21"/>
  <c r="C322" i="21"/>
  <c r="C321" i="21"/>
  <c r="C320" i="21"/>
  <c r="C319" i="21"/>
  <c r="C318" i="21"/>
  <c r="C317" i="21"/>
  <c r="C316" i="21"/>
  <c r="C315" i="21"/>
  <c r="C313" i="21"/>
  <c r="C312" i="21"/>
  <c r="C311" i="21"/>
  <c r="C310" i="21"/>
  <c r="C309" i="21"/>
  <c r="C308" i="21"/>
  <c r="C307" i="21"/>
  <c r="C306" i="21"/>
  <c r="C305" i="21"/>
  <c r="C303" i="21"/>
  <c r="C302" i="21"/>
  <c r="C301" i="21"/>
  <c r="C300" i="21"/>
  <c r="C299" i="21"/>
  <c r="C296" i="21"/>
  <c r="C294" i="21"/>
  <c r="C293" i="21"/>
  <c r="C292" i="21"/>
  <c r="C289" i="21"/>
  <c r="C287" i="21"/>
  <c r="C286" i="21"/>
  <c r="C284" i="21"/>
  <c r="C282" i="21"/>
  <c r="C280" i="21"/>
  <c r="C279" i="21"/>
  <c r="C278" i="21"/>
  <c r="C277" i="21"/>
  <c r="C276" i="21"/>
  <c r="C275" i="21"/>
  <c r="C274" i="21"/>
  <c r="C272" i="21"/>
  <c r="C271" i="21"/>
  <c r="C269" i="21"/>
  <c r="C268" i="21"/>
  <c r="C267" i="21"/>
  <c r="C266" i="21"/>
  <c r="C265" i="21"/>
  <c r="C264" i="21"/>
  <c r="C263" i="21"/>
  <c r="C262" i="21"/>
  <c r="C261" i="21"/>
  <c r="C259" i="21"/>
  <c r="C258" i="21"/>
  <c r="C257" i="21"/>
  <c r="C256" i="21"/>
  <c r="C254" i="21"/>
  <c r="C253" i="21"/>
  <c r="C251" i="21"/>
  <c r="C249" i="21"/>
  <c r="C248" i="21"/>
  <c r="C247" i="21"/>
  <c r="C245" i="21"/>
  <c r="C244" i="21"/>
  <c r="C243" i="21"/>
  <c r="C242" i="21"/>
  <c r="C241" i="21"/>
  <c r="C240" i="21"/>
  <c r="C239" i="21"/>
  <c r="C237" i="21"/>
  <c r="C236" i="21"/>
  <c r="C235" i="21"/>
  <c r="C234" i="21"/>
  <c r="C233" i="21"/>
  <c r="C232" i="21"/>
  <c r="C231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3" i="21"/>
  <c r="C212" i="21"/>
  <c r="C211" i="21"/>
  <c r="C210" i="21"/>
  <c r="C209" i="21"/>
  <c r="C208" i="21"/>
  <c r="C207" i="21"/>
  <c r="C205" i="21"/>
  <c r="C203" i="21"/>
  <c r="C201" i="21"/>
  <c r="C200" i="21"/>
  <c r="C199" i="21"/>
  <c r="C198" i="21"/>
  <c r="C197" i="21"/>
  <c r="C196" i="21"/>
  <c r="C195" i="21"/>
  <c r="C194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5" i="21"/>
  <c r="C164" i="21"/>
  <c r="C163" i="21"/>
  <c r="C162" i="21"/>
  <c r="C161" i="21"/>
  <c r="C160" i="21"/>
  <c r="C158" i="21"/>
  <c r="C157" i="21"/>
  <c r="C156" i="21"/>
  <c r="C155" i="21"/>
  <c r="C154" i="21"/>
  <c r="C153" i="21"/>
  <c r="C152" i="21"/>
  <c r="C149" i="21"/>
  <c r="C148" i="21"/>
  <c r="C147" i="21"/>
  <c r="C146" i="21"/>
  <c r="C145" i="21"/>
  <c r="C144" i="21"/>
  <c r="C143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5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99" i="21"/>
  <c r="C98" i="21"/>
  <c r="C97" i="21"/>
  <c r="C96" i="21"/>
  <c r="C95" i="21"/>
  <c r="C94" i="21"/>
  <c r="C93" i="21"/>
  <c r="C92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6" i="21"/>
  <c r="C55" i="21"/>
  <c r="C54" i="21"/>
  <c r="C53" i="21"/>
  <c r="C52" i="21"/>
  <c r="C51" i="21"/>
  <c r="C50" i="21"/>
  <c r="C49" i="21"/>
  <c r="C47" i="21"/>
  <c r="C46" i="21"/>
  <c r="C44" i="21"/>
  <c r="C43" i="21"/>
  <c r="C42" i="21"/>
  <c r="C39" i="21"/>
  <c r="C38" i="21"/>
  <c r="C36" i="21"/>
  <c r="C35" i="21"/>
  <c r="C34" i="21"/>
  <c r="C32" i="21"/>
  <c r="C31" i="21"/>
  <c r="C30" i="21"/>
  <c r="C28" i="21"/>
  <c r="C26" i="21"/>
  <c r="C25" i="21"/>
  <c r="C24" i="21"/>
  <c r="C23" i="21"/>
  <c r="C22" i="21"/>
  <c r="C21" i="21"/>
  <c r="C20" i="21"/>
  <c r="C19" i="21"/>
  <c r="C18" i="21"/>
  <c r="C9" i="21"/>
  <c r="E343" i="2" l="1"/>
  <c r="D343" i="2"/>
  <c r="E335" i="2"/>
  <c r="D335" i="2"/>
  <c r="E334" i="2"/>
  <c r="D334" i="2"/>
  <c r="E333" i="2"/>
  <c r="D333" i="2"/>
  <c r="E332" i="2"/>
  <c r="D332" i="2"/>
  <c r="E327" i="2"/>
  <c r="D327" i="2"/>
  <c r="E323" i="2"/>
  <c r="D323" i="2"/>
  <c r="E309" i="2"/>
  <c r="D309" i="2"/>
  <c r="E308" i="2"/>
  <c r="D308" i="2"/>
  <c r="E306" i="2"/>
  <c r="D306" i="2"/>
  <c r="E305" i="2"/>
  <c r="D305" i="2"/>
  <c r="E303" i="2"/>
  <c r="D303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5" i="2"/>
  <c r="D285" i="2"/>
  <c r="E279" i="2"/>
  <c r="D279" i="2"/>
  <c r="E278" i="2"/>
  <c r="D278" i="2"/>
  <c r="E277" i="2"/>
  <c r="D277" i="2"/>
  <c r="E276" i="2"/>
  <c r="D276" i="2"/>
  <c r="E274" i="2"/>
  <c r="D274" i="2"/>
  <c r="E273" i="2"/>
  <c r="D273" i="2"/>
  <c r="E272" i="2"/>
  <c r="D272" i="2"/>
  <c r="E271" i="2"/>
  <c r="D271" i="2"/>
  <c r="E268" i="2"/>
  <c r="D268" i="2"/>
  <c r="E267" i="2"/>
  <c r="D267" i="2"/>
  <c r="E266" i="2"/>
  <c r="D266" i="2"/>
  <c r="E257" i="2"/>
  <c r="D257" i="2"/>
  <c r="E256" i="2"/>
  <c r="D256" i="2"/>
  <c r="E255" i="2"/>
  <c r="D255" i="2"/>
  <c r="E248" i="2"/>
  <c r="D248" i="2"/>
  <c r="E241" i="2"/>
  <c r="D241" i="2"/>
  <c r="E239" i="2"/>
  <c r="D239" i="2"/>
  <c r="E238" i="2"/>
  <c r="D238" i="2"/>
  <c r="E237" i="2"/>
  <c r="D237" i="2"/>
  <c r="E234" i="2"/>
  <c r="D234" i="2"/>
  <c r="E233" i="2"/>
  <c r="D233" i="2"/>
  <c r="E232" i="2"/>
  <c r="D232" i="2"/>
  <c r="E231" i="2"/>
  <c r="D231" i="2"/>
  <c r="E214" i="2"/>
  <c r="D214" i="2"/>
  <c r="E206" i="2"/>
  <c r="D206" i="2"/>
  <c r="E203" i="2"/>
  <c r="D203" i="2"/>
  <c r="E202" i="2"/>
  <c r="D202" i="2"/>
  <c r="E201" i="2"/>
  <c r="D201" i="2"/>
  <c r="E196" i="2"/>
  <c r="D196" i="2"/>
  <c r="E195" i="2"/>
  <c r="D195" i="2"/>
  <c r="E194" i="2"/>
  <c r="D194" i="2"/>
  <c r="E193" i="2"/>
  <c r="D193" i="2"/>
  <c r="E169" i="2"/>
  <c r="D169" i="2"/>
  <c r="E167" i="2"/>
  <c r="D167" i="2"/>
  <c r="E166" i="2"/>
  <c r="D166" i="2"/>
  <c r="E153" i="2"/>
  <c r="D153" i="2"/>
  <c r="E152" i="2"/>
  <c r="D152" i="2"/>
  <c r="E151" i="2"/>
  <c r="D151" i="2"/>
  <c r="E149" i="2"/>
  <c r="D149" i="2"/>
  <c r="E144" i="2"/>
  <c r="D144" i="2"/>
  <c r="E143" i="2"/>
  <c r="D143" i="2"/>
  <c r="E138" i="2"/>
  <c r="D138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5" i="2"/>
  <c r="D125" i="2"/>
  <c r="E121" i="2"/>
  <c r="D121" i="2"/>
  <c r="E117" i="2"/>
  <c r="D117" i="2"/>
  <c r="E116" i="2"/>
  <c r="D116" i="2"/>
  <c r="E114" i="2"/>
  <c r="D114" i="2"/>
  <c r="E113" i="2"/>
  <c r="D113" i="2"/>
  <c r="E111" i="2"/>
  <c r="D111" i="2"/>
  <c r="E110" i="2"/>
  <c r="D110" i="2"/>
  <c r="E109" i="2"/>
  <c r="D109" i="2"/>
  <c r="E108" i="2"/>
  <c r="D108" i="2"/>
  <c r="E102" i="2"/>
  <c r="D102" i="2"/>
  <c r="E99" i="2"/>
  <c r="D99" i="2"/>
  <c r="E93" i="2"/>
  <c r="D93" i="2"/>
  <c r="E87" i="2"/>
  <c r="D87" i="2"/>
  <c r="E86" i="2"/>
  <c r="D86" i="2"/>
  <c r="E85" i="2"/>
  <c r="D85" i="2"/>
  <c r="E81" i="2"/>
  <c r="D81" i="2"/>
  <c r="E78" i="2"/>
  <c r="D78" i="2"/>
  <c r="E77" i="2"/>
  <c r="D77" i="2"/>
  <c r="E76" i="2"/>
  <c r="D76" i="2"/>
  <c r="E75" i="2"/>
  <c r="D75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2" i="2"/>
  <c r="D32" i="2"/>
  <c r="E31" i="2"/>
  <c r="D31" i="2"/>
  <c r="E30" i="2"/>
  <c r="D30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3" i="2"/>
  <c r="D13" i="2"/>
  <c r="E12" i="2"/>
  <c r="D12" i="2"/>
  <c r="J48" i="6"/>
  <c r="D34" i="1"/>
  <c r="E34" i="1"/>
  <c r="D35" i="1"/>
  <c r="E35" i="1"/>
  <c r="E33" i="1"/>
  <c r="D33" i="1"/>
  <c r="J149" i="6"/>
  <c r="N149" i="6" s="1"/>
  <c r="D149" i="6"/>
  <c r="J148" i="6"/>
  <c r="D148" i="6"/>
  <c r="J147" i="6"/>
  <c r="D147" i="6"/>
  <c r="J146" i="6"/>
  <c r="D146" i="6"/>
  <c r="J145" i="6"/>
  <c r="D145" i="6"/>
  <c r="J144" i="6"/>
  <c r="D144" i="6"/>
  <c r="J143" i="6"/>
  <c r="D143" i="6"/>
  <c r="J142" i="6"/>
  <c r="N142" i="6" s="1"/>
  <c r="D142" i="6"/>
  <c r="J141" i="6"/>
  <c r="D141" i="6"/>
  <c r="J140" i="6"/>
  <c r="D140" i="6"/>
  <c r="J139" i="6"/>
  <c r="N139" i="6" s="1"/>
  <c r="D139" i="6"/>
  <c r="J137" i="6"/>
  <c r="D137" i="6"/>
  <c r="J136" i="6"/>
  <c r="D136" i="6"/>
  <c r="J135" i="6"/>
  <c r="D135" i="6"/>
  <c r="J134" i="6"/>
  <c r="D134" i="6"/>
  <c r="J133" i="6"/>
  <c r="N133" i="6" s="1"/>
  <c r="D133" i="6"/>
  <c r="J132" i="6"/>
  <c r="D132" i="6"/>
  <c r="J131" i="6"/>
  <c r="D131" i="6"/>
  <c r="G116" i="6"/>
  <c r="G115" i="6"/>
  <c r="G114" i="6"/>
  <c r="G113" i="6"/>
  <c r="D116" i="6"/>
  <c r="I116" i="6" s="1"/>
  <c r="D115" i="6"/>
  <c r="I115" i="6" s="1"/>
  <c r="D114" i="6"/>
  <c r="I114" i="6" s="1"/>
  <c r="D113" i="6"/>
  <c r="I113" i="6" s="1"/>
  <c r="J114" i="6" l="1"/>
  <c r="O114" i="6" s="1"/>
  <c r="N131" i="6"/>
  <c r="D298" i="22"/>
  <c r="C297" i="21"/>
  <c r="D194" i="22"/>
  <c r="C193" i="21"/>
  <c r="N136" i="6"/>
  <c r="D247" i="22"/>
  <c r="C246" i="21"/>
  <c r="N145" i="6"/>
  <c r="D125" i="22"/>
  <c r="C124" i="21"/>
  <c r="N135" i="6"/>
  <c r="D253" i="22"/>
  <c r="C252" i="21"/>
  <c r="N140" i="6"/>
  <c r="D92" i="22"/>
  <c r="C91" i="21"/>
  <c r="N144" i="6"/>
  <c r="D296" i="22"/>
  <c r="C295" i="21"/>
  <c r="N148" i="6"/>
  <c r="D291" i="22"/>
  <c r="C290" i="21"/>
  <c r="N141" i="6"/>
  <c r="D352" i="22"/>
  <c r="C351" i="21"/>
  <c r="D141" i="22"/>
  <c r="C140" i="21"/>
  <c r="N132" i="6"/>
  <c r="D160" i="22"/>
  <c r="C159" i="21"/>
  <c r="N137" i="6"/>
  <c r="D58" i="22"/>
  <c r="C57" i="21"/>
  <c r="N146" i="6"/>
  <c r="C202" i="21"/>
  <c r="D203" i="22"/>
  <c r="D256" i="22"/>
  <c r="C255" i="21"/>
  <c r="D45" i="21"/>
  <c r="E46" i="22"/>
  <c r="C141" i="21"/>
  <c r="D142" i="22"/>
  <c r="N134" i="6"/>
  <c r="D345" i="22"/>
  <c r="C344" i="21"/>
  <c r="N143" i="6"/>
  <c r="C250" i="21"/>
  <c r="D251" i="22"/>
  <c r="N147" i="6"/>
  <c r="D207" i="22"/>
  <c r="C206" i="21"/>
  <c r="C29" i="21"/>
  <c r="D30" i="22"/>
  <c r="D143" i="22"/>
  <c r="C142" i="21"/>
  <c r="J113" i="6"/>
  <c r="J115" i="6"/>
  <c r="O115" i="6" s="1"/>
  <c r="J116" i="6"/>
  <c r="O116" i="6" s="1"/>
  <c r="N114" i="6"/>
  <c r="N113" i="6" l="1"/>
  <c r="O113" i="6"/>
  <c r="N116" i="6"/>
  <c r="N115" i="6"/>
  <c r="F23" i="1" l="1"/>
  <c r="E25" i="1"/>
  <c r="D25" i="1"/>
  <c r="E24" i="1"/>
  <c r="D24" i="1"/>
  <c r="E23" i="1"/>
  <c r="D23" i="1"/>
  <c r="G23" i="2"/>
  <c r="E26" i="1" l="1"/>
  <c r="D26" i="1"/>
  <c r="D296" i="5" l="1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49" i="1"/>
  <c r="D249" i="1"/>
  <c r="E248" i="1"/>
  <c r="D248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3" i="1"/>
  <c r="D213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5" i="1"/>
  <c r="D185" i="1"/>
  <c r="E183" i="1"/>
  <c r="D183" i="1"/>
  <c r="E182" i="1"/>
  <c r="D182" i="1"/>
  <c r="E179" i="1"/>
  <c r="D179" i="1"/>
  <c r="E178" i="1"/>
  <c r="D178" i="1"/>
  <c r="E177" i="1"/>
  <c r="D177" i="1"/>
  <c r="E176" i="1"/>
  <c r="D176" i="1"/>
  <c r="E173" i="1"/>
  <c r="D173" i="1"/>
  <c r="E172" i="1"/>
  <c r="D172" i="1"/>
  <c r="E171" i="1"/>
  <c r="D171" i="1"/>
  <c r="E170" i="1"/>
  <c r="D170" i="1"/>
  <c r="E169" i="1"/>
  <c r="D169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3" i="1"/>
  <c r="D143" i="1"/>
  <c r="E142" i="1"/>
  <c r="D142" i="1"/>
  <c r="E141" i="1"/>
  <c r="D141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0" i="1"/>
  <c r="D90" i="1"/>
  <c r="E89" i="1"/>
  <c r="D89" i="1"/>
  <c r="E87" i="1"/>
  <c r="D87" i="1"/>
  <c r="E85" i="1"/>
  <c r="D85" i="1"/>
  <c r="E84" i="1"/>
  <c r="D84" i="1"/>
  <c r="E83" i="1"/>
  <c r="D83" i="1"/>
  <c r="E82" i="1"/>
  <c r="D82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0" i="1"/>
  <c r="D70" i="1"/>
  <c r="E69" i="1"/>
  <c r="D69" i="1"/>
  <c r="E68" i="1"/>
  <c r="D68" i="1"/>
  <c r="E67" i="1"/>
  <c r="D67" i="1"/>
  <c r="E65" i="1"/>
  <c r="D65" i="1"/>
  <c r="E64" i="1"/>
  <c r="D64" i="1"/>
  <c r="E63" i="1"/>
  <c r="D63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31" i="1"/>
  <c r="D31" i="1"/>
  <c r="E30" i="1"/>
  <c r="D30" i="1"/>
  <c r="E29" i="1"/>
  <c r="D29" i="1"/>
  <c r="E28" i="1"/>
  <c r="D28" i="1"/>
  <c r="E27" i="1"/>
  <c r="D27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3" i="1"/>
  <c r="D13" i="1"/>
  <c r="E12" i="1"/>
  <c r="D12" i="1"/>
  <c r="G12" i="1" l="1"/>
  <c r="G13" i="1" s="1"/>
  <c r="G14" i="1" l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D130" i="6"/>
  <c r="D129" i="6"/>
  <c r="D128" i="6"/>
  <c r="D127" i="6"/>
  <c r="D126" i="6"/>
  <c r="D125" i="6"/>
  <c r="D124" i="6"/>
  <c r="D123" i="6"/>
  <c r="D122" i="6"/>
  <c r="D121" i="6"/>
  <c r="D112" i="6"/>
  <c r="D111" i="6"/>
  <c r="D110" i="6"/>
  <c r="D109" i="6"/>
  <c r="G249" i="1" l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I109" i="6"/>
  <c r="I110" i="6"/>
  <c r="I111" i="6"/>
  <c r="I112" i="6"/>
  <c r="J130" i="6"/>
  <c r="J129" i="6"/>
  <c r="J128" i="6"/>
  <c r="J127" i="6"/>
  <c r="J126" i="6"/>
  <c r="J125" i="6"/>
  <c r="N125" i="6" s="1"/>
  <c r="J124" i="6"/>
  <c r="J123" i="6"/>
  <c r="J122" i="6"/>
  <c r="J121" i="6"/>
  <c r="G112" i="6"/>
  <c r="G111" i="6"/>
  <c r="G110" i="6"/>
  <c r="G109" i="6"/>
  <c r="G264" i="1" l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N130" i="6"/>
  <c r="D286" i="22"/>
  <c r="C285" i="21"/>
  <c r="D101" i="22"/>
  <c r="C100" i="21"/>
  <c r="N122" i="6"/>
  <c r="D239" i="22"/>
  <c r="C238" i="21"/>
  <c r="N128" i="6"/>
  <c r="D151" i="22"/>
  <c r="C150" i="21"/>
  <c r="N121" i="6"/>
  <c r="D152" i="22"/>
  <c r="C151" i="21"/>
  <c r="N123" i="6"/>
  <c r="D282" i="22"/>
  <c r="C281" i="21"/>
  <c r="N129" i="6"/>
  <c r="D231" i="22"/>
  <c r="C230" i="21"/>
  <c r="N124" i="6"/>
  <c r="D331" i="22"/>
  <c r="C330" i="21"/>
  <c r="N126" i="6"/>
  <c r="D289" i="22"/>
  <c r="C288" i="21"/>
  <c r="D326" i="22"/>
  <c r="C325" i="21"/>
  <c r="N127" i="6"/>
  <c r="D127" i="22"/>
  <c r="C126" i="21"/>
  <c r="J112" i="6"/>
  <c r="O112" i="6" s="1"/>
  <c r="J111" i="6"/>
  <c r="O111" i="6" s="1"/>
  <c r="J110" i="6"/>
  <c r="O110" i="6" s="1"/>
  <c r="J109" i="6"/>
  <c r="O109" i="6" s="1"/>
  <c r="D66" i="6"/>
  <c r="J66" i="6"/>
  <c r="D67" i="6"/>
  <c r="J67" i="6"/>
  <c r="N67" i="6" s="1"/>
  <c r="G276" i="1" l="1"/>
  <c r="N66" i="6"/>
  <c r="D215" i="22"/>
  <c r="C214" i="21"/>
  <c r="N109" i="6"/>
  <c r="D18" i="22"/>
  <c r="C17" i="21"/>
  <c r="N110" i="6"/>
  <c r="D49" i="22"/>
  <c r="C48" i="21"/>
  <c r="N111" i="6"/>
  <c r="D42" i="22"/>
  <c r="C41" i="21"/>
  <c r="N112" i="6"/>
  <c r="C45" i="21"/>
  <c r="D46" i="22"/>
  <c r="O67" i="6"/>
  <c r="O66" i="6"/>
  <c r="G277" i="1" l="1"/>
  <c r="G278" i="1" s="1"/>
  <c r="G279" i="1" s="1"/>
  <c r="G280" i="1" s="1"/>
  <c r="G281" i="1" s="1"/>
  <c r="J56" i="6"/>
  <c r="G282" i="1" l="1"/>
  <c r="G283" i="1" s="1"/>
  <c r="G284" i="1" s="1"/>
  <c r="G285" i="1" s="1"/>
  <c r="G286" i="1" s="1"/>
  <c r="G287" i="1" s="1"/>
  <c r="G288" i="1" s="1"/>
  <c r="G289" i="1" s="1"/>
  <c r="A383" i="13"/>
  <c r="A384" i="13" s="1"/>
  <c r="A385" i="13" s="1"/>
  <c r="A386" i="13" s="1"/>
  <c r="A387" i="13" s="1"/>
  <c r="A388" i="13" s="1"/>
  <c r="A389" i="13" s="1"/>
  <c r="A390" i="13" s="1"/>
  <c r="A391" i="13" s="1"/>
  <c r="A392" i="13" s="1"/>
  <c r="G290" i="1" l="1"/>
  <c r="G291" i="1" s="1"/>
  <c r="G292" i="1" s="1"/>
  <c r="G293" i="1" s="1"/>
  <c r="G294" i="1" s="1"/>
  <c r="G295" i="1" s="1"/>
  <c r="G296" i="1" s="1"/>
  <c r="J10" i="5"/>
  <c r="J15" i="5"/>
  <c r="G297" i="1" l="1"/>
  <c r="G298" i="1" s="1"/>
  <c r="G299" i="1" s="1"/>
  <c r="G300" i="1" s="1"/>
  <c r="G603" i="29"/>
  <c r="G602" i="29"/>
  <c r="G601" i="29"/>
  <c r="G600" i="29"/>
  <c r="G599" i="29"/>
  <c r="G598" i="29"/>
  <c r="G596" i="29"/>
  <c r="G594" i="29"/>
  <c r="G593" i="29"/>
  <c r="G592" i="29"/>
  <c r="G591" i="29"/>
  <c r="G590" i="29"/>
  <c r="G589" i="29"/>
  <c r="G588" i="29"/>
  <c r="G587" i="29"/>
  <c r="G586" i="29"/>
  <c r="G585" i="29"/>
  <c r="G584" i="29"/>
  <c r="G583" i="29"/>
  <c r="G582" i="29"/>
  <c r="G581" i="29"/>
  <c r="G580" i="29"/>
  <c r="G579" i="29"/>
  <c r="G578" i="29"/>
  <c r="G577" i="29"/>
  <c r="G576" i="29"/>
  <c r="G575" i="29"/>
  <c r="G574" i="29"/>
  <c r="G573" i="29"/>
  <c r="G572" i="29"/>
  <c r="G571" i="29"/>
  <c r="G570" i="29"/>
  <c r="G569" i="29"/>
  <c r="G568" i="29"/>
  <c r="G567" i="29"/>
  <c r="G566" i="29"/>
  <c r="G565" i="29"/>
  <c r="G564" i="29"/>
  <c r="G563" i="29"/>
  <c r="G562" i="29"/>
  <c r="G561" i="29"/>
  <c r="G560" i="29"/>
  <c r="G559" i="29"/>
  <c r="G558" i="29"/>
  <c r="G557" i="29"/>
  <c r="G556" i="29"/>
  <c r="G555" i="29"/>
  <c r="G554" i="29"/>
  <c r="G553" i="29"/>
  <c r="G552" i="29"/>
  <c r="G551" i="29"/>
  <c r="G550" i="29"/>
  <c r="G549" i="29"/>
  <c r="G548" i="29"/>
  <c r="G547" i="29"/>
  <c r="G546" i="29"/>
  <c r="G545" i="29"/>
  <c r="G544" i="29"/>
  <c r="G543" i="29"/>
  <c r="G541" i="29"/>
  <c r="G539" i="29"/>
  <c r="G537" i="29"/>
  <c r="G536" i="29"/>
  <c r="G535" i="29"/>
  <c r="G534" i="29"/>
  <c r="G533" i="29"/>
  <c r="G532" i="29"/>
  <c r="G531" i="29"/>
  <c r="G530" i="29"/>
  <c r="G529" i="29"/>
  <c r="D529" i="29"/>
  <c r="D530" i="29" s="1"/>
  <c r="D531" i="29" s="1"/>
  <c r="D532" i="29" s="1"/>
  <c r="D533" i="29" s="1"/>
  <c r="D534" i="29" s="1"/>
  <c r="D535" i="29" s="1"/>
  <c r="D536" i="29" s="1"/>
  <c r="D537" i="29" s="1"/>
  <c r="D538" i="29" s="1"/>
  <c r="D539" i="29" s="1"/>
  <c r="D540" i="29" s="1"/>
  <c r="D541" i="29" s="1"/>
  <c r="D542" i="29" s="1"/>
  <c r="D543" i="29" s="1"/>
  <c r="D544" i="29" s="1"/>
  <c r="D545" i="29" s="1"/>
  <c r="D546" i="29" s="1"/>
  <c r="D547" i="29" s="1"/>
  <c r="D548" i="29" s="1"/>
  <c r="D549" i="29" s="1"/>
  <c r="D550" i="29" s="1"/>
  <c r="D551" i="29" s="1"/>
  <c r="D552" i="29" s="1"/>
  <c r="D553" i="29" s="1"/>
  <c r="D554" i="29" s="1"/>
  <c r="D555" i="29" s="1"/>
  <c r="D556" i="29" s="1"/>
  <c r="D557" i="29" s="1"/>
  <c r="D558" i="29" s="1"/>
  <c r="D559" i="29" s="1"/>
  <c r="D560" i="29" s="1"/>
  <c r="D561" i="29" s="1"/>
  <c r="D562" i="29" s="1"/>
  <c r="D563" i="29" s="1"/>
  <c r="D564" i="29" s="1"/>
  <c r="D565" i="29" s="1"/>
  <c r="D566" i="29" s="1"/>
  <c r="D567" i="29" s="1"/>
  <c r="D568" i="29" s="1"/>
  <c r="D569" i="29" s="1"/>
  <c r="D570" i="29" s="1"/>
  <c r="D571" i="29" s="1"/>
  <c r="D572" i="29" s="1"/>
  <c r="D573" i="29" s="1"/>
  <c r="D574" i="29" s="1"/>
  <c r="D575" i="29" s="1"/>
  <c r="D576" i="29" s="1"/>
  <c r="D577" i="29" s="1"/>
  <c r="D578" i="29" s="1"/>
  <c r="D579" i="29" s="1"/>
  <c r="D580" i="29" s="1"/>
  <c r="D581" i="29" s="1"/>
  <c r="D582" i="29" s="1"/>
  <c r="D583" i="29" s="1"/>
  <c r="D584" i="29" s="1"/>
  <c r="D585" i="29" s="1"/>
  <c r="D586" i="29" s="1"/>
  <c r="D587" i="29" s="1"/>
  <c r="D588" i="29" s="1"/>
  <c r="D589" i="29" s="1"/>
  <c r="D590" i="29" s="1"/>
  <c r="D591" i="29" s="1"/>
  <c r="D592" i="29" s="1"/>
  <c r="D593" i="29" s="1"/>
  <c r="D594" i="29" s="1"/>
  <c r="D595" i="29" s="1"/>
  <c r="D596" i="29" s="1"/>
  <c r="D597" i="29" s="1"/>
  <c r="D598" i="29" s="1"/>
  <c r="D599" i="29" s="1"/>
  <c r="D600" i="29" s="1"/>
  <c r="D601" i="29" s="1"/>
  <c r="D602" i="29" s="1"/>
  <c r="D603" i="29" s="1"/>
  <c r="G528" i="29"/>
  <c r="J489" i="29"/>
  <c r="J490" i="29" s="1"/>
  <c r="J491" i="29" s="1"/>
  <c r="J492" i="29" s="1"/>
  <c r="J493" i="29" s="1"/>
  <c r="J494" i="29" s="1"/>
  <c r="J495" i="29" s="1"/>
  <c r="J496" i="29" s="1"/>
  <c r="J497" i="29" s="1"/>
  <c r="J498" i="29" s="1"/>
  <c r="J499" i="29" s="1"/>
  <c r="J500" i="29" s="1"/>
  <c r="J501" i="29" s="1"/>
  <c r="J502" i="29" s="1"/>
  <c r="J503" i="29" s="1"/>
  <c r="J504" i="29" s="1"/>
  <c r="J505" i="29" s="1"/>
  <c r="J506" i="29" s="1"/>
  <c r="J507" i="29" s="1"/>
  <c r="J508" i="29" s="1"/>
  <c r="J509" i="29" s="1"/>
  <c r="J510" i="29" s="1"/>
  <c r="J511" i="29" s="1"/>
  <c r="J512" i="29" s="1"/>
  <c r="D489" i="29"/>
  <c r="D490" i="29" s="1"/>
  <c r="D491" i="29" s="1"/>
  <c r="D492" i="29" s="1"/>
  <c r="D493" i="29" s="1"/>
  <c r="D494" i="29" s="1"/>
  <c r="D495" i="29" s="1"/>
  <c r="D496" i="29" s="1"/>
  <c r="D497" i="29" s="1"/>
  <c r="D498" i="29" s="1"/>
  <c r="D499" i="29" s="1"/>
  <c r="D500" i="29" s="1"/>
  <c r="D501" i="29" s="1"/>
  <c r="D502" i="29" s="1"/>
  <c r="D503" i="29" s="1"/>
  <c r="D504" i="29" s="1"/>
  <c r="D505" i="29" s="1"/>
  <c r="D506" i="29" s="1"/>
  <c r="D507" i="29" s="1"/>
  <c r="D508" i="29" s="1"/>
  <c r="D509" i="29" s="1"/>
  <c r="D510" i="29" s="1"/>
  <c r="D511" i="29" s="1"/>
  <c r="D512" i="29" s="1"/>
  <c r="D513" i="29" s="1"/>
  <c r="D514" i="29" s="1"/>
  <c r="D515" i="29" s="1"/>
  <c r="D516" i="29" s="1"/>
  <c r="D517" i="29" s="1"/>
  <c r="D518" i="29" s="1"/>
  <c r="D519" i="29" s="1"/>
  <c r="D423" i="29"/>
  <c r="D424" i="29" s="1"/>
  <c r="D425" i="29" s="1"/>
  <c r="D426" i="29" s="1"/>
  <c r="D427" i="29" s="1"/>
  <c r="D428" i="29" s="1"/>
  <c r="D429" i="29" s="1"/>
  <c r="D430" i="29" s="1"/>
  <c r="D431" i="29" s="1"/>
  <c r="D432" i="29" s="1"/>
  <c r="D433" i="29" s="1"/>
  <c r="D434" i="29" s="1"/>
  <c r="D435" i="29" s="1"/>
  <c r="D436" i="29" s="1"/>
  <c r="D437" i="29" s="1"/>
  <c r="D438" i="29" s="1"/>
  <c r="D439" i="29" s="1"/>
  <c r="D440" i="29" s="1"/>
  <c r="D441" i="29" s="1"/>
  <c r="D442" i="29" s="1"/>
  <c r="D443" i="29" s="1"/>
  <c r="D444" i="29" s="1"/>
  <c r="D445" i="29" s="1"/>
  <c r="D446" i="29" s="1"/>
  <c r="D447" i="29" s="1"/>
  <c r="D448" i="29" s="1"/>
  <c r="D449" i="29" s="1"/>
  <c r="D450" i="29" s="1"/>
  <c r="D451" i="29" s="1"/>
  <c r="D452" i="29" s="1"/>
  <c r="J422" i="29"/>
  <c r="J423" i="29" s="1"/>
  <c r="J424" i="29" s="1"/>
  <c r="J425" i="29" s="1"/>
  <c r="J426" i="29" s="1"/>
  <c r="J427" i="29" s="1"/>
  <c r="J428" i="29" s="1"/>
  <c r="J429" i="29" s="1"/>
  <c r="J430" i="29" s="1"/>
  <c r="J431" i="29" s="1"/>
  <c r="J432" i="29" s="1"/>
  <c r="J433" i="29" s="1"/>
  <c r="J434" i="29" s="1"/>
  <c r="J435" i="29" s="1"/>
  <c r="J436" i="29" s="1"/>
  <c r="J437" i="29" s="1"/>
  <c r="J438" i="29" s="1"/>
  <c r="J439" i="29" s="1"/>
  <c r="J440" i="29" s="1"/>
  <c r="J441" i="29" s="1"/>
  <c r="J442" i="29" s="1"/>
  <c r="J443" i="29" s="1"/>
  <c r="J444" i="29" s="1"/>
  <c r="J445" i="29" s="1"/>
  <c r="J446" i="29" s="1"/>
  <c r="J447" i="29" s="1"/>
  <c r="J448" i="29" s="1"/>
  <c r="J449" i="29" s="1"/>
  <c r="J450" i="29" s="1"/>
  <c r="J451" i="29" s="1"/>
  <c r="J452" i="29" s="1"/>
  <c r="J453" i="29" s="1"/>
  <c r="J454" i="29" s="1"/>
  <c r="J455" i="29" s="1"/>
  <c r="J456" i="29" s="1"/>
  <c r="J457" i="29" s="1"/>
  <c r="J458" i="29" s="1"/>
  <c r="J459" i="29" s="1"/>
  <c r="J460" i="29" s="1"/>
  <c r="J461" i="29" s="1"/>
  <c r="J462" i="29" s="1"/>
  <c r="J463" i="29" s="1"/>
  <c r="J464" i="29" s="1"/>
  <c r="J465" i="29" s="1"/>
  <c r="J466" i="29" s="1"/>
  <c r="J467" i="29" s="1"/>
  <c r="J468" i="29" s="1"/>
  <c r="J469" i="29" s="1"/>
  <c r="J470" i="29" s="1"/>
  <c r="J471" i="29" s="1"/>
  <c r="D422" i="29"/>
  <c r="J421" i="29"/>
  <c r="D421" i="29"/>
  <c r="A382" i="29"/>
  <c r="A383" i="29" s="1"/>
  <c r="A384" i="29" s="1"/>
  <c r="A385" i="29" s="1"/>
  <c r="A386" i="29" s="1"/>
  <c r="A387" i="29" s="1"/>
  <c r="A388" i="29" s="1"/>
  <c r="A389" i="29" s="1"/>
  <c r="A390" i="29" s="1"/>
  <c r="A391" i="29" s="1"/>
  <c r="G301" i="1" l="1"/>
  <c r="G302" i="1" s="1"/>
  <c r="G303" i="1" s="1"/>
  <c r="G304" i="1" s="1"/>
  <c r="O91" i="6"/>
  <c r="D91" i="6"/>
  <c r="J90" i="6"/>
  <c r="O90" i="6" s="1"/>
  <c r="D90" i="6"/>
  <c r="J89" i="6"/>
  <c r="O89" i="6" s="1"/>
  <c r="D89" i="6"/>
  <c r="G305" i="1" l="1"/>
  <c r="G306" i="1" s="1"/>
  <c r="G307" i="1" s="1"/>
  <c r="N91" i="6"/>
  <c r="N89" i="6"/>
  <c r="N90" i="6"/>
  <c r="G308" i="1" l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D21" i="11"/>
  <c r="E21" i="11" s="1"/>
  <c r="C21" i="11"/>
  <c r="F105" i="6" l="1"/>
  <c r="J103" i="6"/>
  <c r="J102" i="6"/>
  <c r="J101" i="6"/>
  <c r="D368" i="22" s="1"/>
  <c r="N101" i="6" l="1"/>
  <c r="D28" i="22"/>
  <c r="C27" i="21"/>
  <c r="N103" i="6"/>
  <c r="D205" i="22"/>
  <c r="C204" i="21"/>
  <c r="D17" i="22"/>
  <c r="C16" i="21"/>
  <c r="N102" i="6"/>
  <c r="D38" i="22"/>
  <c r="C37" i="21"/>
  <c r="J105" i="6"/>
  <c r="N105" i="6" l="1"/>
  <c r="M93" i="6"/>
  <c r="L93" i="6"/>
  <c r="I93" i="6"/>
  <c r="H93" i="6"/>
  <c r="G93" i="6"/>
  <c r="F93" i="6"/>
  <c r="M80" i="6"/>
  <c r="L80" i="6"/>
  <c r="I80" i="6"/>
  <c r="H80" i="6"/>
  <c r="G80" i="6"/>
  <c r="F80" i="6"/>
  <c r="J88" i="6" l="1"/>
  <c r="D88" i="6"/>
  <c r="J87" i="6"/>
  <c r="D87" i="6"/>
  <c r="J86" i="6"/>
  <c r="D86" i="6"/>
  <c r="J78" i="6"/>
  <c r="D78" i="6"/>
  <c r="J77" i="6"/>
  <c r="O77" i="6" s="1"/>
  <c r="D77" i="6"/>
  <c r="J76" i="6"/>
  <c r="O76" i="6" s="1"/>
  <c r="D76" i="6"/>
  <c r="J75" i="6"/>
  <c r="O75" i="6" s="1"/>
  <c r="D75" i="6"/>
  <c r="O78" i="6" l="1"/>
  <c r="D305" i="22"/>
  <c r="C304" i="21"/>
  <c r="O86" i="6"/>
  <c r="D128" i="22"/>
  <c r="C127" i="21"/>
  <c r="O87" i="6"/>
  <c r="D274" i="22"/>
  <c r="C273" i="21"/>
  <c r="O88" i="6"/>
  <c r="D315" i="22"/>
  <c r="C314" i="21"/>
  <c r="N86" i="6"/>
  <c r="N87" i="6"/>
  <c r="N88" i="6"/>
  <c r="N76" i="6"/>
  <c r="N78" i="6"/>
  <c r="N75" i="6"/>
  <c r="N77" i="6"/>
  <c r="H12" i="2" l="1"/>
  <c r="J85" i="6"/>
  <c r="D85" i="6"/>
  <c r="O80" i="6"/>
  <c r="G300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C10" i="21" l="1"/>
  <c r="D11" i="22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O85" i="6"/>
  <c r="J93" i="6"/>
  <c r="J80" i="6"/>
  <c r="N85" i="6"/>
  <c r="H393" i="2" l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N93" i="6"/>
  <c r="N80" i="6"/>
  <c r="O93" i="6"/>
  <c r="N108" i="6" l="1"/>
  <c r="J11" i="5" l="1"/>
  <c r="J9" i="5"/>
  <c r="H410" i="2" l="1"/>
  <c r="H411" i="2" s="1"/>
  <c r="H412" i="2" s="1"/>
  <c r="H413" i="2" s="1"/>
  <c r="Q8" i="11"/>
  <c r="H414" i="2" l="1"/>
  <c r="H415" i="2" s="1"/>
  <c r="H416" i="2" s="1"/>
  <c r="H417" i="2" s="1"/>
  <c r="H418" i="2" s="1"/>
  <c r="H419" i="2" s="1"/>
  <c r="H420" i="2" s="1"/>
  <c r="H421" i="2" s="1"/>
  <c r="H422" i="2" s="1"/>
  <c r="H423" i="2" s="1"/>
  <c r="C94" i="9"/>
  <c r="C93" i="9"/>
  <c r="C92" i="9"/>
  <c r="C91" i="9"/>
  <c r="C90" i="9"/>
  <c r="E32" i="9"/>
  <c r="C32" i="9"/>
  <c r="C20" i="9"/>
  <c r="E20" i="9"/>
  <c r="C21" i="9"/>
  <c r="E21" i="9"/>
  <c r="C22" i="9"/>
  <c r="E22" i="9"/>
  <c r="C23" i="9"/>
  <c r="E23" i="9"/>
  <c r="C24" i="9"/>
  <c r="E24" i="9"/>
  <c r="C25" i="9"/>
  <c r="E25" i="9"/>
  <c r="C26" i="9"/>
  <c r="E26" i="9"/>
  <c r="C27" i="9"/>
  <c r="E27" i="9"/>
  <c r="C28" i="9"/>
  <c r="E28" i="9"/>
  <c r="C29" i="9"/>
  <c r="E29" i="9"/>
  <c r="C30" i="9"/>
  <c r="E30" i="9"/>
  <c r="C31" i="9"/>
  <c r="E31" i="9"/>
  <c r="D165" i="9"/>
  <c r="G332" i="5"/>
  <c r="G331" i="5"/>
  <c r="H424" i="2" l="1"/>
  <c r="H425" i="2" s="1"/>
  <c r="H426" i="2" s="1"/>
  <c r="H427" i="2" s="1"/>
  <c r="H428" i="2" s="1"/>
  <c r="H429" i="2" s="1"/>
  <c r="H430" i="2" s="1"/>
  <c r="H431" i="2" s="1"/>
  <c r="G98" i="5"/>
  <c r="H432" i="2" l="1"/>
  <c r="H433" i="2" s="1"/>
  <c r="H434" i="2" s="1"/>
  <c r="H435" i="2" s="1"/>
  <c r="H436" i="2" s="1"/>
  <c r="H437" i="2" s="1"/>
  <c r="U214" i="5"/>
  <c r="I233" i="5" l="1"/>
  <c r="J57" i="6" l="1"/>
  <c r="J47" i="6"/>
  <c r="J46" i="6"/>
  <c r="J45" i="6"/>
  <c r="D299" i="22" l="1"/>
  <c r="C298" i="21"/>
  <c r="D34" i="22"/>
  <c r="C33" i="21"/>
  <c r="D167" i="22"/>
  <c r="C166" i="21"/>
  <c r="M70" i="6"/>
  <c r="I70" i="6"/>
  <c r="H70" i="6"/>
  <c r="G70" i="6"/>
  <c r="F70" i="6"/>
  <c r="F59" i="6"/>
  <c r="F51" i="6"/>
  <c r="B38" i="6"/>
  <c r="M59" i="6"/>
  <c r="I59" i="6"/>
  <c r="H59" i="6"/>
  <c r="G59" i="6"/>
  <c r="M38" i="6"/>
  <c r="H38" i="6"/>
  <c r="G38" i="6"/>
  <c r="G388" i="21"/>
  <c r="F388" i="21"/>
  <c r="E388" i="21"/>
  <c r="D388" i="21"/>
  <c r="C388" i="21"/>
  <c r="G387" i="21"/>
  <c r="F387" i="21"/>
  <c r="E387" i="21"/>
  <c r="D387" i="21"/>
  <c r="C387" i="21"/>
  <c r="G386" i="21"/>
  <c r="F386" i="21"/>
  <c r="E386" i="21"/>
  <c r="D386" i="21"/>
  <c r="C386" i="21"/>
  <c r="G385" i="21"/>
  <c r="F385" i="21"/>
  <c r="E385" i="21"/>
  <c r="D385" i="21"/>
  <c r="C385" i="21"/>
  <c r="G384" i="21"/>
  <c r="F384" i="21"/>
  <c r="E384" i="21"/>
  <c r="C384" i="21"/>
  <c r="G383" i="21"/>
  <c r="F383" i="21"/>
  <c r="E383" i="21"/>
  <c r="C383" i="21"/>
  <c r="G382" i="21"/>
  <c r="F382" i="21"/>
  <c r="E382" i="21"/>
  <c r="C382" i="21"/>
  <c r="G381" i="21"/>
  <c r="F381" i="21"/>
  <c r="E381" i="21"/>
  <c r="C381" i="21"/>
  <c r="G380" i="21"/>
  <c r="F380" i="21"/>
  <c r="E380" i="21"/>
  <c r="C380" i="21"/>
  <c r="G379" i="21"/>
  <c r="F379" i="21"/>
  <c r="E379" i="21"/>
  <c r="C379" i="21"/>
  <c r="G378" i="21"/>
  <c r="F378" i="21"/>
  <c r="E378" i="21"/>
  <c r="C378" i="21"/>
  <c r="G377" i="21"/>
  <c r="F377" i="21"/>
  <c r="E377" i="21"/>
  <c r="C377" i="21"/>
  <c r="G376" i="21"/>
  <c r="F376" i="21"/>
  <c r="E376" i="21"/>
  <c r="C376" i="21"/>
  <c r="G375" i="21"/>
  <c r="F375" i="21"/>
  <c r="E375" i="21"/>
  <c r="C375" i="21"/>
  <c r="G374" i="21"/>
  <c r="F374" i="21"/>
  <c r="C374" i="21"/>
  <c r="G373" i="21"/>
  <c r="F373" i="21"/>
  <c r="E373" i="21"/>
  <c r="C373" i="21"/>
  <c r="G372" i="21"/>
  <c r="F372" i="21"/>
  <c r="C372" i="21"/>
  <c r="G371" i="21"/>
  <c r="F371" i="21"/>
  <c r="G360" i="21"/>
  <c r="E360" i="21"/>
  <c r="G359" i="21"/>
  <c r="G358" i="21"/>
  <c r="G357" i="21"/>
  <c r="G356" i="21"/>
  <c r="G355" i="21"/>
  <c r="G354" i="21"/>
  <c r="G353" i="21"/>
  <c r="G352" i="21"/>
  <c r="E352" i="21"/>
  <c r="G351" i="21"/>
  <c r="G350" i="21"/>
  <c r="G349" i="21"/>
  <c r="E349" i="21"/>
  <c r="G348" i="21"/>
  <c r="G347" i="21"/>
  <c r="E347" i="21"/>
  <c r="G346" i="21"/>
  <c r="G345" i="21"/>
  <c r="E345" i="21"/>
  <c r="G344" i="21"/>
  <c r="G343" i="21"/>
  <c r="G342" i="21"/>
  <c r="G341" i="21"/>
  <c r="G340" i="21"/>
  <c r="E340" i="21"/>
  <c r="G339" i="21"/>
  <c r="G338" i="21"/>
  <c r="G337" i="21"/>
  <c r="G336" i="21"/>
  <c r="E336" i="21"/>
  <c r="G335" i="21"/>
  <c r="E335" i="21"/>
  <c r="G334" i="21"/>
  <c r="E334" i="21"/>
  <c r="G333" i="21"/>
  <c r="E333" i="21"/>
  <c r="G332" i="21"/>
  <c r="E332" i="21"/>
  <c r="G331" i="21"/>
  <c r="E331" i="21"/>
  <c r="G330" i="21"/>
  <c r="G329" i="21"/>
  <c r="E329" i="21"/>
  <c r="G328" i="21"/>
  <c r="G327" i="21"/>
  <c r="G326" i="21"/>
  <c r="G325" i="21"/>
  <c r="G324" i="21"/>
  <c r="E324" i="21"/>
  <c r="G323" i="21"/>
  <c r="G322" i="21"/>
  <c r="E322" i="21"/>
  <c r="G321" i="21"/>
  <c r="E321" i="21"/>
  <c r="G320" i="21"/>
  <c r="E320" i="21"/>
  <c r="G319" i="21"/>
  <c r="G318" i="21"/>
  <c r="E318" i="21"/>
  <c r="G317" i="21"/>
  <c r="G316" i="21"/>
  <c r="G315" i="21"/>
  <c r="E315" i="21"/>
  <c r="G314" i="21"/>
  <c r="G313" i="21"/>
  <c r="G312" i="21"/>
  <c r="E312" i="21"/>
  <c r="G311" i="21"/>
  <c r="G310" i="21"/>
  <c r="E310" i="21"/>
  <c r="G309" i="21"/>
  <c r="E309" i="21"/>
  <c r="G308" i="21"/>
  <c r="G307" i="21"/>
  <c r="G306" i="21"/>
  <c r="G305" i="21"/>
  <c r="E305" i="21"/>
  <c r="G304" i="21"/>
  <c r="G303" i="21"/>
  <c r="G302" i="21"/>
  <c r="G301" i="21"/>
  <c r="G300" i="21"/>
  <c r="G299" i="21"/>
  <c r="G298" i="21"/>
  <c r="G297" i="21"/>
  <c r="G296" i="21"/>
  <c r="E296" i="21"/>
  <c r="G295" i="21"/>
  <c r="G294" i="21"/>
  <c r="E294" i="21"/>
  <c r="G293" i="21"/>
  <c r="E293" i="21"/>
  <c r="G292" i="21"/>
  <c r="E292" i="21"/>
  <c r="G291" i="21"/>
  <c r="E291" i="21"/>
  <c r="G290" i="21"/>
  <c r="G289" i="21"/>
  <c r="G288" i="21"/>
  <c r="G287" i="21"/>
  <c r="E287" i="21"/>
  <c r="G286" i="21"/>
  <c r="G285" i="21"/>
  <c r="G284" i="21"/>
  <c r="E284" i="21"/>
  <c r="G283" i="21"/>
  <c r="G282" i="21"/>
  <c r="E282" i="21"/>
  <c r="G281" i="21"/>
  <c r="G280" i="21"/>
  <c r="G279" i="21"/>
  <c r="G278" i="21"/>
  <c r="E278" i="21"/>
  <c r="G277" i="21"/>
  <c r="G276" i="21"/>
  <c r="E276" i="21"/>
  <c r="G275" i="21"/>
  <c r="G274" i="21"/>
  <c r="G273" i="21"/>
  <c r="G272" i="21"/>
  <c r="G271" i="21"/>
  <c r="E271" i="21"/>
  <c r="E270" i="21"/>
  <c r="G269" i="21"/>
  <c r="E269" i="21"/>
  <c r="G268" i="21"/>
  <c r="G267" i="21"/>
  <c r="G266" i="21"/>
  <c r="E266" i="21"/>
  <c r="G265" i="21"/>
  <c r="G264" i="21"/>
  <c r="E264" i="21"/>
  <c r="G263" i="21"/>
  <c r="E263" i="21"/>
  <c r="G262" i="21"/>
  <c r="E262" i="21"/>
  <c r="G261" i="21"/>
  <c r="E261" i="21"/>
  <c r="G260" i="21"/>
  <c r="G259" i="21"/>
  <c r="E259" i="21"/>
  <c r="G258" i="21"/>
  <c r="E258" i="21"/>
  <c r="E257" i="21"/>
  <c r="G256" i="21"/>
  <c r="E256" i="21"/>
  <c r="G255" i="21"/>
  <c r="G254" i="21"/>
  <c r="G253" i="21"/>
  <c r="G252" i="21"/>
  <c r="G251" i="21"/>
  <c r="G250" i="21"/>
  <c r="G249" i="21"/>
  <c r="E249" i="21"/>
  <c r="G248" i="21"/>
  <c r="G247" i="21"/>
  <c r="E247" i="21"/>
  <c r="G246" i="21"/>
  <c r="G245" i="21"/>
  <c r="G244" i="21"/>
  <c r="E244" i="21"/>
  <c r="G243" i="21"/>
  <c r="E243" i="21"/>
  <c r="G242" i="21"/>
  <c r="G241" i="21"/>
  <c r="G240" i="21"/>
  <c r="E240" i="21"/>
  <c r="G239" i="21"/>
  <c r="E239" i="21"/>
  <c r="G238" i="21"/>
  <c r="G237" i="21"/>
  <c r="E237" i="21"/>
  <c r="G236" i="21"/>
  <c r="E236" i="21"/>
  <c r="G235" i="21"/>
  <c r="E235" i="21"/>
  <c r="G234" i="21"/>
  <c r="E234" i="21"/>
  <c r="G233" i="21"/>
  <c r="E233" i="21"/>
  <c r="G232" i="21"/>
  <c r="E232" i="21"/>
  <c r="G231" i="21"/>
  <c r="G230" i="21"/>
  <c r="G229" i="21"/>
  <c r="G228" i="21"/>
  <c r="G227" i="21"/>
  <c r="E227" i="21"/>
  <c r="G226" i="21"/>
  <c r="G225" i="21"/>
  <c r="G224" i="21"/>
  <c r="G223" i="21"/>
  <c r="E223" i="21"/>
  <c r="G222" i="21"/>
  <c r="E222" i="21"/>
  <c r="G221" i="21"/>
  <c r="E221" i="21"/>
  <c r="G220" i="21"/>
  <c r="E220" i="21"/>
  <c r="G219" i="21"/>
  <c r="E219" i="21"/>
  <c r="G218" i="21"/>
  <c r="E218" i="21"/>
  <c r="G217" i="21"/>
  <c r="E217" i="21"/>
  <c r="G216" i="21"/>
  <c r="E216" i="21"/>
  <c r="G215" i="21"/>
  <c r="E215" i="21"/>
  <c r="G214" i="21"/>
  <c r="G213" i="21"/>
  <c r="G212" i="21"/>
  <c r="E212" i="21"/>
  <c r="G211" i="21"/>
  <c r="G210" i="21"/>
  <c r="G209" i="21"/>
  <c r="G208" i="21"/>
  <c r="G207" i="21"/>
  <c r="G205" i="21"/>
  <c r="E205" i="21"/>
  <c r="G204" i="21"/>
  <c r="G203" i="21"/>
  <c r="G202" i="21"/>
  <c r="G201" i="21"/>
  <c r="G200" i="21"/>
  <c r="G199" i="21"/>
  <c r="E199" i="21"/>
  <c r="G198" i="21"/>
  <c r="E198" i="21"/>
  <c r="G197" i="21"/>
  <c r="G196" i="21"/>
  <c r="G195" i="21"/>
  <c r="E195" i="21"/>
  <c r="G194" i="21"/>
  <c r="G193" i="21"/>
  <c r="E193" i="21"/>
  <c r="G192" i="21"/>
  <c r="G191" i="21"/>
  <c r="G190" i="21"/>
  <c r="G189" i="21"/>
  <c r="E189" i="21"/>
  <c r="G188" i="21"/>
  <c r="G187" i="21"/>
  <c r="G186" i="21"/>
  <c r="E186" i="21"/>
  <c r="G185" i="21"/>
  <c r="G184" i="21"/>
  <c r="E184" i="21"/>
  <c r="G183" i="21"/>
  <c r="E183" i="21"/>
  <c r="G182" i="21"/>
  <c r="E182" i="21"/>
  <c r="G181" i="21"/>
  <c r="G180" i="21"/>
  <c r="E180" i="21"/>
  <c r="G179" i="21"/>
  <c r="G178" i="21"/>
  <c r="G177" i="21"/>
  <c r="E177" i="21"/>
  <c r="G176" i="21"/>
  <c r="G175" i="21"/>
  <c r="E175" i="21"/>
  <c r="G174" i="21"/>
  <c r="E174" i="21"/>
  <c r="G173" i="21"/>
  <c r="E173" i="21"/>
  <c r="G172" i="21"/>
  <c r="E172" i="21"/>
  <c r="G171" i="21"/>
  <c r="E171" i="21"/>
  <c r="G170" i="21"/>
  <c r="G169" i="21"/>
  <c r="E169" i="21"/>
  <c r="G168" i="21"/>
  <c r="E168" i="21"/>
  <c r="G167" i="21"/>
  <c r="E167" i="21"/>
  <c r="G166" i="21"/>
  <c r="G165" i="21"/>
  <c r="E165" i="21"/>
  <c r="G164" i="21"/>
  <c r="G163" i="21"/>
  <c r="E163" i="21"/>
  <c r="G162" i="21"/>
  <c r="E162" i="21"/>
  <c r="G161" i="21"/>
  <c r="E161" i="21"/>
  <c r="G160" i="21"/>
  <c r="G159" i="21"/>
  <c r="G158" i="21"/>
  <c r="E158" i="21"/>
  <c r="G157" i="21"/>
  <c r="E157" i="21"/>
  <c r="G156" i="21"/>
  <c r="E156" i="21"/>
  <c r="G155" i="21"/>
  <c r="E155" i="21"/>
  <c r="G154" i="21"/>
  <c r="G153" i="21"/>
  <c r="G152" i="21"/>
  <c r="G151" i="21"/>
  <c r="G150" i="21"/>
  <c r="G149" i="21"/>
  <c r="G148" i="21"/>
  <c r="G147" i="21"/>
  <c r="G146" i="21"/>
  <c r="G145" i="21"/>
  <c r="G144" i="21"/>
  <c r="E144" i="21"/>
  <c r="G143" i="21"/>
  <c r="E143" i="21"/>
  <c r="G142" i="21"/>
  <c r="E142" i="21"/>
  <c r="G141" i="21"/>
  <c r="E141" i="21"/>
  <c r="G140" i="21"/>
  <c r="G139" i="21"/>
  <c r="E139" i="21"/>
  <c r="G138" i="21"/>
  <c r="E138" i="21"/>
  <c r="G137" i="21"/>
  <c r="E137" i="21"/>
  <c r="G136" i="21"/>
  <c r="E136" i="21"/>
  <c r="G135" i="21"/>
  <c r="G134" i="21"/>
  <c r="G133" i="21"/>
  <c r="E133" i="21"/>
  <c r="G132" i="21"/>
  <c r="E132" i="21"/>
  <c r="G131" i="21"/>
  <c r="G130" i="21"/>
  <c r="G129" i="21"/>
  <c r="E129" i="21"/>
  <c r="G128" i="21"/>
  <c r="E128" i="21"/>
  <c r="G127" i="21"/>
  <c r="G126" i="21"/>
  <c r="G125" i="21"/>
  <c r="G124" i="21"/>
  <c r="G123" i="21"/>
  <c r="E123" i="21"/>
  <c r="G122" i="21"/>
  <c r="E122" i="21"/>
  <c r="G121" i="21"/>
  <c r="E121" i="21"/>
  <c r="G120" i="21"/>
  <c r="G119" i="21"/>
  <c r="G118" i="21"/>
  <c r="G117" i="21"/>
  <c r="E117" i="21"/>
  <c r="G116" i="21"/>
  <c r="E116" i="21"/>
  <c r="G115" i="21"/>
  <c r="E115" i="21"/>
  <c r="G114" i="21"/>
  <c r="E114" i="21"/>
  <c r="G113" i="21"/>
  <c r="G112" i="21"/>
  <c r="G111" i="21"/>
  <c r="E111" i="21"/>
  <c r="G110" i="21"/>
  <c r="E110" i="21"/>
  <c r="G109" i="21"/>
  <c r="G108" i="21"/>
  <c r="E108" i="21"/>
  <c r="G107" i="21"/>
  <c r="E107" i="21"/>
  <c r="G106" i="21"/>
  <c r="E106" i="21"/>
  <c r="G105" i="21"/>
  <c r="E105" i="21"/>
  <c r="G104" i="21"/>
  <c r="E104" i="21"/>
  <c r="G103" i="21"/>
  <c r="G102" i="21"/>
  <c r="G101" i="21"/>
  <c r="E101" i="21"/>
  <c r="G100" i="21"/>
  <c r="G99" i="21"/>
  <c r="G98" i="21"/>
  <c r="G97" i="21"/>
  <c r="G96" i="21"/>
  <c r="E96" i="21"/>
  <c r="G95" i="21"/>
  <c r="E95" i="21"/>
  <c r="G94" i="21"/>
  <c r="E94" i="21"/>
  <c r="G93" i="21"/>
  <c r="E93" i="21"/>
  <c r="G92" i="21"/>
  <c r="G91" i="21"/>
  <c r="G90" i="21"/>
  <c r="E90" i="21"/>
  <c r="G89" i="21"/>
  <c r="G88" i="21"/>
  <c r="E88" i="21"/>
  <c r="G87" i="21"/>
  <c r="E87" i="21"/>
  <c r="G86" i="21"/>
  <c r="E86" i="21"/>
  <c r="G85" i="21"/>
  <c r="G84" i="21"/>
  <c r="E84" i="21"/>
  <c r="G83" i="21"/>
  <c r="E83" i="21"/>
  <c r="G82" i="21"/>
  <c r="G81" i="21"/>
  <c r="E81" i="21"/>
  <c r="G80" i="21"/>
  <c r="E80" i="21"/>
  <c r="G79" i="21"/>
  <c r="E79" i="21"/>
  <c r="G78" i="21"/>
  <c r="E78" i="21"/>
  <c r="G77" i="21"/>
  <c r="G76" i="21"/>
  <c r="G75" i="21"/>
  <c r="G74" i="21"/>
  <c r="E74" i="21"/>
  <c r="G73" i="21"/>
  <c r="G72" i="21"/>
  <c r="G71" i="21"/>
  <c r="E71" i="21"/>
  <c r="G70" i="21"/>
  <c r="G69" i="21"/>
  <c r="G68" i="21"/>
  <c r="G67" i="21"/>
  <c r="E67" i="21"/>
  <c r="G66" i="21"/>
  <c r="G65" i="21"/>
  <c r="G64" i="21"/>
  <c r="G63" i="21"/>
  <c r="E63" i="21"/>
  <c r="G62" i="21"/>
  <c r="E62" i="21"/>
  <c r="G61" i="21"/>
  <c r="E61" i="21"/>
  <c r="G60" i="21"/>
  <c r="E60" i="21"/>
  <c r="G59" i="21"/>
  <c r="G58" i="21"/>
  <c r="G57" i="21"/>
  <c r="G56" i="21"/>
  <c r="G55" i="21"/>
  <c r="E55" i="21"/>
  <c r="G54" i="21"/>
  <c r="G53" i="21"/>
  <c r="G52" i="21"/>
  <c r="E52" i="21"/>
  <c r="G51" i="21"/>
  <c r="G50" i="21"/>
  <c r="E50" i="21"/>
  <c r="G49" i="21"/>
  <c r="G48" i="21"/>
  <c r="G47" i="21"/>
  <c r="E47" i="21"/>
  <c r="G46" i="21"/>
  <c r="G45" i="21"/>
  <c r="G44" i="21"/>
  <c r="G43" i="21"/>
  <c r="E43" i="21"/>
  <c r="G42" i="21"/>
  <c r="E42" i="21"/>
  <c r="G41" i="21"/>
  <c r="G40" i="21"/>
  <c r="E40" i="21"/>
  <c r="G39" i="21"/>
  <c r="E39" i="21"/>
  <c r="G38" i="21"/>
  <c r="E38" i="21"/>
  <c r="G37" i="21"/>
  <c r="G36" i="21"/>
  <c r="G35" i="21"/>
  <c r="E35" i="21"/>
  <c r="G34" i="21"/>
  <c r="G33" i="21"/>
  <c r="G32" i="21"/>
  <c r="G31" i="21"/>
  <c r="E31" i="21"/>
  <c r="G30" i="21"/>
  <c r="E30" i="21"/>
  <c r="G29" i="21"/>
  <c r="G28" i="21"/>
  <c r="E28" i="21"/>
  <c r="G27" i="21"/>
  <c r="G26" i="21"/>
  <c r="E26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8" i="21"/>
  <c r="G17" i="21"/>
  <c r="G16" i="21"/>
  <c r="I294" i="21" l="1"/>
  <c r="H28" i="21"/>
  <c r="H310" i="21"/>
  <c r="H383" i="21"/>
  <c r="H132" i="21"/>
  <c r="H71" i="21"/>
  <c r="H74" i="21"/>
  <c r="H320" i="21"/>
  <c r="H39" i="21"/>
  <c r="H67" i="21"/>
  <c r="H156" i="21"/>
  <c r="H352" i="21"/>
  <c r="H360" i="21"/>
  <c r="H378" i="21"/>
  <c r="H386" i="21"/>
  <c r="H31" i="21"/>
  <c r="H24" i="21"/>
  <c r="H269" i="21"/>
  <c r="H63" i="21"/>
  <c r="H387" i="21"/>
  <c r="H19" i="21"/>
  <c r="H47" i="21"/>
  <c r="H60" i="21"/>
  <c r="H237" i="21"/>
  <c r="H180" i="21"/>
  <c r="H221" i="21"/>
  <c r="H236" i="21"/>
  <c r="H139" i="21"/>
  <c r="H42" i="21"/>
  <c r="H171" i="21"/>
  <c r="H195" i="21"/>
  <c r="H212" i="21"/>
  <c r="H155" i="21"/>
  <c r="H186" i="21"/>
  <c r="H219" i="21"/>
  <c r="H23" i="21"/>
  <c r="H90" i="21"/>
  <c r="H259" i="21"/>
  <c r="H30" i="21"/>
  <c r="H62" i="21"/>
  <c r="H95" i="21"/>
  <c r="H111" i="21"/>
  <c r="H296" i="21"/>
  <c r="H312" i="21"/>
  <c r="H349" i="21"/>
  <c r="H379" i="21"/>
  <c r="H21" i="21"/>
  <c r="H79" i="21"/>
  <c r="H81" i="21"/>
  <c r="H87" i="21"/>
  <c r="H105" i="21"/>
  <c r="H106" i="21"/>
  <c r="H114" i="21"/>
  <c r="H122" i="21"/>
  <c r="H129" i="21"/>
  <c r="H137" i="21"/>
  <c r="H138" i="21"/>
  <c r="H143" i="21"/>
  <c r="H161" i="21"/>
  <c r="H162" i="21"/>
  <c r="H177" i="21"/>
  <c r="H183" i="21"/>
  <c r="H193" i="21"/>
  <c r="H199" i="21"/>
  <c r="H216" i="21"/>
  <c r="H218" i="21"/>
  <c r="H232" i="21"/>
  <c r="H256" i="21"/>
  <c r="H264" i="21"/>
  <c r="H266" i="21"/>
  <c r="H282" i="21"/>
  <c r="H335" i="21"/>
  <c r="H375" i="21"/>
  <c r="H377" i="21"/>
  <c r="H380" i="21"/>
  <c r="H20" i="21"/>
  <c r="H52" i="21"/>
  <c r="H78" i="21"/>
  <c r="H86" i="21"/>
  <c r="H94" i="21"/>
  <c r="H182" i="21"/>
  <c r="H198" i="21"/>
  <c r="H215" i="21"/>
  <c r="H223" i="21"/>
  <c r="H247" i="21"/>
  <c r="H263" i="21"/>
  <c r="H271" i="21"/>
  <c r="H287" i="21"/>
  <c r="H332" i="21"/>
  <c r="H340" i="21"/>
  <c r="H382" i="21"/>
  <c r="H385" i="21"/>
  <c r="H388" i="21"/>
  <c r="H80" i="21"/>
  <c r="H88" i="21"/>
  <c r="H96" i="21"/>
  <c r="H104" i="21"/>
  <c r="H107" i="21"/>
  <c r="H115" i="21"/>
  <c r="H123" i="21"/>
  <c r="H128" i="21"/>
  <c r="H144" i="21"/>
  <c r="H168" i="21"/>
  <c r="H184" i="21"/>
  <c r="H217" i="21"/>
  <c r="H276" i="21"/>
  <c r="H292" i="21"/>
  <c r="H305" i="21"/>
  <c r="C308" i="8" s="1"/>
  <c r="H321" i="21"/>
  <c r="H22" i="21"/>
  <c r="H93" i="21"/>
  <c r="H101" i="21"/>
  <c r="H110" i="21"/>
  <c r="H117" i="21"/>
  <c r="H133" i="21"/>
  <c r="H141" i="21"/>
  <c r="H142" i="21"/>
  <c r="H157" i="21"/>
  <c r="H165" i="21"/>
  <c r="H173" i="21"/>
  <c r="H174" i="21"/>
  <c r="H189" i="21"/>
  <c r="H205" i="21"/>
  <c r="H331" i="21"/>
  <c r="H347" i="21"/>
  <c r="H373" i="21"/>
  <c r="H376" i="21"/>
  <c r="H381" i="21"/>
  <c r="H384" i="21"/>
  <c r="H163" i="21" l="1"/>
  <c r="G270" i="21" l="1"/>
  <c r="V88" i="9" l="1"/>
  <c r="V87" i="9"/>
  <c r="C62" i="9"/>
  <c r="V84" i="9"/>
  <c r="V85" i="9"/>
  <c r="V86" i="9"/>
  <c r="V105" i="9"/>
  <c r="V103" i="9"/>
  <c r="V98" i="9"/>
  <c r="V97" i="9"/>
  <c r="V100" i="9"/>
  <c r="V102" i="9"/>
  <c r="G321" i="1" l="1"/>
  <c r="V99" i="9"/>
  <c r="V101" i="9"/>
  <c r="G322" i="1" l="1"/>
  <c r="G323" i="1" s="1"/>
  <c r="G324" i="1" s="1"/>
  <c r="G325" i="1" s="1"/>
  <c r="G326" i="1" s="1"/>
  <c r="G327" i="1" s="1"/>
  <c r="G328" i="1" s="1"/>
  <c r="V89" i="9"/>
  <c r="V83" i="9"/>
  <c r="G329" i="1" l="1"/>
  <c r="G330" i="1" s="1"/>
  <c r="G331" i="1" s="1"/>
  <c r="G332" i="1" s="1"/>
  <c r="V112" i="9"/>
  <c r="G333" i="1" l="1"/>
  <c r="G334" i="1" s="1"/>
  <c r="G335" i="1" s="1"/>
  <c r="L70" i="6"/>
  <c r="G336" i="1" l="1"/>
  <c r="G337" i="1" s="1"/>
  <c r="G338" i="1" s="1"/>
  <c r="G339" i="1" s="1"/>
  <c r="G340" i="1" s="1"/>
  <c r="G341" i="1" s="1"/>
  <c r="G342" i="1" s="1"/>
  <c r="G343" i="1" s="1"/>
  <c r="G257" i="21"/>
  <c r="G344" i="1" l="1"/>
  <c r="G345" i="1" s="1"/>
  <c r="G346" i="1" s="1"/>
  <c r="G347" i="1" s="1"/>
  <c r="G348" i="1" s="1"/>
  <c r="G2257" i="2"/>
  <c r="G349" i="1" l="1"/>
  <c r="G350" i="1" s="1"/>
  <c r="G351" i="1" s="1"/>
  <c r="G352" i="1" s="1"/>
  <c r="G353" i="1" s="1"/>
  <c r="G354" i="1" s="1"/>
  <c r="L38" i="6"/>
  <c r="I29" i="6"/>
  <c r="G355" i="1" l="1"/>
  <c r="G356" i="1" s="1"/>
  <c r="G357" i="1" s="1"/>
  <c r="G358" i="1" s="1"/>
  <c r="G359" i="1" s="1"/>
  <c r="G360" i="1" s="1"/>
  <c r="G361" i="1" s="1"/>
  <c r="D68" i="6"/>
  <c r="G362" i="1" l="1"/>
  <c r="G363" i="1" s="1"/>
  <c r="G364" i="1" s="1"/>
  <c r="G365" i="1" s="1"/>
  <c r="G366" i="1" s="1"/>
  <c r="J68" i="6"/>
  <c r="G367" i="1" l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O68" i="6"/>
  <c r="D76" i="22"/>
  <c r="C75" i="21"/>
  <c r="J70" i="6"/>
  <c r="H84" i="21"/>
  <c r="N68" i="6"/>
  <c r="G380" i="1" l="1"/>
  <c r="G381" i="1" s="1"/>
  <c r="G382" i="1" s="1"/>
  <c r="G383" i="1" s="1"/>
  <c r="G384" i="1" s="1"/>
  <c r="N70" i="6"/>
  <c r="O70" i="6"/>
  <c r="G385" i="1" l="1"/>
  <c r="G386" i="1" s="1"/>
  <c r="G387" i="1" s="1"/>
  <c r="P8" i="11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G388" i="1" l="1"/>
  <c r="G389" i="1" s="1"/>
  <c r="G390" i="1" s="1"/>
  <c r="G391" i="1" s="1"/>
  <c r="G392" i="1" s="1"/>
  <c r="G393" i="1" s="1"/>
  <c r="G394" i="1" s="1"/>
  <c r="G395" i="1" s="1"/>
  <c r="G396" i="1" s="1"/>
  <c r="G397" i="1" s="1"/>
  <c r="D762" i="1"/>
  <c r="D759" i="1"/>
  <c r="D758" i="1"/>
  <c r="D757" i="1"/>
  <c r="D755" i="1"/>
  <c r="D756" i="1"/>
  <c r="G398" i="1" l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D741" i="1"/>
  <c r="D742" i="1"/>
  <c r="D743" i="1"/>
  <c r="D744" i="1"/>
  <c r="G412" i="1" l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D735" i="1"/>
  <c r="D729" i="1" l="1"/>
  <c r="G435" i="1" l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D713" i="1"/>
  <c r="D712" i="1"/>
  <c r="D717" i="1"/>
  <c r="D716" i="1"/>
  <c r="D715" i="1"/>
  <c r="D714" i="1"/>
  <c r="D711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G447" i="1" l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I222" i="5"/>
  <c r="K222" i="5" s="1"/>
  <c r="O222" i="5" l="1"/>
  <c r="N222" i="5"/>
  <c r="G473" i="1" l="1"/>
  <c r="G474" i="1" s="1"/>
  <c r="G475" i="1" s="1"/>
  <c r="I149" i="5"/>
  <c r="G476" i="1" l="1"/>
  <c r="H438" i="2"/>
  <c r="H439" i="2" s="1"/>
  <c r="G477" i="1" l="1"/>
  <c r="G478" i="1" s="1"/>
  <c r="G480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H440" i="2"/>
  <c r="G533" i="1" l="1"/>
  <c r="G534" i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H441" i="2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l="1"/>
  <c r="H456" i="2" s="1"/>
  <c r="H457" i="2" s="1"/>
  <c r="H458" i="2" s="1"/>
  <c r="H459" i="2" s="1"/>
  <c r="H460" i="2" s="1"/>
  <c r="H461" i="2" s="1"/>
  <c r="H462" i="2" s="1"/>
  <c r="H463" i="2" s="1"/>
  <c r="H464" i="2" l="1"/>
  <c r="H465" i="2" s="1"/>
  <c r="H466" i="2" s="1"/>
  <c r="H467" i="2" s="1"/>
  <c r="H468" i="2" l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l="1"/>
  <c r="H486" i="2" s="1"/>
  <c r="H487" i="2" s="1"/>
  <c r="H488" i="2" s="1"/>
  <c r="L59" i="6"/>
  <c r="H489" i="2" l="1"/>
  <c r="H490" i="2" s="1"/>
  <c r="H491" i="2" s="1"/>
  <c r="H492" i="2" s="1"/>
  <c r="H493" i="2" s="1"/>
  <c r="H494" i="2" s="1"/>
  <c r="M51" i="6"/>
  <c r="L51" i="6"/>
  <c r="J51" i="6"/>
  <c r="I51" i="6"/>
  <c r="H51" i="6"/>
  <c r="G51" i="6"/>
  <c r="H495" i="2" l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334" i="21"/>
  <c r="H506" i="2" l="1"/>
  <c r="O57" i="6"/>
  <c r="O56" i="6"/>
  <c r="N57" i="6"/>
  <c r="N56" i="6"/>
  <c r="H507" i="2" l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J59" i="6"/>
  <c r="H575" i="2" l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N59" i="6"/>
  <c r="O59" i="6"/>
  <c r="H599" i="2" l="1"/>
  <c r="H600" i="2" s="1"/>
  <c r="H601" i="2" s="1"/>
  <c r="O49" i="6"/>
  <c r="N49" i="6"/>
  <c r="O48" i="6"/>
  <c r="N48" i="6"/>
  <c r="O47" i="6"/>
  <c r="N47" i="6"/>
  <c r="O46" i="6"/>
  <c r="N46" i="6"/>
  <c r="O45" i="6"/>
  <c r="N45" i="6"/>
  <c r="H602" i="2" l="1"/>
  <c r="H603" i="2" s="1"/>
  <c r="H604" i="2" s="1"/>
  <c r="H605" i="2" s="1"/>
  <c r="H606" i="2" s="1"/>
  <c r="H607" i="2" s="1"/>
  <c r="O51" i="6"/>
  <c r="N51" i="6"/>
  <c r="H608" i="2" l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D384" i="25"/>
  <c r="E64" i="9" l="1"/>
  <c r="E63" i="9"/>
  <c r="E62" i="9"/>
  <c r="E61" i="9"/>
  <c r="E60" i="9"/>
  <c r="E59" i="9"/>
  <c r="E58" i="9"/>
  <c r="E57" i="9"/>
  <c r="E56" i="9"/>
  <c r="E51" i="9"/>
  <c r="J37" i="6" l="1"/>
  <c r="I320" i="5"/>
  <c r="I319" i="5"/>
  <c r="I318" i="5"/>
  <c r="I317" i="5"/>
  <c r="I316" i="5"/>
  <c r="I315" i="5"/>
  <c r="I314" i="5"/>
  <c r="I313" i="5"/>
  <c r="I312" i="5"/>
  <c r="I311" i="5"/>
  <c r="I310" i="5"/>
  <c r="I309" i="5"/>
  <c r="I298" i="5"/>
  <c r="K298" i="5" s="1"/>
  <c r="I297" i="5"/>
  <c r="K297" i="5" s="1"/>
  <c r="I296" i="5"/>
  <c r="K296" i="5" s="1"/>
  <c r="O296" i="5" s="1"/>
  <c r="I295" i="5"/>
  <c r="K295" i="5" s="1"/>
  <c r="I294" i="5"/>
  <c r="K294" i="5" s="1"/>
  <c r="I293" i="5"/>
  <c r="K293" i="5" s="1"/>
  <c r="I292" i="5"/>
  <c r="K292" i="5" s="1"/>
  <c r="O292" i="5" s="1"/>
  <c r="I291" i="5"/>
  <c r="K291" i="5" s="1"/>
  <c r="I290" i="5"/>
  <c r="K290" i="5" s="1"/>
  <c r="I289" i="5"/>
  <c r="K289" i="5" s="1"/>
  <c r="I288" i="5"/>
  <c r="K288" i="5" s="1"/>
  <c r="E208" i="21" s="1"/>
  <c r="H208" i="21" s="1"/>
  <c r="I287" i="5"/>
  <c r="K287" i="5" s="1"/>
  <c r="I286" i="5"/>
  <c r="K286" i="5" s="1"/>
  <c r="I285" i="5"/>
  <c r="K285" i="5" s="1"/>
  <c r="E46" i="21" s="1"/>
  <c r="H46" i="21" s="1"/>
  <c r="I284" i="5"/>
  <c r="K284" i="5" s="1"/>
  <c r="E265" i="21" s="1"/>
  <c r="H265" i="21" s="1"/>
  <c r="I283" i="5"/>
  <c r="K283" i="5" s="1"/>
  <c r="I282" i="5"/>
  <c r="K282" i="5" s="1"/>
  <c r="I281" i="5"/>
  <c r="K281" i="5" s="1"/>
  <c r="I280" i="5"/>
  <c r="K280" i="5" s="1"/>
  <c r="I279" i="5"/>
  <c r="K279" i="5" s="1"/>
  <c r="I278" i="5"/>
  <c r="K278" i="5" s="1"/>
  <c r="I277" i="5"/>
  <c r="K277" i="5" s="1"/>
  <c r="I276" i="5"/>
  <c r="K276" i="5" s="1"/>
  <c r="I275" i="5"/>
  <c r="K275" i="5" s="1"/>
  <c r="I274" i="5"/>
  <c r="K274" i="5" s="1"/>
  <c r="I273" i="5"/>
  <c r="K273" i="5" s="1"/>
  <c r="I272" i="5"/>
  <c r="K272" i="5" s="1"/>
  <c r="I271" i="5"/>
  <c r="K271" i="5" s="1"/>
  <c r="I270" i="5"/>
  <c r="K270" i="5" s="1"/>
  <c r="I269" i="5"/>
  <c r="K269" i="5" s="1"/>
  <c r="I268" i="5"/>
  <c r="K268" i="5" s="1"/>
  <c r="I267" i="5"/>
  <c r="K267" i="5" s="1"/>
  <c r="E308" i="21" s="1"/>
  <c r="H308" i="21" s="1"/>
  <c r="I266" i="5"/>
  <c r="K266" i="5" s="1"/>
  <c r="E202" i="21" s="1"/>
  <c r="I265" i="5"/>
  <c r="K265" i="5" s="1"/>
  <c r="E350" i="21" s="1"/>
  <c r="H350" i="21" s="1"/>
  <c r="I264" i="5"/>
  <c r="K264" i="5" s="1"/>
  <c r="I263" i="5"/>
  <c r="K263" i="5" s="1"/>
  <c r="I262" i="5"/>
  <c r="K262" i="5" s="1"/>
  <c r="I261" i="5"/>
  <c r="K261" i="5" s="1"/>
  <c r="I260" i="5"/>
  <c r="K260" i="5" s="1"/>
  <c r="E187" i="21" s="1"/>
  <c r="H187" i="21" s="1"/>
  <c r="I259" i="5"/>
  <c r="K259" i="5" s="1"/>
  <c r="I258" i="5"/>
  <c r="K258" i="5" s="1"/>
  <c r="I257" i="5"/>
  <c r="K257" i="5" s="1"/>
  <c r="I256" i="5"/>
  <c r="K256" i="5" s="1"/>
  <c r="I255" i="5"/>
  <c r="K255" i="5" s="1"/>
  <c r="I254" i="5"/>
  <c r="K254" i="5" s="1"/>
  <c r="E355" i="21" s="1"/>
  <c r="H355" i="21" s="1"/>
  <c r="I253" i="5"/>
  <c r="K253" i="5" s="1"/>
  <c r="I252" i="5"/>
  <c r="K252" i="5" s="1"/>
  <c r="I251" i="5"/>
  <c r="K251" i="5" s="1"/>
  <c r="I250" i="5"/>
  <c r="K250" i="5" s="1"/>
  <c r="E371" i="21" s="1"/>
  <c r="H371" i="21" s="1"/>
  <c r="I249" i="5"/>
  <c r="K249" i="5" s="1"/>
  <c r="I248" i="5"/>
  <c r="K248" i="5" s="1"/>
  <c r="E328" i="21" s="1"/>
  <c r="H328" i="21" s="1"/>
  <c r="I247" i="5"/>
  <c r="K247" i="5" s="1"/>
  <c r="I246" i="5"/>
  <c r="K246" i="5" s="1"/>
  <c r="I245" i="5"/>
  <c r="K245" i="5" s="1"/>
  <c r="I244" i="5"/>
  <c r="K244" i="5" s="1"/>
  <c r="E344" i="21" s="1"/>
  <c r="H344" i="21" s="1"/>
  <c r="I243" i="5"/>
  <c r="K243" i="5" s="1"/>
  <c r="E77" i="21" s="1"/>
  <c r="H77" i="21" s="1"/>
  <c r="I242" i="5"/>
  <c r="K242" i="5" s="1"/>
  <c r="I241" i="5"/>
  <c r="K241" i="5" s="1"/>
  <c r="I240" i="5"/>
  <c r="K240" i="5" s="1"/>
  <c r="E250" i="21" s="1"/>
  <c r="H250" i="21" s="1"/>
  <c r="I239" i="5"/>
  <c r="K239" i="5" s="1"/>
  <c r="I238" i="5"/>
  <c r="K238" i="5" s="1"/>
  <c r="I237" i="5"/>
  <c r="K237" i="5" s="1"/>
  <c r="I236" i="5"/>
  <c r="K236" i="5" s="1"/>
  <c r="I235" i="5"/>
  <c r="K235" i="5" s="1"/>
  <c r="I234" i="5"/>
  <c r="K234" i="5" s="1"/>
  <c r="K233" i="5"/>
  <c r="I232" i="5"/>
  <c r="K232" i="5" s="1"/>
  <c r="I231" i="5"/>
  <c r="K231" i="5" s="1"/>
  <c r="I230" i="5"/>
  <c r="K230" i="5" s="1"/>
  <c r="E277" i="21" s="1"/>
  <c r="H277" i="21" s="1"/>
  <c r="I229" i="5"/>
  <c r="K229" i="5" s="1"/>
  <c r="I228" i="5"/>
  <c r="K228" i="5" s="1"/>
  <c r="I227" i="5"/>
  <c r="K227" i="5" s="1"/>
  <c r="I226" i="5"/>
  <c r="K226" i="5" s="1"/>
  <c r="I225" i="5"/>
  <c r="K225" i="5" s="1"/>
  <c r="I224" i="5"/>
  <c r="K224" i="5" s="1"/>
  <c r="I223" i="5"/>
  <c r="K223" i="5" s="1"/>
  <c r="I221" i="5"/>
  <c r="K221" i="5" s="1"/>
  <c r="I220" i="5"/>
  <c r="K220" i="5" s="1"/>
  <c r="E273" i="21" s="1"/>
  <c r="H273" i="21" s="1"/>
  <c r="I219" i="5"/>
  <c r="K219" i="5" s="1"/>
  <c r="I218" i="5"/>
  <c r="K218" i="5" s="1"/>
  <c r="I217" i="5"/>
  <c r="K217" i="5" s="1"/>
  <c r="I216" i="5"/>
  <c r="K216" i="5" s="1"/>
  <c r="E113" i="21" s="1"/>
  <c r="H113" i="21" s="1"/>
  <c r="I215" i="5"/>
  <c r="K215" i="5" s="1"/>
  <c r="I214" i="5"/>
  <c r="K214" i="5" s="1"/>
  <c r="I213" i="5"/>
  <c r="K213" i="5" s="1"/>
  <c r="I212" i="5"/>
  <c r="K212" i="5" s="1"/>
  <c r="E44" i="21" s="1"/>
  <c r="H44" i="21" s="1"/>
  <c r="I211" i="5"/>
  <c r="K211" i="5" s="1"/>
  <c r="I210" i="5"/>
  <c r="K210" i="5" s="1"/>
  <c r="I209" i="5"/>
  <c r="K209" i="5" s="1"/>
  <c r="I208" i="5"/>
  <c r="K208" i="5" s="1"/>
  <c r="I207" i="5"/>
  <c r="K207" i="5" s="1"/>
  <c r="I206" i="5"/>
  <c r="K206" i="5" s="1"/>
  <c r="I205" i="5"/>
  <c r="K205" i="5" s="1"/>
  <c r="I204" i="5"/>
  <c r="K204" i="5" s="1"/>
  <c r="I203" i="5"/>
  <c r="K203" i="5" s="1"/>
  <c r="I202" i="5"/>
  <c r="I201" i="5"/>
  <c r="I200" i="5"/>
  <c r="I199" i="5"/>
  <c r="I198" i="5"/>
  <c r="K198" i="5" s="1"/>
  <c r="I197" i="5"/>
  <c r="K197" i="5" s="1"/>
  <c r="I196" i="5"/>
  <c r="I195" i="5"/>
  <c r="I194" i="5"/>
  <c r="I193" i="5"/>
  <c r="I192" i="5"/>
  <c r="I191" i="5"/>
  <c r="I190" i="5"/>
  <c r="K190" i="5" s="1"/>
  <c r="I189" i="5"/>
  <c r="K189" i="5" s="1"/>
  <c r="I188" i="5"/>
  <c r="K188" i="5" s="1"/>
  <c r="E209" i="21" s="1"/>
  <c r="H209" i="21" s="1"/>
  <c r="I187" i="5"/>
  <c r="K187" i="5" s="1"/>
  <c r="I186" i="5"/>
  <c r="K186" i="5" s="1"/>
  <c r="I185" i="5"/>
  <c r="K185" i="5" s="1"/>
  <c r="I184" i="5"/>
  <c r="I183" i="5"/>
  <c r="I182" i="5"/>
  <c r="K182" i="5" s="1"/>
  <c r="I181" i="5"/>
  <c r="I180" i="5"/>
  <c r="I179" i="5"/>
  <c r="I178" i="5"/>
  <c r="K178" i="5" s="1"/>
  <c r="E213" i="21" s="1"/>
  <c r="H213" i="21" s="1"/>
  <c r="I177" i="5"/>
  <c r="I176" i="5"/>
  <c r="K176" i="5" s="1"/>
  <c r="I175" i="5"/>
  <c r="K175" i="5" s="1"/>
  <c r="I174" i="5"/>
  <c r="K174" i="5" s="1"/>
  <c r="I173" i="5"/>
  <c r="K173" i="5" s="1"/>
  <c r="I172" i="5"/>
  <c r="K172" i="5" s="1"/>
  <c r="I171" i="5"/>
  <c r="K171" i="5" s="1"/>
  <c r="I170" i="5"/>
  <c r="K170" i="5" s="1"/>
  <c r="I169" i="5"/>
  <c r="K169" i="5" s="1"/>
  <c r="I168" i="5"/>
  <c r="K168" i="5" s="1"/>
  <c r="I167" i="5"/>
  <c r="K167" i="5" s="1"/>
  <c r="I166" i="5"/>
  <c r="K166" i="5" s="1"/>
  <c r="I165" i="5"/>
  <c r="K165" i="5" s="1"/>
  <c r="I164" i="5"/>
  <c r="I163" i="5"/>
  <c r="K163" i="5" s="1"/>
  <c r="E311" i="21" s="1"/>
  <c r="H311" i="21" s="1"/>
  <c r="I162" i="5"/>
  <c r="K162" i="5" s="1"/>
  <c r="I161" i="5"/>
  <c r="K161" i="5" s="1"/>
  <c r="I160" i="5"/>
  <c r="K160" i="5" s="1"/>
  <c r="I159" i="5"/>
  <c r="K159" i="5" s="1"/>
  <c r="I158" i="5"/>
  <c r="K158" i="5" s="1"/>
  <c r="I157" i="5"/>
  <c r="K157" i="5" s="1"/>
  <c r="I156" i="5"/>
  <c r="K156" i="5" s="1"/>
  <c r="I155" i="5"/>
  <c r="K155" i="5" s="1"/>
  <c r="E148" i="21" s="1"/>
  <c r="I154" i="5"/>
  <c r="K154" i="5" s="1"/>
  <c r="I153" i="5"/>
  <c r="K153" i="5" s="1"/>
  <c r="I152" i="5"/>
  <c r="K152" i="5" s="1"/>
  <c r="I151" i="5"/>
  <c r="K151" i="5" s="1"/>
  <c r="I150" i="5"/>
  <c r="K150" i="5" s="1"/>
  <c r="J57" i="5"/>
  <c r="H57" i="5"/>
  <c r="I57" i="5" s="1"/>
  <c r="J56" i="5"/>
  <c r="H56" i="5"/>
  <c r="I56" i="5" s="1"/>
  <c r="J55" i="5"/>
  <c r="H55" i="5"/>
  <c r="I55" i="5" s="1"/>
  <c r="J54" i="5"/>
  <c r="H54" i="5"/>
  <c r="I54" i="5" s="1"/>
  <c r="J53" i="5"/>
  <c r="H53" i="5"/>
  <c r="I53" i="5" s="1"/>
  <c r="J52" i="5"/>
  <c r="H52" i="5"/>
  <c r="I52" i="5" s="1"/>
  <c r="J51" i="5"/>
  <c r="H51" i="5"/>
  <c r="I51" i="5" s="1"/>
  <c r="J50" i="5"/>
  <c r="H50" i="5"/>
  <c r="I50" i="5" s="1"/>
  <c r="J49" i="5"/>
  <c r="H49" i="5"/>
  <c r="I49" i="5" s="1"/>
  <c r="J48" i="5"/>
  <c r="H48" i="5"/>
  <c r="I48" i="5" s="1"/>
  <c r="J47" i="5"/>
  <c r="H47" i="5"/>
  <c r="I47" i="5" s="1"/>
  <c r="J46" i="5"/>
  <c r="H46" i="5"/>
  <c r="I46" i="5" s="1"/>
  <c r="J45" i="5"/>
  <c r="H45" i="5"/>
  <c r="I45" i="5" s="1"/>
  <c r="J44" i="5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J17" i="5"/>
  <c r="H17" i="5"/>
  <c r="I17" i="5" s="1"/>
  <c r="J16" i="5"/>
  <c r="H16" i="5"/>
  <c r="I16" i="5" s="1"/>
  <c r="H15" i="5"/>
  <c r="I15" i="5" s="1"/>
  <c r="J14" i="5"/>
  <c r="H14" i="5"/>
  <c r="I14" i="5" s="1"/>
  <c r="J13" i="5"/>
  <c r="H13" i="5"/>
  <c r="I13" i="5" s="1"/>
  <c r="J12" i="5"/>
  <c r="H12" i="5"/>
  <c r="I12" i="5" s="1"/>
  <c r="H11" i="5"/>
  <c r="I11" i="5" s="1"/>
  <c r="K11" i="5" s="1"/>
  <c r="H10" i="5"/>
  <c r="I10" i="5" s="1"/>
  <c r="K10" i="5" s="1"/>
  <c r="D2249" i="2"/>
  <c r="D2248" i="2"/>
  <c r="D2247" i="2"/>
  <c r="D2246" i="2"/>
  <c r="D2245" i="2"/>
  <c r="D2244" i="2"/>
  <c r="E102" i="21" l="1"/>
  <c r="H102" i="21" s="1"/>
  <c r="E152" i="21"/>
  <c r="H152" i="21" s="1"/>
  <c r="O37" i="6"/>
  <c r="N37" i="6"/>
  <c r="E279" i="21"/>
  <c r="H279" i="21" s="1"/>
  <c r="E268" i="21"/>
  <c r="H268" i="21" s="1"/>
  <c r="E374" i="21"/>
  <c r="H374" i="21" s="1"/>
  <c r="K12" i="5"/>
  <c r="E151" i="21"/>
  <c r="E207" i="21"/>
  <c r="H207" i="21" s="1"/>
  <c r="E325" i="21"/>
  <c r="H325" i="21" s="1"/>
  <c r="E231" i="21"/>
  <c r="H231" i="21" s="1"/>
  <c r="N166" i="5"/>
  <c r="O166" i="5"/>
  <c r="E201" i="21"/>
  <c r="H201" i="21" s="1"/>
  <c r="E109" i="21"/>
  <c r="H109" i="21" s="1"/>
  <c r="E49" i="21"/>
  <c r="H49" i="21" s="1"/>
  <c r="E91" i="21"/>
  <c r="E295" i="21"/>
  <c r="H295" i="21" s="1"/>
  <c r="E206" i="21"/>
  <c r="O269" i="5"/>
  <c r="N269" i="5"/>
  <c r="E150" i="21"/>
  <c r="E246" i="21"/>
  <c r="O263" i="5"/>
  <c r="N263" i="5"/>
  <c r="N290" i="5"/>
  <c r="O290" i="5"/>
  <c r="E211" i="21"/>
  <c r="H211" i="21" s="1"/>
  <c r="E280" i="21"/>
  <c r="H280" i="21" s="1"/>
  <c r="E66" i="21"/>
  <c r="H66" i="21" s="1"/>
  <c r="E255" i="21"/>
  <c r="H255" i="21" s="1"/>
  <c r="E274" i="21"/>
  <c r="H274" i="21" s="1"/>
  <c r="E29" i="21"/>
  <c r="E98" i="21"/>
  <c r="H98" i="21" s="1"/>
  <c r="E149" i="21"/>
  <c r="H149" i="21" s="1"/>
  <c r="E131" i="21"/>
  <c r="E317" i="21"/>
  <c r="H317" i="21" s="1"/>
  <c r="E248" i="21"/>
  <c r="E260" i="21"/>
  <c r="E197" i="21"/>
  <c r="H197" i="21" s="1"/>
  <c r="E285" i="21"/>
  <c r="H285" i="21" s="1"/>
  <c r="E341" i="21"/>
  <c r="H341" i="21" s="1"/>
  <c r="E242" i="21"/>
  <c r="H242" i="21" s="1"/>
  <c r="E245" i="21"/>
  <c r="H245" i="21" s="1"/>
  <c r="E68" i="21"/>
  <c r="H68" i="21" s="1"/>
  <c r="E358" i="21"/>
  <c r="H358" i="21" s="1"/>
  <c r="E210" i="21"/>
  <c r="E192" i="21"/>
  <c r="H192" i="21" s="1"/>
  <c r="E286" i="21"/>
  <c r="H286" i="21" s="1"/>
  <c r="E85" i="21"/>
  <c r="H85" i="21" s="1"/>
  <c r="E203" i="21"/>
  <c r="H203" i="21" s="1"/>
  <c r="E154" i="21"/>
  <c r="H154" i="21" s="1"/>
  <c r="E120" i="21"/>
  <c r="H120" i="21" s="1"/>
  <c r="O231" i="5"/>
  <c r="N231" i="5"/>
  <c r="E99" i="21"/>
  <c r="H99" i="21" s="1"/>
  <c r="E275" i="21"/>
  <c r="E343" i="21"/>
  <c r="H343" i="21" s="1"/>
  <c r="E82" i="21"/>
  <c r="H82" i="21" s="1"/>
  <c r="E73" i="21"/>
  <c r="H73" i="21" s="1"/>
  <c r="O234" i="5"/>
  <c r="N234" i="5"/>
  <c r="E290" i="21"/>
  <c r="E226" i="21"/>
  <c r="H226" i="21" s="1"/>
  <c r="E230" i="21"/>
  <c r="H230" i="21" s="1"/>
  <c r="E164" i="21"/>
  <c r="H164" i="21" s="1"/>
  <c r="E75" i="21"/>
  <c r="E348" i="21"/>
  <c r="H348" i="21" s="1"/>
  <c r="E190" i="21"/>
  <c r="E252" i="21"/>
  <c r="H252" i="21" s="1"/>
  <c r="E59" i="21"/>
  <c r="H59" i="21" s="1"/>
  <c r="E119" i="21"/>
  <c r="H119" i="21" s="1"/>
  <c r="E159" i="21"/>
  <c r="E316" i="21"/>
  <c r="H316" i="21" s="1"/>
  <c r="E118" i="21"/>
  <c r="H118" i="21" s="1"/>
  <c r="E188" i="21"/>
  <c r="H188" i="21" s="1"/>
  <c r="E140" i="21"/>
  <c r="H140" i="21" s="1"/>
  <c r="E145" i="21"/>
  <c r="H145" i="21" s="1"/>
  <c r="E76" i="21"/>
  <c r="H76" i="21" s="1"/>
  <c r="E289" i="21"/>
  <c r="H289" i="21" s="1"/>
  <c r="E53" i="21"/>
  <c r="E191" i="21"/>
  <c r="H191" i="21" s="1"/>
  <c r="E241" i="21"/>
  <c r="H241" i="21" s="1"/>
  <c r="E170" i="21"/>
  <c r="H170" i="21" s="1"/>
  <c r="E72" i="21"/>
  <c r="H72" i="21" s="1"/>
  <c r="K181" i="5"/>
  <c r="O181" i="5" s="1"/>
  <c r="K193" i="5"/>
  <c r="E54" i="21" s="1"/>
  <c r="H54" i="21" s="1"/>
  <c r="K177" i="5"/>
  <c r="O177" i="5" s="1"/>
  <c r="E288" i="21"/>
  <c r="H288" i="21" s="1"/>
  <c r="K194" i="5"/>
  <c r="N194" i="5" s="1"/>
  <c r="E323" i="21"/>
  <c r="H323" i="21" s="1"/>
  <c r="K199" i="5"/>
  <c r="N199" i="5" s="1"/>
  <c r="E58" i="21"/>
  <c r="H58" i="21" s="1"/>
  <c r="K200" i="5"/>
  <c r="E130" i="21" s="1"/>
  <c r="E160" i="21"/>
  <c r="H160" i="21" s="1"/>
  <c r="K179" i="5"/>
  <c r="O179" i="5" s="1"/>
  <c r="E147" i="21"/>
  <c r="H147" i="21" s="1"/>
  <c r="K183" i="5"/>
  <c r="N183" i="5" s="1"/>
  <c r="K191" i="5"/>
  <c r="E194" i="21" s="1"/>
  <c r="H194" i="21" s="1"/>
  <c r="K195" i="5"/>
  <c r="E339" i="21" s="1"/>
  <c r="H339" i="21" s="1"/>
  <c r="K201" i="5"/>
  <c r="O201" i="5" s="1"/>
  <c r="E346" i="21"/>
  <c r="H346" i="21" s="1"/>
  <c r="K196" i="5"/>
  <c r="N196" i="5" s="1"/>
  <c r="K202" i="5"/>
  <c r="E57" i="21" s="1"/>
  <c r="K180" i="5"/>
  <c r="N180" i="5" s="1"/>
  <c r="E272" i="21"/>
  <c r="H272" i="21" s="1"/>
  <c r="K184" i="5"/>
  <c r="N184" i="5" s="1"/>
  <c r="K192" i="5"/>
  <c r="N192" i="5" s="1"/>
  <c r="E125" i="21"/>
  <c r="H125" i="21" s="1"/>
  <c r="N197" i="5"/>
  <c r="D94" i="9"/>
  <c r="D92" i="9"/>
  <c r="D93" i="9"/>
  <c r="D91" i="9"/>
  <c r="D90" i="9"/>
  <c r="D30" i="9"/>
  <c r="BI30" i="9" s="1"/>
  <c r="D31" i="9"/>
  <c r="BI31" i="9" s="1"/>
  <c r="D32" i="9"/>
  <c r="D21" i="9"/>
  <c r="D20" i="9"/>
  <c r="D23" i="9"/>
  <c r="D25" i="9"/>
  <c r="D29" i="9"/>
  <c r="BI29" i="9" s="1"/>
  <c r="D28" i="9"/>
  <c r="BI28" i="9" s="1"/>
  <c r="D27" i="9"/>
  <c r="BI27" i="9" s="1"/>
  <c r="D26" i="9"/>
  <c r="BI26" i="9" s="1"/>
  <c r="D24" i="9"/>
  <c r="D22" i="9"/>
  <c r="O287" i="5"/>
  <c r="E70" i="21"/>
  <c r="H70" i="21" s="1"/>
  <c r="K164" i="5"/>
  <c r="O164" i="5" s="1"/>
  <c r="N188" i="5"/>
  <c r="O154" i="5"/>
  <c r="E146" i="21"/>
  <c r="H146" i="21" s="1"/>
  <c r="O162" i="5"/>
  <c r="E153" i="21"/>
  <c r="H153" i="21" s="1"/>
  <c r="O170" i="5"/>
  <c r="E356" i="21"/>
  <c r="H356" i="21" s="1"/>
  <c r="N185" i="5"/>
  <c r="E359" i="21"/>
  <c r="H359" i="21" s="1"/>
  <c r="O189" i="5"/>
  <c r="E337" i="21"/>
  <c r="E126" i="21"/>
  <c r="H126" i="21" s="1"/>
  <c r="O219" i="5"/>
  <c r="E297" i="21"/>
  <c r="E124" i="21"/>
  <c r="H124" i="21" s="1"/>
  <c r="O150" i="5"/>
  <c r="E69" i="21"/>
  <c r="H69" i="21" s="1"/>
  <c r="N156" i="5"/>
  <c r="E178" i="21"/>
  <c r="H178" i="21" s="1"/>
  <c r="N172" i="5"/>
  <c r="E32" i="21"/>
  <c r="H32" i="21" s="1"/>
  <c r="O247" i="5"/>
  <c r="E283" i="21"/>
  <c r="O178" i="5"/>
  <c r="O182" i="5"/>
  <c r="O186" i="5"/>
  <c r="O190" i="5"/>
  <c r="O214" i="5"/>
  <c r="E196" i="21"/>
  <c r="H196" i="21" s="1"/>
  <c r="O239" i="5"/>
  <c r="E303" i="21"/>
  <c r="O255" i="5"/>
  <c r="E351" i="21"/>
  <c r="O158" i="5"/>
  <c r="E112" i="21"/>
  <c r="H112" i="21" s="1"/>
  <c r="E281" i="21"/>
  <c r="E342" i="21"/>
  <c r="O244" i="5"/>
  <c r="O187" i="5"/>
  <c r="E134" i="21"/>
  <c r="H134" i="21" s="1"/>
  <c r="O223" i="5"/>
  <c r="E314" i="21"/>
  <c r="O236" i="5"/>
  <c r="E51" i="21"/>
  <c r="H51" i="21" s="1"/>
  <c r="O252" i="5"/>
  <c r="E353" i="21"/>
  <c r="H353" i="21" s="1"/>
  <c r="O160" i="5"/>
  <c r="E92" i="21"/>
  <c r="O174" i="5"/>
  <c r="E330" i="21"/>
  <c r="H330" i="21" s="1"/>
  <c r="O206" i="5"/>
  <c r="E306" i="21"/>
  <c r="H306" i="21" s="1"/>
  <c r="C309" i="8" s="1"/>
  <c r="O211" i="5"/>
  <c r="E56" i="21"/>
  <c r="H56" i="21" s="1"/>
  <c r="O228" i="5"/>
  <c r="E200" i="21"/>
  <c r="H200" i="21" s="1"/>
  <c r="O271" i="5"/>
  <c r="O279" i="5"/>
  <c r="E267" i="21"/>
  <c r="H267" i="21" s="1"/>
  <c r="H35" i="21"/>
  <c r="H202" i="21"/>
  <c r="D62" i="9"/>
  <c r="N270" i="5"/>
  <c r="O270" i="5"/>
  <c r="K32" i="5"/>
  <c r="O32" i="5" s="1"/>
  <c r="K38" i="5"/>
  <c r="O38" i="5" s="1"/>
  <c r="K46" i="5"/>
  <c r="O46" i="5" s="1"/>
  <c r="K31" i="5"/>
  <c r="K36" i="5"/>
  <c r="K44" i="5"/>
  <c r="N44" i="5" s="1"/>
  <c r="K34" i="5"/>
  <c r="K42" i="5"/>
  <c r="O42" i="5" s="1"/>
  <c r="K40" i="5"/>
  <c r="O40" i="5" s="1"/>
  <c r="K48" i="5"/>
  <c r="N48" i="5" s="1"/>
  <c r="K14" i="5"/>
  <c r="K22" i="5"/>
  <c r="N22" i="5" s="1"/>
  <c r="K30" i="5"/>
  <c r="K56" i="5"/>
  <c r="O56" i="5" s="1"/>
  <c r="K15" i="5"/>
  <c r="N15" i="5" s="1"/>
  <c r="K20" i="5"/>
  <c r="N20" i="5" s="1"/>
  <c r="K28" i="5"/>
  <c r="K54" i="5"/>
  <c r="O54" i="5" s="1"/>
  <c r="K26" i="5"/>
  <c r="K47" i="5"/>
  <c r="O47" i="5" s="1"/>
  <c r="K52" i="5"/>
  <c r="N52" i="5" s="1"/>
  <c r="K24" i="5"/>
  <c r="K50" i="5"/>
  <c r="O50" i="5" s="1"/>
  <c r="E36" i="21"/>
  <c r="K21" i="5"/>
  <c r="N21" i="5" s="1"/>
  <c r="K29" i="5"/>
  <c r="K39" i="5"/>
  <c r="N39" i="5" s="1"/>
  <c r="K57" i="5"/>
  <c r="O57" i="5" s="1"/>
  <c r="N211" i="5"/>
  <c r="N228" i="5"/>
  <c r="N244" i="5"/>
  <c r="K27" i="5"/>
  <c r="E33" i="21" s="1"/>
  <c r="I33" i="21" s="1"/>
  <c r="K37" i="5"/>
  <c r="O37" i="5" s="1"/>
  <c r="K45" i="5"/>
  <c r="N45" i="5" s="1"/>
  <c r="K55" i="5"/>
  <c r="O55" i="5" s="1"/>
  <c r="K25" i="5"/>
  <c r="K43" i="5"/>
  <c r="O43" i="5" s="1"/>
  <c r="K53" i="5"/>
  <c r="O53" i="5" s="1"/>
  <c r="N219" i="5"/>
  <c r="N236" i="5"/>
  <c r="N252" i="5"/>
  <c r="K13" i="5"/>
  <c r="N13" i="5" s="1"/>
  <c r="K23" i="5"/>
  <c r="K41" i="5"/>
  <c r="O41" i="5" s="1"/>
  <c r="K18" i="5"/>
  <c r="N18" i="5" s="1"/>
  <c r="K16" i="5"/>
  <c r="N16" i="5" s="1"/>
  <c r="N152" i="5"/>
  <c r="O152" i="5"/>
  <c r="N195" i="5"/>
  <c r="N210" i="5"/>
  <c r="O210" i="5"/>
  <c r="N218" i="5"/>
  <c r="O218" i="5"/>
  <c r="N227" i="5"/>
  <c r="O227" i="5"/>
  <c r="N235" i="5"/>
  <c r="O235" i="5"/>
  <c r="N243" i="5"/>
  <c r="O243" i="5"/>
  <c r="N251" i="5"/>
  <c r="O251" i="5"/>
  <c r="N259" i="5"/>
  <c r="O259" i="5"/>
  <c r="O272" i="5"/>
  <c r="N272" i="5"/>
  <c r="O276" i="5"/>
  <c r="N276" i="5"/>
  <c r="N291" i="5"/>
  <c r="O291" i="5"/>
  <c r="N295" i="5"/>
  <c r="O295" i="5"/>
  <c r="O284" i="5"/>
  <c r="N284" i="5"/>
  <c r="N176" i="5"/>
  <c r="O176" i="5"/>
  <c r="O264" i="5"/>
  <c r="N264" i="5"/>
  <c r="O268" i="5"/>
  <c r="N268" i="5"/>
  <c r="N283" i="5"/>
  <c r="O283" i="5"/>
  <c r="N160" i="5"/>
  <c r="O203" i="5"/>
  <c r="N203" i="5"/>
  <c r="N267" i="5"/>
  <c r="O267" i="5"/>
  <c r="O280" i="5"/>
  <c r="N280" i="5"/>
  <c r="N168" i="5"/>
  <c r="O168" i="5"/>
  <c r="O207" i="5"/>
  <c r="N207" i="5"/>
  <c r="O215" i="5"/>
  <c r="N215" i="5"/>
  <c r="O224" i="5"/>
  <c r="N224" i="5"/>
  <c r="O232" i="5"/>
  <c r="N232" i="5"/>
  <c r="O240" i="5"/>
  <c r="N240" i="5"/>
  <c r="O248" i="5"/>
  <c r="N248" i="5"/>
  <c r="O256" i="5"/>
  <c r="N256" i="5"/>
  <c r="O260" i="5"/>
  <c r="N260" i="5"/>
  <c r="N275" i="5"/>
  <c r="O275" i="5"/>
  <c r="O288" i="5"/>
  <c r="N288" i="5"/>
  <c r="O156" i="5"/>
  <c r="O172" i="5"/>
  <c r="O185" i="5"/>
  <c r="N186" i="5"/>
  <c r="N198" i="5"/>
  <c r="N206" i="5"/>
  <c r="N214" i="5"/>
  <c r="N223" i="5"/>
  <c r="N239" i="5"/>
  <c r="N247" i="5"/>
  <c r="N255" i="5"/>
  <c r="N271" i="5"/>
  <c r="N279" i="5"/>
  <c r="N287" i="5"/>
  <c r="K17" i="5"/>
  <c r="N17" i="5" s="1"/>
  <c r="K19" i="5"/>
  <c r="N19" i="5" s="1"/>
  <c r="K33" i="5"/>
  <c r="K35" i="5"/>
  <c r="K49" i="5"/>
  <c r="N49" i="5" s="1"/>
  <c r="K51" i="5"/>
  <c r="N51" i="5" s="1"/>
  <c r="N189" i="5"/>
  <c r="N292" i="5"/>
  <c r="N296" i="5"/>
  <c r="O153" i="5"/>
  <c r="N153" i="5"/>
  <c r="O159" i="5"/>
  <c r="N159" i="5"/>
  <c r="O169" i="5"/>
  <c r="N169" i="5"/>
  <c r="O175" i="5"/>
  <c r="N175" i="5"/>
  <c r="O155" i="5"/>
  <c r="N155" i="5"/>
  <c r="O165" i="5"/>
  <c r="N165" i="5"/>
  <c r="O171" i="5"/>
  <c r="N171" i="5"/>
  <c r="O151" i="5"/>
  <c r="N151" i="5"/>
  <c r="N161" i="5"/>
  <c r="O161" i="5"/>
  <c r="O167" i="5"/>
  <c r="N167" i="5"/>
  <c r="N157" i="5"/>
  <c r="O157" i="5"/>
  <c r="O163" i="5"/>
  <c r="N163" i="5"/>
  <c r="N173" i="5"/>
  <c r="O173" i="5"/>
  <c r="N191" i="5"/>
  <c r="N150" i="5"/>
  <c r="N154" i="5"/>
  <c r="N158" i="5"/>
  <c r="N162" i="5"/>
  <c r="N170" i="5"/>
  <c r="N174" i="5"/>
  <c r="N178" i="5"/>
  <c r="N182" i="5"/>
  <c r="N187" i="5"/>
  <c r="O188" i="5"/>
  <c r="N190" i="5"/>
  <c r="O205" i="5"/>
  <c r="N205" i="5"/>
  <c r="O208" i="5"/>
  <c r="N208" i="5"/>
  <c r="O213" i="5"/>
  <c r="N213" i="5"/>
  <c r="O216" i="5"/>
  <c r="N216" i="5"/>
  <c r="O221" i="5"/>
  <c r="N221" i="5"/>
  <c r="O225" i="5"/>
  <c r="N225" i="5"/>
  <c r="O230" i="5"/>
  <c r="N230" i="5"/>
  <c r="O233" i="5"/>
  <c r="N233" i="5"/>
  <c r="O238" i="5"/>
  <c r="N238" i="5"/>
  <c r="O241" i="5"/>
  <c r="N241" i="5"/>
  <c r="O246" i="5"/>
  <c r="N246" i="5"/>
  <c r="O249" i="5"/>
  <c r="N249" i="5"/>
  <c r="O254" i="5"/>
  <c r="N254" i="5"/>
  <c r="O257" i="5"/>
  <c r="N257" i="5"/>
  <c r="O262" i="5"/>
  <c r="N262" i="5"/>
  <c r="O265" i="5"/>
  <c r="N265" i="5"/>
  <c r="O273" i="5"/>
  <c r="N273" i="5"/>
  <c r="O278" i="5"/>
  <c r="N278" i="5"/>
  <c r="O281" i="5"/>
  <c r="N281" i="5"/>
  <c r="O286" i="5"/>
  <c r="N286" i="5"/>
  <c r="O289" i="5"/>
  <c r="N289" i="5"/>
  <c r="O293" i="5"/>
  <c r="N293" i="5"/>
  <c r="O297" i="5"/>
  <c r="N297" i="5"/>
  <c r="O204" i="5"/>
  <c r="N204" i="5"/>
  <c r="O209" i="5"/>
  <c r="N209" i="5"/>
  <c r="O212" i="5"/>
  <c r="N212" i="5"/>
  <c r="O217" i="5"/>
  <c r="N217" i="5"/>
  <c r="O220" i="5"/>
  <c r="N220" i="5"/>
  <c r="O226" i="5"/>
  <c r="N226" i="5"/>
  <c r="O229" i="5"/>
  <c r="N229" i="5"/>
  <c r="O237" i="5"/>
  <c r="N237" i="5"/>
  <c r="O242" i="5"/>
  <c r="N242" i="5"/>
  <c r="O245" i="5"/>
  <c r="N245" i="5"/>
  <c r="O250" i="5"/>
  <c r="N250" i="5"/>
  <c r="O253" i="5"/>
  <c r="N253" i="5"/>
  <c r="O258" i="5"/>
  <c r="N258" i="5"/>
  <c r="O261" i="5"/>
  <c r="N261" i="5"/>
  <c r="O266" i="5"/>
  <c r="N266" i="5"/>
  <c r="O274" i="5"/>
  <c r="N274" i="5"/>
  <c r="O277" i="5"/>
  <c r="N277" i="5"/>
  <c r="O282" i="5"/>
  <c r="N282" i="5"/>
  <c r="O285" i="5"/>
  <c r="N285" i="5"/>
  <c r="O294" i="5"/>
  <c r="N294" i="5"/>
  <c r="O298" i="5"/>
  <c r="N298" i="5"/>
  <c r="E103" i="21" l="1"/>
  <c r="H103" i="21" s="1"/>
  <c r="E357" i="21"/>
  <c r="H357" i="21" s="1"/>
  <c r="E354" i="21"/>
  <c r="H354" i="21" s="1"/>
  <c r="E313" i="21"/>
  <c r="H313" i="21" s="1"/>
  <c r="E229" i="21"/>
  <c r="H229" i="21" s="1"/>
  <c r="E100" i="21"/>
  <c r="H100" i="21" s="1"/>
  <c r="N193" i="5"/>
  <c r="N202" i="5"/>
  <c r="E214" i="21"/>
  <c r="H214" i="21" s="1"/>
  <c r="E338" i="21"/>
  <c r="H338" i="21" s="1"/>
  <c r="E238" i="21"/>
  <c r="H238" i="21" s="1"/>
  <c r="O202" i="5"/>
  <c r="E34" i="21"/>
  <c r="H34" i="21" s="1"/>
  <c r="O180" i="5"/>
  <c r="O14" i="5"/>
  <c r="N14" i="5"/>
  <c r="E127" i="21"/>
  <c r="E251" i="21"/>
  <c r="H251" i="21" s="1"/>
  <c r="N200" i="5"/>
  <c r="E228" i="21"/>
  <c r="H228" i="21" s="1"/>
  <c r="H275" i="21"/>
  <c r="N181" i="5"/>
  <c r="E181" i="21"/>
  <c r="E65" i="21"/>
  <c r="H65" i="21" s="1"/>
  <c r="E97" i="21"/>
  <c r="H97" i="21" s="1"/>
  <c r="E307" i="21"/>
  <c r="H307" i="21" s="1"/>
  <c r="O191" i="5"/>
  <c r="E225" i="21"/>
  <c r="H225" i="21" s="1"/>
  <c r="E135" i="21"/>
  <c r="N179" i="5"/>
  <c r="O184" i="5"/>
  <c r="O183" i="5"/>
  <c r="N201" i="5"/>
  <c r="N177" i="5"/>
  <c r="O192" i="5"/>
  <c r="N164" i="5"/>
  <c r="N36" i="5"/>
  <c r="E89" i="21"/>
  <c r="O35" i="5"/>
  <c r="E37" i="21"/>
  <c r="H37" i="21" s="1"/>
  <c r="E185" i="21"/>
  <c r="O30" i="5"/>
  <c r="E304" i="21"/>
  <c r="O34" i="5"/>
  <c r="E179" i="21"/>
  <c r="H179" i="21" s="1"/>
  <c r="O33" i="5"/>
  <c r="E17" i="21"/>
  <c r="O31" i="5"/>
  <c r="E224" i="21"/>
  <c r="O29" i="5"/>
  <c r="E166" i="21"/>
  <c r="H166" i="21" s="1"/>
  <c r="O28" i="5"/>
  <c r="E298" i="21"/>
  <c r="H298" i="21" s="1"/>
  <c r="N27" i="5"/>
  <c r="E48" i="21"/>
  <c r="O26" i="5"/>
  <c r="E204" i="21"/>
  <c r="H204" i="21" s="1"/>
  <c r="N25" i="5"/>
  <c r="E300" i="21"/>
  <c r="N24" i="5"/>
  <c r="E299" i="21"/>
  <c r="N23" i="5"/>
  <c r="E253" i="21"/>
  <c r="O22" i="5"/>
  <c r="E254" i="21"/>
  <c r="E301" i="21"/>
  <c r="O20" i="5"/>
  <c r="E326" i="21"/>
  <c r="O19" i="5"/>
  <c r="E302" i="21"/>
  <c r="O18" i="5"/>
  <c r="E327" i="21"/>
  <c r="E64" i="21"/>
  <c r="H64" i="21" s="1"/>
  <c r="O16" i="5"/>
  <c r="E176" i="21"/>
  <c r="E16" i="21"/>
  <c r="O13" i="5"/>
  <c r="E41" i="21"/>
  <c r="O12" i="5"/>
  <c r="E45" i="21"/>
  <c r="H57" i="21"/>
  <c r="H342" i="21"/>
  <c r="O10" i="5"/>
  <c r="E27" i="21"/>
  <c r="H27" i="21" s="1"/>
  <c r="O11" i="5"/>
  <c r="N43" i="5"/>
  <c r="N46" i="5"/>
  <c r="O39" i="5"/>
  <c r="O23" i="5"/>
  <c r="N31" i="5"/>
  <c r="N26" i="5"/>
  <c r="N57" i="5"/>
  <c r="N12" i="5"/>
  <c r="N55" i="5"/>
  <c r="N40" i="5"/>
  <c r="N47" i="5"/>
  <c r="N38" i="5"/>
  <c r="N32" i="5"/>
  <c r="N28" i="5"/>
  <c r="O52" i="5"/>
  <c r="N30" i="5"/>
  <c r="N37" i="5"/>
  <c r="O25" i="5"/>
  <c r="O36" i="5"/>
  <c r="N54" i="5"/>
  <c r="O44" i="5"/>
  <c r="O24" i="5"/>
  <c r="N35" i="5"/>
  <c r="N41" i="5"/>
  <c r="O27" i="5"/>
  <c r="N29" i="5"/>
  <c r="O45" i="5"/>
  <c r="O21" i="5"/>
  <c r="O48" i="5"/>
  <c r="O17" i="5"/>
  <c r="N34" i="5"/>
  <c r="N53" i="5"/>
  <c r="N56" i="5"/>
  <c r="O15" i="5"/>
  <c r="N50" i="5"/>
  <c r="N10" i="5"/>
  <c r="N33" i="5"/>
  <c r="N42" i="5"/>
  <c r="O49" i="5"/>
  <c r="O51" i="5"/>
  <c r="N11" i="5" l="1"/>
  <c r="D893" i="1"/>
  <c r="D892" i="1"/>
  <c r="D879" i="1" l="1"/>
  <c r="D878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117" i="9" l="1"/>
  <c r="D118" i="9" s="1"/>
  <c r="D125" i="9"/>
  <c r="D126" i="9" s="1"/>
  <c r="D127" i="9" s="1"/>
  <c r="O8" i="11" l="1"/>
  <c r="D842" i="1" l="1"/>
  <c r="D837" i="1" l="1"/>
  <c r="D830" i="1" l="1"/>
  <c r="D831" i="1"/>
  <c r="D832" i="1"/>
  <c r="D833" i="1"/>
  <c r="D834" i="1"/>
  <c r="D835" i="1"/>
  <c r="D836" i="1"/>
  <c r="D829" i="1"/>
  <c r="D825" i="1"/>
  <c r="D812" i="1" l="1"/>
  <c r="D811" i="1"/>
  <c r="D806" i="1" l="1"/>
  <c r="D807" i="1"/>
  <c r="D808" i="1"/>
  <c r="D809" i="1"/>
  <c r="D805" i="1"/>
  <c r="D804" i="1"/>
  <c r="D723" i="1"/>
  <c r="D777" i="1" l="1"/>
  <c r="D795" i="1" l="1"/>
  <c r="D794" i="1"/>
  <c r="D787" i="1" l="1"/>
  <c r="D788" i="1"/>
  <c r="D789" i="1"/>
  <c r="D790" i="1"/>
  <c r="D791" i="1"/>
  <c r="D792" i="1"/>
  <c r="D793" i="1"/>
  <c r="D781" i="1" l="1"/>
  <c r="D780" i="1"/>
  <c r="D779" i="1"/>
  <c r="D776" i="1"/>
  <c r="D774" i="1"/>
  <c r="D773" i="1"/>
  <c r="D772" i="1"/>
  <c r="D771" i="1"/>
  <c r="D950" i="1"/>
  <c r="D949" i="1"/>
  <c r="D948" i="1"/>
  <c r="D947" i="1"/>
  <c r="D946" i="1"/>
  <c r="D945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1" i="1"/>
  <c r="D840" i="1"/>
  <c r="D839" i="1"/>
  <c r="D838" i="1"/>
  <c r="D828" i="1"/>
  <c r="D827" i="1"/>
  <c r="D826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0" i="1"/>
  <c r="D803" i="1"/>
  <c r="D802" i="1"/>
  <c r="D801" i="1"/>
  <c r="D800" i="1"/>
  <c r="D799" i="1"/>
  <c r="D798" i="1"/>
  <c r="D797" i="1"/>
  <c r="D796" i="1"/>
  <c r="D786" i="1"/>
  <c r="D785" i="1"/>
  <c r="D784" i="1"/>
  <c r="D783" i="1"/>
  <c r="D782" i="1"/>
  <c r="D778" i="1"/>
  <c r="D775" i="1"/>
  <c r="D770" i="1"/>
  <c r="D760" i="1" l="1"/>
  <c r="D761" i="1"/>
  <c r="D763" i="1"/>
  <c r="D764" i="1"/>
  <c r="D765" i="1"/>
  <c r="D753" i="1" l="1"/>
  <c r="D752" i="1"/>
  <c r="D751" i="1"/>
  <c r="H667" i="2" l="1"/>
  <c r="H668" i="2" s="1"/>
  <c r="D734" i="1"/>
  <c r="D736" i="1"/>
  <c r="D737" i="1"/>
  <c r="D738" i="1"/>
  <c r="D730" i="1"/>
  <c r="D731" i="1"/>
  <c r="D732" i="1"/>
  <c r="D728" i="1"/>
  <c r="D727" i="1"/>
  <c r="D721" i="1"/>
  <c r="D720" i="1"/>
  <c r="H669" i="2" l="1"/>
  <c r="H670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H854" i="2" s="1"/>
  <c r="H855" i="2" s="1"/>
  <c r="H856" i="2" s="1"/>
  <c r="H857" i="2" s="1"/>
  <c r="H858" i="2" s="1"/>
  <c r="H859" i="2" s="1"/>
  <c r="H860" i="2" s="1"/>
  <c r="H861" i="2" s="1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929" i="2" s="1"/>
  <c r="H930" i="2" s="1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H1078" i="2" s="1"/>
  <c r="H1079" i="2" s="1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H1122" i="2" s="1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H1283" i="2" s="1"/>
  <c r="H1284" i="2" s="1"/>
  <c r="H1285" i="2" s="1"/>
  <c r="H1286" i="2" s="1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358" i="2" s="1"/>
  <c r="H1359" i="2" s="1"/>
  <c r="H1360" i="2" s="1"/>
  <c r="H1361" i="2" s="1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H1378" i="2" s="1"/>
  <c r="H1379" i="2" s="1"/>
  <c r="H1380" i="2" s="1"/>
  <c r="H1381" i="2" s="1"/>
  <c r="H1382" i="2" s="1"/>
  <c r="H1383" i="2" s="1"/>
  <c r="H1384" i="2" s="1"/>
  <c r="H1385" i="2" s="1"/>
  <c r="H1386" i="2" s="1"/>
  <c r="H1387" i="2" s="1"/>
  <c r="H1388" i="2" s="1"/>
  <c r="H1389" i="2" s="1"/>
  <c r="H1390" i="2" s="1"/>
  <c r="H1391" i="2" s="1"/>
  <c r="H1392" i="2" s="1"/>
  <c r="H1393" i="2" s="1"/>
  <c r="H1394" i="2" s="1"/>
  <c r="H1395" i="2" s="1"/>
  <c r="H1396" i="2" s="1"/>
  <c r="H1397" i="2" s="1"/>
  <c r="H1398" i="2" s="1"/>
  <c r="H1399" i="2" s="1"/>
  <c r="H1400" i="2" s="1"/>
  <c r="H1401" i="2" s="1"/>
  <c r="H1402" i="2" s="1"/>
  <c r="H1403" i="2" s="1"/>
  <c r="H1404" i="2" s="1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1451" i="2" s="1"/>
  <c r="H1452" i="2" s="1"/>
  <c r="H1453" i="2" s="1"/>
  <c r="H1454" i="2" s="1"/>
  <c r="H1455" i="2" s="1"/>
  <c r="H1456" i="2" s="1"/>
  <c r="H1457" i="2" s="1"/>
  <c r="H1458" i="2" s="1"/>
  <c r="H1459" i="2" s="1"/>
  <c r="H1460" i="2" s="1"/>
  <c r="H1461" i="2" s="1"/>
  <c r="H1462" i="2" s="1"/>
  <c r="H1463" i="2" s="1"/>
  <c r="H1464" i="2" s="1"/>
  <c r="H1465" i="2" s="1"/>
  <c r="H1466" i="2" s="1"/>
  <c r="H1467" i="2" s="1"/>
  <c r="H1468" i="2" s="1"/>
  <c r="H1469" i="2" s="1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510" i="2" s="1"/>
  <c r="H1511" i="2" s="1"/>
  <c r="H1512" i="2" s="1"/>
  <c r="H1513" i="2" s="1"/>
  <c r="H1514" i="2" s="1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H1529" i="2" s="1"/>
  <c r="H1530" i="2" s="1"/>
  <c r="H1531" i="2" s="1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H1547" i="2" s="1"/>
  <c r="H1548" i="2" s="1"/>
  <c r="H1549" i="2" s="1"/>
  <c r="H1550" i="2" s="1"/>
  <c r="H1551" i="2" s="1"/>
  <c r="H1552" i="2" s="1"/>
  <c r="H1553" i="2" s="1"/>
  <c r="H1554" i="2" s="1"/>
  <c r="H1555" i="2" s="1"/>
  <c r="H1556" i="2" s="1"/>
  <c r="H1557" i="2" s="1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H1585" i="2" s="1"/>
  <c r="H1586" i="2" s="1"/>
  <c r="H1587" i="2" s="1"/>
  <c r="H1588" i="2" s="1"/>
  <c r="H1589" i="2" s="1"/>
  <c r="H1590" i="2" s="1"/>
  <c r="H1591" i="2" s="1"/>
  <c r="H1592" i="2" s="1"/>
  <c r="H1593" i="2" s="1"/>
  <c r="H1594" i="2" s="1"/>
  <c r="H1595" i="2" s="1"/>
  <c r="H1596" i="2" s="1"/>
  <c r="H1597" i="2" s="1"/>
  <c r="H1598" i="2" s="1"/>
  <c r="H1599" i="2" s="1"/>
  <c r="H1600" i="2" s="1"/>
  <c r="H1601" i="2" s="1"/>
  <c r="H1602" i="2" s="1"/>
  <c r="H1603" i="2" s="1"/>
  <c r="H1604" i="2" s="1"/>
  <c r="H1605" i="2" s="1"/>
  <c r="H1606" i="2" s="1"/>
  <c r="H1607" i="2" s="1"/>
  <c r="H1608" i="2" s="1"/>
  <c r="H1609" i="2" s="1"/>
  <c r="H1610" i="2" s="1"/>
  <c r="H1611" i="2" s="1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623" i="2" s="1"/>
  <c r="H1624" i="2" s="1"/>
  <c r="H1625" i="2" s="1"/>
  <c r="H1626" i="2" s="1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7" i="2" s="1"/>
  <c r="H1648" i="2" s="1"/>
  <c r="H1649" i="2" s="1"/>
  <c r="H1650" i="2" s="1"/>
  <c r="H1651" i="2" s="1"/>
  <c r="H1652" i="2" s="1"/>
  <c r="H1653" i="2" s="1"/>
  <c r="H1654" i="2" s="1"/>
  <c r="H1655" i="2" s="1"/>
  <c r="H1656" i="2" s="1"/>
  <c r="H1657" i="2" s="1"/>
  <c r="H1658" i="2" s="1"/>
  <c r="H1659" i="2" s="1"/>
  <c r="H1660" i="2" s="1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H1680" i="2" s="1"/>
  <c r="H1681" i="2" s="1"/>
  <c r="H1682" i="2" s="1"/>
  <c r="H1683" i="2" s="1"/>
  <c r="H1684" i="2" s="1"/>
  <c r="H1685" i="2" s="1"/>
  <c r="H1686" i="2" s="1"/>
  <c r="H1687" i="2" s="1"/>
  <c r="H1688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698" i="2" s="1"/>
  <c r="H1699" i="2" s="1"/>
  <c r="H1700" i="2" s="1"/>
  <c r="H1701" i="2" s="1"/>
  <c r="H1702" i="2" s="1"/>
  <c r="H1703" i="2" s="1"/>
  <c r="H1704" i="2" s="1"/>
  <c r="H1705" i="2" s="1"/>
  <c r="H1706" i="2" s="1"/>
  <c r="H1707" i="2" s="1"/>
  <c r="H1708" i="2" s="1"/>
  <c r="H1709" i="2" s="1"/>
  <c r="H1710" i="2" s="1"/>
  <c r="H1711" i="2" s="1"/>
  <c r="H1712" i="2" s="1"/>
  <c r="H1713" i="2" s="1"/>
  <c r="H1714" i="2" s="1"/>
  <c r="H1715" i="2" s="1"/>
  <c r="H1716" i="2" s="1"/>
  <c r="H1717" i="2" s="1"/>
  <c r="H1718" i="2" s="1"/>
  <c r="H1719" i="2" s="1"/>
  <c r="H1720" i="2" s="1"/>
  <c r="H1721" i="2" s="1"/>
  <c r="H1722" i="2" s="1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H1734" i="2" s="1"/>
  <c r="H1735" i="2" s="1"/>
  <c r="H1736" i="2" s="1"/>
  <c r="H1737" i="2" s="1"/>
  <c r="H1738" i="2" s="1"/>
  <c r="H1739" i="2" s="1"/>
  <c r="H1740" i="2" s="1"/>
  <c r="H1741" i="2" s="1"/>
  <c r="H1742" i="2" s="1"/>
  <c r="H1743" i="2" s="1"/>
  <c r="H1744" i="2" s="1"/>
  <c r="H1745" i="2" s="1"/>
  <c r="H1746" i="2" s="1"/>
  <c r="H1747" i="2" s="1"/>
  <c r="H1748" i="2" s="1"/>
  <c r="H1749" i="2" s="1"/>
  <c r="H1750" i="2" s="1"/>
  <c r="H1751" i="2" s="1"/>
  <c r="H1752" i="2" s="1"/>
  <c r="H1753" i="2" s="1"/>
  <c r="H1754" i="2" s="1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H1770" i="2" s="1"/>
  <c r="H1771" i="2" s="1"/>
  <c r="H1772" i="2" s="1"/>
  <c r="H1773" i="2" s="1"/>
  <c r="H1774" i="2" s="1"/>
  <c r="H1775" i="2" s="1"/>
  <c r="H1776" i="2" s="1"/>
  <c r="H1777" i="2" s="1"/>
  <c r="H1778" i="2" s="1"/>
  <c r="H1779" i="2" s="1"/>
  <c r="H1780" i="2" s="1"/>
  <c r="H1781" i="2" s="1"/>
  <c r="H1782" i="2" s="1"/>
  <c r="H1783" i="2" s="1"/>
  <c r="H1784" i="2" s="1"/>
  <c r="H1785" i="2" s="1"/>
  <c r="H1786" i="2" s="1"/>
  <c r="H1787" i="2" s="1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H1798" i="2" s="1"/>
  <c r="H1799" i="2" s="1"/>
  <c r="H1800" i="2" s="1"/>
  <c r="H1801" i="2" s="1"/>
  <c r="H1802" i="2" s="1"/>
  <c r="H1803" i="2" s="1"/>
  <c r="H1804" i="2" s="1"/>
  <c r="H1805" i="2" s="1"/>
  <c r="H1806" i="2" s="1"/>
  <c r="H1807" i="2" s="1"/>
  <c r="H1808" i="2" s="1"/>
  <c r="H1809" i="2" s="1"/>
  <c r="H1810" i="2" s="1"/>
  <c r="H1811" i="2" s="1"/>
  <c r="H1812" i="2" s="1"/>
  <c r="H1813" i="2" s="1"/>
  <c r="H1814" i="2" s="1"/>
  <c r="H1815" i="2" s="1"/>
  <c r="H1816" i="2" s="1"/>
  <c r="H1817" i="2" s="1"/>
  <c r="H1818" i="2" s="1"/>
  <c r="H1819" i="2" s="1"/>
  <c r="H1820" i="2" s="1"/>
  <c r="H1821" i="2" s="1"/>
  <c r="H1822" i="2" s="1"/>
  <c r="H1823" i="2" s="1"/>
  <c r="H1824" i="2" s="1"/>
  <c r="H1825" i="2" s="1"/>
  <c r="H1826" i="2" s="1"/>
  <c r="H1827" i="2" s="1"/>
  <c r="H1828" i="2" s="1"/>
  <c r="H1829" i="2" s="1"/>
  <c r="H1830" i="2" s="1"/>
  <c r="H1831" i="2" s="1"/>
  <c r="H1832" i="2" s="1"/>
  <c r="H1833" i="2" s="1"/>
  <c r="H1834" i="2" s="1"/>
  <c r="H1835" i="2" s="1"/>
  <c r="H1836" i="2" s="1"/>
  <c r="H1837" i="2" s="1"/>
  <c r="H1838" i="2" s="1"/>
  <c r="H1839" i="2" s="1"/>
  <c r="H1840" i="2" s="1"/>
  <c r="H1841" i="2" s="1"/>
  <c r="H1842" i="2" s="1"/>
  <c r="H1843" i="2" s="1"/>
  <c r="H1844" i="2" s="1"/>
  <c r="H1845" i="2" s="1"/>
  <c r="H1846" i="2" s="1"/>
  <c r="H1847" i="2" s="1"/>
  <c r="H1848" i="2" s="1"/>
  <c r="H1849" i="2" s="1"/>
  <c r="H1850" i="2" s="1"/>
  <c r="H1851" i="2" s="1"/>
  <c r="H1852" i="2" s="1"/>
  <c r="H1853" i="2" s="1"/>
  <c r="H1854" i="2" s="1"/>
  <c r="H1855" i="2" s="1"/>
  <c r="H1856" i="2" s="1"/>
  <c r="H1857" i="2" s="1"/>
  <c r="H1858" i="2" s="1"/>
  <c r="H1859" i="2" s="1"/>
  <c r="H1860" i="2" s="1"/>
  <c r="H1861" i="2" s="1"/>
  <c r="H1862" i="2" s="1"/>
  <c r="H1863" i="2" s="1"/>
  <c r="H1864" i="2" s="1"/>
  <c r="H1865" i="2" s="1"/>
  <c r="H1866" i="2" s="1"/>
  <c r="H1867" i="2" s="1"/>
  <c r="H1868" i="2" s="1"/>
  <c r="H1869" i="2" s="1"/>
  <c r="H1870" i="2" s="1"/>
  <c r="H1871" i="2" s="1"/>
  <c r="H1872" i="2" s="1"/>
  <c r="H1873" i="2" s="1"/>
  <c r="H1874" i="2" s="1"/>
  <c r="H1875" i="2" s="1"/>
  <c r="H1876" i="2" s="1"/>
  <c r="H1877" i="2" s="1"/>
  <c r="H1878" i="2" s="1"/>
  <c r="H1879" i="2" s="1"/>
  <c r="H1880" i="2" s="1"/>
  <c r="H1881" i="2" s="1"/>
  <c r="H1882" i="2" s="1"/>
  <c r="H1883" i="2" s="1"/>
  <c r="H1884" i="2" s="1"/>
  <c r="H1885" i="2" s="1"/>
  <c r="H1886" i="2" s="1"/>
  <c r="H1887" i="2" s="1"/>
  <c r="H1888" i="2" s="1"/>
  <c r="H1889" i="2" s="1"/>
  <c r="H1890" i="2" s="1"/>
  <c r="H1891" i="2" s="1"/>
  <c r="H1892" i="2" s="1"/>
  <c r="H1893" i="2" s="1"/>
  <c r="H1894" i="2" s="1"/>
  <c r="H1895" i="2" s="1"/>
  <c r="H1896" i="2" s="1"/>
  <c r="H1897" i="2" s="1"/>
  <c r="H1898" i="2" s="1"/>
  <c r="H1899" i="2" s="1"/>
  <c r="H1900" i="2" s="1"/>
  <c r="H1901" i="2" s="1"/>
  <c r="H1902" i="2" s="1"/>
  <c r="H1903" i="2" s="1"/>
  <c r="H1904" i="2" s="1"/>
  <c r="H1905" i="2" s="1"/>
  <c r="H1906" i="2" s="1"/>
  <c r="H1907" i="2" s="1"/>
  <c r="H1908" i="2" s="1"/>
  <c r="H1909" i="2" s="1"/>
  <c r="H1910" i="2" s="1"/>
  <c r="H1911" i="2" s="1"/>
  <c r="H1912" i="2" s="1"/>
  <c r="H1913" i="2" s="1"/>
  <c r="H1914" i="2" s="1"/>
  <c r="H1915" i="2" s="1"/>
  <c r="H1916" i="2" s="1"/>
  <c r="H1917" i="2" s="1"/>
  <c r="H1918" i="2" s="1"/>
  <c r="H1919" i="2" s="1"/>
  <c r="H1920" i="2" s="1"/>
  <c r="H1921" i="2" s="1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938" i="2" s="1"/>
  <c r="H1939" i="2" s="1"/>
  <c r="H1940" i="2" s="1"/>
  <c r="H1941" i="2" s="1"/>
  <c r="H1942" i="2" s="1"/>
  <c r="H1943" i="2" s="1"/>
  <c r="H1944" i="2" s="1"/>
  <c r="H1945" i="2" s="1"/>
  <c r="H1946" i="2" s="1"/>
  <c r="H1947" i="2" s="1"/>
  <c r="H1948" i="2" s="1"/>
  <c r="H1949" i="2" s="1"/>
  <c r="H1950" i="2" s="1"/>
  <c r="H1951" i="2" s="1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1972" i="2" s="1"/>
  <c r="H1973" i="2" s="1"/>
  <c r="H1974" i="2" s="1"/>
  <c r="H1975" i="2" s="1"/>
  <c r="H1976" i="2" s="1"/>
  <c r="H1977" i="2" s="1"/>
  <c r="H1978" i="2" s="1"/>
  <c r="H1979" i="2" s="1"/>
  <c r="H1980" i="2" s="1"/>
  <c r="H1981" i="2" s="1"/>
  <c r="H1982" i="2" s="1"/>
  <c r="H1983" i="2" s="1"/>
  <c r="H1984" i="2" s="1"/>
  <c r="H1985" i="2" s="1"/>
  <c r="H1986" i="2" s="1"/>
  <c r="H1987" i="2" s="1"/>
  <c r="H1988" i="2" s="1"/>
  <c r="H1989" i="2" s="1"/>
  <c r="H1990" i="2" s="1"/>
  <c r="H1991" i="2" s="1"/>
  <c r="H1992" i="2" s="1"/>
  <c r="H1993" i="2" s="1"/>
  <c r="H1994" i="2" s="1"/>
  <c r="H1995" i="2" s="1"/>
  <c r="H1996" i="2" s="1"/>
  <c r="H1997" i="2" s="1"/>
  <c r="H1998" i="2" s="1"/>
  <c r="H1999" i="2" s="1"/>
  <c r="H2000" i="2" s="1"/>
  <c r="H2001" i="2" s="1"/>
  <c r="H2002" i="2" s="1"/>
  <c r="H2003" i="2" s="1"/>
  <c r="H2004" i="2" s="1"/>
  <c r="H2005" i="2" s="1"/>
  <c r="H2006" i="2" s="1"/>
  <c r="H2007" i="2" s="1"/>
  <c r="H2008" i="2" s="1"/>
  <c r="H2009" i="2" s="1"/>
  <c r="H2010" i="2" s="1"/>
  <c r="H2011" i="2" s="1"/>
  <c r="H2012" i="2" s="1"/>
  <c r="H2013" i="2" s="1"/>
  <c r="H2014" i="2" s="1"/>
  <c r="H2015" i="2" s="1"/>
  <c r="H2016" i="2" s="1"/>
  <c r="H2017" i="2" s="1"/>
  <c r="H2018" i="2" s="1"/>
  <c r="H2019" i="2" s="1"/>
  <c r="H2020" i="2" s="1"/>
  <c r="H2021" i="2" s="1"/>
  <c r="H2022" i="2" s="1"/>
  <c r="H2023" i="2" s="1"/>
  <c r="H2024" i="2" s="1"/>
  <c r="H2025" i="2" s="1"/>
  <c r="H2026" i="2" s="1"/>
  <c r="H2027" i="2" s="1"/>
  <c r="H2028" i="2" s="1"/>
  <c r="H2029" i="2" s="1"/>
  <c r="H2030" i="2" s="1"/>
  <c r="H2031" i="2" s="1"/>
  <c r="H2032" i="2" s="1"/>
  <c r="H2033" i="2" s="1"/>
  <c r="H2034" i="2" s="1"/>
  <c r="H2035" i="2" s="1"/>
  <c r="H2036" i="2" s="1"/>
  <c r="H2037" i="2" s="1"/>
  <c r="H2038" i="2" s="1"/>
  <c r="H2039" i="2" s="1"/>
  <c r="H2040" i="2" s="1"/>
  <c r="H2041" i="2" s="1"/>
  <c r="H2042" i="2" s="1"/>
  <c r="H2043" i="2" s="1"/>
  <c r="H2044" i="2" s="1"/>
  <c r="H2045" i="2" s="1"/>
  <c r="H2046" i="2" s="1"/>
  <c r="H2047" i="2" s="1"/>
  <c r="H2048" i="2" s="1"/>
  <c r="H2049" i="2" s="1"/>
  <c r="H2050" i="2" s="1"/>
  <c r="H2051" i="2" s="1"/>
  <c r="H2052" i="2" s="1"/>
  <c r="H2053" i="2" s="1"/>
  <c r="H2054" i="2" s="1"/>
  <c r="H2055" i="2" s="1"/>
  <c r="H2056" i="2" s="1"/>
  <c r="H2057" i="2" s="1"/>
  <c r="H2058" i="2" s="1"/>
  <c r="H2059" i="2" s="1"/>
  <c r="H2060" i="2" s="1"/>
  <c r="H2061" i="2" s="1"/>
  <c r="H2062" i="2" s="1"/>
  <c r="H2063" i="2" s="1"/>
  <c r="H2064" i="2" s="1"/>
  <c r="H2065" i="2" s="1"/>
  <c r="H2066" i="2" s="1"/>
  <c r="H2067" i="2" s="1"/>
  <c r="H2068" i="2" s="1"/>
  <c r="H2069" i="2" s="1"/>
  <c r="H2070" i="2" s="1"/>
  <c r="H2071" i="2" s="1"/>
  <c r="H2072" i="2" s="1"/>
  <c r="H2073" i="2" s="1"/>
  <c r="H2074" i="2" s="1"/>
  <c r="H2075" i="2" s="1"/>
  <c r="H2076" i="2" s="1"/>
  <c r="H2077" i="2" s="1"/>
  <c r="H2078" i="2" s="1"/>
  <c r="H2079" i="2" s="1"/>
  <c r="H2080" i="2" s="1"/>
  <c r="H2081" i="2" s="1"/>
  <c r="H2082" i="2" s="1"/>
  <c r="H2083" i="2" s="1"/>
  <c r="H2084" i="2" s="1"/>
  <c r="D719" i="1"/>
  <c r="D686" i="1" l="1"/>
  <c r="D685" i="1" l="1"/>
  <c r="D687" i="1"/>
  <c r="D688" i="1"/>
  <c r="D689" i="1"/>
  <c r="D690" i="1"/>
  <c r="H41" i="21" l="1"/>
  <c r="H190" i="21" l="1"/>
  <c r="H150" i="21" l="1"/>
  <c r="C153" i="8" s="1"/>
  <c r="H337" i="21" l="1"/>
  <c r="H53" i="21"/>
  <c r="H127" i="21"/>
  <c r="H61" i="21"/>
  <c r="D37" i="6" l="1"/>
  <c r="I38" i="6" l="1"/>
  <c r="F38" i="6"/>
  <c r="H169" i="21"/>
  <c r="H224" i="21"/>
  <c r="H333" i="21"/>
  <c r="H48" i="21"/>
  <c r="H135" i="21" l="1"/>
  <c r="H108" i="21" l="1"/>
  <c r="J38" i="6"/>
  <c r="D952" i="1"/>
  <c r="D951" i="1"/>
  <c r="D769" i="1"/>
  <c r="D768" i="1"/>
  <c r="D767" i="1"/>
  <c r="D766" i="1"/>
  <c r="D754" i="1"/>
  <c r="D750" i="1"/>
  <c r="D749" i="1"/>
  <c r="D748" i="1"/>
  <c r="D747" i="1"/>
  <c r="D746" i="1"/>
  <c r="D745" i="1"/>
  <c r="D740" i="1"/>
  <c r="D739" i="1"/>
  <c r="D733" i="1"/>
  <c r="D726" i="1"/>
  <c r="D725" i="1"/>
  <c r="D724" i="1"/>
  <c r="D722" i="1"/>
  <c r="D718" i="1"/>
  <c r="N38" i="6" l="1"/>
  <c r="O38" i="6"/>
  <c r="N8" i="11" l="1"/>
  <c r="D505" i="16" l="1"/>
  <c r="C505" i="16"/>
  <c r="E12" i="16"/>
  <c r="B3" i="16"/>
  <c r="A3" i="16"/>
  <c r="A1" i="16"/>
  <c r="C384" i="25"/>
  <c r="E12" i="25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B3" i="25"/>
  <c r="A3" i="25"/>
  <c r="D638" i="15"/>
  <c r="C638" i="15"/>
  <c r="E12" i="15"/>
  <c r="B3" i="15"/>
  <c r="A3" i="15"/>
  <c r="A1" i="15"/>
  <c r="E27" i="11"/>
  <c r="D20" i="11"/>
  <c r="E20" i="11" s="1"/>
  <c r="E23" i="11" s="1"/>
  <c r="E29" i="11" s="1"/>
  <c r="C20" i="11"/>
  <c r="L19" i="11"/>
  <c r="M18" i="11"/>
  <c r="M8" i="11" s="1"/>
  <c r="L18" i="11"/>
  <c r="L8" i="11" s="1"/>
  <c r="K18" i="11"/>
  <c r="J18" i="11"/>
  <c r="I18" i="11"/>
  <c r="D14" i="11"/>
  <c r="E14" i="11" s="1"/>
  <c r="H271" i="22" s="1"/>
  <c r="C14" i="11"/>
  <c r="K8" i="11"/>
  <c r="J8" i="11"/>
  <c r="J9" i="11" s="1"/>
  <c r="K6" i="11"/>
  <c r="K7" i="11" s="1"/>
  <c r="J6" i="11"/>
  <c r="B5" i="11"/>
  <c r="A5" i="11"/>
  <c r="H3" i="11"/>
  <c r="A1" i="11"/>
  <c r="E26" i="26"/>
  <c r="D20" i="26"/>
  <c r="E20" i="26" s="1"/>
  <c r="E22" i="26" s="1"/>
  <c r="E28" i="26" s="1"/>
  <c r="C20" i="26"/>
  <c r="D14" i="26"/>
  <c r="E14" i="26" s="1"/>
  <c r="C14" i="26"/>
  <c r="I6" i="26"/>
  <c r="I7" i="26" s="1"/>
  <c r="J6" i="26" s="1"/>
  <c r="J7" i="26" s="1"/>
  <c r="B5" i="26"/>
  <c r="A5" i="26"/>
  <c r="H3" i="26"/>
  <c r="A1" i="26"/>
  <c r="D153" i="9"/>
  <c r="D135" i="9"/>
  <c r="D128" i="9"/>
  <c r="D121" i="9"/>
  <c r="C89" i="9"/>
  <c r="D89" i="9" s="1"/>
  <c r="C88" i="9"/>
  <c r="D88" i="9" s="1"/>
  <c r="C87" i="9"/>
  <c r="D87" i="9" s="1"/>
  <c r="C86" i="9"/>
  <c r="D86" i="9" s="1"/>
  <c r="C85" i="9"/>
  <c r="D85" i="9" s="1"/>
  <c r="C84" i="9"/>
  <c r="N74" i="9"/>
  <c r="R74" i="9" s="1"/>
  <c r="W74" i="9" s="1"/>
  <c r="AA74" i="9" s="1"/>
  <c r="AE74" i="9" s="1"/>
  <c r="AJ74" i="9" s="1"/>
  <c r="AN74" i="9" s="1"/>
  <c r="AR74" i="9" s="1"/>
  <c r="AW74" i="9" s="1"/>
  <c r="BA74" i="9" s="1"/>
  <c r="BE74" i="9" s="1"/>
  <c r="N73" i="9"/>
  <c r="R73" i="9" s="1"/>
  <c r="W73" i="9" s="1"/>
  <c r="AA73" i="9" s="1"/>
  <c r="AE73" i="9" s="1"/>
  <c r="AJ73" i="9" s="1"/>
  <c r="AN73" i="9" s="1"/>
  <c r="AR73" i="9" s="1"/>
  <c r="AW73" i="9" s="1"/>
  <c r="BA73" i="9" s="1"/>
  <c r="BE73" i="9" s="1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E68" i="9"/>
  <c r="C68" i="9"/>
  <c r="E67" i="9"/>
  <c r="C67" i="9"/>
  <c r="C60" i="9"/>
  <c r="C59" i="9"/>
  <c r="C57" i="9"/>
  <c r="E55" i="9"/>
  <c r="E54" i="9"/>
  <c r="E53" i="9"/>
  <c r="E52" i="9"/>
  <c r="C51" i="9"/>
  <c r="E47" i="9"/>
  <c r="C47" i="9"/>
  <c r="E46" i="9"/>
  <c r="C46" i="9"/>
  <c r="E45" i="9"/>
  <c r="C45" i="9"/>
  <c r="E44" i="9"/>
  <c r="C44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BI38" i="9"/>
  <c r="E37" i="9"/>
  <c r="BI37" i="9" s="1"/>
  <c r="E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C3" i="9"/>
  <c r="A3" i="9"/>
  <c r="A1" i="9"/>
  <c r="A50" i="9" s="1"/>
  <c r="F37" i="7"/>
  <c r="E37" i="7"/>
  <c r="D37" i="7"/>
  <c r="C37" i="7"/>
  <c r="B37" i="7"/>
  <c r="G36" i="7"/>
  <c r="F36" i="7"/>
  <c r="E36" i="7"/>
  <c r="D36" i="7"/>
  <c r="C36" i="7"/>
  <c r="B36" i="7"/>
  <c r="F35" i="7"/>
  <c r="E35" i="7"/>
  <c r="D35" i="7"/>
  <c r="C35" i="7"/>
  <c r="B35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F31" i="7"/>
  <c r="E31" i="7"/>
  <c r="D31" i="7"/>
  <c r="C31" i="7"/>
  <c r="B31" i="7"/>
  <c r="G28" i="7"/>
  <c r="F28" i="7"/>
  <c r="E28" i="7"/>
  <c r="B28" i="7"/>
  <c r="G27" i="7"/>
  <c r="F27" i="7"/>
  <c r="E27" i="7"/>
  <c r="B27" i="7"/>
  <c r="G26" i="7"/>
  <c r="F26" i="7"/>
  <c r="E26" i="7"/>
  <c r="B26" i="7"/>
  <c r="G14" i="7"/>
  <c r="F14" i="7"/>
  <c r="E14" i="7"/>
  <c r="D14" i="7"/>
  <c r="C14" i="7"/>
  <c r="B14" i="7"/>
  <c r="E13" i="7"/>
  <c r="B13" i="7"/>
  <c r="G12" i="7"/>
  <c r="F12" i="7"/>
  <c r="E12" i="7"/>
  <c r="B12" i="7"/>
  <c r="E11" i="7"/>
  <c r="B11" i="7"/>
  <c r="B5" i="7"/>
  <c r="B4" i="7"/>
  <c r="B3" i="7"/>
  <c r="A3" i="7"/>
  <c r="I1" i="7"/>
  <c r="A1" i="7"/>
  <c r="M30" i="6"/>
  <c r="I30" i="6"/>
  <c r="H30" i="6"/>
  <c r="G30" i="6"/>
  <c r="B30" i="6"/>
  <c r="F30" i="6"/>
  <c r="J29" i="6"/>
  <c r="D29" i="6"/>
  <c r="H249" i="21"/>
  <c r="E57" i="27"/>
  <c r="H92" i="21"/>
  <c r="H290" i="21"/>
  <c r="H210" i="21"/>
  <c r="H303" i="21"/>
  <c r="C306" i="8" s="1"/>
  <c r="M26" i="6"/>
  <c r="H26" i="6"/>
  <c r="G26" i="6"/>
  <c r="F26" i="6"/>
  <c r="B26" i="6"/>
  <c r="I26" i="6"/>
  <c r="H284" i="21"/>
  <c r="J25" i="6"/>
  <c r="N25" i="6" s="1"/>
  <c r="D25" i="6"/>
  <c r="M20" i="6"/>
  <c r="L20" i="6"/>
  <c r="I20" i="6"/>
  <c r="H20" i="6"/>
  <c r="G20" i="6"/>
  <c r="F20" i="6"/>
  <c r="J19" i="6"/>
  <c r="D19" i="6"/>
  <c r="H314" i="21"/>
  <c r="H181" i="21"/>
  <c r="H293" i="21"/>
  <c r="H240" i="21"/>
  <c r="I15" i="6"/>
  <c r="H15" i="6"/>
  <c r="G15" i="6"/>
  <c r="B15" i="6"/>
  <c r="M14" i="6"/>
  <c r="L14" i="6"/>
  <c r="F14" i="6"/>
  <c r="C13" i="7" s="1"/>
  <c r="D14" i="6"/>
  <c r="L13" i="6"/>
  <c r="F13" i="6"/>
  <c r="C12" i="7" s="1"/>
  <c r="D13" i="6"/>
  <c r="M12" i="6"/>
  <c r="F270" i="21" s="1"/>
  <c r="L12" i="6"/>
  <c r="D12" i="6"/>
  <c r="B3" i="6"/>
  <c r="A3" i="6"/>
  <c r="A1" i="6"/>
  <c r="B378" i="21"/>
  <c r="B377" i="21"/>
  <c r="B376" i="21"/>
  <c r="B375" i="21"/>
  <c r="B374" i="21"/>
  <c r="B373" i="21"/>
  <c r="B372" i="21"/>
  <c r="B371" i="21"/>
  <c r="B370" i="21"/>
  <c r="B369" i="21"/>
  <c r="B368" i="21"/>
  <c r="B367" i="21"/>
  <c r="B366" i="21"/>
  <c r="B365" i="21"/>
  <c r="B364" i="21"/>
  <c r="B363" i="21"/>
  <c r="G362" i="21"/>
  <c r="F362" i="21"/>
  <c r="E362" i="21"/>
  <c r="D362" i="21"/>
  <c r="B362" i="21"/>
  <c r="B361" i="21"/>
  <c r="B360" i="21"/>
  <c r="B359" i="21"/>
  <c r="B358" i="21"/>
  <c r="B357" i="21"/>
  <c r="B356" i="21"/>
  <c r="B355" i="21"/>
  <c r="B354" i="21"/>
  <c r="B353" i="21"/>
  <c r="B352" i="21"/>
  <c r="B351" i="21"/>
  <c r="B350" i="21"/>
  <c r="B349" i="21"/>
  <c r="B348" i="21"/>
  <c r="B347" i="21"/>
  <c r="B346" i="21"/>
  <c r="B345" i="21"/>
  <c r="B344" i="21"/>
  <c r="B343" i="21"/>
  <c r="B342" i="21"/>
  <c r="B341" i="21"/>
  <c r="B340" i="21"/>
  <c r="B339" i="21"/>
  <c r="B338" i="21"/>
  <c r="B337" i="21"/>
  <c r="B336" i="21"/>
  <c r="B334" i="21"/>
  <c r="B333" i="21"/>
  <c r="B332" i="21"/>
  <c r="B331" i="21"/>
  <c r="B330" i="21"/>
  <c r="B329" i="21"/>
  <c r="B328" i="21"/>
  <c r="B327" i="21"/>
  <c r="B326" i="21"/>
  <c r="B325" i="21"/>
  <c r="B324" i="21"/>
  <c r="B323" i="21"/>
  <c r="B322" i="21"/>
  <c r="B321" i="21"/>
  <c r="B320" i="21"/>
  <c r="B319" i="21"/>
  <c r="B318" i="21"/>
  <c r="B315" i="21"/>
  <c r="B314" i="21"/>
  <c r="B313" i="21"/>
  <c r="B311" i="21"/>
  <c r="B310" i="21"/>
  <c r="B309" i="21"/>
  <c r="B308" i="21"/>
  <c r="B307" i="21"/>
  <c r="B306" i="21"/>
  <c r="B305" i="21"/>
  <c r="B304" i="21"/>
  <c r="B303" i="21"/>
  <c r="B302" i="21"/>
  <c r="B301" i="21"/>
  <c r="B300" i="21"/>
  <c r="B299" i="21"/>
  <c r="B298" i="21"/>
  <c r="B297" i="21"/>
  <c r="B296" i="21"/>
  <c r="B295" i="21"/>
  <c r="B294" i="21"/>
  <c r="B293" i="21"/>
  <c r="B292" i="21"/>
  <c r="B291" i="21"/>
  <c r="B290" i="21"/>
  <c r="B288" i="21"/>
  <c r="B286" i="21"/>
  <c r="B285" i="21"/>
  <c r="B284" i="21"/>
  <c r="B283" i="21"/>
  <c r="B281" i="21"/>
  <c r="B280" i="21"/>
  <c r="B279" i="21"/>
  <c r="B278" i="21"/>
  <c r="B277" i="21"/>
  <c r="B275" i="21"/>
  <c r="B274" i="21"/>
  <c r="B273" i="21"/>
  <c r="B272" i="21"/>
  <c r="B271" i="21"/>
  <c r="B270" i="21"/>
  <c r="B268" i="21"/>
  <c r="B267" i="21"/>
  <c r="B266" i="21"/>
  <c r="B263" i="21"/>
  <c r="B262" i="21"/>
  <c r="B261" i="21"/>
  <c r="B260" i="21"/>
  <c r="B259" i="21"/>
  <c r="B258" i="21"/>
  <c r="B257" i="21"/>
  <c r="B256" i="21"/>
  <c r="B254" i="21"/>
  <c r="B253" i="21"/>
  <c r="B251" i="21"/>
  <c r="B250" i="21"/>
  <c r="B249" i="21"/>
  <c r="B248" i="21"/>
  <c r="B247" i="21"/>
  <c r="B246" i="21"/>
  <c r="B244" i="21"/>
  <c r="B243" i="21"/>
  <c r="B242" i="21"/>
  <c r="B240" i="21"/>
  <c r="B239" i="21"/>
  <c r="B235" i="21"/>
  <c r="B234" i="21"/>
  <c r="B233" i="21"/>
  <c r="B231" i="21"/>
  <c r="B230" i="21"/>
  <c r="B229" i="21"/>
  <c r="B228" i="21"/>
  <c r="B227" i="21"/>
  <c r="B225" i="21"/>
  <c r="B224" i="21"/>
  <c r="B223" i="21"/>
  <c r="B222" i="21"/>
  <c r="B221" i="21"/>
  <c r="B220" i="21"/>
  <c r="B219" i="21"/>
  <c r="B218" i="21"/>
  <c r="B217" i="21"/>
  <c r="B216" i="21"/>
  <c r="B215" i="21"/>
  <c r="B214" i="21"/>
  <c r="B212" i="21"/>
  <c r="B211" i="21"/>
  <c r="B210" i="21"/>
  <c r="B208" i="21"/>
  <c r="B207" i="21"/>
  <c r="G206" i="21"/>
  <c r="B206" i="21"/>
  <c r="B205" i="21"/>
  <c r="B202" i="21"/>
  <c r="B201" i="21"/>
  <c r="B200" i="21"/>
  <c r="B199" i="21"/>
  <c r="B198" i="21"/>
  <c r="B197" i="21"/>
  <c r="B196" i="21"/>
  <c r="B195" i="21"/>
  <c r="B193" i="21"/>
  <c r="B191" i="21"/>
  <c r="B190" i="21"/>
  <c r="B188" i="21"/>
  <c r="B185" i="21"/>
  <c r="B184" i="21"/>
  <c r="B183" i="21"/>
  <c r="B182" i="21"/>
  <c r="B181" i="21"/>
  <c r="B179" i="21"/>
  <c r="B177" i="21"/>
  <c r="B176" i="21"/>
  <c r="B175" i="21"/>
  <c r="B174" i="21"/>
  <c r="B173" i="21"/>
  <c r="B172" i="21"/>
  <c r="B169" i="21"/>
  <c r="B168" i="21"/>
  <c r="B167" i="21"/>
  <c r="B166" i="21"/>
  <c r="B165" i="21"/>
  <c r="B163" i="21"/>
  <c r="B162" i="21"/>
  <c r="B160" i="21"/>
  <c r="B159" i="21"/>
  <c r="B158" i="21"/>
  <c r="B157" i="21"/>
  <c r="B155" i="21"/>
  <c r="B154" i="21"/>
  <c r="B153" i="21"/>
  <c r="B152" i="21"/>
  <c r="B151" i="21"/>
  <c r="B150" i="21"/>
  <c r="B148" i="21"/>
  <c r="B147" i="21"/>
  <c r="B146" i="21"/>
  <c r="B145" i="21"/>
  <c r="B144" i="21"/>
  <c r="B142" i="21"/>
  <c r="B141" i="21"/>
  <c r="B140" i="21"/>
  <c r="B137" i="21"/>
  <c r="B136" i="21"/>
  <c r="B135" i="21"/>
  <c r="B134" i="21"/>
  <c r="B132" i="21"/>
  <c r="B131" i="21"/>
  <c r="B130" i="21"/>
  <c r="B129" i="21"/>
  <c r="B127" i="21"/>
  <c r="B126" i="21"/>
  <c r="B124" i="21"/>
  <c r="B123" i="21"/>
  <c r="B121" i="21"/>
  <c r="B120" i="21"/>
  <c r="B119" i="21"/>
  <c r="B118" i="21"/>
  <c r="B117" i="21"/>
  <c r="B116" i="21"/>
  <c r="B109" i="21"/>
  <c r="B108" i="21"/>
  <c r="B107" i="21"/>
  <c r="B106" i="21"/>
  <c r="B105" i="21"/>
  <c r="B104" i="21"/>
  <c r="B103" i="21"/>
  <c r="B100" i="21"/>
  <c r="B99" i="21"/>
  <c r="B98" i="21"/>
  <c r="B96" i="21"/>
  <c r="B95" i="21"/>
  <c r="B94" i="21"/>
  <c r="B93" i="21"/>
  <c r="B92" i="21"/>
  <c r="B91" i="21"/>
  <c r="B89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3" i="21"/>
  <c r="B71" i="21"/>
  <c r="B70" i="21"/>
  <c r="B69" i="21"/>
  <c r="B68" i="21"/>
  <c r="B67" i="21"/>
  <c r="B64" i="21"/>
  <c r="B61" i="21"/>
  <c r="B60" i="21"/>
  <c r="B59" i="21"/>
  <c r="B58" i="21"/>
  <c r="B57" i="21"/>
  <c r="B56" i="21"/>
  <c r="B55" i="21"/>
  <c r="B53" i="21"/>
  <c r="B52" i="21"/>
  <c r="B51" i="21"/>
  <c r="B50" i="21"/>
  <c r="B49" i="21"/>
  <c r="B48" i="21"/>
  <c r="B45" i="21"/>
  <c r="B43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0" i="21"/>
  <c r="B19" i="21"/>
  <c r="B18" i="21"/>
  <c r="B17" i="21"/>
  <c r="B16" i="21"/>
  <c r="B15" i="21"/>
  <c r="G14" i="21"/>
  <c r="F14" i="21"/>
  <c r="E14" i="21"/>
  <c r="B14" i="21"/>
  <c r="B13" i="21"/>
  <c r="G12" i="21"/>
  <c r="F12" i="21"/>
  <c r="E12" i="21"/>
  <c r="B12" i="21"/>
  <c r="B11" i="21"/>
  <c r="G10" i="21"/>
  <c r="F10" i="21"/>
  <c r="B10" i="21"/>
  <c r="G9" i="21"/>
  <c r="F9" i="21"/>
  <c r="B9" i="21"/>
  <c r="B5" i="21"/>
  <c r="B4" i="21"/>
  <c r="B3" i="21"/>
  <c r="A3" i="21"/>
  <c r="A1" i="21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18" i="8"/>
  <c r="B317" i="8"/>
  <c r="B316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C295" i="8"/>
  <c r="E295" i="8" s="1"/>
  <c r="B295" i="8"/>
  <c r="B294" i="8"/>
  <c r="B293" i="8"/>
  <c r="B291" i="8"/>
  <c r="B289" i="8"/>
  <c r="B288" i="8"/>
  <c r="B287" i="8"/>
  <c r="B286" i="8"/>
  <c r="B284" i="8"/>
  <c r="B283" i="8"/>
  <c r="B282" i="8"/>
  <c r="B281" i="8"/>
  <c r="B280" i="8"/>
  <c r="B278" i="8"/>
  <c r="B277" i="8"/>
  <c r="B276" i="8"/>
  <c r="B275" i="8"/>
  <c r="B274" i="8"/>
  <c r="B273" i="8"/>
  <c r="B271" i="8"/>
  <c r="B270" i="8"/>
  <c r="B269" i="8"/>
  <c r="B266" i="8"/>
  <c r="B265" i="8"/>
  <c r="B264" i="8"/>
  <c r="B263" i="8"/>
  <c r="B262" i="8"/>
  <c r="B261" i="8"/>
  <c r="B260" i="8"/>
  <c r="B259" i="8"/>
  <c r="B257" i="8"/>
  <c r="B256" i="8"/>
  <c r="B254" i="8"/>
  <c r="B253" i="8"/>
  <c r="B252" i="8"/>
  <c r="B251" i="8"/>
  <c r="B250" i="8"/>
  <c r="B249" i="8"/>
  <c r="B247" i="8"/>
  <c r="B246" i="8"/>
  <c r="B245" i="8"/>
  <c r="B243" i="8"/>
  <c r="B242" i="8"/>
  <c r="B238" i="8"/>
  <c r="B237" i="8"/>
  <c r="B236" i="8"/>
  <c r="B234" i="8"/>
  <c r="B233" i="8"/>
  <c r="B232" i="8"/>
  <c r="B231" i="8"/>
  <c r="B230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5" i="8"/>
  <c r="B214" i="8"/>
  <c r="B213" i="8"/>
  <c r="B211" i="8"/>
  <c r="B210" i="8"/>
  <c r="B209" i="8"/>
  <c r="B208" i="8"/>
  <c r="B205" i="8"/>
  <c r="B204" i="8"/>
  <c r="B203" i="8"/>
  <c r="B202" i="8"/>
  <c r="B201" i="8"/>
  <c r="B200" i="8"/>
  <c r="B199" i="8"/>
  <c r="B198" i="8"/>
  <c r="B196" i="8"/>
  <c r="B194" i="8"/>
  <c r="B193" i="8"/>
  <c r="B191" i="8"/>
  <c r="B188" i="8"/>
  <c r="B187" i="8"/>
  <c r="B186" i="8"/>
  <c r="B185" i="8"/>
  <c r="B184" i="8"/>
  <c r="B182" i="8"/>
  <c r="B180" i="8"/>
  <c r="B179" i="8"/>
  <c r="B178" i="8"/>
  <c r="B177" i="8"/>
  <c r="B176" i="8"/>
  <c r="B175" i="8"/>
  <c r="B172" i="8"/>
  <c r="B171" i="8"/>
  <c r="B170" i="8"/>
  <c r="B169" i="8"/>
  <c r="B168" i="8"/>
  <c r="B166" i="8"/>
  <c r="B165" i="8"/>
  <c r="B163" i="8"/>
  <c r="B162" i="8"/>
  <c r="B161" i="8"/>
  <c r="B160" i="8"/>
  <c r="B158" i="8"/>
  <c r="B157" i="8"/>
  <c r="B156" i="8"/>
  <c r="B155" i="8"/>
  <c r="B154" i="8"/>
  <c r="B153" i="8"/>
  <c r="B151" i="8"/>
  <c r="B150" i="8"/>
  <c r="B149" i="8"/>
  <c r="B148" i="8"/>
  <c r="B147" i="8"/>
  <c r="B145" i="8"/>
  <c r="B144" i="8"/>
  <c r="B143" i="8"/>
  <c r="B140" i="8"/>
  <c r="B139" i="8"/>
  <c r="B138" i="8"/>
  <c r="B137" i="8"/>
  <c r="B135" i="8"/>
  <c r="B134" i="8"/>
  <c r="B133" i="8"/>
  <c r="B132" i="8"/>
  <c r="B130" i="8"/>
  <c r="B129" i="8"/>
  <c r="B127" i="8"/>
  <c r="B126" i="8"/>
  <c r="B124" i="8"/>
  <c r="B123" i="8"/>
  <c r="B122" i="8"/>
  <c r="B121" i="8"/>
  <c r="B120" i="8"/>
  <c r="B119" i="8"/>
  <c r="B112" i="8"/>
  <c r="B111" i="8"/>
  <c r="B110" i="8"/>
  <c r="B109" i="8"/>
  <c r="B108" i="8"/>
  <c r="B107" i="8"/>
  <c r="B106" i="8"/>
  <c r="B103" i="8"/>
  <c r="B102" i="8"/>
  <c r="B101" i="8"/>
  <c r="B99" i="8"/>
  <c r="B98" i="8"/>
  <c r="B97" i="8"/>
  <c r="B96" i="8"/>
  <c r="B95" i="8"/>
  <c r="B94" i="8"/>
  <c r="B92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6" i="8"/>
  <c r="B74" i="8"/>
  <c r="B73" i="8"/>
  <c r="B72" i="8"/>
  <c r="B71" i="8"/>
  <c r="B70" i="8"/>
  <c r="B67" i="8"/>
  <c r="B64" i="8"/>
  <c r="B63" i="8"/>
  <c r="B62" i="8"/>
  <c r="B61" i="8"/>
  <c r="B60" i="8"/>
  <c r="B59" i="8"/>
  <c r="B58" i="8"/>
  <c r="B56" i="8"/>
  <c r="B55" i="8"/>
  <c r="B54" i="8"/>
  <c r="B53" i="8"/>
  <c r="B52" i="8"/>
  <c r="B51" i="8"/>
  <c r="B48" i="8"/>
  <c r="B46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3" i="8"/>
  <c r="B22" i="8"/>
  <c r="B21" i="8"/>
  <c r="B20" i="8"/>
  <c r="B19" i="8"/>
  <c r="B18" i="8"/>
  <c r="B17" i="8"/>
  <c r="B16" i="8"/>
  <c r="B15" i="8"/>
  <c r="B14" i="8"/>
  <c r="B13" i="8"/>
  <c r="B12" i="8"/>
  <c r="B3" i="8"/>
  <c r="A3" i="8"/>
  <c r="A1" i="8"/>
  <c r="C392" i="22"/>
  <c r="C1" i="22" s="1"/>
  <c r="H389" i="22"/>
  <c r="G389" i="22"/>
  <c r="F389" i="22"/>
  <c r="D389" i="22"/>
  <c r="H388" i="22"/>
  <c r="G388" i="22"/>
  <c r="F388" i="22"/>
  <c r="D388" i="22"/>
  <c r="H387" i="22"/>
  <c r="G387" i="22"/>
  <c r="F387" i="22"/>
  <c r="D387" i="22"/>
  <c r="H386" i="22"/>
  <c r="G386" i="22"/>
  <c r="F386" i="22"/>
  <c r="D386" i="22"/>
  <c r="H385" i="22"/>
  <c r="G385" i="22"/>
  <c r="F385" i="22"/>
  <c r="D385" i="22"/>
  <c r="H384" i="22"/>
  <c r="G384" i="22"/>
  <c r="F384" i="22"/>
  <c r="D384" i="22"/>
  <c r="H383" i="22"/>
  <c r="G383" i="22"/>
  <c r="F383" i="22"/>
  <c r="D383" i="22"/>
  <c r="H382" i="22"/>
  <c r="G382" i="22"/>
  <c r="F382" i="22"/>
  <c r="D382" i="22"/>
  <c r="H381" i="22"/>
  <c r="G381" i="22"/>
  <c r="F381" i="22"/>
  <c r="D381" i="22"/>
  <c r="H380" i="22"/>
  <c r="G380" i="22"/>
  <c r="F380" i="22"/>
  <c r="D380" i="22"/>
  <c r="H379" i="22"/>
  <c r="G379" i="22"/>
  <c r="F379" i="22"/>
  <c r="D379" i="22"/>
  <c r="B379" i="22"/>
  <c r="H378" i="22"/>
  <c r="G378" i="22"/>
  <c r="F378" i="22"/>
  <c r="D378" i="22"/>
  <c r="B378" i="22"/>
  <c r="H377" i="22"/>
  <c r="G377" i="22"/>
  <c r="F377" i="22"/>
  <c r="B377" i="22"/>
  <c r="H376" i="22"/>
  <c r="G376" i="22"/>
  <c r="F376" i="22"/>
  <c r="B376" i="22"/>
  <c r="H375" i="22"/>
  <c r="G375" i="22"/>
  <c r="F375" i="22"/>
  <c r="B375" i="22"/>
  <c r="H374" i="22"/>
  <c r="G374" i="22"/>
  <c r="F374" i="22"/>
  <c r="B374" i="22"/>
  <c r="H373" i="22"/>
  <c r="G373" i="22"/>
  <c r="F373" i="22"/>
  <c r="B373" i="22"/>
  <c r="H372" i="22"/>
  <c r="G372" i="22"/>
  <c r="F372" i="22"/>
  <c r="B372" i="22"/>
  <c r="H371" i="22"/>
  <c r="G371" i="22"/>
  <c r="F371" i="22"/>
  <c r="B371" i="22"/>
  <c r="G370" i="22"/>
  <c r="F370" i="22"/>
  <c r="B370" i="22"/>
  <c r="H369" i="22"/>
  <c r="G369" i="22"/>
  <c r="F369" i="22"/>
  <c r="B369" i="22"/>
  <c r="G368" i="22"/>
  <c r="F368" i="22"/>
  <c r="B368" i="22"/>
  <c r="G367" i="22"/>
  <c r="F367" i="22"/>
  <c r="B367" i="22"/>
  <c r="H366" i="22"/>
  <c r="G366" i="22"/>
  <c r="F366" i="22"/>
  <c r="B366" i="22"/>
  <c r="H365" i="22"/>
  <c r="G365" i="22"/>
  <c r="F365" i="22"/>
  <c r="B365" i="22"/>
  <c r="G364" i="22"/>
  <c r="F364" i="22"/>
  <c r="B364" i="22"/>
  <c r="H363" i="22"/>
  <c r="G363" i="22"/>
  <c r="F363" i="22"/>
  <c r="B363" i="22"/>
  <c r="H362" i="22"/>
  <c r="B362" i="22"/>
  <c r="H361" i="22"/>
  <c r="G361" i="22"/>
  <c r="B361" i="22"/>
  <c r="H360" i="22"/>
  <c r="G360" i="22"/>
  <c r="B360" i="22"/>
  <c r="H359" i="22"/>
  <c r="G359" i="22"/>
  <c r="B359" i="22"/>
  <c r="H358" i="22"/>
  <c r="G358" i="22"/>
  <c r="B358" i="22"/>
  <c r="H357" i="22"/>
  <c r="G357" i="22"/>
  <c r="B357" i="22"/>
  <c r="H356" i="22"/>
  <c r="G356" i="22"/>
  <c r="B356" i="22"/>
  <c r="H355" i="22"/>
  <c r="G355" i="22"/>
  <c r="B355" i="22"/>
  <c r="H354" i="22"/>
  <c r="G354" i="22"/>
  <c r="B354" i="22"/>
  <c r="H353" i="22"/>
  <c r="G353" i="22"/>
  <c r="B353" i="22"/>
  <c r="H352" i="22"/>
  <c r="G352" i="22"/>
  <c r="B352" i="22"/>
  <c r="H351" i="22"/>
  <c r="G351" i="22"/>
  <c r="B351" i="22"/>
  <c r="H350" i="22"/>
  <c r="G350" i="22"/>
  <c r="B350" i="22"/>
  <c r="H349" i="22"/>
  <c r="G349" i="22"/>
  <c r="B349" i="22"/>
  <c r="H348" i="22"/>
  <c r="G348" i="22"/>
  <c r="F348" i="22"/>
  <c r="B348" i="22"/>
  <c r="H347" i="22"/>
  <c r="G347" i="22"/>
  <c r="F347" i="22"/>
  <c r="B347" i="22"/>
  <c r="H346" i="22"/>
  <c r="G346" i="22"/>
  <c r="B346" i="22"/>
  <c r="H345" i="22"/>
  <c r="G345" i="22"/>
  <c r="F345" i="22"/>
  <c r="B345" i="22"/>
  <c r="H344" i="22"/>
  <c r="G344" i="22"/>
  <c r="F344" i="22"/>
  <c r="B344" i="22"/>
  <c r="H343" i="22"/>
  <c r="G343" i="22"/>
  <c r="F343" i="22"/>
  <c r="B343" i="22"/>
  <c r="H342" i="22"/>
  <c r="G342" i="22"/>
  <c r="B342" i="22"/>
  <c r="H341" i="22"/>
  <c r="G341" i="22"/>
  <c r="B341" i="22"/>
  <c r="H340" i="22"/>
  <c r="G340" i="22"/>
  <c r="B340" i="22"/>
  <c r="H339" i="22"/>
  <c r="G339" i="22"/>
  <c r="B339" i="22"/>
  <c r="H338" i="22"/>
  <c r="G338" i="22"/>
  <c r="B338" i="22"/>
  <c r="H337" i="22"/>
  <c r="G337" i="22"/>
  <c r="F337" i="22"/>
  <c r="B337" i="22"/>
  <c r="H336" i="22"/>
  <c r="G336" i="22"/>
  <c r="F336" i="22"/>
  <c r="H335" i="22"/>
  <c r="G335" i="22"/>
  <c r="F335" i="22"/>
  <c r="B335" i="22"/>
  <c r="H334" i="22"/>
  <c r="G334" i="22"/>
  <c r="B334" i="22"/>
  <c r="H333" i="22"/>
  <c r="G333" i="22"/>
  <c r="F333" i="22"/>
  <c r="B333" i="22"/>
  <c r="H332" i="22"/>
  <c r="G332" i="22"/>
  <c r="F332" i="22"/>
  <c r="B332" i="22"/>
  <c r="H331" i="22"/>
  <c r="G331" i="22"/>
  <c r="B331" i="22"/>
  <c r="H330" i="22"/>
  <c r="G330" i="22"/>
  <c r="F330" i="22"/>
  <c r="B330" i="22"/>
  <c r="H329" i="22"/>
  <c r="G329" i="22"/>
  <c r="F329" i="22"/>
  <c r="B329" i="22"/>
  <c r="H328" i="22"/>
  <c r="G328" i="22"/>
  <c r="B328" i="22"/>
  <c r="H327" i="22"/>
  <c r="G327" i="22"/>
  <c r="B327" i="22"/>
  <c r="H326" i="22"/>
  <c r="G326" i="22"/>
  <c r="F326" i="22"/>
  <c r="B326" i="22"/>
  <c r="H325" i="22"/>
  <c r="G325" i="22"/>
  <c r="F325" i="22"/>
  <c r="B325" i="22"/>
  <c r="H324" i="22"/>
  <c r="G324" i="22"/>
  <c r="F324" i="22"/>
  <c r="B324" i="22"/>
  <c r="H323" i="22"/>
  <c r="G323" i="22"/>
  <c r="F323" i="22"/>
  <c r="B323" i="22"/>
  <c r="H322" i="22"/>
  <c r="G322" i="22"/>
  <c r="F322" i="22"/>
  <c r="B322" i="22"/>
  <c r="H321" i="22"/>
  <c r="G321" i="22"/>
  <c r="F321" i="22"/>
  <c r="B321" i="22"/>
  <c r="H320" i="22"/>
  <c r="G320" i="22"/>
  <c r="B320" i="22"/>
  <c r="H319" i="22"/>
  <c r="G319" i="22"/>
  <c r="B319" i="22"/>
  <c r="H318" i="22"/>
  <c r="G318" i="22"/>
  <c r="F318" i="22"/>
  <c r="H317" i="22"/>
  <c r="G317" i="22"/>
  <c r="F317" i="22"/>
  <c r="H316" i="22"/>
  <c r="G316" i="22"/>
  <c r="B316" i="22"/>
  <c r="H315" i="22"/>
  <c r="G315" i="22"/>
  <c r="B315" i="22"/>
  <c r="H314" i="22"/>
  <c r="G314" i="22"/>
  <c r="F314" i="22"/>
  <c r="B314" i="22"/>
  <c r="H313" i="22"/>
  <c r="G313" i="22"/>
  <c r="F313" i="22"/>
  <c r="H312" i="22"/>
  <c r="G312" i="22"/>
  <c r="B312" i="22"/>
  <c r="H311" i="22"/>
  <c r="G311" i="22"/>
  <c r="F311" i="22"/>
  <c r="B311" i="22"/>
  <c r="H310" i="22"/>
  <c r="G310" i="22"/>
  <c r="F310" i="22"/>
  <c r="B310" i="22"/>
  <c r="H309" i="22"/>
  <c r="G309" i="22"/>
  <c r="F309" i="22"/>
  <c r="B309" i="22"/>
  <c r="H308" i="22"/>
  <c r="G308" i="22"/>
  <c r="B308" i="22"/>
  <c r="H307" i="22"/>
  <c r="G307" i="22"/>
  <c r="B307" i="22"/>
  <c r="H306" i="22"/>
  <c r="G306" i="22"/>
  <c r="F306" i="22"/>
  <c r="B306" i="22"/>
  <c r="H305" i="22"/>
  <c r="G305" i="22"/>
  <c r="F305" i="22"/>
  <c r="B305" i="22"/>
  <c r="H304" i="22"/>
  <c r="G304" i="22"/>
  <c r="B304" i="22"/>
  <c r="H303" i="22"/>
  <c r="G303" i="22"/>
  <c r="B303" i="22"/>
  <c r="H302" i="22"/>
  <c r="G302" i="22"/>
  <c r="B302" i="22"/>
  <c r="H301" i="22"/>
  <c r="G301" i="22"/>
  <c r="B301" i="22"/>
  <c r="H300" i="22"/>
  <c r="G300" i="22"/>
  <c r="B300" i="22"/>
  <c r="H299" i="22"/>
  <c r="G299" i="22"/>
  <c r="B299" i="22"/>
  <c r="H298" i="22"/>
  <c r="G298" i="22"/>
  <c r="B298" i="22"/>
  <c r="H297" i="22"/>
  <c r="G297" i="22"/>
  <c r="F297" i="22"/>
  <c r="B297" i="22"/>
  <c r="H296" i="22"/>
  <c r="G296" i="22"/>
  <c r="B296" i="22"/>
  <c r="H295" i="22"/>
  <c r="G295" i="22"/>
  <c r="F295" i="22"/>
  <c r="B295" i="22"/>
  <c r="H294" i="22"/>
  <c r="G294" i="22"/>
  <c r="F294" i="22"/>
  <c r="B294" i="22"/>
  <c r="H293" i="22"/>
  <c r="G293" i="22"/>
  <c r="F293" i="22"/>
  <c r="B293" i="22"/>
  <c r="H292" i="22"/>
  <c r="G292" i="22"/>
  <c r="F292" i="22"/>
  <c r="B292" i="22"/>
  <c r="H291" i="22"/>
  <c r="G291" i="22"/>
  <c r="F291" i="22"/>
  <c r="B291" i="22"/>
  <c r="H290" i="22"/>
  <c r="G290" i="22"/>
  <c r="F290" i="22"/>
  <c r="H289" i="22"/>
  <c r="G289" i="22"/>
  <c r="B289" i="22"/>
  <c r="H288" i="22"/>
  <c r="G288" i="22"/>
  <c r="F288" i="22"/>
  <c r="H287" i="22"/>
  <c r="G287" i="22"/>
  <c r="B287" i="22"/>
  <c r="H286" i="22"/>
  <c r="G286" i="22"/>
  <c r="B286" i="22"/>
  <c r="H285" i="22"/>
  <c r="G285" i="22"/>
  <c r="F285" i="22"/>
  <c r="B285" i="22"/>
  <c r="H284" i="22"/>
  <c r="G284" i="22"/>
  <c r="F284" i="22"/>
  <c r="B284" i="22"/>
  <c r="H283" i="22"/>
  <c r="G283" i="22"/>
  <c r="F283" i="22"/>
  <c r="H282" i="22"/>
  <c r="G282" i="22"/>
  <c r="B282" i="22"/>
  <c r="H281" i="22"/>
  <c r="G281" i="22"/>
  <c r="B281" i="22"/>
  <c r="H280" i="22"/>
  <c r="G280" i="22"/>
  <c r="B280" i="22"/>
  <c r="H279" i="22"/>
  <c r="G279" i="22"/>
  <c r="F279" i="22"/>
  <c r="B279" i="22"/>
  <c r="H278" i="22"/>
  <c r="G278" i="22"/>
  <c r="B278" i="22"/>
  <c r="H277" i="22"/>
  <c r="G277" i="22"/>
  <c r="F277" i="22"/>
  <c r="H276" i="22"/>
  <c r="G276" i="22"/>
  <c r="B276" i="22"/>
  <c r="H275" i="22"/>
  <c r="G275" i="22"/>
  <c r="F275" i="22"/>
  <c r="B275" i="22"/>
  <c r="H274" i="22"/>
  <c r="G274" i="22"/>
  <c r="F274" i="22"/>
  <c r="B274" i="22"/>
  <c r="H273" i="22"/>
  <c r="G273" i="22"/>
  <c r="F273" i="22"/>
  <c r="B273" i="22"/>
  <c r="H272" i="22"/>
  <c r="G272" i="22"/>
  <c r="F272" i="22"/>
  <c r="B272" i="22"/>
  <c r="B271" i="22"/>
  <c r="H270" i="22"/>
  <c r="G270" i="22"/>
  <c r="F270" i="22"/>
  <c r="H269" i="22"/>
  <c r="G269" i="22"/>
  <c r="F269" i="22"/>
  <c r="B269" i="22"/>
  <c r="H268" i="22"/>
  <c r="G268" i="22"/>
  <c r="B268" i="22"/>
  <c r="H267" i="22"/>
  <c r="G267" i="22"/>
  <c r="F267" i="22"/>
  <c r="B267" i="22"/>
  <c r="H266" i="22"/>
  <c r="G266" i="22"/>
  <c r="F266" i="22"/>
  <c r="H265" i="22"/>
  <c r="G265" i="22"/>
  <c r="F265" i="22"/>
  <c r="H264" i="22"/>
  <c r="G264" i="22"/>
  <c r="F264" i="22"/>
  <c r="B264" i="22"/>
  <c r="H263" i="22"/>
  <c r="G263" i="22"/>
  <c r="F263" i="22"/>
  <c r="B263" i="22"/>
  <c r="H262" i="22"/>
  <c r="G262" i="22"/>
  <c r="F262" i="22"/>
  <c r="B262" i="22"/>
  <c r="H261" i="22"/>
  <c r="G261" i="22"/>
  <c r="B261" i="22"/>
  <c r="H260" i="22"/>
  <c r="G260" i="22"/>
  <c r="F260" i="22"/>
  <c r="B260" i="22"/>
  <c r="H259" i="22"/>
  <c r="G259" i="22"/>
  <c r="F259" i="22"/>
  <c r="B259" i="22"/>
  <c r="H258" i="22"/>
  <c r="G258" i="22"/>
  <c r="F258" i="22"/>
  <c r="B258" i="22"/>
  <c r="H257" i="22"/>
  <c r="G257" i="22"/>
  <c r="F257" i="22"/>
  <c r="B257" i="22"/>
  <c r="H256" i="22"/>
  <c r="G256" i="22"/>
  <c r="F256" i="22"/>
  <c r="H255" i="22"/>
  <c r="G255" i="22"/>
  <c r="B255" i="22"/>
  <c r="H254" i="22"/>
  <c r="G254" i="22"/>
  <c r="B254" i="22"/>
  <c r="H253" i="22"/>
  <c r="G253" i="22"/>
  <c r="F253" i="22"/>
  <c r="H252" i="22"/>
  <c r="G252" i="22"/>
  <c r="F252" i="22"/>
  <c r="B252" i="22"/>
  <c r="H251" i="22"/>
  <c r="G251" i="22"/>
  <c r="B251" i="22"/>
  <c r="H250" i="22"/>
  <c r="G250" i="22"/>
  <c r="F250" i="22"/>
  <c r="B250" i="22"/>
  <c r="H249" i="22"/>
  <c r="G249" i="22"/>
  <c r="B249" i="22"/>
  <c r="H248" i="22"/>
  <c r="G248" i="22"/>
  <c r="B248" i="22"/>
  <c r="H247" i="22"/>
  <c r="G247" i="22"/>
  <c r="B247" i="22"/>
  <c r="H246" i="22"/>
  <c r="G246" i="22"/>
  <c r="F246" i="22"/>
  <c r="H245" i="22"/>
  <c r="G245" i="22"/>
  <c r="F245" i="22"/>
  <c r="B245" i="22"/>
  <c r="H244" i="22"/>
  <c r="G244" i="22"/>
  <c r="F244" i="22"/>
  <c r="B244" i="22"/>
  <c r="H243" i="22"/>
  <c r="G243" i="22"/>
  <c r="F243" i="22"/>
  <c r="B243" i="22"/>
  <c r="H242" i="22"/>
  <c r="G242" i="22"/>
  <c r="F242" i="22"/>
  <c r="H241" i="22"/>
  <c r="G241" i="22"/>
  <c r="F241" i="22"/>
  <c r="B241" i="22"/>
  <c r="H240" i="22"/>
  <c r="G240" i="22"/>
  <c r="F240" i="22"/>
  <c r="B240" i="22"/>
  <c r="H239" i="22"/>
  <c r="G239" i="22"/>
  <c r="F239" i="22"/>
  <c r="H238" i="22"/>
  <c r="G238" i="22"/>
  <c r="F238" i="22"/>
  <c r="H237" i="22"/>
  <c r="G237" i="22"/>
  <c r="F237" i="22"/>
  <c r="H236" i="22"/>
  <c r="G236" i="22"/>
  <c r="F236" i="22"/>
  <c r="B236" i="22"/>
  <c r="H235" i="22"/>
  <c r="G235" i="22"/>
  <c r="F235" i="22"/>
  <c r="B235" i="22"/>
  <c r="H234" i="22"/>
  <c r="G234" i="22"/>
  <c r="F234" i="22"/>
  <c r="B234" i="22"/>
  <c r="H233" i="22"/>
  <c r="G233" i="22"/>
  <c r="F233" i="22"/>
  <c r="H232" i="22"/>
  <c r="G232" i="22"/>
  <c r="B232" i="22"/>
  <c r="H231" i="22"/>
  <c r="G231" i="22"/>
  <c r="B231" i="22"/>
  <c r="H230" i="22"/>
  <c r="G230" i="22"/>
  <c r="B230" i="22"/>
  <c r="H229" i="22"/>
  <c r="G229" i="22"/>
  <c r="B229" i="22"/>
  <c r="H228" i="22"/>
  <c r="G228" i="22"/>
  <c r="F228" i="22"/>
  <c r="B228" i="22"/>
  <c r="H227" i="22"/>
  <c r="G227" i="22"/>
  <c r="F227" i="22"/>
  <c r="H226" i="22"/>
  <c r="G226" i="22"/>
  <c r="B226" i="22"/>
  <c r="H225" i="22"/>
  <c r="G225" i="22"/>
  <c r="B225" i="22"/>
  <c r="H224" i="22"/>
  <c r="G224" i="22"/>
  <c r="F224" i="22"/>
  <c r="B224" i="22"/>
  <c r="H223" i="22"/>
  <c r="G223" i="22"/>
  <c r="F223" i="22"/>
  <c r="B223" i="22"/>
  <c r="H222" i="22"/>
  <c r="G222" i="22"/>
  <c r="F222" i="22"/>
  <c r="B222" i="22"/>
  <c r="H221" i="22"/>
  <c r="G221" i="22"/>
  <c r="F221" i="22"/>
  <c r="B221" i="22"/>
  <c r="H220" i="22"/>
  <c r="G220" i="22"/>
  <c r="F220" i="22"/>
  <c r="B220" i="22"/>
  <c r="H219" i="22"/>
  <c r="G219" i="22"/>
  <c r="B219" i="22"/>
  <c r="H218" i="22"/>
  <c r="G218" i="22"/>
  <c r="F218" i="22"/>
  <c r="B218" i="22"/>
  <c r="H217" i="22"/>
  <c r="G217" i="22"/>
  <c r="F217" i="22"/>
  <c r="B217" i="22"/>
  <c r="H216" i="22"/>
  <c r="G216" i="22"/>
  <c r="F216" i="22"/>
  <c r="B216" i="22"/>
  <c r="H215" i="22"/>
  <c r="G215" i="22"/>
  <c r="B215" i="22"/>
  <c r="H214" i="22"/>
  <c r="G214" i="22"/>
  <c r="F214" i="22"/>
  <c r="H213" i="22"/>
  <c r="G213" i="22"/>
  <c r="F213" i="22"/>
  <c r="B213" i="22"/>
  <c r="H212" i="22"/>
  <c r="G212" i="22"/>
  <c r="F212" i="22"/>
  <c r="B212" i="22"/>
  <c r="H211" i="22"/>
  <c r="G211" i="22"/>
  <c r="B211" i="22"/>
  <c r="H210" i="22"/>
  <c r="G210" i="22"/>
  <c r="F210" i="22"/>
  <c r="H209" i="22"/>
  <c r="G209" i="22"/>
  <c r="F209" i="22"/>
  <c r="B209" i="22"/>
  <c r="H208" i="22"/>
  <c r="G208" i="22"/>
  <c r="B208" i="22"/>
  <c r="H207" i="22"/>
  <c r="G207" i="22"/>
  <c r="B207" i="22"/>
  <c r="H206" i="22"/>
  <c r="G206" i="22"/>
  <c r="F206" i="22"/>
  <c r="B206" i="22"/>
  <c r="H205" i="22"/>
  <c r="G205" i="22"/>
  <c r="F205" i="22"/>
  <c r="H204" i="22"/>
  <c r="G204" i="22"/>
  <c r="F204" i="22"/>
  <c r="H203" i="22"/>
  <c r="G203" i="22"/>
  <c r="B203" i="22"/>
  <c r="H202" i="22"/>
  <c r="G202" i="22"/>
  <c r="B202" i="22"/>
  <c r="H201" i="22"/>
  <c r="G201" i="22"/>
  <c r="B201" i="22"/>
  <c r="H200" i="22"/>
  <c r="G200" i="22"/>
  <c r="F200" i="22"/>
  <c r="B200" i="22"/>
  <c r="H199" i="22"/>
  <c r="G199" i="22"/>
  <c r="F199" i="22"/>
  <c r="B199" i="22"/>
  <c r="H198" i="22"/>
  <c r="G198" i="22"/>
  <c r="B198" i="22"/>
  <c r="H197" i="22"/>
  <c r="G197" i="22"/>
  <c r="B197" i="22"/>
  <c r="H196" i="22"/>
  <c r="G196" i="22"/>
  <c r="F196" i="22"/>
  <c r="B196" i="22"/>
  <c r="H195" i="22"/>
  <c r="G195" i="22"/>
  <c r="F195" i="22"/>
  <c r="H194" i="22"/>
  <c r="G194" i="22"/>
  <c r="F194" i="22"/>
  <c r="B194" i="22"/>
  <c r="H193" i="22"/>
  <c r="G193" i="22"/>
  <c r="F193" i="22"/>
  <c r="H192" i="22"/>
  <c r="G192" i="22"/>
  <c r="B192" i="22"/>
  <c r="H191" i="22"/>
  <c r="G191" i="22"/>
  <c r="B191" i="22"/>
  <c r="H190" i="22"/>
  <c r="G190" i="22"/>
  <c r="F190" i="22"/>
  <c r="H189" i="22"/>
  <c r="G189" i="22"/>
  <c r="B189" i="22"/>
  <c r="H188" i="22"/>
  <c r="G188" i="22"/>
  <c r="F188" i="22"/>
  <c r="H187" i="22"/>
  <c r="G187" i="22"/>
  <c r="F187" i="22"/>
  <c r="H186" i="22"/>
  <c r="G186" i="22"/>
  <c r="B186" i="22"/>
  <c r="H185" i="22"/>
  <c r="G185" i="22"/>
  <c r="F185" i="22"/>
  <c r="B185" i="22"/>
  <c r="H184" i="22"/>
  <c r="G184" i="22"/>
  <c r="F184" i="22"/>
  <c r="B184" i="22"/>
  <c r="H183" i="22"/>
  <c r="G183" i="22"/>
  <c r="F183" i="22"/>
  <c r="B183" i="22"/>
  <c r="H182" i="22"/>
  <c r="G182" i="22"/>
  <c r="F182" i="22"/>
  <c r="B182" i="22"/>
  <c r="H181" i="22"/>
  <c r="G181" i="22"/>
  <c r="F181" i="22"/>
  <c r="H180" i="22"/>
  <c r="G180" i="22"/>
  <c r="B180" i="22"/>
  <c r="H179" i="22"/>
  <c r="G179" i="22"/>
  <c r="F179" i="22"/>
  <c r="H178" i="22"/>
  <c r="G178" i="22"/>
  <c r="F178" i="22"/>
  <c r="B178" i="22"/>
  <c r="H177" i="22"/>
  <c r="G177" i="22"/>
  <c r="F177" i="22"/>
  <c r="B177" i="22"/>
  <c r="H176" i="22"/>
  <c r="G176" i="22"/>
  <c r="F176" i="22"/>
  <c r="B176" i="22"/>
  <c r="H175" i="22"/>
  <c r="G175" i="22"/>
  <c r="F175" i="22"/>
  <c r="B175" i="22"/>
  <c r="H174" i="22"/>
  <c r="G174" i="22"/>
  <c r="F174" i="22"/>
  <c r="B174" i="22"/>
  <c r="H173" i="22"/>
  <c r="G173" i="22"/>
  <c r="B173" i="22"/>
  <c r="H172" i="22"/>
  <c r="G172" i="22"/>
  <c r="H171" i="22"/>
  <c r="G171" i="22"/>
  <c r="F171" i="22"/>
  <c r="H170" i="22"/>
  <c r="G170" i="22"/>
  <c r="B170" i="22"/>
  <c r="H169" i="22"/>
  <c r="G169" i="22"/>
  <c r="F169" i="22"/>
  <c r="B169" i="22"/>
  <c r="H168" i="22"/>
  <c r="G168" i="22"/>
  <c r="F168" i="22"/>
  <c r="B168" i="22"/>
  <c r="H167" i="22"/>
  <c r="G167" i="22"/>
  <c r="B167" i="22"/>
  <c r="H166" i="22"/>
  <c r="G166" i="22"/>
  <c r="F166" i="22"/>
  <c r="B166" i="22"/>
  <c r="H165" i="22"/>
  <c r="G165" i="22"/>
  <c r="H164" i="22"/>
  <c r="G164" i="22"/>
  <c r="F164" i="22"/>
  <c r="B164" i="22"/>
  <c r="H163" i="22"/>
  <c r="G163" i="22"/>
  <c r="F163" i="22"/>
  <c r="B163" i="22"/>
  <c r="H162" i="22"/>
  <c r="G162" i="22"/>
  <c r="H161" i="22"/>
  <c r="G161" i="22"/>
  <c r="B161" i="22"/>
  <c r="H160" i="22"/>
  <c r="G160" i="22"/>
  <c r="B160" i="22"/>
  <c r="H159" i="22"/>
  <c r="G159" i="22"/>
  <c r="F159" i="22"/>
  <c r="B159" i="22"/>
  <c r="H158" i="22"/>
  <c r="G158" i="22"/>
  <c r="F158" i="22"/>
  <c r="B158" i="22"/>
  <c r="H157" i="22"/>
  <c r="G157" i="22"/>
  <c r="H156" i="22"/>
  <c r="G156" i="22"/>
  <c r="F156" i="22"/>
  <c r="B156" i="22"/>
  <c r="H155" i="22"/>
  <c r="G155" i="22"/>
  <c r="B155" i="22"/>
  <c r="H154" i="22"/>
  <c r="G154" i="22"/>
  <c r="F154" i="22"/>
  <c r="B154" i="22"/>
  <c r="H153" i="22"/>
  <c r="G153" i="22"/>
  <c r="B153" i="22"/>
  <c r="H152" i="22"/>
  <c r="G152" i="22"/>
  <c r="B152" i="22"/>
  <c r="H151" i="22"/>
  <c r="G151" i="22"/>
  <c r="B151" i="22"/>
  <c r="H150" i="22"/>
  <c r="G150" i="22"/>
  <c r="F150" i="22"/>
  <c r="H149" i="22"/>
  <c r="G149" i="22"/>
  <c r="F149" i="22"/>
  <c r="B149" i="22"/>
  <c r="H148" i="22"/>
  <c r="G148" i="22"/>
  <c r="B148" i="22"/>
  <c r="H147" i="22"/>
  <c r="G147" i="22"/>
  <c r="B147" i="22"/>
  <c r="H146" i="22"/>
  <c r="G146" i="22"/>
  <c r="B146" i="22"/>
  <c r="H145" i="22"/>
  <c r="G145" i="22"/>
  <c r="F145" i="22"/>
  <c r="B145" i="22"/>
  <c r="H144" i="22"/>
  <c r="G144" i="22"/>
  <c r="F144" i="22"/>
  <c r="H143" i="22"/>
  <c r="G143" i="22"/>
  <c r="F143" i="22"/>
  <c r="B143" i="22"/>
  <c r="H142" i="22"/>
  <c r="G142" i="22"/>
  <c r="F142" i="22"/>
  <c r="B142" i="22"/>
  <c r="H141" i="22"/>
  <c r="G141" i="22"/>
  <c r="F141" i="22"/>
  <c r="B141" i="22"/>
  <c r="H140" i="22"/>
  <c r="G140" i="22"/>
  <c r="F140" i="22"/>
  <c r="H139" i="22"/>
  <c r="G139" i="22"/>
  <c r="F139" i="22"/>
  <c r="H138" i="22"/>
  <c r="G138" i="22"/>
  <c r="F138" i="22"/>
  <c r="B138" i="22"/>
  <c r="H137" i="22"/>
  <c r="G137" i="22"/>
  <c r="B137" i="22"/>
  <c r="H136" i="22"/>
  <c r="G136" i="22"/>
  <c r="B136" i="22"/>
  <c r="H135" i="22"/>
  <c r="G135" i="22"/>
  <c r="B135" i="22"/>
  <c r="H134" i="22"/>
  <c r="G134" i="22"/>
  <c r="F134" i="22"/>
  <c r="H133" i="22"/>
  <c r="G133" i="22"/>
  <c r="F133" i="22"/>
  <c r="B133" i="22"/>
  <c r="H132" i="22"/>
  <c r="G132" i="22"/>
  <c r="B132" i="22"/>
  <c r="H131" i="22"/>
  <c r="G131" i="22"/>
  <c r="B131" i="22"/>
  <c r="H130" i="22"/>
  <c r="G130" i="22"/>
  <c r="B130" i="22"/>
  <c r="H129" i="22"/>
  <c r="G129" i="22"/>
  <c r="H128" i="22"/>
  <c r="G128" i="22"/>
  <c r="B128" i="22"/>
  <c r="H127" i="22"/>
  <c r="G127" i="22"/>
  <c r="F127" i="22"/>
  <c r="B127" i="22"/>
  <c r="H126" i="22"/>
  <c r="G126" i="22"/>
  <c r="H125" i="22"/>
  <c r="G125" i="22"/>
  <c r="B125" i="22"/>
  <c r="H124" i="22"/>
  <c r="G124" i="22"/>
  <c r="F124" i="22"/>
  <c r="B124" i="22"/>
  <c r="H123" i="22"/>
  <c r="G123" i="22"/>
  <c r="F123" i="22"/>
  <c r="H122" i="22"/>
  <c r="G122" i="22"/>
  <c r="F122" i="22"/>
  <c r="B122" i="22"/>
  <c r="H121" i="22"/>
  <c r="G121" i="22"/>
  <c r="B121" i="22"/>
  <c r="H120" i="22"/>
  <c r="G120" i="22"/>
  <c r="F120" i="22"/>
  <c r="B120" i="22"/>
  <c r="H119" i="22"/>
  <c r="G119" i="22"/>
  <c r="B119" i="22"/>
  <c r="H118" i="22"/>
  <c r="G118" i="22"/>
  <c r="F118" i="22"/>
  <c r="B118" i="22"/>
  <c r="H117" i="22"/>
  <c r="G117" i="22"/>
  <c r="F117" i="22"/>
  <c r="B117" i="22"/>
  <c r="H116" i="22"/>
  <c r="G116" i="22"/>
  <c r="F116" i="22"/>
  <c r="H115" i="22"/>
  <c r="G115" i="22"/>
  <c r="F115" i="22"/>
  <c r="H114" i="22"/>
  <c r="G114" i="22"/>
  <c r="F114" i="22"/>
  <c r="H113" i="22"/>
  <c r="G113" i="22"/>
  <c r="H112" i="22"/>
  <c r="G112" i="22"/>
  <c r="F112" i="22"/>
  <c r="H111" i="22"/>
  <c r="G111" i="22"/>
  <c r="F111" i="22"/>
  <c r="H110" i="22"/>
  <c r="G110" i="22"/>
  <c r="B110" i="22"/>
  <c r="H109" i="22"/>
  <c r="G109" i="22"/>
  <c r="B109" i="22"/>
  <c r="H108" i="22"/>
  <c r="G108" i="22"/>
  <c r="F108" i="22"/>
  <c r="B108" i="22"/>
  <c r="H107" i="22"/>
  <c r="G107" i="22"/>
  <c r="F107" i="22"/>
  <c r="B107" i="22"/>
  <c r="H106" i="22"/>
  <c r="G106" i="22"/>
  <c r="F106" i="22"/>
  <c r="B106" i="22"/>
  <c r="H105" i="22"/>
  <c r="G105" i="22"/>
  <c r="F105" i="22"/>
  <c r="B105" i="22"/>
  <c r="H104" i="22"/>
  <c r="G104" i="22"/>
  <c r="B104" i="22"/>
  <c r="H103" i="22"/>
  <c r="G103" i="22"/>
  <c r="F103" i="22"/>
  <c r="H102" i="22"/>
  <c r="G102" i="22"/>
  <c r="F102" i="22"/>
  <c r="H101" i="22"/>
  <c r="G101" i="22"/>
  <c r="F101" i="22"/>
  <c r="B101" i="22"/>
  <c r="H100" i="22"/>
  <c r="G100" i="22"/>
  <c r="B100" i="22"/>
  <c r="H99" i="22"/>
  <c r="G99" i="22"/>
  <c r="B99" i="22"/>
  <c r="H98" i="22"/>
  <c r="G98" i="22"/>
  <c r="H97" i="22"/>
  <c r="G97" i="22"/>
  <c r="F97" i="22"/>
  <c r="B97" i="22"/>
  <c r="H96" i="22"/>
  <c r="G96" i="22"/>
  <c r="F96" i="22"/>
  <c r="B96" i="22"/>
  <c r="H95" i="22"/>
  <c r="G95" i="22"/>
  <c r="F95" i="22"/>
  <c r="B95" i="22"/>
  <c r="H94" i="22"/>
  <c r="G94" i="22"/>
  <c r="F94" i="22"/>
  <c r="B94" i="22"/>
  <c r="H93" i="22"/>
  <c r="G93" i="22"/>
  <c r="B93" i="22"/>
  <c r="H92" i="22"/>
  <c r="G92" i="22"/>
  <c r="F92" i="22"/>
  <c r="B92" i="22"/>
  <c r="H91" i="22"/>
  <c r="G91" i="22"/>
  <c r="F91" i="22"/>
  <c r="H90" i="22"/>
  <c r="G90" i="22"/>
  <c r="F90" i="22"/>
  <c r="B90" i="22"/>
  <c r="H89" i="22"/>
  <c r="G89" i="22"/>
  <c r="F89" i="22"/>
  <c r="H88" i="22"/>
  <c r="G88" i="22"/>
  <c r="F88" i="22"/>
  <c r="B88" i="22"/>
  <c r="H87" i="22"/>
  <c r="G87" i="22"/>
  <c r="F87" i="22"/>
  <c r="B87" i="22"/>
  <c r="H86" i="22"/>
  <c r="G86" i="22"/>
  <c r="B86" i="22"/>
  <c r="H85" i="22"/>
  <c r="G85" i="22"/>
  <c r="B85" i="22"/>
  <c r="H84" i="22"/>
  <c r="G84" i="22"/>
  <c r="F84" i="22"/>
  <c r="B84" i="22"/>
  <c r="H83" i="22"/>
  <c r="G83" i="22"/>
  <c r="B83" i="22"/>
  <c r="H82" i="22"/>
  <c r="G82" i="22"/>
  <c r="F82" i="22"/>
  <c r="B82" i="22"/>
  <c r="H81" i="22"/>
  <c r="G81" i="22"/>
  <c r="F81" i="22"/>
  <c r="B81" i="22"/>
  <c r="H80" i="22"/>
  <c r="G80" i="22"/>
  <c r="F80" i="22"/>
  <c r="B80" i="22"/>
  <c r="H79" i="22"/>
  <c r="G79" i="22"/>
  <c r="F79" i="22"/>
  <c r="B79" i="22"/>
  <c r="H78" i="22"/>
  <c r="G78" i="22"/>
  <c r="F78" i="22"/>
  <c r="B78" i="22"/>
  <c r="H77" i="22"/>
  <c r="G77" i="22"/>
  <c r="F77" i="22"/>
  <c r="B77" i="22"/>
  <c r="H76" i="22"/>
  <c r="G76" i="22"/>
  <c r="B76" i="22"/>
  <c r="H75" i="22"/>
  <c r="G75" i="22"/>
  <c r="F75" i="22"/>
  <c r="H74" i="22"/>
  <c r="G74" i="22"/>
  <c r="F74" i="22"/>
  <c r="B74" i="22"/>
  <c r="H73" i="22"/>
  <c r="G73" i="22"/>
  <c r="F73" i="22"/>
  <c r="H72" i="22"/>
  <c r="G72" i="22"/>
  <c r="F72" i="22"/>
  <c r="B72" i="22"/>
  <c r="H71" i="22"/>
  <c r="G71" i="22"/>
  <c r="F71" i="22"/>
  <c r="B71" i="22"/>
  <c r="H70" i="22"/>
  <c r="G70" i="22"/>
  <c r="B70" i="22"/>
  <c r="H69" i="22"/>
  <c r="G69" i="22"/>
  <c r="B69" i="22"/>
  <c r="H68" i="22"/>
  <c r="G68" i="22"/>
  <c r="F68" i="22"/>
  <c r="B68" i="22"/>
  <c r="H67" i="22"/>
  <c r="G67" i="22"/>
  <c r="H66" i="22"/>
  <c r="G66" i="22"/>
  <c r="H65" i="22"/>
  <c r="G65" i="22"/>
  <c r="F65" i="22"/>
  <c r="B65" i="22"/>
  <c r="H64" i="22"/>
  <c r="G64" i="22"/>
  <c r="F64" i="22"/>
  <c r="H63" i="22"/>
  <c r="G63" i="22"/>
  <c r="F63" i="22"/>
  <c r="H62" i="22"/>
  <c r="G62" i="22"/>
  <c r="F62" i="22"/>
  <c r="B62" i="22"/>
  <c r="H61" i="22"/>
  <c r="G61" i="22"/>
  <c r="F61" i="22"/>
  <c r="B61" i="22"/>
  <c r="H60" i="22"/>
  <c r="G60" i="22"/>
  <c r="F60" i="22"/>
  <c r="B60" i="22"/>
  <c r="H59" i="22"/>
  <c r="G59" i="22"/>
  <c r="B59" i="22"/>
  <c r="H58" i="22"/>
  <c r="G58" i="22"/>
  <c r="F58" i="22"/>
  <c r="B58" i="22"/>
  <c r="H57" i="22"/>
  <c r="G57" i="22"/>
  <c r="B57" i="22"/>
  <c r="H56" i="22"/>
  <c r="G56" i="22"/>
  <c r="F56" i="22"/>
  <c r="B56" i="22"/>
  <c r="H55" i="22"/>
  <c r="G55" i="22"/>
  <c r="H54" i="22"/>
  <c r="G54" i="22"/>
  <c r="B54" i="22"/>
  <c r="H53" i="22"/>
  <c r="G53" i="22"/>
  <c r="F53" i="22"/>
  <c r="B53" i="22"/>
  <c r="H52" i="22"/>
  <c r="G52" i="22"/>
  <c r="B52" i="22"/>
  <c r="H51" i="22"/>
  <c r="G51" i="22"/>
  <c r="F51" i="22"/>
  <c r="B51" i="22"/>
  <c r="H50" i="22"/>
  <c r="G50" i="22"/>
  <c r="B50" i="22"/>
  <c r="H49" i="22"/>
  <c r="G49" i="22"/>
  <c r="B49" i="22"/>
  <c r="H48" i="22"/>
  <c r="G48" i="22"/>
  <c r="F48" i="22"/>
  <c r="H47" i="22"/>
  <c r="G47" i="22"/>
  <c r="H46" i="22"/>
  <c r="G46" i="22"/>
  <c r="B46" i="22"/>
  <c r="H45" i="22"/>
  <c r="G45" i="22"/>
  <c r="F45" i="22"/>
  <c r="H44" i="22"/>
  <c r="G44" i="22"/>
  <c r="B44" i="22"/>
  <c r="H43" i="22"/>
  <c r="G43" i="22"/>
  <c r="F43" i="22"/>
  <c r="H42" i="22"/>
  <c r="G42" i="22"/>
  <c r="H41" i="22"/>
  <c r="G41" i="22"/>
  <c r="B41" i="22"/>
  <c r="H40" i="22"/>
  <c r="G40" i="22"/>
  <c r="F40" i="22"/>
  <c r="B40" i="22"/>
  <c r="H39" i="22"/>
  <c r="G39" i="22"/>
  <c r="F39" i="22"/>
  <c r="B39" i="22"/>
  <c r="H38" i="22"/>
  <c r="G38" i="22"/>
  <c r="B38" i="22"/>
  <c r="H37" i="22"/>
  <c r="G37" i="22"/>
  <c r="B37" i="22"/>
  <c r="H36" i="22"/>
  <c r="G36" i="22"/>
  <c r="F36" i="22"/>
  <c r="B36" i="22"/>
  <c r="H35" i="22"/>
  <c r="G35" i="22"/>
  <c r="B35" i="22"/>
  <c r="H34" i="22"/>
  <c r="G34" i="22"/>
  <c r="B34" i="22"/>
  <c r="H33" i="22"/>
  <c r="G33" i="22"/>
  <c r="B33" i="22"/>
  <c r="H32" i="22"/>
  <c r="G32" i="22"/>
  <c r="F32" i="22"/>
  <c r="B32" i="22"/>
  <c r="H31" i="22"/>
  <c r="G31" i="22"/>
  <c r="B31" i="22"/>
  <c r="H30" i="22"/>
  <c r="G30" i="22"/>
  <c r="B30" i="22"/>
  <c r="H29" i="22"/>
  <c r="G29" i="22"/>
  <c r="F29" i="22"/>
  <c r="B29" i="22"/>
  <c r="H28" i="22"/>
  <c r="G28" i="22"/>
  <c r="B28" i="22"/>
  <c r="H27" i="22"/>
  <c r="G27" i="22"/>
  <c r="F27" i="22"/>
  <c r="B27" i="22"/>
  <c r="H26" i="22"/>
  <c r="G26" i="22"/>
  <c r="F26" i="22"/>
  <c r="B26" i="22"/>
  <c r="H25" i="22"/>
  <c r="G25" i="22"/>
  <c r="F25" i="22"/>
  <c r="B25" i="22"/>
  <c r="H24" i="22"/>
  <c r="G24" i="22"/>
  <c r="F24" i="22"/>
  <c r="B24" i="22"/>
  <c r="H23" i="22"/>
  <c r="G23" i="22"/>
  <c r="F23" i="22"/>
  <c r="B23" i="22"/>
  <c r="H22" i="22"/>
  <c r="G22" i="22"/>
  <c r="F22" i="22"/>
  <c r="H21" i="22"/>
  <c r="G21" i="22"/>
  <c r="F21" i="22"/>
  <c r="B21" i="22"/>
  <c r="H20" i="22"/>
  <c r="G20" i="22"/>
  <c r="F20" i="22"/>
  <c r="B20" i="22"/>
  <c r="H19" i="22"/>
  <c r="G19" i="22"/>
  <c r="B19" i="22"/>
  <c r="H18" i="22"/>
  <c r="G18" i="22"/>
  <c r="B18" i="22"/>
  <c r="H17" i="22"/>
  <c r="G17" i="22"/>
  <c r="B17" i="22"/>
  <c r="H16" i="22"/>
  <c r="G16" i="22"/>
  <c r="F16" i="22"/>
  <c r="B16" i="22"/>
  <c r="H15" i="22"/>
  <c r="G15" i="22"/>
  <c r="F15" i="22"/>
  <c r="B15" i="22"/>
  <c r="H14" i="22"/>
  <c r="G14" i="22"/>
  <c r="F14" i="22"/>
  <c r="B14" i="22"/>
  <c r="H13" i="22"/>
  <c r="G13" i="22"/>
  <c r="F13" i="22"/>
  <c r="B13" i="22"/>
  <c r="H12" i="22"/>
  <c r="G12" i="22"/>
  <c r="F12" i="22"/>
  <c r="B12" i="22"/>
  <c r="H11" i="22"/>
  <c r="G11" i="22"/>
  <c r="B11" i="22"/>
  <c r="H10" i="22"/>
  <c r="G10" i="22"/>
  <c r="B10" i="22"/>
  <c r="B5" i="22"/>
  <c r="B4" i="22"/>
  <c r="B3" i="22"/>
  <c r="A3" i="22"/>
  <c r="A1" i="22"/>
  <c r="M322" i="5"/>
  <c r="H322" i="5"/>
  <c r="G322" i="5"/>
  <c r="C19" i="28" s="1"/>
  <c r="B322" i="5"/>
  <c r="K320" i="5"/>
  <c r="O320" i="5" s="1"/>
  <c r="K319" i="5"/>
  <c r="O319" i="5" s="1"/>
  <c r="K318" i="5"/>
  <c r="N318" i="5" s="1"/>
  <c r="K317" i="5"/>
  <c r="O317" i="5" s="1"/>
  <c r="K316" i="5"/>
  <c r="O316" i="5" s="1"/>
  <c r="K315" i="5"/>
  <c r="O315" i="5" s="1"/>
  <c r="K314" i="5"/>
  <c r="O314" i="5" s="1"/>
  <c r="K313" i="5"/>
  <c r="O313" i="5" s="1"/>
  <c r="K312" i="5"/>
  <c r="O312" i="5" s="1"/>
  <c r="K311" i="5"/>
  <c r="O311" i="5" s="1"/>
  <c r="K310" i="5"/>
  <c r="K309" i="5"/>
  <c r="N309" i="5" s="1"/>
  <c r="I308" i="5"/>
  <c r="K308" i="5" s="1"/>
  <c r="I307" i="5"/>
  <c r="I306" i="5"/>
  <c r="J306" i="5" s="1"/>
  <c r="M300" i="5"/>
  <c r="L300" i="5"/>
  <c r="J300" i="5"/>
  <c r="J340" i="5" s="1"/>
  <c r="H300" i="5"/>
  <c r="H340" i="5" s="1"/>
  <c r="G334" i="5"/>
  <c r="H3" i="5" s="1"/>
  <c r="B300" i="5"/>
  <c r="F316" i="22"/>
  <c r="F261" i="22"/>
  <c r="F352" i="22"/>
  <c r="F358" i="22"/>
  <c r="F136" i="22"/>
  <c r="F276" i="22"/>
  <c r="F247" i="22"/>
  <c r="F146" i="22"/>
  <c r="F99" i="22"/>
  <c r="F86" i="22"/>
  <c r="F278" i="22"/>
  <c r="F201" i="22"/>
  <c r="F162" i="22"/>
  <c r="F126" i="22"/>
  <c r="K149" i="5"/>
  <c r="E372" i="21" s="1"/>
  <c r="H372" i="21" s="1"/>
  <c r="M141" i="5"/>
  <c r="M339" i="5" s="1"/>
  <c r="L141" i="5"/>
  <c r="L339" i="5" s="1"/>
  <c r="J141" i="5"/>
  <c r="J339" i="5" s="1"/>
  <c r="H141" i="5"/>
  <c r="H339" i="5" s="1"/>
  <c r="G141" i="5"/>
  <c r="B141" i="5"/>
  <c r="I139" i="5"/>
  <c r="K139" i="5" s="1"/>
  <c r="I138" i="5"/>
  <c r="K138" i="5" s="1"/>
  <c r="I137" i="5"/>
  <c r="K137" i="5" s="1"/>
  <c r="N137" i="5" s="1"/>
  <c r="I136" i="5"/>
  <c r="K136" i="5" s="1"/>
  <c r="O136" i="5" s="1"/>
  <c r="I135" i="5"/>
  <c r="K135" i="5" s="1"/>
  <c r="I134" i="5"/>
  <c r="K134" i="5" s="1"/>
  <c r="I133" i="5"/>
  <c r="K133" i="5" s="1"/>
  <c r="O133" i="5" s="1"/>
  <c r="I132" i="5"/>
  <c r="K132" i="5" s="1"/>
  <c r="O132" i="5" s="1"/>
  <c r="I131" i="5"/>
  <c r="K131" i="5" s="1"/>
  <c r="I130" i="5"/>
  <c r="K130" i="5" s="1"/>
  <c r="I129" i="5"/>
  <c r="K129" i="5" s="1"/>
  <c r="O129" i="5" s="1"/>
  <c r="I128" i="5"/>
  <c r="K128" i="5" s="1"/>
  <c r="O128" i="5" s="1"/>
  <c r="I127" i="5"/>
  <c r="K127" i="5" s="1"/>
  <c r="I126" i="5"/>
  <c r="K126" i="5" s="1"/>
  <c r="I125" i="5"/>
  <c r="K125" i="5" s="1"/>
  <c r="N125" i="5" s="1"/>
  <c r="I124" i="5"/>
  <c r="K124" i="5" s="1"/>
  <c r="I123" i="5"/>
  <c r="K123" i="5" s="1"/>
  <c r="I122" i="5"/>
  <c r="K122" i="5" s="1"/>
  <c r="I121" i="5"/>
  <c r="K121" i="5" s="1"/>
  <c r="I120" i="5"/>
  <c r="K120" i="5" s="1"/>
  <c r="I119" i="5"/>
  <c r="K119" i="5" s="1"/>
  <c r="N119" i="5" s="1"/>
  <c r="I118" i="5"/>
  <c r="K118" i="5" s="1"/>
  <c r="I117" i="5"/>
  <c r="K117" i="5" s="1"/>
  <c r="I116" i="5"/>
  <c r="K116" i="5" s="1"/>
  <c r="N116" i="5" s="1"/>
  <c r="I115" i="5"/>
  <c r="K115" i="5" s="1"/>
  <c r="N115" i="5" s="1"/>
  <c r="I114" i="5"/>
  <c r="K114" i="5" s="1"/>
  <c r="N114" i="5" s="1"/>
  <c r="I113" i="5"/>
  <c r="K113" i="5" s="1"/>
  <c r="I112" i="5"/>
  <c r="I111" i="5"/>
  <c r="K111" i="5" s="1"/>
  <c r="O111" i="5" s="1"/>
  <c r="I110" i="5"/>
  <c r="K110" i="5" s="1"/>
  <c r="I109" i="5"/>
  <c r="K109" i="5" s="1"/>
  <c r="M98" i="5"/>
  <c r="M338" i="5" s="1"/>
  <c r="G338" i="5"/>
  <c r="B98" i="5"/>
  <c r="J96" i="5"/>
  <c r="H96" i="5"/>
  <c r="I96" i="5" s="1"/>
  <c r="J95" i="5"/>
  <c r="H95" i="5"/>
  <c r="I95" i="5" s="1"/>
  <c r="J94" i="5"/>
  <c r="H94" i="5"/>
  <c r="I94" i="5" s="1"/>
  <c r="J93" i="5"/>
  <c r="H93" i="5"/>
  <c r="I93" i="5" s="1"/>
  <c r="J92" i="5"/>
  <c r="H92" i="5"/>
  <c r="I92" i="5" s="1"/>
  <c r="J91" i="5"/>
  <c r="H91" i="5"/>
  <c r="I91" i="5" s="1"/>
  <c r="J90" i="5"/>
  <c r="H90" i="5"/>
  <c r="I90" i="5" s="1"/>
  <c r="J89" i="5"/>
  <c r="H89" i="5"/>
  <c r="I89" i="5" s="1"/>
  <c r="J88" i="5"/>
  <c r="H88" i="5"/>
  <c r="I88" i="5" s="1"/>
  <c r="J87" i="5"/>
  <c r="H87" i="5"/>
  <c r="I87" i="5" s="1"/>
  <c r="J86" i="5"/>
  <c r="H86" i="5"/>
  <c r="I86" i="5" s="1"/>
  <c r="J85" i="5"/>
  <c r="H85" i="5"/>
  <c r="I85" i="5" s="1"/>
  <c r="J84" i="5"/>
  <c r="H84" i="5"/>
  <c r="I84" i="5" s="1"/>
  <c r="J83" i="5"/>
  <c r="H83" i="5"/>
  <c r="I83" i="5" s="1"/>
  <c r="J82" i="5"/>
  <c r="H82" i="5"/>
  <c r="I82" i="5" s="1"/>
  <c r="J81" i="5"/>
  <c r="H81" i="5"/>
  <c r="I81" i="5" s="1"/>
  <c r="J80" i="5"/>
  <c r="H80" i="5"/>
  <c r="I80" i="5" s="1"/>
  <c r="J79" i="5"/>
  <c r="H79" i="5"/>
  <c r="I79" i="5" s="1"/>
  <c r="J78" i="5"/>
  <c r="H78" i="5"/>
  <c r="I78" i="5" s="1"/>
  <c r="J77" i="5"/>
  <c r="H77" i="5"/>
  <c r="I77" i="5" s="1"/>
  <c r="J76" i="5"/>
  <c r="H76" i="5"/>
  <c r="I76" i="5" s="1"/>
  <c r="J75" i="5"/>
  <c r="H75" i="5"/>
  <c r="I75" i="5" s="1"/>
  <c r="J74" i="5"/>
  <c r="H74" i="5"/>
  <c r="I74" i="5" s="1"/>
  <c r="J73" i="5"/>
  <c r="H73" i="5"/>
  <c r="I73" i="5" s="1"/>
  <c r="J72" i="5"/>
  <c r="H72" i="5"/>
  <c r="I72" i="5" s="1"/>
  <c r="J71" i="5"/>
  <c r="H71" i="5"/>
  <c r="I71" i="5" s="1"/>
  <c r="J70" i="5"/>
  <c r="H70" i="5"/>
  <c r="I70" i="5" s="1"/>
  <c r="J69" i="5"/>
  <c r="H69" i="5"/>
  <c r="I69" i="5" s="1"/>
  <c r="J68" i="5"/>
  <c r="H68" i="5"/>
  <c r="I68" i="5" s="1"/>
  <c r="J67" i="5"/>
  <c r="H67" i="5"/>
  <c r="I67" i="5" s="1"/>
  <c r="J66" i="5"/>
  <c r="H66" i="5"/>
  <c r="I66" i="5" s="1"/>
  <c r="J65" i="5"/>
  <c r="H65" i="5"/>
  <c r="I65" i="5" s="1"/>
  <c r="J64" i="5"/>
  <c r="H64" i="5"/>
  <c r="I64" i="5" s="1"/>
  <c r="J63" i="5"/>
  <c r="H63" i="5"/>
  <c r="I63" i="5" s="1"/>
  <c r="J62" i="5"/>
  <c r="H62" i="5"/>
  <c r="I62" i="5" s="1"/>
  <c r="J61" i="5"/>
  <c r="H61" i="5"/>
  <c r="I61" i="5" s="1"/>
  <c r="J60" i="5"/>
  <c r="H60" i="5"/>
  <c r="I60" i="5" s="1"/>
  <c r="J59" i="5"/>
  <c r="H59" i="5"/>
  <c r="I59" i="5" s="1"/>
  <c r="J58" i="5"/>
  <c r="H58" i="5"/>
  <c r="I58" i="5" s="1"/>
  <c r="H9" i="5"/>
  <c r="I9" i="5" s="1"/>
  <c r="K9" i="5" s="1"/>
  <c r="G3" i="5"/>
  <c r="B3" i="5"/>
  <c r="A3" i="5"/>
  <c r="G2" i="5"/>
  <c r="A1" i="5"/>
  <c r="C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B37" i="4"/>
  <c r="C36" i="4"/>
  <c r="B36" i="4"/>
  <c r="C35" i="4"/>
  <c r="B35" i="4"/>
  <c r="C34" i="4"/>
  <c r="B34" i="4"/>
  <c r="C33" i="4"/>
  <c r="B33" i="4"/>
  <c r="B32" i="4"/>
  <c r="C31" i="4"/>
  <c r="B31" i="4"/>
  <c r="C30" i="4"/>
  <c r="B30" i="4"/>
  <c r="C29" i="4"/>
  <c r="B29" i="4"/>
  <c r="B28" i="4"/>
  <c r="C27" i="4"/>
  <c r="B27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D19" i="4" s="1"/>
  <c r="B19" i="4"/>
  <c r="H10" i="4"/>
  <c r="H9" i="4"/>
  <c r="H8" i="4"/>
  <c r="H7" i="4"/>
  <c r="H6" i="4"/>
  <c r="H5" i="4"/>
  <c r="B5" i="4"/>
  <c r="H4" i="4"/>
  <c r="B4" i="4"/>
  <c r="B3" i="4"/>
  <c r="A3" i="4"/>
  <c r="A1" i="4"/>
  <c r="A2253" i="2"/>
  <c r="G35" i="7"/>
  <c r="G31" i="7"/>
  <c r="C26" i="4"/>
  <c r="G37" i="7"/>
  <c r="D5" i="2"/>
  <c r="D4" i="2"/>
  <c r="A3" i="2"/>
  <c r="A1" i="2"/>
  <c r="A2252" i="2" s="1"/>
  <c r="F956" i="1"/>
  <c r="F2" i="1" s="1"/>
  <c r="A956" i="1"/>
  <c r="G10" i="1"/>
  <c r="A10" i="1"/>
  <c r="A3" i="1"/>
  <c r="A1" i="1"/>
  <c r="A955" i="1" s="1"/>
  <c r="G604" i="13"/>
  <c r="G603" i="13"/>
  <c r="G602" i="13"/>
  <c r="G601" i="13"/>
  <c r="G600" i="13"/>
  <c r="G599" i="13"/>
  <c r="G597" i="13"/>
  <c r="G595" i="13"/>
  <c r="G594" i="13"/>
  <c r="G593" i="13"/>
  <c r="G592" i="13"/>
  <c r="G591" i="13"/>
  <c r="G590" i="13"/>
  <c r="G589" i="13"/>
  <c r="G588" i="13"/>
  <c r="G587" i="13"/>
  <c r="G586" i="13"/>
  <c r="G585" i="13"/>
  <c r="G584" i="13"/>
  <c r="G583" i="13"/>
  <c r="G582" i="13"/>
  <c r="G581" i="13"/>
  <c r="G580" i="13"/>
  <c r="G579" i="13"/>
  <c r="G578" i="13"/>
  <c r="G577" i="13"/>
  <c r="G576" i="13"/>
  <c r="G575" i="13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6" i="13"/>
  <c r="G545" i="13"/>
  <c r="G544" i="13"/>
  <c r="G542" i="13"/>
  <c r="G540" i="13"/>
  <c r="G538" i="13"/>
  <c r="G537" i="13"/>
  <c r="G536" i="13"/>
  <c r="G535" i="13"/>
  <c r="G534" i="13"/>
  <c r="G533" i="13"/>
  <c r="G532" i="13"/>
  <c r="G531" i="13"/>
  <c r="G530" i="13"/>
  <c r="D530" i="13"/>
  <c r="D531" i="13" s="1"/>
  <c r="D532" i="13" s="1"/>
  <c r="D533" i="13" s="1"/>
  <c r="D534" i="13" s="1"/>
  <c r="D535" i="13" s="1"/>
  <c r="D536" i="13" s="1"/>
  <c r="D537" i="13" s="1"/>
  <c r="D538" i="13" s="1"/>
  <c r="D539" i="13" s="1"/>
  <c r="D540" i="13" s="1"/>
  <c r="D541" i="13" s="1"/>
  <c r="D542" i="13" s="1"/>
  <c r="D543" i="13" s="1"/>
  <c r="D544" i="13" s="1"/>
  <c r="D545" i="13" s="1"/>
  <c r="D546" i="13" s="1"/>
  <c r="D547" i="13" s="1"/>
  <c r="D548" i="13" s="1"/>
  <c r="D549" i="13" s="1"/>
  <c r="D550" i="13" s="1"/>
  <c r="D551" i="13" s="1"/>
  <c r="D552" i="13" s="1"/>
  <c r="D553" i="13" s="1"/>
  <c r="D554" i="13" s="1"/>
  <c r="D555" i="13" s="1"/>
  <c r="D556" i="13" s="1"/>
  <c r="D557" i="13" s="1"/>
  <c r="D558" i="13" s="1"/>
  <c r="D559" i="13" s="1"/>
  <c r="D560" i="13" s="1"/>
  <c r="D561" i="13" s="1"/>
  <c r="D562" i="13" s="1"/>
  <c r="D563" i="13" s="1"/>
  <c r="D564" i="13" s="1"/>
  <c r="D565" i="13" s="1"/>
  <c r="D566" i="13" s="1"/>
  <c r="D567" i="13" s="1"/>
  <c r="D568" i="13" s="1"/>
  <c r="D569" i="13" s="1"/>
  <c r="D570" i="13" s="1"/>
  <c r="D571" i="13" s="1"/>
  <c r="D572" i="13" s="1"/>
  <c r="D573" i="13" s="1"/>
  <c r="D574" i="13" s="1"/>
  <c r="D575" i="13" s="1"/>
  <c r="D576" i="13" s="1"/>
  <c r="D577" i="13" s="1"/>
  <c r="D578" i="13" s="1"/>
  <c r="D579" i="13" s="1"/>
  <c r="D580" i="13" s="1"/>
  <c r="D581" i="13" s="1"/>
  <c r="D582" i="13" s="1"/>
  <c r="D583" i="13" s="1"/>
  <c r="D584" i="13" s="1"/>
  <c r="D585" i="13" s="1"/>
  <c r="D586" i="13" s="1"/>
  <c r="D587" i="13" s="1"/>
  <c r="D588" i="13" s="1"/>
  <c r="D589" i="13" s="1"/>
  <c r="D590" i="13" s="1"/>
  <c r="D591" i="13" s="1"/>
  <c r="D592" i="13" s="1"/>
  <c r="D593" i="13" s="1"/>
  <c r="D594" i="13" s="1"/>
  <c r="D595" i="13" s="1"/>
  <c r="D596" i="13" s="1"/>
  <c r="D597" i="13" s="1"/>
  <c r="D598" i="13" s="1"/>
  <c r="D599" i="13" s="1"/>
  <c r="D600" i="13" s="1"/>
  <c r="D601" i="13" s="1"/>
  <c r="D602" i="13" s="1"/>
  <c r="D603" i="13" s="1"/>
  <c r="D604" i="13" s="1"/>
  <c r="G529" i="13"/>
  <c r="J490" i="13"/>
  <c r="J491" i="13" s="1"/>
  <c r="J492" i="13" s="1"/>
  <c r="J493" i="13" s="1"/>
  <c r="J494" i="13" s="1"/>
  <c r="J495" i="13" s="1"/>
  <c r="J496" i="13" s="1"/>
  <c r="J497" i="13" s="1"/>
  <c r="J498" i="13" s="1"/>
  <c r="J499" i="13" s="1"/>
  <c r="J500" i="13" s="1"/>
  <c r="J501" i="13" s="1"/>
  <c r="J502" i="13" s="1"/>
  <c r="J503" i="13" s="1"/>
  <c r="J504" i="13" s="1"/>
  <c r="J505" i="13" s="1"/>
  <c r="J506" i="13" s="1"/>
  <c r="J507" i="13" s="1"/>
  <c r="J508" i="13" s="1"/>
  <c r="J509" i="13" s="1"/>
  <c r="J510" i="13" s="1"/>
  <c r="J511" i="13" s="1"/>
  <c r="J512" i="13" s="1"/>
  <c r="J513" i="13" s="1"/>
  <c r="D490" i="13"/>
  <c r="D491" i="13" s="1"/>
  <c r="D492" i="13" s="1"/>
  <c r="D493" i="13" s="1"/>
  <c r="D494" i="13" s="1"/>
  <c r="D495" i="13" s="1"/>
  <c r="D496" i="13" s="1"/>
  <c r="D497" i="13" s="1"/>
  <c r="D498" i="13" s="1"/>
  <c r="D499" i="13" s="1"/>
  <c r="D500" i="13" s="1"/>
  <c r="D501" i="13" s="1"/>
  <c r="D502" i="13" s="1"/>
  <c r="D503" i="13" s="1"/>
  <c r="D504" i="13" s="1"/>
  <c r="D505" i="13" s="1"/>
  <c r="D506" i="13" s="1"/>
  <c r="D507" i="13" s="1"/>
  <c r="D508" i="13" s="1"/>
  <c r="D509" i="13" s="1"/>
  <c r="D510" i="13" s="1"/>
  <c r="D511" i="13" s="1"/>
  <c r="D512" i="13" s="1"/>
  <c r="D513" i="13" s="1"/>
  <c r="D514" i="13" s="1"/>
  <c r="D515" i="13" s="1"/>
  <c r="D516" i="13" s="1"/>
  <c r="D517" i="13" s="1"/>
  <c r="D518" i="13" s="1"/>
  <c r="D519" i="13" s="1"/>
  <c r="D520" i="13" s="1"/>
  <c r="J422" i="13"/>
  <c r="J423" i="13" s="1"/>
  <c r="J424" i="13" s="1"/>
  <c r="J425" i="13" s="1"/>
  <c r="J426" i="13" s="1"/>
  <c r="J427" i="13" s="1"/>
  <c r="J428" i="13" s="1"/>
  <c r="J429" i="13" s="1"/>
  <c r="J430" i="13" s="1"/>
  <c r="J431" i="13" s="1"/>
  <c r="J432" i="13" s="1"/>
  <c r="J433" i="13" s="1"/>
  <c r="J434" i="13" s="1"/>
  <c r="J435" i="13" s="1"/>
  <c r="J436" i="13" s="1"/>
  <c r="J437" i="13" s="1"/>
  <c r="J438" i="13" s="1"/>
  <c r="J439" i="13" s="1"/>
  <c r="J440" i="13" s="1"/>
  <c r="J441" i="13" s="1"/>
  <c r="J442" i="13" s="1"/>
  <c r="J443" i="13" s="1"/>
  <c r="J444" i="13" s="1"/>
  <c r="J445" i="13" s="1"/>
  <c r="J446" i="13" s="1"/>
  <c r="J447" i="13" s="1"/>
  <c r="J448" i="13" s="1"/>
  <c r="J449" i="13" s="1"/>
  <c r="J450" i="13" s="1"/>
  <c r="J451" i="13" s="1"/>
  <c r="J452" i="13" s="1"/>
  <c r="J453" i="13" s="1"/>
  <c r="J454" i="13" s="1"/>
  <c r="J455" i="13" s="1"/>
  <c r="J456" i="13" s="1"/>
  <c r="J457" i="13" s="1"/>
  <c r="J458" i="13" s="1"/>
  <c r="J459" i="13" s="1"/>
  <c r="J460" i="13" s="1"/>
  <c r="J461" i="13" s="1"/>
  <c r="J462" i="13" s="1"/>
  <c r="J463" i="13" s="1"/>
  <c r="J464" i="13" s="1"/>
  <c r="J465" i="13" s="1"/>
  <c r="J466" i="13" s="1"/>
  <c r="J467" i="13" s="1"/>
  <c r="J468" i="13" s="1"/>
  <c r="J469" i="13" s="1"/>
  <c r="J470" i="13" s="1"/>
  <c r="J471" i="13" s="1"/>
  <c r="J472" i="13" s="1"/>
  <c r="D422" i="13"/>
  <c r="D423" i="13" s="1"/>
  <c r="D424" i="13" s="1"/>
  <c r="D425" i="13" s="1"/>
  <c r="D426" i="13" s="1"/>
  <c r="D427" i="13" s="1"/>
  <c r="D428" i="13" s="1"/>
  <c r="D429" i="13" s="1"/>
  <c r="D430" i="13" s="1"/>
  <c r="D431" i="13" s="1"/>
  <c r="D432" i="13" s="1"/>
  <c r="D433" i="13" s="1"/>
  <c r="D434" i="13" s="1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6" i="13" s="1"/>
  <c r="D447" i="13" s="1"/>
  <c r="D448" i="13" s="1"/>
  <c r="D449" i="13" s="1"/>
  <c r="D450" i="13" s="1"/>
  <c r="D451" i="13" s="1"/>
  <c r="D452" i="13" s="1"/>
  <c r="D453" i="13" s="1"/>
  <c r="H197" i="27"/>
  <c r="G197" i="27"/>
  <c r="D197" i="27"/>
  <c r="H196" i="27"/>
  <c r="G196" i="27"/>
  <c r="E196" i="27"/>
  <c r="D196" i="27"/>
  <c r="J188" i="27"/>
  <c r="E187" i="27"/>
  <c r="I176" i="27"/>
  <c r="H176" i="27"/>
  <c r="I172" i="27"/>
  <c r="H172" i="27"/>
  <c r="H168" i="27"/>
  <c r="G168" i="27"/>
  <c r="F164" i="27"/>
  <c r="E164" i="27"/>
  <c r="E154" i="27"/>
  <c r="D154" i="27"/>
  <c r="I149" i="27"/>
  <c r="J187" i="27" s="1"/>
  <c r="H149" i="27"/>
  <c r="I145" i="27"/>
  <c r="H145" i="27"/>
  <c r="H141" i="27"/>
  <c r="G141" i="27"/>
  <c r="F137" i="27"/>
  <c r="E137" i="27"/>
  <c r="I129" i="27"/>
  <c r="H129" i="27"/>
  <c r="F129" i="27"/>
  <c r="E129" i="27"/>
  <c r="D129" i="27"/>
  <c r="J125" i="27"/>
  <c r="I125" i="27"/>
  <c r="E125" i="27"/>
  <c r="D125" i="27"/>
  <c r="J122" i="27"/>
  <c r="I122" i="27"/>
  <c r="E122" i="27"/>
  <c r="D122" i="27"/>
  <c r="J121" i="27"/>
  <c r="I121" i="27"/>
  <c r="E121" i="27"/>
  <c r="D121" i="27"/>
  <c r="J116" i="27"/>
  <c r="I116" i="27"/>
  <c r="E116" i="27"/>
  <c r="D116" i="27"/>
  <c r="J115" i="27"/>
  <c r="I115" i="27"/>
  <c r="E115" i="27"/>
  <c r="D115" i="27"/>
  <c r="J112" i="27"/>
  <c r="I112" i="27"/>
  <c r="E112" i="27"/>
  <c r="D112" i="27"/>
  <c r="J111" i="27"/>
  <c r="I111" i="27"/>
  <c r="E111" i="27"/>
  <c r="D111" i="27"/>
  <c r="I106" i="27"/>
  <c r="H106" i="27"/>
  <c r="F106" i="27"/>
  <c r="E106" i="27"/>
  <c r="D106" i="27"/>
  <c r="J102" i="27"/>
  <c r="I102" i="27"/>
  <c r="E102" i="27"/>
  <c r="D102" i="27"/>
  <c r="J101" i="27"/>
  <c r="I101" i="27"/>
  <c r="E101" i="27"/>
  <c r="D101" i="27"/>
  <c r="J100" i="27"/>
  <c r="I100" i="27"/>
  <c r="E100" i="27"/>
  <c r="D100" i="27"/>
  <c r="J99" i="27"/>
  <c r="I99" i="27"/>
  <c r="E99" i="27"/>
  <c r="D99" i="27"/>
  <c r="J95" i="27"/>
  <c r="I95" i="27"/>
  <c r="E95" i="27"/>
  <c r="D95" i="27"/>
  <c r="J94" i="27"/>
  <c r="I94" i="27"/>
  <c r="E94" i="27"/>
  <c r="D94" i="27"/>
  <c r="J93" i="27"/>
  <c r="I93" i="27"/>
  <c r="E93" i="27"/>
  <c r="D93" i="27"/>
  <c r="J92" i="27"/>
  <c r="I92" i="27"/>
  <c r="E92" i="27"/>
  <c r="D92" i="27"/>
  <c r="I85" i="27"/>
  <c r="H85" i="27"/>
  <c r="F85" i="27"/>
  <c r="D85" i="27"/>
  <c r="I80" i="27"/>
  <c r="E80" i="27"/>
  <c r="D80" i="27"/>
  <c r="J77" i="27"/>
  <c r="J81" i="27" s="1"/>
  <c r="I77" i="27"/>
  <c r="E77" i="27"/>
  <c r="D77" i="27"/>
  <c r="I73" i="27"/>
  <c r="F73" i="27"/>
  <c r="F72" i="27" s="1"/>
  <c r="J72" i="27" s="1"/>
  <c r="E73" i="27"/>
  <c r="D73" i="27"/>
  <c r="I72" i="27"/>
  <c r="E72" i="27"/>
  <c r="D72" i="27"/>
  <c r="I71" i="27"/>
  <c r="E71" i="27"/>
  <c r="D71" i="27"/>
  <c r="I70" i="27"/>
  <c r="F70" i="27"/>
  <c r="J70" i="27" s="1"/>
  <c r="E70" i="27"/>
  <c r="D70" i="27"/>
  <c r="I66" i="27"/>
  <c r="E66" i="27"/>
  <c r="D66" i="27"/>
  <c r="I65" i="27"/>
  <c r="F65" i="27"/>
  <c r="J65" i="27" s="1"/>
  <c r="E65" i="27"/>
  <c r="D65" i="27"/>
  <c r="I64" i="27"/>
  <c r="F64" i="27"/>
  <c r="J64" i="27" s="1"/>
  <c r="E64" i="27"/>
  <c r="D64" i="27"/>
  <c r="I63" i="27"/>
  <c r="E63" i="27"/>
  <c r="D63" i="27"/>
  <c r="I57" i="27"/>
  <c r="H57" i="27"/>
  <c r="F57" i="27"/>
  <c r="D57" i="27"/>
  <c r="J53" i="27"/>
  <c r="I53" i="27"/>
  <c r="E53" i="27"/>
  <c r="D53" i="27"/>
  <c r="J51" i="27"/>
  <c r="I51" i="27"/>
  <c r="E51" i="27"/>
  <c r="D51" i="27"/>
  <c r="J46" i="27"/>
  <c r="I46" i="27"/>
  <c r="J43" i="27"/>
  <c r="I43" i="27"/>
  <c r="E43" i="27"/>
  <c r="D43" i="27"/>
  <c r="J41" i="27"/>
  <c r="I41" i="27"/>
  <c r="E41" i="27"/>
  <c r="D41" i="27"/>
  <c r="J38" i="27"/>
  <c r="I38" i="27"/>
  <c r="E38" i="27"/>
  <c r="D38" i="27"/>
  <c r="J36" i="27"/>
  <c r="I36" i="27"/>
  <c r="E36" i="27"/>
  <c r="D36" i="27"/>
  <c r="I31" i="27"/>
  <c r="H31" i="27"/>
  <c r="G31" i="27"/>
  <c r="F31" i="27"/>
  <c r="E31" i="27"/>
  <c r="D31" i="27"/>
  <c r="J27" i="27"/>
  <c r="I27" i="27"/>
  <c r="E27" i="27"/>
  <c r="D27" i="27"/>
  <c r="J26" i="27"/>
  <c r="I26" i="27"/>
  <c r="E26" i="27"/>
  <c r="D26" i="27"/>
  <c r="J25" i="27"/>
  <c r="I25" i="27"/>
  <c r="E25" i="27"/>
  <c r="D25" i="27"/>
  <c r="I22" i="27"/>
  <c r="F22" i="27"/>
  <c r="J22" i="27" s="1"/>
  <c r="E22" i="27"/>
  <c r="D22" i="27"/>
  <c r="J21" i="27"/>
  <c r="I21" i="27"/>
  <c r="E21" i="27"/>
  <c r="D21" i="27"/>
  <c r="H15" i="27"/>
  <c r="G15" i="27"/>
  <c r="F15" i="27"/>
  <c r="D15" i="27"/>
  <c r="J11" i="27"/>
  <c r="I11" i="27"/>
  <c r="E11" i="27"/>
  <c r="D11" i="27"/>
  <c r="J8" i="27"/>
  <c r="I8" i="27"/>
  <c r="E8" i="27"/>
  <c r="D8" i="27"/>
  <c r="C108" i="28"/>
  <c r="B108" i="28"/>
  <c r="F106" i="28"/>
  <c r="C106" i="28" s="1"/>
  <c r="C104" i="28"/>
  <c r="B104" i="28"/>
  <c r="C103" i="28"/>
  <c r="B103" i="28"/>
  <c r="C102" i="28"/>
  <c r="B102" i="28"/>
  <c r="C101" i="28"/>
  <c r="B101" i="28"/>
  <c r="C100" i="28"/>
  <c r="B100" i="28"/>
  <c r="C99" i="28"/>
  <c r="B99" i="28"/>
  <c r="C98" i="28"/>
  <c r="B98" i="28"/>
  <c r="C97" i="28"/>
  <c r="B97" i="28"/>
  <c r="C87" i="28"/>
  <c r="B87" i="28"/>
  <c r="B86" i="28"/>
  <c r="B85" i="28"/>
  <c r="C84" i="28"/>
  <c r="D84" i="28" s="1"/>
  <c r="B84" i="28"/>
  <c r="C83" i="28"/>
  <c r="D83" i="28" s="1"/>
  <c r="B83" i="28"/>
  <c r="B82" i="28"/>
  <c r="B81" i="28"/>
  <c r="C80" i="28"/>
  <c r="D80" i="28" s="1"/>
  <c r="B80" i="28"/>
  <c r="C72" i="28"/>
  <c r="B72" i="28"/>
  <c r="C71" i="28"/>
  <c r="D71" i="28" s="1"/>
  <c r="B71" i="28"/>
  <c r="C70" i="28"/>
  <c r="D70" i="28" s="1"/>
  <c r="B70" i="28"/>
  <c r="C69" i="28"/>
  <c r="D69" i="28" s="1"/>
  <c r="B69" i="28"/>
  <c r="C68" i="28"/>
  <c r="D68" i="28" s="1"/>
  <c r="B68" i="28"/>
  <c r="C67" i="28"/>
  <c r="D67" i="28" s="1"/>
  <c r="B67" i="28"/>
  <c r="C66" i="28"/>
  <c r="D66" i="28" s="1"/>
  <c r="B66" i="28"/>
  <c r="C65" i="28"/>
  <c r="D65" i="28" s="1"/>
  <c r="B65" i="28"/>
  <c r="C64" i="28"/>
  <c r="D64" i="28" s="1"/>
  <c r="B64" i="28"/>
  <c r="C63" i="28"/>
  <c r="D63" i="28" s="1"/>
  <c r="B63" i="28"/>
  <c r="C62" i="28"/>
  <c r="D62" i="28" s="1"/>
  <c r="B62" i="28"/>
  <c r="B61" i="28"/>
  <c r="C60" i="28"/>
  <c r="D60" i="28" s="1"/>
  <c r="B60" i="28"/>
  <c r="C59" i="28"/>
  <c r="D59" i="28" s="1"/>
  <c r="B59" i="28"/>
  <c r="C58" i="28"/>
  <c r="D58" i="28" s="1"/>
  <c r="B58" i="28"/>
  <c r="C57" i="28"/>
  <c r="D57" i="28" s="1"/>
  <c r="B57" i="28"/>
  <c r="C56" i="28"/>
  <c r="D56" i="28" s="1"/>
  <c r="B56" i="28"/>
  <c r="C55" i="28"/>
  <c r="D55" i="28" s="1"/>
  <c r="B55" i="28"/>
  <c r="C54" i="28"/>
  <c r="B54" i="28"/>
  <c r="C53" i="28"/>
  <c r="B53" i="28"/>
  <c r="C52" i="28"/>
  <c r="B52" i="28"/>
  <c r="C41" i="28"/>
  <c r="B41" i="28"/>
  <c r="C40" i="28"/>
  <c r="C39" i="28"/>
  <c r="B39" i="28"/>
  <c r="C38" i="28"/>
  <c r="B38" i="28"/>
  <c r="C37" i="28"/>
  <c r="B37" i="28"/>
  <c r="C36" i="28"/>
  <c r="B36" i="28"/>
  <c r="C35" i="28"/>
  <c r="B35" i="28"/>
  <c r="C34" i="28"/>
  <c r="B34" i="28"/>
  <c r="C33" i="28"/>
  <c r="B33" i="28"/>
  <c r="C32" i="28"/>
  <c r="B32" i="28"/>
  <c r="C31" i="28"/>
  <c r="B31" i="28"/>
  <c r="C30" i="28"/>
  <c r="B30" i="28"/>
  <c r="C29" i="28"/>
  <c r="B29" i="28"/>
  <c r="C28" i="28"/>
  <c r="B28" i="28"/>
  <c r="C21" i="28"/>
  <c r="B21" i="28"/>
  <c r="B3" i="28"/>
  <c r="A3" i="28"/>
  <c r="A1" i="28"/>
  <c r="I263" i="22" l="1"/>
  <c r="I270" i="22"/>
  <c r="I333" i="22"/>
  <c r="I347" i="22"/>
  <c r="I365" i="22"/>
  <c r="I247" i="22"/>
  <c r="I352" i="22"/>
  <c r="I199" i="22"/>
  <c r="I204" i="22"/>
  <c r="I220" i="22"/>
  <c r="I222" i="22"/>
  <c r="I224" i="22"/>
  <c r="I234" i="22"/>
  <c r="I236" i="22"/>
  <c r="I243" i="22"/>
  <c r="I245" i="22"/>
  <c r="I250" i="22"/>
  <c r="I266" i="22"/>
  <c r="I278" i="22"/>
  <c r="I283" i="22"/>
  <c r="I285" i="22"/>
  <c r="I336" i="22"/>
  <c r="I358" i="22"/>
  <c r="I196" i="22"/>
  <c r="I238" i="22"/>
  <c r="I36" i="22"/>
  <c r="I61" i="22"/>
  <c r="I71" i="22"/>
  <c r="I84" i="22"/>
  <c r="I91" i="22"/>
  <c r="I105" i="22"/>
  <c r="I107" i="22"/>
  <c r="I112" i="22"/>
  <c r="I115" i="22"/>
  <c r="I124" i="22"/>
  <c r="I144" i="22"/>
  <c r="I156" i="22"/>
  <c r="I166" i="22"/>
  <c r="I13" i="22"/>
  <c r="I15" i="22"/>
  <c r="I40" i="22"/>
  <c r="I51" i="22"/>
  <c r="I56" i="22"/>
  <c r="I75" i="22"/>
  <c r="I88" i="22"/>
  <c r="I175" i="22"/>
  <c r="I177" i="22"/>
  <c r="I22" i="22"/>
  <c r="I24" i="22"/>
  <c r="I26" i="22"/>
  <c r="I43" i="22"/>
  <c r="I65" i="22"/>
  <c r="I68" i="22"/>
  <c r="I86" i="22"/>
  <c r="I102" i="22"/>
  <c r="I134" i="22"/>
  <c r="I139" i="22"/>
  <c r="I158" i="22"/>
  <c r="I163" i="22"/>
  <c r="I78" i="22"/>
  <c r="I80" i="22"/>
  <c r="I82" i="22"/>
  <c r="I89" i="22"/>
  <c r="I103" i="22"/>
  <c r="I122" i="22"/>
  <c r="I127" i="22"/>
  <c r="I140" i="22"/>
  <c r="I142" i="22"/>
  <c r="I149" i="22"/>
  <c r="I154" i="22"/>
  <c r="I171" i="22"/>
  <c r="I187" i="22"/>
  <c r="I209" i="22"/>
  <c r="I216" i="22"/>
  <c r="I218" i="22"/>
  <c r="I227" i="22"/>
  <c r="I239" i="22"/>
  <c r="I241" i="22"/>
  <c r="I288" i="22"/>
  <c r="I309" i="22"/>
  <c r="I311" i="22"/>
  <c r="I316" i="22"/>
  <c r="I321" i="22"/>
  <c r="I323" i="22"/>
  <c r="I325" i="22"/>
  <c r="I29" i="22"/>
  <c r="I379" i="22"/>
  <c r="I381" i="22"/>
  <c r="I383" i="22"/>
  <c r="I385" i="22"/>
  <c r="I322" i="22"/>
  <c r="I324" i="22"/>
  <c r="I326" i="22"/>
  <c r="I335" i="22"/>
  <c r="I387" i="22"/>
  <c r="I389" i="22"/>
  <c r="I106" i="22"/>
  <c r="I108" i="22"/>
  <c r="I136" i="22"/>
  <c r="I145" i="22"/>
  <c r="I150" i="22"/>
  <c r="I188" i="22"/>
  <c r="I200" i="22"/>
  <c r="I210" i="22"/>
  <c r="I221" i="22"/>
  <c r="I223" i="22"/>
  <c r="I233" i="22"/>
  <c r="I235" i="22"/>
  <c r="I242" i="22"/>
  <c r="I244" i="22"/>
  <c r="I267" i="22"/>
  <c r="I279" i="22"/>
  <c r="I317" i="22"/>
  <c r="I337" i="22"/>
  <c r="I369" i="22"/>
  <c r="I53" i="22"/>
  <c r="I58" i="22"/>
  <c r="I77" i="22"/>
  <c r="I79" i="22"/>
  <c r="I81" i="22"/>
  <c r="I90" i="22"/>
  <c r="I111" i="22"/>
  <c r="I114" i="22"/>
  <c r="I126" i="22"/>
  <c r="I141" i="22"/>
  <c r="I143" i="22"/>
  <c r="I179" i="22"/>
  <c r="I217" i="22"/>
  <c r="I228" i="22"/>
  <c r="I240" i="22"/>
  <c r="I265" i="22"/>
  <c r="I277" i="22"/>
  <c r="I310" i="22"/>
  <c r="I25" i="22"/>
  <c r="I39" i="22"/>
  <c r="I87" i="22"/>
  <c r="I159" i="22"/>
  <c r="I162" i="22"/>
  <c r="I174" i="22"/>
  <c r="I178" i="22"/>
  <c r="I190" i="22"/>
  <c r="I253" i="22"/>
  <c r="I262" i="22"/>
  <c r="I276" i="22"/>
  <c r="I297" i="22"/>
  <c r="I332" i="22"/>
  <c r="I348" i="22"/>
  <c r="I366" i="22"/>
  <c r="I21" i="22"/>
  <c r="I32" i="22"/>
  <c r="I74" i="22"/>
  <c r="I94" i="22"/>
  <c r="I96" i="22"/>
  <c r="I101" i="22"/>
  <c r="I116" i="22"/>
  <c r="I118" i="22"/>
  <c r="I133" i="22"/>
  <c r="I138" i="22"/>
  <c r="I169" i="22"/>
  <c r="I181" i="22"/>
  <c r="I183" i="22"/>
  <c r="I185" i="22"/>
  <c r="I193" i="22"/>
  <c r="I205" i="22"/>
  <c r="I212" i="22"/>
  <c r="I237" i="22"/>
  <c r="I246" i="22"/>
  <c r="I256" i="22"/>
  <c r="I258" i="22"/>
  <c r="I260" i="22"/>
  <c r="I269" i="22"/>
  <c r="I272" i="22"/>
  <c r="I274" i="22"/>
  <c r="I291" i="22"/>
  <c r="I293" i="22"/>
  <c r="I295" i="22"/>
  <c r="I305" i="22"/>
  <c r="I314" i="22"/>
  <c r="I330" i="22"/>
  <c r="I344" i="22"/>
  <c r="I371" i="22"/>
  <c r="I373" i="22"/>
  <c r="I375" i="22"/>
  <c r="I377" i="22"/>
  <c r="I27" i="22"/>
  <c r="I120" i="22"/>
  <c r="I164" i="22"/>
  <c r="I195" i="22"/>
  <c r="I214" i="22"/>
  <c r="I264" i="22"/>
  <c r="I45" i="22"/>
  <c r="I48" i="22"/>
  <c r="I60" i="22"/>
  <c r="I62" i="22"/>
  <c r="I72" i="22"/>
  <c r="I92" i="22"/>
  <c r="I99" i="22"/>
  <c r="I123" i="22"/>
  <c r="I12" i="22"/>
  <c r="I14" i="22"/>
  <c r="I16" i="22"/>
  <c r="I23" i="22"/>
  <c r="I64" i="22"/>
  <c r="I176" i="22"/>
  <c r="I20" i="22"/>
  <c r="I63" i="22"/>
  <c r="I73" i="22"/>
  <c r="I95" i="22"/>
  <c r="I97" i="22"/>
  <c r="I117" i="22"/>
  <c r="I146" i="22"/>
  <c r="I168" i="22"/>
  <c r="I182" i="22"/>
  <c r="I184" i="22"/>
  <c r="I194" i="22"/>
  <c r="I201" i="22"/>
  <c r="I206" i="22"/>
  <c r="I213" i="22"/>
  <c r="I252" i="22"/>
  <c r="I257" i="22"/>
  <c r="I259" i="22"/>
  <c r="I273" i="22"/>
  <c r="I275" i="22"/>
  <c r="I290" i="22"/>
  <c r="I294" i="22"/>
  <c r="I306" i="22"/>
  <c r="I313" i="22"/>
  <c r="I318" i="22"/>
  <c r="I329" i="22"/>
  <c r="I343" i="22"/>
  <c r="I345" i="22"/>
  <c r="I363" i="22"/>
  <c r="I372" i="22"/>
  <c r="I374" i="22"/>
  <c r="I376" i="22"/>
  <c r="I380" i="22"/>
  <c r="I382" i="22"/>
  <c r="I384" i="22"/>
  <c r="I386" i="22"/>
  <c r="I388" i="22"/>
  <c r="I378" i="22"/>
  <c r="D41" i="22"/>
  <c r="C40" i="21"/>
  <c r="H40" i="21" s="1"/>
  <c r="C283" i="21"/>
  <c r="H283" i="21" s="1"/>
  <c r="D284" i="22"/>
  <c r="I284" i="22" s="1"/>
  <c r="D261" i="22"/>
  <c r="I261" i="22" s="1"/>
  <c r="C260" i="21"/>
  <c r="H260" i="21" s="1"/>
  <c r="E292" i="22"/>
  <c r="D291" i="21"/>
  <c r="E271" i="22"/>
  <c r="D270" i="21"/>
  <c r="D13" i="7"/>
  <c r="E362" i="22"/>
  <c r="N149" i="5"/>
  <c r="E319" i="21"/>
  <c r="H319" i="21" s="1"/>
  <c r="E53" i="25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H50" i="21"/>
  <c r="C53" i="8" s="1"/>
  <c r="E53" i="8" s="1"/>
  <c r="G339" i="5"/>
  <c r="G324" i="5"/>
  <c r="H254" i="21"/>
  <c r="H175" i="21"/>
  <c r="H318" i="21"/>
  <c r="H327" i="21"/>
  <c r="C330" i="8" s="1"/>
  <c r="D12" i="7"/>
  <c r="I12" i="7" s="1"/>
  <c r="H16" i="21"/>
  <c r="H336" i="21"/>
  <c r="H302" i="21"/>
  <c r="C305" i="8" s="1"/>
  <c r="H299" i="21"/>
  <c r="C302" i="8" s="1"/>
  <c r="H235" i="21"/>
  <c r="H220" i="21"/>
  <c r="C223" i="8" s="1"/>
  <c r="E223" i="8" s="1"/>
  <c r="H294" i="21"/>
  <c r="C297" i="8" s="1"/>
  <c r="E297" i="8" s="1"/>
  <c r="H253" i="21"/>
  <c r="H131" i="21"/>
  <c r="H351" i="21"/>
  <c r="H297" i="21"/>
  <c r="H172" i="21"/>
  <c r="H121" i="21"/>
  <c r="H116" i="21"/>
  <c r="H36" i="21"/>
  <c r="H301" i="21"/>
  <c r="C304" i="8" s="1"/>
  <c r="H33" i="21"/>
  <c r="H261" i="21"/>
  <c r="C264" i="8" s="1"/>
  <c r="E264" i="8" s="1"/>
  <c r="H167" i="21"/>
  <c r="C170" i="8" s="1"/>
  <c r="E170" i="8" s="1"/>
  <c r="H300" i="21"/>
  <c r="C303" i="8" s="1"/>
  <c r="H248" i="21"/>
  <c r="H91" i="21"/>
  <c r="C94" i="8" s="1"/>
  <c r="E94" i="8" s="1"/>
  <c r="H148" i="21"/>
  <c r="D11" i="7"/>
  <c r="H227" i="21"/>
  <c r="C230" i="8" s="1"/>
  <c r="E230" i="8" s="1"/>
  <c r="H244" i="21"/>
  <c r="C247" i="8" s="1"/>
  <c r="E247" i="8" s="1"/>
  <c r="H233" i="21"/>
  <c r="C236" i="8" s="1"/>
  <c r="E236" i="8" s="1"/>
  <c r="H45" i="21"/>
  <c r="H43" i="21"/>
  <c r="H345" i="21"/>
  <c r="H222" i="21"/>
  <c r="C225" i="8" s="1"/>
  <c r="E225" i="8" s="1"/>
  <c r="H239" i="21"/>
  <c r="H281" i="21"/>
  <c r="H176" i="21"/>
  <c r="C179" i="8" s="1"/>
  <c r="E179" i="8" s="1"/>
  <c r="H324" i="21"/>
  <c r="C327" i="8" s="1"/>
  <c r="E327" i="8" s="1"/>
  <c r="H315" i="21"/>
  <c r="H258" i="21"/>
  <c r="H38" i="21"/>
  <c r="H25" i="21"/>
  <c r="C28" i="8" s="1"/>
  <c r="E28" i="8" s="1"/>
  <c r="H185" i="21"/>
  <c r="H262" i="21"/>
  <c r="H304" i="21"/>
  <c r="C307" i="8" s="1"/>
  <c r="H234" i="21"/>
  <c r="C237" i="8" s="1"/>
  <c r="E237" i="8" s="1"/>
  <c r="H26" i="21"/>
  <c r="H243" i="21"/>
  <c r="H278" i="21"/>
  <c r="C281" i="8" s="1"/>
  <c r="E281" i="8" s="1"/>
  <c r="H329" i="21"/>
  <c r="H89" i="21"/>
  <c r="H326" i="21"/>
  <c r="H322" i="21"/>
  <c r="H29" i="21"/>
  <c r="H55" i="21"/>
  <c r="C58" i="8" s="1"/>
  <c r="E58" i="8" s="1"/>
  <c r="H246" i="21"/>
  <c r="H130" i="21"/>
  <c r="H151" i="21"/>
  <c r="H83" i="21"/>
  <c r="H206" i="21"/>
  <c r="E14" i="15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C14" i="21"/>
  <c r="H14" i="21" s="1"/>
  <c r="C17" i="8" s="1"/>
  <c r="E17" i="8" s="1"/>
  <c r="C174" i="8"/>
  <c r="E174" i="8" s="1"/>
  <c r="F172" i="22"/>
  <c r="I172" i="22" s="1"/>
  <c r="E197" i="27"/>
  <c r="I192" i="27"/>
  <c r="C17" i="28"/>
  <c r="F63" i="27"/>
  <c r="J63" i="27" s="1"/>
  <c r="J44" i="27"/>
  <c r="J126" i="27"/>
  <c r="K60" i="5"/>
  <c r="N60" i="5" s="1"/>
  <c r="K88" i="5"/>
  <c r="N88" i="5" s="1"/>
  <c r="K92" i="5"/>
  <c r="N92" i="5" s="1"/>
  <c r="K82" i="5"/>
  <c r="N82" i="5" s="1"/>
  <c r="K86" i="5"/>
  <c r="N86" i="5" s="1"/>
  <c r="K22" i="27"/>
  <c r="N319" i="5"/>
  <c r="K76" i="5"/>
  <c r="N76" i="5" s="1"/>
  <c r="K84" i="5"/>
  <c r="N84" i="5" s="1"/>
  <c r="N72" i="9"/>
  <c r="AD72" i="9"/>
  <c r="AL72" i="9"/>
  <c r="AT72" i="9"/>
  <c r="BB72" i="9"/>
  <c r="K85" i="5"/>
  <c r="N85" i="5" s="1"/>
  <c r="I158" i="27"/>
  <c r="K89" i="5"/>
  <c r="N89" i="5" s="1"/>
  <c r="K72" i="5"/>
  <c r="N72" i="5" s="1"/>
  <c r="N124" i="5"/>
  <c r="O124" i="5"/>
  <c r="J54" i="27"/>
  <c r="K66" i="5"/>
  <c r="N66" i="5" s="1"/>
  <c r="K70" i="5"/>
  <c r="N70" i="5" s="1"/>
  <c r="K73" i="5"/>
  <c r="N73" i="5" s="1"/>
  <c r="N314" i="5"/>
  <c r="J103" i="27"/>
  <c r="K59" i="5"/>
  <c r="N59" i="5" s="1"/>
  <c r="J12" i="27"/>
  <c r="J28" i="27"/>
  <c r="F71" i="27"/>
  <c r="J71" i="27" s="1"/>
  <c r="O309" i="5"/>
  <c r="K91" i="5"/>
  <c r="N91" i="5" s="1"/>
  <c r="K68" i="5"/>
  <c r="N68" i="5" s="1"/>
  <c r="N132" i="5"/>
  <c r="N317" i="5"/>
  <c r="I9" i="26"/>
  <c r="J73" i="27"/>
  <c r="K70" i="27" s="1"/>
  <c r="K69" i="5"/>
  <c r="N69" i="5" s="1"/>
  <c r="K75" i="5"/>
  <c r="N75" i="5" s="1"/>
  <c r="AI72" i="9"/>
  <c r="AQ72" i="9"/>
  <c r="AY72" i="9"/>
  <c r="O110" i="5"/>
  <c r="N110" i="5"/>
  <c r="K9" i="11"/>
  <c r="L6" i="11"/>
  <c r="L7" i="11" s="1"/>
  <c r="K58" i="5"/>
  <c r="N58" i="5" s="1"/>
  <c r="K61" i="5"/>
  <c r="N61" i="5" s="1"/>
  <c r="K64" i="5"/>
  <c r="N64" i="5" s="1"/>
  <c r="K67" i="5"/>
  <c r="N67" i="5" s="1"/>
  <c r="K74" i="5"/>
  <c r="N74" i="5" s="1"/>
  <c r="K77" i="5"/>
  <c r="N77" i="5" s="1"/>
  <c r="K80" i="5"/>
  <c r="N80" i="5" s="1"/>
  <c r="K83" i="5"/>
  <c r="N83" i="5" s="1"/>
  <c r="K90" i="5"/>
  <c r="N90" i="5" s="1"/>
  <c r="K93" i="5"/>
  <c r="N93" i="5" s="1"/>
  <c r="K96" i="5"/>
  <c r="N96" i="5" s="1"/>
  <c r="O114" i="5"/>
  <c r="AF72" i="9"/>
  <c r="AN72" i="9"/>
  <c r="AV72" i="9"/>
  <c r="BD72" i="9"/>
  <c r="K6" i="26"/>
  <c r="K7" i="26" s="1"/>
  <c r="J9" i="26"/>
  <c r="I141" i="5"/>
  <c r="I339" i="5" s="1"/>
  <c r="F66" i="27"/>
  <c r="J66" i="27" s="1"/>
  <c r="K62" i="5"/>
  <c r="N62" i="5" s="1"/>
  <c r="K65" i="5"/>
  <c r="N65" i="5" s="1"/>
  <c r="K71" i="5"/>
  <c r="N71" i="5" s="1"/>
  <c r="K78" i="5"/>
  <c r="N78" i="5" s="1"/>
  <c r="K81" i="5"/>
  <c r="N81" i="5" s="1"/>
  <c r="K87" i="5"/>
  <c r="N87" i="5" s="1"/>
  <c r="K94" i="5"/>
  <c r="N94" i="5" s="1"/>
  <c r="AH72" i="9"/>
  <c r="AP72" i="9"/>
  <c r="AX72" i="9"/>
  <c r="BF72" i="9"/>
  <c r="N315" i="5"/>
  <c r="D112" i="9"/>
  <c r="D78" i="9"/>
  <c r="L72" i="9"/>
  <c r="T72" i="9"/>
  <c r="AJ72" i="9"/>
  <c r="AR72" i="9"/>
  <c r="AZ72" i="9"/>
  <c r="N128" i="5"/>
  <c r="N136" i="5"/>
  <c r="K63" i="5"/>
  <c r="N63" i="5" s="1"/>
  <c r="K79" i="5"/>
  <c r="N79" i="5" s="1"/>
  <c r="K95" i="5"/>
  <c r="N95" i="5" s="1"/>
  <c r="D155" i="9"/>
  <c r="C166" i="8"/>
  <c r="E166" i="8" s="1"/>
  <c r="E15" i="27"/>
  <c r="I15" i="27" s="1"/>
  <c r="E14" i="16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E377" i="16" s="1"/>
  <c r="E378" i="16" s="1"/>
  <c r="E379" i="16" s="1"/>
  <c r="E380" i="16" s="1"/>
  <c r="E381" i="16" s="1"/>
  <c r="E382" i="16" s="1"/>
  <c r="E383" i="16" s="1"/>
  <c r="E384" i="16" s="1"/>
  <c r="E385" i="16" s="1"/>
  <c r="E386" i="16" s="1"/>
  <c r="E387" i="16" s="1"/>
  <c r="E388" i="16" s="1"/>
  <c r="E389" i="16" s="1"/>
  <c r="E390" i="16" s="1"/>
  <c r="E391" i="16" s="1"/>
  <c r="E392" i="16" s="1"/>
  <c r="E393" i="16" s="1"/>
  <c r="E394" i="16" s="1"/>
  <c r="E395" i="16" s="1"/>
  <c r="E396" i="16" s="1"/>
  <c r="E397" i="16" s="1"/>
  <c r="E398" i="16" s="1"/>
  <c r="E399" i="16" s="1"/>
  <c r="E400" i="16" s="1"/>
  <c r="E401" i="16" s="1"/>
  <c r="E402" i="16" s="1"/>
  <c r="E403" i="16" s="1"/>
  <c r="E404" i="16" s="1"/>
  <c r="E405" i="16" s="1"/>
  <c r="E406" i="16" s="1"/>
  <c r="E407" i="16" s="1"/>
  <c r="E408" i="16" s="1"/>
  <c r="E409" i="16" s="1"/>
  <c r="E410" i="16" s="1"/>
  <c r="E411" i="16" s="1"/>
  <c r="E412" i="16" s="1"/>
  <c r="E413" i="16" s="1"/>
  <c r="E414" i="16" s="1"/>
  <c r="E415" i="16" s="1"/>
  <c r="E416" i="16" s="1"/>
  <c r="E417" i="16" s="1"/>
  <c r="E418" i="16" s="1"/>
  <c r="E419" i="16" s="1"/>
  <c r="E420" i="16" s="1"/>
  <c r="E421" i="16" s="1"/>
  <c r="E422" i="16" s="1"/>
  <c r="E423" i="16" s="1"/>
  <c r="E424" i="16" s="1"/>
  <c r="E425" i="16" s="1"/>
  <c r="E426" i="16" s="1"/>
  <c r="E427" i="16" s="1"/>
  <c r="E428" i="16" s="1"/>
  <c r="E429" i="16" s="1"/>
  <c r="E430" i="16" s="1"/>
  <c r="E431" i="16" s="1"/>
  <c r="E432" i="16" s="1"/>
  <c r="E433" i="16" s="1"/>
  <c r="E434" i="16" s="1"/>
  <c r="E435" i="16" s="1"/>
  <c r="E436" i="16" s="1"/>
  <c r="E437" i="16" s="1"/>
  <c r="E438" i="16" s="1"/>
  <c r="E439" i="16" s="1"/>
  <c r="E440" i="16" s="1"/>
  <c r="E441" i="16" s="1"/>
  <c r="E442" i="16" s="1"/>
  <c r="E443" i="16" s="1"/>
  <c r="E444" i="16" s="1"/>
  <c r="E445" i="16" s="1"/>
  <c r="E446" i="16" s="1"/>
  <c r="E447" i="16" s="1"/>
  <c r="E448" i="16" s="1"/>
  <c r="E449" i="16" s="1"/>
  <c r="E450" i="16" s="1"/>
  <c r="E451" i="16" s="1"/>
  <c r="E452" i="16" s="1"/>
  <c r="E453" i="16" s="1"/>
  <c r="E454" i="16" s="1"/>
  <c r="E455" i="16" s="1"/>
  <c r="E456" i="16" s="1"/>
  <c r="E457" i="16" s="1"/>
  <c r="E458" i="16" s="1"/>
  <c r="E459" i="16" s="1"/>
  <c r="E460" i="16" s="1"/>
  <c r="E461" i="16" s="1"/>
  <c r="E462" i="16" s="1"/>
  <c r="E463" i="16" s="1"/>
  <c r="E464" i="16" s="1"/>
  <c r="E465" i="16" s="1"/>
  <c r="E466" i="16" s="1"/>
  <c r="E467" i="16" s="1"/>
  <c r="E468" i="16" s="1"/>
  <c r="E469" i="16" s="1"/>
  <c r="E470" i="16" s="1"/>
  <c r="E471" i="16" s="1"/>
  <c r="E472" i="16" s="1"/>
  <c r="E473" i="16" s="1"/>
  <c r="E474" i="16" s="1"/>
  <c r="E475" i="16" s="1"/>
  <c r="E476" i="16" s="1"/>
  <c r="E477" i="16" s="1"/>
  <c r="E478" i="16" s="1"/>
  <c r="E479" i="16" s="1"/>
  <c r="E480" i="16" s="1"/>
  <c r="E481" i="16" s="1"/>
  <c r="E482" i="16" s="1"/>
  <c r="E483" i="16" s="1"/>
  <c r="E484" i="16" s="1"/>
  <c r="E485" i="16" s="1"/>
  <c r="E486" i="16" s="1"/>
  <c r="E487" i="16" s="1"/>
  <c r="E488" i="16" s="1"/>
  <c r="E489" i="16" s="1"/>
  <c r="E490" i="16" s="1"/>
  <c r="E491" i="16" s="1"/>
  <c r="E492" i="16" s="1"/>
  <c r="E493" i="16" s="1"/>
  <c r="E494" i="16" s="1"/>
  <c r="E495" i="16" s="1"/>
  <c r="E496" i="16" s="1"/>
  <c r="E497" i="16" s="1"/>
  <c r="E498" i="16" s="1"/>
  <c r="E499" i="16" s="1"/>
  <c r="E500" i="16" s="1"/>
  <c r="E501" i="16" s="1"/>
  <c r="E502" i="16" s="1"/>
  <c r="E503" i="16" s="1"/>
  <c r="J28" i="7" s="1"/>
  <c r="AG72" i="9"/>
  <c r="AK72" i="9"/>
  <c r="AO72" i="9"/>
  <c r="AS72" i="9"/>
  <c r="AW72" i="9"/>
  <c r="BA72" i="9"/>
  <c r="BE72" i="9"/>
  <c r="N122" i="5"/>
  <c r="O122" i="5"/>
  <c r="N123" i="5"/>
  <c r="O123" i="5"/>
  <c r="N127" i="5"/>
  <c r="O127" i="5"/>
  <c r="N131" i="5"/>
  <c r="O131" i="5"/>
  <c r="N135" i="5"/>
  <c r="O135" i="5"/>
  <c r="N139" i="5"/>
  <c r="O139" i="5"/>
  <c r="N109" i="5"/>
  <c r="O109" i="5"/>
  <c r="N113" i="5"/>
  <c r="O113" i="5"/>
  <c r="O120" i="5"/>
  <c r="N120" i="5"/>
  <c r="N121" i="5"/>
  <c r="O121" i="5"/>
  <c r="O126" i="5"/>
  <c r="N126" i="5"/>
  <c r="O130" i="5"/>
  <c r="N130" i="5"/>
  <c r="O134" i="5"/>
  <c r="N134" i="5"/>
  <c r="O138" i="5"/>
  <c r="N138" i="5"/>
  <c r="N111" i="5"/>
  <c r="K112" i="5"/>
  <c r="K141" i="5" s="1"/>
  <c r="K339" i="5" s="1"/>
  <c r="N129" i="5"/>
  <c r="N133" i="5"/>
  <c r="O115" i="5"/>
  <c r="O116" i="5"/>
  <c r="O125" i="5"/>
  <c r="O137" i="5"/>
  <c r="N311" i="5"/>
  <c r="N313" i="5"/>
  <c r="O318" i="5"/>
  <c r="N312" i="5"/>
  <c r="N316" i="5"/>
  <c r="N320" i="5"/>
  <c r="I322" i="5"/>
  <c r="M324" i="5"/>
  <c r="E18" i="21"/>
  <c r="H18" i="21" s="1"/>
  <c r="N117" i="5"/>
  <c r="O117" i="5"/>
  <c r="O118" i="5"/>
  <c r="N118" i="5"/>
  <c r="O119" i="5"/>
  <c r="F44" i="22"/>
  <c r="I44" i="22" s="1"/>
  <c r="F198" i="22"/>
  <c r="I198" i="22" s="1"/>
  <c r="C200" i="8"/>
  <c r="E200" i="8" s="1"/>
  <c r="F47" i="22"/>
  <c r="I47" i="22" s="1"/>
  <c r="I46" i="21"/>
  <c r="C167" i="8"/>
  <c r="E167" i="8" s="1"/>
  <c r="F165" i="22"/>
  <c r="I165" i="22" s="1"/>
  <c r="G72" i="9"/>
  <c r="O72" i="9"/>
  <c r="W72" i="9"/>
  <c r="AE72" i="9"/>
  <c r="AM72" i="9"/>
  <c r="AU72" i="9"/>
  <c r="BC72" i="9"/>
  <c r="F30" i="22"/>
  <c r="I30" i="22" s="1"/>
  <c r="C52" i="8"/>
  <c r="E52" i="8" s="1"/>
  <c r="F50" i="22"/>
  <c r="I50" i="22" s="1"/>
  <c r="F268" i="22"/>
  <c r="I268" i="22" s="1"/>
  <c r="I267" i="21"/>
  <c r="F76" i="22"/>
  <c r="I76" i="22" s="1"/>
  <c r="F137" i="22"/>
  <c r="I137" i="22" s="1"/>
  <c r="F132" i="22"/>
  <c r="I132" i="22" s="1"/>
  <c r="F41" i="22"/>
  <c r="F85" i="22"/>
  <c r="I85" i="22" s="1"/>
  <c r="F98" i="22"/>
  <c r="I98" i="22" s="1"/>
  <c r="I97" i="21"/>
  <c r="F55" i="22"/>
  <c r="I55" i="22" s="1"/>
  <c r="C57" i="8"/>
  <c r="E57" i="8" s="1"/>
  <c r="F207" i="22"/>
  <c r="I207" i="22" s="1"/>
  <c r="I206" i="21"/>
  <c r="C205" i="8"/>
  <c r="E205" i="8" s="1"/>
  <c r="F203" i="22"/>
  <c r="I203" i="22" s="1"/>
  <c r="F351" i="22"/>
  <c r="I351" i="22" s="1"/>
  <c r="I350" i="21"/>
  <c r="F155" i="22"/>
  <c r="I155" i="22" s="1"/>
  <c r="I154" i="21"/>
  <c r="F125" i="22"/>
  <c r="I125" i="22" s="1"/>
  <c r="C127" i="8"/>
  <c r="E127" i="8" s="1"/>
  <c r="I65" i="21"/>
  <c r="F66" i="22"/>
  <c r="I66" i="22" s="1"/>
  <c r="C102" i="8"/>
  <c r="E102" i="8" s="1"/>
  <c r="F100" i="22"/>
  <c r="I100" i="22" s="1"/>
  <c r="F69" i="22"/>
  <c r="I69" i="22" s="1"/>
  <c r="F296" i="22"/>
  <c r="I296" i="22" s="1"/>
  <c r="F353" i="22"/>
  <c r="I353" i="22" s="1"/>
  <c r="F349" i="22"/>
  <c r="I349" i="22" s="1"/>
  <c r="F356" i="22"/>
  <c r="I356" i="22" s="1"/>
  <c r="F354" i="22"/>
  <c r="I354" i="22" s="1"/>
  <c r="I342" i="21"/>
  <c r="F251" i="22"/>
  <c r="I251" i="22" s="1"/>
  <c r="C253" i="8"/>
  <c r="E253" i="8" s="1"/>
  <c r="I103" i="21"/>
  <c r="F104" i="22"/>
  <c r="I104" i="22" s="1"/>
  <c r="F129" i="22"/>
  <c r="I129" i="22" s="1"/>
  <c r="C131" i="8"/>
  <c r="E131" i="8" s="1"/>
  <c r="I109" i="21"/>
  <c r="F110" i="22"/>
  <c r="I110" i="22" s="1"/>
  <c r="F191" i="22"/>
  <c r="I191" i="22" s="1"/>
  <c r="F350" i="22"/>
  <c r="I350" i="22" s="1"/>
  <c r="F83" i="22"/>
  <c r="I83" i="22" s="1"/>
  <c r="F304" i="22"/>
  <c r="I304" i="22" s="1"/>
  <c r="I98" i="21"/>
  <c r="I85" i="21"/>
  <c r="F52" i="22"/>
  <c r="I52" i="22" s="1"/>
  <c r="F202" i="22"/>
  <c r="I202" i="22" s="1"/>
  <c r="I200" i="21"/>
  <c r="I161" i="21"/>
  <c r="I125" i="21"/>
  <c r="F119" i="22"/>
  <c r="I119" i="22" s="1"/>
  <c r="F189" i="22"/>
  <c r="I189" i="22" s="1"/>
  <c r="I341" i="21"/>
  <c r="F160" i="22"/>
  <c r="I160" i="22" s="1"/>
  <c r="I214" i="21"/>
  <c r="F31" i="22"/>
  <c r="I31" i="22" s="1"/>
  <c r="I30" i="21"/>
  <c r="F215" i="22"/>
  <c r="I215" i="22" s="1"/>
  <c r="F342" i="22"/>
  <c r="I342" i="22" s="1"/>
  <c r="F298" i="22"/>
  <c r="I298" i="22" s="1"/>
  <c r="C250" i="8"/>
  <c r="E250" i="8" s="1"/>
  <c r="F248" i="22"/>
  <c r="I248" i="22" s="1"/>
  <c r="I156" i="21"/>
  <c r="F157" i="22"/>
  <c r="I157" i="22" s="1"/>
  <c r="F67" i="22"/>
  <c r="I67" i="22" s="1"/>
  <c r="I66" i="21"/>
  <c r="F211" i="22"/>
  <c r="I211" i="22" s="1"/>
  <c r="F249" i="22"/>
  <c r="I249" i="22" s="1"/>
  <c r="I129" i="21"/>
  <c r="F130" i="22"/>
  <c r="I130" i="22" s="1"/>
  <c r="F57" i="22"/>
  <c r="I57" i="22" s="1"/>
  <c r="F286" i="22"/>
  <c r="I286" i="22" s="1"/>
  <c r="C288" i="8"/>
  <c r="E288" i="8" s="1"/>
  <c r="G129" i="27"/>
  <c r="J129" i="27" s="1"/>
  <c r="I306" i="21"/>
  <c r="F307" i="22"/>
  <c r="I307" i="22" s="1"/>
  <c r="C233" i="8"/>
  <c r="E233" i="8" s="1"/>
  <c r="F231" i="22"/>
  <c r="I231" i="22" s="1"/>
  <c r="G106" i="27"/>
  <c r="J106" i="27" s="1"/>
  <c r="F226" i="22"/>
  <c r="I226" i="22" s="1"/>
  <c r="C228" i="8"/>
  <c r="E228" i="8" s="1"/>
  <c r="F59" i="22"/>
  <c r="I59" i="22" s="1"/>
  <c r="I58" i="21"/>
  <c r="I126" i="21"/>
  <c r="F151" i="22"/>
  <c r="I151" i="22" s="1"/>
  <c r="F355" i="22"/>
  <c r="I355" i="22" s="1"/>
  <c r="I354" i="21"/>
  <c r="C291" i="8"/>
  <c r="E291" i="8" s="1"/>
  <c r="F289" i="22"/>
  <c r="I289" i="22" s="1"/>
  <c r="C232" i="8"/>
  <c r="E232" i="8" s="1"/>
  <c r="F230" i="22"/>
  <c r="I230" i="22" s="1"/>
  <c r="F128" i="22"/>
  <c r="I128" i="22" s="1"/>
  <c r="F131" i="22"/>
  <c r="I131" i="22" s="1"/>
  <c r="G57" i="27"/>
  <c r="J57" i="27" s="1"/>
  <c r="F338" i="22"/>
  <c r="I338" i="22" s="1"/>
  <c r="I337" i="21"/>
  <c r="F308" i="22"/>
  <c r="I308" i="22" s="1"/>
  <c r="I307" i="21"/>
  <c r="C137" i="8"/>
  <c r="E137" i="8" s="1"/>
  <c r="F135" i="22"/>
  <c r="I135" i="22" s="1"/>
  <c r="F360" i="22"/>
  <c r="I360" i="22" s="1"/>
  <c r="I359" i="21"/>
  <c r="C150" i="8"/>
  <c r="E150" i="8" s="1"/>
  <c r="C231" i="8"/>
  <c r="E231" i="8" s="1"/>
  <c r="F229" i="22"/>
  <c r="I229" i="22" s="1"/>
  <c r="F161" i="22"/>
  <c r="I161" i="22" s="1"/>
  <c r="I160" i="21"/>
  <c r="I34" i="21"/>
  <c r="F35" i="22"/>
  <c r="I35" i="22" s="1"/>
  <c r="I339" i="21"/>
  <c r="F340" i="22"/>
  <c r="I340" i="22" s="1"/>
  <c r="F109" i="22"/>
  <c r="I109" i="22" s="1"/>
  <c r="I108" i="21"/>
  <c r="F339" i="22"/>
  <c r="I339" i="22" s="1"/>
  <c r="I338" i="21"/>
  <c r="F331" i="22"/>
  <c r="I331" i="22" s="1"/>
  <c r="I330" i="21"/>
  <c r="F33" i="22"/>
  <c r="I33" i="22" s="1"/>
  <c r="I32" i="21"/>
  <c r="F192" i="22"/>
  <c r="I192" i="22" s="1"/>
  <c r="C194" i="8"/>
  <c r="E194" i="8" s="1"/>
  <c r="F281" i="22"/>
  <c r="I281" i="22" s="1"/>
  <c r="C283" i="8"/>
  <c r="E283" i="8" s="1"/>
  <c r="C359" i="8"/>
  <c r="E359" i="8" s="1"/>
  <c r="F357" i="22"/>
  <c r="I357" i="22" s="1"/>
  <c r="F153" i="22"/>
  <c r="I153" i="22" s="1"/>
  <c r="C155" i="8"/>
  <c r="E155" i="8" s="1"/>
  <c r="I231" i="21"/>
  <c r="F232" i="22"/>
  <c r="I232" i="22" s="1"/>
  <c r="F282" i="22"/>
  <c r="I282" i="22" s="1"/>
  <c r="F208" i="22"/>
  <c r="I208" i="22" s="1"/>
  <c r="I207" i="21"/>
  <c r="F186" i="22"/>
  <c r="I186" i="22" s="1"/>
  <c r="I311" i="21"/>
  <c r="F312" i="22"/>
  <c r="I312" i="22" s="1"/>
  <c r="C156" i="8"/>
  <c r="E156" i="8" s="1"/>
  <c r="I120" i="21"/>
  <c r="F121" i="22"/>
  <c r="I121" i="22" s="1"/>
  <c r="F93" i="22"/>
  <c r="I93" i="22" s="1"/>
  <c r="F280" i="22"/>
  <c r="I280" i="22" s="1"/>
  <c r="C282" i="8"/>
  <c r="E282" i="8" s="1"/>
  <c r="F219" i="22"/>
  <c r="I219" i="22" s="1"/>
  <c r="I218" i="21"/>
  <c r="I340" i="21"/>
  <c r="F341" i="22"/>
  <c r="I341" i="22" s="1"/>
  <c r="I146" i="21"/>
  <c r="F147" i="22"/>
  <c r="I147" i="22" s="1"/>
  <c r="F359" i="22"/>
  <c r="I359" i="22" s="1"/>
  <c r="C361" i="8"/>
  <c r="E361" i="8" s="1"/>
  <c r="F70" i="22"/>
  <c r="I70" i="22" s="1"/>
  <c r="I69" i="21"/>
  <c r="F152" i="22"/>
  <c r="I152" i="22" s="1"/>
  <c r="F113" i="22"/>
  <c r="I113" i="22" s="1"/>
  <c r="I112" i="21"/>
  <c r="O149" i="5"/>
  <c r="F320" i="22"/>
  <c r="I320" i="22" s="1"/>
  <c r="C18" i="28"/>
  <c r="AB72" i="9"/>
  <c r="AC72" i="9"/>
  <c r="Z72" i="9"/>
  <c r="V72" i="9"/>
  <c r="R72" i="9"/>
  <c r="J72" i="9"/>
  <c r="P72" i="9"/>
  <c r="X72" i="9"/>
  <c r="K72" i="9"/>
  <c r="S72" i="9"/>
  <c r="AA72" i="9"/>
  <c r="H72" i="9"/>
  <c r="Q72" i="9"/>
  <c r="Y72" i="9"/>
  <c r="M72" i="9"/>
  <c r="U72" i="9"/>
  <c r="I72" i="9"/>
  <c r="F299" i="22"/>
  <c r="I299" i="22" s="1"/>
  <c r="B380" i="22"/>
  <c r="B379" i="21"/>
  <c r="B382" i="8"/>
  <c r="O310" i="5"/>
  <c r="N310" i="5"/>
  <c r="K306" i="5"/>
  <c r="L308" i="5"/>
  <c r="L322" i="5" s="1"/>
  <c r="J307" i="5"/>
  <c r="K307" i="5" s="1"/>
  <c r="O29" i="6"/>
  <c r="O25" i="6"/>
  <c r="J14" i="6"/>
  <c r="D362" i="22" s="1"/>
  <c r="E85" i="27"/>
  <c r="H158" i="21"/>
  <c r="J20" i="6"/>
  <c r="H136" i="21"/>
  <c r="L26" i="6"/>
  <c r="I51" i="21"/>
  <c r="N29" i="6"/>
  <c r="I290" i="21"/>
  <c r="C243" i="8"/>
  <c r="E243" i="8" s="1"/>
  <c r="C12" i="21"/>
  <c r="H12" i="21" s="1"/>
  <c r="C15" i="8" s="1"/>
  <c r="E15" i="8" s="1"/>
  <c r="C252" i="8"/>
  <c r="E252" i="8" s="1"/>
  <c r="I293" i="21"/>
  <c r="I181" i="21"/>
  <c r="J13" i="6"/>
  <c r="O14" i="6"/>
  <c r="O13" i="6"/>
  <c r="N19" i="6"/>
  <c r="L30" i="6"/>
  <c r="O19" i="6"/>
  <c r="H257" i="21"/>
  <c r="H309" i="21"/>
  <c r="K331" i="5"/>
  <c r="L331" i="5" s="1"/>
  <c r="L332" i="5" s="1"/>
  <c r="F315" i="22"/>
  <c r="I315" i="22" s="1"/>
  <c r="F18" i="22"/>
  <c r="I18" i="22" s="1"/>
  <c r="I135" i="21"/>
  <c r="F173" i="22"/>
  <c r="I173" i="22" s="1"/>
  <c r="I169" i="21"/>
  <c r="F170" i="22"/>
  <c r="I170" i="22" s="1"/>
  <c r="F225" i="22"/>
  <c r="I225" i="22" s="1"/>
  <c r="C85" i="28"/>
  <c r="D85" i="28" s="1"/>
  <c r="C61" i="28"/>
  <c r="D61" i="28" s="1"/>
  <c r="G2253" i="2"/>
  <c r="G2" i="2" s="1"/>
  <c r="G34" i="7"/>
  <c r="I34" i="7" s="1"/>
  <c r="C81" i="28"/>
  <c r="D81" i="28" s="1"/>
  <c r="H367" i="22"/>
  <c r="I367" i="22" s="1"/>
  <c r="C28" i="4"/>
  <c r="C32" i="4"/>
  <c r="H370" i="22"/>
  <c r="I370" i="22" s="1"/>
  <c r="C82" i="28"/>
  <c r="D82" i="28" s="1"/>
  <c r="C86" i="28"/>
  <c r="D86" i="28" s="1"/>
  <c r="C37" i="4"/>
  <c r="H364" i="22"/>
  <c r="I364" i="22" s="1"/>
  <c r="H368" i="22"/>
  <c r="I368" i="22" s="1"/>
  <c r="F254" i="22"/>
  <c r="I254" i="22" s="1"/>
  <c r="F319" i="22"/>
  <c r="I319" i="22" s="1"/>
  <c r="F346" i="22"/>
  <c r="I346" i="22" s="1"/>
  <c r="F255" i="22"/>
  <c r="I255" i="22" s="1"/>
  <c r="E22" i="7"/>
  <c r="E1" i="7" s="1"/>
  <c r="E70" i="9"/>
  <c r="BG72" i="9"/>
  <c r="BG73" i="9" s="1"/>
  <c r="E39" i="9"/>
  <c r="H98" i="5"/>
  <c r="H338" i="5" s="1"/>
  <c r="H342" i="5" s="1"/>
  <c r="F38" i="22"/>
  <c r="I38" i="22" s="1"/>
  <c r="M340" i="5"/>
  <c r="M342" i="5" s="1"/>
  <c r="M13" i="6"/>
  <c r="I98" i="5"/>
  <c r="I338" i="5" s="1"/>
  <c r="C16" i="28"/>
  <c r="D16" i="28" s="1"/>
  <c r="J98" i="5"/>
  <c r="G103" i="5"/>
  <c r="G85" i="27"/>
  <c r="F17" i="22"/>
  <c r="I17" i="22" s="1"/>
  <c r="F148" i="22"/>
  <c r="I148" i="22" s="1"/>
  <c r="I300" i="5"/>
  <c r="I340" i="5" s="1"/>
  <c r="G340" i="5"/>
  <c r="G333" i="5"/>
  <c r="H2" i="5" s="1"/>
  <c r="I265" i="21"/>
  <c r="F22" i="7"/>
  <c r="F1" i="7" s="1"/>
  <c r="C143" i="8"/>
  <c r="E143" i="8" s="1"/>
  <c r="C267" i="8"/>
  <c r="E267" i="8" s="1"/>
  <c r="D12" i="9"/>
  <c r="C119" i="4"/>
  <c r="C13" i="4" s="1"/>
  <c r="C44" i="28"/>
  <c r="C24" i="8"/>
  <c r="E24" i="8" s="1"/>
  <c r="I24" i="21"/>
  <c r="G392" i="22"/>
  <c r="G1" i="22" s="1"/>
  <c r="C145" i="8"/>
  <c r="E145" i="8" s="1"/>
  <c r="I259" i="21"/>
  <c r="H27" i="7"/>
  <c r="C16" i="8" s="1"/>
  <c r="C268" i="8"/>
  <c r="E268" i="8" s="1"/>
  <c r="I14" i="7"/>
  <c r="C278" i="8"/>
  <c r="E278" i="8" s="1"/>
  <c r="I378" i="21"/>
  <c r="I386" i="21"/>
  <c r="I28" i="7"/>
  <c r="I199" i="21"/>
  <c r="I251" i="21"/>
  <c r="C262" i="8"/>
  <c r="E262" i="8" s="1"/>
  <c r="D85" i="4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9" i="4" s="1"/>
  <c r="L15" i="6"/>
  <c r="I114" i="21"/>
  <c r="I122" i="21"/>
  <c r="C177" i="8"/>
  <c r="E177" i="8" s="1"/>
  <c r="I178" i="21"/>
  <c r="I182" i="21"/>
  <c r="I194" i="21"/>
  <c r="I226" i="21"/>
  <c r="I242" i="21"/>
  <c r="I381" i="21"/>
  <c r="I385" i="21"/>
  <c r="C135" i="8"/>
  <c r="E135" i="8" s="1"/>
  <c r="C313" i="8"/>
  <c r="E313" i="8" s="1"/>
  <c r="C337" i="8"/>
  <c r="E337" i="8" s="1"/>
  <c r="I157" i="21"/>
  <c r="I141" i="21"/>
  <c r="I162" i="21"/>
  <c r="I174" i="21"/>
  <c r="I186" i="21"/>
  <c r="C222" i="8"/>
  <c r="E222" i="8" s="1"/>
  <c r="C226" i="8"/>
  <c r="E226" i="8" s="1"/>
  <c r="I165" i="21"/>
  <c r="I316" i="21"/>
  <c r="I328" i="21"/>
  <c r="I115" i="21"/>
  <c r="I348" i="21"/>
  <c r="C255" i="8"/>
  <c r="E255" i="8" s="1"/>
  <c r="C259" i="8"/>
  <c r="E259" i="8" s="1"/>
  <c r="C277" i="8"/>
  <c r="E277" i="8" s="1"/>
  <c r="L340" i="5"/>
  <c r="C23" i="8"/>
  <c r="E23" i="8" s="1"/>
  <c r="C27" i="8"/>
  <c r="E27" i="8" s="1"/>
  <c r="I138" i="21"/>
  <c r="I168" i="21"/>
  <c r="C208" i="8"/>
  <c r="E208" i="8" s="1"/>
  <c r="C258" i="8"/>
  <c r="E258" i="8" s="1"/>
  <c r="I142" i="21"/>
  <c r="C187" i="8"/>
  <c r="E187" i="8" s="1"/>
  <c r="C216" i="8"/>
  <c r="E216" i="8" s="1"/>
  <c r="I268" i="21"/>
  <c r="C22" i="8"/>
  <c r="E22" i="8" s="1"/>
  <c r="I133" i="21"/>
  <c r="C207" i="8"/>
  <c r="E207" i="8" s="1"/>
  <c r="C240" i="8"/>
  <c r="E240" i="8" s="1"/>
  <c r="I305" i="21"/>
  <c r="I334" i="21"/>
  <c r="C190" i="8"/>
  <c r="E190" i="8" s="1"/>
  <c r="C219" i="8"/>
  <c r="E219" i="8" s="1"/>
  <c r="I296" i="21"/>
  <c r="C324" i="8"/>
  <c r="E324" i="8" s="1"/>
  <c r="H14" i="7"/>
  <c r="C373" i="8" s="1"/>
  <c r="E373" i="8" s="1"/>
  <c r="C25" i="8"/>
  <c r="E25" i="8" s="1"/>
  <c r="I119" i="21"/>
  <c r="I140" i="21"/>
  <c r="I149" i="21"/>
  <c r="I170" i="21"/>
  <c r="C198" i="8"/>
  <c r="E198" i="8" s="1"/>
  <c r="C202" i="8"/>
  <c r="E202" i="8" s="1"/>
  <c r="C239" i="8"/>
  <c r="E239" i="8" s="1"/>
  <c r="C269" i="8"/>
  <c r="E269" i="8" s="1"/>
  <c r="I375" i="21"/>
  <c r="C356" i="8"/>
  <c r="E356" i="8" s="1"/>
  <c r="H31" i="7"/>
  <c r="C366" i="8" s="1"/>
  <c r="E366" i="8" s="1"/>
  <c r="I173" i="21"/>
  <c r="C196" i="8"/>
  <c r="E196" i="8" s="1"/>
  <c r="C272" i="8"/>
  <c r="E272" i="8" s="1"/>
  <c r="C121" i="8"/>
  <c r="E121" i="8" s="1"/>
  <c r="I177" i="21"/>
  <c r="I215" i="21"/>
  <c r="C316" i="8"/>
  <c r="E316" i="8" s="1"/>
  <c r="I384" i="21"/>
  <c r="C117" i="8"/>
  <c r="E117" i="8" s="1"/>
  <c r="C125" i="8"/>
  <c r="E125" i="8" s="1"/>
  <c r="I223" i="21"/>
  <c r="C266" i="8"/>
  <c r="E266" i="8" s="1"/>
  <c r="I275" i="21"/>
  <c r="E308" i="8"/>
  <c r="I383" i="21"/>
  <c r="I28" i="21"/>
  <c r="C147" i="8"/>
  <c r="E147" i="8" s="1"/>
  <c r="I180" i="21"/>
  <c r="I210" i="21"/>
  <c r="C271" i="8"/>
  <c r="E271" i="8" s="1"/>
  <c r="I382" i="21"/>
  <c r="H28" i="7"/>
  <c r="C18" i="8" s="1"/>
  <c r="I20" i="21"/>
  <c r="C171" i="8"/>
  <c r="E171" i="8" s="1"/>
  <c r="I183" i="21"/>
  <c r="I380" i="21"/>
  <c r="I388" i="21"/>
  <c r="I37" i="7"/>
  <c r="I22" i="21"/>
  <c r="C141" i="8"/>
  <c r="E141" i="8" s="1"/>
  <c r="C165" i="8"/>
  <c r="E165" i="8" s="1"/>
  <c r="C173" i="8"/>
  <c r="E173" i="8" s="1"/>
  <c r="I274" i="21"/>
  <c r="I277" i="21"/>
  <c r="I379" i="21"/>
  <c r="I387" i="21"/>
  <c r="D16" i="9"/>
  <c r="D51" i="9"/>
  <c r="D59" i="9"/>
  <c r="D14" i="9"/>
  <c r="D84" i="9"/>
  <c r="G2260" i="2" s="1"/>
  <c r="D9" i="9"/>
  <c r="D47" i="9"/>
  <c r="D10" i="9"/>
  <c r="D13" i="9"/>
  <c r="D60" i="9"/>
  <c r="D20" i="4"/>
  <c r="D21" i="4" s="1"/>
  <c r="D22" i="4" s="1"/>
  <c r="D23" i="4" s="1"/>
  <c r="D24" i="4" s="1"/>
  <c r="D25" i="4" s="1"/>
  <c r="D26" i="4" s="1"/>
  <c r="D27" i="4" s="1"/>
  <c r="D15" i="9"/>
  <c r="D11" i="9"/>
  <c r="J31" i="27"/>
  <c r="I118" i="21"/>
  <c r="C186" i="8"/>
  <c r="E186" i="8" s="1"/>
  <c r="C191" i="8"/>
  <c r="E191" i="8" s="1"/>
  <c r="C214" i="8"/>
  <c r="E214" i="8" s="1"/>
  <c r="C218" i="8"/>
  <c r="E218" i="8" s="1"/>
  <c r="I264" i="21"/>
  <c r="I323" i="21"/>
  <c r="I332" i="21"/>
  <c r="I346" i="21"/>
  <c r="I355" i="21"/>
  <c r="I377" i="21"/>
  <c r="H35" i="7"/>
  <c r="C370" i="8" s="1"/>
  <c r="E370" i="8" s="1"/>
  <c r="C26" i="8"/>
  <c r="E26" i="8" s="1"/>
  <c r="C31" i="8"/>
  <c r="E31" i="8" s="1"/>
  <c r="I123" i="21"/>
  <c r="I139" i="21"/>
  <c r="I144" i="21"/>
  <c r="I155" i="21"/>
  <c r="C180" i="8"/>
  <c r="E180" i="8" s="1"/>
  <c r="C181" i="8"/>
  <c r="E181" i="8" s="1"/>
  <c r="C183" i="8"/>
  <c r="E183" i="8" s="1"/>
  <c r="C185" i="8"/>
  <c r="E185" i="8" s="1"/>
  <c r="C195" i="8"/>
  <c r="E195" i="8" s="1"/>
  <c r="C204" i="8"/>
  <c r="E204" i="8" s="1"/>
  <c r="C213" i="8"/>
  <c r="E213" i="8" s="1"/>
  <c r="C245" i="8"/>
  <c r="E245" i="8" s="1"/>
  <c r="I263" i="21"/>
  <c r="C280" i="8"/>
  <c r="E280" i="8" s="1"/>
  <c r="C285" i="8"/>
  <c r="E285" i="8" s="1"/>
  <c r="C290" i="8"/>
  <c r="E290" i="8" s="1"/>
  <c r="I295" i="21"/>
  <c r="I313" i="21"/>
  <c r="I308" i="21"/>
  <c r="I331" i="21"/>
  <c r="I376" i="21"/>
  <c r="I127" i="21"/>
  <c r="I132" i="21"/>
  <c r="I143" i="21"/>
  <c r="C189" i="8"/>
  <c r="E189" i="8" s="1"/>
  <c r="C212" i="8"/>
  <c r="E212" i="8" s="1"/>
  <c r="C235" i="8"/>
  <c r="E235" i="8" s="1"/>
  <c r="C244" i="8"/>
  <c r="E244" i="8" s="1"/>
  <c r="C254" i="8"/>
  <c r="E254" i="8" s="1"/>
  <c r="I269" i="21"/>
  <c r="C274" i="8"/>
  <c r="E274" i="8" s="1"/>
  <c r="I303" i="21"/>
  <c r="I312" i="21"/>
  <c r="I321" i="21"/>
  <c r="I335" i="21"/>
  <c r="I344" i="21"/>
  <c r="I353" i="21"/>
  <c r="H37" i="7"/>
  <c r="C372" i="8" s="1"/>
  <c r="E372" i="8" s="1"/>
  <c r="C197" i="8"/>
  <c r="E197" i="8" s="1"/>
  <c r="C211" i="8"/>
  <c r="E211" i="8" s="1"/>
  <c r="C220" i="8"/>
  <c r="E220" i="8" s="1"/>
  <c r="C229" i="8"/>
  <c r="E229" i="8" s="1"/>
  <c r="I320" i="21"/>
  <c r="I343" i="21"/>
  <c r="I352" i="21"/>
  <c r="H32" i="7"/>
  <c r="C367" i="8" s="1"/>
  <c r="E367" i="8" s="1"/>
  <c r="C192" i="8"/>
  <c r="E192" i="8" s="1"/>
  <c r="C206" i="8"/>
  <c r="E206" i="8" s="1"/>
  <c r="C215" i="8"/>
  <c r="E215" i="8" s="1"/>
  <c r="C224" i="8"/>
  <c r="E224" i="8" s="1"/>
  <c r="I266" i="21"/>
  <c r="I310" i="21"/>
  <c r="I347" i="21"/>
  <c r="I374" i="21"/>
  <c r="H36" i="7"/>
  <c r="C371" i="8" s="1"/>
  <c r="E371" i="8" s="1"/>
  <c r="H1" i="4"/>
  <c r="D7" i="4" s="1"/>
  <c r="D52" i="28"/>
  <c r="I42" i="21"/>
  <c r="C45" i="8"/>
  <c r="E45" i="8" s="1"/>
  <c r="I62" i="21"/>
  <c r="C65" i="8"/>
  <c r="E65" i="8" s="1"/>
  <c r="I70" i="21"/>
  <c r="C73" i="8"/>
  <c r="E73" i="8" s="1"/>
  <c r="I74" i="21"/>
  <c r="C77" i="8"/>
  <c r="E77" i="8" s="1"/>
  <c r="I78" i="21"/>
  <c r="C81" i="8"/>
  <c r="E81" i="8" s="1"/>
  <c r="I82" i="21"/>
  <c r="C85" i="8"/>
  <c r="E85" i="8" s="1"/>
  <c r="I86" i="21"/>
  <c r="C89" i="8"/>
  <c r="E89" i="8" s="1"/>
  <c r="I90" i="21"/>
  <c r="C93" i="8"/>
  <c r="E93" i="8" s="1"/>
  <c r="I94" i="21"/>
  <c r="C97" i="8"/>
  <c r="E97" i="8" s="1"/>
  <c r="I102" i="21"/>
  <c r="C105" i="8"/>
  <c r="E105" i="8" s="1"/>
  <c r="I106" i="21"/>
  <c r="C109" i="8"/>
  <c r="E109" i="8" s="1"/>
  <c r="I110" i="21"/>
  <c r="C113" i="8"/>
  <c r="E113" i="8" s="1"/>
  <c r="I23" i="21"/>
  <c r="I57" i="21"/>
  <c r="C60" i="8"/>
  <c r="E60" i="8" s="1"/>
  <c r="I61" i="21"/>
  <c r="C64" i="8"/>
  <c r="E64" i="8" s="1"/>
  <c r="I73" i="21"/>
  <c r="C76" i="8"/>
  <c r="E76" i="8" s="1"/>
  <c r="I77" i="21"/>
  <c r="C80" i="8"/>
  <c r="E80" i="8" s="1"/>
  <c r="I81" i="21"/>
  <c r="C84" i="8"/>
  <c r="E84" i="8" s="1"/>
  <c r="I93" i="21"/>
  <c r="C96" i="8"/>
  <c r="E96" i="8" s="1"/>
  <c r="I101" i="21"/>
  <c r="C104" i="8"/>
  <c r="E104" i="8" s="1"/>
  <c r="I105" i="21"/>
  <c r="C108" i="8"/>
  <c r="E108" i="8" s="1"/>
  <c r="I113" i="21"/>
  <c r="C116" i="8"/>
  <c r="E116" i="8" s="1"/>
  <c r="I145" i="21"/>
  <c r="C148" i="8"/>
  <c r="E148" i="8" s="1"/>
  <c r="C241" i="8"/>
  <c r="E241" i="8" s="1"/>
  <c r="I238" i="21"/>
  <c r="E16" i="26"/>
  <c r="E27" i="26" s="1"/>
  <c r="E30" i="26" s="1"/>
  <c r="G13" i="7"/>
  <c r="E16" i="11"/>
  <c r="E28" i="11" s="1"/>
  <c r="E31" i="11" s="1"/>
  <c r="G11" i="7"/>
  <c r="I21" i="21"/>
  <c r="I44" i="21"/>
  <c r="C47" i="8"/>
  <c r="E47" i="8" s="1"/>
  <c r="I52" i="21"/>
  <c r="C55" i="8"/>
  <c r="E55" i="8" s="1"/>
  <c r="I56" i="21"/>
  <c r="C59" i="8"/>
  <c r="E59" i="8" s="1"/>
  <c r="I60" i="21"/>
  <c r="C63" i="8"/>
  <c r="E63" i="8" s="1"/>
  <c r="I64" i="21"/>
  <c r="C67" i="8"/>
  <c r="E67" i="8" s="1"/>
  <c r="I68" i="21"/>
  <c r="C71" i="8"/>
  <c r="E71" i="8" s="1"/>
  <c r="I72" i="21"/>
  <c r="C75" i="8"/>
  <c r="E75" i="8" s="1"/>
  <c r="I76" i="21"/>
  <c r="C79" i="8"/>
  <c r="E79" i="8" s="1"/>
  <c r="I80" i="21"/>
  <c r="C83" i="8"/>
  <c r="E83" i="8" s="1"/>
  <c r="I84" i="21"/>
  <c r="C87" i="8"/>
  <c r="E87" i="8" s="1"/>
  <c r="I88" i="21"/>
  <c r="C91" i="8"/>
  <c r="E91" i="8" s="1"/>
  <c r="I96" i="21"/>
  <c r="C99" i="8"/>
  <c r="E99" i="8" s="1"/>
  <c r="I100" i="21"/>
  <c r="C103" i="8"/>
  <c r="E103" i="8" s="1"/>
  <c r="I104" i="21"/>
  <c r="C107" i="8"/>
  <c r="E107" i="8" s="1"/>
  <c r="I117" i="21"/>
  <c r="C120" i="8"/>
  <c r="E120" i="8" s="1"/>
  <c r="I19" i="21"/>
  <c r="I31" i="21"/>
  <c r="C34" i="8"/>
  <c r="E34" i="8" s="1"/>
  <c r="I35" i="21"/>
  <c r="C38" i="8"/>
  <c r="E38" i="8" s="1"/>
  <c r="I39" i="21"/>
  <c r="C42" i="8"/>
  <c r="E42" i="8" s="1"/>
  <c r="I47" i="21"/>
  <c r="C50" i="8"/>
  <c r="E50" i="8" s="1"/>
  <c r="I59" i="21"/>
  <c r="C62" i="8"/>
  <c r="E62" i="8" s="1"/>
  <c r="I63" i="21"/>
  <c r="C66" i="8"/>
  <c r="E66" i="8" s="1"/>
  <c r="I67" i="21"/>
  <c r="C70" i="8"/>
  <c r="E70" i="8" s="1"/>
  <c r="I71" i="21"/>
  <c r="C74" i="8"/>
  <c r="E74" i="8" s="1"/>
  <c r="I79" i="21"/>
  <c r="C82" i="8"/>
  <c r="E82" i="8" s="1"/>
  <c r="I87" i="21"/>
  <c r="C90" i="8"/>
  <c r="E90" i="8" s="1"/>
  <c r="I95" i="21"/>
  <c r="C98" i="8"/>
  <c r="E98" i="8" s="1"/>
  <c r="I107" i="21"/>
  <c r="C110" i="8"/>
  <c r="E110" i="8" s="1"/>
  <c r="I111" i="21"/>
  <c r="C114" i="8"/>
  <c r="E114" i="8" s="1"/>
  <c r="I137" i="21"/>
  <c r="C140" i="8"/>
  <c r="E140" i="8" s="1"/>
  <c r="C201" i="8"/>
  <c r="E201" i="8" s="1"/>
  <c r="I198" i="21"/>
  <c r="C118" i="8"/>
  <c r="E118" i="8" s="1"/>
  <c r="C126" i="8"/>
  <c r="E126" i="8" s="1"/>
  <c r="C142" i="8"/>
  <c r="E142" i="8" s="1"/>
  <c r="C158" i="8"/>
  <c r="E158" i="8" s="1"/>
  <c r="C276" i="8"/>
  <c r="E276" i="8" s="1"/>
  <c r="I273" i="21"/>
  <c r="I317" i="21"/>
  <c r="C320" i="8"/>
  <c r="E320" i="8" s="1"/>
  <c r="I349" i="21"/>
  <c r="C352" i="8"/>
  <c r="E352" i="8" s="1"/>
  <c r="C122" i="8"/>
  <c r="E122" i="8" s="1"/>
  <c r="C130" i="8"/>
  <c r="E130" i="8" s="1"/>
  <c r="C146" i="8"/>
  <c r="E146" i="8" s="1"/>
  <c r="H33" i="7"/>
  <c r="C368" i="8" s="1"/>
  <c r="E368" i="8" s="1"/>
  <c r="I33" i="7"/>
  <c r="C193" i="8"/>
  <c r="E193" i="8" s="1"/>
  <c r="I190" i="21"/>
  <c r="I325" i="21"/>
  <c r="C328" i="8"/>
  <c r="E328" i="8" s="1"/>
  <c r="I357" i="21"/>
  <c r="C360" i="8"/>
  <c r="E360" i="8" s="1"/>
  <c r="G390" i="21"/>
  <c r="G1" i="21" s="1"/>
  <c r="C136" i="8"/>
  <c r="E136" i="8" s="1"/>
  <c r="C144" i="8"/>
  <c r="E144" i="8" s="1"/>
  <c r="C152" i="8"/>
  <c r="E152" i="8" s="1"/>
  <c r="C160" i="8"/>
  <c r="E160" i="8" s="1"/>
  <c r="C168" i="8"/>
  <c r="E168" i="8" s="1"/>
  <c r="C176" i="8"/>
  <c r="E176" i="8" s="1"/>
  <c r="C248" i="8"/>
  <c r="E248" i="8" s="1"/>
  <c r="I245" i="21"/>
  <c r="C292" i="8"/>
  <c r="E292" i="8" s="1"/>
  <c r="I289" i="21"/>
  <c r="I193" i="21"/>
  <c r="I201" i="21"/>
  <c r="I209" i="21"/>
  <c r="I217" i="21"/>
  <c r="I241" i="21"/>
  <c r="C299" i="8"/>
  <c r="E299" i="8" s="1"/>
  <c r="C315" i="8"/>
  <c r="E315" i="8" s="1"/>
  <c r="C323" i="8"/>
  <c r="E323" i="8" s="1"/>
  <c r="C331" i="8"/>
  <c r="E331" i="8" s="1"/>
  <c r="C347" i="8"/>
  <c r="E347" i="8" s="1"/>
  <c r="C355" i="8"/>
  <c r="E355" i="8" s="1"/>
  <c r="I26" i="7"/>
  <c r="H26" i="7"/>
  <c r="C14" i="8" s="1"/>
  <c r="I36" i="7"/>
  <c r="I184" i="21"/>
  <c r="I192" i="21"/>
  <c r="I208" i="21"/>
  <c r="I216" i="21"/>
  <c r="I232" i="21"/>
  <c r="C298" i="8"/>
  <c r="E298" i="8" s="1"/>
  <c r="E306" i="8"/>
  <c r="C338" i="8"/>
  <c r="E338" i="8" s="1"/>
  <c r="C346" i="8"/>
  <c r="E346" i="8" s="1"/>
  <c r="I373" i="21"/>
  <c r="I35" i="7"/>
  <c r="C287" i="8"/>
  <c r="E287" i="8" s="1"/>
  <c r="I284" i="21"/>
  <c r="I372" i="21"/>
  <c r="I189" i="21"/>
  <c r="I205" i="21"/>
  <c r="I213" i="21"/>
  <c r="I221" i="21"/>
  <c r="I237" i="21"/>
  <c r="I256" i="21"/>
  <c r="C275" i="8"/>
  <c r="E275" i="8" s="1"/>
  <c r="I272" i="21"/>
  <c r="C311" i="8"/>
  <c r="E311" i="8" s="1"/>
  <c r="C319" i="8"/>
  <c r="E319" i="8" s="1"/>
  <c r="C335" i="8"/>
  <c r="E335" i="8" s="1"/>
  <c r="C351" i="8"/>
  <c r="E351" i="8" s="1"/>
  <c r="I32" i="7"/>
  <c r="I188" i="21"/>
  <c r="I204" i="21"/>
  <c r="I212" i="21"/>
  <c r="I236" i="21"/>
  <c r="I255" i="21"/>
  <c r="C326" i="8"/>
  <c r="E326" i="8" s="1"/>
  <c r="C334" i="8"/>
  <c r="E334" i="8" s="1"/>
  <c r="C350" i="8"/>
  <c r="E350" i="8" s="1"/>
  <c r="C358" i="8"/>
  <c r="E358" i="8" s="1"/>
  <c r="I371" i="21"/>
  <c r="C374" i="8"/>
  <c r="E374" i="8" s="1"/>
  <c r="I31" i="7"/>
  <c r="I187" i="21"/>
  <c r="I195" i="21"/>
  <c r="I203" i="21"/>
  <c r="I211" i="21"/>
  <c r="I219" i="21"/>
  <c r="I282" i="21"/>
  <c r="C349" i="8"/>
  <c r="E349" i="8" s="1"/>
  <c r="I27" i="7"/>
  <c r="C279" i="8"/>
  <c r="E279" i="8" s="1"/>
  <c r="I276" i="21"/>
  <c r="I362" i="21"/>
  <c r="H362" i="21"/>
  <c r="C365" i="8" s="1"/>
  <c r="E365" i="8" s="1"/>
  <c r="I271" i="21"/>
  <c r="I287" i="21"/>
  <c r="I252" i="21"/>
  <c r="E304" i="15" l="1"/>
  <c r="E305" i="15" s="1"/>
  <c r="E306" i="15" s="1"/>
  <c r="I41" i="22"/>
  <c r="I362" i="22"/>
  <c r="C291" i="21"/>
  <c r="D292" i="22"/>
  <c r="I292" i="22" s="1"/>
  <c r="F291" i="21"/>
  <c r="F390" i="21" s="1"/>
  <c r="F1" i="21" s="1"/>
  <c r="H159" i="21"/>
  <c r="C162" i="8" s="1"/>
  <c r="E162" i="8" s="1"/>
  <c r="I50" i="21"/>
  <c r="G342" i="5"/>
  <c r="I235" i="21"/>
  <c r="I83" i="21"/>
  <c r="I89" i="21"/>
  <c r="I175" i="21"/>
  <c r="G23" i="26"/>
  <c r="G25" i="26" s="1"/>
  <c r="F3" i="6"/>
  <c r="H3" i="6"/>
  <c r="G3" i="6"/>
  <c r="I3" i="6"/>
  <c r="I329" i="21"/>
  <c r="I38" i="21"/>
  <c r="I283" i="21"/>
  <c r="I239" i="21"/>
  <c r="I26" i="21"/>
  <c r="I159" i="21"/>
  <c r="H12" i="7"/>
  <c r="D22" i="7"/>
  <c r="D1" i="7" s="1"/>
  <c r="I29" i="21"/>
  <c r="I304" i="21"/>
  <c r="I121" i="21"/>
  <c r="I262" i="21"/>
  <c r="I336" i="21"/>
  <c r="I258" i="21"/>
  <c r="I243" i="21"/>
  <c r="I322" i="21"/>
  <c r="I116" i="21"/>
  <c r="H75" i="21"/>
  <c r="C78" i="8" s="1"/>
  <c r="E78" i="8" s="1"/>
  <c r="H17" i="21"/>
  <c r="I278" i="21"/>
  <c r="I14" i="21"/>
  <c r="L98" i="5"/>
  <c r="L338" i="5" s="1"/>
  <c r="L342" i="5" s="1"/>
  <c r="AG78" i="9"/>
  <c r="C390" i="8"/>
  <c r="E390" i="8" s="1"/>
  <c r="C388" i="8"/>
  <c r="E388" i="8" s="1"/>
  <c r="C389" i="8"/>
  <c r="E389" i="8" s="1"/>
  <c r="C391" i="8"/>
  <c r="E391" i="8" s="1"/>
  <c r="C383" i="8"/>
  <c r="E383" i="8" s="1"/>
  <c r="C385" i="8"/>
  <c r="E385" i="8" s="1"/>
  <c r="C386" i="8"/>
  <c r="E386" i="8" s="1"/>
  <c r="C376" i="8"/>
  <c r="E376" i="8" s="1"/>
  <c r="C387" i="8"/>
  <c r="E387" i="8" s="1"/>
  <c r="C384" i="8"/>
  <c r="E384" i="8" s="1"/>
  <c r="C381" i="8"/>
  <c r="E381" i="8" s="1"/>
  <c r="C382" i="8"/>
  <c r="E382" i="8" s="1"/>
  <c r="C380" i="8"/>
  <c r="E380" i="8" s="1"/>
  <c r="C379" i="8"/>
  <c r="E379" i="8" s="1"/>
  <c r="C378" i="8"/>
  <c r="E378" i="8" s="1"/>
  <c r="C375" i="8"/>
  <c r="E375" i="8" s="1"/>
  <c r="C377" i="8"/>
  <c r="E377" i="8" s="1"/>
  <c r="I351" i="21"/>
  <c r="K9" i="26"/>
  <c r="L6" i="26"/>
  <c r="L7" i="26" s="1"/>
  <c r="I171" i="21"/>
  <c r="I197" i="21"/>
  <c r="I315" i="21"/>
  <c r="B381" i="22"/>
  <c r="I185" i="21"/>
  <c r="B380" i="21"/>
  <c r="C286" i="8"/>
  <c r="E286" i="8" s="1"/>
  <c r="I151" i="21"/>
  <c r="I54" i="21"/>
  <c r="I40" i="21"/>
  <c r="I131" i="21"/>
  <c r="I261" i="21"/>
  <c r="C238" i="8"/>
  <c r="E238" i="8" s="1"/>
  <c r="I163" i="21"/>
  <c r="BF73" i="9"/>
  <c r="BF74" i="9" s="1"/>
  <c r="I164" i="21"/>
  <c r="AS73" i="9"/>
  <c r="AS74" i="9" s="1"/>
  <c r="B383" i="8"/>
  <c r="I43" i="21"/>
  <c r="AF73" i="9"/>
  <c r="AF74" i="9" s="1"/>
  <c r="AO73" i="9"/>
  <c r="AO74" i="9" s="1"/>
  <c r="BB73" i="9"/>
  <c r="BB74" i="9" s="1"/>
  <c r="C318" i="8"/>
  <c r="E318" i="8" s="1"/>
  <c r="C119" i="8"/>
  <c r="E119" i="8" s="1"/>
  <c r="C249" i="8"/>
  <c r="E249" i="8" s="1"/>
  <c r="E307" i="8"/>
  <c r="J322" i="5"/>
  <c r="D19" i="28" s="1"/>
  <c r="J74" i="27"/>
  <c r="K66" i="27"/>
  <c r="M6" i="11"/>
  <c r="M7" i="11" s="1"/>
  <c r="L9" i="11"/>
  <c r="AX73" i="9"/>
  <c r="AX74" i="9" s="1"/>
  <c r="I281" i="21"/>
  <c r="I324" i="21"/>
  <c r="C133" i="8"/>
  <c r="E133" i="8" s="1"/>
  <c r="F361" i="22"/>
  <c r="I361" i="22" s="1"/>
  <c r="I176" i="21"/>
  <c r="I220" i="21"/>
  <c r="AK73" i="9"/>
  <c r="AK74" i="9" s="1"/>
  <c r="O73" i="9"/>
  <c r="O74" i="9" s="1"/>
  <c r="C339" i="8"/>
  <c r="E339" i="8" s="1"/>
  <c r="C46" i="8"/>
  <c r="E46" i="8" s="1"/>
  <c r="I233" i="21"/>
  <c r="C175" i="8"/>
  <c r="E175" i="8" s="1"/>
  <c r="C300" i="8"/>
  <c r="E300" i="8" s="1"/>
  <c r="C265" i="8"/>
  <c r="E265" i="8" s="1"/>
  <c r="O308" i="5"/>
  <c r="O112" i="5"/>
  <c r="O141" i="5" s="1"/>
  <c r="N112" i="5"/>
  <c r="N141" i="5" s="1"/>
  <c r="N339" i="5" s="1"/>
  <c r="N308" i="5"/>
  <c r="F303" i="22"/>
  <c r="I303" i="22" s="1"/>
  <c r="I302" i="21"/>
  <c r="F302" i="22"/>
  <c r="I302" i="22" s="1"/>
  <c r="I300" i="21"/>
  <c r="F49" i="22"/>
  <c r="I49" i="22" s="1"/>
  <c r="C51" i="8"/>
  <c r="E51" i="8" s="1"/>
  <c r="F301" i="22"/>
  <c r="I301" i="22" s="1"/>
  <c r="F54" i="22"/>
  <c r="I54" i="22" s="1"/>
  <c r="C227" i="8"/>
  <c r="E227" i="8" s="1"/>
  <c r="F328" i="22"/>
  <c r="I328" i="22" s="1"/>
  <c r="F34" i="22"/>
  <c r="I34" i="22" s="1"/>
  <c r="C354" i="8"/>
  <c r="E354" i="8" s="1"/>
  <c r="I49" i="21"/>
  <c r="C49" i="8"/>
  <c r="E49" i="8" s="1"/>
  <c r="X73" i="9"/>
  <c r="X74" i="9" s="1"/>
  <c r="C325" i="8"/>
  <c r="E325" i="8" s="1"/>
  <c r="F180" i="22"/>
  <c r="I180" i="22" s="1"/>
  <c r="E9" i="21"/>
  <c r="H9" i="21" s="1"/>
  <c r="C12" i="8" s="1"/>
  <c r="E12" i="8" s="1"/>
  <c r="F10" i="22"/>
  <c r="I10" i="22" s="1"/>
  <c r="I91" i="21"/>
  <c r="C92" i="8"/>
  <c r="E92" i="8" s="1"/>
  <c r="C353" i="8"/>
  <c r="E353" i="8" s="1"/>
  <c r="I136" i="21"/>
  <c r="C134" i="8"/>
  <c r="E134" i="8" s="1"/>
  <c r="C270" i="8"/>
  <c r="E270" i="8" s="1"/>
  <c r="I99" i="21"/>
  <c r="I124" i="21"/>
  <c r="I202" i="21"/>
  <c r="C100" i="8"/>
  <c r="E100" i="8" s="1"/>
  <c r="C157" i="8"/>
  <c r="E157" i="8" s="1"/>
  <c r="C68" i="8"/>
  <c r="E68" i="8" s="1"/>
  <c r="I250" i="21"/>
  <c r="I246" i="21"/>
  <c r="K300" i="5"/>
  <c r="K340" i="5" s="1"/>
  <c r="F287" i="22"/>
  <c r="I287" i="22" s="1"/>
  <c r="C345" i="8"/>
  <c r="E345" i="8" s="1"/>
  <c r="I128" i="21"/>
  <c r="C106" i="8"/>
  <c r="E106" i="8" s="1"/>
  <c r="C112" i="8"/>
  <c r="E112" i="8" s="1"/>
  <c r="C101" i="8"/>
  <c r="E101" i="8" s="1"/>
  <c r="C88" i="8"/>
  <c r="E88" i="8" s="1"/>
  <c r="I247" i="21"/>
  <c r="C203" i="8"/>
  <c r="E203" i="8" s="1"/>
  <c r="C164" i="8"/>
  <c r="E164" i="8" s="1"/>
  <c r="C128" i="8"/>
  <c r="E128" i="8" s="1"/>
  <c r="C344" i="8"/>
  <c r="E344" i="8" s="1"/>
  <c r="C217" i="8"/>
  <c r="E217" i="8" s="1"/>
  <c r="C33" i="8"/>
  <c r="E33" i="8" s="1"/>
  <c r="C317" i="8"/>
  <c r="E317" i="8" s="1"/>
  <c r="I297" i="21"/>
  <c r="C251" i="8"/>
  <c r="E251" i="8" s="1"/>
  <c r="C69" i="8"/>
  <c r="E69" i="8" s="1"/>
  <c r="C159" i="8"/>
  <c r="E159" i="8" s="1"/>
  <c r="F334" i="22"/>
  <c r="I334" i="22" s="1"/>
  <c r="C129" i="8"/>
  <c r="E129" i="8" s="1"/>
  <c r="I285" i="21"/>
  <c r="C132" i="8"/>
  <c r="E132" i="8" s="1"/>
  <c r="E309" i="8"/>
  <c r="C61" i="8"/>
  <c r="E61" i="8" s="1"/>
  <c r="I230" i="21"/>
  <c r="I225" i="21"/>
  <c r="I288" i="21"/>
  <c r="C310" i="8"/>
  <c r="E310" i="8" s="1"/>
  <c r="C362" i="8"/>
  <c r="E362" i="8" s="1"/>
  <c r="C357" i="8"/>
  <c r="E357" i="8" s="1"/>
  <c r="I229" i="21"/>
  <c r="I134" i="21"/>
  <c r="I147" i="21"/>
  <c r="I130" i="21"/>
  <c r="I228" i="21"/>
  <c r="C340" i="8"/>
  <c r="E340" i="8" s="1"/>
  <c r="C342" i="8"/>
  <c r="E342" i="8" s="1"/>
  <c r="C341" i="8"/>
  <c r="E341" i="8" s="1"/>
  <c r="I280" i="21"/>
  <c r="I191" i="21"/>
  <c r="C163" i="8"/>
  <c r="E163" i="8" s="1"/>
  <c r="C37" i="8"/>
  <c r="E37" i="8" s="1"/>
  <c r="I153" i="21"/>
  <c r="F19" i="22"/>
  <c r="I19" i="22" s="1"/>
  <c r="F197" i="27"/>
  <c r="I197" i="27" s="1"/>
  <c r="J197" i="27" s="1"/>
  <c r="F37" i="22"/>
  <c r="I37" i="22" s="1"/>
  <c r="I36" i="21"/>
  <c r="F28" i="22"/>
  <c r="I28" i="22" s="1"/>
  <c r="C333" i="8"/>
  <c r="E333" i="8" s="1"/>
  <c r="C35" i="8"/>
  <c r="E35" i="8" s="1"/>
  <c r="C343" i="8"/>
  <c r="E343" i="8" s="1"/>
  <c r="C111" i="8"/>
  <c r="E111" i="8" s="1"/>
  <c r="I356" i="21"/>
  <c r="C188" i="8"/>
  <c r="E188" i="8" s="1"/>
  <c r="I279" i="21"/>
  <c r="C284" i="8"/>
  <c r="E284" i="8" s="1"/>
  <c r="C314" i="8"/>
  <c r="E314" i="8" s="1"/>
  <c r="C221" i="8"/>
  <c r="E221" i="8" s="1"/>
  <c r="I152" i="21"/>
  <c r="C210" i="8"/>
  <c r="E210" i="8" s="1"/>
  <c r="C234" i="8"/>
  <c r="E234" i="8" s="1"/>
  <c r="C154" i="8"/>
  <c r="E154" i="8" s="1"/>
  <c r="I92" i="21"/>
  <c r="C149" i="8"/>
  <c r="E149" i="8" s="1"/>
  <c r="C123" i="8"/>
  <c r="E123" i="8" s="1"/>
  <c r="I358" i="21"/>
  <c r="C72" i="8"/>
  <c r="E72" i="8" s="1"/>
  <c r="C322" i="8"/>
  <c r="E322" i="8" s="1"/>
  <c r="I148" i="21"/>
  <c r="C115" i="8"/>
  <c r="E115" i="8" s="1"/>
  <c r="H331" i="5"/>
  <c r="E10" i="21"/>
  <c r="I10" i="21" s="1"/>
  <c r="F11" i="22"/>
  <c r="I11" i="22" s="1"/>
  <c r="AB73" i="9"/>
  <c r="AB74" i="9" s="1"/>
  <c r="S73" i="9"/>
  <c r="S74" i="9" s="1"/>
  <c r="K73" i="9"/>
  <c r="K74" i="9" s="1"/>
  <c r="I248" i="21"/>
  <c r="F167" i="22"/>
  <c r="I167" i="22" s="1"/>
  <c r="I222" i="21"/>
  <c r="B381" i="21"/>
  <c r="C151" i="8"/>
  <c r="E151" i="8" s="1"/>
  <c r="C263" i="8"/>
  <c r="E263" i="8" s="1"/>
  <c r="C332" i="8"/>
  <c r="E332" i="8" s="1"/>
  <c r="C246" i="8"/>
  <c r="E246" i="8" s="1"/>
  <c r="C124" i="8"/>
  <c r="E124" i="8" s="1"/>
  <c r="I234" i="21"/>
  <c r="B384" i="8"/>
  <c r="I12" i="21"/>
  <c r="I244" i="21"/>
  <c r="C32" i="8"/>
  <c r="E32" i="8" s="1"/>
  <c r="C261" i="8"/>
  <c r="E261" i="8" s="1"/>
  <c r="C41" i="8"/>
  <c r="E41" i="8" s="1"/>
  <c r="C348" i="8"/>
  <c r="E348" i="8" s="1"/>
  <c r="C256" i="8"/>
  <c r="E256" i="8" s="1"/>
  <c r="O307" i="5"/>
  <c r="N307" i="5"/>
  <c r="O306" i="5"/>
  <c r="K322" i="5"/>
  <c r="N306" i="5"/>
  <c r="C172" i="8"/>
  <c r="E172" i="8" s="1"/>
  <c r="I249" i="21"/>
  <c r="N14" i="6"/>
  <c r="E153" i="8"/>
  <c r="O20" i="6"/>
  <c r="I318" i="21"/>
  <c r="C296" i="8"/>
  <c r="E296" i="8" s="1"/>
  <c r="C178" i="8"/>
  <c r="E178" i="8" s="1"/>
  <c r="I25" i="21"/>
  <c r="C86" i="8"/>
  <c r="E86" i="8" s="1"/>
  <c r="C184" i="8"/>
  <c r="E184" i="8" s="1"/>
  <c r="I260" i="21"/>
  <c r="N20" i="6"/>
  <c r="J26" i="6"/>
  <c r="C293" i="8"/>
  <c r="E293" i="8" s="1"/>
  <c r="H34" i="7"/>
  <c r="C369" i="8" s="1"/>
  <c r="E369" i="8" s="1"/>
  <c r="C54" i="8"/>
  <c r="E54" i="8" s="1"/>
  <c r="I253" i="21"/>
  <c r="I150" i="21"/>
  <c r="J85" i="27"/>
  <c r="E72" i="9"/>
  <c r="E75" i="9" s="1"/>
  <c r="C29" i="8"/>
  <c r="E29" i="8" s="1"/>
  <c r="I55" i="21"/>
  <c r="I227" i="21"/>
  <c r="C95" i="8"/>
  <c r="E95" i="8" s="1"/>
  <c r="I167" i="21"/>
  <c r="I16" i="21"/>
  <c r="I240" i="21"/>
  <c r="O26" i="6"/>
  <c r="N26" i="6"/>
  <c r="N13" i="6"/>
  <c r="C139" i="8"/>
  <c r="E139" i="8" s="1"/>
  <c r="I319" i="21"/>
  <c r="C242" i="8"/>
  <c r="E242" i="8" s="1"/>
  <c r="I309" i="21"/>
  <c r="C312" i="8"/>
  <c r="O30" i="6"/>
  <c r="N30" i="6"/>
  <c r="J30" i="6"/>
  <c r="F196" i="27"/>
  <c r="I196" i="27" s="1"/>
  <c r="J196" i="27" s="1"/>
  <c r="C321" i="8"/>
  <c r="E321" i="8" s="1"/>
  <c r="C138" i="8"/>
  <c r="E138" i="8" s="1"/>
  <c r="I172" i="21"/>
  <c r="D75" i="28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H392" i="22"/>
  <c r="H1" i="22" s="1"/>
  <c r="C90" i="28"/>
  <c r="D90" i="28"/>
  <c r="C75" i="28"/>
  <c r="I345" i="21"/>
  <c r="K98" i="5"/>
  <c r="K338" i="5" s="1"/>
  <c r="F300" i="22"/>
  <c r="I300" i="22" s="1"/>
  <c r="C43" i="8"/>
  <c r="E43" i="8" s="1"/>
  <c r="F327" i="22"/>
  <c r="I327" i="22" s="1"/>
  <c r="E392" i="22"/>
  <c r="E1" i="22" s="1"/>
  <c r="M15" i="6"/>
  <c r="I37" i="21"/>
  <c r="C40" i="8"/>
  <c r="E40" i="8" s="1"/>
  <c r="H324" i="5"/>
  <c r="C20" i="28" s="1"/>
  <c r="D20" i="28" s="1"/>
  <c r="I342" i="5"/>
  <c r="J338" i="5"/>
  <c r="J342" i="5" s="1"/>
  <c r="C19" i="8"/>
  <c r="E19" i="8" s="1"/>
  <c r="I324" i="5"/>
  <c r="F197" i="22"/>
  <c r="I197" i="22" s="1"/>
  <c r="D13" i="4"/>
  <c r="F13" i="4" s="1"/>
  <c r="D39" i="9"/>
  <c r="D98" i="9"/>
  <c r="G22" i="7"/>
  <c r="G1" i="7" s="1"/>
  <c r="E9" i="11"/>
  <c r="F12" i="6" s="1"/>
  <c r="I13" i="7"/>
  <c r="H13" i="7"/>
  <c r="C364" i="8" s="1"/>
  <c r="E9" i="26"/>
  <c r="E307" i="15" l="1"/>
  <c r="H291" i="21"/>
  <c r="C294" i="8" s="1"/>
  <c r="E294" i="8" s="1"/>
  <c r="C11" i="7"/>
  <c r="F15" i="6"/>
  <c r="J12" i="6"/>
  <c r="O12" i="6"/>
  <c r="O15" i="6" s="1"/>
  <c r="B382" i="22"/>
  <c r="L9" i="26"/>
  <c r="L10" i="26" s="1"/>
  <c r="M6" i="26"/>
  <c r="M7" i="26" s="1"/>
  <c r="M9" i="26" s="1"/>
  <c r="E330" i="8"/>
  <c r="O9" i="5"/>
  <c r="O98" i="5" s="1"/>
  <c r="J324" i="5"/>
  <c r="D40" i="28" s="1"/>
  <c r="D44" i="28" s="1"/>
  <c r="D390" i="21"/>
  <c r="D1" i="21" s="1"/>
  <c r="N9" i="5"/>
  <c r="N98" i="5" s="1"/>
  <c r="N338" i="5" s="1"/>
  <c r="L324" i="5"/>
  <c r="C301" i="8"/>
  <c r="E301" i="8" s="1"/>
  <c r="I9" i="21"/>
  <c r="E312" i="8"/>
  <c r="C36" i="8"/>
  <c r="E36" i="8" s="1"/>
  <c r="D24" i="28"/>
  <c r="E305" i="8"/>
  <c r="N6" i="11"/>
  <c r="N7" i="11" s="1"/>
  <c r="M9" i="11"/>
  <c r="I360" i="21"/>
  <c r="C363" i="8"/>
  <c r="E363" i="8" s="1"/>
  <c r="N322" i="5"/>
  <c r="I327" i="21"/>
  <c r="E303" i="8"/>
  <c r="I298" i="21"/>
  <c r="I224" i="21"/>
  <c r="I301" i="21"/>
  <c r="E304" i="8"/>
  <c r="I48" i="21"/>
  <c r="I53" i="21"/>
  <c r="C56" i="8"/>
  <c r="E56" i="8" s="1"/>
  <c r="I179" i="21"/>
  <c r="C182" i="8"/>
  <c r="E182" i="8" s="1"/>
  <c r="F42" i="22"/>
  <c r="I42" i="22" s="1"/>
  <c r="F46" i="22"/>
  <c r="I46" i="22" s="1"/>
  <c r="O300" i="5"/>
  <c r="O322" i="5" s="1"/>
  <c r="C289" i="8"/>
  <c r="E289" i="8" s="1"/>
  <c r="I286" i="21"/>
  <c r="I314" i="21"/>
  <c r="I333" i="21"/>
  <c r="C336" i="8"/>
  <c r="E336" i="8" s="1"/>
  <c r="C39" i="8"/>
  <c r="E39" i="8" s="1"/>
  <c r="I18" i="21"/>
  <c r="C21" i="8"/>
  <c r="E21" i="8" s="1"/>
  <c r="I27" i="21"/>
  <c r="C30" i="8"/>
  <c r="E30" i="8" s="1"/>
  <c r="H10" i="21"/>
  <c r="C13" i="8" s="1"/>
  <c r="E13" i="8" s="1"/>
  <c r="C169" i="8"/>
  <c r="E169" i="8" s="1"/>
  <c r="I166" i="21"/>
  <c r="K342" i="5"/>
  <c r="E74" i="9"/>
  <c r="B382" i="21"/>
  <c r="B383" i="22"/>
  <c r="B385" i="8"/>
  <c r="N300" i="5"/>
  <c r="N340" i="5" s="1"/>
  <c r="L3" i="6"/>
  <c r="C20" i="8"/>
  <c r="E20" i="8" s="1"/>
  <c r="I17" i="21"/>
  <c r="I75" i="21"/>
  <c r="M3" i="6"/>
  <c r="C161" i="8"/>
  <c r="E161" i="8" s="1"/>
  <c r="I158" i="21"/>
  <c r="C3" i="8"/>
  <c r="C260" i="8"/>
  <c r="I257" i="21"/>
  <c r="K324" i="5"/>
  <c r="I299" i="21"/>
  <c r="E302" i="8"/>
  <c r="C257" i="8"/>
  <c r="E257" i="8" s="1"/>
  <c r="I254" i="21"/>
  <c r="C107" i="28"/>
  <c r="C111" i="28" s="1"/>
  <c r="C113" i="28" s="1"/>
  <c r="C6" i="28" s="1"/>
  <c r="C24" i="28"/>
  <c r="C46" i="28" s="1"/>
  <c r="C5" i="28" s="1"/>
  <c r="I326" i="21"/>
  <c r="C329" i="8"/>
  <c r="E329" i="8" s="1"/>
  <c r="I196" i="21"/>
  <c r="D76" i="9"/>
  <c r="BI39" i="9"/>
  <c r="E364" i="8"/>
  <c r="E308" i="15" l="1"/>
  <c r="E309" i="15" s="1"/>
  <c r="G233" i="15"/>
  <c r="G57" i="15"/>
  <c r="D271" i="22"/>
  <c r="I271" i="22" s="1"/>
  <c r="C270" i="21"/>
  <c r="J15" i="6"/>
  <c r="N12" i="6"/>
  <c r="N15" i="6" s="1"/>
  <c r="C22" i="7"/>
  <c r="C1" i="7" s="1"/>
  <c r="H11" i="7"/>
  <c r="H22" i="7" s="1"/>
  <c r="H1" i="7" s="1"/>
  <c r="H3" i="8" s="1"/>
  <c r="I11" i="7"/>
  <c r="D46" i="28"/>
  <c r="D8" i="28" s="1"/>
  <c r="G8" i="28" s="1"/>
  <c r="O3" i="6"/>
  <c r="B384" i="22"/>
  <c r="N9" i="11"/>
  <c r="O6" i="11"/>
  <c r="O7" i="11" s="1"/>
  <c r="B386" i="8"/>
  <c r="E390" i="21"/>
  <c r="E1" i="21" s="1"/>
  <c r="F392" i="22"/>
  <c r="F1" i="22" s="1"/>
  <c r="I41" i="21"/>
  <c r="C44" i="8"/>
  <c r="E44" i="8" s="1"/>
  <c r="C48" i="8"/>
  <c r="E48" i="8" s="1"/>
  <c r="I45" i="21"/>
  <c r="O324" i="5"/>
  <c r="C5" i="8"/>
  <c r="B383" i="21"/>
  <c r="E260" i="8"/>
  <c r="C4" i="8"/>
  <c r="N324" i="5"/>
  <c r="N342" i="5"/>
  <c r="D107" i="28"/>
  <c r="D111" i="28" s="1"/>
  <c r="D113" i="28" s="1"/>
  <c r="C199" i="8"/>
  <c r="E199" i="8" s="1"/>
  <c r="E310" i="15" l="1"/>
  <c r="G237" i="15"/>
  <c r="G77" i="15"/>
  <c r="I392" i="22"/>
  <c r="I1" i="22" s="1"/>
  <c r="D392" i="22"/>
  <c r="D1" i="22" s="1"/>
  <c r="H270" i="21"/>
  <c r="C273" i="8" s="1"/>
  <c r="E273" i="8" s="1"/>
  <c r="C390" i="21"/>
  <c r="C1" i="21" s="1"/>
  <c r="C209" i="8"/>
  <c r="E209" i="8" s="1"/>
  <c r="D9" i="28"/>
  <c r="G9" i="28" s="1"/>
  <c r="F46" i="28"/>
  <c r="O9" i="11"/>
  <c r="P6" i="11"/>
  <c r="P7" i="11" s="1"/>
  <c r="J3" i="6"/>
  <c r="N3" i="6"/>
  <c r="B385" i="22"/>
  <c r="B384" i="21"/>
  <c r="B387" i="8"/>
  <c r="E311" i="15" l="1"/>
  <c r="E312" i="15" s="1"/>
  <c r="E313" i="15" s="1"/>
  <c r="G91" i="15"/>
  <c r="H390" i="21"/>
  <c r="H1" i="21" s="1"/>
  <c r="H2" i="8" s="1"/>
  <c r="H5" i="8" s="1"/>
  <c r="E65" i="25"/>
  <c r="C394" i="8"/>
  <c r="C2" i="8"/>
  <c r="C6" i="8" s="1"/>
  <c r="P9" i="11"/>
  <c r="Q6" i="11"/>
  <c r="Q7" i="11" s="1"/>
  <c r="Q9" i="11" s="1"/>
  <c r="B388" i="8"/>
  <c r="B386" i="22"/>
  <c r="B385" i="21"/>
  <c r="E314" i="15" l="1"/>
  <c r="E315" i="15" s="1"/>
  <c r="E316" i="15" s="1"/>
  <c r="E317" i="15" s="1"/>
  <c r="E318" i="15" s="1"/>
  <c r="G293" i="15"/>
  <c r="E66" i="25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H6" i="8"/>
  <c r="B386" i="21"/>
  <c r="B387" i="22"/>
  <c r="B390" i="8"/>
  <c r="B389" i="8"/>
  <c r="E319" i="15" l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G116" i="15"/>
  <c r="B388" i="22"/>
  <c r="E850" i="1"/>
  <c r="E80" i="25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B387" i="21"/>
  <c r="B270" i="22"/>
  <c r="E334" i="15" l="1"/>
  <c r="E335" i="15" s="1"/>
  <c r="E336" i="15" s="1"/>
  <c r="G120" i="15"/>
  <c r="B91" i="22"/>
  <c r="E1634" i="2"/>
  <c r="D139" i="5"/>
  <c r="D306" i="5"/>
  <c r="E1302" i="2"/>
  <c r="E725" i="1"/>
  <c r="E771" i="1"/>
  <c r="E1582" i="2"/>
  <c r="E1842" i="2"/>
  <c r="E1434" i="2"/>
  <c r="E887" i="1"/>
  <c r="E729" i="1"/>
  <c r="E1428" i="2"/>
  <c r="E724" i="1"/>
  <c r="E1686" i="2"/>
  <c r="E1610" i="2"/>
  <c r="E1062" i="2"/>
  <c r="E1949" i="2"/>
  <c r="E1614" i="2"/>
  <c r="E2043" i="2"/>
  <c r="E1967" i="2"/>
  <c r="E1509" i="2"/>
  <c r="E1510" i="2"/>
  <c r="E1341" i="2"/>
  <c r="E2130" i="2"/>
  <c r="E1085" i="2"/>
  <c r="E2111" i="2"/>
  <c r="E2241" i="2"/>
  <c r="E1714" i="2"/>
  <c r="E1309" i="2"/>
  <c r="E1580" i="2"/>
  <c r="E800" i="1"/>
  <c r="E686" i="1"/>
  <c r="E951" i="1"/>
  <c r="E1449" i="2"/>
  <c r="E1988" i="2"/>
  <c r="D124" i="5"/>
  <c r="E1550" i="2"/>
  <c r="E2060" i="2"/>
  <c r="E1247" i="2"/>
  <c r="E714" i="1"/>
  <c r="E1200" i="2"/>
  <c r="E1548" i="2"/>
  <c r="E731" i="1"/>
  <c r="D315" i="5"/>
  <c r="E1669" i="2"/>
  <c r="D54" i="5"/>
  <c r="D112" i="5"/>
  <c r="E1921" i="2"/>
  <c r="E1936" i="2"/>
  <c r="E1445" i="2"/>
  <c r="E883" i="1"/>
  <c r="E2150" i="2"/>
  <c r="E1930" i="2"/>
  <c r="E782" i="1"/>
  <c r="E809" i="1"/>
  <c r="E927" i="1"/>
  <c r="E2014" i="2"/>
  <c r="E1826" i="2"/>
  <c r="E2217" i="2"/>
  <c r="E1379" i="2"/>
  <c r="E1852" i="2"/>
  <c r="E1660" i="2"/>
  <c r="E1115" i="2"/>
  <c r="E1286" i="2"/>
  <c r="E1576" i="2"/>
  <c r="E1091" i="2"/>
  <c r="E1180" i="2"/>
  <c r="E838" i="1"/>
  <c r="E1385" i="2"/>
  <c r="E1137" i="2"/>
  <c r="E1402" i="2"/>
  <c r="E1652" i="2"/>
  <c r="E1817" i="2"/>
  <c r="E1627" i="2"/>
  <c r="E1869" i="2"/>
  <c r="E1900" i="2"/>
  <c r="E1275" i="2"/>
  <c r="E1858" i="2"/>
  <c r="E1574" i="2"/>
  <c r="E1276" i="2"/>
  <c r="E1412" i="2"/>
  <c r="E1452" i="2"/>
  <c r="E1589" i="2"/>
  <c r="E1277" i="2"/>
  <c r="E1217" i="2"/>
  <c r="E1607" i="2"/>
  <c r="E701" i="1"/>
  <c r="E1777" i="2"/>
  <c r="E1605" i="2"/>
  <c r="E2237" i="2"/>
  <c r="E2224" i="2"/>
  <c r="E2002" i="2"/>
  <c r="E1406" i="2"/>
  <c r="E2187" i="2"/>
  <c r="E1262" i="2"/>
  <c r="E1765" i="2"/>
  <c r="D116" i="5"/>
  <c r="E946" i="1"/>
  <c r="E1544" i="2"/>
  <c r="E1121" i="2"/>
  <c r="E1711" i="2"/>
  <c r="E1376" i="2"/>
  <c r="E1886" i="2"/>
  <c r="E2212" i="2"/>
  <c r="E794" i="1"/>
  <c r="E1819" i="2"/>
  <c r="E1069" i="2"/>
  <c r="E1872" i="2"/>
  <c r="E1791" i="2"/>
  <c r="E1532" i="2"/>
  <c r="E1812" i="2"/>
  <c r="E1336" i="2"/>
  <c r="E2169" i="2"/>
  <c r="E1618" i="2"/>
  <c r="E2149" i="2"/>
  <c r="E1252" i="2"/>
  <c r="E1080" i="2"/>
  <c r="E787" i="1"/>
  <c r="E1622" i="2"/>
  <c r="E2136" i="2"/>
  <c r="E1671" i="2"/>
  <c r="E1456" i="2"/>
  <c r="E830" i="1"/>
  <c r="E754" i="1"/>
  <c r="E901" i="1"/>
  <c r="D118" i="5"/>
  <c r="E1626" i="2"/>
  <c r="E802" i="1"/>
  <c r="E1674" i="2"/>
  <c r="E1638" i="2"/>
  <c r="E2051" i="2"/>
  <c r="E1566" i="2"/>
  <c r="E2064" i="2"/>
  <c r="E1646" i="2"/>
  <c r="E1202" i="2"/>
  <c r="E761" i="1"/>
  <c r="E1570" i="2"/>
  <c r="E865" i="1"/>
  <c r="E1523" i="2"/>
  <c r="E718" i="1"/>
  <c r="E1738" i="2"/>
  <c r="E1378" i="2"/>
  <c r="E2114" i="2"/>
  <c r="E1961" i="2"/>
  <c r="D32" i="5"/>
  <c r="E1365" i="2"/>
  <c r="E1554" i="2"/>
  <c r="E2100" i="2"/>
  <c r="E1526" i="2"/>
  <c r="E796" i="1"/>
  <c r="E1375" i="2"/>
  <c r="E1440" i="2"/>
  <c r="D132" i="5"/>
  <c r="E1413" i="2"/>
  <c r="E896" i="1"/>
  <c r="E1958" i="2"/>
  <c r="E1919" i="2"/>
  <c r="E2233" i="2"/>
  <c r="E1543" i="2"/>
  <c r="E1933" i="2"/>
  <c r="E784" i="1"/>
  <c r="E1305" i="2"/>
  <c r="E1547" i="2"/>
  <c r="E1469" i="2"/>
  <c r="E1673" i="2"/>
  <c r="E2243" i="2"/>
  <c r="E1323" i="2"/>
  <c r="E2019" i="2"/>
  <c r="E710" i="1"/>
  <c r="E768" i="1"/>
  <c r="E930" i="1"/>
  <c r="E1398" i="2"/>
  <c r="E763" i="1"/>
  <c r="E1470" i="2"/>
  <c r="E928" i="1"/>
  <c r="E1536" i="2"/>
  <c r="D46" i="5"/>
  <c r="E873" i="1"/>
  <c r="E1525" i="2"/>
  <c r="E1315" i="2"/>
  <c r="E2033" i="2"/>
  <c r="E1100" i="2"/>
  <c r="E2151" i="2"/>
  <c r="E2222" i="2"/>
  <c r="E1185" i="2"/>
  <c r="E858" i="1"/>
  <c r="E1847" i="2"/>
  <c r="D311" i="5"/>
  <c r="E1446" i="2"/>
  <c r="E1586" i="2"/>
  <c r="E742" i="1"/>
  <c r="E1969" i="2"/>
  <c r="E1800" i="2"/>
  <c r="E1849" i="2"/>
  <c r="E2091" i="2"/>
  <c r="E2003" i="2"/>
  <c r="E1611" i="2"/>
  <c r="E728" i="1"/>
  <c r="E1648" i="2"/>
  <c r="E713" i="1"/>
  <c r="E1915" i="2"/>
  <c r="E1668" i="2"/>
  <c r="E1835" i="2"/>
  <c r="E2206" i="2"/>
  <c r="E1641" i="2"/>
  <c r="E1183" i="2"/>
  <c r="E1516" i="2"/>
  <c r="D307" i="5"/>
  <c r="E1731" i="2"/>
  <c r="E1927" i="2"/>
  <c r="E1724" i="2"/>
  <c r="E1109" i="2"/>
  <c r="E1182" i="2"/>
  <c r="E1810" i="2"/>
  <c r="E1090" i="2"/>
  <c r="E801" i="1"/>
  <c r="E1601" i="2"/>
  <c r="E1359" i="2"/>
  <c r="E1599" i="2"/>
  <c r="E1281" i="2"/>
  <c r="E1787" i="2"/>
  <c r="E1989" i="2"/>
  <c r="E2153" i="2"/>
  <c r="E1511" i="2"/>
  <c r="E868" i="1"/>
  <c r="E834" i="1"/>
  <c r="E906" i="1"/>
  <c r="E911" i="1"/>
  <c r="D316" i="5"/>
  <c r="E2244" i="2"/>
  <c r="D42" i="5"/>
  <c r="E1792" i="2"/>
  <c r="E1479" i="2"/>
  <c r="E2147" i="2"/>
  <c r="D53" i="5"/>
  <c r="E1977" i="2"/>
  <c r="E2042" i="2"/>
  <c r="E1882" i="2"/>
  <c r="E1830" i="2"/>
  <c r="E1700" i="2"/>
  <c r="E1304" i="2"/>
  <c r="E720" i="1"/>
  <c r="E1361" i="2"/>
  <c r="E899" i="1"/>
  <c r="E1772" i="2"/>
  <c r="E1662" i="2"/>
  <c r="E2057" i="2"/>
  <c r="E1621" i="2"/>
  <c r="E1534" i="2"/>
  <c r="E2166" i="2"/>
  <c r="E1943" i="2"/>
  <c r="E2201" i="2"/>
  <c r="E1564" i="2"/>
  <c r="E778" i="1"/>
  <c r="E1221" i="2"/>
  <c r="E2249" i="2"/>
  <c r="E2181" i="2"/>
  <c r="E1615" i="2"/>
  <c r="E1831" i="2"/>
  <c r="E1063" i="2"/>
  <c r="E1795" i="2"/>
  <c r="E1962" i="2"/>
  <c r="E881" i="1"/>
  <c r="E1432" i="2"/>
  <c r="E2006" i="2"/>
  <c r="E1512" i="2"/>
  <c r="E1303" i="2"/>
  <c r="E1680" i="2"/>
  <c r="E1624" i="2"/>
  <c r="E1997" i="2"/>
  <c r="E1968" i="2"/>
  <c r="E756" i="1"/>
  <c r="E1503" i="2"/>
  <c r="E1690" i="2"/>
  <c r="E1593" i="2"/>
  <c r="E1431" i="2"/>
  <c r="E1476" i="2"/>
  <c r="E1288" i="2"/>
  <c r="E1628" i="2"/>
  <c r="E1057" i="2"/>
  <c r="E2071" i="2"/>
  <c r="E1879" i="2"/>
  <c r="E2075" i="2"/>
  <c r="E2230" i="2"/>
  <c r="E1084" i="2"/>
  <c r="E2124" i="2"/>
  <c r="E1166" i="2"/>
  <c r="E1843" i="2"/>
  <c r="E1725" i="2"/>
  <c r="E2208" i="2"/>
  <c r="D57" i="5"/>
  <c r="E2063" i="2"/>
  <c r="E1299" i="2"/>
  <c r="E2004" i="2"/>
  <c r="E1451" i="2"/>
  <c r="E2144" i="2"/>
  <c r="D121" i="5"/>
  <c r="E1253" i="2"/>
  <c r="E1093" i="2"/>
  <c r="E1955" i="2"/>
  <c r="E1672" i="2"/>
  <c r="E2218" i="2"/>
  <c r="E1937" i="2"/>
  <c r="E2227" i="2"/>
  <c r="E1726" i="2"/>
  <c r="E737" i="1"/>
  <c r="E1417" i="2"/>
  <c r="E870" i="1"/>
  <c r="E931" i="1"/>
  <c r="E788" i="1"/>
  <c r="E2163" i="2"/>
  <c r="E2109" i="2"/>
  <c r="E1980" i="2"/>
  <c r="E1082" i="2"/>
  <c r="E1436" i="2"/>
  <c r="E2228" i="2"/>
  <c r="E1723" i="2"/>
  <c r="E2118" i="2"/>
  <c r="E860" i="1"/>
  <c r="E1584" i="2"/>
  <c r="E1249" i="2"/>
  <c r="E1453" i="2"/>
  <c r="E1598" i="2"/>
  <c r="E1257" i="2"/>
  <c r="E1410" i="2"/>
  <c r="E1881" i="2"/>
  <c r="E1717" i="2"/>
  <c r="E1667" i="2"/>
  <c r="E1155" i="2"/>
  <c r="E2039" i="2"/>
  <c r="E1430" i="2"/>
  <c r="E889" i="1"/>
  <c r="E854" i="1"/>
  <c r="E1553" i="2"/>
  <c r="E1562" i="2"/>
  <c r="E1368" i="2"/>
  <c r="E1117" i="2"/>
  <c r="E1450" i="2"/>
  <c r="E1862" i="2"/>
  <c r="E1763" i="2"/>
  <c r="E2191" i="2"/>
  <c r="E1692" i="2"/>
  <c r="E2205" i="2"/>
  <c r="E2134" i="2"/>
  <c r="E2012" i="2"/>
  <c r="E1330" i="2"/>
  <c r="E1908" i="2"/>
  <c r="D40" i="5"/>
  <c r="E2009" i="2"/>
  <c r="E1337" i="2"/>
  <c r="E1876" i="2"/>
  <c r="E2028" i="2"/>
  <c r="E2195" i="2"/>
  <c r="E1515" i="2"/>
  <c r="E767" i="1"/>
  <c r="E775" i="1"/>
  <c r="E1319" i="2"/>
  <c r="E1896" i="2"/>
  <c r="E1695" i="2"/>
  <c r="E1113" i="2"/>
  <c r="E1308" i="2"/>
  <c r="E2131" i="2"/>
  <c r="E697" i="1"/>
  <c r="E912" i="1"/>
  <c r="E1060" i="2"/>
  <c r="E1816" i="2"/>
  <c r="E1616" i="2"/>
  <c r="E1224" i="2"/>
  <c r="E711" i="1"/>
  <c r="D119" i="5"/>
  <c r="E1939" i="2"/>
  <c r="E1565" i="2"/>
  <c r="E2050" i="2"/>
  <c r="E1645" i="2"/>
  <c r="E1213" i="2"/>
  <c r="E780" i="1"/>
  <c r="E1517" i="2"/>
  <c r="E1507" i="2"/>
  <c r="E877" i="1"/>
  <c r="E1271" i="2"/>
  <c r="E706" i="1"/>
  <c r="E2093" i="2"/>
  <c r="E1935" i="2"/>
  <c r="E827" i="1"/>
  <c r="E1118" i="2"/>
  <c r="E1268" i="2"/>
  <c r="E879" i="1"/>
  <c r="E750" i="1"/>
  <c r="E1266" i="2"/>
  <c r="E1776" i="2"/>
  <c r="E1965" i="2"/>
  <c r="D297" i="5"/>
  <c r="E2142" i="2"/>
  <c r="E1190" i="2"/>
  <c r="D122" i="5"/>
  <c r="E1751" i="2"/>
  <c r="E1338" i="2"/>
  <c r="E2202" i="2"/>
  <c r="E933" i="1"/>
  <c r="E1322" i="2"/>
  <c r="E1147" i="2"/>
  <c r="E1625" i="2"/>
  <c r="E1153" i="2"/>
  <c r="E2070" i="2"/>
  <c r="E2074" i="2"/>
  <c r="E1170" i="2"/>
  <c r="E1493" i="2"/>
  <c r="E853" i="1"/>
  <c r="E1426" i="2"/>
  <c r="E1636" i="2"/>
  <c r="E2072" i="2"/>
  <c r="E1366" i="2"/>
  <c r="E1320" i="2"/>
  <c r="E1868" i="2"/>
  <c r="E1171" i="2"/>
  <c r="E1841" i="2"/>
  <c r="E2152" i="2"/>
  <c r="E1161" i="2"/>
  <c r="E2234" i="2"/>
  <c r="E1533" i="2"/>
  <c r="E1210" i="2"/>
  <c r="E689" i="1"/>
  <c r="E1354" i="2"/>
  <c r="E848" i="1"/>
  <c r="E1120" i="2"/>
  <c r="E1495" i="2"/>
  <c r="E1482" i="2"/>
  <c r="E1960" i="2"/>
  <c r="E1454" i="2"/>
  <c r="E891" i="1"/>
  <c r="E1437" i="2"/>
  <c r="E2085" i="2"/>
  <c r="E1865" i="2"/>
  <c r="E1423" i="2"/>
  <c r="E1140" i="2"/>
  <c r="E1468" i="2"/>
  <c r="E1285" i="2"/>
  <c r="E1821" i="2"/>
  <c r="E1629" i="2"/>
  <c r="E1066" i="2"/>
  <c r="E1992" i="2"/>
  <c r="E1735" i="2"/>
  <c r="E2207" i="2"/>
  <c r="E2015" i="2"/>
  <c r="E1875" i="2"/>
  <c r="E1698" i="2"/>
  <c r="E1837" i="2"/>
  <c r="E1291" i="2"/>
  <c r="E1922" i="2"/>
  <c r="E1160" i="2"/>
  <c r="E2242" i="2"/>
  <c r="E1500" i="2"/>
  <c r="E1620" i="2"/>
  <c r="E2103" i="2"/>
  <c r="E1822" i="2"/>
  <c r="E2032" i="2"/>
  <c r="E1179" i="2"/>
  <c r="E806" i="1"/>
  <c r="E1755" i="2"/>
  <c r="E1808" i="2"/>
  <c r="E2168" i="2"/>
  <c r="E1106" i="2"/>
  <c r="E882" i="1"/>
  <c r="E1204" i="2"/>
  <c r="E1520" i="2"/>
  <c r="E1901" i="2"/>
  <c r="E1630" i="2"/>
  <c r="E2044" i="2"/>
  <c r="E828" i="1"/>
  <c r="E2031" i="2"/>
  <c r="E1360" i="2"/>
  <c r="E1380" i="2"/>
  <c r="E1295" i="2"/>
  <c r="E1659" i="2"/>
  <c r="E789" i="1"/>
  <c r="E1328" i="2"/>
  <c r="E908" i="1"/>
  <c r="D47" i="5"/>
  <c r="E935" i="1"/>
  <c r="E2236" i="2"/>
  <c r="E1838" i="2"/>
  <c r="E2029" i="2"/>
  <c r="E1632" i="2"/>
  <c r="E1911" i="2"/>
  <c r="E2184" i="2"/>
  <c r="E859" i="1"/>
  <c r="E1098" i="2"/>
  <c r="E1435" i="2"/>
  <c r="E1169" i="2"/>
  <c r="E821" i="1"/>
  <c r="E1917" i="2"/>
  <c r="E851" i="1"/>
  <c r="E1887" i="2"/>
  <c r="E1318" i="2"/>
  <c r="E1973" i="2"/>
  <c r="E2022" i="2"/>
  <c r="E1195" i="2"/>
  <c r="E2221" i="2"/>
  <c r="E1571" i="2"/>
  <c r="D45" i="5"/>
  <c r="E1280" i="2"/>
  <c r="E1229" i="2"/>
  <c r="E1420" i="2"/>
  <c r="E2225" i="2"/>
  <c r="E1784" i="2"/>
  <c r="D109" i="5"/>
  <c r="E2101" i="2"/>
  <c r="E2076" i="2"/>
  <c r="E1086" i="2"/>
  <c r="E1859" i="2"/>
  <c r="E1970" i="2"/>
  <c r="E1689" i="2"/>
  <c r="E1158" i="2"/>
  <c r="E2148" i="2"/>
  <c r="E907" i="1"/>
  <c r="E738" i="1"/>
  <c r="E1924" i="2"/>
  <c r="E1490" i="2"/>
  <c r="E1678" i="2"/>
  <c r="E1250" i="2"/>
  <c r="E700" i="1"/>
  <c r="E1748" i="2"/>
  <c r="E1666" i="2"/>
  <c r="E1076" i="2"/>
  <c r="D34" i="5"/>
  <c r="E739" i="1"/>
  <c r="E1603" i="2"/>
  <c r="E1159" i="2"/>
  <c r="E1103" i="2"/>
  <c r="E2068" i="2"/>
  <c r="E1110" i="2"/>
  <c r="E915" i="1"/>
  <c r="E1212" i="2"/>
  <c r="E687" i="1"/>
  <c r="E1572" i="2"/>
  <c r="E2052" i="2"/>
  <c r="E2214" i="2"/>
  <c r="E1095" i="2"/>
  <c r="E1311" i="2"/>
  <c r="E1706" i="2"/>
  <c r="E1184" i="2"/>
  <c r="E1874" i="2"/>
  <c r="D117" i="5"/>
  <c r="E1910" i="2"/>
  <c r="E920" i="1"/>
  <c r="E1239" i="2"/>
  <c r="E1760" i="2"/>
  <c r="E1658" i="2"/>
  <c r="E1807" i="2"/>
  <c r="E1135" i="2"/>
  <c r="E1654" i="2"/>
  <c r="E1414" i="2"/>
  <c r="E839" i="1"/>
  <c r="E1514" i="2"/>
  <c r="E823" i="1"/>
  <c r="E1701" i="2"/>
  <c r="E1687" i="2"/>
  <c r="E2046" i="2"/>
  <c r="E1433" i="2"/>
  <c r="E1230" i="2"/>
  <c r="E1719" i="2"/>
  <c r="E1759" i="2"/>
  <c r="E1811" i="2"/>
  <c r="E1884" i="2"/>
  <c r="E1494" i="2"/>
  <c r="E1464" i="2"/>
  <c r="E1592" i="2"/>
  <c r="E1581" i="2"/>
  <c r="E1269" i="2"/>
  <c r="E1401" i="2"/>
  <c r="E1265" i="2"/>
  <c r="E1226" i="2"/>
  <c r="E1502" i="2"/>
  <c r="E1839" i="2"/>
  <c r="E1358" i="2"/>
  <c r="E1888" i="2"/>
  <c r="E1785" i="2"/>
  <c r="E1104" i="2"/>
  <c r="E1769" i="2"/>
  <c r="E2055" i="2"/>
  <c r="E950" i="1"/>
  <c r="E1596" i="2"/>
  <c r="E1101" i="2"/>
  <c r="E1197" i="2"/>
  <c r="E2127" i="2"/>
  <c r="E1891" i="2"/>
  <c r="E2216" i="2"/>
  <c r="E2036" i="2"/>
  <c r="E1387" i="2"/>
  <c r="E1324" i="2"/>
  <c r="E1938" i="2"/>
  <c r="E1909" i="2"/>
  <c r="E2123" i="2"/>
  <c r="D113" i="5"/>
  <c r="E1786" i="2"/>
  <c r="E2116" i="2"/>
  <c r="E793" i="1"/>
  <c r="E1683" i="2"/>
  <c r="E898" i="1"/>
  <c r="E1260" i="2"/>
  <c r="D312" i="5"/>
  <c r="E925" i="1"/>
  <c r="E1102" i="2"/>
  <c r="E2007" i="2"/>
  <c r="E1728" i="2"/>
  <c r="E2190" i="2"/>
  <c r="E2231" i="2"/>
  <c r="E1883" i="2"/>
  <c r="E1661" i="2"/>
  <c r="E1978" i="2"/>
  <c r="E1608" i="2"/>
  <c r="E903" i="1"/>
  <c r="E1499" i="2"/>
  <c r="D48" i="5"/>
  <c r="D50" i="5"/>
  <c r="E1077" i="2"/>
  <c r="E1399" i="2"/>
  <c r="E1780" i="2"/>
  <c r="E1092" i="2"/>
  <c r="E1704" i="2"/>
  <c r="E2145" i="2"/>
  <c r="E2146" i="2"/>
  <c r="E1982" i="2"/>
  <c r="E1524" i="2"/>
  <c r="E1297" i="2"/>
  <c r="E1300" i="2"/>
  <c r="E1234" i="2"/>
  <c r="E902" i="1"/>
  <c r="E909" i="1"/>
  <c r="E1971" i="2"/>
  <c r="E852" i="1"/>
  <c r="E1697" i="2"/>
  <c r="E1371" i="2"/>
  <c r="E1956" i="2"/>
  <c r="E1764" i="2"/>
  <c r="E1390" i="2"/>
  <c r="E1708" i="2"/>
  <c r="E2025" i="2"/>
  <c r="E1173" i="2"/>
  <c r="E846" i="1"/>
  <c r="D131" i="5"/>
  <c r="E1355" i="2"/>
  <c r="E1713" i="2"/>
  <c r="E1112" i="2"/>
  <c r="E1732" i="2"/>
  <c r="E1999" i="2"/>
  <c r="E1754" i="2"/>
  <c r="E1342" i="2"/>
  <c r="E1348" i="2"/>
  <c r="E1392" i="2"/>
  <c r="E693" i="1"/>
  <c r="E1597" i="2"/>
  <c r="E1814" i="2"/>
  <c r="E1340" i="2"/>
  <c r="E2110" i="2"/>
  <c r="E1344" i="2"/>
  <c r="E1527" i="2"/>
  <c r="E2000" i="2"/>
  <c r="E1663" i="2"/>
  <c r="E1072" i="2"/>
  <c r="E1074" i="2"/>
  <c r="E1403" i="2"/>
  <c r="E1083" i="2"/>
  <c r="E2053" i="2"/>
  <c r="E1089" i="2"/>
  <c r="E1912" i="2"/>
  <c r="E1720" i="2"/>
  <c r="E702" i="1"/>
  <c r="D51" i="5"/>
  <c r="E1737" i="2"/>
  <c r="E1263" i="2"/>
  <c r="E1745" i="2"/>
  <c r="E1707" i="2"/>
  <c r="E934" i="1"/>
  <c r="E1424" i="2"/>
  <c r="E1223" i="2"/>
  <c r="D320" i="5"/>
  <c r="E1317" i="2"/>
  <c r="E2183" i="2"/>
  <c r="E1559" i="2"/>
  <c r="E1096" i="2"/>
  <c r="E1781" i="2"/>
  <c r="E2062" i="2"/>
  <c r="E1590" i="2"/>
  <c r="E2235" i="2"/>
  <c r="E1329" i="2"/>
  <c r="E1644" i="2"/>
  <c r="E1480" i="2"/>
  <c r="E1981" i="2"/>
  <c r="E1985" i="2"/>
  <c r="E690" i="1"/>
  <c r="E1175" i="2"/>
  <c r="E1240" i="2"/>
  <c r="E1290" i="2"/>
  <c r="E1907" i="2"/>
  <c r="E1504" i="2"/>
  <c r="E1065" i="2"/>
  <c r="E888" i="1"/>
  <c r="E1857" i="2"/>
  <c r="E1347" i="2"/>
  <c r="E2178" i="2"/>
  <c r="E1463" i="2"/>
  <c r="E2067" i="2"/>
  <c r="E760" i="1"/>
  <c r="E1685" i="2"/>
  <c r="D36" i="5"/>
  <c r="E1273" i="2"/>
  <c r="E2182" i="2"/>
  <c r="E1929" i="2"/>
  <c r="D39" i="5"/>
  <c r="E1845" i="2"/>
  <c r="E1321" i="2"/>
  <c r="E1825" i="2"/>
  <c r="E1157" i="2"/>
  <c r="E1899" i="2"/>
  <c r="E1088" i="2"/>
  <c r="E1578" i="2"/>
  <c r="E1287" i="2"/>
  <c r="D130" i="5"/>
  <c r="E1461" i="2"/>
  <c r="E2098" i="2"/>
  <c r="E1761" i="2"/>
  <c r="E2106" i="2"/>
  <c r="E1163" i="2"/>
  <c r="E1778" i="2"/>
  <c r="E749" i="1"/>
  <c r="E1108" i="2"/>
  <c r="E1851" i="2"/>
  <c r="E2089" i="2"/>
  <c r="E1923" i="2"/>
  <c r="E1575" i="2"/>
  <c r="E1362" i="2"/>
  <c r="E1232" i="2"/>
  <c r="E1235" i="2"/>
  <c r="E822" i="1"/>
  <c r="E1107" i="2"/>
  <c r="E1567" i="2"/>
  <c r="E1893" i="2"/>
  <c r="E2024" i="2"/>
  <c r="E1903" i="2"/>
  <c r="E1176" i="2"/>
  <c r="E1203" i="2"/>
  <c r="E1577" i="2"/>
  <c r="E1394" i="2"/>
  <c r="E1950" i="2"/>
  <c r="E1111" i="2"/>
  <c r="E2165" i="2"/>
  <c r="E2095" i="2"/>
  <c r="E1788" i="2"/>
  <c r="E1889" i="2"/>
  <c r="E1222" i="2"/>
  <c r="E1383" i="2"/>
  <c r="E1640" i="2"/>
  <c r="E2246" i="2"/>
  <c r="D309" i="5"/>
  <c r="E2065" i="2"/>
  <c r="E1679" i="2"/>
  <c r="E1766" i="2"/>
  <c r="E816" i="1"/>
  <c r="E2215" i="2"/>
  <c r="E2058" i="2"/>
  <c r="E1307" i="2"/>
  <c r="E1381" i="2"/>
  <c r="E2139" i="2"/>
  <c r="E1688" i="2"/>
  <c r="E1310" i="2"/>
  <c r="E936" i="1"/>
  <c r="E712" i="1"/>
  <c r="E1491" i="2"/>
  <c r="E1855" i="2"/>
  <c r="E1327" i="2"/>
  <c r="E2078" i="2"/>
  <c r="E1604" i="2"/>
  <c r="E1854" i="2"/>
  <c r="E1094" i="2"/>
  <c r="E1443" i="2"/>
  <c r="E1916" i="2"/>
  <c r="E1840" i="2"/>
  <c r="E1225" i="2"/>
  <c r="E1492" i="2"/>
  <c r="E829" i="1"/>
  <c r="E1561" i="2"/>
  <c r="D129" i="5"/>
  <c r="E893" i="1"/>
  <c r="E1199" i="2"/>
  <c r="E2008" i="2"/>
  <c r="E1486" i="2"/>
  <c r="E1983" i="2"/>
  <c r="E2177" i="2"/>
  <c r="E1771" i="2"/>
  <c r="E1444" i="2"/>
  <c r="E1425" i="2"/>
  <c r="E1897" i="2"/>
  <c r="E863" i="1"/>
  <c r="E803" i="1"/>
  <c r="E862" i="1"/>
  <c r="E924" i="1"/>
  <c r="E825" i="1"/>
  <c r="E932" i="1"/>
  <c r="E2176" i="2"/>
  <c r="E2059" i="2"/>
  <c r="E2160" i="2"/>
  <c r="E1455" i="2"/>
  <c r="E1873" i="2"/>
  <c r="E1806" i="2"/>
  <c r="E1945" i="2"/>
  <c r="E1682" i="2"/>
  <c r="E1583" i="2"/>
  <c r="E776" i="1"/>
  <c r="E861" i="1"/>
  <c r="E1298" i="2"/>
  <c r="E1914" i="2"/>
  <c r="E1722" i="2"/>
  <c r="E2125" i="2"/>
  <c r="E1097" i="2"/>
  <c r="E1279" i="2"/>
  <c r="E2238" i="2"/>
  <c r="E1600" i="2"/>
  <c r="E1427" i="2"/>
  <c r="E1404" i="2"/>
  <c r="E799" i="1"/>
  <c r="E1397" i="2"/>
  <c r="E1472" i="2"/>
  <c r="E1209" i="2"/>
  <c r="E1293" i="2"/>
  <c r="E1545" i="2"/>
  <c r="E1442" i="2"/>
  <c r="E1448" i="2"/>
  <c r="E1736" i="2"/>
  <c r="E1727" i="2"/>
  <c r="E1647" i="2"/>
  <c r="E2119" i="2"/>
  <c r="E2027" i="2"/>
  <c r="E1790" i="2"/>
  <c r="E1941" i="2"/>
  <c r="E758" i="1"/>
  <c r="E2090" i="2"/>
  <c r="D38" i="5"/>
  <c r="E1256" i="2"/>
  <c r="E1718" i="2"/>
  <c r="E1740" i="2"/>
  <c r="E705" i="1"/>
  <c r="E2115" i="2"/>
  <c r="E1957" i="2"/>
  <c r="E2128" i="2"/>
  <c r="E1940" i="2"/>
  <c r="E886" i="1"/>
  <c r="E785" i="1"/>
  <c r="E1244" i="2"/>
  <c r="E1459" i="2"/>
  <c r="E2073" i="2"/>
  <c r="E2017" i="2"/>
  <c r="E1946" i="2"/>
  <c r="E2092" i="2"/>
  <c r="E2155" i="2"/>
  <c r="E1356" i="2"/>
  <c r="D120" i="5"/>
  <c r="E856" i="1"/>
  <c r="E1215" i="2"/>
  <c r="E884" i="1"/>
  <c r="E1462" i="2"/>
  <c r="E1059" i="2"/>
  <c r="E1836" i="2"/>
  <c r="E1861" i="2"/>
  <c r="E1691" i="2"/>
  <c r="E1702" i="2"/>
  <c r="E1635" i="2"/>
  <c r="E1116" i="2"/>
  <c r="E755" i="1"/>
  <c r="E1278" i="2"/>
  <c r="E1513" i="2"/>
  <c r="E1823" i="2"/>
  <c r="E1487" i="2"/>
  <c r="E2211" i="2"/>
  <c r="E866" i="1"/>
  <c r="E818" i="1"/>
  <c r="E1477" i="2"/>
  <c r="E1075" i="2"/>
  <c r="E1150" i="2"/>
  <c r="E1334" i="2"/>
  <c r="E2213" i="2"/>
  <c r="E1070" i="2"/>
  <c r="E2174" i="2"/>
  <c r="E2240" i="2"/>
  <c r="E1363" i="2"/>
  <c r="E921" i="1"/>
  <c r="E2105" i="2"/>
  <c r="E1606" i="2"/>
  <c r="E1734" i="2"/>
  <c r="E1497" i="2"/>
  <c r="E804" i="1"/>
  <c r="E1418" i="2"/>
  <c r="E2229" i="2"/>
  <c r="E1637" i="2"/>
  <c r="E1794" i="2"/>
  <c r="E2157" i="2"/>
  <c r="E770" i="1"/>
  <c r="E1367" i="2"/>
  <c r="E1474" i="2"/>
  <c r="E1267" i="2"/>
  <c r="E2175" i="2"/>
  <c r="E1242" i="2"/>
  <c r="E1312" i="2"/>
  <c r="E1531" i="2"/>
  <c r="E1211" i="2"/>
  <c r="E1954" i="2"/>
  <c r="E1219" i="2"/>
  <c r="E2138" i="2"/>
  <c r="E1264" i="2"/>
  <c r="E847" i="1"/>
  <c r="E1549" i="2"/>
  <c r="E715" i="1"/>
  <c r="E1801" i="2"/>
  <c r="E2094" i="2"/>
  <c r="E2047" i="2"/>
  <c r="E1546" i="2"/>
  <c r="E2096" i="2"/>
  <c r="E1228" i="2"/>
  <c r="E815" i="1"/>
  <c r="E1405" i="2"/>
  <c r="E1296" i="2"/>
  <c r="E1541" i="2"/>
  <c r="D49" i="5"/>
  <c r="E2185" i="2"/>
  <c r="E1142" i="2"/>
  <c r="E1866" i="2"/>
  <c r="E1773" i="2"/>
  <c r="E1245" i="2"/>
  <c r="E1617" i="2"/>
  <c r="E1172" i="2"/>
  <c r="E1976" i="2"/>
  <c r="E1895" i="2"/>
  <c r="E1483" i="2"/>
  <c r="E1768" i="2"/>
  <c r="E1352" i="2"/>
  <c r="E2040" i="2"/>
  <c r="E1164" i="2"/>
  <c r="E1770" i="2"/>
  <c r="E2198" i="2"/>
  <c r="E1853" i="2"/>
  <c r="D37" i="5"/>
  <c r="E1650" i="2"/>
  <c r="E2041" i="2"/>
  <c r="D136" i="5"/>
  <c r="E2223" i="2"/>
  <c r="E1894" i="2"/>
  <c r="E855" i="1"/>
  <c r="E792" i="1"/>
  <c r="E795" i="1"/>
  <c r="E914" i="1"/>
  <c r="E919" i="1"/>
  <c r="D55" i="5"/>
  <c r="E922" i="1"/>
  <c r="E1902" i="2"/>
  <c r="E1746" i="2"/>
  <c r="E1058" i="2"/>
  <c r="E1758" i="2"/>
  <c r="E1762" i="2"/>
  <c r="E1595" i="2"/>
  <c r="E1696" i="2"/>
  <c r="D33" i="5"/>
  <c r="E1744" i="2"/>
  <c r="E1834" i="2"/>
  <c r="E876" i="1"/>
  <c r="E945" i="1"/>
  <c r="E837" i="1"/>
  <c r="E1716" i="2"/>
  <c r="E1519" i="2"/>
  <c r="E1675" i="2"/>
  <c r="D313" i="5"/>
  <c r="E1918" i="2"/>
  <c r="E1730" i="2"/>
  <c r="E1146" i="2"/>
  <c r="E1181" i="2"/>
  <c r="E1623" i="2"/>
  <c r="E849" i="1"/>
  <c r="E2167" i="2"/>
  <c r="E843" i="1"/>
  <c r="E1056" i="2"/>
  <c r="E1198" i="2"/>
  <c r="E2210" i="2"/>
  <c r="E820" i="1"/>
  <c r="E2107" i="2"/>
  <c r="E1364" i="2"/>
  <c r="E1863" i="2"/>
  <c r="E1963" i="2"/>
  <c r="E1613" i="2"/>
  <c r="E1984" i="2"/>
  <c r="E1386" i="2"/>
  <c r="E1373" i="2"/>
  <c r="E857" i="1"/>
  <c r="E812" i="1"/>
  <c r="E1587" i="2"/>
  <c r="E1079" i="2"/>
  <c r="E1114" i="2"/>
  <c r="E2196" i="2"/>
  <c r="E1119" i="2"/>
  <c r="E1248" i="2"/>
  <c r="E1987" i="2"/>
  <c r="E1934" i="2"/>
  <c r="E752" i="1"/>
  <c r="E781" i="1"/>
  <c r="E2186" i="2"/>
  <c r="E2097" i="2"/>
  <c r="E1489" i="2"/>
  <c r="E1133" i="2"/>
  <c r="E1457" i="2"/>
  <c r="E1653" i="2"/>
  <c r="E2140" i="2"/>
  <c r="E2170" i="2"/>
  <c r="E2077" i="2"/>
  <c r="E1975" i="2"/>
  <c r="E1783" i="2"/>
  <c r="E1890" i="2"/>
  <c r="E786" i="1"/>
  <c r="E1148" i="2"/>
  <c r="E916" i="1"/>
  <c r="E773" i="1"/>
  <c r="E937" i="1"/>
  <c r="E1498" i="2"/>
  <c r="E1703" i="2"/>
  <c r="E2112" i="2"/>
  <c r="E2087" i="2"/>
  <c r="E1906" i="2"/>
  <c r="E885" i="1"/>
  <c r="E1073" i="2"/>
  <c r="E1742" i="2"/>
  <c r="E841" i="1"/>
  <c r="E947" i="1"/>
  <c r="E1846" i="2"/>
  <c r="E1408" i="2"/>
  <c r="E695" i="1"/>
  <c r="D44" i="5"/>
  <c r="E2204" i="2"/>
  <c r="E2054" i="2"/>
  <c r="E1639" i="2"/>
  <c r="E1749" i="2"/>
  <c r="E1384" i="2"/>
  <c r="E1389" i="2"/>
  <c r="E790" i="1"/>
  <c r="E1208" i="2"/>
  <c r="E1521" i="2"/>
  <c r="E708" i="1"/>
  <c r="E1346" i="2"/>
  <c r="E1832" i="2"/>
  <c r="E2197" i="2"/>
  <c r="E1767" i="2"/>
  <c r="E1068" i="2"/>
  <c r="E1563" i="2"/>
  <c r="E694" i="1"/>
  <c r="E745" i="1"/>
  <c r="E1467" i="2"/>
  <c r="E1594" i="2"/>
  <c r="E1828" i="2"/>
  <c r="E1733" i="2"/>
  <c r="E698" i="1"/>
  <c r="E2038" i="2"/>
  <c r="E2159" i="2"/>
  <c r="E1994" i="2"/>
  <c r="E1530" i="2"/>
  <c r="E2102" i="2"/>
  <c r="E2018" i="2"/>
  <c r="E723" i="1"/>
  <c r="E2179" i="2"/>
  <c r="E1496" i="2"/>
  <c r="E905" i="1"/>
  <c r="E1860" i="2"/>
  <c r="E1388" i="2"/>
  <c r="E1478" i="2"/>
  <c r="E1131" i="2"/>
  <c r="E1990" i="2"/>
  <c r="E2056" i="2"/>
  <c r="E1458" i="2"/>
  <c r="E1756" i="2"/>
  <c r="E845" i="1"/>
  <c r="E1555" i="2"/>
  <c r="E726" i="1"/>
  <c r="E1391" i="2"/>
  <c r="E1274" i="2"/>
  <c r="E1568" i="2"/>
  <c r="E2023" i="2"/>
  <c r="E1844" i="2"/>
  <c r="E2037" i="2"/>
  <c r="D314" i="5"/>
  <c r="E2180" i="2"/>
  <c r="E1154" i="2"/>
  <c r="E1138" i="2"/>
  <c r="E1905" i="2"/>
  <c r="E1246" i="2"/>
  <c r="E2104" i="2"/>
  <c r="E2232" i="2"/>
  <c r="E1416" i="2"/>
  <c r="E757" i="1"/>
  <c r="D310" i="5"/>
  <c r="E1071" i="2"/>
  <c r="E1820" i="2"/>
  <c r="E2132" i="2"/>
  <c r="E1871" i="2"/>
  <c r="E1205" i="2"/>
  <c r="E1099" i="2"/>
  <c r="E949" i="1"/>
  <c r="E1194" i="2"/>
  <c r="E1216" i="2"/>
  <c r="E1529" i="2"/>
  <c r="E2137" i="2"/>
  <c r="E1162" i="2"/>
  <c r="E1878" i="2"/>
  <c r="E1651" i="2"/>
  <c r="E2156" i="2"/>
  <c r="E1136" i="2"/>
  <c r="E1557" i="2"/>
  <c r="E1460" i="2"/>
  <c r="E1465" i="2"/>
  <c r="E1087" i="2"/>
  <c r="D110" i="5"/>
  <c r="E766" i="1"/>
  <c r="E1782" i="2"/>
  <c r="D128" i="5"/>
  <c r="E897" i="1"/>
  <c r="E2021" i="2"/>
  <c r="E1829" i="2"/>
  <c r="E2192" i="2"/>
  <c r="E831" i="1"/>
  <c r="E1207" i="2"/>
  <c r="E717" i="1"/>
  <c r="E2108" i="2"/>
  <c r="D298" i="5"/>
  <c r="E2189" i="2"/>
  <c r="E1757" i="2"/>
  <c r="E1867" i="2"/>
  <c r="E1932" i="2"/>
  <c r="E1998" i="2"/>
  <c r="E2133" i="2"/>
  <c r="E2143" i="2"/>
  <c r="E1928" i="2"/>
  <c r="E1642" i="2"/>
  <c r="E1123" i="2"/>
  <c r="E826" i="1"/>
  <c r="E1506" i="2"/>
  <c r="E1178" i="2"/>
  <c r="E805" i="1"/>
  <c r="E2194" i="2"/>
  <c r="E1705" i="2"/>
  <c r="E2126" i="2"/>
  <c r="E1993" i="2"/>
  <c r="E890" i="1"/>
  <c r="E1270" i="2"/>
  <c r="E1710" i="2"/>
  <c r="E1233" i="2"/>
  <c r="E2129" i="2"/>
  <c r="E1372" i="2"/>
  <c r="E1301" i="2"/>
  <c r="E874" i="1"/>
  <c r="E811" i="1"/>
  <c r="E2030" i="2"/>
  <c r="E2171" i="2"/>
  <c r="E1743" i="2"/>
  <c r="E797" i="1"/>
  <c r="E1809" i="2"/>
  <c r="E1676" i="2"/>
  <c r="E2200" i="2"/>
  <c r="E1331" i="2"/>
  <c r="E1966" i="2"/>
  <c r="E1518" i="2"/>
  <c r="E1174" i="2"/>
  <c r="E895" i="1"/>
  <c r="E1942" i="2"/>
  <c r="E1633" i="2"/>
  <c r="E1126" i="2"/>
  <c r="E2066" i="2"/>
  <c r="E1892" i="2"/>
  <c r="E1326" i="2"/>
  <c r="E1261" i="2"/>
  <c r="E1345" i="2"/>
  <c r="E2099" i="2"/>
  <c r="E1585" i="2"/>
  <c r="E1441" i="2"/>
  <c r="D127" i="5"/>
  <c r="E1067" i="2"/>
  <c r="E2135" i="2"/>
  <c r="E1350" i="2"/>
  <c r="E1064" i="2"/>
  <c r="E2188" i="2"/>
  <c r="E1953" i="2"/>
  <c r="E1061" i="2"/>
  <c r="E1789" i="2"/>
  <c r="E840" i="1"/>
  <c r="E1243" i="2"/>
  <c r="E1484" i="2"/>
  <c r="E1127" i="2"/>
  <c r="E707" i="1"/>
  <c r="D43" i="5"/>
  <c r="E1959" i="2"/>
  <c r="E1803" i="2"/>
  <c r="E1227" i="2"/>
  <c r="E2026" i="2"/>
  <c r="E1805" i="2"/>
  <c r="E1168" i="2"/>
  <c r="E2016" i="2"/>
  <c r="E2121" i="2"/>
  <c r="E1944" i="2"/>
  <c r="E730" i="1"/>
  <c r="E880" i="1"/>
  <c r="E1306" i="2"/>
  <c r="E777" i="1"/>
  <c r="E917" i="1"/>
  <c r="E1382" i="2"/>
  <c r="E2086" i="2"/>
  <c r="E1898" i="2"/>
  <c r="E1609" i="2"/>
  <c r="E1774" i="2"/>
  <c r="E2161" i="2"/>
  <c r="E2013" i="2"/>
  <c r="E1145" i="2"/>
  <c r="E1241" i="2"/>
  <c r="E1920" i="2"/>
  <c r="E1747" i="2"/>
  <c r="D52" i="5"/>
  <c r="E2219" i="2"/>
  <c r="E1187" i="2"/>
  <c r="E1466" i="2"/>
  <c r="E1612" i="2"/>
  <c r="E1798" i="2"/>
  <c r="E2172" i="2"/>
  <c r="E1870" i="2"/>
  <c r="E1343" i="2"/>
  <c r="E1349" i="2"/>
  <c r="E867" i="1"/>
  <c r="E1538" i="2"/>
  <c r="E1556" i="2"/>
  <c r="E1552" i="2"/>
  <c r="D138" i="5"/>
  <c r="E1880" i="2"/>
  <c r="E2069" i="2"/>
  <c r="E1926" i="2"/>
  <c r="E1294" i="2"/>
  <c r="E2045" i="2"/>
  <c r="E703" i="1"/>
  <c r="E1694" i="2"/>
  <c r="E1475" i="2"/>
  <c r="E1335" i="2"/>
  <c r="E1964" i="2"/>
  <c r="E699" i="1"/>
  <c r="E2220" i="2"/>
  <c r="E833" i="1"/>
  <c r="E1220" i="2"/>
  <c r="E1124" i="2"/>
  <c r="E2162" i="2"/>
  <c r="E1796" i="2"/>
  <c r="E1569" i="2"/>
  <c r="E1134" i="2"/>
  <c r="E1904" i="2"/>
  <c r="E1591" i="2"/>
  <c r="E1864" i="2"/>
  <c r="E926" i="1"/>
  <c r="E2001" i="2"/>
  <c r="E1739" i="2"/>
  <c r="E1677" i="2"/>
  <c r="E1395" i="2"/>
  <c r="E1619" i="2"/>
  <c r="E1481" i="2"/>
  <c r="E1214" i="2"/>
  <c r="E2034" i="2"/>
  <c r="E2088" i="2"/>
  <c r="E733" i="1"/>
  <c r="E1078" i="2"/>
  <c r="E1282" i="2"/>
  <c r="E1351" i="2"/>
  <c r="E1712" i="2"/>
  <c r="E2154" i="2"/>
  <c r="E1813" i="2"/>
  <c r="E1165" i="2"/>
  <c r="E735" i="1"/>
  <c r="E1292" i="2"/>
  <c r="E2005" i="2"/>
  <c r="E1775" i="2"/>
  <c r="E2122" i="2"/>
  <c r="E719" i="1"/>
  <c r="E1824" i="2"/>
  <c r="E1655" i="2"/>
  <c r="E1699" i="2"/>
  <c r="E1105" i="2"/>
  <c r="E1579" i="2"/>
  <c r="E948" i="1"/>
  <c r="E1156" i="2"/>
  <c r="E923" i="1"/>
  <c r="E1485" i="2"/>
  <c r="E1995" i="2"/>
  <c r="E2164" i="2"/>
  <c r="E2226" i="2"/>
  <c r="E1369" i="2"/>
  <c r="E1797" i="2"/>
  <c r="E1471" i="2"/>
  <c r="E1931" i="2"/>
  <c r="E1353" i="2"/>
  <c r="E1558" i="2"/>
  <c r="E1535" i="2"/>
  <c r="E1729" i="2"/>
  <c r="E751" i="1"/>
  <c r="E2209" i="2"/>
  <c r="E798" i="1"/>
  <c r="E1991" i="2"/>
  <c r="E2011" i="2"/>
  <c r="E1752" i="2"/>
  <c r="E1422" i="2"/>
  <c r="E2141" i="2"/>
  <c r="E1952" i="2"/>
  <c r="E1501" i="2"/>
  <c r="E1055" i="2"/>
  <c r="E1833" i="2"/>
  <c r="E1357" i="2"/>
  <c r="E1537" i="2"/>
  <c r="E688" i="1"/>
  <c r="E744" i="1"/>
  <c r="E1258" i="2"/>
  <c r="D133" i="5"/>
  <c r="E1885" i="2"/>
  <c r="E2010" i="2"/>
  <c r="E1665" i="2"/>
  <c r="E1799" i="2"/>
  <c r="E1255" i="2"/>
  <c r="E2239" i="2"/>
  <c r="E1979" i="2"/>
  <c r="E1396" i="2"/>
  <c r="E824" i="1"/>
  <c r="E1573" i="2"/>
  <c r="E1827" i="2"/>
  <c r="E1393" i="2"/>
  <c r="E1473" i="2"/>
  <c r="E1218" i="2"/>
  <c r="E1850" i="2"/>
  <c r="E1438" i="2"/>
  <c r="E2061" i="2"/>
  <c r="E2158" i="2"/>
  <c r="E1877" i="2"/>
  <c r="E1551" i="2"/>
  <c r="E1721" i="2"/>
  <c r="E1081" i="2"/>
  <c r="E1284" i="2"/>
  <c r="E1236" i="2"/>
  <c r="E1272" i="2"/>
  <c r="E1409" i="2"/>
  <c r="E1602" i="2"/>
  <c r="E1421" i="2"/>
  <c r="E1206" i="2"/>
  <c r="E1588" i="2"/>
  <c r="E1254" i="2"/>
  <c r="E1815" i="2"/>
  <c r="E2203" i="2"/>
  <c r="E1681" i="2"/>
  <c r="E1856" i="2"/>
  <c r="E2173" i="2"/>
  <c r="E1951" i="2"/>
  <c r="E1151" i="2"/>
  <c r="E2247" i="2"/>
  <c r="E1540" i="2"/>
  <c r="E1528" i="2"/>
  <c r="E1974" i="2"/>
  <c r="E1750" i="2"/>
  <c r="E1339" i="2"/>
  <c r="E1996" i="2"/>
  <c r="E1684" i="2"/>
  <c r="E1947" i="2"/>
  <c r="E1848" i="2"/>
  <c r="D35" i="5"/>
  <c r="E871" i="1"/>
  <c r="E1289" i="2"/>
  <c r="E1370" i="2"/>
  <c r="E1419" i="2"/>
  <c r="E1231" i="2"/>
  <c r="E1539" i="2"/>
  <c r="D125" i="5"/>
  <c r="E1913" i="2"/>
  <c r="E1972" i="2"/>
  <c r="E1818" i="2"/>
  <c r="E2193" i="2"/>
  <c r="E1693" i="2"/>
  <c r="E1188" i="2"/>
  <c r="E764" i="1"/>
  <c r="E1741" i="2"/>
  <c r="E2035" i="2"/>
  <c r="E1657" i="2"/>
  <c r="E1333" i="2"/>
  <c r="E2020" i="2"/>
  <c r="E1670" i="2"/>
  <c r="E1925" i="2"/>
  <c r="D137" i="5"/>
  <c r="E1238" i="2"/>
  <c r="E1447" i="2"/>
  <c r="E1237" i="2"/>
  <c r="E1508" i="2"/>
  <c r="E704" i="1"/>
  <c r="E1316" i="2"/>
  <c r="E692" i="1"/>
  <c r="E1130" i="2"/>
  <c r="E746" i="1"/>
  <c r="E1631" i="2"/>
  <c r="E1542" i="2"/>
  <c r="E2049" i="2"/>
  <c r="E872" i="1"/>
  <c r="E900" i="1"/>
  <c r="E1259" i="2"/>
  <c r="E765" i="1"/>
  <c r="E913" i="1"/>
  <c r="E1505" i="2"/>
  <c r="E2245" i="2"/>
  <c r="E1793" i="2"/>
  <c r="E1411" i="2"/>
  <c r="E1715" i="2"/>
  <c r="E1415" i="2"/>
  <c r="E732" i="1"/>
  <c r="E691" i="1"/>
  <c r="D319" i="5"/>
  <c r="E835" i="1"/>
  <c r="E1802" i="2"/>
  <c r="E1779" i="2"/>
  <c r="E2199" i="2"/>
  <c r="E1804" i="2"/>
  <c r="E1400" i="2"/>
  <c r="E1167" i="2"/>
  <c r="E1986" i="2"/>
  <c r="E1709" i="2"/>
  <c r="D317" i="5"/>
  <c r="E2113" i="2"/>
  <c r="E2120" i="2"/>
  <c r="E1656" i="2"/>
  <c r="E1407" i="2"/>
  <c r="D135" i="5"/>
  <c r="E943" i="1"/>
  <c r="E1948" i="2"/>
  <c r="E716" i="1"/>
  <c r="E1149" i="2"/>
  <c r="E1314" i="2"/>
  <c r="E878" i="1"/>
  <c r="E819" i="1"/>
  <c r="E1201" i="2"/>
  <c r="E1139" i="2"/>
  <c r="E844" i="1"/>
  <c r="E1129" i="2"/>
  <c r="E709" i="1"/>
  <c r="E1125" i="2"/>
  <c r="E727" i="1"/>
  <c r="D41" i="5"/>
  <c r="E941" i="1"/>
  <c r="E2117" i="2"/>
  <c r="E1192" i="2"/>
  <c r="E1128" i="2"/>
  <c r="E747" i="1"/>
  <c r="D134" i="5"/>
  <c r="E1144" i="2"/>
  <c r="E875" i="1"/>
  <c r="E791" i="1"/>
  <c r="E759" i="1"/>
  <c r="E904" i="1"/>
  <c r="D318" i="5"/>
  <c r="E918" i="1"/>
  <c r="E1649" i="2"/>
  <c r="E1753" i="2"/>
  <c r="E910" i="1"/>
  <c r="E1193" i="2"/>
  <c r="E869" i="1"/>
  <c r="E1143" i="2"/>
  <c r="E1251" i="2"/>
  <c r="E1122" i="2"/>
  <c r="E1283" i="2"/>
  <c r="E743" i="1"/>
  <c r="E1141" i="2"/>
  <c r="E807" i="1"/>
  <c r="E842" i="1"/>
  <c r="E1186" i="2"/>
  <c r="E808" i="1"/>
  <c r="E1488" i="2"/>
  <c r="D114" i="5"/>
  <c r="D115" i="5"/>
  <c r="E940" i="1"/>
  <c r="E1189" i="2"/>
  <c r="E1560" i="2"/>
  <c r="E894" i="1"/>
  <c r="E1374" i="2"/>
  <c r="E2048" i="2"/>
  <c r="E748" i="1"/>
  <c r="E734" i="1"/>
  <c r="E753" i="1"/>
  <c r="D111" i="5"/>
  <c r="E696" i="1"/>
  <c r="E813" i="1"/>
  <c r="E892" i="1"/>
  <c r="E1325" i="2"/>
  <c r="E942" i="1"/>
  <c r="E1664" i="2"/>
  <c r="E1177" i="2"/>
  <c r="E1522" i="2"/>
  <c r="E939" i="1"/>
  <c r="E1313" i="2"/>
  <c r="E740" i="1"/>
  <c r="E741" i="1"/>
  <c r="E783" i="1"/>
  <c r="E929" i="1"/>
  <c r="D126" i="5"/>
  <c r="D308" i="5"/>
  <c r="E1152" i="2"/>
  <c r="D56" i="5"/>
  <c r="E762" i="1"/>
  <c r="E772" i="1"/>
  <c r="E736" i="1"/>
  <c r="E817" i="1"/>
  <c r="E1643" i="2"/>
  <c r="E769" i="1"/>
  <c r="E779" i="1"/>
  <c r="E1332" i="2"/>
  <c r="E1439" i="2"/>
  <c r="E1196" i="2"/>
  <c r="E2248" i="2"/>
  <c r="E774" i="1"/>
  <c r="D123" i="5"/>
  <c r="E722" i="1"/>
  <c r="E1429" i="2"/>
  <c r="E1377" i="2"/>
  <c r="E864" i="1"/>
  <c r="E1191" i="2"/>
  <c r="E721" i="1"/>
  <c r="E832" i="1"/>
  <c r="E1132" i="2"/>
  <c r="E685" i="1"/>
  <c r="E810" i="1"/>
  <c r="E836" i="1"/>
  <c r="E944" i="1"/>
  <c r="E938" i="1"/>
  <c r="E952" i="1"/>
  <c r="E814" i="1"/>
  <c r="E209" i="25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E377" i="25" s="1"/>
  <c r="E378" i="25" s="1"/>
  <c r="E379" i="25" s="1"/>
  <c r="E380" i="25" s="1"/>
  <c r="E381" i="25" s="1"/>
  <c r="E382" i="25" s="1"/>
  <c r="E7" i="25" s="1"/>
  <c r="J26" i="7" s="1"/>
  <c r="B102" i="22"/>
  <c r="B283" i="22"/>
  <c r="B389" i="22"/>
  <c r="B74" i="21"/>
  <c r="B62" i="21"/>
  <c r="B241" i="8"/>
  <c r="B282" i="21"/>
  <c r="B156" i="21"/>
  <c r="B115" i="21"/>
  <c r="B66" i="8"/>
  <c r="B98" i="22"/>
  <c r="B266" i="22"/>
  <c r="B114" i="8"/>
  <c r="B159" i="8"/>
  <c r="B227" i="22"/>
  <c r="B253" i="22"/>
  <c r="B42" i="22"/>
  <c r="B149" i="21"/>
  <c r="B255" i="21"/>
  <c r="B313" i="22"/>
  <c r="B164" i="8"/>
  <c r="B67" i="22"/>
  <c r="B214" i="22"/>
  <c r="B112" i="22"/>
  <c r="B226" i="21"/>
  <c r="B288" i="22"/>
  <c r="B391" i="8"/>
  <c r="B44" i="21"/>
  <c r="B128" i="8"/>
  <c r="B338" i="8"/>
  <c r="B162" i="22"/>
  <c r="B213" i="21"/>
  <c r="B111" i="22"/>
  <c r="B289" i="21"/>
  <c r="B66" i="21"/>
  <c r="B292" i="8"/>
  <c r="B336" i="22"/>
  <c r="B312" i="21"/>
  <c r="B21" i="21"/>
  <c r="B101" i="21"/>
  <c r="B190" i="8"/>
  <c r="B212" i="8"/>
  <c r="B317" i="21"/>
  <c r="B116" i="22"/>
  <c r="B193" i="22"/>
  <c r="B139" i="21"/>
  <c r="B144" i="22"/>
  <c r="B210" i="22"/>
  <c r="B316" i="21"/>
  <c r="B204" i="21"/>
  <c r="B233" i="22"/>
  <c r="B318" i="22"/>
  <c r="B115" i="8"/>
  <c r="B77" i="8"/>
  <c r="B73" i="22"/>
  <c r="B46" i="21"/>
  <c r="B194" i="21"/>
  <c r="B206" i="8"/>
  <c r="B255" i="8"/>
  <c r="B181" i="8"/>
  <c r="B256" i="22"/>
  <c r="B133" i="21"/>
  <c r="B245" i="21"/>
  <c r="B195" i="8"/>
  <c r="B174" i="8"/>
  <c r="B97" i="21"/>
  <c r="B320" i="8"/>
  <c r="B66" i="22"/>
  <c r="B47" i="21"/>
  <c r="B47" i="8"/>
  <c r="B125" i="21"/>
  <c r="B237" i="22"/>
  <c r="B140" i="22"/>
  <c r="B104" i="8"/>
  <c r="B126" i="22"/>
  <c r="B285" i="8"/>
  <c r="B229" i="8"/>
  <c r="B105" i="8"/>
  <c r="B141" i="8"/>
  <c r="B290" i="8"/>
  <c r="B173" i="8"/>
  <c r="B388" i="21"/>
  <c r="B113" i="21"/>
  <c r="B179" i="22"/>
  <c r="B178" i="21"/>
  <c r="B241" i="21"/>
  <c r="B45" i="22"/>
  <c r="B157" i="22"/>
  <c r="B131" i="8"/>
  <c r="B129" i="22"/>
  <c r="B54" i="21"/>
  <c r="B143" i="21"/>
  <c r="B170" i="21"/>
  <c r="B172" i="22"/>
  <c r="B42" i="21"/>
  <c r="B205" i="22"/>
  <c r="B117" i="8"/>
  <c r="B115" i="22"/>
  <c r="B335" i="21"/>
  <c r="B146" i="8"/>
  <c r="B55" i="22"/>
  <c r="B75" i="22"/>
  <c r="B265" i="21"/>
  <c r="B47" i="22"/>
  <c r="B123" i="22"/>
  <c r="B49" i="8"/>
  <c r="B187" i="21"/>
  <c r="B238" i="22"/>
  <c r="B248" i="8"/>
  <c r="B237" i="21"/>
  <c r="B272" i="8"/>
  <c r="B236" i="21"/>
  <c r="B116" i="8"/>
  <c r="B279" i="8"/>
  <c r="B269" i="21"/>
  <c r="B183" i="8"/>
  <c r="B65" i="21"/>
  <c r="B235" i="8"/>
  <c r="B165" i="22"/>
  <c r="B134" i="22"/>
  <c r="B41" i="21"/>
  <c r="B276" i="21"/>
  <c r="B152" i="8"/>
  <c r="B100" i="8"/>
  <c r="B197" i="8"/>
  <c r="B161" i="21"/>
  <c r="B232" i="21"/>
  <c r="B65" i="8"/>
  <c r="B190" i="22"/>
  <c r="B180" i="21"/>
  <c r="B242" i="22"/>
  <c r="B93" i="8"/>
  <c r="B142" i="8"/>
  <c r="B72" i="21"/>
  <c r="B57" i="8"/>
  <c r="B265" i="22"/>
  <c r="B171" i="22"/>
  <c r="B192" i="8"/>
  <c r="B189" i="8"/>
  <c r="B112" i="21"/>
  <c r="B68" i="8"/>
  <c r="B44" i="8"/>
  <c r="B188" i="22"/>
  <c r="B181" i="22"/>
  <c r="B203" i="21"/>
  <c r="B258" i="8"/>
  <c r="B63" i="21"/>
  <c r="B240" i="8"/>
  <c r="B315" i="8"/>
  <c r="B167" i="8"/>
  <c r="B252" i="21"/>
  <c r="B103" i="22"/>
  <c r="B89" i="22"/>
  <c r="B287" i="21"/>
  <c r="B122" i="21"/>
  <c r="B139" i="22"/>
  <c r="B45" i="8"/>
  <c r="B319" i="8"/>
  <c r="B192" i="21"/>
  <c r="B207" i="8"/>
  <c r="B209" i="21"/>
  <c r="B43" i="22"/>
  <c r="B171" i="21"/>
  <c r="B88" i="21"/>
  <c r="B136" i="8"/>
  <c r="B239" i="22"/>
  <c r="B204" i="22"/>
  <c r="B216" i="8"/>
  <c r="B150" i="22"/>
  <c r="B75" i="8"/>
  <c r="B48" i="22"/>
  <c r="B238" i="21"/>
  <c r="B128" i="21"/>
  <c r="B244" i="8"/>
  <c r="B138" i="21"/>
  <c r="B64" i="22"/>
  <c r="B187" i="22"/>
  <c r="B189" i="21"/>
  <c r="B63" i="22"/>
  <c r="B264" i="21"/>
  <c r="B268" i="8"/>
  <c r="B111" i="21"/>
  <c r="B114" i="22"/>
  <c r="B267" i="8"/>
  <c r="B50" i="8"/>
  <c r="B113" i="8"/>
  <c r="B239" i="8"/>
  <c r="B164" i="21"/>
  <c r="B114" i="21"/>
  <c r="B102" i="21"/>
  <c r="B246" i="22"/>
  <c r="B118" i="8"/>
  <c r="B186" i="21"/>
  <c r="B113" i="22"/>
  <c r="B69" i="8"/>
  <c r="B91" i="8"/>
  <c r="B110" i="21"/>
  <c r="B90" i="21"/>
  <c r="B277" i="22"/>
  <c r="B125" i="8"/>
  <c r="B317" i="22"/>
  <c r="B22" i="22"/>
  <c r="B290" i="22"/>
  <c r="B195" i="22"/>
  <c r="E337" i="15" l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E377" i="15" s="1"/>
  <c r="E378" i="15" s="1"/>
  <c r="E379" i="15" s="1"/>
  <c r="E380" i="15" s="1"/>
  <c r="E381" i="15" s="1"/>
  <c r="E382" i="15" s="1"/>
  <c r="E383" i="15" s="1"/>
  <c r="E384" i="15" s="1"/>
  <c r="E385" i="15" s="1"/>
  <c r="E386" i="15" s="1"/>
  <c r="E387" i="15" s="1"/>
  <c r="E388" i="15" s="1"/>
  <c r="E389" i="15" s="1"/>
  <c r="E390" i="15" s="1"/>
  <c r="E391" i="15" s="1"/>
  <c r="E392" i="15" s="1"/>
  <c r="E393" i="15" s="1"/>
  <c r="E394" i="15" s="1"/>
  <c r="E395" i="15" s="1"/>
  <c r="E396" i="15" s="1"/>
  <c r="E397" i="15" s="1"/>
  <c r="E398" i="15" s="1"/>
  <c r="E399" i="15" s="1"/>
  <c r="E400" i="15" s="1"/>
  <c r="E401" i="15" s="1"/>
  <c r="E402" i="15" s="1"/>
  <c r="E403" i="15" s="1"/>
  <c r="E404" i="15" s="1"/>
  <c r="E405" i="15" s="1"/>
  <c r="E406" i="15" s="1"/>
  <c r="E407" i="15" s="1"/>
  <c r="E408" i="15" s="1"/>
  <c r="E409" i="15" s="1"/>
  <c r="E410" i="15" s="1"/>
  <c r="E411" i="15" s="1"/>
  <c r="E412" i="15" s="1"/>
  <c r="E413" i="15" s="1"/>
  <c r="E414" i="15" s="1"/>
  <c r="E415" i="15" s="1"/>
  <c r="E416" i="15" s="1"/>
  <c r="E417" i="15" s="1"/>
  <c r="E418" i="15" s="1"/>
  <c r="E419" i="15" s="1"/>
  <c r="E420" i="15" s="1"/>
  <c r="E421" i="15" s="1"/>
  <c r="E422" i="15" s="1"/>
  <c r="E423" i="15" s="1"/>
  <c r="E424" i="15" s="1"/>
  <c r="E425" i="15" s="1"/>
  <c r="E426" i="15" s="1"/>
  <c r="E427" i="15" s="1"/>
  <c r="E428" i="15" s="1"/>
  <c r="E429" i="15" s="1"/>
  <c r="E430" i="15" s="1"/>
  <c r="E431" i="15" s="1"/>
  <c r="E432" i="15" s="1"/>
  <c r="E433" i="15" s="1"/>
  <c r="E434" i="15" s="1"/>
  <c r="E435" i="15" s="1"/>
  <c r="E436" i="15" s="1"/>
  <c r="E437" i="15" s="1"/>
  <c r="E438" i="15" s="1"/>
  <c r="E439" i="15" s="1"/>
  <c r="E440" i="15" s="1"/>
  <c r="E441" i="15" s="1"/>
  <c r="E442" i="15" s="1"/>
  <c r="E443" i="15" s="1"/>
  <c r="E444" i="15" s="1"/>
  <c r="E445" i="15" s="1"/>
  <c r="E446" i="15" s="1"/>
  <c r="E447" i="15" s="1"/>
  <c r="E448" i="15" s="1"/>
  <c r="E449" i="15" s="1"/>
  <c r="E450" i="15" s="1"/>
  <c r="E451" i="15" s="1"/>
  <c r="E452" i="15" s="1"/>
  <c r="E453" i="15" s="1"/>
  <c r="E454" i="15" s="1"/>
  <c r="E455" i="15" s="1"/>
  <c r="E456" i="15" s="1"/>
  <c r="E457" i="15" s="1"/>
  <c r="E458" i="15" s="1"/>
  <c r="E459" i="15" s="1"/>
  <c r="E460" i="15" s="1"/>
  <c r="E461" i="15" s="1"/>
  <c r="E462" i="15" s="1"/>
  <c r="E463" i="15" s="1"/>
  <c r="E464" i="15" s="1"/>
  <c r="E465" i="15" s="1"/>
  <c r="E466" i="15" s="1"/>
  <c r="E467" i="15" s="1"/>
  <c r="E468" i="15" s="1"/>
  <c r="E469" i="15" s="1"/>
  <c r="E470" i="15" s="1"/>
  <c r="E471" i="15" s="1"/>
  <c r="E472" i="15" s="1"/>
  <c r="E473" i="15" s="1"/>
  <c r="E474" i="15" s="1"/>
  <c r="E475" i="15" s="1"/>
  <c r="E476" i="15" s="1"/>
  <c r="E477" i="15" s="1"/>
  <c r="E478" i="15" s="1"/>
  <c r="E479" i="15" s="1"/>
  <c r="E480" i="15" s="1"/>
  <c r="E481" i="15" s="1"/>
  <c r="E482" i="15" s="1"/>
  <c r="E483" i="15" s="1"/>
  <c r="E484" i="15" s="1"/>
  <c r="E485" i="15" s="1"/>
  <c r="E486" i="15" s="1"/>
  <c r="E487" i="15" s="1"/>
  <c r="E488" i="15" s="1"/>
  <c r="E489" i="15" s="1"/>
  <c r="E490" i="15" s="1"/>
  <c r="E491" i="15" s="1"/>
  <c r="E492" i="15" s="1"/>
  <c r="E493" i="15" s="1"/>
  <c r="E494" i="15" s="1"/>
  <c r="E495" i="15" s="1"/>
  <c r="E496" i="15" s="1"/>
  <c r="E497" i="15" s="1"/>
  <c r="E498" i="15" s="1"/>
  <c r="E499" i="15" s="1"/>
  <c r="E500" i="15" s="1"/>
  <c r="E501" i="15" s="1"/>
  <c r="E502" i="15" s="1"/>
  <c r="E503" i="15" s="1"/>
  <c r="E504" i="15" s="1"/>
  <c r="E505" i="15" s="1"/>
  <c r="E506" i="15" s="1"/>
  <c r="E507" i="15" s="1"/>
  <c r="E508" i="15" s="1"/>
  <c r="E509" i="15" s="1"/>
  <c r="E510" i="15" s="1"/>
  <c r="E511" i="15" s="1"/>
  <c r="E512" i="15" s="1"/>
  <c r="E513" i="15" s="1"/>
  <c r="E514" i="15" s="1"/>
  <c r="E515" i="15" s="1"/>
  <c r="E516" i="15" s="1"/>
  <c r="E517" i="15" s="1"/>
  <c r="E518" i="15" s="1"/>
  <c r="E519" i="15" s="1"/>
  <c r="E520" i="15" s="1"/>
  <c r="E521" i="15" s="1"/>
  <c r="E522" i="15" s="1"/>
  <c r="E523" i="15" s="1"/>
  <c r="E524" i="15" s="1"/>
  <c r="E525" i="15" s="1"/>
  <c r="E526" i="15" s="1"/>
  <c r="E527" i="15" s="1"/>
  <c r="E528" i="15" s="1"/>
  <c r="E529" i="15" s="1"/>
  <c r="E530" i="15" s="1"/>
  <c r="E531" i="15" s="1"/>
  <c r="E532" i="15" s="1"/>
  <c r="E533" i="15" s="1"/>
  <c r="E534" i="15" s="1"/>
  <c r="E535" i="15" s="1"/>
  <c r="E536" i="15" s="1"/>
  <c r="E537" i="15" s="1"/>
  <c r="E538" i="15" s="1"/>
  <c r="E539" i="15" s="1"/>
  <c r="E540" i="15" s="1"/>
  <c r="E541" i="15" s="1"/>
  <c r="E542" i="15" s="1"/>
  <c r="E543" i="15" s="1"/>
  <c r="E544" i="15" s="1"/>
  <c r="E545" i="15" s="1"/>
  <c r="E546" i="15" s="1"/>
  <c r="E547" i="15" s="1"/>
  <c r="E548" i="15" s="1"/>
  <c r="E549" i="15" s="1"/>
  <c r="E550" i="15" s="1"/>
  <c r="E551" i="15" s="1"/>
  <c r="E552" i="15" s="1"/>
  <c r="E553" i="15" s="1"/>
  <c r="E554" i="15" s="1"/>
  <c r="E555" i="15" s="1"/>
  <c r="E556" i="15" s="1"/>
  <c r="E557" i="15" s="1"/>
  <c r="E558" i="15" s="1"/>
  <c r="E559" i="15" s="1"/>
  <c r="E560" i="15" s="1"/>
  <c r="E561" i="15" s="1"/>
  <c r="E562" i="15" s="1"/>
  <c r="E563" i="15" s="1"/>
  <c r="E564" i="15" s="1"/>
  <c r="E565" i="15" s="1"/>
  <c r="E566" i="15" s="1"/>
  <c r="E567" i="15" s="1"/>
  <c r="E568" i="15" s="1"/>
  <c r="E569" i="15" s="1"/>
  <c r="E570" i="15" s="1"/>
  <c r="E571" i="15" s="1"/>
  <c r="G219" i="15"/>
  <c r="D46" i="9"/>
  <c r="D67" i="9"/>
  <c r="D44" i="9"/>
  <c r="D45" i="9"/>
  <c r="D68" i="9"/>
  <c r="D57" i="9"/>
  <c r="E572" i="15" l="1"/>
  <c r="E573" i="15" s="1"/>
  <c r="E574" i="15" s="1"/>
  <c r="E575" i="15" s="1"/>
  <c r="E576" i="15" s="1"/>
  <c r="E577" i="15" s="1"/>
  <c r="E578" i="15" s="1"/>
  <c r="E579" i="15" s="1"/>
  <c r="E580" i="15" s="1"/>
  <c r="E581" i="15" s="1"/>
  <c r="E582" i="15" s="1"/>
  <c r="E583" i="15" s="1"/>
  <c r="E584" i="15" s="1"/>
  <c r="E585" i="15" s="1"/>
  <c r="E586" i="15" s="1"/>
  <c r="E587" i="15" s="1"/>
  <c r="E588" i="15" s="1"/>
  <c r="E589" i="15" s="1"/>
  <c r="E590" i="15" s="1"/>
  <c r="E591" i="15" s="1"/>
  <c r="E592" i="15" s="1"/>
  <c r="E593" i="15" s="1"/>
  <c r="E594" i="15" s="1"/>
  <c r="E595" i="15" s="1"/>
  <c r="E596" i="15" s="1"/>
  <c r="E597" i="15" s="1"/>
  <c r="E598" i="15" s="1"/>
  <c r="E599" i="15" s="1"/>
  <c r="E600" i="15" s="1"/>
  <c r="E601" i="15" s="1"/>
  <c r="E602" i="15" s="1"/>
  <c r="E603" i="15" s="1"/>
  <c r="E604" i="15" s="1"/>
  <c r="E605" i="15" s="1"/>
  <c r="E606" i="15" s="1"/>
  <c r="E607" i="15" s="1"/>
  <c r="E608" i="15" s="1"/>
  <c r="E609" i="15" s="1"/>
  <c r="E610" i="15" s="1"/>
  <c r="E611" i="15" s="1"/>
  <c r="E612" i="15" s="1"/>
  <c r="E613" i="15" s="1"/>
  <c r="E614" i="15" s="1"/>
  <c r="E615" i="15" s="1"/>
  <c r="E616" i="15" s="1"/>
  <c r="E617" i="15" s="1"/>
  <c r="E618" i="15" s="1"/>
  <c r="H571" i="15"/>
  <c r="D70" i="9"/>
  <c r="C55" i="4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BI70" i="9" l="1"/>
  <c r="D72" i="9"/>
  <c r="I79" i="9" s="1"/>
  <c r="D77" i="9"/>
  <c r="D79" i="4"/>
  <c r="D81" i="4" s="1"/>
  <c r="C81" i="4"/>
  <c r="D74" i="9" l="1"/>
  <c r="D80" i="9"/>
  <c r="D75" i="9"/>
  <c r="BI72" i="9"/>
  <c r="C12" i="4"/>
  <c r="D15" i="4"/>
  <c r="D12" i="4"/>
  <c r="D8" i="4" l="1"/>
  <c r="D9" i="4"/>
  <c r="F12" i="4"/>
  <c r="G333" i="15" l="1"/>
  <c r="G344" i="15" l="1"/>
  <c r="G563" i="1"/>
  <c r="G564" i="1" l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l="1"/>
  <c r="G582" i="1" s="1"/>
  <c r="G583" i="1" s="1"/>
  <c r="G584" i="1" l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E619" i="15" l="1"/>
  <c r="E620" i="15" s="1"/>
  <c r="E621" i="15" s="1"/>
  <c r="E622" i="15" s="1"/>
  <c r="E623" i="15" s="1"/>
  <c r="E624" i="15" s="1"/>
  <c r="E625" i="15" s="1"/>
  <c r="E626" i="15" s="1"/>
  <c r="E627" i="15" s="1"/>
  <c r="E628" i="15" s="1"/>
  <c r="E629" i="15" s="1"/>
  <c r="E630" i="15" s="1"/>
  <c r="E631" i="15" s="1"/>
  <c r="E632" i="15" s="1"/>
  <c r="E633" i="15" s="1"/>
  <c r="E634" i="15" s="1"/>
  <c r="E635" i="15" s="1"/>
  <c r="E636" i="15" s="1"/>
  <c r="E7" i="15" s="1"/>
  <c r="J27" i="7" s="1"/>
  <c r="G597" i="1"/>
  <c r="G598" i="1" s="1"/>
  <c r="G599" i="1" s="1"/>
  <c r="G600" i="1" s="1"/>
  <c r="G601" i="1" s="1"/>
  <c r="G602" i="1" s="1"/>
  <c r="G603" i="1" s="1"/>
  <c r="G604" i="1" s="1"/>
  <c r="G605" i="1" s="1"/>
  <c r="G606" i="1" s="1"/>
  <c r="G607" i="1" l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l="1"/>
  <c r="G619" i="1" s="1"/>
  <c r="G620" i="1" s="1"/>
  <c r="G621" i="1" s="1"/>
  <c r="G622" i="1" s="1"/>
  <c r="G623" i="1" l="1"/>
  <c r="G624" i="1" s="1"/>
  <c r="G625" i="1" l="1"/>
  <c r="G626" i="1" s="1"/>
  <c r="G627" i="1" s="1"/>
  <c r="G628" i="1" s="1"/>
  <c r="G629" i="1" s="1"/>
  <c r="G630" i="1" s="1"/>
  <c r="G631" i="1" l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l="1"/>
  <c r="G643" i="1" s="1"/>
  <c r="G644" i="1" l="1"/>
  <c r="G645" i="1" s="1"/>
  <c r="G646" i="1" s="1"/>
  <c r="G647" i="1" s="1"/>
  <c r="G648" i="1" s="1"/>
  <c r="G649" i="1" s="1"/>
  <c r="G650" i="1" s="1"/>
  <c r="G651" i="1" l="1"/>
  <c r="G652" i="1" s="1"/>
  <c r="G653" i="1" s="1"/>
  <c r="G654" i="1" s="1"/>
  <c r="G655" i="1" s="1"/>
  <c r="G656" i="1" s="1"/>
  <c r="G657" i="1" l="1"/>
  <c r="G658" i="1" s="1"/>
  <c r="G659" i="1" s="1"/>
  <c r="G660" i="1" s="1"/>
  <c r="G661" i="1" l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6" i="1" l="1"/>
  <c r="G2" i="1" s="1"/>
  <c r="H2" i="1" l="1"/>
  <c r="H4" i="1" s="1"/>
  <c r="D5" i="28"/>
  <c r="F5" i="28" s="1"/>
  <c r="I390" i="21"/>
  <c r="I1" i="21" s="1"/>
  <c r="H2085" i="2"/>
  <c r="H2086" i="2" s="1"/>
  <c r="H2087" i="2" s="1"/>
  <c r="H2088" i="2" s="1"/>
  <c r="H2089" i="2" s="1"/>
  <c r="H2090" i="2" s="1"/>
  <c r="H2091" i="2" s="1"/>
  <c r="H2092" i="2" s="1"/>
  <c r="H2093" i="2" s="1"/>
  <c r="H2094" i="2" s="1"/>
  <c r="H2095" i="2" s="1"/>
  <c r="H2096" i="2" s="1"/>
  <c r="H2097" i="2" s="1"/>
  <c r="H2098" i="2" s="1"/>
  <c r="H2099" i="2" s="1"/>
  <c r="H2100" i="2" s="1"/>
  <c r="H2101" i="2" s="1"/>
  <c r="H2102" i="2" s="1"/>
  <c r="H2103" i="2" s="1"/>
  <c r="H2104" i="2" s="1"/>
  <c r="H2105" i="2" s="1"/>
  <c r="H2106" i="2" s="1"/>
  <c r="H2107" i="2" s="1"/>
  <c r="H2108" i="2" s="1"/>
  <c r="H2109" i="2" s="1"/>
  <c r="H2110" i="2" s="1"/>
  <c r="H2111" i="2" s="1"/>
  <c r="H2112" i="2" s="1"/>
  <c r="H2113" i="2" s="1"/>
  <c r="H2114" i="2" s="1"/>
  <c r="H2115" i="2" s="1"/>
  <c r="H2116" i="2" s="1"/>
  <c r="H2117" i="2" s="1"/>
  <c r="H2118" i="2" s="1"/>
  <c r="H2119" i="2" s="1"/>
  <c r="H2120" i="2" s="1"/>
  <c r="H2121" i="2" s="1"/>
  <c r="H2122" i="2" s="1"/>
  <c r="H2123" i="2" s="1"/>
  <c r="H2124" i="2" s="1"/>
  <c r="H2125" i="2" s="1"/>
  <c r="H2126" i="2" s="1"/>
  <c r="H2127" i="2" s="1"/>
  <c r="H2128" i="2" s="1"/>
  <c r="H2129" i="2" s="1"/>
  <c r="H2130" i="2" s="1"/>
  <c r="H2131" i="2" s="1"/>
  <c r="H2132" i="2" s="1"/>
  <c r="H2133" i="2" s="1"/>
  <c r="H2134" i="2" s="1"/>
  <c r="H2135" i="2" s="1"/>
  <c r="H2136" i="2" s="1"/>
  <c r="H2137" i="2" s="1"/>
  <c r="H2138" i="2" s="1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H2154" i="2" s="1"/>
  <c r="H2155" i="2" s="1"/>
  <c r="H2156" i="2" s="1"/>
  <c r="H2157" i="2" s="1"/>
  <c r="H2158" i="2" s="1"/>
  <c r="H2159" i="2" s="1"/>
  <c r="H2160" i="2" s="1"/>
  <c r="H2161" i="2" s="1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73" i="2" s="1"/>
  <c r="H2174" i="2" s="1"/>
  <c r="H2175" i="2" s="1"/>
  <c r="H2176" i="2" s="1"/>
  <c r="H2177" i="2" s="1"/>
  <c r="H2178" i="2" s="1"/>
  <c r="H2179" i="2" s="1"/>
  <c r="H2180" i="2" s="1"/>
  <c r="H2181" i="2" s="1"/>
  <c r="H2182" i="2" s="1"/>
  <c r="H2183" i="2" s="1"/>
  <c r="H2184" i="2" s="1"/>
  <c r="H2185" i="2" s="1"/>
  <c r="H2186" i="2" s="1"/>
  <c r="H2187" i="2" s="1"/>
  <c r="H2188" i="2" s="1"/>
  <c r="H2189" i="2" s="1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2208" i="2" s="1"/>
  <c r="H2209" i="2" s="1"/>
  <c r="H2210" i="2" s="1"/>
  <c r="H2211" i="2" s="1"/>
  <c r="H2212" i="2" s="1"/>
  <c r="H2213" i="2" s="1"/>
  <c r="H2214" i="2" s="1"/>
  <c r="H2215" i="2" s="1"/>
  <c r="H2216" i="2" s="1"/>
  <c r="H2217" i="2" s="1"/>
  <c r="H2218" i="2" s="1"/>
  <c r="H2219" i="2" s="1"/>
  <c r="H2220" i="2" s="1"/>
  <c r="H2221" i="2" s="1"/>
  <c r="H2222" i="2" s="1"/>
  <c r="H2223" i="2" s="1"/>
  <c r="H2224" i="2" s="1"/>
  <c r="H2225" i="2" s="1"/>
  <c r="H2226" i="2" s="1"/>
  <c r="H2227" i="2" s="1"/>
  <c r="H2228" i="2" s="1"/>
  <c r="H2229" i="2" s="1"/>
  <c r="H2230" i="2" s="1"/>
  <c r="H2231" i="2" s="1"/>
  <c r="H2232" i="2" s="1"/>
  <c r="H2233" i="2" s="1"/>
  <c r="H2234" i="2" s="1"/>
  <c r="H2235" i="2" s="1"/>
  <c r="H2236" i="2" s="1"/>
  <c r="H2237" i="2" s="1"/>
  <c r="H2238" i="2" s="1"/>
  <c r="H2239" i="2" s="1"/>
  <c r="H2240" i="2" s="1"/>
  <c r="H2241" i="2" s="1"/>
  <c r="H2242" i="2" s="1"/>
  <c r="H2243" i="2" s="1"/>
  <c r="H2244" i="2" s="1"/>
  <c r="H2245" i="2" s="1"/>
  <c r="H2246" i="2" s="1"/>
  <c r="H2247" i="2" s="1"/>
  <c r="H2248" i="2" s="1"/>
  <c r="H2249" i="2" s="1"/>
  <c r="H2253" i="2" s="1"/>
  <c r="H2" i="2" s="1"/>
  <c r="I2" i="2" l="1"/>
  <c r="I4" i="2" s="1"/>
  <c r="D79" i="9"/>
  <c r="D81" i="9" s="1"/>
  <c r="D99" i="9" s="1"/>
  <c r="D6" i="28"/>
  <c r="F6" i="28" s="1"/>
</calcChain>
</file>

<file path=xl/sharedStrings.xml><?xml version="1.0" encoding="utf-8"?>
<sst xmlns="http://schemas.openxmlformats.org/spreadsheetml/2006/main" count="6898" uniqueCount="2066">
  <si>
    <t>GERMÁN TULIO FERNÁNDEZ FERNÁNDEZ</t>
  </si>
  <si>
    <t>DESDE:</t>
  </si>
  <si>
    <t>HASTA:</t>
  </si>
  <si>
    <t>FECHA</t>
  </si>
  <si>
    <t>CÓDIGO</t>
  </si>
  <si>
    <t>D</t>
  </si>
  <si>
    <t>J</t>
  </si>
  <si>
    <t>N</t>
  </si>
  <si>
    <t>O</t>
  </si>
  <si>
    <t>K</t>
  </si>
  <si>
    <t>G</t>
  </si>
  <si>
    <t>S</t>
  </si>
  <si>
    <t>L</t>
  </si>
  <si>
    <t>M</t>
  </si>
  <si>
    <t>H</t>
  </si>
  <si>
    <t>U</t>
  </si>
  <si>
    <t>P</t>
  </si>
  <si>
    <t>Q</t>
  </si>
  <si>
    <t>A</t>
  </si>
  <si>
    <t>DETALLE</t>
  </si>
  <si>
    <t>CRÉDITOS</t>
  </si>
  <si>
    <t>ACUMULADO</t>
  </si>
  <si>
    <t>SALDO</t>
  </si>
  <si>
    <t>CONCEPTO</t>
  </si>
  <si>
    <t>Papeleria</t>
  </si>
  <si>
    <t>DÉBITOS</t>
  </si>
  <si>
    <t>OBSERVACIONES</t>
  </si>
  <si>
    <t>ARQUEOS DE CAJA</t>
  </si>
  <si>
    <t>SALDO INICIAL EN CAJA</t>
  </si>
  <si>
    <t>SALDO ACTUAL DE CAJA</t>
  </si>
  <si>
    <t>EGRESOS</t>
  </si>
  <si>
    <t>TOTAL EGRESOS</t>
  </si>
  <si>
    <t>INGRESOS</t>
  </si>
  <si>
    <t>B</t>
  </si>
  <si>
    <t>C</t>
  </si>
  <si>
    <t>E</t>
  </si>
  <si>
    <t>F</t>
  </si>
  <si>
    <t>I</t>
  </si>
  <si>
    <t>R</t>
  </si>
  <si>
    <t>T</t>
  </si>
  <si>
    <t>V</t>
  </si>
  <si>
    <t>W</t>
  </si>
  <si>
    <t>X</t>
  </si>
  <si>
    <t>Y</t>
  </si>
  <si>
    <t>Z</t>
  </si>
  <si>
    <t>TOTAL INGRESOS</t>
  </si>
  <si>
    <t>Germán Tulio Fernández</t>
  </si>
  <si>
    <t xml:space="preserve">Diego Alberto Fernández Fernández -Salarios asistente </t>
  </si>
  <si>
    <t>Sandra Yanet Osorio Pabón -Salarios mensajería</t>
  </si>
  <si>
    <t>Préstamos por Nómina -Diego A. Fernández F.</t>
  </si>
  <si>
    <t>Préstamos por Nómina -Sandra Y. Osorio P.</t>
  </si>
  <si>
    <t>Seguridad Social</t>
  </si>
  <si>
    <t>Banda ancha internet UNE y servicios EPM</t>
  </si>
  <si>
    <t>Celulares</t>
  </si>
  <si>
    <t>Mantenimiento equipos</t>
  </si>
  <si>
    <t>Mantenimiento Teléfonos</t>
  </si>
  <si>
    <t>Repuestos y reparaciones equipos oficina</t>
  </si>
  <si>
    <t>Útiles de aseo y ferreteria</t>
  </si>
  <si>
    <t>Pasajes y transportes</t>
  </si>
  <si>
    <t>Pagos -Contabilidad MMHT de: Varios</t>
  </si>
  <si>
    <t>Pagos -Contabilidad JCD de : Varios</t>
  </si>
  <si>
    <t>Arrendamiento Federmán Mesa B. (Admon y Tels)</t>
  </si>
  <si>
    <t>Préstamos Federmán Mesa B.</t>
  </si>
  <si>
    <t>Egresos por Cuenta de Terceros -Pagos impuestos y otros-</t>
  </si>
  <si>
    <t>Egresos por Cuenta de Terceros -Pagos impuestos renta</t>
  </si>
  <si>
    <t>Manuales, Libros y formularios</t>
  </si>
  <si>
    <t>Traslado a Bancolombia GTFF -CONSIGNACIONES</t>
  </si>
  <si>
    <t>Préstamos Juan Carlos Duarte</t>
  </si>
  <si>
    <t>Libia Velásquez Valdés -Cuota alimentos</t>
  </si>
  <si>
    <t>Propinas y Aguinaldos</t>
  </si>
  <si>
    <t>Hernan Restrepo Imp IND y Cio</t>
  </si>
  <si>
    <t>Préstamo Comfama Sandra</t>
  </si>
  <si>
    <t>C x P  ABONOS a: Choly</t>
  </si>
  <si>
    <t>C x P  ABONOS a:</t>
  </si>
  <si>
    <t>Consignaciones a GTFF</t>
  </si>
  <si>
    <t>Consignaciones a Choly</t>
  </si>
  <si>
    <t>C x C o Préstamos a:</t>
  </si>
  <si>
    <t>Tulio Ivan Fernandez R</t>
  </si>
  <si>
    <t>Pagos imprevistos oficina</t>
  </si>
  <si>
    <t>Pagos por sanciones o interses por vencimiento</t>
  </si>
  <si>
    <t>Pagos jornales Adolfo</t>
  </si>
  <si>
    <t>Banco JFK</t>
  </si>
  <si>
    <t>Cuentas de cobro -GTFF</t>
  </si>
  <si>
    <t>Cuentas de cobro -Oficina</t>
  </si>
  <si>
    <t>Sin facturación -Otros</t>
  </si>
  <si>
    <t>Traslado Bancolombia -GTFF -RETIROS</t>
  </si>
  <si>
    <t>Traslado Bancolombia -CHOLY -RETIROS</t>
  </si>
  <si>
    <t>C X C ABONOS</t>
  </si>
  <si>
    <t>C X C CANCELACIÓN</t>
  </si>
  <si>
    <t>Ingresos Recibidos para terceros</t>
  </si>
  <si>
    <t>Reembolso</t>
  </si>
  <si>
    <t>Otros Ingresos</t>
  </si>
  <si>
    <t>Abono a préstamo por Nomina de Sandra Osorio P</t>
  </si>
  <si>
    <t>Abono a préstamo por Nomina de Diego Fernandez</t>
  </si>
  <si>
    <t>Abono a préstamo Federman Mesa</t>
  </si>
  <si>
    <t>Abono a préstamo Juan Carlos Duarte</t>
  </si>
  <si>
    <t>C X P o Préstamos</t>
  </si>
  <si>
    <t>C X P o Préstamos de: Choly</t>
  </si>
  <si>
    <t>Ingresos recibidos para Choly</t>
  </si>
  <si>
    <t>Abono a préstamo Tulio Ivan</t>
  </si>
  <si>
    <t>Activos Pedro Mercado</t>
  </si>
  <si>
    <t>VALOR</t>
  </si>
  <si>
    <t>TOTAL</t>
  </si>
  <si>
    <t>TOTALES</t>
  </si>
  <si>
    <t>GRAN TOTAL</t>
  </si>
  <si>
    <t>ABONOS</t>
  </si>
  <si>
    <t>CUENTAS POR COBRAR EN CARTERA AÑOS ANTERIORES</t>
  </si>
  <si>
    <t>DE: OTRAS CUENTAS POR COBRAR</t>
  </si>
  <si>
    <t>TOBÓN PALACIO MARIO ALBERTO</t>
  </si>
  <si>
    <t>INVERSIONES BERPEL S A</t>
  </si>
  <si>
    <t>GIRÓN HIGUITA ANTONIO MARÍA</t>
  </si>
  <si>
    <t>CÁRDENAS GUTIÉRREZ SERGIO</t>
  </si>
  <si>
    <t>GIRALDO VÉLEZ GUSTAVO ALONSO</t>
  </si>
  <si>
    <t>FERNÁNDEZ FERNÁNDEZ DIEGO ALBERTO</t>
  </si>
  <si>
    <t>BETAVI S A S</t>
  </si>
  <si>
    <t>C RESTREPO P Y CIA S EN C</t>
  </si>
  <si>
    <t>CORPORACIÓN ORIANA MARTÍNEZ PATIÑO -OMAPA-</t>
  </si>
  <si>
    <t>GILSEGUROS INVERSIONES  LTDA GILINVERSIONES LTDA EN LIQUIDACIÓN</t>
  </si>
  <si>
    <t>INDUSTRIAS GOMOL LTDA</t>
  </si>
  <si>
    <t>INVERSIONES LONDOÑO ECHAVARRÍA &amp; CÍA S C A</t>
  </si>
  <si>
    <t>INVERSIONES LUÍS EMILIO RESTREPO ÁLVAREZ LIMITADA</t>
  </si>
  <si>
    <t>INVERSIONES PELÁEZ V &amp; CÍA S C A</t>
  </si>
  <si>
    <t>INVERSIONES SIERRA ROLDÁN S A S</t>
  </si>
  <si>
    <t>MARINA VÉLEZ S A S</t>
  </si>
  <si>
    <t>MINERÍA Y ENERGÍA MINESA S A</t>
  </si>
  <si>
    <t>SOCIEDAD DE AMIGOS DE BIOREGIONES SAB BIOREGIÓN CHOCÓ GOLFO DE TRIBUGA NUQUÍ</t>
  </si>
  <si>
    <t>TIERRAS DE PROMISIÓN S A</t>
  </si>
  <si>
    <t>TROPICPLANTAS LTDA</t>
  </si>
  <si>
    <t>ÁLVAREZ LONDOÑO RODRIGO</t>
  </si>
  <si>
    <t>BERNAL PELÁEZ CLARA CECILIA</t>
  </si>
  <si>
    <t>BERNAL PELÁEZ FABIO ALBERTO</t>
  </si>
  <si>
    <t>BETANCUR RESTREPO SIMÓN</t>
  </si>
  <si>
    <t>BOTERO DE ÁLVAREZ CLARA EUGENIA</t>
  </si>
  <si>
    <t>CÁRDENAS ALVAREZ SANTIAGO</t>
  </si>
  <si>
    <t>CÁRDENAS MARÍN SAÚL</t>
  </si>
  <si>
    <t>CARVAJAL ARIAS AMBROSIO</t>
  </si>
  <si>
    <t>ECHAVARRÍA ARANGO MARTHA</t>
  </si>
  <si>
    <t>ECHAVARRÍA GREIFFESTEIN LUÍS GUILLERMO ESTEBAN</t>
  </si>
  <si>
    <t>FERNÁNDEZ DE ESCOBAR LETICIA</t>
  </si>
  <si>
    <t>FERNÁNDEZ TOBAR MARÍA ALICIA</t>
  </si>
  <si>
    <t>FERNÁNDEZ TOVAR ALBA LUZ</t>
  </si>
  <si>
    <t>GIRALDO VÉLEZ BERNARDINA MARÍA</t>
  </si>
  <si>
    <t>GIRALDO VÉLEZ ISABEL CRISTINA</t>
  </si>
  <si>
    <t>GIRALDO VÉLEZ LUZ ANGELA</t>
  </si>
  <si>
    <t>GIRALDO VÉLEZ MARTHA CECILIA</t>
  </si>
  <si>
    <t>GREIFFESTEIN DE ECHAVARRÍA AMPARO</t>
  </si>
  <si>
    <t>GUTIÉRREZ RADA RAÚL HERNÁN</t>
  </si>
  <si>
    <t>JARAMILLO RESTREPO TERESA</t>
  </si>
  <si>
    <t>LEMOS DE GONZÁLEZ AMPARO DE JESÚS</t>
  </si>
  <si>
    <t>LÓPEZ PÉREZ OSCAR ALBERTO</t>
  </si>
  <si>
    <t>MEJÍA PALACIO IVÁN DE JESÚS</t>
  </si>
  <si>
    <t>MEJÍA PALACIO MARTA LÍA</t>
  </si>
  <si>
    <t>MESA BERMÚDEZ EGIDIO</t>
  </si>
  <si>
    <t>OQUENDO ZAPATA LILLY</t>
  </si>
  <si>
    <t>OSPINA SALDARRIAGA ANA MARÍA</t>
  </si>
  <si>
    <t>POSADA DE CORREA CARMEN ELSSY</t>
  </si>
  <si>
    <t>RESTREPO CARMONA LUZ ELENA</t>
  </si>
  <si>
    <t>RESTREPO DE SÁNCHEZ MARÍA ISABEL</t>
  </si>
  <si>
    <t>RESTREPO PELÁEZ CAROLINA</t>
  </si>
  <si>
    <t>RESTREPO PELÁEZ MARÍA ELVIRA</t>
  </si>
  <si>
    <t>ROLDAN ARANGO MARÍA EUGENIA</t>
  </si>
  <si>
    <t>SALAZAR DUQUE LEONARDO DE JESÚS</t>
  </si>
  <si>
    <t>SIERRA ROLDAN ANA MARÍA</t>
  </si>
  <si>
    <t>SIERRA ROLDAN MARÍA CAMILA</t>
  </si>
  <si>
    <t>TORO LARA MARÍA EUGENIA DEL CARMEN</t>
  </si>
  <si>
    <t>TORRES MIRA LUÍS ARBEY</t>
  </si>
  <si>
    <t>URIBE ZAPATA RUBÉN DE JESÚS</t>
  </si>
  <si>
    <t>VALLEJO TOBÓN SYLVIA LUZ</t>
  </si>
  <si>
    <t>VÉLEZ GARCÉS MARGARITA MARÍA</t>
  </si>
  <si>
    <t>VILLA RESTREPO LUÍS FELIPE</t>
  </si>
  <si>
    <t>RODRIGUEZ URIBE SANTIAGO</t>
  </si>
  <si>
    <t>ALVAREZ LONDOÑO ALBERTO</t>
  </si>
  <si>
    <t>VASQUEZ HERRERA CARLOS MARIO</t>
  </si>
  <si>
    <t>VASQUEZ HERRERA NELSON</t>
  </si>
  <si>
    <t>BERMUDEZ JUAN ANTONIO</t>
  </si>
  <si>
    <t>GIL RESTREPO JULIANA</t>
  </si>
  <si>
    <t xml:space="preserve">INVERSIONES MESA MESA </t>
  </si>
  <si>
    <t>PRODISER LTDA</t>
  </si>
  <si>
    <t>URIBE GALLEGO LUISA</t>
  </si>
  <si>
    <t>SPEED SOLUTIONS SAS</t>
  </si>
  <si>
    <t>ARIAS GARCIA MARIA YANETH</t>
  </si>
  <si>
    <t>DUARTE RABELO LUIS ANTONIO</t>
  </si>
  <si>
    <t>VANEGAS VELEZ LUIS FERNANDO</t>
  </si>
  <si>
    <t>OSORIO PABÓN SANDRA YANETH</t>
  </si>
  <si>
    <t>SALDO ACUMULADO</t>
  </si>
  <si>
    <t>ENERO</t>
  </si>
  <si>
    <t>SEMANA 1</t>
  </si>
  <si>
    <t>SEMANA 2</t>
  </si>
  <si>
    <t>SEMANA 3</t>
  </si>
  <si>
    <t>SEMANA 4</t>
  </si>
  <si>
    <t>SEMANA 5</t>
  </si>
  <si>
    <t>FEBRERO</t>
  </si>
  <si>
    <t>SEMANA 6</t>
  </si>
  <si>
    <t>SEMANA 7</t>
  </si>
  <si>
    <t>SEMANA 8</t>
  </si>
  <si>
    <t>SEMANA 9</t>
  </si>
  <si>
    <t>MARZO</t>
  </si>
  <si>
    <t>SEMANA 10</t>
  </si>
  <si>
    <t>SEMANA 11</t>
  </si>
  <si>
    <t>SEMANA 12</t>
  </si>
  <si>
    <t>SEMANA 13</t>
  </si>
  <si>
    <t>ABRIL</t>
  </si>
  <si>
    <t>SEMANA 14</t>
  </si>
  <si>
    <t>SEPTIEMBRE</t>
  </si>
  <si>
    <t>SEMANA 15</t>
  </si>
  <si>
    <t>SEMANA 16</t>
  </si>
  <si>
    <t>SEMANA 17</t>
  </si>
  <si>
    <t>SEMANA 18</t>
  </si>
  <si>
    <t>MAYO</t>
  </si>
  <si>
    <t>SEMANA 19</t>
  </si>
  <si>
    <t>SEMANA 20</t>
  </si>
  <si>
    <t>SEMANA 21</t>
  </si>
  <si>
    <t>SEMANA 22</t>
  </si>
  <si>
    <t>SEMANA 23</t>
  </si>
  <si>
    <t>JUNIO</t>
  </si>
  <si>
    <t>SEMANA 24</t>
  </si>
  <si>
    <t>SEMANA 25</t>
  </si>
  <si>
    <t>SEMANA 26</t>
  </si>
  <si>
    <t>SEMANA 27</t>
  </si>
  <si>
    <t>JULIO</t>
  </si>
  <si>
    <t>SEMANA 28</t>
  </si>
  <si>
    <t>SEMANA 29</t>
  </si>
  <si>
    <t>SEMANA 30</t>
  </si>
  <si>
    <t>SEMANA 31</t>
  </si>
  <si>
    <t>AGOSTO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</si>
  <si>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</si>
  <si>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</si>
  <si>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</si>
  <si>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</si>
  <si>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</si>
  <si>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</si>
  <si>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</si>
  <si>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</si>
  <si>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</si>
  <si>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OCTUBRE</t>
  </si>
  <si>
    <t>SEMANA 41</t>
  </si>
  <si>
    <t>SEMANA 42</t>
  </si>
  <si>
    <t>SEMANA 43</t>
  </si>
  <si>
    <t>SEMANA 44</t>
  </si>
  <si>
    <t>SEMANA 45</t>
  </si>
  <si>
    <t>NOVIEMBRE</t>
  </si>
  <si>
    <t>SEMANA 46</t>
  </si>
  <si>
    <t>SEMANA 47</t>
  </si>
  <si>
    <t>SEMANA 48</t>
  </si>
  <si>
    <t>SEMANA 49</t>
  </si>
  <si>
    <t>DICIEMBRE</t>
  </si>
  <si>
    <t>SEMANA 50</t>
  </si>
  <si>
    <t>SEMANA 51</t>
  </si>
  <si>
    <t>SEMANA 52</t>
  </si>
  <si>
    <t>SALDO INICIAL</t>
  </si>
  <si>
    <t>SALDO ACTUAL</t>
  </si>
  <si>
    <t>VALOR PRÉSTAMOS</t>
  </si>
  <si>
    <t>SALDO PRÉSTAMOS</t>
  </si>
  <si>
    <t>VALOR ABONOS</t>
  </si>
  <si>
    <t>SALDO ABONOS</t>
  </si>
  <si>
    <t>RESUMEN</t>
  </si>
  <si>
    <t>Saldo inicial</t>
  </si>
  <si>
    <t>Saldo Préstamos del año</t>
  </si>
  <si>
    <t>Saldo Abonos del año</t>
  </si>
  <si>
    <t>DIEGO ALBERTO FERNÁNDEZ FERNÁNDEZ</t>
  </si>
  <si>
    <t>BASE DE DATOS Y CÓDIGOS</t>
  </si>
  <si>
    <t>Almacenes y farmacias</t>
  </si>
  <si>
    <t>Restaurante y cafeterias</t>
  </si>
  <si>
    <t>Pago mantenimiento a Pedro Mercado</t>
  </si>
  <si>
    <t>Retiros de Coop JFK</t>
  </si>
  <si>
    <t>Saldo Final</t>
  </si>
  <si>
    <t>OTRAS CUENTAS DE COBRO</t>
  </si>
  <si>
    <t>DESCUENTOS</t>
  </si>
  <si>
    <t>CARTERA DEL AÑO Y ACUMULADOS</t>
  </si>
  <si>
    <t>GRUPO CASAGO SAS</t>
  </si>
  <si>
    <t>FAMILIA RESTREPO POSADA</t>
  </si>
  <si>
    <t>CORREA POSADA ADRIANA MARIA</t>
  </si>
  <si>
    <t>JARAMILLO DE JARAMILLO MARIA DIOSELINA</t>
  </si>
  <si>
    <t>TOTAL CARTERA en el año</t>
  </si>
  <si>
    <t>DEUDA PERDIDA</t>
  </si>
  <si>
    <t>Pago Pensión Adolfo</t>
  </si>
  <si>
    <t>MOVIMIENTOS DEL AÑO</t>
  </si>
  <si>
    <t>Código</t>
  </si>
  <si>
    <t>Código del Egreso</t>
  </si>
  <si>
    <t>Código del Ingreso</t>
  </si>
  <si>
    <t>Saldo pendiente por COBRAR (+) o por PAGAR (-)</t>
  </si>
  <si>
    <t>CONCEPTO DEL CÓDIGO</t>
  </si>
  <si>
    <t>CLIENTES</t>
  </si>
  <si>
    <t>Arreglo casa</t>
  </si>
  <si>
    <t>BONIFICACIÓN 2014</t>
  </si>
  <si>
    <t>BONIFICACIÓN 2015</t>
  </si>
  <si>
    <t>Saldo a efectivo</t>
  </si>
  <si>
    <t>SOAT Montero</t>
  </si>
  <si>
    <t>Seguro RC Montero</t>
  </si>
  <si>
    <t>BONIFICACIÓN 2016</t>
  </si>
  <si>
    <t>CÁLCULO BONIFICACIONES</t>
  </si>
  <si>
    <t>OTROS -Aguinaldos -Ver cuadro</t>
  </si>
  <si>
    <t>EDIFICIO DON GASPAR</t>
  </si>
  <si>
    <t>Doña Orfa</t>
  </si>
  <si>
    <t>Silvia -Aseo</t>
  </si>
  <si>
    <t>José Ignacio</t>
  </si>
  <si>
    <t>Omar</t>
  </si>
  <si>
    <t>JARDINES DE BABILONIA</t>
  </si>
  <si>
    <t xml:space="preserve">TOTAL </t>
  </si>
  <si>
    <t>OTROS</t>
  </si>
  <si>
    <t>TOTAL ACUMULADO</t>
  </si>
  <si>
    <t>Prestamo Norma</t>
  </si>
  <si>
    <t>BONIFICACIÓN 2017</t>
  </si>
  <si>
    <t>Abonos a bonificación</t>
  </si>
  <si>
    <t>Menos: Abonos</t>
  </si>
  <si>
    <t>Abono a pasivos</t>
  </si>
  <si>
    <t>Bonificacion  Diego</t>
  </si>
  <si>
    <t>Bonificacion  Sandra</t>
  </si>
  <si>
    <t>Efectivo</t>
  </si>
  <si>
    <t>ENERO 2019</t>
  </si>
  <si>
    <t>EGRESOS OFICINA</t>
  </si>
  <si>
    <t>SUB TOTAL EGRESOS OFICINA</t>
  </si>
  <si>
    <t>EGRESOS PERSONALES</t>
  </si>
  <si>
    <t>SUB TOTAL EGRESOS PERSONALES</t>
  </si>
  <si>
    <t>PRESUPUESTOS DEL AÑO</t>
  </si>
  <si>
    <t>TOTAL PRESUPUESTO</t>
  </si>
  <si>
    <t>Gastos Barbosa</t>
  </si>
  <si>
    <t>Pagos Norma</t>
  </si>
  <si>
    <t>RELACIÓN DE FACTURAS</t>
  </si>
  <si>
    <t>CÓDIGO DEL CLIENTE</t>
  </si>
  <si>
    <t>RETENCIÓN EN LA FUENTE</t>
  </si>
  <si>
    <t>I V A</t>
  </si>
  <si>
    <t>SALDO A PAGAR</t>
  </si>
  <si>
    <t>FORMA DE PAGO</t>
  </si>
  <si>
    <t>FECHA DE PAGO</t>
  </si>
  <si>
    <t>18-013</t>
  </si>
  <si>
    <t>DOCUMENTO No.</t>
  </si>
  <si>
    <t>FECHA DEL DOCUMENTO</t>
  </si>
  <si>
    <t>VALOR BRUTO  DEL DOCUMENTO</t>
  </si>
  <si>
    <t>VALOR TOTAL DEL DOCUMENTO</t>
  </si>
  <si>
    <t>GERMÁN TULIO FERNÁNDEZ FERNÁNDEZ -Facturación</t>
  </si>
  <si>
    <t>GERMÁN TULIO FERNÁNDEZ FERNÁNDEZ -CUENTAS DE COBRO</t>
  </si>
  <si>
    <t>DAFF</t>
  </si>
  <si>
    <t>DIAZ FLOREZ HENRY EMILIO</t>
  </si>
  <si>
    <t>0714</t>
  </si>
  <si>
    <t>0715</t>
  </si>
  <si>
    <t>0716</t>
  </si>
  <si>
    <t>0717</t>
  </si>
  <si>
    <t>0718</t>
  </si>
  <si>
    <t>0719</t>
  </si>
  <si>
    <t>0720</t>
  </si>
  <si>
    <t>Traslados Bancolombia DAFF</t>
  </si>
  <si>
    <t>Bonificacion en nomina</t>
  </si>
  <si>
    <t>ABONOS BONIFICACIÓN</t>
  </si>
  <si>
    <t>TOTAL ABONOS DEL AÑO</t>
  </si>
  <si>
    <t>Bonificación pagada por nómina</t>
  </si>
  <si>
    <t>Porcentaje incremento</t>
  </si>
  <si>
    <t>Valor incrementado</t>
  </si>
  <si>
    <t>VALOR A PAGAR</t>
  </si>
  <si>
    <t>Saldo pendiente por PAGAR Oficina</t>
  </si>
  <si>
    <t>0700</t>
  </si>
  <si>
    <t>BONIFICACIÓN 2018</t>
  </si>
  <si>
    <t>BONIFICACIÓN 2019</t>
  </si>
  <si>
    <t>Felipe Bossio Zapata -Salarios mensajería</t>
  </si>
  <si>
    <t>Préstamos por Nómina -Felipè Bossio</t>
  </si>
  <si>
    <t>Abono a préstamo por Nomina de Felipe Bossio</t>
  </si>
  <si>
    <t>Bonificacion  Felipe</t>
  </si>
  <si>
    <t>Varios Oficina</t>
  </si>
  <si>
    <t>Compras de formularios, Certificvados  y otros a terceros</t>
  </si>
  <si>
    <t>retiro pago impuestos</t>
  </si>
  <si>
    <t>pago prestamo</t>
  </si>
  <si>
    <t>Pagos seguridad social terceros</t>
  </si>
  <si>
    <t>BOSSIO ZAPATA FELIPE</t>
  </si>
  <si>
    <t>RETIRADOS A 2020</t>
  </si>
  <si>
    <t>SALDO PENDIENTE POR PAGAR</t>
  </si>
  <si>
    <t>VALOR DECLARADO</t>
  </si>
  <si>
    <t>CÓDIGO DEL EGRESO</t>
  </si>
  <si>
    <t>CÓDIGO DEL INGRESO</t>
  </si>
  <si>
    <t>Pago faltantes IVA del 2013 y 2014</t>
  </si>
  <si>
    <t>TORM HOLDING SAS</t>
  </si>
  <si>
    <t>Pago seguridad Social Javier Adolfo Rios</t>
  </si>
  <si>
    <t>Saldo aó 2019</t>
  </si>
  <si>
    <t>FERNÁNDEZ VELÁSQUEZ SUSANA</t>
  </si>
  <si>
    <t>FERNÁNDEZ VELÁSQUEZ ISABEL</t>
  </si>
  <si>
    <t>VELÁSQUEZ VALDÉS LIBIA</t>
  </si>
  <si>
    <t>OFICINA -Varios-</t>
  </si>
  <si>
    <t>CETA -Suscripción</t>
  </si>
  <si>
    <t>CÓDIGO DEL TERCERO</t>
  </si>
  <si>
    <t>CONCEPTO DEL EGRESO</t>
  </si>
  <si>
    <t>CORRUFORMAS SAS</t>
  </si>
  <si>
    <t>CONCEPTO DEL INGRESO</t>
  </si>
  <si>
    <t>AA</t>
  </si>
  <si>
    <t>AB</t>
  </si>
  <si>
    <t>AC</t>
  </si>
  <si>
    <t>AD</t>
  </si>
  <si>
    <t>AF</t>
  </si>
  <si>
    <t>AG</t>
  </si>
  <si>
    <t>MOVIMIENTO DE INGRESOS A CAJA DIARIO</t>
  </si>
  <si>
    <t>MOVIMIENTO DE EGRESOS DE CAJA DIARIO</t>
  </si>
  <si>
    <t>VALOR ACUMULADO POR CÓDIGO</t>
  </si>
  <si>
    <t>ACUMULADOS DE CAJA</t>
  </si>
  <si>
    <t>FALTANTE</t>
  </si>
  <si>
    <t>SOBRANTE</t>
  </si>
  <si>
    <t>ARQUEOS DE CAJA -Efectivo</t>
  </si>
  <si>
    <t>DENOMINACIÓN</t>
  </si>
  <si>
    <t>CANT</t>
  </si>
  <si>
    <t>MONEDAS</t>
  </si>
  <si>
    <t>HACE RET FTE</t>
  </si>
  <si>
    <t>SI</t>
  </si>
  <si>
    <t>N/A</t>
  </si>
  <si>
    <t>- CONTROL TOPES - DIFERENCIA</t>
  </si>
  <si>
    <t>RESUMEN TOTALES</t>
  </si>
  <si>
    <t>VALOR DEL DOCUMENTO</t>
  </si>
  <si>
    <t>IVA FACTURADO</t>
  </si>
  <si>
    <t>VARIOS</t>
  </si>
  <si>
    <r>
      <t xml:space="preserve">CUENTAS DE COBRO </t>
    </r>
    <r>
      <rPr>
        <b/>
        <sz val="10"/>
        <color rgb="FFFF0000"/>
        <rFont val="Verdana"/>
        <family val="2"/>
      </rPr>
      <t>-DIEGO ALBERTO FERNÁNDEZ FERNÁNDEZ-</t>
    </r>
  </si>
  <si>
    <t>SUB TOTAL</t>
  </si>
  <si>
    <t>OFICINA</t>
  </si>
  <si>
    <t>Prestamo renovacion camara y renta año 2017</t>
  </si>
  <si>
    <r>
      <t xml:space="preserve">FACTURAS </t>
    </r>
    <r>
      <rPr>
        <b/>
        <sz val="10"/>
        <color rgb="FF0000FF"/>
        <rFont val="Verdana"/>
        <family val="2"/>
      </rPr>
      <t>-GERMÁN TULIO FERNÁNDEZ FERNÁNDEZ-</t>
    </r>
  </si>
  <si>
    <r>
      <t xml:space="preserve">OTROS COBROS </t>
    </r>
    <r>
      <rPr>
        <b/>
        <sz val="10"/>
        <color rgb="FF0000FF"/>
        <rFont val="Verdana"/>
        <family val="2"/>
      </rPr>
      <t>-GERMÁN TULIO FERNÁNDEZ FERNÁNDEZ-</t>
    </r>
  </si>
  <si>
    <t>TOTALES: CARTERA AÑOS ANTERIORES</t>
  </si>
  <si>
    <t>Asesoría tributaria año gravable 2017</t>
  </si>
  <si>
    <t>DUQUE ECHEVERRÍ GERMÁN</t>
  </si>
  <si>
    <t>FERNÁNDEZ RESTREPO ÁLVARO</t>
  </si>
  <si>
    <t>GAVIRIA VÉLEZ SEBASTIAN</t>
  </si>
  <si>
    <t>REPETIDO</t>
  </si>
  <si>
    <t>HOYOS ARANGO ANDRÉS</t>
  </si>
  <si>
    <t>INMOBILIARIA GILINVERSIONES SAS</t>
  </si>
  <si>
    <t>INVERSIONES CIRPUL SAS</t>
  </si>
  <si>
    <t>JAVIER RÍOS E HIJOS Y CÍA SCA</t>
  </si>
  <si>
    <t>RÍOS CORREA JAVIER ADOLFO</t>
  </si>
  <si>
    <t>SÁNCHEZ RESTREPO MARGARITA ROSA</t>
  </si>
  <si>
    <t>RETIRADO</t>
  </si>
  <si>
    <t>Gastos personales</t>
  </si>
  <si>
    <t>Préstamos a:</t>
  </si>
  <si>
    <t>Préstamos por Nómina a:</t>
  </si>
  <si>
    <t>Pago de Bonificación a:</t>
  </si>
  <si>
    <t>Egresos por Cuenta de Terceros -Certificados y otros</t>
  </si>
  <si>
    <t>NO</t>
  </si>
  <si>
    <r>
      <t>PASA AL:</t>
    </r>
    <r>
      <rPr>
        <b/>
        <sz val="10"/>
        <rFont val="Verdana"/>
        <family val="2"/>
      </rPr>
      <t xml:space="preserve"> 2</t>
    </r>
  </si>
  <si>
    <r>
      <t>PASA AL:</t>
    </r>
    <r>
      <rPr>
        <b/>
        <sz val="10"/>
        <rFont val="Verdana"/>
        <family val="2"/>
      </rPr>
      <t xml:space="preserve"> C</t>
    </r>
  </si>
  <si>
    <t>Recibido por: -Cuentas de cobro -GTFF</t>
  </si>
  <si>
    <t>Recibido por: -FACTURAS -GTFF</t>
  </si>
  <si>
    <t>Recibido por: -Cuentas de cobro -DAFF</t>
  </si>
  <si>
    <r>
      <t>PASA AL:</t>
    </r>
    <r>
      <rPr>
        <b/>
        <sz val="10"/>
        <rFont val="Verdana"/>
        <family val="2"/>
      </rPr>
      <t xml:space="preserve"> D</t>
    </r>
  </si>
  <si>
    <r>
      <t>PASA AL:</t>
    </r>
    <r>
      <rPr>
        <b/>
        <sz val="10"/>
        <rFont val="Verdana"/>
        <family val="2"/>
      </rPr>
      <t xml:space="preserve"> B</t>
    </r>
  </si>
  <si>
    <t>Se utiliza cuando:</t>
  </si>
  <si>
    <t>APELLIDOS Y NOMBRES o RAZÓN SOCIAL DEL CLIENTE y CONCEPTO DEL CÓDIGO</t>
  </si>
  <si>
    <r>
      <t>PASA AL:</t>
    </r>
    <r>
      <rPr>
        <b/>
        <sz val="10"/>
        <rFont val="Verdana"/>
        <family val="2"/>
      </rPr>
      <t xml:space="preserve"> E</t>
    </r>
  </si>
  <si>
    <t>Con MVTO:</t>
  </si>
  <si>
    <r>
      <t>PASA AL:</t>
    </r>
    <r>
      <rPr>
        <b/>
        <sz val="10"/>
        <rFont val="Verdana"/>
        <family val="2"/>
      </rPr>
      <t xml:space="preserve"> F</t>
    </r>
  </si>
  <si>
    <t>Recibido por: -Cuentas por Cobrar</t>
  </si>
  <si>
    <r>
      <t>PASA AL:</t>
    </r>
    <r>
      <rPr>
        <b/>
        <sz val="10"/>
        <rFont val="Verdana"/>
        <family val="2"/>
      </rPr>
      <t xml:space="preserve"> G</t>
    </r>
  </si>
  <si>
    <t>DOBLE</t>
  </si>
  <si>
    <t>Abonan o cancelan dineros prestados o cuentas por cobrar diferentes o que no pasan por la facturación, por ej: Préstamos a FMB y a JCDH, préstamos que GTFF le haya hecho a conocidos y por platas que pusimos para pagarle impuestos, seguridad social o demás cuentas a nombre de los clientes.</t>
  </si>
  <si>
    <r>
      <t>PASA AL:</t>
    </r>
    <r>
      <rPr>
        <b/>
        <sz val="10"/>
        <rFont val="Verdana"/>
        <family val="2"/>
      </rPr>
      <t xml:space="preserve"> H</t>
    </r>
  </si>
  <si>
    <r>
      <t>PASA AL:</t>
    </r>
    <r>
      <rPr>
        <b/>
        <sz val="10"/>
        <rFont val="Verdana"/>
        <family val="2"/>
      </rPr>
      <t xml:space="preserve"> I</t>
    </r>
  </si>
  <si>
    <t>INGRESOS o ENTRADAS A CAJA</t>
  </si>
  <si>
    <t>EGRESOS o SALIDAS DE CAJA</t>
  </si>
  <si>
    <t>CLIENTES o TERCEROS</t>
  </si>
  <si>
    <t>Nos hacen pagos a los que no se les elabora factura ni cuenta de cobro por ej: Asesorías, reconocimiento del GMF (4x1000), propinas, regalos, aguinaldos, reintegros y demás dineros que entre a la caja.</t>
  </si>
  <si>
    <t>Dineros que nos consignan terceros para un destino especifíco, por ej: Para pagarles seguridad social, impuestos y otras cuentas.</t>
  </si>
  <si>
    <t>Abonan o cancelan facturación de GTFF.</t>
  </si>
  <si>
    <t>Abonan o cancelan cuentas de cobro de GTFF.</t>
  </si>
  <si>
    <t>Abonan o cancelan cuentas de cobro de DAFF.</t>
  </si>
  <si>
    <t>Dineros por préstamos que le hagan a GTFF por ej: préstamos de bancos y de terceros para financiar la operación de la oficina.</t>
  </si>
  <si>
    <t>IGUAL</t>
  </si>
  <si>
    <t>Pago de Salarios a:</t>
  </si>
  <si>
    <t>Pago de Prestaciones sociales a:</t>
  </si>
  <si>
    <t>Pagos de: -Gastos Barbosa</t>
  </si>
  <si>
    <t>Pagos de: -Pasajes y transportes</t>
  </si>
  <si>
    <t>Pagos de: -Seguridad Social</t>
  </si>
  <si>
    <t>Pagos de: -Cuota para alimentos y Manuntención</t>
  </si>
  <si>
    <t>Pagos de: -Celulares</t>
  </si>
  <si>
    <t>Pagos de: -Suscripciones</t>
  </si>
  <si>
    <t>Pagos de: -Seminarios y capacitaciones</t>
  </si>
  <si>
    <t>Pagos de: -Mantenimiento de equipos y telefonía</t>
  </si>
  <si>
    <t>Pagos de: -Aguinaldos y Propinas</t>
  </si>
  <si>
    <t>Compra de: -Equipos, dotaciones y repuestos para oficina</t>
  </si>
  <si>
    <t>Compra de: -Manuales, Libros y formularios</t>
  </si>
  <si>
    <t>Compra de: -Drogas y farmacia</t>
  </si>
  <si>
    <t>Compra de: -Restaurante y cafetería</t>
  </si>
  <si>
    <t>Pagos de: -Cuentas por Pagar a:</t>
  </si>
  <si>
    <t>Se pagan los Salarios cada semana.</t>
  </si>
  <si>
    <t>Se pagan Bonificaciones no incluidas en las liquidaciones del personal.</t>
  </si>
  <si>
    <t>Se pagan los celulares de Libia y GTFF, (se debe discriminar por tercero).</t>
  </si>
  <si>
    <t>Se paga el trimestre de CETA.</t>
  </si>
  <si>
    <t>Se pagan por la asistencia a seminarios.</t>
  </si>
  <si>
    <t>Pagos de: -Sanciones e intereses asumidos</t>
  </si>
  <si>
    <t>Compra de: -Papelería</t>
  </si>
  <si>
    <t>Se pagan por cuenta de la oficina impuestos, sanciones e intereses al asumir por un error cometido.</t>
  </si>
  <si>
    <t>Pagos de: -Servicios públicos -OFICINA-</t>
  </si>
  <si>
    <t>Pagos de: -Servicios públicos -NIÑAS-</t>
  </si>
  <si>
    <t>Pagos de: -Servicios públicos -ERMITA-</t>
  </si>
  <si>
    <t>Se hacen pagos sólo de UNE y EPM de que tengan que ver con  Babilonia.</t>
  </si>
  <si>
    <t>Se hacen pagos sólo de UNE y EPM de que tengan que ver con la Ermita.</t>
  </si>
  <si>
    <t>Pagos de: -Demás Gastos oficina</t>
  </si>
  <si>
    <t>Compra de: -Útiles de aseo</t>
  </si>
  <si>
    <t>Se pagan gastos como Aseo y demás extraordinarios y no clasificados.</t>
  </si>
  <si>
    <t>Se hacen abonos o cancelaciones de platas que debe la oficina.</t>
  </si>
  <si>
    <t>Egresos por Cuenta de Terceros -Pagos impuestos-</t>
  </si>
  <si>
    <t>Egresos por Cuenta de Terceros -Seguridad social-</t>
  </si>
  <si>
    <t>Se presta plata a los clientes (Terceros) para pagarles cualquier tipo de Impuestos.</t>
  </si>
  <si>
    <t>Se presta plata a los clientes (Terceros) para pagarles la seguridad social.</t>
  </si>
  <si>
    <t>Se presta plata a los clientes (Terceros) para comprarles cualquier tipo de certificado o cualquier otro concepto.</t>
  </si>
  <si>
    <t>Egresos por Cuenta de Terceros -Mantenimiento o compras de equipos y repuestos</t>
  </si>
  <si>
    <t>Se presta plata a los clientes (Terceros) para comprarles o pagarles cualquier tipo equipo, repuesto, mantenimiento de equipos o cualquier otro concepto.</t>
  </si>
  <si>
    <t>Sólo para la oficina o GTFF.</t>
  </si>
  <si>
    <t>Se desembolsa o presta plata a personas distintas a los clientes (Terceros).</t>
  </si>
  <si>
    <r>
      <t>PASA AL:</t>
    </r>
    <r>
      <rPr>
        <b/>
        <sz val="10"/>
        <rFont val="Verdana"/>
        <family val="2"/>
      </rPr>
      <t xml:space="preserve"> 12</t>
    </r>
  </si>
  <si>
    <r>
      <t>PASA AL:</t>
    </r>
    <r>
      <rPr>
        <b/>
        <sz val="10"/>
        <rFont val="Verdana"/>
        <family val="2"/>
      </rPr>
      <t xml:space="preserve"> 25</t>
    </r>
  </si>
  <si>
    <r>
      <t>PASA AL:</t>
    </r>
    <r>
      <rPr>
        <b/>
        <sz val="10"/>
        <rFont val="Verdana"/>
        <family val="2"/>
      </rPr>
      <t xml:space="preserve"> 28</t>
    </r>
  </si>
  <si>
    <r>
      <t>PASA AL:</t>
    </r>
    <r>
      <rPr>
        <b/>
        <sz val="10"/>
        <rFont val="Verdana"/>
        <family val="2"/>
      </rPr>
      <t xml:space="preserve"> 7</t>
    </r>
  </si>
  <si>
    <r>
      <t>PASA AL:</t>
    </r>
    <r>
      <rPr>
        <b/>
        <sz val="10"/>
        <rFont val="Verdana"/>
        <family val="2"/>
      </rPr>
      <t xml:space="preserve"> 15</t>
    </r>
  </si>
  <si>
    <r>
      <t>PASA AL:</t>
    </r>
    <r>
      <rPr>
        <b/>
        <sz val="10"/>
        <rFont val="Verdana"/>
        <family val="2"/>
      </rPr>
      <t xml:space="preserve"> 29</t>
    </r>
  </si>
  <si>
    <r>
      <t>PASA AL:</t>
    </r>
    <r>
      <rPr>
        <b/>
        <sz val="10"/>
        <rFont val="Verdana"/>
        <family val="2"/>
      </rPr>
      <t xml:space="preserve"> 16</t>
    </r>
  </si>
  <si>
    <r>
      <t>PASA AL:</t>
    </r>
    <r>
      <rPr>
        <b/>
        <sz val="10"/>
        <rFont val="Verdana"/>
        <family val="2"/>
      </rPr>
      <t xml:space="preserve"> 18</t>
    </r>
  </si>
  <si>
    <r>
      <t>PASA AL:</t>
    </r>
    <r>
      <rPr>
        <b/>
        <sz val="10"/>
        <rFont val="Verdana"/>
        <family val="2"/>
      </rPr>
      <t xml:space="preserve"> 4</t>
    </r>
  </si>
  <si>
    <t>Consigna 5.900.000</t>
  </si>
  <si>
    <t>Ingresos Recibidos de terceros para pagos</t>
  </si>
  <si>
    <t>OK/Actualiz</t>
  </si>
  <si>
    <t>CONSIGNACIÓN POR IDENTIFICAR</t>
  </si>
  <si>
    <t>Se reciben consignaciones sin identificar, debe ser de uso provisional mientras se identifica la procedencia del ingreso.</t>
  </si>
  <si>
    <t>Recibido por: -Préstamos a favor de la oficina</t>
  </si>
  <si>
    <t>-Consignaciones pendientes de identificar</t>
  </si>
  <si>
    <t>Recibido por: -Abono a préstamos por Nómina de:</t>
  </si>
  <si>
    <t>Abono o cancelación de préstamos de Diego A. Fernández F.</t>
  </si>
  <si>
    <t>Abono o cancelación de préstamos de Felipe Bossio Zapata.</t>
  </si>
  <si>
    <t>Recibido por: -Otros ingresos Sin Facturación</t>
  </si>
  <si>
    <r>
      <rPr>
        <b/>
        <sz val="10"/>
        <color rgb="FFFF0000"/>
        <rFont val="Verdana"/>
        <family val="2"/>
      </rPr>
      <t>PASA AL:</t>
    </r>
    <r>
      <rPr>
        <b/>
        <sz val="10"/>
        <rFont val="Verdana"/>
        <family val="2"/>
      </rPr>
      <t xml:space="preserve"> 6</t>
    </r>
  </si>
  <si>
    <t>Se desembolsan préstamos a Diego A. Fernández F.</t>
  </si>
  <si>
    <t>Se desembolsan préstamos a Felipe Bossio Zapata.</t>
  </si>
  <si>
    <t>Para gastos exclusivamente personales que no tengan que ver con la familia, la oficina y Barbosa, por ej: Pago de impuestos predial Medellín, vehículo, apartamento Ermita, mercados personales y demás.</t>
  </si>
  <si>
    <t>Se pagan las Liquidaciones del personal al final del año o por retiro.</t>
  </si>
  <si>
    <t>Se pagan los aportes a la seguridad social de la oficina y personal cada mes.</t>
  </si>
  <si>
    <t>Se hacen pagos sólo de UNE y EPM que tengan que ver con la Oficina, NOTA: los de  Babilonia (8) y Ermita (1) se cargan aparte a cada uno y los de Barbosa dentro de Gastos Barbosa (19).</t>
  </si>
  <si>
    <t>Se hacen pagos a Libia y las niñas, a Choly, a Omar, a Juliana y DAFF (Mercado), NOTA: cualquier gasto para ALFF va a la cuenta de Gastos Barbosa (19).</t>
  </si>
  <si>
    <t>Se pagan Propinas (Agua) y aguinaldos al fin del año.</t>
  </si>
  <si>
    <t>Se pagan todo lo que tenga que ver con Barbosa como pagos a EPM, acueductos y pagos para ALFF.</t>
  </si>
  <si>
    <t>Sólo para gastos de la oficina, si son para GTFF van en el código (1).</t>
  </si>
  <si>
    <r>
      <t>PASA AL:</t>
    </r>
    <r>
      <rPr>
        <b/>
        <sz val="10"/>
        <rFont val="Verdana"/>
        <family val="2"/>
      </rPr>
      <t xml:space="preserve"> 9-10-11</t>
    </r>
  </si>
  <si>
    <r>
      <t>PASA AL:</t>
    </r>
    <r>
      <rPr>
        <b/>
        <sz val="10"/>
        <rFont val="Verdana"/>
        <family val="2"/>
      </rPr>
      <t xml:space="preserve"> 13</t>
    </r>
  </si>
  <si>
    <r>
      <t>PASA AL:</t>
    </r>
    <r>
      <rPr>
        <b/>
        <sz val="10"/>
        <rFont val="Verdana"/>
        <family val="2"/>
      </rPr>
      <t xml:space="preserve"> 15-22-32</t>
    </r>
  </si>
  <si>
    <r>
      <t>PASA AL:</t>
    </r>
    <r>
      <rPr>
        <b/>
        <sz val="10"/>
        <rFont val="Verdana"/>
        <family val="2"/>
      </rPr>
      <t xml:space="preserve"> 20-31</t>
    </r>
  </si>
  <si>
    <r>
      <t>PASA AL:</t>
    </r>
    <r>
      <rPr>
        <b/>
        <sz val="10"/>
        <rFont val="Verdana"/>
        <family val="2"/>
      </rPr>
      <t xml:space="preserve"> 33</t>
    </r>
  </si>
  <si>
    <r>
      <t>PASA AL:</t>
    </r>
    <r>
      <rPr>
        <b/>
        <sz val="10"/>
        <rFont val="Verdana"/>
        <family val="2"/>
      </rPr>
      <t xml:space="preserve"> 8</t>
    </r>
  </si>
  <si>
    <r>
      <t>PASA AL:</t>
    </r>
    <r>
      <rPr>
        <b/>
        <sz val="10"/>
        <rFont val="Verdana"/>
        <family val="2"/>
      </rPr>
      <t xml:space="preserve"> 30</t>
    </r>
  </si>
  <si>
    <r>
      <t>PASA AL:</t>
    </r>
    <r>
      <rPr>
        <b/>
        <sz val="10"/>
        <rFont val="Verdana"/>
        <family val="2"/>
      </rPr>
      <t xml:space="preserve"> 17</t>
    </r>
  </si>
  <si>
    <r>
      <t>PASA AL:</t>
    </r>
    <r>
      <rPr>
        <b/>
        <sz val="10"/>
        <rFont val="Verdana"/>
        <family val="2"/>
      </rPr>
      <t xml:space="preserve"> 19</t>
    </r>
  </si>
  <si>
    <t>OK/</t>
  </si>
  <si>
    <t>Se paga por el mantenimiento de los computadores, los teléfonos y la reparación de cualquier equipo que tenga que ver con la oficina o GTFF. NOTA: La compra de repuestos o equipos va en otra cuenta (22) y si es para alguien distinto de la oficina en la cuenta (32).</t>
  </si>
  <si>
    <r>
      <t>PASA AL:</t>
    </r>
    <r>
      <rPr>
        <b/>
        <sz val="10"/>
        <rFont val="Verdana"/>
        <family val="2"/>
      </rPr>
      <t xml:space="preserve"> 20-23-22</t>
    </r>
  </si>
  <si>
    <r>
      <t>PASA AL:</t>
    </r>
    <r>
      <rPr>
        <b/>
        <sz val="10"/>
        <rFont val="Verdana"/>
        <family val="2"/>
      </rPr>
      <t xml:space="preserve"> 8-20-26-27</t>
    </r>
  </si>
  <si>
    <r>
      <t>PASA AL:</t>
    </r>
    <r>
      <rPr>
        <b/>
        <sz val="10"/>
        <rFont val="Verdana"/>
        <family val="2"/>
      </rPr>
      <t xml:space="preserve"> 26-27</t>
    </r>
  </si>
  <si>
    <r>
      <t>PASA AL:</t>
    </r>
    <r>
      <rPr>
        <b/>
        <sz val="10"/>
        <rFont val="Verdana"/>
        <family val="2"/>
      </rPr>
      <t xml:space="preserve"> 24-31</t>
    </r>
  </si>
  <si>
    <r>
      <t>PASA AL:</t>
    </r>
    <r>
      <rPr>
        <b/>
        <sz val="10"/>
        <rFont val="Verdana"/>
        <family val="2"/>
      </rPr>
      <t xml:space="preserve"> 5-14</t>
    </r>
  </si>
  <si>
    <r>
      <t>PASA AL:</t>
    </r>
    <r>
      <rPr>
        <b/>
        <sz val="10"/>
        <rFont val="Verdana"/>
        <family val="2"/>
      </rPr>
      <t xml:space="preserve"> 8-21</t>
    </r>
  </si>
  <si>
    <t>OK/sin movto</t>
  </si>
  <si>
    <t>SALDO CRÉDITO ACUMULADO</t>
  </si>
  <si>
    <t>La diferencia debe ser CERO (0). Si existe diferencia quiere decir que hay ERROR de formulas.</t>
  </si>
  <si>
    <t>DIFERENCIA</t>
  </si>
  <si>
    <t>Se pagan pasajes y demás, si no se van a cobrar se le carga al tercero de la oficina (359) y si se van a cobrar al cliente (Tercero).</t>
  </si>
  <si>
    <t>Reembolsos y recuperaciones</t>
  </si>
  <si>
    <t>Traslados y retiros de y hacía las cuentas de Bancolombia (GTFF, DAFF y Choly), de la cooperativa JFK y de Fiducolombia (Choly) que van a ENTRAR a caja o se van a UTILIZAR para la operación de la oficina.</t>
  </si>
  <si>
    <t>TOTALES EGRESOS</t>
  </si>
  <si>
    <t>Control: Diferencia debe ser = 0</t>
  </si>
  <si>
    <t>-Retiros y Traslados de Bancos</t>
  </si>
  <si>
    <t>OK/Efecto neutro</t>
  </si>
  <si>
    <t>Se le paga el impto</t>
  </si>
  <si>
    <t>Nos queda a favor en el banco</t>
  </si>
  <si>
    <t>CONTRA</t>
  </si>
  <si>
    <t>Se reciben consignaciones sin identificar, se asienta en el gasto para no distorsionar la caja. Debe ser de uso provisional mientras se identifica la procedencia del ingreso.</t>
  </si>
  <si>
    <t>Para no distorsionar la caja</t>
  </si>
  <si>
    <t>OK/Saldo final</t>
  </si>
  <si>
    <t>Consignacion Corruformas 2.132.496</t>
  </si>
  <si>
    <t>OK/Consignación</t>
  </si>
  <si>
    <r>
      <t>Retiro para hacer pagos</t>
    </r>
    <r>
      <rPr>
        <sz val="10"/>
        <color rgb="FFFF0000"/>
        <rFont val="Verdana"/>
        <family val="2"/>
      </rPr>
      <t xml:space="preserve"> -En DAFF</t>
    </r>
  </si>
  <si>
    <t>Cuando se le pagan las cuentas: (se le presta)</t>
  </si>
  <si>
    <t>Cuando se le pagó la cuenta o se le presta</t>
  </si>
  <si>
    <t>OJO - Hay que verfificar si es una cuenta por cobrar del año anterior o quedó faltando el asiento de lo que se le prestó este año.</t>
  </si>
  <si>
    <t>- OJO -</t>
  </si>
  <si>
    <t>OJO -Será que falta el EGRESO</t>
  </si>
  <si>
    <t>Se transfiere de DAFF a GTFF</t>
  </si>
  <si>
    <t>Cuando se le presta o se le pagó la cuenta</t>
  </si>
  <si>
    <t>Sale de la caja para el banco para que no la infle. -Con lo transferido se pagan gastos? Hay que verificar</t>
  </si>
  <si>
    <t>Será que era el pago de la admon y no una consignac de AFR</t>
  </si>
  <si>
    <r>
      <t xml:space="preserve">Consigna Alvaro Fernandez </t>
    </r>
    <r>
      <rPr>
        <b/>
        <sz val="8"/>
        <color rgb="FFFF0000"/>
        <rFont val="Verdana"/>
        <family val="2"/>
      </rPr>
      <t>-OJO- voy a suponer que es el pago de la admon y no una consig porque en el mvto de bancos no aparece</t>
    </r>
  </si>
  <si>
    <t>Saldos antes reorganización</t>
  </si>
  <si>
    <t>APELLIDOS Y NOMBRES o RAZÓN SOCIAL DEL CLIENTE o TERCERO</t>
  </si>
  <si>
    <t>SALDO POR PAGAR A CARGO DE LA OFICINA</t>
  </si>
  <si>
    <t>SALDO POR COBRAR AL CLIENTE</t>
  </si>
  <si>
    <t>OJO -Revisar</t>
  </si>
  <si>
    <t>Viene de: CARTERA años anteriores</t>
  </si>
  <si>
    <t>FACTURAS y CUENTAS DE COBRO DEL AÑO</t>
  </si>
  <si>
    <t>INGRESOS EN EL AÑO</t>
  </si>
  <si>
    <t>EGRESOS EN EL AÑO</t>
  </si>
  <si>
    <t>Viene de: FACTURACIÓN del año</t>
  </si>
  <si>
    <t>Viene de: INGRESOS del año</t>
  </si>
  <si>
    <t>Viene de: EGRESOS del año</t>
  </si>
  <si>
    <t>SALDO TOTAL PENDIENTE POR COBRAR</t>
  </si>
  <si>
    <t>Creo que no debe</t>
  </si>
  <si>
    <t>OTROS INGRESOS SIN FACTURACIÓN</t>
  </si>
  <si>
    <t>CÓDIGO -D-</t>
  </si>
  <si>
    <t>DUPLICADO?</t>
  </si>
  <si>
    <t>Cuando el cliente consigna</t>
  </si>
  <si>
    <t>Cuando el cliente entrega la plata</t>
  </si>
  <si>
    <t>Concepto de DAFF</t>
  </si>
  <si>
    <t>Saldo final DUPLICADO</t>
  </si>
  <si>
    <t>OK/ Corregido</t>
  </si>
  <si>
    <t>SALDO PENDIENTE POR COBRAR AÑOS ANTERIORES</t>
  </si>
  <si>
    <t>SALDO PENDIENTE POR COBRAR AL AÑO</t>
  </si>
  <si>
    <t>TOTALES: CARTERA DEL AÑO</t>
  </si>
  <si>
    <t>Según Libro Ofna 2019 a 4 de FEB de 2020</t>
  </si>
  <si>
    <t>CONSOL CxC</t>
  </si>
  <si>
    <t>OTRAS CxC año</t>
  </si>
  <si>
    <t>CARTERA del año</t>
  </si>
  <si>
    <t>Sin fecha en 2018</t>
  </si>
  <si>
    <t>EGRESOS DE CAJA</t>
  </si>
  <si>
    <t>Pago a Gullermo Mejia impresión de facturas</t>
  </si>
  <si>
    <t>INGRESOS A CAJA</t>
  </si>
  <si>
    <t>Significa que este es el saldo final que deben</t>
  </si>
  <si>
    <t>Si no tiene entradas significa que esto lo deben durante el 2019</t>
  </si>
  <si>
    <t>Significa que este es el saldo que deben en el año 2019 por cosas distintas a asesorías</t>
  </si>
  <si>
    <t>C x C años ant</t>
  </si>
  <si>
    <t>Significa que en el año 2019 no deben por asesorías</t>
  </si>
  <si>
    <t>Suma de CxC años ant y EGR del año 2019</t>
  </si>
  <si>
    <t>Según Libro Ofna 2020 -Revisión</t>
  </si>
  <si>
    <t>NO HAY MOVTO en el 2020</t>
  </si>
  <si>
    <t>Por código del cliente</t>
  </si>
  <si>
    <t>Hasta aquí parece que Talavera debiera $33.300 y Gilinversiones $100.800 a diciembre del 2019</t>
  </si>
  <si>
    <t>Esto es lo efectivamente declarado y pagado</t>
  </si>
  <si>
    <t>Saldo acumulado de Talavera</t>
  </si>
  <si>
    <t>Saldo acumulado de Gilinversiones</t>
  </si>
  <si>
    <t>Este debiera de ser el Saldo Acumulado de cada una</t>
  </si>
  <si>
    <t>Saldo iniciales no coinciden</t>
  </si>
  <si>
    <t>Diferencias</t>
  </si>
  <si>
    <t>TALAVERA y GILINVERSIONES</t>
  </si>
  <si>
    <t>Significa que deben por otros años distintos al 2019</t>
  </si>
  <si>
    <t>Según por concepto del libro de revisión</t>
  </si>
  <si>
    <t>Hasta aquí parece que Talavera debiera $39.400 y Gilinversiones $106.900 a diciembre del 2019</t>
  </si>
  <si>
    <t>Saldos actuales en este -Reorganización-</t>
  </si>
  <si>
    <t>Esto pasaría a ser CxC en el 2020 a cada sociedad $6.100</t>
  </si>
  <si>
    <t>Se lo voy a sumar al saldo inicial</t>
  </si>
  <si>
    <t>OK/Corregido</t>
  </si>
  <si>
    <t>OK/Corregido se debe revisar el saldo de años anteriores creo que no debe</t>
  </si>
  <si>
    <r>
      <rPr>
        <b/>
        <sz val="10"/>
        <color rgb="FF0000FF"/>
        <rFont val="Verdana"/>
        <family val="2"/>
      </rPr>
      <t>Libro 2019:</t>
    </r>
    <r>
      <rPr>
        <b/>
        <sz val="10"/>
        <rFont val="Verdana"/>
        <family val="2"/>
      </rPr>
      <t xml:space="preserve"> Cód del egreso errado, por esta razón no lo tiene en cuenta como CxC a Talavera</t>
    </r>
  </si>
  <si>
    <t>Revisar el porque queda saldo diferente a los 470.000</t>
  </si>
  <si>
    <t>MOVIMIENTOS</t>
  </si>
  <si>
    <r>
      <t xml:space="preserve">ACUMULADOS DE CAJA: </t>
    </r>
    <r>
      <rPr>
        <b/>
        <sz val="10"/>
        <color rgb="FF0000FF"/>
        <rFont val="Verdana"/>
        <family val="2"/>
      </rPr>
      <t>Así se resume el movimiento en la caja</t>
    </r>
  </si>
  <si>
    <t>Se retiró para pagar:</t>
  </si>
  <si>
    <t>Cuando se retira o transfiere (Sale del banco entra a caja)</t>
  </si>
  <si>
    <t>Cuando va a quedar en el banco va como consignación, si se transfirie a otra cuenta va como pago (Sale de caja para otro banco o para hacer pagos)</t>
  </si>
  <si>
    <t>SALDOS POR COBRAR AÑOS ANTERIORES</t>
  </si>
  <si>
    <t>OK/Equivale a que sacamos y prestamos efectivo</t>
  </si>
  <si>
    <t>VALOR OTROS INGRESOS SIN FACTURACIÓN</t>
  </si>
  <si>
    <t>TOTAL OTROS INGRESOS SIN FACTURACIÓN</t>
  </si>
  <si>
    <t>VALOR CONSIGNADO</t>
  </si>
  <si>
    <t>VALOR PAGADO EN EFECTIVO</t>
  </si>
  <si>
    <t>OJO</t>
  </si>
  <si>
    <t>ABONOS DEL AÑO</t>
  </si>
  <si>
    <t>ABONOS EN EL AÑO</t>
  </si>
  <si>
    <t>CÓD</t>
  </si>
  <si>
    <t>ABONOS DE AÑOS ANTERIORES</t>
  </si>
  <si>
    <t>OJO -DUPLICA el EGRESO ?</t>
  </si>
  <si>
    <r>
      <t xml:space="preserve">27-ene-20: Consigna Alvaro Fernandez </t>
    </r>
    <r>
      <rPr>
        <b/>
        <sz val="10"/>
        <color rgb="FFFF0000"/>
        <rFont val="Verdana"/>
        <family val="2"/>
      </rPr>
      <t>-OJO- voy a suponer que es el pago de la admon y no una consig porque en el mvto de bancos no aparece</t>
    </r>
  </si>
  <si>
    <t>REVISIONES - PRUEBAS - EJERCICIOS</t>
  </si>
  <si>
    <t>CARTERA DE LA OFICINA</t>
  </si>
  <si>
    <t>SALDO TOTAL PENDIENTE POR PAGAR</t>
  </si>
  <si>
    <t>Antes reorganización</t>
  </si>
  <si>
    <t>Valor acumulado</t>
  </si>
  <si>
    <t>Concepto</t>
  </si>
  <si>
    <t>Tipo</t>
  </si>
  <si>
    <t>TOTAL CARTERA</t>
  </si>
  <si>
    <t>COMITÉ CARTERA</t>
  </si>
  <si>
    <t>CUENTAS POR COBRAR POR VENCIMIENTO</t>
  </si>
  <si>
    <t>VIGENTE</t>
  </si>
  <si>
    <t>DUDOSO RECAUDO o DUPLICADA o INCOBRABLE</t>
  </si>
  <si>
    <t>DEUDA POR REVISAR</t>
  </si>
  <si>
    <t xml:space="preserve">TIPO </t>
  </si>
  <si>
    <t>ESTADO</t>
  </si>
  <si>
    <t>CARTERA de la OFICINA</t>
  </si>
  <si>
    <t>TOTAL CARTERAS</t>
  </si>
  <si>
    <t>CONCILIACIÓN CARTERAS</t>
  </si>
  <si>
    <t>Falta conciliar el saldo final</t>
  </si>
  <si>
    <t>OTROS -NO CARTERA</t>
  </si>
  <si>
    <t>BANCOS -NO CARTERA</t>
  </si>
  <si>
    <t>CUENTAS POR PAGAR DE LA OFICINA Y PERSONALES</t>
  </si>
  <si>
    <t>SALDOS POR PAGAR AÑOS ANTERIORES</t>
  </si>
  <si>
    <t>TOTALES: CUENTAS POR PAGAR</t>
  </si>
  <si>
    <t>CUENTAS POR NÓMINA</t>
  </si>
  <si>
    <t>CÓD EGRESO</t>
  </si>
  <si>
    <t>CÓD INGRESO</t>
  </si>
  <si>
    <t>AÑO:</t>
  </si>
  <si>
    <t>Cada fin de mes se deben registrar los movimientos del extracto (De consignaciones, retiros y demás conceptos) y conciliarlos contra Ingresos Caja y Egresos Caja</t>
  </si>
  <si>
    <t xml:space="preserve">CONCEPTO </t>
  </si>
  <si>
    <t>Impuestos, tasas y contribuciones -GTFF-</t>
  </si>
  <si>
    <t>EGRESOS FIJOS</t>
  </si>
  <si>
    <t>EGRESOS VARIABLES</t>
  </si>
  <si>
    <t>EGRESOS NIÑAS</t>
  </si>
  <si>
    <t>CONCILIACIÓN CON EGRESOS CAJA</t>
  </si>
  <si>
    <t>SALDO DÉBITO ACUMULADO</t>
  </si>
  <si>
    <t>TOTAL EGRESOS PRESUPUESTOS</t>
  </si>
  <si>
    <t>Diferencia a justificar</t>
  </si>
  <si>
    <t>SALDO ACUMULADO EGRESOS CAJA</t>
  </si>
  <si>
    <t>EGRESOS CAJA -No son gasto-</t>
  </si>
  <si>
    <t>Total EGRESOS CAJA -No son gasto-</t>
  </si>
  <si>
    <t>Se hacen pagos de IVA, Predial, de demás impuestos a nombre de GTFF</t>
  </si>
  <si>
    <t>Pendiente por justificar</t>
  </si>
  <si>
    <t>Promedio SEMANAL</t>
  </si>
  <si>
    <t>Promedio MENSUAL</t>
  </si>
  <si>
    <t>Promedio SEMANAL -OFICINA</t>
  </si>
  <si>
    <t>Promedio SEMANAL -PERSONAL</t>
  </si>
  <si>
    <t>TOTAL MES</t>
  </si>
  <si>
    <t>ESTADO DE RESULTADOS</t>
  </si>
  <si>
    <t>FACTURAS -GERMÁN TULIO FERNÁNDEZ FERNÁNDEZ-</t>
  </si>
  <si>
    <t>OTROS COBROS -GERMÁN TULIO FERNÁNDEZ FERNÁNDEZ-</t>
  </si>
  <si>
    <t>CUENTAS DE COBRO -DIEGO ALBERTO FERNÁNDEZ FERNÁNDEZ-</t>
  </si>
  <si>
    <t>TOTAL ACUMULADOS</t>
  </si>
  <si>
    <t>GASTOS ADMINISTRATIVOS</t>
  </si>
  <si>
    <t>NO COSTOS NI GASTOS</t>
  </si>
  <si>
    <t>INGRESOS DE OPERACIÓN</t>
  </si>
  <si>
    <t>TOTAL INGRESOS DE OPERACIÓN</t>
  </si>
  <si>
    <t>NO INGRESOS A CAJA</t>
  </si>
  <si>
    <t>TOTAL NO INGRESOS A CAJA</t>
  </si>
  <si>
    <t>TOTAL INGRESOS A CAJA</t>
  </si>
  <si>
    <t>COSTOS Y GASTOS DE OPERACIÓN</t>
  </si>
  <si>
    <t>I V A -Facturación del año</t>
  </si>
  <si>
    <t>Pago I V A -años anteriores</t>
  </si>
  <si>
    <t>TOTAL EGRESOS DE CAJA</t>
  </si>
  <si>
    <t>I V A -Por pagar en el año</t>
  </si>
  <si>
    <t>RESULTADOS</t>
  </si>
  <si>
    <t>Utilidad (+) o Pérdida (-) OPERACIONAL</t>
  </si>
  <si>
    <t>Utilidad (+) o Pérdida (-) GENERAL</t>
  </si>
  <si>
    <t>OFICINA 2020</t>
  </si>
  <si>
    <t>EDO de RDOS</t>
  </si>
  <si>
    <t>PROM MENSUAL</t>
  </si>
  <si>
    <t>-NO SE REGISTRA MOVTO NUEVO en las celdas-</t>
  </si>
  <si>
    <t>Revisión</t>
  </si>
  <si>
    <t>Dif OK/fras</t>
  </si>
  <si>
    <t>Dif OK/IVA</t>
  </si>
  <si>
    <t>En Contabilidad aparece que la deben</t>
  </si>
  <si>
    <t>REVISIÓN</t>
  </si>
  <si>
    <t>SALDOS AÑO ANTERIOR</t>
  </si>
  <si>
    <t xml:space="preserve">SALDOS DEL AÑO </t>
  </si>
  <si>
    <t>SALDOS DE LIBROS</t>
  </si>
  <si>
    <t>Cuenta cobro 0700</t>
  </si>
  <si>
    <t xml:space="preserve">Varios </t>
  </si>
  <si>
    <t>Comité de contadores</t>
  </si>
  <si>
    <t>Sellos facturacion</t>
  </si>
  <si>
    <t xml:space="preserve">viejo del 2016 </t>
  </si>
  <si>
    <t>pasajes del 2018</t>
  </si>
  <si>
    <t>restante factura del 2016</t>
  </si>
  <si>
    <t>Prestamo para pago RTA 2016</t>
  </si>
  <si>
    <t>Asesoria tributaria año gravable 2019</t>
  </si>
  <si>
    <t xml:space="preserve">Pago en efectivo </t>
  </si>
  <si>
    <t xml:space="preserve">Recibido por: -Abono a préstamos </t>
  </si>
  <si>
    <t>Abono o cancelación de préstamos de Juliana Fernández F.</t>
  </si>
  <si>
    <t>BONIFICACIÓN 2020</t>
  </si>
  <si>
    <t>GTFF-</t>
  </si>
  <si>
    <t>AÑO 2020</t>
  </si>
  <si>
    <t>20-028</t>
  </si>
  <si>
    <t>FACTURAS -GERMÁN T. FERNÁNDEZ F.-</t>
  </si>
  <si>
    <t>BONIFICACIÓN 2021</t>
  </si>
  <si>
    <t xml:space="preserve">CONTROL -DIFERENCIA </t>
  </si>
  <si>
    <t>CONTROL -DIFERENCIA</t>
  </si>
  <si>
    <t>SE REGISTRAN LOS ABONOS NUEVOS este año (el año del libro)</t>
  </si>
  <si>
    <t>Pagos de bonificaciones</t>
  </si>
  <si>
    <t>Solo para el pago de la bonificacion al final del año</t>
  </si>
  <si>
    <t>Pago bonificaciones</t>
  </si>
  <si>
    <t>Recibido por: -Préstamos  de Juliana Fernandez</t>
  </si>
  <si>
    <t>Dineros por préstamos que le hiso juliana Fernandez a la oficina</t>
  </si>
  <si>
    <t>GTFF-46</t>
  </si>
  <si>
    <t>GTFF-50</t>
  </si>
  <si>
    <t>GTFF-63</t>
  </si>
  <si>
    <t>GTFF-64</t>
  </si>
  <si>
    <t>Asesoria tributaria año gravable 2020</t>
  </si>
  <si>
    <t>21-107</t>
  </si>
  <si>
    <t>21-139</t>
  </si>
  <si>
    <t>Asesoría tributaria año gravable 2022</t>
  </si>
  <si>
    <t>BONIFICACIÓN 2022</t>
  </si>
  <si>
    <t>Asesoría tributaria año gravable 2021</t>
  </si>
  <si>
    <t>22-083</t>
  </si>
  <si>
    <t>22-103</t>
  </si>
  <si>
    <t>22-131</t>
  </si>
  <si>
    <t>abono 05/03/20 al 31/12/22</t>
  </si>
  <si>
    <t>Abono 25/1/23</t>
  </si>
  <si>
    <r>
      <t xml:space="preserve">Se haga por consignaciones a las cuentas de Bancolombia de (GTFF, DAFF y Choly), de la cooperativa JFK y de Fiducolombia (Choly). por ej: 1.- Consignar efectivo recibido en la oficina. 2. -Por las tranferencias y consignaciones que hagan los clientes para pagar facturas o cuentas de cobro </t>
    </r>
    <r>
      <rPr>
        <b/>
        <sz val="10"/>
        <color rgb="FFFF0000"/>
        <rFont val="Verdana"/>
        <family val="2"/>
      </rPr>
      <t>o para hacerles cualquier otro tipo pago.</t>
    </r>
    <r>
      <rPr>
        <sz val="10"/>
        <color rgb="FF0000FF"/>
        <rFont val="Verdana"/>
        <family val="2"/>
      </rPr>
      <t xml:space="preserve"> 3.- Cuando hay DIFERENCIA entre lo que el cliente consigne y lo que debe pagar por préstamos y demás conceptos que pueden ser por ej: GMF (Código en INGRESOS -D-) o por un mayor valor que queda a favor de la oficina. Si el mayor valor es a favor del cliente debe quedar como una cuenta por pagarle (Código en INGRESOS -K-) hasta que se le devuelva la plata al tercero o cliente. 4.-Si es un regalo o propina en efectivo</t>
    </r>
  </si>
  <si>
    <t>AJUSTE POR -Consignación - Traslado a Bancos</t>
  </si>
  <si>
    <t>AJUSTE POR -Consignaciones pendientes de identificar</t>
  </si>
  <si>
    <t>de las Facturas GTFF y las cuentas de cobro DAFF</t>
  </si>
  <si>
    <t>Gastos de Barbosa</t>
  </si>
  <si>
    <t>Sólo para el pago de la bonificación al final del año</t>
  </si>
  <si>
    <t>Pago intereses préstamo Juliana</t>
  </si>
  <si>
    <t>Se hacen abonos a los intereses del préstamo de Juliana María Fernández Fernández</t>
  </si>
  <si>
    <t>Rembolso por retención en la fuente no descontadas</t>
  </si>
  <si>
    <t>Rembolso de la retención en la fuente de las facturas de GTFF que el cliente no descuenta</t>
  </si>
  <si>
    <t>INMOBILIARIA NATIVA SAS</t>
  </si>
  <si>
    <t>Administracion Babilonia</t>
  </si>
  <si>
    <t>pagos EPM</t>
  </si>
  <si>
    <t>credito hipo</t>
  </si>
  <si>
    <t>inter Barbosa</t>
  </si>
  <si>
    <t>tigo ofi</t>
  </si>
  <si>
    <t>tigo Babilio</t>
  </si>
  <si>
    <t>Admi Rodas</t>
  </si>
  <si>
    <t>libia</t>
  </si>
  <si>
    <t>susana</t>
  </si>
  <si>
    <t>diego</t>
  </si>
  <si>
    <t>FELIPE</t>
  </si>
  <si>
    <t>PRIMAS</t>
  </si>
  <si>
    <t>ISA</t>
  </si>
  <si>
    <t>epm Babosa</t>
  </si>
  <si>
    <t>li di ge cel</t>
  </si>
  <si>
    <t>gastos barbosa</t>
  </si>
  <si>
    <t>AÑO 2021</t>
  </si>
  <si>
    <t>AÑO 2022</t>
  </si>
  <si>
    <t>Don Hernán</t>
  </si>
  <si>
    <t>Doña Nelly</t>
  </si>
  <si>
    <t>Libia</t>
  </si>
  <si>
    <t>Susana</t>
  </si>
  <si>
    <t>Isabel</t>
  </si>
  <si>
    <t>TOPE CONSIGNACIONES o INGRESOS -IVA año anterior-</t>
  </si>
  <si>
    <t>TOPE CONSIGNACIONES o INGRESOS -IVA año EN CURSO-</t>
  </si>
  <si>
    <t>UVT 2023</t>
  </si>
  <si>
    <t>UVT 2022</t>
  </si>
  <si>
    <t>Que en el año anterior o en el año en curso hubieren obtenido ingresos brutos totales provenientes de la actividad, inferiores a 3.500 UVT*.</t>
  </si>
  <si>
    <t>Juan Davis</t>
  </si>
  <si>
    <t>Efren</t>
  </si>
  <si>
    <t>Viviana</t>
  </si>
  <si>
    <t>Ancizar</t>
  </si>
  <si>
    <t>ADMON Don Gaspar</t>
  </si>
  <si>
    <t>Porque?</t>
  </si>
  <si>
    <t>BONIFICACIÓN 2023</t>
  </si>
  <si>
    <t>AÑO 20223</t>
  </si>
  <si>
    <t>GTFF-126</t>
  </si>
  <si>
    <t>GTFF-127</t>
  </si>
  <si>
    <t>GTFF-128</t>
  </si>
  <si>
    <t>GTFF-129</t>
  </si>
  <si>
    <t>23-001</t>
  </si>
  <si>
    <t>23-044</t>
  </si>
  <si>
    <t>23-072</t>
  </si>
  <si>
    <t>23-075</t>
  </si>
  <si>
    <t>23-099</t>
  </si>
  <si>
    <t>23-130</t>
  </si>
  <si>
    <t>23-134</t>
  </si>
  <si>
    <t>Pago RF 05 2023 Corruformas</t>
  </si>
  <si>
    <t>Pago RF 10 2023 corruformas SAS</t>
  </si>
  <si>
    <t>Pago certificado de camara de comercio de Gilseguros</t>
  </si>
  <si>
    <t>Prestamo pago Certificado Camara de Comercio</t>
  </si>
  <si>
    <t>Certificados cde Camara de Comercio</t>
  </si>
  <si>
    <t>Recibido por : aguinaldos</t>
  </si>
  <si>
    <t>AJUSTE POR -aguinaldos a la empresa y otros</t>
  </si>
  <si>
    <t>Aguinaldos para Diego</t>
  </si>
  <si>
    <t>Aguinaldos para Felipe</t>
  </si>
  <si>
    <t>Aguinaldos para German</t>
  </si>
  <si>
    <t>abono</t>
  </si>
  <si>
    <t>Pago RF 11 2023</t>
  </si>
  <si>
    <t>Pago RF 09 2023</t>
  </si>
  <si>
    <t>Pago RF 07 2023 corruformas SAS</t>
  </si>
  <si>
    <t>AJUSTE POR -Cruze de cuentas</t>
  </si>
  <si>
    <t>Pago Hipotecario BANCOLOMBIA</t>
  </si>
  <si>
    <t>Descuentos de la Tarjeta Flypress</t>
  </si>
  <si>
    <t>GTFF-159</t>
  </si>
  <si>
    <t>GTFF-160</t>
  </si>
  <si>
    <t>Prestamo a Felipe</t>
  </si>
  <si>
    <t>Gastos Oficina Arriendo</t>
  </si>
  <si>
    <t xml:space="preserve"> </t>
  </si>
  <si>
    <t>Asesoría tributaria año gravable 2024</t>
  </si>
  <si>
    <t>25-001</t>
  </si>
  <si>
    <t>25-002</t>
  </si>
  <si>
    <t>25-003</t>
  </si>
  <si>
    <t>25-004</t>
  </si>
  <si>
    <t>25-005</t>
  </si>
  <si>
    <t>25-006</t>
  </si>
  <si>
    <t>25-007</t>
  </si>
  <si>
    <t>25-008</t>
  </si>
  <si>
    <t>25-009</t>
  </si>
  <si>
    <t>25-010</t>
  </si>
  <si>
    <t>25-011</t>
  </si>
  <si>
    <t>25-012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</si>
  <si>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</si>
  <si>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</si>
  <si>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</si>
  <si>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</si>
  <si>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</si>
  <si>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</si>
  <si>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</si>
  <si>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</si>
  <si>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</si>
  <si>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</si>
  <si>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</si>
  <si>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</si>
  <si>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</si>
  <si>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</si>
  <si>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</si>
  <si>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</si>
  <si>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</si>
  <si>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</si>
  <si>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</si>
  <si>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</si>
  <si>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</si>
  <si>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</si>
  <si>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</si>
  <si>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</si>
  <si>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</si>
  <si>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</si>
  <si>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</si>
  <si>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</si>
  <si>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</si>
  <si>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</si>
  <si>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</si>
  <si>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</si>
  <si>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</si>
  <si>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</si>
  <si>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</si>
  <si>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</si>
  <si>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25-049</t>
  </si>
  <si>
    <t>25-050</t>
  </si>
  <si>
    <t>25-051</t>
  </si>
  <si>
    <t>25-052</t>
  </si>
  <si>
    <t>25-053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</si>
  <si>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</si>
  <si>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</si>
  <si>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</si>
  <si>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</si>
  <si>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</si>
  <si>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</si>
  <si>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</si>
  <si>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</si>
  <si>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</si>
  <si>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</si>
  <si>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</si>
  <si>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</si>
  <si>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</si>
  <si>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</si>
  <si>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</si>
  <si>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</si>
  <si>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</si>
  <si>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</si>
  <si>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</si>
  <si>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</si>
  <si>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</si>
  <si>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</si>
  <si>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</si>
  <si>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</si>
  <si>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</si>
  <si>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</si>
  <si>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</si>
  <si>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</si>
  <si>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</si>
  <si>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</si>
  <si>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</si>
  <si>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</si>
  <si>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</si>
  <si>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</si>
  <si>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</si>
  <si>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</si>
  <si>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</si>
  <si>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</si>
  <si>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</si>
  <si>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</si>
  <si>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</si>
  <si>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</si>
  <si>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</si>
  <si>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</si>
  <si>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</si>
  <si>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</si>
  <si>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25-100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</si>
  <si>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</si>
  <si>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</si>
  <si>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</si>
  <si>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</si>
  <si>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</si>
  <si>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</si>
  <si>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</si>
  <si>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</si>
  <si>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</si>
  <si>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</si>
  <si>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</si>
  <si>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</si>
  <si>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</si>
  <si>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</si>
  <si>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</si>
  <si>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</si>
  <si>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</si>
  <si>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</si>
  <si>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</si>
  <si>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</si>
  <si>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</si>
  <si>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</si>
  <si>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</si>
  <si>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</si>
  <si>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</si>
  <si>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</si>
  <si>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</si>
  <si>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</si>
  <si>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25-129</t>
  </si>
  <si>
    <t>25-130</t>
  </si>
  <si>
    <t>25-131</t>
  </si>
  <si>
    <t>25-132</t>
  </si>
  <si>
    <t>25-133</t>
  </si>
  <si>
    <t>25-134</t>
  </si>
  <si>
    <t>25-135</t>
  </si>
  <si>
    <t>25-136</t>
  </si>
  <si>
    <t>25-137</t>
  </si>
  <si>
    <t>25-138</t>
  </si>
  <si>
    <t>25-139</t>
  </si>
  <si>
    <t>25-140</t>
  </si>
  <si>
    <t>25-141</t>
  </si>
  <si>
    <t>25-142</t>
  </si>
  <si>
    <t>25-143</t>
  </si>
  <si>
    <t>25-144</t>
  </si>
  <si>
    <t>Asesoría tributaria año gravable 2023</t>
  </si>
  <si>
    <t>GTFF-142</t>
  </si>
  <si>
    <t>GTFF-152</t>
  </si>
  <si>
    <t>GTFF-156</t>
  </si>
  <si>
    <t>GTFF-157</t>
  </si>
  <si>
    <t>24-002</t>
  </si>
  <si>
    <t>24-016</t>
  </si>
  <si>
    <t>24-019</t>
  </si>
  <si>
    <t>24-028</t>
  </si>
  <si>
    <t>24-053</t>
  </si>
  <si>
    <t>24-055</t>
  </si>
  <si>
    <t>24-057</t>
  </si>
  <si>
    <t>24-062</t>
  </si>
  <si>
    <t>24-063</t>
  </si>
  <si>
    <t>24-066</t>
  </si>
  <si>
    <t>24-087</t>
  </si>
  <si>
    <t>24-088</t>
  </si>
  <si>
    <t>24-090</t>
  </si>
  <si>
    <t>24-096</t>
  </si>
  <si>
    <t>24-097</t>
  </si>
  <si>
    <t>24-103</t>
  </si>
  <si>
    <t>24-106</t>
  </si>
  <si>
    <t>24-109</t>
  </si>
  <si>
    <t>24-111</t>
  </si>
  <si>
    <t>24-113</t>
  </si>
  <si>
    <t>24-114</t>
  </si>
  <si>
    <t>24-118</t>
  </si>
  <si>
    <t>24-119</t>
  </si>
  <si>
    <t>24-124</t>
  </si>
  <si>
    <t>24-126</t>
  </si>
  <si>
    <t>24-129</t>
  </si>
  <si>
    <t>24-130</t>
  </si>
  <si>
    <t>24-133</t>
  </si>
  <si>
    <t>24-144</t>
  </si>
  <si>
    <t>Recarga Flypass Barbosa</t>
  </si>
  <si>
    <t>Traslado pedro pago camaras</t>
  </si>
  <si>
    <t>Retiro por cajero</t>
  </si>
  <si>
    <t>Pago Movistar Diego</t>
  </si>
  <si>
    <t>Pago Tigo Babilonia enero</t>
  </si>
  <si>
    <t>Pago Seguridad Social Empleados febrero</t>
  </si>
  <si>
    <t>Pago Seguridad Social Independiente enero</t>
  </si>
  <si>
    <t>Abono intererses cuota enero 2025</t>
  </si>
  <si>
    <t>Abono a deuda enero 2025</t>
  </si>
  <si>
    <t>Gastos combustible Barbosa</t>
  </si>
  <si>
    <t>Pago Aseo oficinas 604 al 608</t>
  </si>
  <si>
    <t>Pago administracion Babilonia enero</t>
  </si>
  <si>
    <t>Pago matricula Maria Jose</t>
  </si>
  <si>
    <t>Consignados a Diego  de Ivan Velez</t>
  </si>
  <si>
    <t>Recarga Automatica Flypass Barbosa</t>
  </si>
  <si>
    <t>Traslado intereses y abono Juliana Fernandez</t>
  </si>
  <si>
    <t>Traslado Pago compra de Camaras TV barbosa</t>
  </si>
  <si>
    <t>Retiro cajero</t>
  </si>
  <si>
    <t>Pago Movistar Diego Fernandez</t>
  </si>
  <si>
    <t>Pago Cuota manejo tarjeta debito</t>
  </si>
  <si>
    <t>Pago UNE Tigo Babilonia</t>
  </si>
  <si>
    <t>Pago Nomina Felipe Isabel y cita veterinaria</t>
  </si>
  <si>
    <t>Pago seguridad social Independiente</t>
  </si>
  <si>
    <t>Pago Seguridad Social Empleados</t>
  </si>
  <si>
    <t>Pago Intereses Inversion Virtual</t>
  </si>
  <si>
    <t>Cancelan Inversion Virtual</t>
  </si>
  <si>
    <t>Consignado Gladys Tobon</t>
  </si>
  <si>
    <t>Consignado RF 12 2024 Gilinversiones</t>
  </si>
  <si>
    <t>Consignado Juan Duarte Administracion Rodas</t>
  </si>
  <si>
    <t>Pago EPM Barbosa y Carolina</t>
  </si>
  <si>
    <t>Pago EPM Barbosa</t>
  </si>
  <si>
    <t>Pago EPM Carolina</t>
  </si>
  <si>
    <t>Apertura Inversion Virtual</t>
  </si>
  <si>
    <t>Traslado pago arriendo Diego</t>
  </si>
  <si>
    <t>Consignado Camila Mejia</t>
  </si>
  <si>
    <t>Pago RF 12 2024 Gilinversiones SAS</t>
  </si>
  <si>
    <t>Pago Carte Hipotecaria debito</t>
  </si>
  <si>
    <t>Consignado Sergio Cardenas IVA 3er Cuatr</t>
  </si>
  <si>
    <t>Pago IVA 3ER Cuatr 2024 Sergi Cardenas</t>
  </si>
  <si>
    <t>Consignado Inversiones Luis Emilio</t>
  </si>
  <si>
    <t>Consignado Juan Sanchez</t>
  </si>
  <si>
    <t>Traslado pago Yamile Boletas</t>
  </si>
  <si>
    <t>Compra dispensador agua</t>
  </si>
  <si>
    <t>Abono</t>
  </si>
  <si>
    <t>Pago factura GTFF-156 y abono factura GTFF-157</t>
  </si>
  <si>
    <t>Transporte U de A susana</t>
  </si>
  <si>
    <t>Pago cita perros</t>
  </si>
  <si>
    <t>Pago mesada tranporte U de A</t>
  </si>
  <si>
    <t>Mesada Semana 13 al 19 enero</t>
  </si>
  <si>
    <t>GTFF-161</t>
  </si>
  <si>
    <t>GTFF-162</t>
  </si>
  <si>
    <t>Consignado</t>
  </si>
  <si>
    <t>24-145</t>
  </si>
  <si>
    <t>24-146</t>
  </si>
  <si>
    <t>24-147</t>
  </si>
  <si>
    <t>24-148</t>
  </si>
  <si>
    <t xml:space="preserve">Consignado </t>
  </si>
  <si>
    <t>Pago factura GTFF-126</t>
  </si>
  <si>
    <t>Pago factura GTFF-128</t>
  </si>
  <si>
    <t>Pago factura GTFF-129</t>
  </si>
  <si>
    <t>Pago factura GTFF-159</t>
  </si>
  <si>
    <t>Pago factura GTFF-161</t>
  </si>
  <si>
    <t>Pago factura GTFF-162</t>
  </si>
  <si>
    <t>Pago Cuenta 24-146</t>
  </si>
  <si>
    <t xml:space="preserve">Compra almuerzos oficinay Tintos </t>
  </si>
  <si>
    <t xml:space="preserve">Gastos personales </t>
  </si>
  <si>
    <t>ETIQUETA</t>
  </si>
  <si>
    <t>GTFF</t>
  </si>
  <si>
    <t>Pago seminario CETA</t>
  </si>
  <si>
    <t>Pago Tigo UNE oficina 604</t>
  </si>
  <si>
    <t>Pago Tigo UNE oficina Internet</t>
  </si>
  <si>
    <t>Pago Administracion del Gaspar de Rodas</t>
  </si>
  <si>
    <t>Pago IVA 3er CUATR Libardo Gaviria</t>
  </si>
  <si>
    <t>Pago Nomina 13 al 19 enero</t>
  </si>
  <si>
    <t>Mesada Semana 20 al 26 enero</t>
  </si>
  <si>
    <t>Pago Nomina 20 al 26 enero</t>
  </si>
  <si>
    <t>Pago Operación Libia</t>
  </si>
  <si>
    <t>Pago credito hipotecario</t>
  </si>
  <si>
    <t>Pago consignacion a Camila Bedoya</t>
  </si>
  <si>
    <t>Pago Cuenta 24-124</t>
  </si>
  <si>
    <t>Pago Cuenta 24-129</t>
  </si>
  <si>
    <t>Pago Administracion Parqueadero San Jose</t>
  </si>
  <si>
    <t>Abono a deuda paendiente</t>
  </si>
  <si>
    <t>Pago mantenimiento computadores mes enero</t>
  </si>
  <si>
    <t xml:space="preserve">Pago EPM Babilonia </t>
  </si>
  <si>
    <t>Pago EPM oficina 604</t>
  </si>
  <si>
    <t>Pago EPM oficina 605</t>
  </si>
  <si>
    <t>Pago EPM Diego</t>
  </si>
  <si>
    <t>Pago CETA seminario de medios magneticos</t>
  </si>
  <si>
    <t>Consignado Clara Restrepo</t>
  </si>
  <si>
    <t>Impuesto Gobierno 4 * 1000</t>
  </si>
  <si>
    <t>Pago UNE TIGO ofi 604</t>
  </si>
  <si>
    <t>Pago UNE TIGO ofi 605</t>
  </si>
  <si>
    <t>Consignado Libardo Gaviria Pago IVA 3er CUATR 2024</t>
  </si>
  <si>
    <t>Pago IVA 3er CUATR 2024 Libardo</t>
  </si>
  <si>
    <t>Trasferencia pago Administracion enero del Gaspar de Rodas</t>
  </si>
  <si>
    <t>Traslado a Camila Bedoya de Diego</t>
  </si>
  <si>
    <t>Traslado a felipe pago operación perros</t>
  </si>
  <si>
    <t>Pago Nomina Felipe Isabel enero 24</t>
  </si>
  <si>
    <t>Consignado Maria M Pelaez</t>
  </si>
  <si>
    <t>Pago IVA 3er CUATR 2024 German Fernandez</t>
  </si>
  <si>
    <t>Pago EPM oficina Babilonia y Diego</t>
  </si>
  <si>
    <t>Pago Prestamo arreglo computador Alvaro Fernandez</t>
  </si>
  <si>
    <t>Pago Cuenta 24-105</t>
  </si>
  <si>
    <t>24-105</t>
  </si>
  <si>
    <t>pago operación Simur</t>
  </si>
  <si>
    <t>Pago Nomina 27 enero al 02 febrero</t>
  </si>
  <si>
    <t>Mesada Semana 27 enero al 02 febrero</t>
  </si>
  <si>
    <t>Pago Nomina Felipe Isabel enero 31</t>
  </si>
  <si>
    <t>Abono Compra gafas</t>
  </si>
  <si>
    <t>Pago Seguridad Social Empleados marzo</t>
  </si>
  <si>
    <t>Pago Seguridad Social Independiente febrero</t>
  </si>
  <si>
    <t>Pago consignacion a Andres Zapata Bedoya</t>
  </si>
  <si>
    <t>Pago consignacion a Camila Bedoya y Andres</t>
  </si>
  <si>
    <t>Pago tigo UNE German Barbosa</t>
  </si>
  <si>
    <t>Pago Movistasr Libia</t>
  </si>
  <si>
    <t>Pago RTA 2023 Margarita Herrera</t>
  </si>
  <si>
    <t>Traslado a Andres Zapata Bedoya de Diego</t>
  </si>
  <si>
    <t>Pago Tiga German Barbosa</t>
  </si>
  <si>
    <r>
      <t xml:space="preserve">Cuota del Mercado </t>
    </r>
    <r>
      <rPr>
        <b/>
        <sz val="10"/>
        <color rgb="FFFF0000"/>
        <rFont val="Verdana"/>
        <family val="2"/>
      </rPr>
      <t>-DAFF-</t>
    </r>
  </si>
  <si>
    <t>Pago Nomina 03 al 09 febrero</t>
  </si>
  <si>
    <t>Pago Predial Barbosa</t>
  </si>
  <si>
    <t>Mesada Semana 02al 09 febrero</t>
  </si>
  <si>
    <t>Pago Nomina Felipe Isabel febrero 7</t>
  </si>
  <si>
    <t>Pago RF 01 2025</t>
  </si>
  <si>
    <t>Pago RF 01 2025 Corruformas</t>
  </si>
  <si>
    <t>Pago Tigo Babilonia febrero</t>
  </si>
  <si>
    <t>Pago Nomina 10 al 16 febrero</t>
  </si>
  <si>
    <t>Pago predial Barbosa</t>
  </si>
  <si>
    <t>Consignado pago RTA 22 y 23 Carolina Restrepo</t>
  </si>
  <si>
    <t>Pago RTA 2022 Carolina Restrepo</t>
  </si>
  <si>
    <t>Pago RTA 2023 Carolina Restrepo</t>
  </si>
  <si>
    <t>Pago Nomina Felipe Isabel febrero 14</t>
  </si>
  <si>
    <t>Consignacion de las Cesantias año 2024</t>
  </si>
  <si>
    <t>Abono intererses cuota febrero 2025</t>
  </si>
  <si>
    <t>Abono a deuda febrero 2025</t>
  </si>
  <si>
    <t>Pago Gafas Libia</t>
  </si>
  <si>
    <t>Pago factura GTFF-127 y abono factura GTFF-160</t>
  </si>
  <si>
    <t>Pago Cuenta 24-028</t>
  </si>
  <si>
    <t>Pago Cuenta 24-118</t>
  </si>
  <si>
    <t>Pago Cuenta 24-111</t>
  </si>
  <si>
    <t>Pago Cuenta 24-090</t>
  </si>
  <si>
    <t>Consignado Catalina Cadavid</t>
  </si>
  <si>
    <t>Consignado Hernan Gutierrez</t>
  </si>
  <si>
    <t>Consignado Monica Elejalde</t>
  </si>
  <si>
    <t>Consignado Juan F Botero</t>
  </si>
  <si>
    <t>Gastos combustible</t>
  </si>
  <si>
    <t xml:space="preserve">Pago Tigo UNE oficina </t>
  </si>
  <si>
    <t>Traslado a Pedro Pago Antivirus</t>
  </si>
  <si>
    <t>Pago RF 01 2025 Gilinversiones SAS</t>
  </si>
  <si>
    <t>Pago RF 08 2024 Gilinversiones SAS</t>
  </si>
  <si>
    <t>Pago Predial Libia Velasquez</t>
  </si>
  <si>
    <t>Pago Predial German Casa de Mario</t>
  </si>
  <si>
    <t>Pago administracion Babilonia febrero</t>
  </si>
  <si>
    <t>Pago Nomina 17 al 23 febrero</t>
  </si>
  <si>
    <t>Pago Nomina Felipe Isabel febrero 21</t>
  </si>
  <si>
    <t>Pago predial German Casa de Mario</t>
  </si>
  <si>
    <t>Pago predial Libia Veñasquez</t>
  </si>
  <si>
    <t>Pago Cuenta 24-147</t>
  </si>
  <si>
    <t>Consignado Luis Mejia</t>
  </si>
  <si>
    <t>Mesada Semana 10 al 16 febrero</t>
  </si>
  <si>
    <t>Mesada Semana 17 al 23 febrero</t>
  </si>
  <si>
    <t>Pago Cuenta 24-119</t>
  </si>
  <si>
    <t>Pago Gafas</t>
  </si>
  <si>
    <t xml:space="preserve">Pago Gafas Felipe </t>
  </si>
  <si>
    <t>Pago RTA 2023 anual Jose Andrade</t>
  </si>
  <si>
    <t>Consignado Truly Nolen</t>
  </si>
  <si>
    <t>Prestamo pago gafes Felipe</t>
  </si>
  <si>
    <t>Pago factura GTFF-152</t>
  </si>
  <si>
    <t>Rembolso del pago de Truly Nolen</t>
  </si>
  <si>
    <t>Pago acueducto  LA GOTA DE AGUA</t>
  </si>
  <si>
    <t>Pago semaforizacion 2025</t>
  </si>
  <si>
    <t>Pago Nomina 24 febrero al 02 marzo</t>
  </si>
  <si>
    <t>Pago Impuesto de semaforizacion</t>
  </si>
  <si>
    <t>Pago Nomina Felipe Isabel febrero 27</t>
  </si>
  <si>
    <t>Pago Movistar Livia Velasquez</t>
  </si>
  <si>
    <t>Mesada Semana 24 febrero al 02 marzo</t>
  </si>
  <si>
    <t>Compra Gelatinas</t>
  </si>
  <si>
    <t>Traslado Felipe pago gafas</t>
  </si>
  <si>
    <t>Trasferencia pago Administracion febrero del Gaspar de Rodas</t>
  </si>
  <si>
    <t>Pago Almuerzos</t>
  </si>
  <si>
    <t>Pago Antivirus Felipe Isabel y Diego</t>
  </si>
  <si>
    <t>Pago Antivirus German</t>
  </si>
  <si>
    <t>Pago SOAT Adriana</t>
  </si>
  <si>
    <t>Pago Tigo German</t>
  </si>
  <si>
    <t>Pago arreglo nevera</t>
  </si>
  <si>
    <t>Pago Nomina 03 al 09 marzo</t>
  </si>
  <si>
    <t>Mesada Semana 03 al 09 marzo</t>
  </si>
  <si>
    <t>Pago Seguridad Social Empleados abril</t>
  </si>
  <si>
    <t>Pago Seguridad Social Independiente marzo</t>
  </si>
  <si>
    <t xml:space="preserve">Traslado a Pedro Mercado Antivirus </t>
  </si>
  <si>
    <t>Consignado Gabriel Moreno</t>
  </si>
  <si>
    <t xml:space="preserve">Pago Tigo Babilonia </t>
  </si>
  <si>
    <t>Pago RF 02 2025 Corruformas</t>
  </si>
  <si>
    <t>Gastos varios</t>
  </si>
  <si>
    <t>Prestamo</t>
  </si>
  <si>
    <t>Almuerzos</t>
  </si>
  <si>
    <t>Pago prestamo</t>
  </si>
  <si>
    <t>Pago RF 02 2025 Corruformas SAS</t>
  </si>
  <si>
    <t>Pago Tigo Babilonia</t>
  </si>
  <si>
    <t>Consignao RF 02 2025 Gilinversiones</t>
  </si>
  <si>
    <t>Pago Nomina Felipe Isabel marzo 7</t>
  </si>
  <si>
    <t>Pago Nomina Felipe Isabel marzo 14</t>
  </si>
  <si>
    <t>Pago Nomina 10 al 16 marzo</t>
  </si>
  <si>
    <t>Mesada Semana 10 al 16 marzo</t>
  </si>
  <si>
    <t>Pago Cuenta 24-148</t>
  </si>
  <si>
    <t>Pago Cuenta 24-145</t>
  </si>
  <si>
    <t>Consignado Diego Mejia</t>
  </si>
  <si>
    <t>Traslado a Yamile Garibaldi</t>
  </si>
  <si>
    <t>consignado 19 03 2025</t>
  </si>
  <si>
    <t>Traslado a pedro de cien efectivo y pago antivirus y arreglo cp Barbado</t>
  </si>
  <si>
    <t>prestamo arreglo carro a Felipe</t>
  </si>
  <si>
    <t>Consignado Alvaro Fernandez</t>
  </si>
  <si>
    <t>Traslado a Felipe Arreglo carro</t>
  </si>
  <si>
    <t>Traslado a pedro pago cp Barbado y Antivirus</t>
  </si>
  <si>
    <t>Pago RF 02 2025 Gilinversiones SAS</t>
  </si>
  <si>
    <t>Pago Matricula U de A</t>
  </si>
  <si>
    <t>Consignado Gilinversiones pago Camara de Comercio</t>
  </si>
  <si>
    <t>Pago Matricula U de A Felipe</t>
  </si>
  <si>
    <t xml:space="preserve">Pago impuesto vehicular </t>
  </si>
  <si>
    <t>Pago Nomina 17 al 23 marzo</t>
  </si>
  <si>
    <t>Mesada Semana 17 al 23 marzo</t>
  </si>
  <si>
    <t>Pago Camara de Comercio de Medellin</t>
  </si>
  <si>
    <t>Pago Nomina Felipe Isabel marzo 20</t>
  </si>
  <si>
    <t xml:space="preserve">Pago Camara de Comercio Talavera SAS </t>
  </si>
  <si>
    <t>Pago Camara de Comercio Gilinversiones SAS</t>
  </si>
  <si>
    <t>Pago Camara de Comercio Corruformas SAS</t>
  </si>
  <si>
    <t>Pago Nomina Felipe Isabel marzo 26</t>
  </si>
  <si>
    <t>Pago Nomina 24 al 30 marzo</t>
  </si>
  <si>
    <t xml:space="preserve">Compra jabones </t>
  </si>
  <si>
    <t>Mesada Semana 24 al 30 marzo</t>
  </si>
  <si>
    <t xml:space="preserve">Pago EPM oficina Babilonia </t>
  </si>
  <si>
    <t>Pago Impuesto Predial Envigado Juliana</t>
  </si>
  <si>
    <t>Pago Impuesto vehicular Daniel fernandez</t>
  </si>
  <si>
    <t>Pago Seguro Automotriz Susana Fernandez</t>
  </si>
  <si>
    <t>Traslado arreglo carretera Barbosa</t>
  </si>
  <si>
    <t>Consignado Daniel impuesto vehicular</t>
  </si>
  <si>
    <t>Traslado JAC Tamborcito</t>
  </si>
  <si>
    <t>Pago Tigo UNE German</t>
  </si>
  <si>
    <t>Pago Seguro Susana</t>
  </si>
  <si>
    <t>Traslado Pago Camara de Comercio Pedro Mercado</t>
  </si>
  <si>
    <t>Pago Nomina Felipe Isabel y paz y salvo oficina abril 4</t>
  </si>
  <si>
    <t>Pago certificados de Paz y Salvo Oficinas</t>
  </si>
  <si>
    <t>Gastos gafas Libia</t>
  </si>
  <si>
    <t>Pago Nomina 31 marzo al 06 abril</t>
  </si>
  <si>
    <t>Trasferencia pago Administracion marzo del Gaspar de Rodas</t>
  </si>
  <si>
    <t>PAGO OFRENDA OSARIO PARROQUIA SAN JOSE</t>
  </si>
  <si>
    <t>Prestamo a Luis German Mesa</t>
  </si>
  <si>
    <t>Prestamo pago marreglo vehiculo</t>
  </si>
  <si>
    <t>Pago Polarizada Suzuki</t>
  </si>
  <si>
    <t>Pago Seguridad Social Independiente abril</t>
  </si>
  <si>
    <t>Prestamo pago operación Sacha</t>
  </si>
  <si>
    <t>Compras articulos de aseo</t>
  </si>
  <si>
    <t>Pago Cuenta Cobro 25-002</t>
  </si>
  <si>
    <t>Arreglos con Luis German Mesa</t>
  </si>
  <si>
    <t>Pago Nomina 07 al 13 abril</t>
  </si>
  <si>
    <t>Abono a deuda consignado Inversion Virtual</t>
  </si>
  <si>
    <t>Mesada Semana 07 al 13 abril</t>
  </si>
  <si>
    <t>Gastos cita medica</t>
  </si>
  <si>
    <t xml:space="preserve">Pagos  EPM Barbosa y prediales </t>
  </si>
  <si>
    <t>Traslado Felipe Arreglo del carro</t>
  </si>
  <si>
    <t>Pago polarizada German al Suzuki</t>
  </si>
  <si>
    <t>Traslado prestamo Luis Mesa</t>
  </si>
  <si>
    <t>Pago Nomina Felipe Isabel abril 11</t>
  </si>
  <si>
    <t>Pago RF 03 2025 Corruformas SAS</t>
  </si>
  <si>
    <t>Consignado Oficina del doctor Botero</t>
  </si>
  <si>
    <t>Pago RF 03 2025 Gilinversiones SAS</t>
  </si>
  <si>
    <t>Traslado intereses y abono Juliana Fernandez y pago Alvaro</t>
  </si>
  <si>
    <t>Compras de lapiceros</t>
  </si>
  <si>
    <t>Pagos prediales oficinas y parqueaderos</t>
  </si>
  <si>
    <t>Pagos prediales oficinas y parqueaderos Fmesa</t>
  </si>
  <si>
    <t>Pago Nomina 14 al 20 abril</t>
  </si>
  <si>
    <t>Mesada Semana 14 al 20 abril</t>
  </si>
  <si>
    <t>Pasajes Felipe</t>
  </si>
  <si>
    <t>Pago Impuesto de RTA</t>
  </si>
  <si>
    <t>Gastos Federmanmesa y Cia</t>
  </si>
  <si>
    <t>Pago Nomina 21 al 27 abril</t>
  </si>
  <si>
    <t>Pago Impuesto vehicular Alvaro</t>
  </si>
  <si>
    <t>Pago impuesto vehicular Andres</t>
  </si>
  <si>
    <t>Pago impuesto vehicular</t>
  </si>
  <si>
    <t>Consignados a Cristina Bedoya</t>
  </si>
  <si>
    <t xml:space="preserve">Pago administracion Babilonia </t>
  </si>
  <si>
    <t>prestamo</t>
  </si>
  <si>
    <t>Pago compra por mensajeria</t>
  </si>
  <si>
    <t>Pago impuesto vehicular Ivan Velez</t>
  </si>
  <si>
    <t>Pago Nomina Felipe Isabel abril 18</t>
  </si>
  <si>
    <t>Pago Nomina Felipe Isabel y otros abril 25</t>
  </si>
  <si>
    <t>Pago impuesto vehucular Juan Duarte</t>
  </si>
  <si>
    <t>Pago impuesto vehucular Alvaro fernandez</t>
  </si>
  <si>
    <t>Pago impuesto vehucular Andres fernandez</t>
  </si>
  <si>
    <t>Trasferencia pago deuda Administraciondel Gaspar de Rodas</t>
  </si>
  <si>
    <t>Traslado a junilana</t>
  </si>
  <si>
    <t>Pago impuesto vehucular Ivan Velez</t>
  </si>
  <si>
    <t>Mesada Semana 21 al 27 abril</t>
  </si>
  <si>
    <t>Pago abono a Pedro Mercado</t>
  </si>
  <si>
    <t>Pago Tigo UNE diego</t>
  </si>
  <si>
    <t>Consignado Andres Fernandez</t>
  </si>
  <si>
    <t>Consignado Corruformas</t>
  </si>
  <si>
    <t>Consignado Diego Ortega</t>
  </si>
  <si>
    <t>traslado cuenta Cristina Bedoya</t>
  </si>
  <si>
    <t>Pasajes Felipe al poblado</t>
  </si>
  <si>
    <t>Pago Acueducto AUAYT</t>
  </si>
  <si>
    <t>Traslado Notaria 15 pago escrituras</t>
  </si>
  <si>
    <t>traslado</t>
  </si>
  <si>
    <t>Trasferencia Pago Ana Maria Mesa</t>
  </si>
  <si>
    <t>Comision SWIFT giro Vta Mda Ext</t>
  </si>
  <si>
    <t>Pago Nomina Felipe Isabel abril 30</t>
  </si>
  <si>
    <t>Pago Notaria 15 gastos de la Escritura oficinas</t>
  </si>
  <si>
    <t>definir gasto</t>
  </si>
  <si>
    <t xml:space="preserve">Pago Ana Maria Mesa oficinas </t>
  </si>
  <si>
    <t>Pago del giro de Ana Mesa</t>
  </si>
  <si>
    <t>Pago Nomina 28 abril al 04 mayo</t>
  </si>
  <si>
    <t>Mesada Semana 28 abril al 04 mayo</t>
  </si>
  <si>
    <t>Abono intererses cuota abril 2025</t>
  </si>
  <si>
    <t>Abono a deuda abril 2025</t>
  </si>
  <si>
    <t xml:space="preserve">Abono a deuda cruce de  nomina GTFF </t>
  </si>
  <si>
    <t>pago BONO a LGMR por negocio de oficinas</t>
  </si>
  <si>
    <t>Pago Seguridad Social Empleados mayo</t>
  </si>
  <si>
    <t>Pago Seguridad Social Independiente mayo</t>
  </si>
  <si>
    <t>Traslado prestamo a la cuenta de Juan</t>
  </si>
  <si>
    <t>Consignado Juan Carlos Duarte</t>
  </si>
  <si>
    <t>Consigna abono a deuda</t>
  </si>
  <si>
    <t>Aporte para la carretera de Alvaro Fernandez</t>
  </si>
  <si>
    <t>Aporte para la carretera</t>
  </si>
  <si>
    <t>Traslado a Juan C Duarte</t>
  </si>
  <si>
    <t>Traslado JAC Tamborcito Alvaro Fernandez</t>
  </si>
  <si>
    <t>Consignado Juan C Duarte</t>
  </si>
  <si>
    <t>Pago Nomina 05 al 11 mayo</t>
  </si>
  <si>
    <t>Mesada Semana 05 al 11 mayo</t>
  </si>
  <si>
    <t>Pago Tigo Babilonia abril</t>
  </si>
  <si>
    <t>Pago Tigo Babilonia mayo</t>
  </si>
  <si>
    <t>Compr4a de aguacates y cigarros</t>
  </si>
  <si>
    <t>Cancela en efectivo deuda con la oficina</t>
  </si>
  <si>
    <t>Pago Nomina 12 al 18 mayo</t>
  </si>
  <si>
    <t>Pago IMP PATR 2025</t>
  </si>
  <si>
    <t>Mesada Semana 12 al 18 mayo</t>
  </si>
  <si>
    <t>Tintos</t>
  </si>
  <si>
    <t>Pagos de: -Servicios Administracion y otros Oficina</t>
  </si>
  <si>
    <t>Pago SOAT German Suzuki</t>
  </si>
  <si>
    <t>Consignao RF 04 2025 Gilinversiones</t>
  </si>
  <si>
    <t>Pago Nomina Felipe Isabel mayo 08</t>
  </si>
  <si>
    <t>Pago Industria y Comercio Corruformas</t>
  </si>
  <si>
    <t>Pago Nomina Felipe Isabel mayo 13</t>
  </si>
  <si>
    <t>Consigndo Imp Ind y Com</t>
  </si>
  <si>
    <t>Pago Tigo UNE Babilonia</t>
  </si>
  <si>
    <t xml:space="preserve">Consignado Sergi Cardenas pago IVA 1er CUATR 2025 </t>
  </si>
  <si>
    <t>Pago EPM oficina</t>
  </si>
  <si>
    <t>Trasferencia</t>
  </si>
  <si>
    <t xml:space="preserve">Pago DIAN Sergi Cardenas pago IVA 1er CUATR 2025 </t>
  </si>
  <si>
    <t>Pago RF 04 2025 Gilinversiones SAS</t>
  </si>
  <si>
    <t>Pago arreglo de los frenos del Suzuki</t>
  </si>
  <si>
    <t>Pago Nomina 19 al 25 mayo</t>
  </si>
  <si>
    <t>Mesada Semana 19 al 25 mayo</t>
  </si>
  <si>
    <t>cita odontologica</t>
  </si>
  <si>
    <t>Pasajes para donde Javier Rios</t>
  </si>
  <si>
    <t>Pago Nomina Felipe Isabel mayo 23</t>
  </si>
  <si>
    <t>Pago Impuestos DIAN</t>
  </si>
  <si>
    <t>Pago Tigo Une de don Carlos Garcia</t>
  </si>
  <si>
    <t xml:space="preserve">Pago intereses </t>
  </si>
  <si>
    <t>Pago Tigo Diego mayo</t>
  </si>
  <si>
    <t>Pago Cuenta Cobro 24-126</t>
  </si>
  <si>
    <t>Pago Antivirus Maria Jose</t>
  </si>
  <si>
    <t>Mesada Semana 26 mayo al 01 junio</t>
  </si>
  <si>
    <t>Pago Nomina 26 mayo al 01 junio</t>
  </si>
  <si>
    <t>Para pago tencomecanica montero</t>
  </si>
  <si>
    <t>Pago Nomina Felipe Isabel mayo 30 + inter JARios</t>
  </si>
  <si>
    <t>Pago impuesto dian</t>
  </si>
  <si>
    <t>Traslado a Nequi Libia Velasquez</t>
  </si>
  <si>
    <t>Traslado Mesada Susana Fernandez</t>
  </si>
  <si>
    <t>Mesada Semana  02 al 08 junio</t>
  </si>
  <si>
    <t>Pago Nomina 02 al 08 junio</t>
  </si>
  <si>
    <t>Pago Seguridad Social Empleados junio</t>
  </si>
  <si>
    <t>Pago Seguridad Social Independiente junio</t>
  </si>
  <si>
    <t>Gastos personales revision y tecnomecanica Zusuki</t>
  </si>
  <si>
    <t>Pago factura GTFF-157</t>
  </si>
  <si>
    <t>Pago Cuenta Cobro 24-019</t>
  </si>
  <si>
    <t>Pago Cuenta Cobro 24-088</t>
  </si>
  <si>
    <t>Prestamo para compra de casa</t>
  </si>
  <si>
    <t>Prestamo Felipe compra Casa</t>
  </si>
  <si>
    <t>Pago Nomina Felipe Isabel  y prima 06 junio</t>
  </si>
  <si>
    <t>Retiro Felipe pago compra de la casa</t>
  </si>
  <si>
    <t>Prestamo viaje a Chicago</t>
  </si>
  <si>
    <t>compra jabones y papel hijienico</t>
  </si>
  <si>
    <t>Tintos y cigarros</t>
  </si>
  <si>
    <t>Prestamo a Pedro Mercado para viaje</t>
  </si>
  <si>
    <t>Abono intererses cuota mayo 2025</t>
  </si>
  <si>
    <t>Abono intererses cuota junio 2025</t>
  </si>
  <si>
    <t>Pago Nomina 09 al 15 junio</t>
  </si>
  <si>
    <t>Mesada Semana  09 al 15 junio</t>
  </si>
  <si>
    <t>Pago Tigo Babilonia junio</t>
  </si>
  <si>
    <t>Pago cita odontologica</t>
  </si>
  <si>
    <t>Abono efectivo</t>
  </si>
  <si>
    <t>Pago telefonia 511 13 53 oficina</t>
  </si>
  <si>
    <t xml:space="preserve">Consignado Gilinversioes SAS RF 05 2025 </t>
  </si>
  <si>
    <t>Traslado Prestamo a Pedro Mercado</t>
  </si>
  <si>
    <t>Pago Nomina Felipe Isabel 12 junio</t>
  </si>
  <si>
    <t>Traslado a Felipe Cita odontologica Isabel</t>
  </si>
  <si>
    <t>Pago Tigo oficina Internet</t>
  </si>
  <si>
    <t>Pago Tigo oficina 511 13 53</t>
  </si>
  <si>
    <t>Pago Imp DIAN</t>
  </si>
  <si>
    <t>Pago prestamo Juan Duarte</t>
  </si>
  <si>
    <t>pago prestamo Carlos Garcia</t>
  </si>
  <si>
    <t>Trafiere Carolina  para Ivan</t>
  </si>
  <si>
    <t>Pago Nomina 16 al 22 junio</t>
  </si>
  <si>
    <t>Pago Nomina Felipe Isabel 20 junio</t>
  </si>
  <si>
    <t>Pago Seguros del Estado Suzuki</t>
  </si>
  <si>
    <t>Mesada Semana  16 al 22 junio</t>
  </si>
  <si>
    <t>GTFF-163</t>
  </si>
  <si>
    <t>GTFF-164</t>
  </si>
  <si>
    <t>GTFF-165</t>
  </si>
  <si>
    <t>Cheque 0231402-4</t>
  </si>
  <si>
    <t>Pago Federman Mesa y Cia RTA 2021</t>
  </si>
  <si>
    <t>Consignado Cheque de Gilincersiones</t>
  </si>
  <si>
    <t>Pago materiales deposito La 18 Barbosa</t>
  </si>
  <si>
    <t>Pagos Tigo UNE</t>
  </si>
  <si>
    <t>Pago Nomina Felipe Isabel 27 junio</t>
  </si>
  <si>
    <t>Pago a Hector Uribe</t>
  </si>
  <si>
    <t>Trasferencia VirtualDaniel Fernandez</t>
  </si>
  <si>
    <t>Pago Seguros Bolivar</t>
  </si>
  <si>
    <t>Traslado</t>
  </si>
  <si>
    <t>Pago Nomina Felipe Isabel 2 julio</t>
  </si>
  <si>
    <t>Compra en Payu*micro</t>
  </si>
  <si>
    <t>Pago Impuesto DIAN</t>
  </si>
  <si>
    <t>Pago Parqueadero San Jose</t>
  </si>
  <si>
    <t>Pago EPM</t>
  </si>
  <si>
    <t>Pago Nomina Felipe Isabel 10 julio</t>
  </si>
  <si>
    <t>Pago compra celular Diego</t>
  </si>
  <si>
    <t>Traslado a Nequi Susana Fernandez</t>
  </si>
  <si>
    <t>Traslado Virgin Mobile</t>
  </si>
  <si>
    <t>Traslado Felipe Odontologia Isabel</t>
  </si>
  <si>
    <t>Pago Nomina Felipe Isabel 18 julio</t>
  </si>
  <si>
    <t>Pago Superintendencia</t>
  </si>
  <si>
    <t>Retiro cajero y pago universidad Susana</t>
  </si>
  <si>
    <t>Pago Nomina Felipe Isabel 23 julio</t>
  </si>
  <si>
    <t>Pago Admnistracion Banilonia</t>
  </si>
  <si>
    <t>Traslado Felipe</t>
  </si>
  <si>
    <t>Pago Nomina Felipe Isabel 30 julio y Vacuna Isabel</t>
  </si>
  <si>
    <t>Pago Celular Libia y mercado oficina</t>
  </si>
  <si>
    <t>Pago a Hector Uribe Trabajo Barbosa</t>
  </si>
  <si>
    <t>Pago Nomina Felipe Isabel 8 agosto</t>
  </si>
  <si>
    <t>Compra de materiales arreglo Barbosa</t>
  </si>
  <si>
    <t>Pago Nomina 23 al 29 junio</t>
  </si>
  <si>
    <t>Mesada Semana  23 al 29 junio</t>
  </si>
  <si>
    <t>Pago TIGO UNE Inernet</t>
  </si>
  <si>
    <t>Compra medicamentos</t>
  </si>
  <si>
    <t>Pago TIGO Barbosa</t>
  </si>
  <si>
    <t>Pago Tigo Diego</t>
  </si>
  <si>
    <t>Pago Soat Montero</t>
  </si>
  <si>
    <t>Almuerzos Felipe</t>
  </si>
  <si>
    <t>Mesada Semana  30 junio al 6 julio</t>
  </si>
  <si>
    <t>Pago administracion Parqueadero San Jose</t>
  </si>
  <si>
    <t>Pago Nomina 30 junio al 06 julio</t>
  </si>
  <si>
    <t>Pagos TIGO UNE</t>
  </si>
  <si>
    <t>Pagos EPM Barbosa Carolina</t>
  </si>
  <si>
    <t>Pagos TIGO UNE Babilonia</t>
  </si>
  <si>
    <t>Pagos TIGO UNE Internet</t>
  </si>
  <si>
    <t>Pago TIGO Oficina</t>
  </si>
  <si>
    <t>Compras Payu*micro pago nube</t>
  </si>
  <si>
    <t>Compra Celular Diego</t>
  </si>
  <si>
    <t>Mesada Semana  07 al 13 julio</t>
  </si>
  <si>
    <t>Pago Virgin Libia Velasquez</t>
  </si>
  <si>
    <t>Pago EPM varios</t>
  </si>
  <si>
    <t>Pago Nomina 07 al 13 julio</t>
  </si>
  <si>
    <t>Cita odontologica</t>
  </si>
  <si>
    <t>Pago acueducto Yarumito</t>
  </si>
  <si>
    <t>Pago Nomina 14 al 20 julio</t>
  </si>
  <si>
    <t>Mesada Semana 14 al 20 julio</t>
  </si>
  <si>
    <t>Pago Nomina 21 al 27 julio</t>
  </si>
  <si>
    <t>Mesada Semana 21 al 27 julio</t>
  </si>
  <si>
    <t xml:space="preserve">Cuota del Mercado </t>
  </si>
  <si>
    <t>Compra disco duro</t>
  </si>
  <si>
    <t>Pago Nomina 28 julio al 03 agosto</t>
  </si>
  <si>
    <t>Pago de vacunas</t>
  </si>
  <si>
    <t>Pago Nomina  28 julio al 03 agosto</t>
  </si>
  <si>
    <t>Mesada Semana 28 julio al 03 agosto</t>
  </si>
  <si>
    <t>Pago promo Libia</t>
  </si>
  <si>
    <t>Pipe Mdo oficina</t>
  </si>
  <si>
    <t>Celular Libia</t>
  </si>
  <si>
    <t>Pagos Libia y Felipe</t>
  </si>
  <si>
    <t>Gastos combio de aceite carro</t>
  </si>
  <si>
    <t>Gastos Varios</t>
  </si>
  <si>
    <t>Consignados a Hector pago trabajo Barbosa</t>
  </si>
  <si>
    <t>Pagom TIGO UNE</t>
  </si>
  <si>
    <t>Pago TIGO UNE</t>
  </si>
  <si>
    <t>Pago Nomina  03  al 10 agosto</t>
  </si>
  <si>
    <t xml:space="preserve">Gastos varios </t>
  </si>
  <si>
    <t>Pago Seguridad Social Empleados agosto</t>
  </si>
  <si>
    <t>Pago Seguridad Social Independiente agosto</t>
  </si>
  <si>
    <t>Pago Seguridad Social Empleados julio</t>
  </si>
  <si>
    <t>Pago Seguridad Social Independiente julio</t>
  </si>
  <si>
    <t>Pago Cuenta Cobro 24-106</t>
  </si>
  <si>
    <t>Abono intererses cuota agosto 2025</t>
  </si>
  <si>
    <t>Abono a deuda  2025</t>
  </si>
  <si>
    <t>Pago SOAT Juan Moto</t>
  </si>
  <si>
    <t>Cita medica</t>
  </si>
  <si>
    <t>Pago Acueducto La Gota de Agua</t>
  </si>
  <si>
    <t>Compra Bateria UPS Barbosa</t>
  </si>
  <si>
    <t>Pago Nomina  11  al 17 agosto</t>
  </si>
  <si>
    <t>Mesada Semana 11  al 17 agosto</t>
  </si>
  <si>
    <t xml:space="preserve">Prestamo </t>
  </si>
  <si>
    <t>Pago TIGO EPM 5111353</t>
  </si>
  <si>
    <t>Abono a deuda</t>
  </si>
  <si>
    <t>Pago Mantenimiento de los equipos Padro Mercado</t>
  </si>
  <si>
    <t>Pago Nomina Felipe Isabel y Prestamo 15 agosto</t>
  </si>
  <si>
    <t>Pago Nomina Felipe Isabel21 agosto</t>
  </si>
  <si>
    <t>Pago Cueta Cobro 25-003</t>
  </si>
  <si>
    <t>Pago TIGO EPM Oficina</t>
  </si>
  <si>
    <t>Trasporte Poblado</t>
  </si>
  <si>
    <t>Pago Nomina  18  al 24 agosto</t>
  </si>
  <si>
    <t>Mesada Semana 18 al 24 agosto</t>
  </si>
  <si>
    <t>Pago Nomina  25  al 31 agosto</t>
  </si>
  <si>
    <t>Pago telefonia Libia Velasquez</t>
  </si>
  <si>
    <t>Gastos Tanqueada Suzuki</t>
  </si>
  <si>
    <t>Compra de recibos de caja</t>
  </si>
  <si>
    <t>Mesada Semana 25 al 31 agosto</t>
  </si>
  <si>
    <t>saldo es la RT que nos deven</t>
  </si>
  <si>
    <t>Consignado Andres Hoyos</t>
  </si>
  <si>
    <t>Trasferencia otros bancos</t>
  </si>
  <si>
    <t>Iva comision Traslado a otros bancos</t>
  </si>
  <si>
    <t>Pago Nomina Felipe Isabel 28 agosto</t>
  </si>
  <si>
    <t>Prestamo pago U deA felipe</t>
  </si>
  <si>
    <t xml:space="preserve"> comision Traslado a otros bancos</t>
  </si>
  <si>
    <t>Gastos Gasolina Suzuki</t>
  </si>
  <si>
    <t>Compra Almuerzo</t>
  </si>
  <si>
    <t>Pago Nomina  01  al 07 septiembre</t>
  </si>
  <si>
    <t>Pago PSE Mercado pago</t>
  </si>
  <si>
    <t>Consignado Alejandro Hoyos</t>
  </si>
  <si>
    <t>Pago de la Mutual Grupo Recordar</t>
  </si>
  <si>
    <t>Pagos TIGO UNE 604</t>
  </si>
  <si>
    <t>Para pago de impuestos</t>
  </si>
  <si>
    <t>Pago Nomina  08 al 14 septiembre</t>
  </si>
  <si>
    <t>Pago semaforizacion sabaneta</t>
  </si>
  <si>
    <t>Pago Nomina  01 al 08 septiembre</t>
  </si>
  <si>
    <t>Mesada Semana 01 al 08 septiembre</t>
  </si>
  <si>
    <t>Pago Nomina  01  al 08 septiembre</t>
  </si>
  <si>
    <t>Mesada Semana 09 al 15 septiembre</t>
  </si>
  <si>
    <t>Pago Nomina  09 al 15 septiembre</t>
  </si>
  <si>
    <t>Pago Nomina Felipe Isabel 03 septiembre</t>
  </si>
  <si>
    <t>Pago mutual  a Racordar Previsora</t>
  </si>
  <si>
    <t>Consignado Gilinversiones SAS retencion</t>
  </si>
  <si>
    <t>Pago Nomina Felipe Isabel 09 septiembre</t>
  </si>
  <si>
    <t>Pago semaforizacion Diego Fernandez</t>
  </si>
  <si>
    <t>Pago Retencion Gilinversiones SAS</t>
  </si>
  <si>
    <t>Pago renta Teresa de la Calle</t>
  </si>
  <si>
    <t>Pago acueducto AUAYT</t>
  </si>
  <si>
    <t>Consignado Sergio Cardenas Pago IVA 2do CUATR</t>
  </si>
  <si>
    <t>Traslado de la cuenta DAFF</t>
  </si>
  <si>
    <t>Consignado Pago IMP PATR Martha Saldarriaga</t>
  </si>
  <si>
    <t>Pago IMP PATR Martha Saldarriaga</t>
  </si>
  <si>
    <t>Sergio Cardenas Pago IVA 2do CUATR</t>
  </si>
  <si>
    <t>Pago Nomina Felipe Isabel  EPM 19 septiembre</t>
  </si>
  <si>
    <t>Abono intererses cuota septiembre 2025</t>
  </si>
  <si>
    <t>Pago Nomina 16 al 21 septiembre</t>
  </si>
  <si>
    <t>Compra equipos medicos</t>
  </si>
  <si>
    <t>Mesada Semana 16 al 21 septiembre</t>
  </si>
  <si>
    <t>Pago WOW Libia</t>
  </si>
  <si>
    <t>Pago Nomina22 al 28 septiembre</t>
  </si>
  <si>
    <t>Pago Nomina 22 al 28 septiembre</t>
  </si>
  <si>
    <t>Pago polorizacion ventanas de la oficina</t>
  </si>
  <si>
    <t>Pago TIGO German</t>
  </si>
  <si>
    <t>Pago Nomina 29 septiembre al 05 octubre</t>
  </si>
  <si>
    <t>Mesada Semana 29 septiembre al 05 octubre</t>
  </si>
  <si>
    <t>Mesada Semana 22 al 28 septiembre</t>
  </si>
  <si>
    <t>Traslado a GTFF</t>
  </si>
  <si>
    <t>Consignado Gonzalez Elsy</t>
  </si>
  <si>
    <t>Consignado Sergio Gonzalez</t>
  </si>
  <si>
    <t>Consignado Franco Vianey</t>
  </si>
  <si>
    <t>Consignado Agudelo Gustavo</t>
  </si>
  <si>
    <t>Consignado 29</t>
  </si>
  <si>
    <t>Pago Cueta Cobro 24-057</t>
  </si>
  <si>
    <t>Pago Cueta Cobro 24-113</t>
  </si>
  <si>
    <t>Pago Seguridad Social Empleados septiembre</t>
  </si>
  <si>
    <t>Pago Seguridad Social Independiente septiembre</t>
  </si>
  <si>
    <t>Pago Seguridad Social Empleados octubre</t>
  </si>
  <si>
    <t>Pago Seguridad Social Independiente octubre</t>
  </si>
  <si>
    <t>Pago Cueta Cobro 25-046</t>
  </si>
  <si>
    <t xml:space="preserve">Pago RF 09 2025 Corruformas </t>
  </si>
  <si>
    <t>Pago administracion Edificio Gaspar de Rodas</t>
  </si>
  <si>
    <t>Pago impuesto DIAN</t>
  </si>
  <si>
    <t>Pago Nomina Felipe Isabel  25 septiembre</t>
  </si>
  <si>
    <t>Consignado pago impuesto</t>
  </si>
  <si>
    <t>Pago TIGO</t>
  </si>
  <si>
    <t>Pago Nomina Felipe Isabel  2 octubre</t>
  </si>
  <si>
    <t>Pago Nomina Felipe Isabel  09 octubre</t>
  </si>
  <si>
    <t>Pago tigo Babilonia</t>
  </si>
  <si>
    <t>Almuerco Isabel</t>
  </si>
  <si>
    <t>Mesada Semana  06 al 12 octubre</t>
  </si>
  <si>
    <t>Pago Nomina 06 al 12 octure</t>
  </si>
  <si>
    <t>Pago RTA 2024 Gladys Tobon</t>
  </si>
  <si>
    <t>Pago TIGO UNE oficina</t>
  </si>
  <si>
    <t>Pago impuesto DIAN Gilinversioes SAS RF 05 2025</t>
  </si>
  <si>
    <t>Transferencia Virtual</t>
  </si>
  <si>
    <t xml:space="preserve">Pago RF 09 2025 Gilinversiones </t>
  </si>
  <si>
    <t>Compra de cortinas para laoficina</t>
  </si>
  <si>
    <t>Pago Nomina 13 al 19 octubre</t>
  </si>
  <si>
    <t>Mesada Semana  13 al 19 octubre</t>
  </si>
  <si>
    <t>Pago Nomina 13 al 19 octure</t>
  </si>
  <si>
    <t>Pago dela Chapa yarreglo de la puerta principal oficina</t>
  </si>
  <si>
    <t>Pago Cueta Cobro 25-004</t>
  </si>
  <si>
    <t>Pago Cueta Cobro 25-047</t>
  </si>
  <si>
    <t>Pago Cueta Cobro 25-005</t>
  </si>
  <si>
    <t>Pago Cueta Cobro 25-014</t>
  </si>
  <si>
    <t>Pago Cueta Cobro 25-053</t>
  </si>
  <si>
    <t>Pago Cueta Cobro 25-016</t>
  </si>
  <si>
    <t>Pago Cueta Cobro 25-055</t>
  </si>
  <si>
    <t>Pago Cueta Cobro 25-010</t>
  </si>
  <si>
    <t>Pago Cueta Cobro 25-023</t>
  </si>
  <si>
    <t>Compra Bateria UPS oficina</t>
  </si>
  <si>
    <t>Compra de lamparas oficina</t>
  </si>
  <si>
    <t>cruce cuentas</t>
  </si>
  <si>
    <t>Pago Cueta Cobro 25-082</t>
  </si>
  <si>
    <t>Compra UPS y mantenimoiento luces</t>
  </si>
  <si>
    <t>Pago Nomina 20 al 26 octubre</t>
  </si>
  <si>
    <t>Pago Cueta Cobro 25-085</t>
  </si>
  <si>
    <t>Pago Cueta Cobro 25-035</t>
  </si>
  <si>
    <t>Pago Cueta Cobro 25-049</t>
  </si>
  <si>
    <t>Pago Cueta Cobro 25-060</t>
  </si>
  <si>
    <t>Pago Cueta Cobro 25-007</t>
  </si>
  <si>
    <t>Pago soat Adriana</t>
  </si>
  <si>
    <t>Traslado abono nomina Felipe</t>
  </si>
  <si>
    <t>Pago Administracion Jardines de Babilonia</t>
  </si>
  <si>
    <t>Comision traslado otros bancos</t>
  </si>
  <si>
    <t>Traslado para el pago del SOAT Adriana</t>
  </si>
  <si>
    <t>Consignado Abono Carli Flury</t>
  </si>
  <si>
    <t>Consignado Juan Francisco Botero</t>
  </si>
  <si>
    <t>PagoRF 09 2025 Gilinversiones</t>
  </si>
  <si>
    <t>Consignado Catalina Cardenas</t>
  </si>
  <si>
    <t>Traslado Felipe Nomina , Isabel y otros</t>
  </si>
  <si>
    <t>Consignado Isabella Bossio</t>
  </si>
  <si>
    <t>Consignado Maria Arango</t>
  </si>
  <si>
    <t>Consignado Lina Echevery</t>
  </si>
  <si>
    <t>Consignado Muñoz Fany</t>
  </si>
  <si>
    <t>Consignado Luis Gonzalez</t>
  </si>
  <si>
    <t>Consignado Giovanna Londoño</t>
  </si>
  <si>
    <t>Consignado Maria Correa</t>
  </si>
  <si>
    <t>Pago Cueta Cobro 25-022</t>
  </si>
  <si>
    <t>Pago Cueta Cobro 25-018</t>
  </si>
  <si>
    <t>Pago Cueta Cobro 25-070</t>
  </si>
  <si>
    <t>Pago Cueta Cobro 25-037</t>
  </si>
  <si>
    <t>Pago Cueta Cobro 25-017</t>
  </si>
  <si>
    <t>Pago Cueta Cobro 25-057</t>
  </si>
  <si>
    <t>Pago Cueta Cobro 25-134</t>
  </si>
  <si>
    <t>Consignado Catalina Ceballos</t>
  </si>
  <si>
    <t>Consignado Gonzalez M Luis</t>
  </si>
  <si>
    <t>Consignado Cristina Cansino</t>
  </si>
  <si>
    <t>Consignado Ana Villa</t>
  </si>
  <si>
    <t>Consignado German Duque</t>
  </si>
  <si>
    <t>NOMBRE 1</t>
  </si>
  <si>
    <t>NOMBRE 2</t>
  </si>
  <si>
    <t>NOMBRE 3</t>
  </si>
  <si>
    <t>NOMBRE 4</t>
  </si>
  <si>
    <t>NOMBRE 5</t>
  </si>
  <si>
    <t>NOMBRE 6</t>
  </si>
  <si>
    <t>NOMBRE 7</t>
  </si>
  <si>
    <t>NOMBRE 8</t>
  </si>
  <si>
    <t>NOMBRE 9</t>
  </si>
  <si>
    <t>NOMBRE 10</t>
  </si>
  <si>
    <t>NOMBRE 11</t>
  </si>
  <si>
    <t>NOMBRE 12</t>
  </si>
  <si>
    <t>NOMBRE 13</t>
  </si>
  <si>
    <t>NOMBRE 14</t>
  </si>
  <si>
    <t>NOMBRE 15</t>
  </si>
  <si>
    <t>NOMBRE 16</t>
  </si>
  <si>
    <t>NOMBRE 17</t>
  </si>
  <si>
    <t>NOMBRE 18</t>
  </si>
  <si>
    <t>NOMBRE 19</t>
  </si>
  <si>
    <t>NOMBRE 20</t>
  </si>
  <si>
    <t>NOMBRE 21</t>
  </si>
  <si>
    <t>NOMBRE 22</t>
  </si>
  <si>
    <t>NOMBRE 23</t>
  </si>
  <si>
    <t>NOMBRE 24</t>
  </si>
  <si>
    <t>NOMBRE 25</t>
  </si>
  <si>
    <t>NOMBRE 26</t>
  </si>
  <si>
    <t>NOMBRE 27</t>
  </si>
  <si>
    <t>NOMBRE 28</t>
  </si>
  <si>
    <t>NOMBRE 29</t>
  </si>
  <si>
    <t>NOMBRE 30</t>
  </si>
  <si>
    <t>NOMBRE 31</t>
  </si>
  <si>
    <t>NOMBRE 32</t>
  </si>
  <si>
    <t>NOMBRE 33</t>
  </si>
  <si>
    <t>NOMBRE 34</t>
  </si>
  <si>
    <t>NOMBRE 35</t>
  </si>
  <si>
    <t>NOMBRE 36</t>
  </si>
  <si>
    <t>NOMBRE 37</t>
  </si>
  <si>
    <t>NOMBRE 38</t>
  </si>
  <si>
    <t>NOMBRE 39</t>
  </si>
  <si>
    <t>NOMBRE 40</t>
  </si>
  <si>
    <t>NOMBRE 41</t>
  </si>
  <si>
    <t>NOMBRE 42</t>
  </si>
  <si>
    <t>NOMBRE 43</t>
  </si>
  <si>
    <t>NOMBRE 44</t>
  </si>
  <si>
    <t>NOMBRE 45</t>
  </si>
  <si>
    <t>NOMBRE 46</t>
  </si>
  <si>
    <t>NOMBRE 47</t>
  </si>
  <si>
    <t>NOMBRE 48</t>
  </si>
  <si>
    <t>NOMBRE 49</t>
  </si>
  <si>
    <t>NOMBRE 50</t>
  </si>
  <si>
    <t>NOMBRE 51</t>
  </si>
  <si>
    <t>NOMBRE 52</t>
  </si>
  <si>
    <t>NOMBRE 53</t>
  </si>
  <si>
    <t>NOMBRE 54</t>
  </si>
  <si>
    <t>NOMBRE 55</t>
  </si>
  <si>
    <t>NOMBRE 56</t>
  </si>
  <si>
    <t>NOMBRE 57</t>
  </si>
  <si>
    <t>NOMBRE 58</t>
  </si>
  <si>
    <t>NOMBRE 59</t>
  </si>
  <si>
    <t>NOMBRE 60</t>
  </si>
  <si>
    <t>NOMBRE 61</t>
  </si>
  <si>
    <t>NOMBRE 62</t>
  </si>
  <si>
    <t>NOMBRE 63</t>
  </si>
  <si>
    <t>NOMBRE 64</t>
  </si>
  <si>
    <t>NOMBRE 65</t>
  </si>
  <si>
    <t>NOMBRE 66</t>
  </si>
  <si>
    <t>NOMBRE 67</t>
  </si>
  <si>
    <t>NOMBRE 68</t>
  </si>
  <si>
    <t>NOMBRE 69</t>
  </si>
  <si>
    <t>NOMBRE 70</t>
  </si>
  <si>
    <t>NOMBRE 71</t>
  </si>
  <si>
    <t>NOMBRE 72</t>
  </si>
  <si>
    <t>NOMBRE 73</t>
  </si>
  <si>
    <t>NOMBRE 74</t>
  </si>
  <si>
    <t>NOMBRE 75</t>
  </si>
  <si>
    <t>NOMBRE 76</t>
  </si>
  <si>
    <t>NOMBRE 77</t>
  </si>
  <si>
    <t>NOMBRE 78</t>
  </si>
  <si>
    <t>NOMBRE 79</t>
  </si>
  <si>
    <t>NOMBRE 80</t>
  </si>
  <si>
    <t>NOMBRE 81</t>
  </si>
  <si>
    <t>NOMBRE 82</t>
  </si>
  <si>
    <t>NOMBRE 83</t>
  </si>
  <si>
    <t>NOMBRE 84</t>
  </si>
  <si>
    <t>NOMBRE 85</t>
  </si>
  <si>
    <t>NOMBRE 86</t>
  </si>
  <si>
    <t>NOMBRE 87</t>
  </si>
  <si>
    <t>NOMBRE 88</t>
  </si>
  <si>
    <t>NOMBRE 89</t>
  </si>
  <si>
    <t>NOMBRE 90</t>
  </si>
  <si>
    <t>NOMBRE 91</t>
  </si>
  <si>
    <t>NOMBRE 92</t>
  </si>
  <si>
    <t>NOMBRE 93</t>
  </si>
  <si>
    <t>NOMBRE 94</t>
  </si>
  <si>
    <t>NOMBRE 95</t>
  </si>
  <si>
    <t>NOMBRE 96</t>
  </si>
  <si>
    <t>NOMBRE 97</t>
  </si>
  <si>
    <t>NOMBRE 98</t>
  </si>
  <si>
    <t>NOMBRE 99</t>
  </si>
  <si>
    <t>NOMBRE 100</t>
  </si>
  <si>
    <t>NOMBRE 101</t>
  </si>
  <si>
    <t>NOMBRE 102</t>
  </si>
  <si>
    <t>NOMBRE 103</t>
  </si>
  <si>
    <t>NOMBRE 104</t>
  </si>
  <si>
    <t>NOMBRE 105</t>
  </si>
  <si>
    <t>NOMBRE 106</t>
  </si>
  <si>
    <t>NOMBRE 107</t>
  </si>
  <si>
    <t>NOMBRE 108</t>
  </si>
  <si>
    <t>NOMBRE 109</t>
  </si>
  <si>
    <t>NOMBRE 110</t>
  </si>
  <si>
    <t>NOMBRE 111</t>
  </si>
  <si>
    <t>NOMBRE 112</t>
  </si>
  <si>
    <t>NOMBRE 113</t>
  </si>
  <si>
    <t>NOMBRE 114</t>
  </si>
  <si>
    <t>NOMBRE 115</t>
  </si>
  <si>
    <t>NOMBRE 116</t>
  </si>
  <si>
    <t>NOMBRE 117</t>
  </si>
  <si>
    <t>NOMBRE 118</t>
  </si>
  <si>
    <t>NOMBRE 119</t>
  </si>
  <si>
    <t>NOMBRE 120</t>
  </si>
  <si>
    <t>NOMBRE 121</t>
  </si>
  <si>
    <t>NOMBRE 122</t>
  </si>
  <si>
    <t>NOMBRE 123</t>
  </si>
  <si>
    <t>NOMBRE 124</t>
  </si>
  <si>
    <t>NOMBRE 125</t>
  </si>
  <si>
    <t>NOMBRE 126</t>
  </si>
  <si>
    <t>NOMBRE 127</t>
  </si>
  <si>
    <t>NOMBRE 128</t>
  </si>
  <si>
    <t>NOMBRE 129</t>
  </si>
  <si>
    <t>NOMBRE 130</t>
  </si>
  <si>
    <t>NOMBRE 131</t>
  </si>
  <si>
    <t>NOMBRE 132</t>
  </si>
  <si>
    <t>NOMBRE 133</t>
  </si>
  <si>
    <t>NOMBRE 134</t>
  </si>
  <si>
    <t>NOMBRE 135</t>
  </si>
  <si>
    <t>NOMBRE 136</t>
  </si>
  <si>
    <t>NOMBRE 137</t>
  </si>
  <si>
    <t>NOMBRE 138</t>
  </si>
  <si>
    <t>NOMBRE 139</t>
  </si>
  <si>
    <t>NOMBRE 140</t>
  </si>
  <si>
    <t>NOMBRE 141</t>
  </si>
  <si>
    <t>NOMBRE 142</t>
  </si>
  <si>
    <t>NOMBRE 143</t>
  </si>
  <si>
    <t>NOMBRE 144</t>
  </si>
  <si>
    <t>NOMBRE 145</t>
  </si>
  <si>
    <t>NOMBRE 146</t>
  </si>
  <si>
    <t>NOMBRE 147</t>
  </si>
  <si>
    <t>NOMBRE 148</t>
  </si>
  <si>
    <t>NOMBRE 149</t>
  </si>
  <si>
    <t>NOMBRE 150</t>
  </si>
  <si>
    <t>NOMBRE 151</t>
  </si>
  <si>
    <t>NOMBRE 152</t>
  </si>
  <si>
    <t>NOMBRE 153</t>
  </si>
  <si>
    <t>NOMBRE 154</t>
  </si>
  <si>
    <t>NOMBRE 155</t>
  </si>
  <si>
    <t>NOMBRE 156</t>
  </si>
  <si>
    <t>NOMBRE 157</t>
  </si>
  <si>
    <t>NOMBRE 158</t>
  </si>
  <si>
    <t>NOMBRE 159</t>
  </si>
  <si>
    <t>NOMBRE 160</t>
  </si>
  <si>
    <t>NOMBRE 161</t>
  </si>
  <si>
    <t>NOMBRE 162</t>
  </si>
  <si>
    <t>NOMBRE 163</t>
  </si>
  <si>
    <t>NOMBRE 164</t>
  </si>
  <si>
    <t>NOMBRE 165</t>
  </si>
  <si>
    <t>NOMBRE 166</t>
  </si>
  <si>
    <t>NOMBRE 167</t>
  </si>
  <si>
    <t>NOMBRE 168</t>
  </si>
  <si>
    <t>NOMBRE 169</t>
  </si>
  <si>
    <t>NOMBRE 170</t>
  </si>
  <si>
    <t>NOMBRE 171</t>
  </si>
  <si>
    <t>NOMBRE 172</t>
  </si>
  <si>
    <t>NOMBRE 173</t>
  </si>
  <si>
    <t>NOMBRE 174</t>
  </si>
  <si>
    <t>NOMBRE 175</t>
  </si>
  <si>
    <t>NOMBRE 176</t>
  </si>
  <si>
    <t>NOMBRE 177</t>
  </si>
  <si>
    <t>NOMBRE 178</t>
  </si>
  <si>
    <t>NOMBRE 179</t>
  </si>
  <si>
    <t>NOMBRE 180</t>
  </si>
  <si>
    <t>NOMBRE 181</t>
  </si>
  <si>
    <t>NOMBRE 182</t>
  </si>
  <si>
    <t>NOMBRE 183</t>
  </si>
  <si>
    <t>NOMBRE 184</t>
  </si>
  <si>
    <t>NOMBRE 185</t>
  </si>
  <si>
    <t>NOMBRE 186</t>
  </si>
  <si>
    <t>NOMBRE 187</t>
  </si>
  <si>
    <t>NOMBRE 188</t>
  </si>
  <si>
    <t>NOMBRE 189</t>
  </si>
  <si>
    <t>NOMBRE 190</t>
  </si>
  <si>
    <t>NOMBRE 191</t>
  </si>
  <si>
    <t>NOMBRE 192</t>
  </si>
  <si>
    <t>NOMBRE 193</t>
  </si>
  <si>
    <t>NOMBRE 194</t>
  </si>
  <si>
    <t>NOMBRE 195</t>
  </si>
  <si>
    <t>NOMBRE 196</t>
  </si>
  <si>
    <t>NOMBRE 197</t>
  </si>
  <si>
    <t>NOMBRE 198</t>
  </si>
  <si>
    <t>NOMBRE 199</t>
  </si>
  <si>
    <t>NOMBRE 200</t>
  </si>
  <si>
    <t>NOMBRE 201</t>
  </si>
  <si>
    <t>NOMBRE 202</t>
  </si>
  <si>
    <t>NOMBRE 203</t>
  </si>
  <si>
    <t>NOMBRE 204</t>
  </si>
  <si>
    <t>NOMBRE 205</t>
  </si>
  <si>
    <t>NOMBRE 206</t>
  </si>
  <si>
    <t>NOMBRE 207</t>
  </si>
  <si>
    <t>NOMBRE 208</t>
  </si>
  <si>
    <t>NOMBRE 209</t>
  </si>
  <si>
    <t>NOMBRE 210</t>
  </si>
  <si>
    <t>NOMBRE 211</t>
  </si>
  <si>
    <t>NOMBRE 212</t>
  </si>
  <si>
    <t>NOMBRE 213</t>
  </si>
  <si>
    <t>NOMBRE 214</t>
  </si>
  <si>
    <t>NOMBRE 215</t>
  </si>
  <si>
    <t>NOMBRE 216</t>
  </si>
  <si>
    <t>NOMBRE 217</t>
  </si>
  <si>
    <t>NOMBRE 218</t>
  </si>
  <si>
    <t>NOMBRE 219</t>
  </si>
  <si>
    <t>NOMBRE 220</t>
  </si>
  <si>
    <t>NOMBRE 221</t>
  </si>
  <si>
    <t>NOMBRE 222</t>
  </si>
  <si>
    <t>NOMBRE 223</t>
  </si>
  <si>
    <t>NOMBRE 224</t>
  </si>
  <si>
    <t>NOMBRE 225</t>
  </si>
  <si>
    <t>NOMBRE 226</t>
  </si>
  <si>
    <t>NOMBRE 227</t>
  </si>
  <si>
    <t>NOMBRE 228</t>
  </si>
  <si>
    <t>NOMBRE 229</t>
  </si>
  <si>
    <t>NOMBRE 230</t>
  </si>
  <si>
    <t>NOMBRE 231</t>
  </si>
  <si>
    <t>NOMBRE 232</t>
  </si>
  <si>
    <t>NOMBRE 233</t>
  </si>
  <si>
    <t>NOMBRE 234</t>
  </si>
  <si>
    <t>NOMBRE 235</t>
  </si>
  <si>
    <t>NOMBRE 236</t>
  </si>
  <si>
    <t>NOMBRE 237</t>
  </si>
  <si>
    <t>NOMBRE 238</t>
  </si>
  <si>
    <t>NOMBRE 239</t>
  </si>
  <si>
    <t>NOMBRE 240</t>
  </si>
  <si>
    <t>NOMBRE 241</t>
  </si>
  <si>
    <t>NOMBRE 242</t>
  </si>
  <si>
    <t>NOMBRE 243</t>
  </si>
  <si>
    <t>NOMBRE 244</t>
  </si>
  <si>
    <t>NOMBRE 245</t>
  </si>
  <si>
    <t>NOMBRE 246</t>
  </si>
  <si>
    <t>NOMBRE 247</t>
  </si>
  <si>
    <t>NOMBRE 248</t>
  </si>
  <si>
    <t>NOMBRE 249</t>
  </si>
  <si>
    <t>NOMBRE 250</t>
  </si>
  <si>
    <t>NOMBRE 251</t>
  </si>
  <si>
    <t>NOMBRE 252</t>
  </si>
  <si>
    <t>NOMBRE 253</t>
  </si>
  <si>
    <t>NOMBRE 254</t>
  </si>
  <si>
    <t>NOMBRE 255</t>
  </si>
  <si>
    <t>NOMBRE 256</t>
  </si>
  <si>
    <t>NOMBRE 257</t>
  </si>
  <si>
    <t>NOMBRE 258</t>
  </si>
  <si>
    <t>NOMBRE 259</t>
  </si>
  <si>
    <t>NOMBRE 260</t>
  </si>
  <si>
    <t>NOMBRE 261</t>
  </si>
  <si>
    <t>NOMBRE 262</t>
  </si>
  <si>
    <t>NOMBRE 263</t>
  </si>
  <si>
    <t>NOMBRE 264</t>
  </si>
  <si>
    <t>NOMBRE 265</t>
  </si>
  <si>
    <t>NOMBRE 266</t>
  </si>
  <si>
    <t>NOMBRE 267</t>
  </si>
  <si>
    <t>NOMBRE 268</t>
  </si>
  <si>
    <t>NOMBRE 269</t>
  </si>
  <si>
    <t>NOMBRE 270</t>
  </si>
  <si>
    <t>NOMBRE 271</t>
  </si>
  <si>
    <t>NOMBRE 272</t>
  </si>
  <si>
    <t>NOMBRE 273</t>
  </si>
  <si>
    <t>NOMBRE 274</t>
  </si>
  <si>
    <t>NOMBRE 275</t>
  </si>
  <si>
    <t>NOMBRE 276</t>
  </si>
  <si>
    <t>NOMBRE 277</t>
  </si>
  <si>
    <t>NOMBRE 278</t>
  </si>
  <si>
    <t>NOMBRE 279</t>
  </si>
  <si>
    <t>NOMBRE 280</t>
  </si>
  <si>
    <t>NOMBRE 281</t>
  </si>
  <si>
    <t>NOMBRE 282</t>
  </si>
  <si>
    <t>NOMBRE 283</t>
  </si>
  <si>
    <t>NOMBRE 284</t>
  </si>
  <si>
    <t>NOMBRE 285</t>
  </si>
  <si>
    <t>NOMBRE 286</t>
  </si>
  <si>
    <t>NOMBRE 287</t>
  </si>
  <si>
    <t>NOMBRE 288</t>
  </si>
  <si>
    <t>NOMBRE 289</t>
  </si>
  <si>
    <t>NOMBRE 290</t>
  </si>
  <si>
    <t>NOMBRE 291</t>
  </si>
  <si>
    <t>NOMBRE 292</t>
  </si>
  <si>
    <t>NOMBRE 293</t>
  </si>
  <si>
    <t>NOMBRE 294</t>
  </si>
  <si>
    <t>NOMBRE 295</t>
  </si>
  <si>
    <t>NOMBRE 296</t>
  </si>
  <si>
    <t>NOMBRE 297</t>
  </si>
  <si>
    <t>NOMBRE 298</t>
  </si>
  <si>
    <t>NOMBRE 299</t>
  </si>
  <si>
    <t>NOMBRE 300</t>
  </si>
  <si>
    <t>NOMBRE 301</t>
  </si>
  <si>
    <t>NOMBRE 302</t>
  </si>
  <si>
    <t>NOMBRE 303</t>
  </si>
  <si>
    <t>NOMBRE 304</t>
  </si>
  <si>
    <t>NOMBRE 305</t>
  </si>
  <si>
    <t>NOMBRE 306</t>
  </si>
  <si>
    <t>NOMBRE 307</t>
  </si>
  <si>
    <t>NOMBRE 308</t>
  </si>
  <si>
    <t>NOMBRE 309</t>
  </si>
  <si>
    <t>NOMBRE 310</t>
  </si>
  <si>
    <t>NOMBRE 311</t>
  </si>
  <si>
    <t>NOMBRE 312</t>
  </si>
  <si>
    <t>NOMBRE 313</t>
  </si>
  <si>
    <t>NOMBRE 314</t>
  </si>
  <si>
    <t>NOMBRE 315</t>
  </si>
  <si>
    <t>NOMBRE 316</t>
  </si>
  <si>
    <t>NOMBRE 317</t>
  </si>
  <si>
    <t>NOMBRE 318</t>
  </si>
  <si>
    <t>NOMBRE 319</t>
  </si>
  <si>
    <t>NOMBRE 320</t>
  </si>
  <si>
    <t>NOMBRE 321</t>
  </si>
  <si>
    <t>NOMBRE 322</t>
  </si>
  <si>
    <t>NOMBRE 323</t>
  </si>
  <si>
    <t>NOMBRE 324</t>
  </si>
  <si>
    <t>NOMBRE 325</t>
  </si>
  <si>
    <t>NOMBRE 326</t>
  </si>
  <si>
    <t>NOMBRE 327</t>
  </si>
  <si>
    <t>NOMBRE 328</t>
  </si>
  <si>
    <t>NOMBRE 329</t>
  </si>
  <si>
    <t>NOMBRE 330</t>
  </si>
  <si>
    <t>NOMBRE 331</t>
  </si>
  <si>
    <t>NOMBRE 332</t>
  </si>
  <si>
    <t>NOMBRE 333</t>
  </si>
  <si>
    <t>NOMBRE 334</t>
  </si>
  <si>
    <t>NOMBRE 335</t>
  </si>
  <si>
    <t>NOMBRE 336</t>
  </si>
  <si>
    <t>NOMBRE 337</t>
  </si>
  <si>
    <t>NOMBRE 338</t>
  </si>
  <si>
    <t>NOMBRE 339</t>
  </si>
  <si>
    <t>NOMBRE 340</t>
  </si>
  <si>
    <t>NOMBRE 341</t>
  </si>
  <si>
    <t>NOMBRE 342</t>
  </si>
  <si>
    <t>NOMBRE 343</t>
  </si>
  <si>
    <t>NOMBRE 344</t>
  </si>
  <si>
    <t>NOMBRE 345</t>
  </si>
  <si>
    <t>NOMBRE 346</t>
  </si>
  <si>
    <t>NOMBRE 347</t>
  </si>
  <si>
    <t>NOMBRE 348</t>
  </si>
  <si>
    <t>NOMBRE 349</t>
  </si>
  <si>
    <t>NOMBRE 350</t>
  </si>
  <si>
    <t>NOMBRE 351</t>
  </si>
  <si>
    <t>NOMBRE 352</t>
  </si>
  <si>
    <t>NOMBRE 353</t>
  </si>
  <si>
    <t>NOMBRE 354</t>
  </si>
  <si>
    <t>NOMBRE 355</t>
  </si>
  <si>
    <t>NOMBRE 356</t>
  </si>
  <si>
    <t>NOMBRE 357</t>
  </si>
  <si>
    <t>NOMBRE 358</t>
  </si>
  <si>
    <t>NOMBRE 359</t>
  </si>
  <si>
    <t>NOMBRE 360</t>
  </si>
  <si>
    <t>NOMBRE 361</t>
  </si>
  <si>
    <t>NOMBRE 362</t>
  </si>
  <si>
    <t>NOMBRE 363</t>
  </si>
  <si>
    <t>NOMBRE 364</t>
  </si>
  <si>
    <t>NOMBRE 365</t>
  </si>
  <si>
    <t>NOMBRE 366</t>
  </si>
  <si>
    <t>NOMBRE 367</t>
  </si>
  <si>
    <t>NOMBRE 368</t>
  </si>
  <si>
    <t>NOMBRE 369</t>
  </si>
  <si>
    <t>LIBRO DIARIO OFICINA</t>
  </si>
  <si>
    <r>
      <t xml:space="preserve">FACTURAS </t>
    </r>
    <r>
      <rPr>
        <b/>
        <sz val="10"/>
        <color rgb="FF0000FF"/>
        <rFont val="Verdana"/>
        <family val="2"/>
      </rPr>
      <t>-OFICINA-</t>
    </r>
    <r>
      <rPr>
        <b/>
        <sz val="10"/>
        <color indexed="8"/>
        <rFont val="Verdana"/>
        <family val="2"/>
      </rPr>
      <t>2021</t>
    </r>
  </si>
  <si>
    <r>
      <t xml:space="preserve">FACTURAS </t>
    </r>
    <r>
      <rPr>
        <b/>
        <sz val="10"/>
        <color rgb="FF0000FF"/>
        <rFont val="Verdana"/>
        <family val="2"/>
      </rPr>
      <t>-OFICINA-</t>
    </r>
    <r>
      <rPr>
        <b/>
        <sz val="10"/>
        <color indexed="8"/>
        <rFont val="Verdana"/>
        <family val="2"/>
      </rPr>
      <t>2023</t>
    </r>
  </si>
  <si>
    <t>CUENTAS DE COBRO -OFICINA-</t>
  </si>
  <si>
    <t>CUENTAS DE COBRO -OFICINA-2021</t>
  </si>
  <si>
    <t>CUENTAS DE COBRO -OFICINA-2022</t>
  </si>
  <si>
    <t>CUENTAS DE COBRO -OFICINA-2023</t>
  </si>
  <si>
    <t>FACTURAS -OFICINA-</t>
  </si>
  <si>
    <t>EMPLEADO 1</t>
  </si>
  <si>
    <t>EMPLEADO 2</t>
  </si>
  <si>
    <t>MOVIMIENTOS BANCO</t>
  </si>
  <si>
    <t>MOVIMIENTOS Inversiones</t>
  </si>
  <si>
    <t>MOVIMIENTOS BANCO 2</t>
  </si>
  <si>
    <t>MOVIMIENTOS BANCO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</si>
</sst>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yyyy\-mm\-dd;@"/>
    <numFmt numFmtId="166" formatCode="dd\-mm\-yy;@"/>
    <numFmt numFmtId="167" formatCode="d/mm/yyyy;@"/>
    <numFmt numFmtId="168" formatCode="[$-C0A]d\-mmm\-yyyy;@"/>
    <numFmt numFmtId="169" formatCode="0_);\(0\)"/>
    <numFmt numFmtId="170" formatCode="#,##0.0_);\(#,##0.0\)"/>
    <numFmt numFmtId="171" formatCode="dd/mm/yyyy;@"/>
  </numFmts>
  <fonts count="72" x14ac:knownFonts="1">
    <font>
      <sz val="12"/>
      <name val="Arial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10"/>
      <name val="Verdana"/>
      <family val="2"/>
    </font>
    <font>
      <b/>
      <sz val="8"/>
      <color indexed="10"/>
      <name val="Verdana"/>
      <family val="2"/>
    </font>
    <font>
      <sz val="10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10"/>
      <name val="Verdana"/>
      <family val="2"/>
    </font>
    <font>
      <sz val="8"/>
      <color indexed="10"/>
      <name val="Verdana"/>
      <family val="2"/>
    </font>
    <font>
      <sz val="10"/>
      <color indexed="8"/>
      <name val="Verdana"/>
      <family val="2"/>
    </font>
    <font>
      <sz val="10"/>
      <color indexed="8"/>
      <name val="Verdana"/>
      <family val="2"/>
    </font>
    <font>
      <b/>
      <sz val="10"/>
      <color indexed="12"/>
      <name val="Verdana"/>
      <family val="2"/>
    </font>
    <font>
      <b/>
      <sz val="10"/>
      <color indexed="10"/>
      <name val="Verdana"/>
      <family val="2"/>
    </font>
    <font>
      <sz val="10"/>
      <color indexed="8"/>
      <name val="Verdana"/>
      <family val="2"/>
    </font>
    <font>
      <sz val="10"/>
      <color indexed="12"/>
      <name val="Verdana"/>
      <family val="2"/>
    </font>
    <font>
      <sz val="10"/>
      <color indexed="17"/>
      <name val="Verdana"/>
      <family val="2"/>
    </font>
    <font>
      <b/>
      <sz val="10"/>
      <color indexed="10"/>
      <name val="Verdana"/>
      <family val="2"/>
    </font>
    <font>
      <b/>
      <sz val="10"/>
      <color indexed="8"/>
      <name val="Verdana"/>
      <family val="2"/>
    </font>
    <font>
      <b/>
      <sz val="8"/>
      <color indexed="12"/>
      <name val="Verdana"/>
      <family val="2"/>
    </font>
    <font>
      <sz val="8"/>
      <color indexed="8"/>
      <name val="Verdana"/>
      <family val="2"/>
    </font>
    <font>
      <sz val="10"/>
      <color indexed="8"/>
      <name val="Verdana"/>
      <family val="2"/>
    </font>
    <font>
      <i/>
      <sz val="10"/>
      <color indexed="8"/>
      <name val="Verdana"/>
      <family val="2"/>
    </font>
    <font>
      <b/>
      <sz val="8"/>
      <color indexed="8"/>
      <name val="Verdana"/>
      <family val="2"/>
    </font>
    <font>
      <sz val="10"/>
      <color indexed="11"/>
      <name val="Verdana"/>
      <family val="2"/>
    </font>
    <font>
      <b/>
      <sz val="8"/>
      <color indexed="10"/>
      <name val="Verdana"/>
      <family val="2"/>
    </font>
    <font>
      <b/>
      <sz val="10"/>
      <color indexed="8"/>
      <name val="Verdana"/>
      <family val="2"/>
    </font>
    <font>
      <b/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sz val="10"/>
      <color indexed="12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z val="10"/>
      <name val="Verdana"/>
      <family val="2"/>
    </font>
    <font>
      <sz val="8"/>
      <name val="Arial"/>
      <family val="2"/>
    </font>
    <font>
      <b/>
      <sz val="8"/>
      <name val="Verdana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Verdana"/>
      <family val="2"/>
    </font>
    <font>
      <sz val="10"/>
      <color rgb="FFFF0000"/>
      <name val="Verdana"/>
      <family val="2"/>
    </font>
    <font>
      <b/>
      <sz val="10"/>
      <color rgb="FF0000FF"/>
      <name val="Verdana"/>
      <family val="2"/>
    </font>
    <font>
      <sz val="10"/>
      <color rgb="FF0000FF"/>
      <name val="Verdana"/>
      <family val="2"/>
    </font>
    <font>
      <sz val="8"/>
      <color rgb="FF0000FF"/>
      <name val="Verdana"/>
      <family val="2"/>
    </font>
    <font>
      <sz val="10"/>
      <color rgb="FFC00000"/>
      <name val="Verdana"/>
      <family val="2"/>
    </font>
    <font>
      <sz val="10"/>
      <color rgb="FF00B050"/>
      <name val="Verdana"/>
      <family val="2"/>
    </font>
    <font>
      <b/>
      <sz val="10"/>
      <color rgb="FFFF0000"/>
      <name val="Verdana"/>
      <family val="2"/>
    </font>
    <font>
      <b/>
      <sz val="8"/>
      <color rgb="FFFF0000"/>
      <name val="Verdana"/>
      <family val="2"/>
    </font>
    <font>
      <sz val="8"/>
      <color rgb="FFFF0000"/>
      <name val="Verdana"/>
      <family val="2"/>
    </font>
    <font>
      <sz val="8"/>
      <color rgb="FFFF0000"/>
      <name val="Arial"/>
      <family val="2"/>
    </font>
    <font>
      <b/>
      <sz val="8"/>
      <color rgb="FF0000FF"/>
      <name val="Verdana"/>
      <family val="2"/>
    </font>
    <font>
      <sz val="12"/>
      <color rgb="FFFF0000"/>
      <name val="Arial"/>
      <family val="2"/>
    </font>
    <font>
      <sz val="12"/>
      <color rgb="FF0000FF"/>
      <name val="Arial"/>
      <family val="2"/>
    </font>
    <font>
      <b/>
      <sz val="10"/>
      <color rgb="FFFFFF00"/>
      <name val="Verdana"/>
      <family val="2"/>
    </font>
    <font>
      <b/>
      <sz val="10"/>
      <color rgb="FF006600"/>
      <name val="Verdana"/>
      <family val="2"/>
    </font>
    <font>
      <b/>
      <sz val="10"/>
      <color rgb="FF00B050"/>
      <name val="Verdana"/>
      <family val="2"/>
    </font>
    <font>
      <b/>
      <sz val="12"/>
      <name val="Verdana"/>
      <family val="2"/>
    </font>
    <font>
      <sz val="8"/>
      <color rgb="FFFFFF00"/>
      <name val="Verdana"/>
      <family val="2"/>
    </font>
    <font>
      <b/>
      <sz val="8"/>
      <color rgb="FFFF00FF"/>
      <name val="Verdana"/>
      <family val="2"/>
    </font>
    <font>
      <sz val="10"/>
      <color rgb="FFFF00FF"/>
      <name val="Verdana"/>
      <family val="2"/>
    </font>
    <font>
      <b/>
      <sz val="8"/>
      <color rgb="FF00B050"/>
      <name val="Verdana"/>
      <family val="2"/>
    </font>
    <font>
      <b/>
      <sz val="12"/>
      <color rgb="FFFFFF00"/>
      <name val="Arial"/>
      <family val="2"/>
    </font>
    <font>
      <sz val="12"/>
      <name val="Arial"/>
      <family val="2"/>
    </font>
    <font>
      <b/>
      <sz val="10"/>
      <color rgb="FFFF00FF"/>
      <name val="Verdana"/>
      <family val="2"/>
    </font>
    <font>
      <sz val="12"/>
      <name val="Verdana"/>
      <family val="2"/>
    </font>
    <font>
      <b/>
      <sz val="12"/>
      <color rgb="FFFFFF00"/>
      <name val="Verdana"/>
      <family val="2"/>
    </font>
    <font>
      <sz val="12"/>
      <color rgb="FFFF0000"/>
      <name val="Verdana"/>
      <family val="2"/>
    </font>
    <font>
      <sz val="12"/>
      <color rgb="FF0000FF"/>
      <name val="Verdana"/>
      <family val="2"/>
    </font>
    <font>
      <b/>
      <sz val="10"/>
      <color theme="1"/>
      <name val="Verdana"/>
      <family val="2"/>
    </font>
    <font>
      <b/>
      <sz val="12"/>
      <color rgb="FF0000FF"/>
      <name val="Verdana"/>
      <family val="2"/>
    </font>
    <font>
      <b/>
      <sz val="12"/>
      <color rgb="FFFF0000"/>
      <name val="Verdana"/>
      <family val="2"/>
    </font>
    <font>
      <sz val="12"/>
      <name val="Aptos"/>
      <family val="2"/>
    </font>
    <font>
      <sz val="8"/>
      <name val="Arial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9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indexed="9"/>
      </patternFill>
    </fill>
    <fill>
      <patternFill patternType="solid">
        <fgColor rgb="FF00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4F5F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1" fillId="0" borderId="0" applyFont="0" applyFill="0" applyBorder="0" applyAlignment="0" applyProtection="0"/>
  </cellStyleXfs>
  <cellXfs count="1377">
    <xf numFmtId="0" fontId="0" fillId="0" borderId="0" xfId="0"/>
    <xf numFmtId="3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horizontal="centerContinuous" vertical="center"/>
    </xf>
    <xf numFmtId="3" fontId="1" fillId="3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15" fontId="1" fillId="2" borderId="0" xfId="0" applyNumberFormat="1" applyFont="1" applyFill="1" applyAlignment="1">
      <alignment horizontal="centerContinuous" vertical="center"/>
    </xf>
    <xf numFmtId="3" fontId="7" fillId="2" borderId="0" xfId="0" applyNumberFormat="1" applyFont="1" applyFill="1" applyAlignment="1">
      <alignment vertical="center"/>
    </xf>
    <xf numFmtId="15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5" fontId="1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10" fillId="2" borderId="0" xfId="0" applyNumberFormat="1" applyFont="1" applyFill="1" applyAlignment="1">
      <alignment vertical="center"/>
    </xf>
    <xf numFmtId="15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5" fontId="1" fillId="2" borderId="0" xfId="0" applyNumberFormat="1" applyFont="1" applyFill="1" applyAlignment="1">
      <alignment horizontal="center" vertical="center"/>
    </xf>
    <xf numFmtId="3" fontId="1" fillId="4" borderId="0" xfId="0" applyNumberFormat="1" applyFont="1" applyFill="1" applyAlignment="1">
      <alignment vertical="center"/>
    </xf>
    <xf numFmtId="15" fontId="12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15" fontId="1" fillId="2" borderId="0" xfId="0" applyNumberFormat="1" applyFont="1" applyFill="1" applyAlignment="1">
      <alignment vertical="center"/>
    </xf>
    <xf numFmtId="15" fontId="10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3" fontId="11" fillId="2" borderId="0" xfId="0" applyNumberFormat="1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Continuous" vertical="center"/>
    </xf>
    <xf numFmtId="3" fontId="20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5" fontId="2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3" fontId="1" fillId="7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centerContinuous" vertical="center"/>
    </xf>
    <xf numFmtId="2" fontId="1" fillId="2" borderId="0" xfId="0" applyNumberFormat="1" applyFont="1" applyFill="1" applyAlignment="1">
      <alignment vertical="center" wrapText="1"/>
    </xf>
    <xf numFmtId="3" fontId="18" fillId="2" borderId="0" xfId="0" applyNumberFormat="1" applyFont="1" applyFill="1" applyAlignment="1">
      <alignment vertical="center"/>
    </xf>
    <xf numFmtId="3" fontId="1" fillId="4" borderId="0" xfId="0" applyNumberFormat="1" applyFont="1" applyFill="1" applyAlignment="1">
      <alignment vertical="center" wrapText="1"/>
    </xf>
    <xf numFmtId="3" fontId="9" fillId="2" borderId="0" xfId="0" applyNumberFormat="1" applyFont="1" applyFill="1" applyAlignment="1">
      <alignment vertical="center"/>
    </xf>
    <xf numFmtId="15" fontId="18" fillId="2" borderId="0" xfId="0" applyNumberFormat="1" applyFont="1" applyFill="1" applyAlignment="1">
      <alignment vertical="center"/>
    </xf>
    <xf numFmtId="15" fontId="5" fillId="3" borderId="0" xfId="0" applyNumberFormat="1" applyFont="1" applyFill="1" applyAlignment="1">
      <alignment vertical="center"/>
    </xf>
    <xf numFmtId="39" fontId="7" fillId="3" borderId="0" xfId="0" applyNumberFormat="1" applyFont="1" applyFill="1" applyAlignment="1">
      <alignment vertical="center"/>
    </xf>
    <xf numFmtId="39" fontId="7" fillId="2" borderId="0" xfId="0" applyNumberFormat="1" applyFont="1" applyFill="1" applyAlignment="1">
      <alignment vertical="center"/>
    </xf>
    <xf numFmtId="39" fontId="10" fillId="2" borderId="0" xfId="0" applyNumberFormat="1" applyFont="1" applyFill="1" applyAlignment="1">
      <alignment vertical="center"/>
    </xf>
    <xf numFmtId="37" fontId="8" fillId="2" borderId="0" xfId="0" applyNumberFormat="1" applyFont="1" applyFill="1" applyAlignment="1">
      <alignment horizontal="center" vertical="center"/>
    </xf>
    <xf numFmtId="37" fontId="40" fillId="6" borderId="0" xfId="0" applyNumberFormat="1" applyFont="1" applyFill="1" applyAlignment="1">
      <alignment vertical="center"/>
    </xf>
    <xf numFmtId="37" fontId="19" fillId="3" borderId="0" xfId="0" applyNumberFormat="1" applyFont="1" applyFill="1" applyAlignment="1">
      <alignment vertical="center"/>
    </xf>
    <xf numFmtId="37" fontId="1" fillId="2" borderId="0" xfId="0" applyNumberFormat="1" applyFont="1" applyFill="1" applyAlignment="1">
      <alignment vertical="center"/>
    </xf>
    <xf numFmtId="37" fontId="14" fillId="2" borderId="0" xfId="0" applyNumberFormat="1" applyFont="1" applyFill="1" applyAlignment="1">
      <alignment vertical="center"/>
    </xf>
    <xf numFmtId="37" fontId="2" fillId="2" borderId="0" xfId="0" applyNumberFormat="1" applyFont="1" applyFill="1" applyAlignment="1">
      <alignment vertical="center"/>
    </xf>
    <xf numFmtId="37" fontId="1" fillId="3" borderId="0" xfId="0" applyNumberFormat="1" applyFont="1" applyFill="1" applyAlignment="1">
      <alignment vertical="center"/>
    </xf>
    <xf numFmtId="37" fontId="1" fillId="2" borderId="0" xfId="0" applyNumberFormat="1" applyFont="1" applyFill="1" applyAlignment="1">
      <alignment horizontal="centerContinuous" vertical="center"/>
    </xf>
    <xf numFmtId="37" fontId="10" fillId="2" borderId="0" xfId="0" applyNumberFormat="1" applyFont="1" applyFill="1" applyAlignment="1">
      <alignment vertical="center"/>
    </xf>
    <xf numFmtId="37" fontId="6" fillId="2" borderId="0" xfId="0" applyNumberFormat="1" applyFont="1" applyFill="1" applyAlignment="1">
      <alignment vertical="center"/>
    </xf>
    <xf numFmtId="37" fontId="8" fillId="2" borderId="0" xfId="0" applyNumberFormat="1" applyFont="1" applyFill="1" applyAlignment="1">
      <alignment vertical="center"/>
    </xf>
    <xf numFmtId="37" fontId="6" fillId="3" borderId="0" xfId="0" applyNumberFormat="1" applyFont="1" applyFill="1" applyAlignment="1">
      <alignment horizontal="center" vertical="center"/>
    </xf>
    <xf numFmtId="37" fontId="12" fillId="2" borderId="0" xfId="0" applyNumberFormat="1" applyFont="1" applyFill="1" applyAlignment="1">
      <alignment vertical="center"/>
    </xf>
    <xf numFmtId="3" fontId="41" fillId="2" borderId="0" xfId="0" applyNumberFormat="1" applyFont="1" applyFill="1" applyAlignment="1">
      <alignment vertical="center"/>
    </xf>
    <xf numFmtId="37" fontId="41" fillId="2" borderId="0" xfId="0" applyNumberFormat="1" applyFont="1" applyFill="1" applyAlignment="1">
      <alignment vertical="center"/>
    </xf>
    <xf numFmtId="3" fontId="43" fillId="2" borderId="0" xfId="0" applyNumberFormat="1" applyFont="1" applyFill="1" applyAlignment="1">
      <alignment vertical="center"/>
    </xf>
    <xf numFmtId="3" fontId="44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vertical="center"/>
    </xf>
    <xf numFmtId="37" fontId="31" fillId="2" borderId="0" xfId="0" applyNumberFormat="1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3" fontId="33" fillId="2" borderId="0" xfId="0" applyNumberFormat="1" applyFont="1" applyFill="1" applyAlignment="1">
      <alignment vertical="center"/>
    </xf>
    <xf numFmtId="3" fontId="45" fillId="2" borderId="0" xfId="0" applyNumberFormat="1" applyFont="1" applyFill="1" applyAlignment="1">
      <alignment vertical="center"/>
    </xf>
    <xf numFmtId="37" fontId="45" fillId="2" borderId="0" xfId="0" applyNumberFormat="1" applyFont="1" applyFill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0" xfId="0" applyFont="1" applyAlignment="1">
      <alignment vertical="center"/>
    </xf>
    <xf numFmtId="0" fontId="33" fillId="9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37" fontId="16" fillId="2" borderId="0" xfId="0" applyNumberFormat="1" applyFont="1" applyFill="1" applyAlignment="1">
      <alignment vertical="center"/>
    </xf>
    <xf numFmtId="37" fontId="5" fillId="2" borderId="0" xfId="0" applyNumberFormat="1" applyFont="1" applyFill="1" applyAlignment="1">
      <alignment vertical="center"/>
    </xf>
    <xf numFmtId="37" fontId="7" fillId="2" borderId="0" xfId="0" applyNumberFormat="1" applyFont="1" applyFill="1" applyAlignment="1">
      <alignment vertical="center"/>
    </xf>
    <xf numFmtId="37" fontId="3" fillId="3" borderId="0" xfId="0" applyNumberFormat="1" applyFont="1" applyFill="1" applyAlignment="1">
      <alignment vertical="center"/>
    </xf>
    <xf numFmtId="37" fontId="33" fillId="0" borderId="0" xfId="0" applyNumberFormat="1" applyFont="1" applyAlignment="1">
      <alignment vertical="center"/>
    </xf>
    <xf numFmtId="37" fontId="40" fillId="0" borderId="0" xfId="0" applyNumberFormat="1" applyFont="1" applyAlignment="1">
      <alignment vertical="center"/>
    </xf>
    <xf numFmtId="37" fontId="33" fillId="9" borderId="0" xfId="0" applyNumberFormat="1" applyFont="1" applyFill="1" applyAlignment="1">
      <alignment vertical="center"/>
    </xf>
    <xf numFmtId="37" fontId="39" fillId="0" borderId="0" xfId="0" applyNumberFormat="1" applyFont="1" applyAlignment="1">
      <alignment vertical="center"/>
    </xf>
    <xf numFmtId="37" fontId="32" fillId="0" borderId="0" xfId="0" applyNumberFormat="1" applyFont="1" applyAlignment="1">
      <alignment vertical="center"/>
    </xf>
    <xf numFmtId="37" fontId="39" fillId="9" borderId="0" xfId="0" applyNumberFormat="1" applyFont="1" applyFill="1" applyAlignment="1">
      <alignment vertical="center"/>
    </xf>
    <xf numFmtId="37" fontId="41" fillId="0" borderId="0" xfId="0" applyNumberFormat="1" applyFont="1" applyAlignment="1">
      <alignment vertical="center"/>
    </xf>
    <xf numFmtId="37" fontId="41" fillId="0" borderId="0" xfId="0" quotePrefix="1" applyNumberFormat="1" applyFont="1" applyAlignment="1">
      <alignment vertical="center"/>
    </xf>
    <xf numFmtId="37" fontId="31" fillId="0" borderId="0" xfId="0" applyNumberFormat="1" applyFont="1" applyAlignment="1">
      <alignment vertical="center"/>
    </xf>
    <xf numFmtId="37" fontId="0" fillId="0" borderId="0" xfId="0" applyNumberFormat="1" applyAlignment="1">
      <alignment vertical="center"/>
    </xf>
    <xf numFmtId="37" fontId="36" fillId="0" borderId="0" xfId="0" applyNumberFormat="1" applyFont="1" applyAlignment="1">
      <alignment vertical="center"/>
    </xf>
    <xf numFmtId="0" fontId="39" fillId="0" borderId="0" xfId="0" applyFont="1" applyAlignment="1">
      <alignment horizontal="center" vertical="center"/>
    </xf>
    <xf numFmtId="3" fontId="31" fillId="2" borderId="0" xfId="0" applyNumberFormat="1" applyFont="1" applyFill="1" applyAlignment="1">
      <alignment horizontal="center" vertical="center"/>
    </xf>
    <xf numFmtId="37" fontId="42" fillId="3" borderId="0" xfId="0" applyNumberFormat="1" applyFont="1" applyFill="1" applyAlignment="1">
      <alignment vertical="center"/>
    </xf>
    <xf numFmtId="37" fontId="41" fillId="2" borderId="0" xfId="0" quotePrefix="1" applyNumberFormat="1" applyFont="1" applyFill="1" applyAlignment="1">
      <alignment vertical="center"/>
    </xf>
    <xf numFmtId="37" fontId="40" fillId="2" borderId="0" xfId="0" applyNumberFormat="1" applyFont="1" applyFill="1" applyAlignment="1">
      <alignment vertical="center"/>
    </xf>
    <xf numFmtId="37" fontId="1" fillId="2" borderId="0" xfId="0" applyNumberFormat="1" applyFont="1" applyFill="1" applyAlignment="1">
      <alignment horizontal="center" vertical="center"/>
    </xf>
    <xf numFmtId="37" fontId="8" fillId="3" borderId="0" xfId="0" applyNumberFormat="1" applyFont="1" applyFill="1" applyAlignment="1">
      <alignment horizontal="center" vertical="center"/>
    </xf>
    <xf numFmtId="37" fontId="3" fillId="2" borderId="0" xfId="0" applyNumberFormat="1" applyFont="1" applyFill="1" applyAlignment="1">
      <alignment horizontal="center" vertical="center"/>
    </xf>
    <xf numFmtId="37" fontId="39" fillId="2" borderId="0" xfId="0" applyNumberFormat="1" applyFont="1" applyFill="1" applyAlignment="1">
      <alignment horizontal="center" vertical="center"/>
    </xf>
    <xf numFmtId="37" fontId="31" fillId="2" borderId="0" xfId="0" applyNumberFormat="1" applyFont="1" applyFill="1" applyAlignment="1">
      <alignment horizontal="center" vertical="center"/>
    </xf>
    <xf numFmtId="37" fontId="45" fillId="10" borderId="0" xfId="0" applyNumberFormat="1" applyFont="1" applyFill="1" applyAlignment="1">
      <alignment horizontal="center" vertical="center"/>
    </xf>
    <xf numFmtId="37" fontId="33" fillId="0" borderId="0" xfId="0" applyNumberFormat="1" applyFont="1" applyAlignment="1">
      <alignment horizontal="center" vertical="center"/>
    </xf>
    <xf numFmtId="37" fontId="45" fillId="0" borderId="0" xfId="0" applyNumberFormat="1" applyFont="1" applyAlignment="1">
      <alignment vertical="center"/>
    </xf>
    <xf numFmtId="37" fontId="45" fillId="9" borderId="0" xfId="0" applyNumberFormat="1" applyFont="1" applyFill="1" applyAlignment="1">
      <alignment vertical="center"/>
    </xf>
    <xf numFmtId="37" fontId="33" fillId="9" borderId="0" xfId="0" applyNumberFormat="1" applyFont="1" applyFill="1" applyAlignment="1">
      <alignment horizontal="center" vertical="center"/>
    </xf>
    <xf numFmtId="37" fontId="41" fillId="10" borderId="0" xfId="0" applyNumberFormat="1" applyFont="1" applyFill="1" applyAlignment="1">
      <alignment vertical="center"/>
    </xf>
    <xf numFmtId="15" fontId="8" fillId="2" borderId="7" xfId="0" applyNumberFormat="1" applyFont="1" applyFill="1" applyBorder="1" applyAlignment="1">
      <alignment horizontal="center" vertical="center"/>
    </xf>
    <xf numFmtId="0" fontId="30" fillId="6" borderId="0" xfId="0" applyFont="1" applyFill="1" applyAlignment="1">
      <alignment vertical="center"/>
    </xf>
    <xf numFmtId="37" fontId="26" fillId="2" borderId="0" xfId="0" applyNumberFormat="1" applyFont="1" applyFill="1" applyAlignment="1">
      <alignment vertical="center"/>
    </xf>
    <xf numFmtId="37" fontId="21" fillId="2" borderId="0" xfId="0" applyNumberFormat="1" applyFont="1" applyFill="1" applyAlignment="1">
      <alignment vertical="center"/>
    </xf>
    <xf numFmtId="37" fontId="21" fillId="2" borderId="0" xfId="0" applyNumberFormat="1" applyFont="1" applyFill="1" applyAlignment="1">
      <alignment horizontal="center" vertical="center"/>
    </xf>
    <xf numFmtId="37" fontId="8" fillId="2" borderId="0" xfId="0" applyNumberFormat="1" applyFont="1" applyFill="1" applyAlignment="1">
      <alignment horizontal="right" vertical="center"/>
    </xf>
    <xf numFmtId="37" fontId="1" fillId="3" borderId="0" xfId="0" applyNumberFormat="1" applyFont="1" applyFill="1" applyAlignment="1">
      <alignment horizontal="center" vertical="center"/>
    </xf>
    <xf numFmtId="37" fontId="1" fillId="3" borderId="0" xfId="0" applyNumberFormat="1" applyFont="1" applyFill="1" applyAlignment="1">
      <alignment horizontal="right" vertical="center"/>
    </xf>
    <xf numFmtId="37" fontId="26" fillId="2" borderId="0" xfId="0" applyNumberFormat="1" applyFont="1" applyFill="1" applyAlignment="1">
      <alignment horizontal="center" vertical="center"/>
    </xf>
    <xf numFmtId="37" fontId="1" fillId="4" borderId="0" xfId="0" applyNumberFormat="1" applyFont="1" applyFill="1" applyAlignment="1">
      <alignment vertical="center"/>
    </xf>
    <xf numFmtId="37" fontId="27" fillId="2" borderId="0" xfId="0" applyNumberFormat="1" applyFont="1" applyFill="1" applyAlignment="1">
      <alignment vertical="center"/>
    </xf>
    <xf numFmtId="37" fontId="17" fillId="2" borderId="0" xfId="0" applyNumberFormat="1" applyFont="1" applyFill="1" applyAlignment="1">
      <alignment horizontal="center" vertical="center"/>
    </xf>
    <xf numFmtId="37" fontId="28" fillId="2" borderId="0" xfId="0" applyNumberFormat="1" applyFont="1" applyFill="1" applyAlignment="1">
      <alignment vertical="center"/>
    </xf>
    <xf numFmtId="37" fontId="30" fillId="11" borderId="0" xfId="0" applyNumberFormat="1" applyFont="1" applyFill="1" applyAlignment="1">
      <alignment vertical="center"/>
    </xf>
    <xf numFmtId="37" fontId="30" fillId="11" borderId="0" xfId="0" applyNumberFormat="1" applyFont="1" applyFill="1" applyAlignment="1">
      <alignment horizontal="right" vertical="center"/>
    </xf>
    <xf numFmtId="37" fontId="40" fillId="11" borderId="0" xfId="0" applyNumberFormat="1" applyFont="1" applyFill="1" applyAlignment="1">
      <alignment vertical="center"/>
    </xf>
    <xf numFmtId="37" fontId="30" fillId="6" borderId="0" xfId="0" applyNumberFormat="1" applyFont="1" applyFill="1" applyAlignment="1">
      <alignment vertical="center"/>
    </xf>
    <xf numFmtId="37" fontId="30" fillId="6" borderId="0" xfId="0" applyNumberFormat="1" applyFont="1" applyFill="1" applyAlignment="1">
      <alignment horizontal="right" vertical="center"/>
    </xf>
    <xf numFmtId="37" fontId="3" fillId="2" borderId="0" xfId="0" applyNumberFormat="1" applyFont="1" applyFill="1" applyAlignment="1">
      <alignment vertical="center"/>
    </xf>
    <xf numFmtId="37" fontId="1" fillId="2" borderId="0" xfId="0" applyNumberFormat="1" applyFont="1" applyFill="1" applyAlignment="1">
      <alignment vertical="center" wrapText="1"/>
    </xf>
    <xf numFmtId="37" fontId="33" fillId="2" borderId="0" xfId="0" applyNumberFormat="1" applyFont="1" applyFill="1" applyAlignment="1">
      <alignment vertical="center"/>
    </xf>
    <xf numFmtId="39" fontId="1" fillId="2" borderId="0" xfId="0" applyNumberFormat="1" applyFont="1" applyFill="1" applyAlignment="1">
      <alignment horizontal="centerContinuous" vertical="center"/>
    </xf>
    <xf numFmtId="39" fontId="5" fillId="3" borderId="0" xfId="0" applyNumberFormat="1" applyFont="1" applyFill="1" applyAlignment="1">
      <alignment vertical="center"/>
    </xf>
    <xf numFmtId="39" fontId="5" fillId="2" borderId="0" xfId="0" applyNumberFormat="1" applyFont="1" applyFill="1" applyAlignment="1">
      <alignment vertical="center"/>
    </xf>
    <xf numFmtId="39" fontId="8" fillId="2" borderId="0" xfId="0" applyNumberFormat="1" applyFont="1" applyFill="1" applyAlignment="1">
      <alignment horizontal="center" vertical="center"/>
    </xf>
    <xf numFmtId="39" fontId="8" fillId="2" borderId="0" xfId="0" applyNumberFormat="1" applyFont="1" applyFill="1" applyAlignment="1">
      <alignment horizontal="right" vertical="center"/>
    </xf>
    <xf numFmtId="39" fontId="1" fillId="2" borderId="0" xfId="0" applyNumberFormat="1" applyFont="1" applyFill="1" applyAlignment="1">
      <alignment vertical="center"/>
    </xf>
    <xf numFmtId="39" fontId="1" fillId="3" borderId="0" xfId="0" applyNumberFormat="1" applyFont="1" applyFill="1" applyAlignment="1">
      <alignment horizontal="center" vertical="center"/>
    </xf>
    <xf numFmtId="39" fontId="1" fillId="3" borderId="0" xfId="0" applyNumberFormat="1" applyFont="1" applyFill="1" applyAlignment="1">
      <alignment horizontal="right" vertical="center"/>
    </xf>
    <xf numFmtId="39" fontId="1" fillId="3" borderId="0" xfId="0" applyNumberFormat="1" applyFont="1" applyFill="1" applyAlignment="1">
      <alignment vertical="center"/>
    </xf>
    <xf numFmtId="39" fontId="3" fillId="2" borderId="0" xfId="0" applyNumberFormat="1" applyFont="1" applyFill="1" applyAlignment="1">
      <alignment vertical="center"/>
    </xf>
    <xf numFmtId="39" fontId="3" fillId="2" borderId="0" xfId="0" applyNumberFormat="1" applyFont="1" applyFill="1" applyAlignment="1">
      <alignment horizontal="right" vertical="center"/>
    </xf>
    <xf numFmtId="39" fontId="1" fillId="2" borderId="0" xfId="0" applyNumberFormat="1" applyFont="1" applyFill="1" applyAlignment="1">
      <alignment horizontal="right" vertical="center"/>
    </xf>
    <xf numFmtId="39" fontId="10" fillId="2" borderId="0" xfId="0" applyNumberFormat="1" applyFont="1" applyFill="1" applyAlignment="1">
      <alignment horizontal="right" vertical="center"/>
    </xf>
    <xf numFmtId="39" fontId="18" fillId="2" borderId="0" xfId="0" applyNumberFormat="1" applyFont="1" applyFill="1" applyAlignment="1">
      <alignment vertical="center"/>
    </xf>
    <xf numFmtId="39" fontId="18" fillId="2" borderId="0" xfId="0" applyNumberFormat="1" applyFont="1" applyFill="1" applyAlignment="1">
      <alignment horizontal="right" vertical="center"/>
    </xf>
    <xf numFmtId="39" fontId="27" fillId="3" borderId="0" xfId="0" applyNumberFormat="1" applyFont="1" applyFill="1" applyAlignment="1">
      <alignment vertical="center"/>
    </xf>
    <xf numFmtId="39" fontId="5" fillId="3" borderId="0" xfId="0" applyNumberFormat="1" applyFont="1" applyFill="1" applyAlignment="1">
      <alignment horizontal="right" vertical="center"/>
    </xf>
    <xf numFmtId="39" fontId="41" fillId="11" borderId="0" xfId="0" applyNumberFormat="1" applyFont="1" applyFill="1" applyAlignment="1">
      <alignment vertical="center"/>
    </xf>
    <xf numFmtId="0" fontId="40" fillId="11" borderId="0" xfId="0" applyFont="1" applyFill="1" applyAlignment="1">
      <alignment vertical="center"/>
    </xf>
    <xf numFmtId="39" fontId="40" fillId="11" borderId="0" xfId="0" applyNumberFormat="1" applyFont="1" applyFill="1" applyAlignment="1">
      <alignment vertical="center"/>
    </xf>
    <xf numFmtId="39" fontId="40" fillId="11" borderId="0" xfId="0" applyNumberFormat="1" applyFont="1" applyFill="1" applyAlignment="1">
      <alignment horizontal="right" vertical="center"/>
    </xf>
    <xf numFmtId="39" fontId="29" fillId="3" borderId="0" xfId="0" applyNumberFormat="1" applyFont="1" applyFill="1" applyAlignment="1">
      <alignment vertical="center"/>
    </xf>
    <xf numFmtId="39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39" fontId="30" fillId="6" borderId="0" xfId="0" applyNumberFormat="1" applyFont="1" applyFill="1" applyAlignment="1">
      <alignment vertical="center"/>
    </xf>
    <xf numFmtId="39" fontId="30" fillId="6" borderId="0" xfId="0" applyNumberFormat="1" applyFont="1" applyFill="1" applyAlignment="1">
      <alignment horizontal="right" vertical="center"/>
    </xf>
    <xf numFmtId="39" fontId="8" fillId="2" borderId="7" xfId="0" applyNumberFormat="1" applyFont="1" applyFill="1" applyBorder="1" applyAlignment="1">
      <alignment horizontal="center" vertical="center"/>
    </xf>
    <xf numFmtId="39" fontId="8" fillId="2" borderId="7" xfId="0" applyNumberFormat="1" applyFont="1" applyFill="1" applyBorder="1" applyAlignment="1">
      <alignment horizontal="right" vertical="center"/>
    </xf>
    <xf numFmtId="15" fontId="1" fillId="0" borderId="0" xfId="0" applyNumberFormat="1" applyFont="1" applyAlignment="1">
      <alignment horizontal="center" vertical="center"/>
    </xf>
    <xf numFmtId="39" fontId="1" fillId="0" borderId="0" xfId="0" applyNumberFormat="1" applyFont="1" applyAlignment="1">
      <alignment horizontal="center" vertical="center"/>
    </xf>
    <xf numFmtId="39" fontId="1" fillId="0" borderId="0" xfId="0" applyNumberFormat="1" applyFont="1" applyAlignment="1">
      <alignment horizontal="right" vertical="center"/>
    </xf>
    <xf numFmtId="39" fontId="1" fillId="0" borderId="0" xfId="0" applyNumberFormat="1" applyFont="1" applyAlignment="1">
      <alignment vertical="center"/>
    </xf>
    <xf numFmtId="3" fontId="33" fillId="3" borderId="0" xfId="0" applyNumberFormat="1" applyFont="1" applyFill="1" applyAlignment="1">
      <alignment vertical="center"/>
    </xf>
    <xf numFmtId="37" fontId="33" fillId="2" borderId="0" xfId="0" quotePrefix="1" applyNumberFormat="1" applyFont="1" applyFill="1" applyAlignment="1">
      <alignment vertical="center"/>
    </xf>
    <xf numFmtId="0" fontId="40" fillId="0" borderId="0" xfId="0" applyFont="1" applyAlignment="1">
      <alignment vertical="center"/>
    </xf>
    <xf numFmtId="37" fontId="33" fillId="2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vertical="center"/>
    </xf>
    <xf numFmtId="15" fontId="33" fillId="2" borderId="0" xfId="0" applyNumberFormat="1" applyFont="1" applyFill="1" applyAlignment="1">
      <alignment vertical="center"/>
    </xf>
    <xf numFmtId="0" fontId="39" fillId="2" borderId="0" xfId="0" applyFont="1" applyFill="1" applyAlignment="1">
      <alignment horizontal="center" vertical="center"/>
    </xf>
    <xf numFmtId="3" fontId="39" fillId="3" borderId="0" xfId="0" applyNumberFormat="1" applyFont="1" applyFill="1" applyAlignment="1">
      <alignment vertical="center"/>
    </xf>
    <xf numFmtId="0" fontId="39" fillId="2" borderId="0" xfId="0" applyFont="1" applyFill="1" applyAlignment="1">
      <alignment vertical="center"/>
    </xf>
    <xf numFmtId="15" fontId="1" fillId="2" borderId="0" xfId="0" quotePrefix="1" applyNumberFormat="1" applyFont="1" applyFill="1" applyAlignment="1">
      <alignment horizontal="left" vertical="center"/>
    </xf>
    <xf numFmtId="37" fontId="13" fillId="5" borderId="2" xfId="0" applyNumberFormat="1" applyFont="1" applyFill="1" applyBorder="1" applyAlignment="1">
      <alignment vertical="center"/>
    </xf>
    <xf numFmtId="15" fontId="15" fillId="2" borderId="0" xfId="0" applyNumberFormat="1" applyFont="1" applyFill="1" applyAlignment="1">
      <alignment horizontal="center" vertical="center"/>
    </xf>
    <xf numFmtId="37" fontId="15" fillId="2" borderId="0" xfId="0" applyNumberFormat="1" applyFont="1" applyFill="1" applyAlignment="1">
      <alignment horizontal="centerContinuous" vertical="center"/>
    </xf>
    <xf numFmtId="3" fontId="1" fillId="2" borderId="0" xfId="0" applyNumberFormat="1" applyFont="1" applyFill="1" applyAlignment="1">
      <alignment horizontal="center" vertical="center"/>
    </xf>
    <xf numFmtId="3" fontId="1" fillId="2" borderId="7" xfId="0" applyNumberFormat="1" applyFont="1" applyFill="1" applyBorder="1" applyAlignment="1">
      <alignment vertical="center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7" xfId="0" quotePrefix="1" applyNumberFormat="1" applyFont="1" applyFill="1" applyBorder="1" applyAlignment="1">
      <alignment horizontal="center" vertical="center"/>
    </xf>
    <xf numFmtId="10" fontId="1" fillId="2" borderId="7" xfId="0" applyNumberFormat="1" applyFont="1" applyFill="1" applyBorder="1" applyAlignment="1">
      <alignment vertical="center"/>
    </xf>
    <xf numFmtId="37" fontId="1" fillId="2" borderId="7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vertical="center"/>
    </xf>
    <xf numFmtId="37" fontId="39" fillId="2" borderId="7" xfId="0" applyNumberFormat="1" applyFont="1" applyFill="1" applyBorder="1" applyAlignment="1">
      <alignment vertical="center"/>
    </xf>
    <xf numFmtId="37" fontId="15" fillId="2" borderId="0" xfId="0" applyNumberFormat="1" applyFont="1" applyFill="1" applyAlignment="1">
      <alignment horizontal="center" vertical="center"/>
    </xf>
    <xf numFmtId="3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3" fontId="31" fillId="10" borderId="0" xfId="0" applyNumberFormat="1" applyFont="1" applyFill="1" applyAlignment="1">
      <alignment horizontal="center" vertical="center"/>
    </xf>
    <xf numFmtId="37" fontId="2" fillId="2" borderId="7" xfId="0" applyNumberFormat="1" applyFont="1" applyFill="1" applyBorder="1" applyAlignment="1">
      <alignment vertical="center"/>
    </xf>
    <xf numFmtId="3" fontId="40" fillId="2" borderId="7" xfId="0" applyNumberFormat="1" applyFont="1" applyFill="1" applyBorder="1" applyAlignment="1">
      <alignment vertical="center"/>
    </xf>
    <xf numFmtId="37" fontId="49" fillId="5" borderId="8" xfId="0" applyNumberFormat="1" applyFont="1" applyFill="1" applyBorder="1" applyAlignment="1">
      <alignment vertical="center"/>
    </xf>
    <xf numFmtId="37" fontId="1" fillId="0" borderId="0" xfId="0" applyNumberFormat="1" applyFont="1" applyAlignment="1">
      <alignment vertical="center"/>
    </xf>
    <xf numFmtId="37" fontId="6" fillId="3" borderId="0" xfId="0" applyNumberFormat="1" applyFont="1" applyFill="1" applyAlignment="1">
      <alignment vertical="center"/>
    </xf>
    <xf numFmtId="39" fontId="1" fillId="1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3" fontId="33" fillId="16" borderId="0" xfId="0" applyNumberFormat="1" applyFont="1" applyFill="1" applyAlignment="1">
      <alignment vertical="center"/>
    </xf>
    <xf numFmtId="15" fontId="45" fillId="2" borderId="0" xfId="0" applyNumberFormat="1" applyFont="1" applyFill="1" applyAlignment="1">
      <alignment vertical="center"/>
    </xf>
    <xf numFmtId="3" fontId="13" fillId="10" borderId="0" xfId="0" applyNumberFormat="1" applyFont="1" applyFill="1" applyAlignment="1">
      <alignment vertical="center"/>
    </xf>
    <xf numFmtId="3" fontId="2" fillId="10" borderId="0" xfId="0" applyNumberFormat="1" applyFont="1" applyFill="1" applyAlignment="1">
      <alignment vertical="center"/>
    </xf>
    <xf numFmtId="3" fontId="1" fillId="6" borderId="0" xfId="0" applyNumberFormat="1" applyFont="1" applyFill="1" applyAlignment="1">
      <alignment vertical="center"/>
    </xf>
    <xf numFmtId="3" fontId="2" fillId="6" borderId="0" xfId="0" applyNumberFormat="1" applyFont="1" applyFill="1" applyAlignment="1">
      <alignment vertical="center"/>
    </xf>
    <xf numFmtId="0" fontId="2" fillId="2" borderId="0" xfId="0" quotePrefix="1" applyFont="1" applyFill="1" applyAlignment="1">
      <alignment horizontal="left" vertical="center"/>
    </xf>
    <xf numFmtId="3" fontId="1" fillId="2" borderId="9" xfId="0" applyNumberFormat="1" applyFont="1" applyFill="1" applyBorder="1" applyAlignment="1">
      <alignment vertical="center"/>
    </xf>
    <xf numFmtId="37" fontId="1" fillId="2" borderId="10" xfId="0" applyNumberFormat="1" applyFont="1" applyFill="1" applyBorder="1" applyAlignment="1">
      <alignment vertical="center"/>
    </xf>
    <xf numFmtId="37" fontId="2" fillId="2" borderId="7" xfId="0" quotePrefix="1" applyNumberFormat="1" applyFont="1" applyFill="1" applyBorder="1" applyAlignment="1">
      <alignment horizontal="left" vertical="center"/>
    </xf>
    <xf numFmtId="37" fontId="33" fillId="0" borderId="7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9" fontId="2" fillId="2" borderId="7" xfId="0" applyNumberFormat="1" applyFont="1" applyFill="1" applyBorder="1" applyAlignment="1">
      <alignment vertical="center"/>
    </xf>
    <xf numFmtId="39" fontId="2" fillId="2" borderId="0" xfId="0" applyNumberFormat="1" applyFont="1" applyFill="1" applyAlignment="1">
      <alignment vertical="center"/>
    </xf>
    <xf numFmtId="39" fontId="13" fillId="2" borderId="0" xfId="0" applyNumberFormat="1" applyFont="1" applyFill="1" applyAlignment="1">
      <alignment vertical="center"/>
    </xf>
    <xf numFmtId="37" fontId="45" fillId="16" borderId="7" xfId="0" applyNumberFormat="1" applyFont="1" applyFill="1" applyBorder="1" applyAlignment="1">
      <alignment vertical="center"/>
    </xf>
    <xf numFmtId="37" fontId="40" fillId="10" borderId="7" xfId="0" applyNumberFormat="1" applyFont="1" applyFill="1" applyBorder="1" applyAlignment="1">
      <alignment vertical="center"/>
    </xf>
    <xf numFmtId="3" fontId="13" fillId="2" borderId="0" xfId="0" applyNumberFormat="1" applyFont="1" applyFill="1" applyAlignment="1">
      <alignment vertical="center"/>
    </xf>
    <xf numFmtId="15" fontId="1" fillId="12" borderId="0" xfId="0" applyNumberFormat="1" applyFont="1" applyFill="1" applyAlignment="1">
      <alignment horizontal="center" vertical="center"/>
    </xf>
    <xf numFmtId="37" fontId="1" fillId="7" borderId="0" xfId="0" applyNumberFormat="1" applyFont="1" applyFill="1" applyAlignment="1">
      <alignment vertical="center"/>
    </xf>
    <xf numFmtId="37" fontId="33" fillId="16" borderId="0" xfId="0" applyNumberFormat="1" applyFont="1" applyFill="1" applyAlignment="1">
      <alignment vertical="center"/>
    </xf>
    <xf numFmtId="37" fontId="1" fillId="6" borderId="0" xfId="0" applyNumberFormat="1" applyFont="1" applyFill="1" applyAlignment="1">
      <alignment vertical="center"/>
    </xf>
    <xf numFmtId="37" fontId="2" fillId="6" borderId="0" xfId="0" applyNumberFormat="1" applyFont="1" applyFill="1" applyAlignment="1">
      <alignment vertical="center"/>
    </xf>
    <xf numFmtId="3" fontId="21" fillId="0" borderId="0" xfId="0" applyNumberFormat="1" applyFont="1" applyAlignment="1">
      <alignment vertical="center"/>
    </xf>
    <xf numFmtId="3" fontId="41" fillId="3" borderId="0" xfId="0" applyNumberFormat="1" applyFont="1" applyFill="1" applyAlignment="1">
      <alignment vertical="center"/>
    </xf>
    <xf numFmtId="3" fontId="40" fillId="2" borderId="0" xfId="0" applyNumberFormat="1" applyFont="1" applyFill="1" applyAlignment="1">
      <alignment vertical="center"/>
    </xf>
    <xf numFmtId="39" fontId="41" fillId="2" borderId="0" xfId="0" applyNumberFormat="1" applyFont="1" applyFill="1" applyAlignment="1">
      <alignment vertical="center"/>
    </xf>
    <xf numFmtId="3" fontId="41" fillId="7" borderId="0" xfId="0" applyNumberFormat="1" applyFont="1" applyFill="1" applyAlignment="1">
      <alignment vertical="center"/>
    </xf>
    <xf numFmtId="3" fontId="41" fillId="16" borderId="0" xfId="0" applyNumberFormat="1" applyFont="1" applyFill="1" applyAlignment="1">
      <alignment vertical="center"/>
    </xf>
    <xf numFmtId="3" fontId="45" fillId="15" borderId="0" xfId="0" applyNumberFormat="1" applyFont="1" applyFill="1" applyAlignment="1">
      <alignment horizontal="right" vertical="center"/>
    </xf>
    <xf numFmtId="37" fontId="31" fillId="10" borderId="0" xfId="0" applyNumberFormat="1" applyFont="1" applyFill="1" applyAlignment="1">
      <alignment vertical="center"/>
    </xf>
    <xf numFmtId="3" fontId="38" fillId="17" borderId="0" xfId="0" applyNumberFormat="1" applyFont="1" applyFill="1" applyAlignment="1">
      <alignment vertical="center"/>
    </xf>
    <xf numFmtId="15" fontId="31" fillId="2" borderId="0" xfId="0" applyNumberFormat="1" applyFont="1" applyFill="1" applyAlignment="1">
      <alignment vertical="center"/>
    </xf>
    <xf numFmtId="37" fontId="42" fillId="2" borderId="0" xfId="0" applyNumberFormat="1" applyFont="1" applyFill="1" applyAlignment="1">
      <alignment vertical="center"/>
    </xf>
    <xf numFmtId="37" fontId="42" fillId="3" borderId="0" xfId="0" applyNumberFormat="1" applyFont="1" applyFill="1" applyAlignment="1">
      <alignment horizontal="center" vertical="center"/>
    </xf>
    <xf numFmtId="37" fontId="41" fillId="2" borderId="0" xfId="0" applyNumberFormat="1" applyFont="1" applyFill="1" applyAlignment="1">
      <alignment horizontal="centerContinuous" vertical="center"/>
    </xf>
    <xf numFmtId="37" fontId="49" fillId="2" borderId="7" xfId="0" applyNumberFormat="1" applyFont="1" applyFill="1" applyBorder="1" applyAlignment="1">
      <alignment vertical="center"/>
    </xf>
    <xf numFmtId="37" fontId="49" fillId="10" borderId="0" xfId="0" applyNumberFormat="1" applyFont="1" applyFill="1" applyAlignment="1">
      <alignment vertical="center"/>
    </xf>
    <xf numFmtId="37" fontId="46" fillId="10" borderId="0" xfId="0" applyNumberFormat="1" applyFont="1" applyFill="1" applyAlignment="1">
      <alignment vertical="center"/>
    </xf>
    <xf numFmtId="37" fontId="35" fillId="10" borderId="0" xfId="0" applyNumberFormat="1" applyFont="1" applyFill="1" applyAlignment="1">
      <alignment vertical="center"/>
    </xf>
    <xf numFmtId="37" fontId="35" fillId="2" borderId="0" xfId="0" applyNumberFormat="1" applyFont="1" applyFill="1" applyAlignment="1">
      <alignment vertical="center"/>
    </xf>
    <xf numFmtId="37" fontId="9" fillId="2" borderId="0" xfId="0" applyNumberFormat="1" applyFont="1" applyFill="1" applyAlignment="1">
      <alignment vertical="center"/>
    </xf>
    <xf numFmtId="3" fontId="31" fillId="0" borderId="0" xfId="0" applyNumberFormat="1" applyFont="1" applyAlignment="1">
      <alignment horizontal="center" vertical="center"/>
    </xf>
    <xf numFmtId="37" fontId="33" fillId="10" borderId="0" xfId="0" applyNumberFormat="1" applyFont="1" applyFill="1" applyAlignment="1">
      <alignment vertical="center"/>
    </xf>
    <xf numFmtId="37" fontId="45" fillId="10" borderId="0" xfId="0" applyNumberFormat="1" applyFont="1" applyFill="1" applyAlignment="1">
      <alignment vertical="center"/>
    </xf>
    <xf numFmtId="37" fontId="13" fillId="2" borderId="0" xfId="0" applyNumberFormat="1" applyFont="1" applyFill="1" applyAlignment="1">
      <alignment vertical="center"/>
    </xf>
    <xf numFmtId="37" fontId="49" fillId="2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33" fillId="1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37" fontId="45" fillId="6" borderId="0" xfId="0" applyNumberFormat="1" applyFont="1" applyFill="1" applyAlignment="1">
      <alignment vertical="center"/>
    </xf>
    <xf numFmtId="37" fontId="46" fillId="2" borderId="7" xfId="0" applyNumberFormat="1" applyFont="1" applyFill="1" applyBorder="1" applyAlignment="1">
      <alignment horizontal="center" vertical="center" wrapText="1"/>
    </xf>
    <xf numFmtId="37" fontId="45" fillId="3" borderId="0" xfId="0" applyNumberFormat="1" applyFont="1" applyFill="1" applyAlignment="1">
      <alignment vertical="center"/>
    </xf>
    <xf numFmtId="37" fontId="45" fillId="7" borderId="0" xfId="0" applyNumberFormat="1" applyFont="1" applyFill="1" applyAlignment="1">
      <alignment vertical="center"/>
    </xf>
    <xf numFmtId="37" fontId="45" fillId="2" borderId="0" xfId="0" applyNumberFormat="1" applyFont="1" applyFill="1" applyAlignment="1">
      <alignment horizontal="centerContinuous" vertical="center"/>
    </xf>
    <xf numFmtId="37" fontId="45" fillId="16" borderId="0" xfId="0" applyNumberFormat="1" applyFont="1" applyFill="1" applyAlignment="1">
      <alignment vertical="center"/>
    </xf>
    <xf numFmtId="3" fontId="39" fillId="2" borderId="0" xfId="0" applyNumberFormat="1" applyFont="1" applyFill="1" applyAlignment="1">
      <alignment vertical="center"/>
    </xf>
    <xf numFmtId="37" fontId="39" fillId="2" borderId="0" xfId="0" applyNumberFormat="1" applyFont="1" applyFill="1" applyAlignment="1">
      <alignment vertical="center"/>
    </xf>
    <xf numFmtId="37" fontId="39" fillId="3" borderId="0" xfId="0" applyNumberFormat="1" applyFont="1" applyFill="1" applyAlignment="1">
      <alignment vertical="center"/>
    </xf>
    <xf numFmtId="164" fontId="41" fillId="2" borderId="0" xfId="0" applyNumberFormat="1" applyFont="1" applyFill="1" applyAlignment="1">
      <alignment horizontal="center" vertical="center"/>
    </xf>
    <xf numFmtId="3" fontId="41" fillId="0" borderId="0" xfId="0" applyNumberFormat="1" applyFont="1" applyAlignment="1">
      <alignment vertical="center"/>
    </xf>
    <xf numFmtId="3" fontId="39" fillId="2" borderId="0" xfId="0" applyNumberFormat="1" applyFont="1" applyFill="1" applyAlignment="1">
      <alignment horizontal="centerContinuous" vertical="center"/>
    </xf>
    <xf numFmtId="3" fontId="39" fillId="4" borderId="0" xfId="0" applyNumberFormat="1" applyFont="1" applyFill="1" applyAlignment="1">
      <alignment vertical="center"/>
    </xf>
    <xf numFmtId="0" fontId="39" fillId="2" borderId="0" xfId="0" applyFont="1" applyFill="1" applyAlignment="1">
      <alignment horizontal="left" vertical="center"/>
    </xf>
    <xf numFmtId="0" fontId="47" fillId="2" borderId="0" xfId="0" applyFont="1" applyFill="1" applyAlignment="1">
      <alignment horizontal="center" vertical="center"/>
    </xf>
    <xf numFmtId="3" fontId="32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centerContinuous" vertical="center"/>
    </xf>
    <xf numFmtId="3" fontId="8" fillId="2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37" fontId="3" fillId="3" borderId="0" xfId="0" applyNumberFormat="1" applyFont="1" applyFill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 wrapText="1"/>
    </xf>
    <xf numFmtId="3" fontId="4" fillId="3" borderId="0" xfId="0" applyNumberFormat="1" applyFont="1" applyFill="1" applyAlignment="1">
      <alignment vertical="center" wrapText="1"/>
    </xf>
    <xf numFmtId="3" fontId="4" fillId="2" borderId="0" xfId="0" applyNumberFormat="1" applyFont="1" applyFill="1" applyAlignment="1">
      <alignment horizontal="center" vertical="center" wrapText="1"/>
    </xf>
    <xf numFmtId="3" fontId="23" fillId="2" borderId="0" xfId="0" applyNumberFormat="1" applyFont="1" applyFill="1" applyAlignment="1">
      <alignment vertical="center" wrapText="1"/>
    </xf>
    <xf numFmtId="0" fontId="35" fillId="2" borderId="7" xfId="0" applyFont="1" applyFill="1" applyBorder="1" applyAlignment="1">
      <alignment horizontal="center" vertical="center" wrapText="1"/>
    </xf>
    <xf numFmtId="37" fontId="35" fillId="2" borderId="7" xfId="0" applyNumberFormat="1" applyFont="1" applyFill="1" applyBorder="1" applyAlignment="1">
      <alignment horizontal="center" vertical="center" wrapText="1"/>
    </xf>
    <xf numFmtId="37" fontId="4" fillId="2" borderId="7" xfId="0" applyNumberFormat="1" applyFont="1" applyFill="1" applyBorder="1" applyAlignment="1">
      <alignment horizontal="center" vertical="center"/>
    </xf>
    <xf numFmtId="37" fontId="4" fillId="3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23" fillId="2" borderId="0" xfId="0" applyNumberFormat="1" applyFont="1" applyFill="1" applyAlignment="1">
      <alignment vertical="center"/>
    </xf>
    <xf numFmtId="3" fontId="1" fillId="2" borderId="12" xfId="0" applyNumberFormat="1" applyFont="1" applyFill="1" applyBorder="1" applyAlignment="1">
      <alignment vertical="center"/>
    </xf>
    <xf numFmtId="37" fontId="33" fillId="2" borderId="0" xfId="0" applyNumberFormat="1" applyFont="1" applyFill="1" applyAlignment="1">
      <alignment horizontal="centerContinuous" vertical="center"/>
    </xf>
    <xf numFmtId="15" fontId="33" fillId="2" borderId="0" xfId="0" quotePrefix="1" applyNumberFormat="1" applyFont="1" applyFill="1" applyAlignment="1">
      <alignment horizontal="left" vertical="center"/>
    </xf>
    <xf numFmtId="15" fontId="33" fillId="2" borderId="0" xfId="0" applyNumberFormat="1" applyFont="1" applyFill="1" applyAlignment="1">
      <alignment horizontal="center" vertical="center"/>
    </xf>
    <xf numFmtId="15" fontId="35" fillId="2" borderId="7" xfId="0" applyNumberFormat="1" applyFont="1" applyFill="1" applyBorder="1" applyAlignment="1">
      <alignment horizontal="center" vertical="center" wrapText="1"/>
    </xf>
    <xf numFmtId="15" fontId="33" fillId="3" borderId="0" xfId="0" applyNumberFormat="1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37" fontId="33" fillId="3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15" fontId="33" fillId="0" borderId="7" xfId="0" applyNumberFormat="1" applyFont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37" fontId="33" fillId="0" borderId="7" xfId="0" applyNumberFormat="1" applyFont="1" applyBorder="1" applyAlignment="1">
      <alignment horizontal="center" vertical="center"/>
    </xf>
    <xf numFmtId="37" fontId="33" fillId="3" borderId="0" xfId="0" applyNumberFormat="1" applyFont="1" applyFill="1" applyAlignment="1">
      <alignment vertical="center"/>
    </xf>
    <xf numFmtId="15" fontId="33" fillId="3" borderId="0" xfId="0" applyNumberFormat="1" applyFont="1" applyFill="1" applyAlignment="1">
      <alignment vertical="center"/>
    </xf>
    <xf numFmtId="15" fontId="41" fillId="2" borderId="0" xfId="0" applyNumberFormat="1" applyFont="1" applyFill="1" applyAlignment="1">
      <alignment horizontal="center" vertical="center"/>
    </xf>
    <xf numFmtId="3" fontId="39" fillId="2" borderId="0" xfId="0" applyNumberFormat="1" applyFont="1" applyFill="1" applyAlignment="1">
      <alignment horizontal="center" vertical="center"/>
    </xf>
    <xf numFmtId="15" fontId="1" fillId="2" borderId="7" xfId="0" applyNumberFormat="1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vertical="center"/>
    </xf>
    <xf numFmtId="37" fontId="32" fillId="2" borderId="0" xfId="0" applyNumberFormat="1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39" fillId="2" borderId="9" xfId="0" applyNumberFormat="1" applyFont="1" applyFill="1" applyBorder="1" applyAlignment="1">
      <alignment vertical="center"/>
    </xf>
    <xf numFmtId="3" fontId="39" fillId="2" borderId="12" xfId="0" applyNumberFormat="1" applyFont="1" applyFill="1" applyBorder="1" applyAlignment="1">
      <alignment vertical="center"/>
    </xf>
    <xf numFmtId="3" fontId="31" fillId="3" borderId="0" xfId="0" applyNumberFormat="1" applyFont="1" applyFill="1" applyAlignment="1">
      <alignment vertical="center"/>
    </xf>
    <xf numFmtId="37" fontId="2" fillId="3" borderId="0" xfId="0" applyNumberFormat="1" applyFont="1" applyFill="1" applyAlignment="1">
      <alignment vertical="center"/>
    </xf>
    <xf numFmtId="39" fontId="13" fillId="3" borderId="0" xfId="0" applyNumberFormat="1" applyFont="1" applyFill="1" applyAlignment="1">
      <alignment vertical="center"/>
    </xf>
    <xf numFmtId="37" fontId="4" fillId="2" borderId="7" xfId="0" applyNumberFormat="1" applyFont="1" applyFill="1" applyBorder="1" applyAlignment="1">
      <alignment horizontal="center" vertical="center" wrapText="1"/>
    </xf>
    <xf numFmtId="39" fontId="23" fillId="3" borderId="0" xfId="0" applyNumberFormat="1" applyFont="1" applyFill="1" applyAlignment="1">
      <alignment vertical="center"/>
    </xf>
    <xf numFmtId="37" fontId="23" fillId="2" borderId="13" xfId="0" applyNumberFormat="1" applyFont="1" applyFill="1" applyBorder="1" applyAlignment="1">
      <alignment horizontal="center" vertical="center"/>
    </xf>
    <xf numFmtId="37" fontId="2" fillId="2" borderId="3" xfId="0" applyNumberFormat="1" applyFont="1" applyFill="1" applyBorder="1" applyAlignment="1">
      <alignment horizontal="center" vertical="center"/>
    </xf>
    <xf numFmtId="37" fontId="2" fillId="2" borderId="2" xfId="0" applyNumberFormat="1" applyFont="1" applyFill="1" applyBorder="1" applyAlignment="1">
      <alignment horizontal="center" vertical="center"/>
    </xf>
    <xf numFmtId="37" fontId="1" fillId="2" borderId="2" xfId="0" applyNumberFormat="1" applyFont="1" applyFill="1" applyBorder="1" applyAlignment="1">
      <alignment horizontal="centerContinuous" vertical="center"/>
    </xf>
    <xf numFmtId="37" fontId="45" fillId="2" borderId="3" xfId="0" applyNumberFormat="1" applyFont="1" applyFill="1" applyBorder="1" applyAlignment="1">
      <alignment vertical="center"/>
    </xf>
    <xf numFmtId="37" fontId="2" fillId="2" borderId="2" xfId="0" applyNumberFormat="1" applyFont="1" applyFill="1" applyBorder="1" applyAlignment="1">
      <alignment vertical="center"/>
    </xf>
    <xf numFmtId="0" fontId="31" fillId="2" borderId="0" xfId="0" applyFont="1" applyFill="1" applyAlignment="1">
      <alignment vertical="center"/>
    </xf>
    <xf numFmtId="3" fontId="31" fillId="0" borderId="0" xfId="0" applyNumberFormat="1" applyFont="1" applyAlignment="1">
      <alignment vertical="center"/>
    </xf>
    <xf numFmtId="3" fontId="32" fillId="2" borderId="0" xfId="0" applyNumberFormat="1" applyFont="1" applyFill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/>
    </xf>
    <xf numFmtId="0" fontId="31" fillId="6" borderId="0" xfId="0" applyFont="1" applyFill="1" applyAlignment="1">
      <alignment vertical="center"/>
    </xf>
    <xf numFmtId="0" fontId="35" fillId="3" borderId="0" xfId="0" applyFont="1" applyFill="1" applyAlignment="1">
      <alignment vertical="center"/>
    </xf>
    <xf numFmtId="0" fontId="39" fillId="2" borderId="0" xfId="0" applyFont="1" applyFill="1" applyAlignment="1">
      <alignment horizontal="centerContinuous" vertical="center"/>
    </xf>
    <xf numFmtId="0" fontId="45" fillId="0" borderId="0" xfId="0" applyFont="1" applyAlignment="1">
      <alignment horizontal="center" vertical="center"/>
    </xf>
    <xf numFmtId="3" fontId="47" fillId="2" borderId="0" xfId="0" applyNumberFormat="1" applyFont="1" applyFill="1" applyAlignment="1">
      <alignment horizontal="center" vertical="center"/>
    </xf>
    <xf numFmtId="3" fontId="46" fillId="2" borderId="7" xfId="0" applyNumberFormat="1" applyFont="1" applyFill="1" applyBorder="1" applyAlignment="1">
      <alignment horizontal="center" vertical="center"/>
    </xf>
    <xf numFmtId="3" fontId="46" fillId="6" borderId="0" xfId="0" applyNumberFormat="1" applyFont="1" applyFill="1" applyAlignment="1">
      <alignment vertical="center"/>
    </xf>
    <xf numFmtId="3" fontId="46" fillId="3" borderId="0" xfId="0" applyNumberFormat="1" applyFont="1" applyFill="1" applyAlignment="1">
      <alignment vertical="center"/>
    </xf>
    <xf numFmtId="37" fontId="31" fillId="2" borderId="0" xfId="0" applyNumberFormat="1" applyFont="1" applyFill="1" applyAlignment="1">
      <alignment horizontal="centerContinuous" vertical="center"/>
    </xf>
    <xf numFmtId="37" fontId="31" fillId="9" borderId="0" xfId="0" applyNumberFormat="1" applyFont="1" applyFill="1" applyAlignment="1">
      <alignment horizontal="center" vertical="center"/>
    </xf>
    <xf numFmtId="37" fontId="35" fillId="3" borderId="0" xfId="0" applyNumberFormat="1" applyFont="1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33" fillId="2" borderId="7" xfId="0" applyNumberFormat="1" applyFont="1" applyFill="1" applyBorder="1" applyAlignment="1">
      <alignment vertical="center"/>
    </xf>
    <xf numFmtId="3" fontId="3" fillId="2" borderId="7" xfId="0" applyNumberFormat="1" applyFont="1" applyFill="1" applyBorder="1" applyAlignment="1">
      <alignment vertical="center"/>
    </xf>
    <xf numFmtId="37" fontId="33" fillId="7" borderId="0" xfId="0" applyNumberFormat="1" applyFont="1" applyFill="1" applyAlignment="1">
      <alignment vertical="center"/>
    </xf>
    <xf numFmtId="37" fontId="31" fillId="15" borderId="0" xfId="0" applyNumberFormat="1" applyFont="1" applyFill="1" applyAlignment="1">
      <alignment vertical="center"/>
    </xf>
    <xf numFmtId="37" fontId="33" fillId="6" borderId="0" xfId="0" applyNumberFormat="1" applyFont="1" applyFill="1" applyAlignment="1">
      <alignment vertical="center"/>
    </xf>
    <xf numFmtId="37" fontId="31" fillId="6" borderId="0" xfId="0" applyNumberFormat="1" applyFont="1" applyFill="1" applyAlignment="1">
      <alignment vertical="center"/>
    </xf>
    <xf numFmtId="37" fontId="39" fillId="7" borderId="0" xfId="0" applyNumberFormat="1" applyFont="1" applyFill="1" applyAlignment="1">
      <alignment vertical="center"/>
    </xf>
    <xf numFmtId="37" fontId="39" fillId="2" borderId="0" xfId="0" applyNumberFormat="1" applyFont="1" applyFill="1" applyAlignment="1">
      <alignment horizontal="centerContinuous" vertical="center"/>
    </xf>
    <xf numFmtId="37" fontId="39" fillId="16" borderId="0" xfId="0" applyNumberFormat="1" applyFont="1" applyFill="1" applyAlignment="1">
      <alignment vertical="center"/>
    </xf>
    <xf numFmtId="37" fontId="39" fillId="6" borderId="0" xfId="0" applyNumberFormat="1" applyFont="1" applyFill="1" applyAlignment="1">
      <alignment vertical="center"/>
    </xf>
    <xf numFmtId="37" fontId="39" fillId="3" borderId="0" xfId="0" applyNumberFormat="1" applyFont="1" applyFill="1" applyAlignment="1">
      <alignment horizontal="center" vertical="center"/>
    </xf>
    <xf numFmtId="3" fontId="33" fillId="2" borderId="0" xfId="0" applyNumberFormat="1" applyFont="1" applyFill="1" applyAlignment="1">
      <alignment horizontal="center" vertical="center"/>
    </xf>
    <xf numFmtId="39" fontId="31" fillId="2" borderId="0" xfId="0" applyNumberFormat="1" applyFont="1" applyFill="1" applyAlignment="1">
      <alignment horizontal="center" vertical="center"/>
    </xf>
    <xf numFmtId="3" fontId="3" fillId="2" borderId="7" xfId="0" applyNumberFormat="1" applyFont="1" applyFill="1" applyBorder="1" applyAlignment="1">
      <alignment horizontal="left" vertical="center"/>
    </xf>
    <xf numFmtId="0" fontId="2" fillId="10" borderId="0" xfId="0" applyFont="1" applyFill="1" applyAlignment="1">
      <alignment vertical="center"/>
    </xf>
    <xf numFmtId="1" fontId="31" fillId="10" borderId="0" xfId="0" applyNumberFormat="1" applyFont="1" applyFill="1" applyAlignment="1">
      <alignment horizontal="center" vertical="center"/>
    </xf>
    <xf numFmtId="1" fontId="45" fillId="11" borderId="0" xfId="0" quotePrefix="1" applyNumberFormat="1" applyFont="1" applyFill="1" applyAlignment="1">
      <alignment horizontal="center" vertical="center"/>
    </xf>
    <xf numFmtId="1" fontId="31" fillId="11" borderId="0" xfId="0" quotePrefix="1" applyNumberFormat="1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3" fontId="31" fillId="11" borderId="0" xfId="0" quotePrefix="1" applyNumberFormat="1" applyFont="1" applyFill="1" applyAlignment="1">
      <alignment vertical="center"/>
    </xf>
    <xf numFmtId="3" fontId="45" fillId="11" borderId="0" xfId="0" quotePrefix="1" applyNumberFormat="1" applyFont="1" applyFill="1" applyAlignment="1">
      <alignment vertical="center"/>
    </xf>
    <xf numFmtId="0" fontId="2" fillId="0" borderId="0" xfId="0" quotePrefix="1" applyFont="1" applyAlignment="1">
      <alignment vertical="center"/>
    </xf>
    <xf numFmtId="15" fontId="49" fillId="2" borderId="7" xfId="0" applyNumberFormat="1" applyFont="1" applyFill="1" applyBorder="1" applyAlignment="1">
      <alignment horizontal="center" vertical="center" wrapText="1"/>
    </xf>
    <xf numFmtId="0" fontId="47" fillId="3" borderId="0" xfId="0" applyFont="1" applyFill="1" applyAlignment="1">
      <alignment horizontal="center" vertical="center"/>
    </xf>
    <xf numFmtId="0" fontId="39" fillId="2" borderId="7" xfId="0" applyFont="1" applyFill="1" applyBorder="1" applyAlignment="1">
      <alignment vertical="center"/>
    </xf>
    <xf numFmtId="3" fontId="35" fillId="2" borderId="7" xfId="0" applyNumberFormat="1" applyFont="1" applyFill="1" applyBorder="1" applyAlignment="1">
      <alignment horizontal="center" vertical="center" wrapText="1"/>
    </xf>
    <xf numFmtId="0" fontId="33" fillId="15" borderId="7" xfId="0" applyFont="1" applyFill="1" applyBorder="1" applyAlignment="1">
      <alignment horizontal="center" vertical="center"/>
    </xf>
    <xf numFmtId="37" fontId="33" fillId="15" borderId="7" xfId="0" applyNumberFormat="1" applyFont="1" applyFill="1" applyBorder="1" applyAlignment="1">
      <alignment horizontal="center" vertical="center"/>
    </xf>
    <xf numFmtId="37" fontId="2" fillId="2" borderId="3" xfId="0" applyNumberFormat="1" applyFont="1" applyFill="1" applyBorder="1" applyAlignment="1">
      <alignment horizontal="centerContinuous" vertical="center"/>
    </xf>
    <xf numFmtId="0" fontId="31" fillId="3" borderId="0" xfId="0" applyFont="1" applyFill="1" applyAlignment="1">
      <alignment horizontal="center" vertical="center"/>
    </xf>
    <xf numFmtId="3" fontId="31" fillId="2" borderId="7" xfId="0" applyNumberFormat="1" applyFont="1" applyFill="1" applyBorder="1" applyAlignment="1">
      <alignment horizontal="center" vertical="center"/>
    </xf>
    <xf numFmtId="3" fontId="31" fillId="3" borderId="0" xfId="0" applyNumberFormat="1" applyFont="1" applyFill="1" applyAlignment="1">
      <alignment horizontal="center" vertical="center"/>
    </xf>
    <xf numFmtId="3" fontId="31" fillId="7" borderId="0" xfId="0" applyNumberFormat="1" applyFont="1" applyFill="1" applyAlignment="1">
      <alignment horizontal="center" vertical="center"/>
    </xf>
    <xf numFmtId="3" fontId="31" fillId="16" borderId="0" xfId="0" applyNumberFormat="1" applyFont="1" applyFill="1" applyAlignment="1">
      <alignment horizontal="center" vertical="center"/>
    </xf>
    <xf numFmtId="3" fontId="31" fillId="6" borderId="0" xfId="0" applyNumberFormat="1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3" fontId="13" fillId="2" borderId="12" xfId="0" applyNumberFormat="1" applyFont="1" applyFill="1" applyBorder="1" applyAlignment="1">
      <alignment vertical="center"/>
    </xf>
    <xf numFmtId="3" fontId="31" fillId="2" borderId="12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vertical="center"/>
    </xf>
    <xf numFmtId="37" fontId="31" fillId="2" borderId="7" xfId="0" applyNumberFormat="1" applyFont="1" applyFill="1" applyBorder="1" applyAlignment="1">
      <alignment vertical="center"/>
    </xf>
    <xf numFmtId="37" fontId="45" fillId="2" borderId="7" xfId="0" applyNumberFormat="1" applyFont="1" applyFill="1" applyBorder="1" applyAlignment="1">
      <alignment vertical="center"/>
    </xf>
    <xf numFmtId="0" fontId="39" fillId="2" borderId="1" xfId="0" applyFont="1" applyFill="1" applyBorder="1" applyAlignment="1">
      <alignment vertical="center"/>
    </xf>
    <xf numFmtId="3" fontId="33" fillId="2" borderId="1" xfId="0" applyNumberFormat="1" applyFont="1" applyFill="1" applyBorder="1" applyAlignment="1">
      <alignment vertical="center"/>
    </xf>
    <xf numFmtId="3" fontId="31" fillId="2" borderId="10" xfId="0" applyNumberFormat="1" applyFont="1" applyFill="1" applyBorder="1" applyAlignment="1">
      <alignment vertical="center"/>
    </xf>
    <xf numFmtId="37" fontId="1" fillId="2" borderId="9" xfId="0" applyNumberFormat="1" applyFont="1" applyFill="1" applyBorder="1" applyAlignment="1">
      <alignment vertical="center"/>
    </xf>
    <xf numFmtId="3" fontId="45" fillId="2" borderId="12" xfId="0" applyNumberFormat="1" applyFont="1" applyFill="1" applyBorder="1" applyAlignment="1">
      <alignment vertical="center"/>
    </xf>
    <xf numFmtId="0" fontId="45" fillId="2" borderId="9" xfId="0" applyFont="1" applyFill="1" applyBorder="1" applyAlignment="1">
      <alignment vertical="center"/>
    </xf>
    <xf numFmtId="3" fontId="31" fillId="2" borderId="4" xfId="0" applyNumberFormat="1" applyFont="1" applyFill="1" applyBorder="1" applyAlignment="1">
      <alignment vertical="center"/>
    </xf>
    <xf numFmtId="0" fontId="31" fillId="10" borderId="9" xfId="0" applyFont="1" applyFill="1" applyBorder="1" applyAlignment="1">
      <alignment vertical="center"/>
    </xf>
    <xf numFmtId="0" fontId="31" fillId="10" borderId="12" xfId="0" applyFont="1" applyFill="1" applyBorder="1" applyAlignment="1">
      <alignment vertical="center"/>
    </xf>
    <xf numFmtId="3" fontId="31" fillId="10" borderId="10" xfId="0" applyNumberFormat="1" applyFont="1" applyFill="1" applyBorder="1" applyAlignment="1">
      <alignment vertical="center"/>
    </xf>
    <xf numFmtId="37" fontId="31" fillId="10" borderId="7" xfId="0" applyNumberFormat="1" applyFont="1" applyFill="1" applyBorder="1" applyAlignment="1">
      <alignment vertical="center"/>
    </xf>
    <xf numFmtId="0" fontId="32" fillId="3" borderId="0" xfId="0" applyFont="1" applyFill="1" applyAlignment="1">
      <alignment vertical="center"/>
    </xf>
    <xf numFmtId="49" fontId="1" fillId="2" borderId="7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3" fontId="45" fillId="2" borderId="10" xfId="0" applyNumberFormat="1" applyFont="1" applyFill="1" applyBorder="1" applyAlignment="1">
      <alignment vertical="center"/>
    </xf>
    <xf numFmtId="3" fontId="28" fillId="2" borderId="7" xfId="0" applyNumberFormat="1" applyFont="1" applyFill="1" applyBorder="1" applyAlignment="1">
      <alignment vertical="center"/>
    </xf>
    <xf numFmtId="0" fontId="12" fillId="2" borderId="0" xfId="0" quotePrefix="1" applyFont="1" applyFill="1" applyAlignment="1">
      <alignment horizontal="left" vertical="center"/>
    </xf>
    <xf numFmtId="37" fontId="33" fillId="11" borderId="0" xfId="0" applyNumberFormat="1" applyFont="1" applyFill="1" applyAlignment="1">
      <alignment vertical="center"/>
    </xf>
    <xf numFmtId="37" fontId="39" fillId="11" borderId="0" xfId="0" applyNumberFormat="1" applyFont="1" applyFill="1" applyAlignment="1">
      <alignment vertical="center"/>
    </xf>
    <xf numFmtId="37" fontId="2" fillId="2" borderId="0" xfId="0" applyNumberFormat="1" applyFont="1" applyFill="1" applyAlignment="1">
      <alignment horizontal="centerContinuous" vertical="center" wrapText="1"/>
    </xf>
    <xf numFmtId="37" fontId="1" fillId="9" borderId="0" xfId="0" applyNumberFormat="1" applyFont="1" applyFill="1" applyAlignment="1">
      <alignment vertical="center" wrapText="1"/>
    </xf>
    <xf numFmtId="37" fontId="3" fillId="2" borderId="0" xfId="0" applyNumberFormat="1" applyFont="1" applyFill="1" applyAlignment="1">
      <alignment vertical="center" wrapText="1"/>
    </xf>
    <xf numFmtId="3" fontId="1" fillId="3" borderId="0" xfId="0" applyNumberFormat="1" applyFont="1" applyFill="1" applyAlignment="1">
      <alignment vertical="center" wrapText="1"/>
    </xf>
    <xf numFmtId="3" fontId="1" fillId="2" borderId="0" xfId="0" applyNumberFormat="1" applyFont="1" applyFill="1" applyAlignment="1">
      <alignment vertical="center" wrapText="1"/>
    </xf>
    <xf numFmtId="3" fontId="5" fillId="2" borderId="0" xfId="0" applyNumberFormat="1" applyFont="1" applyFill="1" applyAlignment="1">
      <alignment vertical="center" wrapText="1"/>
    </xf>
    <xf numFmtId="37" fontId="31" fillId="2" borderId="7" xfId="0" applyNumberFormat="1" applyFont="1" applyFill="1" applyBorder="1" applyAlignment="1">
      <alignment horizontal="center" vertical="center"/>
    </xf>
    <xf numFmtId="37" fontId="1" fillId="2" borderId="7" xfId="0" applyNumberFormat="1" applyFont="1" applyFill="1" applyBorder="1" applyAlignment="1">
      <alignment vertical="center" wrapText="1"/>
    </xf>
    <xf numFmtId="37" fontId="1" fillId="4" borderId="7" xfId="0" applyNumberFormat="1" applyFont="1" applyFill="1" applyBorder="1" applyAlignment="1">
      <alignment vertical="center" wrapText="1"/>
    </xf>
    <xf numFmtId="37" fontId="31" fillId="0" borderId="7" xfId="0" applyNumberFormat="1" applyFont="1" applyBorder="1" applyAlignment="1">
      <alignment horizontal="center" vertical="center"/>
    </xf>
    <xf numFmtId="37" fontId="31" fillId="10" borderId="7" xfId="0" applyNumberFormat="1" applyFont="1" applyFill="1" applyBorder="1" applyAlignment="1">
      <alignment horizontal="center" vertical="center"/>
    </xf>
    <xf numFmtId="37" fontId="31" fillId="2" borderId="17" xfId="0" applyNumberFormat="1" applyFont="1" applyFill="1" applyBorder="1" applyAlignment="1">
      <alignment horizontal="center" vertical="center"/>
    </xf>
    <xf numFmtId="37" fontId="1" fillId="2" borderId="17" xfId="0" applyNumberFormat="1" applyFont="1" applyFill="1" applyBorder="1" applyAlignment="1">
      <alignment vertical="center"/>
    </xf>
    <xf numFmtId="37" fontId="45" fillId="2" borderId="17" xfId="0" applyNumberFormat="1" applyFont="1" applyFill="1" applyBorder="1" applyAlignment="1">
      <alignment horizontal="center" vertical="center"/>
    </xf>
    <xf numFmtId="37" fontId="13" fillId="2" borderId="17" xfId="0" applyNumberFormat="1" applyFont="1" applyFill="1" applyBorder="1" applyAlignment="1">
      <alignment vertical="center"/>
    </xf>
    <xf numFmtId="37" fontId="3" fillId="2" borderId="17" xfId="0" applyNumberFormat="1" applyFont="1" applyFill="1" applyBorder="1" applyAlignment="1">
      <alignment vertical="center"/>
    </xf>
    <xf numFmtId="37" fontId="31" fillId="16" borderId="17" xfId="0" applyNumberFormat="1" applyFont="1" applyFill="1" applyBorder="1" applyAlignment="1">
      <alignment horizontal="center" vertical="center"/>
    </xf>
    <xf numFmtId="37" fontId="1" fillId="16" borderId="17" xfId="0" applyNumberFormat="1" applyFont="1" applyFill="1" applyBorder="1" applyAlignment="1">
      <alignment vertical="center"/>
    </xf>
    <xf numFmtId="37" fontId="31" fillId="11" borderId="17" xfId="0" applyNumberFormat="1" applyFont="1" applyFill="1" applyBorder="1" applyAlignment="1">
      <alignment horizontal="center" vertical="center"/>
    </xf>
    <xf numFmtId="37" fontId="1" fillId="11" borderId="17" xfId="0" applyNumberFormat="1" applyFont="1" applyFill="1" applyBorder="1" applyAlignment="1">
      <alignment vertical="center"/>
    </xf>
    <xf numFmtId="37" fontId="31" fillId="15" borderId="17" xfId="0" applyNumberFormat="1" applyFont="1" applyFill="1" applyBorder="1" applyAlignment="1">
      <alignment horizontal="center" vertical="center"/>
    </xf>
    <xf numFmtId="37" fontId="1" fillId="15" borderId="17" xfId="0" applyNumberFormat="1" applyFont="1" applyFill="1" applyBorder="1" applyAlignment="1">
      <alignment vertical="center"/>
    </xf>
    <xf numFmtId="37" fontId="2" fillId="2" borderId="0" xfId="0" applyNumberFormat="1" applyFont="1" applyFill="1" applyAlignment="1">
      <alignment horizontal="center" vertical="center"/>
    </xf>
    <xf numFmtId="37" fontId="33" fillId="16" borderId="17" xfId="0" applyNumberFormat="1" applyFont="1" applyFill="1" applyBorder="1" applyAlignment="1">
      <alignment vertical="center"/>
    </xf>
    <xf numFmtId="37" fontId="56" fillId="9" borderId="0" xfId="0" applyNumberFormat="1" applyFont="1" applyFill="1" applyAlignment="1">
      <alignment vertical="center"/>
    </xf>
    <xf numFmtId="37" fontId="6" fillId="9" borderId="0" xfId="0" applyNumberFormat="1" applyFont="1" applyFill="1" applyAlignment="1">
      <alignment horizontal="center" vertical="center"/>
    </xf>
    <xf numFmtId="37" fontId="56" fillId="9" borderId="0" xfId="0" applyNumberFormat="1" applyFont="1" applyFill="1" applyAlignment="1">
      <alignment horizontal="center" vertical="center"/>
    </xf>
    <xf numFmtId="37" fontId="6" fillId="2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56" fillId="3" borderId="0" xfId="0" applyNumberFormat="1" applyFont="1" applyFill="1" applyAlignment="1">
      <alignment horizontal="center" vertical="center"/>
    </xf>
    <xf numFmtId="37" fontId="8" fillId="9" borderId="0" xfId="0" applyNumberFormat="1" applyFont="1" applyFill="1" applyAlignment="1">
      <alignment vertical="center"/>
    </xf>
    <xf numFmtId="37" fontId="13" fillId="2" borderId="17" xfId="0" applyNumberFormat="1" applyFont="1" applyFill="1" applyBorder="1" applyAlignment="1">
      <alignment horizontal="center" vertical="center"/>
    </xf>
    <xf numFmtId="37" fontId="33" fillId="2" borderId="17" xfId="0" applyNumberFormat="1" applyFont="1" applyFill="1" applyBorder="1" applyAlignment="1">
      <alignment vertical="center"/>
    </xf>
    <xf numFmtId="0" fontId="33" fillId="11" borderId="7" xfId="0" applyFont="1" applyFill="1" applyBorder="1" applyAlignment="1">
      <alignment horizontal="center" vertical="center"/>
    </xf>
    <xf numFmtId="37" fontId="33" fillId="11" borderId="7" xfId="0" applyNumberFormat="1" applyFont="1" applyFill="1" applyBorder="1" applyAlignment="1">
      <alignment horizontal="center" vertical="center"/>
    </xf>
    <xf numFmtId="3" fontId="39" fillId="19" borderId="9" xfId="0" applyNumberFormat="1" applyFont="1" applyFill="1" applyBorder="1" applyAlignment="1">
      <alignment vertical="center"/>
    </xf>
    <xf numFmtId="15" fontId="33" fillId="11" borderId="7" xfId="0" applyNumberFormat="1" applyFont="1" applyFill="1" applyBorder="1" applyAlignment="1">
      <alignment horizontal="center" vertical="center"/>
    </xf>
    <xf numFmtId="3" fontId="39" fillId="0" borderId="12" xfId="0" applyNumberFormat="1" applyFont="1" applyBorder="1" applyAlignment="1">
      <alignment vertical="center"/>
    </xf>
    <xf numFmtId="0" fontId="33" fillId="20" borderId="7" xfId="0" applyFont="1" applyFill="1" applyBorder="1" applyAlignment="1">
      <alignment horizontal="center" vertical="center"/>
    </xf>
    <xf numFmtId="37" fontId="33" fillId="20" borderId="7" xfId="0" applyNumberFormat="1" applyFont="1" applyFill="1" applyBorder="1" applyAlignment="1">
      <alignment horizontal="center" vertical="center"/>
    </xf>
    <xf numFmtId="3" fontId="39" fillId="21" borderId="9" xfId="0" applyNumberFormat="1" applyFont="1" applyFill="1" applyBorder="1" applyAlignment="1">
      <alignment vertical="center"/>
    </xf>
    <xf numFmtId="15" fontId="33" fillId="15" borderId="7" xfId="0" applyNumberFormat="1" applyFont="1" applyFill="1" applyBorder="1" applyAlignment="1">
      <alignment horizontal="center" vertical="center"/>
    </xf>
    <xf numFmtId="3" fontId="39" fillId="15" borderId="9" xfId="0" applyNumberFormat="1" applyFont="1" applyFill="1" applyBorder="1" applyAlignment="1">
      <alignment vertical="center"/>
    </xf>
    <xf numFmtId="15" fontId="33" fillId="20" borderId="7" xfId="0" applyNumberFormat="1" applyFont="1" applyFill="1" applyBorder="1" applyAlignment="1">
      <alignment horizontal="center" vertical="center"/>
    </xf>
    <xf numFmtId="15" fontId="33" fillId="25" borderId="7" xfId="0" applyNumberFormat="1" applyFont="1" applyFill="1" applyBorder="1" applyAlignment="1">
      <alignment horizontal="center" vertical="center"/>
    </xf>
    <xf numFmtId="0" fontId="33" fillId="25" borderId="7" xfId="0" applyFont="1" applyFill="1" applyBorder="1" applyAlignment="1">
      <alignment horizontal="center" vertical="center"/>
    </xf>
    <xf numFmtId="37" fontId="33" fillId="25" borderId="7" xfId="0" applyNumberFormat="1" applyFont="1" applyFill="1" applyBorder="1" applyAlignment="1">
      <alignment horizontal="center" vertical="center"/>
    </xf>
    <xf numFmtId="3" fontId="39" fillId="25" borderId="9" xfId="0" applyNumberFormat="1" applyFont="1" applyFill="1" applyBorder="1" applyAlignment="1">
      <alignment vertical="center"/>
    </xf>
    <xf numFmtId="37" fontId="1" fillId="20" borderId="0" xfId="0" applyNumberFormat="1" applyFont="1" applyFill="1" applyAlignment="1">
      <alignment vertical="center"/>
    </xf>
    <xf numFmtId="37" fontId="13" fillId="2" borderId="0" xfId="0" applyNumberFormat="1" applyFont="1" applyFill="1" applyAlignment="1">
      <alignment horizontal="center" vertical="center"/>
    </xf>
    <xf numFmtId="37" fontId="33" fillId="2" borderId="18" xfId="0" applyNumberFormat="1" applyFont="1" applyFill="1" applyBorder="1" applyAlignment="1">
      <alignment horizontal="center" vertical="center"/>
    </xf>
    <xf numFmtId="37" fontId="33" fillId="23" borderId="7" xfId="0" applyNumberFormat="1" applyFont="1" applyFill="1" applyBorder="1" applyAlignment="1">
      <alignment horizontal="center" vertical="center"/>
    </xf>
    <xf numFmtId="3" fontId="39" fillId="23" borderId="9" xfId="0" applyNumberFormat="1" applyFont="1" applyFill="1" applyBorder="1" applyAlignment="1">
      <alignment vertical="center"/>
    </xf>
    <xf numFmtId="37" fontId="33" fillId="23" borderId="18" xfId="0" applyNumberFormat="1" applyFont="1" applyFill="1" applyBorder="1" applyAlignment="1">
      <alignment horizontal="center" vertical="center"/>
    </xf>
    <xf numFmtId="15" fontId="39" fillId="2" borderId="0" xfId="0" applyNumberFormat="1" applyFont="1" applyFill="1" applyAlignment="1">
      <alignment horizontal="center" vertical="center"/>
    </xf>
    <xf numFmtId="37" fontId="1" fillId="2" borderId="18" xfId="0" applyNumberFormat="1" applyFont="1" applyFill="1" applyBorder="1" applyAlignment="1">
      <alignment vertical="center"/>
    </xf>
    <xf numFmtId="37" fontId="4" fillId="5" borderId="1" xfId="0" applyNumberFormat="1" applyFont="1" applyFill="1" applyBorder="1" applyAlignment="1">
      <alignment horizontal="center" vertical="center" wrapText="1"/>
    </xf>
    <xf numFmtId="3" fontId="39" fillId="2" borderId="9" xfId="0" applyNumberFormat="1" applyFont="1" applyFill="1" applyBorder="1" applyAlignment="1">
      <alignment horizontal="left" vertical="center"/>
    </xf>
    <xf numFmtId="3" fontId="39" fillId="2" borderId="12" xfId="0" applyNumberFormat="1" applyFont="1" applyFill="1" applyBorder="1" applyAlignment="1">
      <alignment horizontal="left" vertical="center"/>
    </xf>
    <xf numFmtId="37" fontId="2" fillId="26" borderId="14" xfId="0" applyNumberFormat="1" applyFont="1" applyFill="1" applyBorder="1" applyAlignment="1">
      <alignment horizontal="centerContinuous" vertical="center"/>
    </xf>
    <xf numFmtId="37" fontId="2" fillId="26" borderId="15" xfId="0" applyNumberFormat="1" applyFont="1" applyFill="1" applyBorder="1" applyAlignment="1">
      <alignment horizontal="centerContinuous" vertical="center"/>
    </xf>
    <xf numFmtId="37" fontId="45" fillId="26" borderId="8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37" fontId="3" fillId="0" borderId="0" xfId="0" applyNumberFormat="1" applyFont="1" applyAlignment="1">
      <alignment horizontal="center" vertical="center"/>
    </xf>
    <xf numFmtId="37" fontId="1" fillId="25" borderId="18" xfId="0" applyNumberFormat="1" applyFont="1" applyFill="1" applyBorder="1" applyAlignment="1">
      <alignment vertical="center"/>
    </xf>
    <xf numFmtId="37" fontId="1" fillId="15" borderId="18" xfId="0" applyNumberFormat="1" applyFont="1" applyFill="1" applyBorder="1" applyAlignment="1">
      <alignment vertical="center"/>
    </xf>
    <xf numFmtId="37" fontId="1" fillId="23" borderId="18" xfId="0" applyNumberFormat="1" applyFont="1" applyFill="1" applyBorder="1" applyAlignment="1">
      <alignment vertical="center"/>
    </xf>
    <xf numFmtId="37" fontId="1" fillId="11" borderId="18" xfId="0" applyNumberFormat="1" applyFont="1" applyFill="1" applyBorder="1" applyAlignment="1">
      <alignment vertical="center"/>
    </xf>
    <xf numFmtId="37" fontId="1" fillId="20" borderId="18" xfId="0" applyNumberFormat="1" applyFont="1" applyFill="1" applyBorder="1" applyAlignment="1">
      <alignment vertical="center"/>
    </xf>
    <xf numFmtId="15" fontId="33" fillId="25" borderId="18" xfId="0" applyNumberFormat="1" applyFont="1" applyFill="1" applyBorder="1" applyAlignment="1">
      <alignment horizontal="center" vertical="center"/>
    </xf>
    <xf numFmtId="0" fontId="33" fillId="25" borderId="18" xfId="0" applyFont="1" applyFill="1" applyBorder="1" applyAlignment="1">
      <alignment horizontal="center" vertical="center"/>
    </xf>
    <xf numFmtId="37" fontId="33" fillId="25" borderId="18" xfId="0" applyNumberFormat="1" applyFont="1" applyFill="1" applyBorder="1" applyAlignment="1">
      <alignment horizontal="center" vertical="center"/>
    </xf>
    <xf numFmtId="3" fontId="39" fillId="27" borderId="9" xfId="0" applyNumberFormat="1" applyFont="1" applyFill="1" applyBorder="1" applyAlignment="1">
      <alignment vertical="center"/>
    </xf>
    <xf numFmtId="3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right" vertical="center"/>
    </xf>
    <xf numFmtId="37" fontId="35" fillId="10" borderId="0" xfId="0" applyNumberFormat="1" applyFont="1" applyFill="1" applyAlignment="1">
      <alignment horizontal="center" vertical="center" wrapText="1"/>
    </xf>
    <xf numFmtId="37" fontId="23" fillId="10" borderId="0" xfId="0" applyNumberFormat="1" applyFont="1" applyFill="1" applyAlignment="1">
      <alignment vertical="center"/>
    </xf>
    <xf numFmtId="37" fontId="4" fillId="2" borderId="0" xfId="0" applyNumberFormat="1" applyFont="1" applyFill="1" applyAlignment="1">
      <alignment horizontal="center" vertical="center" wrapText="1"/>
    </xf>
    <xf numFmtId="3" fontId="39" fillId="2" borderId="18" xfId="0" applyNumberFormat="1" applyFont="1" applyFill="1" applyBorder="1" applyAlignment="1">
      <alignment vertical="center"/>
    </xf>
    <xf numFmtId="37" fontId="14" fillId="2" borderId="18" xfId="0" applyNumberFormat="1" applyFont="1" applyFill="1" applyBorder="1" applyAlignment="1">
      <alignment vertical="center"/>
    </xf>
    <xf numFmtId="3" fontId="39" fillId="2" borderId="18" xfId="0" applyNumberFormat="1" applyFont="1" applyFill="1" applyBorder="1" applyAlignment="1">
      <alignment horizontal="left" vertical="center"/>
    </xf>
    <xf numFmtId="37" fontId="22" fillId="2" borderId="0" xfId="0" applyNumberFormat="1" applyFont="1" applyFill="1" applyAlignment="1">
      <alignment horizontal="center" vertical="center"/>
    </xf>
    <xf numFmtId="37" fontId="40" fillId="10" borderId="0" xfId="0" applyNumberFormat="1" applyFont="1" applyFill="1" applyAlignment="1">
      <alignment vertical="center"/>
    </xf>
    <xf numFmtId="37" fontId="33" fillId="10" borderId="18" xfId="0" applyNumberFormat="1" applyFont="1" applyFill="1" applyBorder="1" applyAlignment="1">
      <alignment horizontal="center" vertical="center"/>
    </xf>
    <xf numFmtId="37" fontId="14" fillId="10" borderId="18" xfId="0" applyNumberFormat="1" applyFont="1" applyFill="1" applyBorder="1" applyAlignment="1">
      <alignment vertical="center"/>
    </xf>
    <xf numFmtId="37" fontId="1" fillId="11" borderId="7" xfId="0" applyNumberFormat="1" applyFont="1" applyFill="1" applyBorder="1" applyAlignment="1">
      <alignment vertical="center"/>
    </xf>
    <xf numFmtId="15" fontId="1" fillId="23" borderId="7" xfId="0" applyNumberFormat="1" applyFont="1" applyFill="1" applyBorder="1" applyAlignment="1">
      <alignment horizontal="center" vertical="center"/>
    </xf>
    <xf numFmtId="15" fontId="33" fillId="23" borderId="7" xfId="0" applyNumberFormat="1" applyFont="1" applyFill="1" applyBorder="1" applyAlignment="1">
      <alignment horizontal="center" vertical="center"/>
    </xf>
    <xf numFmtId="0" fontId="33" fillId="23" borderId="7" xfId="0" applyFont="1" applyFill="1" applyBorder="1" applyAlignment="1">
      <alignment horizontal="center" vertical="center"/>
    </xf>
    <xf numFmtId="3" fontId="39" fillId="22" borderId="9" xfId="0" applyNumberFormat="1" applyFont="1" applyFill="1" applyBorder="1" applyAlignment="1">
      <alignment vertical="center"/>
    </xf>
    <xf numFmtId="37" fontId="23" fillId="11" borderId="0" xfId="0" applyNumberFormat="1" applyFont="1" applyFill="1" applyAlignment="1">
      <alignment vertical="center" wrapText="1"/>
    </xf>
    <xf numFmtId="15" fontId="33" fillId="28" borderId="7" xfId="0" applyNumberFormat="1" applyFont="1" applyFill="1" applyBorder="1" applyAlignment="1">
      <alignment horizontal="center" vertical="center"/>
    </xf>
    <xf numFmtId="0" fontId="33" fillId="28" borderId="7" xfId="0" applyFont="1" applyFill="1" applyBorder="1" applyAlignment="1">
      <alignment horizontal="center" vertical="center"/>
    </xf>
    <xf numFmtId="37" fontId="33" fillId="28" borderId="18" xfId="0" applyNumberFormat="1" applyFont="1" applyFill="1" applyBorder="1" applyAlignment="1">
      <alignment horizontal="center" vertical="center"/>
    </xf>
    <xf numFmtId="3" fontId="39" fillId="29" borderId="9" xfId="0" applyNumberFormat="1" applyFont="1" applyFill="1" applyBorder="1" applyAlignment="1">
      <alignment vertical="center"/>
    </xf>
    <xf numFmtId="37" fontId="1" fillId="28" borderId="18" xfId="0" applyNumberFormat="1" applyFont="1" applyFill="1" applyBorder="1" applyAlignment="1">
      <alignment vertical="center"/>
    </xf>
    <xf numFmtId="37" fontId="33" fillId="28" borderId="7" xfId="0" applyNumberFormat="1" applyFont="1" applyFill="1" applyBorder="1" applyAlignment="1">
      <alignment horizontal="center" vertical="center"/>
    </xf>
    <xf numFmtId="15" fontId="1" fillId="28" borderId="7" xfId="0" applyNumberFormat="1" applyFont="1" applyFill="1" applyBorder="1" applyAlignment="1">
      <alignment horizontal="center" vertical="center"/>
    </xf>
    <xf numFmtId="3" fontId="39" fillId="28" borderId="9" xfId="0" applyNumberFormat="1" applyFont="1" applyFill="1" applyBorder="1" applyAlignment="1">
      <alignment vertical="center"/>
    </xf>
    <xf numFmtId="15" fontId="1" fillId="28" borderId="18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vertical="center"/>
    </xf>
    <xf numFmtId="37" fontId="33" fillId="2" borderId="18" xfId="0" applyNumberFormat="1" applyFont="1" applyFill="1" applyBorder="1" applyAlignment="1">
      <alignment vertical="center"/>
    </xf>
    <xf numFmtId="37" fontId="39" fillId="2" borderId="18" xfId="0" applyNumberFormat="1" applyFont="1" applyFill="1" applyBorder="1" applyAlignment="1">
      <alignment vertical="center"/>
    </xf>
    <xf numFmtId="37" fontId="45" fillId="0" borderId="18" xfId="0" applyNumberFormat="1" applyFont="1" applyBorder="1" applyAlignment="1">
      <alignment vertical="center"/>
    </xf>
    <xf numFmtId="37" fontId="39" fillId="2" borderId="18" xfId="0" applyNumberFormat="1" applyFont="1" applyFill="1" applyBorder="1" applyAlignment="1">
      <alignment horizontal="center" vertical="center"/>
    </xf>
    <xf numFmtId="37" fontId="40" fillId="10" borderId="18" xfId="0" applyNumberFormat="1" applyFont="1" applyFill="1" applyBorder="1" applyAlignment="1">
      <alignment vertical="center"/>
    </xf>
    <xf numFmtId="37" fontId="15" fillId="2" borderId="0" xfId="0" quotePrefix="1" applyNumberFormat="1" applyFont="1" applyFill="1" applyAlignment="1">
      <alignment vertical="center"/>
    </xf>
    <xf numFmtId="37" fontId="3" fillId="2" borderId="0" xfId="0" quotePrefix="1" applyNumberFormat="1" applyFont="1" applyFill="1" applyAlignment="1">
      <alignment vertical="center"/>
    </xf>
    <xf numFmtId="167" fontId="1" fillId="2" borderId="0" xfId="0" applyNumberFormat="1" applyFont="1" applyFill="1" applyAlignment="1">
      <alignment horizontal="center" vertical="center"/>
    </xf>
    <xf numFmtId="37" fontId="41" fillId="11" borderId="0" xfId="0" applyNumberFormat="1" applyFont="1" applyFill="1" applyAlignment="1">
      <alignment vertical="center"/>
    </xf>
    <xf numFmtId="37" fontId="2" fillId="10" borderId="0" xfId="0" applyNumberFormat="1" applyFont="1" applyFill="1" applyAlignment="1">
      <alignment vertical="center"/>
    </xf>
    <xf numFmtId="37" fontId="49" fillId="5" borderId="19" xfId="0" applyNumberFormat="1" applyFont="1" applyFill="1" applyBorder="1" applyAlignment="1">
      <alignment vertical="center"/>
    </xf>
    <xf numFmtId="37" fontId="44" fillId="2" borderId="0" xfId="0" applyNumberFormat="1" applyFont="1" applyFill="1" applyAlignment="1">
      <alignment vertical="center"/>
    </xf>
    <xf numFmtId="0" fontId="31" fillId="0" borderId="0" xfId="0" quotePrefix="1" applyFont="1" applyAlignment="1">
      <alignment horizontal="left" vertical="center" wrapText="1"/>
    </xf>
    <xf numFmtId="0" fontId="48" fillId="0" borderId="0" xfId="0" applyFont="1" applyAlignment="1">
      <alignment horizontal="center" vertical="center" wrapText="1"/>
    </xf>
    <xf numFmtId="37" fontId="42" fillId="0" borderId="0" xfId="0" applyNumberFormat="1" applyFont="1" applyAlignment="1">
      <alignment vertical="center"/>
    </xf>
    <xf numFmtId="37" fontId="39" fillId="0" borderId="0" xfId="0" applyNumberFormat="1" applyFont="1" applyAlignment="1">
      <alignment horizontal="center" vertical="center"/>
    </xf>
    <xf numFmtId="37" fontId="45" fillId="0" borderId="0" xfId="0" applyNumberFormat="1" applyFont="1" applyAlignment="1">
      <alignment horizontal="center" vertical="center"/>
    </xf>
    <xf numFmtId="37" fontId="31" fillId="3" borderId="0" xfId="0" applyNumberFormat="1" applyFont="1" applyFill="1" applyAlignment="1">
      <alignment vertical="center"/>
    </xf>
    <xf numFmtId="37" fontId="45" fillId="6" borderId="0" xfId="0" quotePrefix="1" applyNumberFormat="1" applyFont="1" applyFill="1" applyAlignment="1">
      <alignment vertical="center"/>
    </xf>
    <xf numFmtId="0" fontId="33" fillId="0" borderId="0" xfId="0" applyFont="1" applyAlignment="1">
      <alignment horizontal="left" vertical="center" wrapText="1"/>
    </xf>
    <xf numFmtId="164" fontId="42" fillId="0" borderId="0" xfId="0" applyNumberFormat="1" applyFont="1" applyAlignment="1">
      <alignment horizontal="left" vertical="center" wrapText="1"/>
    </xf>
    <xf numFmtId="0" fontId="33" fillId="9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7" fontId="39" fillId="0" borderId="2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left" vertical="center" wrapText="1"/>
    </xf>
    <xf numFmtId="37" fontId="45" fillId="0" borderId="20" xfId="0" applyNumberFormat="1" applyFont="1" applyBorder="1" applyAlignment="1">
      <alignment vertical="center"/>
    </xf>
    <xf numFmtId="0" fontId="49" fillId="2" borderId="7" xfId="0" applyFont="1" applyFill="1" applyBorder="1" applyAlignment="1">
      <alignment horizontal="center" vertical="center" wrapText="1"/>
    </xf>
    <xf numFmtId="37" fontId="31" fillId="2" borderId="20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37" fontId="6" fillId="0" borderId="0" xfId="0" applyNumberFormat="1" applyFont="1" applyAlignment="1">
      <alignment horizontal="center" vertical="center"/>
    </xf>
    <xf numFmtId="37" fontId="8" fillId="0" borderId="0" xfId="0" applyNumberFormat="1" applyFont="1" applyAlignment="1">
      <alignment horizontal="center" vertical="center"/>
    </xf>
    <xf numFmtId="37" fontId="5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56" fillId="0" borderId="0" xfId="0" applyNumberFormat="1" applyFont="1" applyAlignment="1">
      <alignment horizontal="center" vertical="center"/>
    </xf>
    <xf numFmtId="37" fontId="47" fillId="2" borderId="0" xfId="0" applyNumberFormat="1" applyFont="1" applyFill="1" applyAlignment="1">
      <alignment vertical="center"/>
    </xf>
    <xf numFmtId="37" fontId="47" fillId="3" borderId="0" xfId="0" applyNumberFormat="1" applyFont="1" applyFill="1" applyAlignment="1">
      <alignment horizontal="center" vertical="center"/>
    </xf>
    <xf numFmtId="37" fontId="45" fillId="10" borderId="7" xfId="0" applyNumberFormat="1" applyFont="1" applyFill="1" applyBorder="1" applyAlignment="1">
      <alignment vertical="center"/>
    </xf>
    <xf numFmtId="37" fontId="35" fillId="2" borderId="7" xfId="0" quotePrefix="1" applyNumberFormat="1" applyFont="1" applyFill="1" applyBorder="1" applyAlignment="1">
      <alignment horizontal="center" vertical="center" wrapText="1"/>
    </xf>
    <xf numFmtId="37" fontId="39" fillId="0" borderId="20" xfId="0" applyNumberFormat="1" applyFont="1" applyBorder="1" applyAlignment="1">
      <alignment vertical="center"/>
    </xf>
    <xf numFmtId="0" fontId="39" fillId="30" borderId="20" xfId="0" applyFont="1" applyFill="1" applyBorder="1" applyAlignment="1">
      <alignment horizontal="left" vertical="center" wrapText="1"/>
    </xf>
    <xf numFmtId="37" fontId="39" fillId="30" borderId="20" xfId="0" applyNumberFormat="1" applyFont="1" applyFill="1" applyBorder="1" applyAlignment="1">
      <alignment vertical="center"/>
    </xf>
    <xf numFmtId="37" fontId="45" fillId="30" borderId="20" xfId="0" applyNumberFormat="1" applyFont="1" applyFill="1" applyBorder="1" applyAlignment="1">
      <alignment vertical="center"/>
    </xf>
    <xf numFmtId="37" fontId="39" fillId="30" borderId="20" xfId="0" applyNumberFormat="1" applyFont="1" applyFill="1" applyBorder="1" applyAlignment="1">
      <alignment horizontal="center" vertical="center"/>
    </xf>
    <xf numFmtId="37" fontId="47" fillId="0" borderId="0" xfId="0" applyNumberFormat="1" applyFont="1" applyAlignment="1">
      <alignment vertical="center"/>
    </xf>
    <xf numFmtId="37" fontId="50" fillId="0" borderId="0" xfId="0" applyNumberFormat="1" applyFont="1" applyAlignment="1">
      <alignment vertical="center"/>
    </xf>
    <xf numFmtId="37" fontId="35" fillId="0" borderId="20" xfId="0" applyNumberFormat="1" applyFont="1" applyBorder="1" applyAlignment="1">
      <alignment horizontal="center" vertical="center" wrapText="1"/>
    </xf>
    <xf numFmtId="37" fontId="41" fillId="0" borderId="20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3" fontId="13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39" fillId="0" borderId="20" xfId="0" applyNumberFormat="1" applyFont="1" applyBorder="1" applyAlignment="1">
      <alignment vertical="center"/>
    </xf>
    <xf numFmtId="3" fontId="33" fillId="0" borderId="20" xfId="0" applyNumberFormat="1" applyFont="1" applyBorder="1" applyAlignment="1">
      <alignment vertical="center"/>
    </xf>
    <xf numFmtId="37" fontId="39" fillId="31" borderId="20" xfId="0" applyNumberFormat="1" applyFont="1" applyFill="1" applyBorder="1" applyAlignment="1">
      <alignment horizontal="center" vertical="center"/>
    </xf>
    <xf numFmtId="0" fontId="39" fillId="31" borderId="20" xfId="0" applyFont="1" applyFill="1" applyBorder="1" applyAlignment="1">
      <alignment horizontal="left" vertical="center" wrapText="1"/>
    </xf>
    <xf numFmtId="37" fontId="39" fillId="31" borderId="20" xfId="0" applyNumberFormat="1" applyFont="1" applyFill="1" applyBorder="1" applyAlignment="1">
      <alignment vertical="center"/>
    </xf>
    <xf numFmtId="37" fontId="45" fillId="31" borderId="20" xfId="0" applyNumberFormat="1" applyFont="1" applyFill="1" applyBorder="1" applyAlignment="1">
      <alignment vertical="center"/>
    </xf>
    <xf numFmtId="15" fontId="33" fillId="31" borderId="7" xfId="0" applyNumberFormat="1" applyFont="1" applyFill="1" applyBorder="1" applyAlignment="1">
      <alignment horizontal="center" vertical="center"/>
    </xf>
    <xf numFmtId="0" fontId="33" fillId="31" borderId="7" xfId="0" applyFont="1" applyFill="1" applyBorder="1" applyAlignment="1">
      <alignment horizontal="center" vertical="center"/>
    </xf>
    <xf numFmtId="37" fontId="33" fillId="31" borderId="7" xfId="0" applyNumberFormat="1" applyFont="1" applyFill="1" applyBorder="1" applyAlignment="1">
      <alignment horizontal="center" vertical="center"/>
    </xf>
    <xf numFmtId="3" fontId="39" fillId="32" borderId="9" xfId="0" applyNumberFormat="1" applyFont="1" applyFill="1" applyBorder="1" applyAlignment="1">
      <alignment vertical="center"/>
    </xf>
    <xf numFmtId="37" fontId="1" fillId="31" borderId="18" xfId="0" applyNumberFormat="1" applyFont="1" applyFill="1" applyBorder="1" applyAlignment="1">
      <alignment vertical="center"/>
    </xf>
    <xf numFmtId="15" fontId="1" fillId="31" borderId="7" xfId="0" applyNumberFormat="1" applyFont="1" applyFill="1" applyBorder="1" applyAlignment="1">
      <alignment horizontal="center" vertical="center"/>
    </xf>
    <xf numFmtId="37" fontId="33" fillId="31" borderId="18" xfId="0" applyNumberFormat="1" applyFont="1" applyFill="1" applyBorder="1" applyAlignment="1">
      <alignment horizontal="center" vertical="center"/>
    </xf>
    <xf numFmtId="3" fontId="39" fillId="31" borderId="9" xfId="0" applyNumberFormat="1" applyFont="1" applyFill="1" applyBorder="1" applyAlignment="1">
      <alignment vertical="center"/>
    </xf>
    <xf numFmtId="37" fontId="1" fillId="16" borderId="0" xfId="0" applyNumberFormat="1" applyFont="1" applyFill="1" applyAlignment="1">
      <alignment vertical="center"/>
    </xf>
    <xf numFmtId="37" fontId="39" fillId="2" borderId="22" xfId="0" applyNumberFormat="1" applyFont="1" applyFill="1" applyBorder="1" applyAlignment="1">
      <alignment vertical="center"/>
    </xf>
    <xf numFmtId="37" fontId="46" fillId="2" borderId="7" xfId="0" applyNumberFormat="1" applyFont="1" applyFill="1" applyBorder="1" applyAlignment="1">
      <alignment vertical="center"/>
    </xf>
    <xf numFmtId="0" fontId="12" fillId="2" borderId="0" xfId="0" quotePrefix="1" applyFont="1" applyFill="1" applyAlignment="1">
      <alignment horizontal="left" vertical="center" wrapText="1"/>
    </xf>
    <xf numFmtId="37" fontId="41" fillId="0" borderId="0" xfId="0" applyNumberFormat="1" applyFont="1" applyAlignment="1">
      <alignment vertical="center" wrapText="1"/>
    </xf>
    <xf numFmtId="37" fontId="41" fillId="9" borderId="0" xfId="0" applyNumberFormat="1" applyFont="1" applyFill="1" applyAlignment="1">
      <alignment vertical="center" wrapText="1"/>
    </xf>
    <xf numFmtId="37" fontId="41" fillId="0" borderId="20" xfId="0" applyNumberFormat="1" applyFont="1" applyBorder="1" applyAlignment="1">
      <alignment vertical="center" wrapText="1"/>
    </xf>
    <xf numFmtId="37" fontId="41" fillId="31" borderId="20" xfId="0" applyNumberFormat="1" applyFont="1" applyFill="1" applyBorder="1" applyAlignment="1">
      <alignment vertical="center" wrapText="1"/>
    </xf>
    <xf numFmtId="37" fontId="51" fillId="0" borderId="0" xfId="0" applyNumberFormat="1" applyFont="1" applyAlignment="1">
      <alignment vertical="center" wrapText="1"/>
    </xf>
    <xf numFmtId="37" fontId="33" fillId="0" borderId="20" xfId="0" applyNumberFormat="1" applyFont="1" applyBorder="1" applyAlignment="1">
      <alignment horizontal="center" vertical="center"/>
    </xf>
    <xf numFmtId="37" fontId="1" fillId="0" borderId="0" xfId="0" applyNumberFormat="1" applyFont="1" applyAlignment="1">
      <alignment vertical="center" wrapText="1"/>
    </xf>
    <xf numFmtId="0" fontId="1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37" fontId="31" fillId="10" borderId="0" xfId="0" applyNumberFormat="1" applyFont="1" applyFill="1" applyAlignment="1">
      <alignment horizontal="center" vertical="center"/>
    </xf>
    <xf numFmtId="37" fontId="45" fillId="11" borderId="0" xfId="0" applyNumberFormat="1" applyFont="1" applyFill="1" applyAlignment="1">
      <alignment vertical="center"/>
    </xf>
    <xf numFmtId="0" fontId="33" fillId="11" borderId="0" xfId="0" applyFont="1" applyFill="1" applyAlignment="1">
      <alignment vertical="center"/>
    </xf>
    <xf numFmtId="0" fontId="41" fillId="11" borderId="0" xfId="0" applyFont="1" applyFill="1" applyAlignment="1">
      <alignment vertical="center"/>
    </xf>
    <xf numFmtId="37" fontId="33" fillId="2" borderId="0" xfId="0" quotePrefix="1" applyNumberFormat="1" applyFont="1" applyFill="1" applyAlignment="1">
      <alignment horizontal="left" vertical="center"/>
    </xf>
    <xf numFmtId="37" fontId="54" fillId="0" borderId="0" xfId="0" applyNumberFormat="1" applyFont="1" applyAlignment="1">
      <alignment horizontal="center" vertical="center"/>
    </xf>
    <xf numFmtId="37" fontId="39" fillId="27" borderId="12" xfId="0" applyNumberFormat="1" applyFont="1" applyFill="1" applyBorder="1" applyAlignment="1">
      <alignment vertical="center"/>
    </xf>
    <xf numFmtId="37" fontId="39" fillId="25" borderId="12" xfId="0" applyNumberFormat="1" applyFont="1" applyFill="1" applyBorder="1" applyAlignment="1">
      <alignment vertical="center"/>
    </xf>
    <xf numFmtId="37" fontId="1" fillId="11" borderId="7" xfId="0" applyNumberFormat="1" applyFont="1" applyFill="1" applyBorder="1" applyAlignment="1">
      <alignment horizontal="left" vertical="center"/>
    </xf>
    <xf numFmtId="37" fontId="39" fillId="19" borderId="12" xfId="0" applyNumberFormat="1" applyFont="1" applyFill="1" applyBorder="1" applyAlignment="1">
      <alignment vertical="center"/>
    </xf>
    <xf numFmtId="37" fontId="39" fillId="2" borderId="12" xfId="0" applyNumberFormat="1" applyFont="1" applyFill="1" applyBorder="1" applyAlignment="1">
      <alignment vertical="center"/>
    </xf>
    <xf numFmtId="37" fontId="40" fillId="25" borderId="18" xfId="0" applyNumberFormat="1" applyFont="1" applyFill="1" applyBorder="1" applyAlignment="1">
      <alignment horizontal="left" vertical="center"/>
    </xf>
    <xf numFmtId="37" fontId="33" fillId="10" borderId="0" xfId="0" quotePrefix="1" applyNumberFormat="1" applyFont="1" applyFill="1" applyAlignment="1">
      <alignment horizontal="left" vertical="center"/>
    </xf>
    <xf numFmtId="37" fontId="39" fillId="10" borderId="18" xfId="0" applyNumberFormat="1" applyFont="1" applyFill="1" applyBorder="1" applyAlignment="1">
      <alignment vertical="center"/>
    </xf>
    <xf numFmtId="37" fontId="39" fillId="21" borderId="12" xfId="0" applyNumberFormat="1" applyFont="1" applyFill="1" applyBorder="1" applyAlignment="1">
      <alignment vertical="center"/>
    </xf>
    <xf numFmtId="37" fontId="39" fillId="15" borderId="12" xfId="0" applyNumberFormat="1" applyFont="1" applyFill="1" applyBorder="1" applyAlignment="1">
      <alignment vertical="center"/>
    </xf>
    <xf numFmtId="37" fontId="39" fillId="22" borderId="12" xfId="0" applyNumberFormat="1" applyFont="1" applyFill="1" applyBorder="1" applyAlignment="1">
      <alignment vertical="center"/>
    </xf>
    <xf numFmtId="37" fontId="39" fillId="23" borderId="12" xfId="0" applyNumberFormat="1" applyFont="1" applyFill="1" applyBorder="1" applyAlignment="1">
      <alignment vertical="center"/>
    </xf>
    <xf numFmtId="37" fontId="6" fillId="0" borderId="7" xfId="0" applyNumberFormat="1" applyFont="1" applyBorder="1" applyAlignment="1">
      <alignment horizontal="left" vertical="center" wrapText="1"/>
    </xf>
    <xf numFmtId="37" fontId="39" fillId="23" borderId="18" xfId="0" applyNumberFormat="1" applyFont="1" applyFill="1" applyBorder="1" applyAlignment="1">
      <alignment vertical="center"/>
    </xf>
    <xf numFmtId="37" fontId="1" fillId="23" borderId="0" xfId="0" applyNumberFormat="1" applyFont="1" applyFill="1" applyAlignment="1">
      <alignment horizontal="center" vertical="center" wrapText="1"/>
    </xf>
    <xf numFmtId="37" fontId="45" fillId="10" borderId="0" xfId="0" quotePrefix="1" applyNumberFormat="1" applyFont="1" applyFill="1" applyAlignment="1">
      <alignment horizontal="center" vertical="center"/>
    </xf>
    <xf numFmtId="37" fontId="39" fillId="29" borderId="12" xfId="0" applyNumberFormat="1" applyFont="1" applyFill="1" applyBorder="1" applyAlignment="1">
      <alignment vertical="center"/>
    </xf>
    <xf numFmtId="37" fontId="39" fillId="28" borderId="12" xfId="0" applyNumberFormat="1" applyFont="1" applyFill="1" applyBorder="1" applyAlignment="1">
      <alignment vertical="center"/>
    </xf>
    <xf numFmtId="37" fontId="39" fillId="32" borderId="12" xfId="0" applyNumberFormat="1" applyFont="1" applyFill="1" applyBorder="1" applyAlignment="1">
      <alignment vertical="center"/>
    </xf>
    <xf numFmtId="37" fontId="1" fillId="31" borderId="0" xfId="0" applyNumberFormat="1" applyFont="1" applyFill="1" applyAlignment="1">
      <alignment horizontal="left" vertical="center"/>
    </xf>
    <xf numFmtId="37" fontId="39" fillId="31" borderId="12" xfId="0" applyNumberFormat="1" applyFont="1" applyFill="1" applyBorder="1" applyAlignment="1">
      <alignment vertical="center"/>
    </xf>
    <xf numFmtId="37" fontId="1" fillId="0" borderId="0" xfId="0" applyNumberFormat="1" applyFont="1" applyAlignment="1">
      <alignment horizontal="left" vertical="center"/>
    </xf>
    <xf numFmtId="0" fontId="31" fillId="10" borderId="0" xfId="0" applyFont="1" applyFill="1" applyAlignment="1">
      <alignment vertical="center"/>
    </xf>
    <xf numFmtId="37" fontId="45" fillId="33" borderId="0" xfId="0" applyNumberFormat="1" applyFont="1" applyFill="1" applyAlignment="1">
      <alignment horizontal="right" vertical="center"/>
    </xf>
    <xf numFmtId="37" fontId="45" fillId="33" borderId="0" xfId="0" applyNumberFormat="1" applyFont="1" applyFill="1" applyAlignment="1">
      <alignment vertical="center"/>
    </xf>
    <xf numFmtId="37" fontId="41" fillId="33" borderId="0" xfId="0" applyNumberFormat="1" applyFont="1" applyFill="1" applyAlignment="1">
      <alignment vertical="center"/>
    </xf>
    <xf numFmtId="37" fontId="33" fillId="33" borderId="0" xfId="0" applyNumberFormat="1" applyFont="1" applyFill="1" applyAlignment="1">
      <alignment vertical="center"/>
    </xf>
    <xf numFmtId="37" fontId="33" fillId="18" borderId="0" xfId="0" applyNumberFormat="1" applyFont="1" applyFill="1" applyAlignment="1">
      <alignment vertical="center"/>
    </xf>
    <xf numFmtId="37" fontId="45" fillId="18" borderId="0" xfId="0" applyNumberFormat="1" applyFont="1" applyFill="1" applyAlignment="1">
      <alignment horizontal="right" vertical="center"/>
    </xf>
    <xf numFmtId="37" fontId="45" fillId="18" borderId="0" xfId="0" applyNumberFormat="1" applyFont="1" applyFill="1" applyAlignment="1">
      <alignment vertical="center"/>
    </xf>
    <xf numFmtId="37" fontId="41" fillId="18" borderId="0" xfId="0" applyNumberFormat="1" applyFont="1" applyFill="1" applyAlignment="1">
      <alignment vertical="center"/>
    </xf>
    <xf numFmtId="37" fontId="1" fillId="34" borderId="0" xfId="0" applyNumberFormat="1" applyFont="1" applyFill="1" applyAlignment="1">
      <alignment vertical="center"/>
    </xf>
    <xf numFmtId="37" fontId="45" fillId="34" borderId="0" xfId="0" applyNumberFormat="1" applyFont="1" applyFill="1" applyAlignment="1">
      <alignment horizontal="right" vertical="center"/>
    </xf>
    <xf numFmtId="37" fontId="45" fillId="34" borderId="0" xfId="0" applyNumberFormat="1" applyFont="1" applyFill="1" applyAlignment="1">
      <alignment vertical="center"/>
    </xf>
    <xf numFmtId="37" fontId="41" fillId="34" borderId="0" xfId="0" applyNumberFormat="1" applyFont="1" applyFill="1" applyAlignment="1">
      <alignment vertical="center"/>
    </xf>
    <xf numFmtId="37" fontId="45" fillId="35" borderId="0" xfId="0" applyNumberFormat="1" applyFont="1" applyFill="1" applyAlignment="1">
      <alignment horizontal="right" vertical="center"/>
    </xf>
    <xf numFmtId="37" fontId="45" fillId="35" borderId="0" xfId="0" applyNumberFormat="1" applyFont="1" applyFill="1" applyAlignment="1">
      <alignment vertical="center"/>
    </xf>
    <xf numFmtId="37" fontId="41" fillId="35" borderId="0" xfId="0" applyNumberFormat="1" applyFont="1" applyFill="1" applyAlignment="1">
      <alignment vertical="center"/>
    </xf>
    <xf numFmtId="37" fontId="33" fillId="35" borderId="0" xfId="0" applyNumberFormat="1" applyFont="1" applyFill="1" applyAlignment="1">
      <alignment vertical="center"/>
    </xf>
    <xf numFmtId="0" fontId="33" fillId="36" borderId="0" xfId="0" applyFont="1" applyFill="1" applyAlignment="1">
      <alignment horizontal="right" vertical="center"/>
    </xf>
    <xf numFmtId="37" fontId="45" fillId="36" borderId="0" xfId="0" applyNumberFormat="1" applyFont="1" applyFill="1" applyAlignment="1">
      <alignment vertical="center"/>
    </xf>
    <xf numFmtId="37" fontId="41" fillId="36" borderId="0" xfId="0" applyNumberFormat="1" applyFont="1" applyFill="1" applyAlignment="1">
      <alignment vertical="center"/>
    </xf>
    <xf numFmtId="37" fontId="33" fillId="36" borderId="0" xfId="0" applyNumberFormat="1" applyFont="1" applyFill="1" applyAlignment="1">
      <alignment vertical="center"/>
    </xf>
    <xf numFmtId="0" fontId="33" fillId="37" borderId="0" xfId="0" applyFont="1" applyFill="1" applyAlignment="1">
      <alignment vertical="center"/>
    </xf>
    <xf numFmtId="0" fontId="41" fillId="37" borderId="0" xfId="0" applyFont="1" applyFill="1" applyAlignment="1">
      <alignment vertical="center"/>
    </xf>
    <xf numFmtId="37" fontId="33" fillId="37" borderId="0" xfId="0" applyNumberFormat="1" applyFont="1" applyFill="1" applyAlignment="1">
      <alignment vertical="center"/>
    </xf>
    <xf numFmtId="0" fontId="31" fillId="15" borderId="0" xfId="0" applyFont="1" applyFill="1" applyAlignment="1">
      <alignment vertical="center"/>
    </xf>
    <xf numFmtId="37" fontId="45" fillId="2" borderId="20" xfId="0" applyNumberFormat="1" applyFont="1" applyFill="1" applyBorder="1" applyAlignment="1">
      <alignment vertical="center"/>
    </xf>
    <xf numFmtId="15" fontId="31" fillId="2" borderId="0" xfId="0" quotePrefix="1" applyNumberFormat="1" applyFont="1" applyFill="1" applyAlignment="1">
      <alignment horizontal="left" vertical="center"/>
    </xf>
    <xf numFmtId="37" fontId="31" fillId="2" borderId="0" xfId="0" quotePrefix="1" applyNumberFormat="1" applyFont="1" applyFill="1" applyAlignment="1">
      <alignment horizontal="left" vertical="center"/>
    </xf>
    <xf numFmtId="37" fontId="40" fillId="0" borderId="0" xfId="0" applyNumberFormat="1" applyFont="1" applyAlignment="1">
      <alignment vertical="center" wrapText="1"/>
    </xf>
    <xf numFmtId="3" fontId="59" fillId="24" borderId="7" xfId="0" applyNumberFormat="1" applyFont="1" applyFill="1" applyBorder="1" applyAlignment="1">
      <alignment horizontal="center" vertical="center" wrapText="1"/>
    </xf>
    <xf numFmtId="37" fontId="44" fillId="24" borderId="18" xfId="0" applyNumberFormat="1" applyFont="1" applyFill="1" applyBorder="1" applyAlignment="1">
      <alignment vertical="center"/>
    </xf>
    <xf numFmtId="3" fontId="57" fillId="23" borderId="7" xfId="0" applyNumberFormat="1" applyFont="1" applyFill="1" applyBorder="1" applyAlignment="1">
      <alignment horizontal="center" vertical="center" wrapText="1"/>
    </xf>
    <xf numFmtId="37" fontId="58" fillId="23" borderId="18" xfId="0" applyNumberFormat="1" applyFont="1" applyFill="1" applyBorder="1" applyAlignment="1">
      <alignment vertical="center"/>
    </xf>
    <xf numFmtId="37" fontId="52" fillId="9" borderId="0" xfId="0" applyNumberFormat="1" applyFont="1" applyFill="1" applyAlignment="1">
      <alignment horizontal="center" vertical="center"/>
    </xf>
    <xf numFmtId="37" fontId="52" fillId="9" borderId="0" xfId="0" applyNumberFormat="1" applyFont="1" applyFill="1" applyAlignment="1">
      <alignment horizontal="center" vertical="center" wrapText="1"/>
    </xf>
    <xf numFmtId="37" fontId="60" fillId="0" borderId="0" xfId="0" applyNumberFormat="1" applyFont="1" applyAlignment="1">
      <alignment horizontal="center" vertical="center"/>
    </xf>
    <xf numFmtId="37" fontId="42" fillId="0" borderId="20" xfId="0" applyNumberFormat="1" applyFont="1" applyBorder="1" applyAlignment="1">
      <alignment horizontal="center" vertical="center" wrapText="1"/>
    </xf>
    <xf numFmtId="37" fontId="52" fillId="9" borderId="20" xfId="0" applyNumberFormat="1" applyFont="1" applyFill="1" applyBorder="1" applyAlignment="1">
      <alignment horizontal="center" vertical="center"/>
    </xf>
    <xf numFmtId="37" fontId="54" fillId="9" borderId="20" xfId="0" applyNumberFormat="1" applyFont="1" applyFill="1" applyBorder="1" applyAlignment="1">
      <alignment horizontal="center" vertical="center"/>
    </xf>
    <xf numFmtId="37" fontId="41" fillId="30" borderId="20" xfId="0" applyNumberFormat="1" applyFont="1" applyFill="1" applyBorder="1" applyAlignment="1">
      <alignment vertical="center" wrapText="1"/>
    </xf>
    <xf numFmtId="37" fontId="41" fillId="38" borderId="20" xfId="0" applyNumberFormat="1" applyFont="1" applyFill="1" applyBorder="1" applyAlignment="1">
      <alignment vertical="center" wrapText="1"/>
    </xf>
    <xf numFmtId="0" fontId="39" fillId="38" borderId="20" xfId="0" applyFont="1" applyFill="1" applyBorder="1" applyAlignment="1">
      <alignment horizontal="left" vertical="center" wrapText="1"/>
    </xf>
    <xf numFmtId="37" fontId="39" fillId="38" borderId="20" xfId="0" applyNumberFormat="1" applyFont="1" applyFill="1" applyBorder="1" applyAlignment="1">
      <alignment vertical="center"/>
    </xf>
    <xf numFmtId="37" fontId="45" fillId="38" borderId="20" xfId="0" applyNumberFormat="1" applyFont="1" applyFill="1" applyBorder="1" applyAlignment="1">
      <alignment vertical="center"/>
    </xf>
    <xf numFmtId="37" fontId="39" fillId="39" borderId="20" xfId="0" applyNumberFormat="1" applyFont="1" applyFill="1" applyBorder="1" applyAlignment="1">
      <alignment horizontal="center" vertical="center"/>
    </xf>
    <xf numFmtId="0" fontId="39" fillId="39" borderId="20" xfId="0" applyFont="1" applyFill="1" applyBorder="1" applyAlignment="1">
      <alignment horizontal="left" vertical="center" wrapText="1"/>
    </xf>
    <xf numFmtId="37" fontId="39" fillId="39" borderId="20" xfId="0" applyNumberFormat="1" applyFont="1" applyFill="1" applyBorder="1" applyAlignment="1">
      <alignment vertical="center"/>
    </xf>
    <xf numFmtId="37" fontId="45" fillId="39" borderId="20" xfId="0" applyNumberFormat="1" applyFont="1" applyFill="1" applyBorder="1" applyAlignment="1">
      <alignment vertical="center"/>
    </xf>
    <xf numFmtId="0" fontId="1" fillId="10" borderId="7" xfId="0" applyFont="1" applyFill="1" applyBorder="1" applyAlignment="1">
      <alignment horizontal="left" vertical="center" wrapText="1"/>
    </xf>
    <xf numFmtId="37" fontId="40" fillId="0" borderId="20" xfId="0" applyNumberFormat="1" applyFont="1" applyBorder="1" applyAlignment="1">
      <alignment horizontal="center" vertical="center"/>
    </xf>
    <xf numFmtId="37" fontId="33" fillId="30" borderId="20" xfId="0" applyNumberFormat="1" applyFont="1" applyFill="1" applyBorder="1" applyAlignment="1">
      <alignment horizontal="center" vertical="center"/>
    </xf>
    <xf numFmtId="37" fontId="33" fillId="38" borderId="20" xfId="0" applyNumberFormat="1" applyFont="1" applyFill="1" applyBorder="1" applyAlignment="1">
      <alignment horizontal="center" vertical="center"/>
    </xf>
    <xf numFmtId="37" fontId="33" fillId="31" borderId="20" xfId="0" applyNumberFormat="1" applyFont="1" applyFill="1" applyBorder="1" applyAlignment="1">
      <alignment horizontal="center" vertical="center"/>
    </xf>
    <xf numFmtId="37" fontId="31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1" fillId="10" borderId="12" xfId="0" applyFont="1" applyFill="1" applyBorder="1" applyAlignment="1">
      <alignment horizontal="center" vertical="center"/>
    </xf>
    <xf numFmtId="3" fontId="33" fillId="2" borderId="7" xfId="0" applyNumberFormat="1" applyFont="1" applyFill="1" applyBorder="1" applyAlignment="1">
      <alignment horizontal="center" vertical="center"/>
    </xf>
    <xf numFmtId="37" fontId="43" fillId="2" borderId="20" xfId="0" applyNumberFormat="1" applyFont="1" applyFill="1" applyBorder="1" applyAlignment="1">
      <alignment vertical="center"/>
    </xf>
    <xf numFmtId="37" fontId="39" fillId="2" borderId="20" xfId="0" applyNumberFormat="1" applyFont="1" applyFill="1" applyBorder="1" applyAlignment="1">
      <alignment vertical="center"/>
    </xf>
    <xf numFmtId="37" fontId="43" fillId="24" borderId="16" xfId="0" applyNumberFormat="1" applyFont="1" applyFill="1" applyBorder="1" applyAlignment="1">
      <alignment vertical="center"/>
    </xf>
    <xf numFmtId="37" fontId="43" fillId="24" borderId="0" xfId="0" applyNumberFormat="1" applyFont="1" applyFill="1" applyAlignment="1">
      <alignment vertical="center"/>
    </xf>
    <xf numFmtId="37" fontId="43" fillId="24" borderId="24" xfId="0" applyNumberFormat="1" applyFont="1" applyFill="1" applyBorder="1" applyAlignment="1">
      <alignment vertical="center"/>
    </xf>
    <xf numFmtId="37" fontId="1" fillId="24" borderId="16" xfId="0" applyNumberFormat="1" applyFont="1" applyFill="1" applyBorder="1" applyAlignment="1">
      <alignment vertical="center"/>
    </xf>
    <xf numFmtId="37" fontId="1" fillId="24" borderId="0" xfId="0" applyNumberFormat="1" applyFont="1" applyFill="1" applyAlignment="1">
      <alignment vertical="center"/>
    </xf>
    <xf numFmtId="37" fontId="1" fillId="24" borderId="14" xfId="0" applyNumberFormat="1" applyFont="1" applyFill="1" applyBorder="1" applyAlignment="1">
      <alignment vertical="center"/>
    </xf>
    <xf numFmtId="37" fontId="1" fillId="24" borderId="5" xfId="0" applyNumberFormat="1" applyFont="1" applyFill="1" applyBorder="1" applyAlignment="1">
      <alignment vertical="center"/>
    </xf>
    <xf numFmtId="37" fontId="1" fillId="2" borderId="21" xfId="0" applyNumberFormat="1" applyFont="1" applyFill="1" applyBorder="1" applyAlignment="1">
      <alignment vertical="center"/>
    </xf>
    <xf numFmtId="37" fontId="1" fillId="2" borderId="23" xfId="0" applyNumberFormat="1" applyFont="1" applyFill="1" applyBorder="1" applyAlignment="1">
      <alignment vertical="center"/>
    </xf>
    <xf numFmtId="37" fontId="1" fillId="2" borderId="22" xfId="0" applyNumberFormat="1" applyFont="1" applyFill="1" applyBorder="1" applyAlignment="1">
      <alignment vertical="center"/>
    </xf>
    <xf numFmtId="37" fontId="1" fillId="24" borderId="11" xfId="0" applyNumberFormat="1" applyFont="1" applyFill="1" applyBorder="1" applyAlignment="1">
      <alignment vertical="center"/>
    </xf>
    <xf numFmtId="37" fontId="1" fillId="24" borderId="25" xfId="0" applyNumberFormat="1" applyFont="1" applyFill="1" applyBorder="1" applyAlignment="1">
      <alignment vertical="center"/>
    </xf>
    <xf numFmtId="37" fontId="1" fillId="2" borderId="20" xfId="0" applyNumberFormat="1" applyFont="1" applyFill="1" applyBorder="1" applyAlignment="1">
      <alignment vertical="center"/>
    </xf>
    <xf numFmtId="37" fontId="35" fillId="24" borderId="2" xfId="0" applyNumberFormat="1" applyFont="1" applyFill="1" applyBorder="1" applyAlignment="1">
      <alignment horizontal="center" vertical="center" wrapText="1"/>
    </xf>
    <xf numFmtId="37" fontId="35" fillId="24" borderId="2" xfId="0" quotePrefix="1" applyNumberFormat="1" applyFont="1" applyFill="1" applyBorder="1" applyAlignment="1">
      <alignment horizontal="center" vertical="center" wrapText="1"/>
    </xf>
    <xf numFmtId="37" fontId="35" fillId="10" borderId="0" xfId="0" applyNumberFormat="1" applyFont="1" applyFill="1" applyAlignment="1">
      <alignment horizontal="center" vertical="center"/>
    </xf>
    <xf numFmtId="37" fontId="35" fillId="24" borderId="0" xfId="0" applyNumberFormat="1" applyFont="1" applyFill="1" applyAlignment="1">
      <alignment vertical="center"/>
    </xf>
    <xf numFmtId="37" fontId="59" fillId="10" borderId="0" xfId="0" applyNumberFormat="1" applyFont="1" applyFill="1" applyAlignment="1">
      <alignment vertical="center"/>
    </xf>
    <xf numFmtId="3" fontId="35" fillId="24" borderId="0" xfId="0" applyNumberFormat="1" applyFont="1" applyFill="1" applyAlignment="1">
      <alignment horizontal="left" vertical="center"/>
    </xf>
    <xf numFmtId="37" fontId="32" fillId="3" borderId="0" xfId="0" applyNumberFormat="1" applyFont="1" applyFill="1" applyAlignment="1">
      <alignment horizontal="center" vertical="center"/>
    </xf>
    <xf numFmtId="37" fontId="42" fillId="2" borderId="0" xfId="0" applyNumberFormat="1" applyFont="1" applyFill="1" applyAlignment="1">
      <alignment horizontal="center" vertical="center"/>
    </xf>
    <xf numFmtId="37" fontId="54" fillId="10" borderId="0" xfId="0" applyNumberFormat="1" applyFont="1" applyFill="1" applyAlignment="1">
      <alignment horizontal="center" vertical="center"/>
    </xf>
    <xf numFmtId="37" fontId="33" fillId="2" borderId="20" xfId="0" applyNumberFormat="1" applyFont="1" applyFill="1" applyBorder="1" applyAlignment="1">
      <alignment horizontal="center" vertical="center"/>
    </xf>
    <xf numFmtId="37" fontId="39" fillId="2" borderId="20" xfId="0" quotePrefix="1" applyNumberFormat="1" applyFont="1" applyFill="1" applyBorder="1" applyAlignment="1">
      <alignment vertical="center"/>
    </xf>
    <xf numFmtId="37" fontId="33" fillId="10" borderId="20" xfId="0" applyNumberFormat="1" applyFont="1" applyFill="1" applyBorder="1" applyAlignment="1">
      <alignment horizontal="center" vertical="center"/>
    </xf>
    <xf numFmtId="37" fontId="35" fillId="2" borderId="20" xfId="0" applyNumberFormat="1" applyFont="1" applyFill="1" applyBorder="1" applyAlignment="1">
      <alignment horizontal="center" vertical="center" wrapText="1"/>
    </xf>
    <xf numFmtId="37" fontId="31" fillId="0" borderId="20" xfId="0" applyNumberFormat="1" applyFont="1" applyBorder="1" applyAlignment="1">
      <alignment horizontal="center" vertical="center"/>
    </xf>
    <xf numFmtId="37" fontId="33" fillId="24" borderId="20" xfId="0" applyNumberFormat="1" applyFont="1" applyFill="1" applyBorder="1" applyAlignment="1">
      <alignment horizontal="center" vertical="center"/>
    </xf>
    <xf numFmtId="37" fontId="31" fillId="24" borderId="20" xfId="0" applyNumberFormat="1" applyFont="1" applyFill="1" applyBorder="1" applyAlignment="1">
      <alignment horizontal="center" vertical="center"/>
    </xf>
    <xf numFmtId="37" fontId="39" fillId="24" borderId="20" xfId="0" quotePrefix="1" applyNumberFormat="1" applyFont="1" applyFill="1" applyBorder="1" applyAlignment="1">
      <alignment vertical="center"/>
    </xf>
    <xf numFmtId="37" fontId="57" fillId="10" borderId="0" xfId="0" applyNumberFormat="1" applyFont="1" applyFill="1" applyAlignment="1">
      <alignment vertical="center"/>
    </xf>
    <xf numFmtId="15" fontId="49" fillId="2" borderId="21" xfId="0" applyNumberFormat="1" applyFont="1" applyFill="1" applyBorder="1" applyAlignment="1">
      <alignment horizontal="center" vertical="center" wrapText="1"/>
    </xf>
    <xf numFmtId="37" fontId="39" fillId="0" borderId="20" xfId="0" quotePrefix="1" applyNumberFormat="1" applyFont="1" applyBorder="1" applyAlignment="1">
      <alignment vertical="center"/>
    </xf>
    <xf numFmtId="37" fontId="40" fillId="10" borderId="0" xfId="0" applyNumberFormat="1" applyFont="1" applyFill="1" applyAlignment="1">
      <alignment horizontal="center" vertical="center"/>
    </xf>
    <xf numFmtId="37" fontId="62" fillId="10" borderId="0" xfId="0" applyNumberFormat="1" applyFont="1" applyFill="1" applyAlignment="1">
      <alignment horizontal="center" vertical="center"/>
    </xf>
    <xf numFmtId="37" fontId="42" fillId="0" borderId="0" xfId="0" applyNumberFormat="1" applyFont="1" applyAlignment="1">
      <alignment vertical="center" wrapText="1"/>
    </xf>
    <xf numFmtId="3" fontId="49" fillId="24" borderId="0" xfId="0" applyNumberFormat="1" applyFont="1" applyFill="1" applyAlignment="1">
      <alignment horizontal="left" vertical="center"/>
    </xf>
    <xf numFmtId="3" fontId="42" fillId="3" borderId="0" xfId="0" applyNumberFormat="1" applyFont="1" applyFill="1" applyAlignment="1">
      <alignment vertical="center"/>
    </xf>
    <xf numFmtId="3" fontId="41" fillId="2" borderId="20" xfId="0" applyNumberFormat="1" applyFont="1" applyFill="1" applyBorder="1" applyAlignment="1">
      <alignment vertical="center"/>
    </xf>
    <xf numFmtId="3" fontId="42" fillId="2" borderId="0" xfId="0" applyNumberFormat="1" applyFont="1" applyFill="1" applyAlignment="1">
      <alignment vertical="center"/>
    </xf>
    <xf numFmtId="3" fontId="42" fillId="2" borderId="20" xfId="0" applyNumberFormat="1" applyFont="1" applyFill="1" applyBorder="1" applyAlignment="1">
      <alignment vertical="center"/>
    </xf>
    <xf numFmtId="3" fontId="42" fillId="24" borderId="20" xfId="0" applyNumberFormat="1" applyFont="1" applyFill="1" applyBorder="1" applyAlignment="1">
      <alignment vertical="center"/>
    </xf>
    <xf numFmtId="3" fontId="42" fillId="0" borderId="20" xfId="0" applyNumberFormat="1" applyFont="1" applyBorder="1" applyAlignment="1">
      <alignment vertical="center"/>
    </xf>
    <xf numFmtId="3" fontId="49" fillId="2" borderId="0" xfId="0" applyNumberFormat="1" applyFont="1" applyFill="1" applyAlignment="1">
      <alignment vertical="center"/>
    </xf>
    <xf numFmtId="37" fontId="32" fillId="0" borderId="16" xfId="0" applyNumberFormat="1" applyFont="1" applyBorder="1" applyAlignment="1">
      <alignment vertical="center"/>
    </xf>
    <xf numFmtId="0" fontId="63" fillId="0" borderId="0" xfId="0" applyFont="1" applyAlignment="1">
      <alignment vertical="center"/>
    </xf>
    <xf numFmtId="37" fontId="63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0" fontId="47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/>
    </xf>
    <xf numFmtId="37" fontId="65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left" vertical="center" wrapText="1"/>
    </xf>
    <xf numFmtId="37" fontId="65" fillId="0" borderId="0" xfId="0" applyNumberFormat="1" applyFont="1" applyAlignment="1">
      <alignment vertical="center"/>
    </xf>
    <xf numFmtId="0" fontId="39" fillId="0" borderId="0" xfId="0" applyFont="1" applyAlignment="1">
      <alignment horizontal="left" vertical="center" wrapText="1"/>
    </xf>
    <xf numFmtId="37" fontId="46" fillId="40" borderId="26" xfId="0" applyNumberFormat="1" applyFont="1" applyFill="1" applyBorder="1" applyAlignment="1">
      <alignment vertical="center"/>
    </xf>
    <xf numFmtId="37" fontId="5" fillId="40" borderId="27" xfId="0" applyNumberFormat="1" applyFont="1" applyFill="1" applyBorder="1" applyAlignment="1">
      <alignment vertical="center"/>
    </xf>
    <xf numFmtId="37" fontId="35" fillId="40" borderId="28" xfId="0" applyNumberFormat="1" applyFont="1" applyFill="1" applyBorder="1" applyAlignment="1">
      <alignment vertical="center"/>
    </xf>
    <xf numFmtId="37" fontId="35" fillId="40" borderId="29" xfId="0" applyNumberFormat="1" applyFont="1" applyFill="1" applyBorder="1" applyAlignment="1">
      <alignment vertical="center"/>
    </xf>
    <xf numFmtId="37" fontId="32" fillId="40" borderId="29" xfId="0" applyNumberFormat="1" applyFont="1" applyFill="1" applyBorder="1" applyAlignment="1">
      <alignment vertical="center"/>
    </xf>
    <xf numFmtId="37" fontId="4" fillId="40" borderId="30" xfId="0" applyNumberFormat="1" applyFont="1" applyFill="1" applyBorder="1" applyAlignment="1">
      <alignment vertical="center"/>
    </xf>
    <xf numFmtId="37" fontId="8" fillId="40" borderId="31" xfId="0" applyNumberFormat="1" applyFont="1" applyFill="1" applyBorder="1" applyAlignment="1">
      <alignment vertical="center"/>
    </xf>
    <xf numFmtId="15" fontId="46" fillId="2" borderId="21" xfId="0" applyNumberFormat="1" applyFont="1" applyFill="1" applyBorder="1" applyAlignment="1">
      <alignment horizontal="center" vertical="center" wrapText="1"/>
    </xf>
    <xf numFmtId="165" fontId="40" fillId="2" borderId="0" xfId="0" applyNumberFormat="1" applyFont="1" applyFill="1" applyAlignment="1">
      <alignment vertical="center"/>
    </xf>
    <xf numFmtId="165" fontId="41" fillId="2" borderId="0" xfId="0" applyNumberFormat="1" applyFont="1" applyFill="1" applyAlignment="1">
      <alignment vertical="center"/>
    </xf>
    <xf numFmtId="165" fontId="42" fillId="2" borderId="0" xfId="0" applyNumberFormat="1" applyFont="1" applyFill="1" applyAlignment="1">
      <alignment vertical="center"/>
    </xf>
    <xf numFmtId="165" fontId="42" fillId="3" borderId="0" xfId="0" applyNumberFormat="1" applyFont="1" applyFill="1" applyAlignment="1">
      <alignment vertical="center"/>
    </xf>
    <xf numFmtId="165" fontId="40" fillId="2" borderId="16" xfId="0" applyNumberFormat="1" applyFont="1" applyFill="1" applyBorder="1" applyAlignment="1">
      <alignment vertical="center"/>
    </xf>
    <xf numFmtId="165" fontId="41" fillId="2" borderId="20" xfId="0" applyNumberFormat="1" applyFont="1" applyFill="1" applyBorder="1" applyAlignment="1">
      <alignment vertical="center"/>
    </xf>
    <xf numFmtId="168" fontId="35" fillId="2" borderId="7" xfId="0" applyNumberFormat="1" applyFont="1" applyFill="1" applyBorder="1" applyAlignment="1">
      <alignment horizontal="center" vertical="center" wrapText="1"/>
    </xf>
    <xf numFmtId="168" fontId="2" fillId="2" borderId="0" xfId="0" applyNumberFormat="1" applyFont="1" applyFill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168" fontId="8" fillId="2" borderId="0" xfId="0" applyNumberFormat="1" applyFont="1" applyFill="1" applyAlignment="1">
      <alignment horizontal="center" vertical="center"/>
    </xf>
    <xf numFmtId="168" fontId="6" fillId="3" borderId="0" xfId="0" applyNumberFormat="1" applyFont="1" applyFill="1" applyAlignment="1">
      <alignment horizontal="center" vertical="center"/>
    </xf>
    <xf numFmtId="168" fontId="38" fillId="17" borderId="0" xfId="0" applyNumberFormat="1" applyFont="1" applyFill="1" applyAlignment="1">
      <alignment vertical="center"/>
    </xf>
    <xf numFmtId="168" fontId="31" fillId="10" borderId="12" xfId="0" applyNumberFormat="1" applyFont="1" applyFill="1" applyBorder="1" applyAlignment="1">
      <alignment horizontal="center" vertical="center"/>
    </xf>
    <xf numFmtId="37" fontId="33" fillId="0" borderId="20" xfId="0" applyNumberFormat="1" applyFont="1" applyBorder="1" applyAlignment="1">
      <alignment vertical="center"/>
    </xf>
    <xf numFmtId="0" fontId="39" fillId="24" borderId="20" xfId="0" applyFont="1" applyFill="1" applyBorder="1" applyAlignment="1">
      <alignment horizontal="left" vertical="center" wrapText="1"/>
    </xf>
    <xf numFmtId="37" fontId="33" fillId="24" borderId="20" xfId="0" applyNumberFormat="1" applyFont="1" applyFill="1" applyBorder="1" applyAlignment="1">
      <alignment vertical="center"/>
    </xf>
    <xf numFmtId="37" fontId="39" fillId="24" borderId="20" xfId="0" applyNumberFormat="1" applyFont="1" applyFill="1" applyBorder="1" applyAlignment="1">
      <alignment vertical="center"/>
    </xf>
    <xf numFmtId="37" fontId="45" fillId="24" borderId="20" xfId="0" applyNumberFormat="1" applyFont="1" applyFill="1" applyBorder="1" applyAlignment="1">
      <alignment vertical="center"/>
    </xf>
    <xf numFmtId="37" fontId="40" fillId="24" borderId="20" xfId="0" applyNumberFormat="1" applyFont="1" applyFill="1" applyBorder="1" applyAlignment="1">
      <alignment horizontal="center" vertical="center" wrapText="1"/>
    </xf>
    <xf numFmtId="37" fontId="2" fillId="0" borderId="0" xfId="0" applyNumberFormat="1" applyFont="1" applyAlignment="1">
      <alignment vertical="center"/>
    </xf>
    <xf numFmtId="3" fontId="2" fillId="2" borderId="20" xfId="0" applyNumberFormat="1" applyFont="1" applyFill="1" applyBorder="1" applyAlignment="1">
      <alignment vertical="center"/>
    </xf>
    <xf numFmtId="37" fontId="1" fillId="2" borderId="7" xfId="0" applyNumberFormat="1" applyFont="1" applyFill="1" applyBorder="1" applyAlignment="1">
      <alignment horizontal="center" vertical="center"/>
    </xf>
    <xf numFmtId="37" fontId="3" fillId="2" borderId="0" xfId="0" applyNumberFormat="1" applyFont="1" applyFill="1" applyAlignment="1">
      <alignment horizontal="right" vertical="center"/>
    </xf>
    <xf numFmtId="37" fontId="13" fillId="2" borderId="20" xfId="0" applyNumberFormat="1" applyFont="1" applyFill="1" applyBorder="1" applyAlignment="1">
      <alignment horizontal="center" vertical="center"/>
    </xf>
    <xf numFmtId="37" fontId="39" fillId="4" borderId="20" xfId="0" applyNumberFormat="1" applyFont="1" applyFill="1" applyBorder="1" applyAlignment="1">
      <alignment vertical="center"/>
    </xf>
    <xf numFmtId="37" fontId="2" fillId="2" borderId="21" xfId="0" applyNumberFormat="1" applyFont="1" applyFill="1" applyBorder="1" applyAlignment="1">
      <alignment vertical="center"/>
    </xf>
    <xf numFmtId="37" fontId="2" fillId="2" borderId="17" xfId="0" applyNumberFormat="1" applyFont="1" applyFill="1" applyBorder="1" applyAlignment="1">
      <alignment vertical="center"/>
    </xf>
    <xf numFmtId="37" fontId="2" fillId="2" borderId="22" xfId="0" applyNumberFormat="1" applyFont="1" applyFill="1" applyBorder="1" applyAlignment="1">
      <alignment vertical="center"/>
    </xf>
    <xf numFmtId="37" fontId="2" fillId="2" borderId="20" xfId="0" applyNumberFormat="1" applyFont="1" applyFill="1" applyBorder="1" applyAlignment="1">
      <alignment vertical="center"/>
    </xf>
    <xf numFmtId="37" fontId="33" fillId="2" borderId="0" xfId="0" applyNumberFormat="1" applyFont="1" applyFill="1" applyAlignment="1">
      <alignment vertical="center" wrapText="1"/>
    </xf>
    <xf numFmtId="37" fontId="12" fillId="11" borderId="21" xfId="0" applyNumberFormat="1" applyFont="1" applyFill="1" applyBorder="1" applyAlignment="1">
      <alignment vertical="center"/>
    </xf>
    <xf numFmtId="37" fontId="12" fillId="11" borderId="17" xfId="0" applyNumberFormat="1" applyFont="1" applyFill="1" applyBorder="1" applyAlignment="1">
      <alignment vertical="center"/>
    </xf>
    <xf numFmtId="37" fontId="12" fillId="11" borderId="17" xfId="0" applyNumberFormat="1" applyFont="1" applyFill="1" applyBorder="1" applyAlignment="1">
      <alignment horizontal="right" vertical="center"/>
    </xf>
    <xf numFmtId="37" fontId="40" fillId="11" borderId="22" xfId="0" applyNumberFormat="1" applyFont="1" applyFill="1" applyBorder="1" applyAlignment="1">
      <alignment vertical="center"/>
    </xf>
    <xf numFmtId="37" fontId="12" fillId="6" borderId="21" xfId="0" applyNumberFormat="1" applyFont="1" applyFill="1" applyBorder="1" applyAlignment="1">
      <alignment vertical="center"/>
    </xf>
    <xf numFmtId="37" fontId="12" fillId="6" borderId="17" xfId="0" applyNumberFormat="1" applyFont="1" applyFill="1" applyBorder="1" applyAlignment="1">
      <alignment vertical="center"/>
    </xf>
    <xf numFmtId="37" fontId="12" fillId="6" borderId="17" xfId="0" applyNumberFormat="1" applyFont="1" applyFill="1" applyBorder="1" applyAlignment="1">
      <alignment horizontal="right" vertical="center"/>
    </xf>
    <xf numFmtId="37" fontId="12" fillId="6" borderId="22" xfId="0" applyNumberFormat="1" applyFont="1" applyFill="1" applyBorder="1" applyAlignment="1">
      <alignment vertical="center"/>
    </xf>
    <xf numFmtId="37" fontId="26" fillId="2" borderId="21" xfId="0" applyNumberFormat="1" applyFont="1" applyFill="1" applyBorder="1" applyAlignment="1">
      <alignment vertical="center"/>
    </xf>
    <xf numFmtId="37" fontId="26" fillId="2" borderId="17" xfId="0" applyNumberFormat="1" applyFont="1" applyFill="1" applyBorder="1" applyAlignment="1">
      <alignment vertical="center"/>
    </xf>
    <xf numFmtId="37" fontId="26" fillId="2" borderId="22" xfId="0" applyNumberFormat="1" applyFont="1" applyFill="1" applyBorder="1" applyAlignment="1">
      <alignment vertical="center"/>
    </xf>
    <xf numFmtId="37" fontId="27" fillId="2" borderId="21" xfId="0" applyNumberFormat="1" applyFont="1" applyFill="1" applyBorder="1" applyAlignment="1">
      <alignment vertical="center"/>
    </xf>
    <xf numFmtId="37" fontId="3" fillId="2" borderId="17" xfId="0" applyNumberFormat="1" applyFont="1" applyFill="1" applyBorder="1" applyAlignment="1">
      <alignment horizontal="center" vertical="center"/>
    </xf>
    <xf numFmtId="37" fontId="21" fillId="2" borderId="20" xfId="0" applyNumberFormat="1" applyFont="1" applyFill="1" applyBorder="1" applyAlignment="1">
      <alignment vertical="center"/>
    </xf>
    <xf numFmtId="37" fontId="21" fillId="2" borderId="22" xfId="0" applyNumberFormat="1" applyFont="1" applyFill="1" applyBorder="1" applyAlignment="1">
      <alignment vertical="center"/>
    </xf>
    <xf numFmtId="37" fontId="21" fillId="2" borderId="21" xfId="0" applyNumberFormat="1" applyFont="1" applyFill="1" applyBorder="1" applyAlignment="1">
      <alignment vertical="center"/>
    </xf>
    <xf numFmtId="37" fontId="17" fillId="2" borderId="17" xfId="0" applyNumberFormat="1" applyFont="1" applyFill="1" applyBorder="1" applyAlignment="1">
      <alignment horizontal="center" vertical="center"/>
    </xf>
    <xf numFmtId="37" fontId="27" fillId="2" borderId="17" xfId="0" applyNumberFormat="1" applyFont="1" applyFill="1" applyBorder="1" applyAlignment="1">
      <alignment vertical="center"/>
    </xf>
    <xf numFmtId="37" fontId="21" fillId="2" borderId="17" xfId="0" applyNumberFormat="1" applyFont="1" applyFill="1" applyBorder="1" applyAlignment="1">
      <alignment vertical="center"/>
    </xf>
    <xf numFmtId="37" fontId="26" fillId="2" borderId="20" xfId="0" applyNumberFormat="1" applyFont="1" applyFill="1" applyBorder="1" applyAlignment="1">
      <alignment vertical="center"/>
    </xf>
    <xf numFmtId="37" fontId="35" fillId="2" borderId="7" xfId="0" applyNumberFormat="1" applyFont="1" applyFill="1" applyBorder="1" applyAlignment="1">
      <alignment horizontal="center" vertical="center"/>
    </xf>
    <xf numFmtId="37" fontId="49" fillId="0" borderId="16" xfId="0" applyNumberFormat="1" applyFont="1" applyBorder="1" applyAlignment="1">
      <alignment vertical="center" wrapText="1"/>
    </xf>
    <xf numFmtId="3" fontId="23" fillId="3" borderId="0" xfId="0" applyNumberFormat="1" applyFont="1" applyFill="1" applyAlignment="1">
      <alignment vertical="center"/>
    </xf>
    <xf numFmtId="3" fontId="45" fillId="2" borderId="20" xfId="0" applyNumberFormat="1" applyFont="1" applyFill="1" applyBorder="1" applyAlignment="1">
      <alignment vertical="center"/>
    </xf>
    <xf numFmtId="3" fontId="45" fillId="24" borderId="20" xfId="0" applyNumberFormat="1" applyFont="1" applyFill="1" applyBorder="1" applyAlignment="1">
      <alignment vertical="center"/>
    </xf>
    <xf numFmtId="3" fontId="45" fillId="0" borderId="20" xfId="0" applyNumberFormat="1" applyFont="1" applyBorder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37" fontId="49" fillId="0" borderId="0" xfId="0" applyNumberFormat="1" applyFont="1" applyAlignment="1">
      <alignment horizontal="left" vertical="center" wrapText="1"/>
    </xf>
    <xf numFmtId="0" fontId="31" fillId="2" borderId="0" xfId="0" applyFont="1" applyFill="1" applyAlignment="1">
      <alignment horizontal="left" vertical="center"/>
    </xf>
    <xf numFmtId="15" fontId="2" fillId="2" borderId="0" xfId="0" quotePrefix="1" applyNumberFormat="1" applyFont="1" applyFill="1" applyAlignment="1">
      <alignment horizontal="left" vertical="center"/>
    </xf>
    <xf numFmtId="37" fontId="23" fillId="2" borderId="3" xfId="0" applyNumberFormat="1" applyFont="1" applyFill="1" applyBorder="1" applyAlignment="1">
      <alignment horizontal="center" vertical="center"/>
    </xf>
    <xf numFmtId="0" fontId="31" fillId="2" borderId="0" xfId="0" quotePrefix="1" applyFont="1" applyFill="1" applyAlignment="1">
      <alignment horizontal="left" vertical="center"/>
    </xf>
    <xf numFmtId="3" fontId="31" fillId="40" borderId="0" xfId="0" applyNumberFormat="1" applyFont="1" applyFill="1" applyAlignment="1">
      <alignment vertical="center"/>
    </xf>
    <xf numFmtId="0" fontId="45" fillId="40" borderId="0" xfId="0" applyFont="1" applyFill="1" applyAlignment="1">
      <alignment horizontal="center" vertical="center"/>
    </xf>
    <xf numFmtId="37" fontId="31" fillId="40" borderId="0" xfId="0" applyNumberFormat="1" applyFont="1" applyFill="1" applyAlignment="1">
      <alignment vertical="center"/>
    </xf>
    <xf numFmtId="37" fontId="40" fillId="40" borderId="0" xfId="0" applyNumberFormat="1" applyFont="1" applyFill="1" applyAlignment="1">
      <alignment vertical="center"/>
    </xf>
    <xf numFmtId="37" fontId="45" fillId="40" borderId="0" xfId="0" applyNumberFormat="1" applyFont="1" applyFill="1" applyAlignment="1">
      <alignment vertical="center"/>
    </xf>
    <xf numFmtId="0" fontId="31" fillId="11" borderId="0" xfId="0" applyFont="1" applyFill="1" applyAlignment="1">
      <alignment vertical="center"/>
    </xf>
    <xf numFmtId="3" fontId="46" fillId="11" borderId="0" xfId="0" applyNumberFormat="1" applyFont="1" applyFill="1" applyAlignment="1">
      <alignment vertical="center"/>
    </xf>
    <xf numFmtId="3" fontId="39" fillId="2" borderId="0" xfId="0" applyNumberFormat="1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3" fontId="39" fillId="0" borderId="0" xfId="0" applyNumberFormat="1" applyFont="1" applyAlignment="1">
      <alignment vertical="center"/>
    </xf>
    <xf numFmtId="37" fontId="33" fillId="2" borderId="52" xfId="0" applyNumberFormat="1" applyFont="1" applyFill="1" applyBorder="1" applyAlignment="1">
      <alignment horizontal="center" vertical="center"/>
    </xf>
    <xf numFmtId="37" fontId="14" fillId="2" borderId="52" xfId="0" applyNumberFormat="1" applyFont="1" applyFill="1" applyBorder="1" applyAlignment="1">
      <alignment vertical="center"/>
    </xf>
    <xf numFmtId="37" fontId="1" fillId="2" borderId="52" xfId="0" applyNumberFormat="1" applyFont="1" applyFill="1" applyBorder="1" applyAlignment="1">
      <alignment vertical="center"/>
    </xf>
    <xf numFmtId="0" fontId="40" fillId="2" borderId="9" xfId="0" applyFont="1" applyFill="1" applyBorder="1" applyAlignment="1">
      <alignment vertical="center"/>
    </xf>
    <xf numFmtId="3" fontId="40" fillId="2" borderId="12" xfId="0" applyNumberFormat="1" applyFont="1" applyFill="1" applyBorder="1" applyAlignment="1">
      <alignment vertical="center"/>
    </xf>
    <xf numFmtId="3" fontId="40" fillId="2" borderId="12" xfId="0" applyNumberFormat="1" applyFont="1" applyFill="1" applyBorder="1" applyAlignment="1">
      <alignment horizontal="center" vertical="center"/>
    </xf>
    <xf numFmtId="3" fontId="40" fillId="2" borderId="10" xfId="0" applyNumberFormat="1" applyFont="1" applyFill="1" applyBorder="1" applyAlignment="1">
      <alignment vertical="center"/>
    </xf>
    <xf numFmtId="37" fontId="40" fillId="2" borderId="7" xfId="0" applyNumberFormat="1" applyFont="1" applyFill="1" applyBorder="1" applyAlignment="1">
      <alignment vertical="center"/>
    </xf>
    <xf numFmtId="37" fontId="31" fillId="23" borderId="7" xfId="0" applyNumberFormat="1" applyFont="1" applyFill="1" applyBorder="1" applyAlignment="1">
      <alignment vertical="center"/>
    </xf>
    <xf numFmtId="37" fontId="40" fillId="23" borderId="7" xfId="0" applyNumberFormat="1" applyFont="1" applyFill="1" applyBorder="1" applyAlignment="1">
      <alignment vertical="center"/>
    </xf>
    <xf numFmtId="0" fontId="40" fillId="2" borderId="0" xfId="0" applyFont="1" applyFill="1" applyAlignment="1">
      <alignment vertical="center"/>
    </xf>
    <xf numFmtId="39" fontId="42" fillId="3" borderId="0" xfId="0" applyNumberFormat="1" applyFont="1" applyFill="1" applyAlignment="1">
      <alignment vertical="center"/>
    </xf>
    <xf numFmtId="37" fontId="35" fillId="0" borderId="0" xfId="0" applyNumberFormat="1" applyFont="1" applyAlignment="1">
      <alignment vertical="center" wrapText="1"/>
    </xf>
    <xf numFmtId="37" fontId="46" fillId="0" borderId="0" xfId="0" applyNumberFormat="1" applyFont="1" applyAlignment="1">
      <alignment vertical="center" wrapText="1"/>
    </xf>
    <xf numFmtId="3" fontId="39" fillId="0" borderId="18" xfId="0" applyNumberFormat="1" applyFont="1" applyBorder="1" applyAlignment="1">
      <alignment horizontal="left" vertical="center"/>
    </xf>
    <xf numFmtId="37" fontId="35" fillId="2" borderId="0" xfId="0" applyNumberFormat="1" applyFont="1" applyFill="1" applyAlignment="1">
      <alignment horizontal="center" vertical="center"/>
    </xf>
    <xf numFmtId="37" fontId="23" fillId="2" borderId="0" xfId="0" applyNumberFormat="1" applyFont="1" applyFill="1" applyAlignment="1">
      <alignment vertical="center"/>
    </xf>
    <xf numFmtId="0" fontId="59" fillId="2" borderId="0" xfId="0" applyFont="1" applyFill="1" applyAlignment="1">
      <alignment horizontal="right" vertical="center"/>
    </xf>
    <xf numFmtId="37" fontId="59" fillId="2" borderId="0" xfId="0" applyNumberFormat="1" applyFont="1" applyFill="1" applyAlignment="1">
      <alignment horizontal="center" vertical="center"/>
    </xf>
    <xf numFmtId="0" fontId="54" fillId="2" borderId="0" xfId="0" applyFont="1" applyFill="1" applyAlignment="1">
      <alignment horizontal="right" vertical="center"/>
    </xf>
    <xf numFmtId="37" fontId="54" fillId="2" borderId="0" xfId="0" applyNumberFormat="1" applyFont="1" applyFill="1" applyAlignment="1">
      <alignment horizontal="center" vertical="center"/>
    </xf>
    <xf numFmtId="37" fontId="39" fillId="2" borderId="52" xfId="0" applyNumberFormat="1" applyFont="1" applyFill="1" applyBorder="1" applyAlignment="1">
      <alignment vertical="center"/>
    </xf>
    <xf numFmtId="3" fontId="33" fillId="2" borderId="52" xfId="0" applyNumberFormat="1" applyFont="1" applyFill="1" applyBorder="1" applyAlignment="1">
      <alignment vertical="center"/>
    </xf>
    <xf numFmtId="37" fontId="45" fillId="2" borderId="52" xfId="0" applyNumberFormat="1" applyFont="1" applyFill="1" applyBorder="1" applyAlignment="1">
      <alignment vertical="center"/>
    </xf>
    <xf numFmtId="37" fontId="2" fillId="2" borderId="52" xfId="0" applyNumberFormat="1" applyFont="1" applyFill="1" applyBorder="1" applyAlignment="1">
      <alignment vertical="center"/>
    </xf>
    <xf numFmtId="37" fontId="46" fillId="24" borderId="6" xfId="0" quotePrefix="1" applyNumberFormat="1" applyFont="1" applyFill="1" applyBorder="1" applyAlignment="1">
      <alignment horizontal="center" vertical="center" wrapText="1"/>
    </xf>
    <xf numFmtId="3" fontId="35" fillId="2" borderId="22" xfId="0" applyNumberFormat="1" applyFont="1" applyFill="1" applyBorder="1" applyAlignment="1">
      <alignment horizontal="center" vertical="center" wrapText="1"/>
    </xf>
    <xf numFmtId="37" fontId="49" fillId="2" borderId="53" xfId="0" applyNumberFormat="1" applyFont="1" applyFill="1" applyBorder="1" applyAlignment="1">
      <alignment horizontal="center" vertical="center" wrapText="1"/>
    </xf>
    <xf numFmtId="37" fontId="49" fillId="2" borderId="54" xfId="0" applyNumberFormat="1" applyFont="1" applyFill="1" applyBorder="1" applyAlignment="1">
      <alignment horizontal="center" vertical="center" wrapText="1"/>
    </xf>
    <xf numFmtId="37" fontId="46" fillId="2" borderId="55" xfId="0" applyNumberFormat="1" applyFont="1" applyFill="1" applyBorder="1" applyAlignment="1">
      <alignment horizontal="center" vertical="center" wrapText="1"/>
    </xf>
    <xf numFmtId="37" fontId="47" fillId="16" borderId="0" xfId="0" applyNumberFormat="1" applyFont="1" applyFill="1" applyAlignment="1">
      <alignment horizontal="center" vertical="center"/>
    </xf>
    <xf numFmtId="3" fontId="23" fillId="10" borderId="0" xfId="0" applyNumberFormat="1" applyFont="1" applyFill="1" applyAlignment="1">
      <alignment vertical="center"/>
    </xf>
    <xf numFmtId="3" fontId="33" fillId="3" borderId="0" xfId="0" applyNumberFormat="1" applyFont="1" applyFill="1" applyAlignment="1">
      <alignment horizontal="center" vertical="center"/>
    </xf>
    <xf numFmtId="39" fontId="33" fillId="2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3" fontId="33" fillId="16" borderId="0" xfId="0" applyNumberFormat="1" applyFont="1" applyFill="1" applyAlignment="1">
      <alignment horizontal="center" vertical="center"/>
    </xf>
    <xf numFmtId="3" fontId="33" fillId="6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 wrapText="1"/>
    </xf>
    <xf numFmtId="3" fontId="6" fillId="3" borderId="0" xfId="0" applyNumberFormat="1" applyFont="1" applyFill="1" applyAlignment="1">
      <alignment vertical="center" wrapText="1"/>
    </xf>
    <xf numFmtId="3" fontId="31" fillId="2" borderId="0" xfId="0" applyNumberFormat="1" applyFont="1" applyFill="1" applyAlignment="1">
      <alignment vertical="center" wrapText="1"/>
    </xf>
    <xf numFmtId="0" fontId="31" fillId="2" borderId="0" xfId="0" applyFont="1" applyFill="1" applyAlignment="1">
      <alignment vertical="center" wrapText="1"/>
    </xf>
    <xf numFmtId="3" fontId="39" fillId="2" borderId="20" xfId="0" applyNumberFormat="1" applyFont="1" applyFill="1" applyBorder="1" applyAlignment="1">
      <alignment vertical="center" wrapText="1"/>
    </xf>
    <xf numFmtId="3" fontId="39" fillId="24" borderId="20" xfId="0" applyNumberFormat="1" applyFont="1" applyFill="1" applyBorder="1" applyAlignment="1">
      <alignment vertical="center" wrapText="1"/>
    </xf>
    <xf numFmtId="3" fontId="39" fillId="0" borderId="20" xfId="0" applyNumberFormat="1" applyFont="1" applyBorder="1" applyAlignment="1">
      <alignment vertical="center" wrapText="1"/>
    </xf>
    <xf numFmtId="37" fontId="31" fillId="2" borderId="52" xfId="0" applyNumberFormat="1" applyFont="1" applyFill="1" applyBorder="1" applyAlignment="1">
      <alignment horizontal="center" vertical="center"/>
    </xf>
    <xf numFmtId="37" fontId="1" fillId="2" borderId="52" xfId="0" applyNumberFormat="1" applyFont="1" applyFill="1" applyBorder="1" applyAlignment="1">
      <alignment vertical="center" wrapText="1"/>
    </xf>
    <xf numFmtId="37" fontId="1" fillId="2" borderId="52" xfId="0" quotePrefix="1" applyNumberFormat="1" applyFont="1" applyFill="1" applyBorder="1" applyAlignment="1">
      <alignment vertical="center" wrapText="1"/>
    </xf>
    <xf numFmtId="37" fontId="1" fillId="0" borderId="52" xfId="0" applyNumberFormat="1" applyFont="1" applyBorder="1" applyAlignment="1">
      <alignment vertical="center" wrapText="1"/>
    </xf>
    <xf numFmtId="37" fontId="2" fillId="2" borderId="52" xfId="0" applyNumberFormat="1" applyFont="1" applyFill="1" applyBorder="1" applyAlignment="1">
      <alignment vertical="center" wrapText="1"/>
    </xf>
    <xf numFmtId="37" fontId="49" fillId="0" borderId="0" xfId="0" applyNumberFormat="1" applyFont="1" applyAlignment="1">
      <alignment vertical="center" wrapText="1"/>
    </xf>
    <xf numFmtId="15" fontId="49" fillId="24" borderId="0" xfId="0" applyNumberFormat="1" applyFont="1" applyFill="1" applyAlignment="1">
      <alignment horizontal="center" vertical="center" wrapText="1"/>
    </xf>
    <xf numFmtId="37" fontId="1" fillId="2" borderId="0" xfId="0" applyNumberFormat="1" applyFont="1" applyFill="1" applyAlignment="1">
      <alignment horizontal="centerContinuous" vertical="center" wrapText="1"/>
    </xf>
    <xf numFmtId="37" fontId="3" fillId="2" borderId="0" xfId="0" applyNumberFormat="1" applyFont="1" applyFill="1" applyAlignment="1">
      <alignment horizontal="center" vertical="center" wrapText="1"/>
    </xf>
    <xf numFmtId="37" fontId="1" fillId="3" borderId="0" xfId="0" applyNumberFormat="1" applyFont="1" applyFill="1" applyAlignment="1">
      <alignment vertical="center" wrapText="1"/>
    </xf>
    <xf numFmtId="37" fontId="39" fillId="2" borderId="0" xfId="0" applyNumberFormat="1" applyFont="1" applyFill="1" applyAlignment="1">
      <alignment vertical="center" wrapText="1"/>
    </xf>
    <xf numFmtId="37" fontId="13" fillId="2" borderId="0" xfId="0" applyNumberFormat="1" applyFont="1" applyFill="1" applyAlignment="1">
      <alignment vertical="center" wrapText="1"/>
    </xf>
    <xf numFmtId="3" fontId="40" fillId="2" borderId="0" xfId="0" applyNumberFormat="1" applyFont="1" applyFill="1" applyAlignment="1">
      <alignment horizontal="centerContinuous" vertical="center"/>
    </xf>
    <xf numFmtId="164" fontId="39" fillId="2" borderId="0" xfId="0" applyNumberFormat="1" applyFont="1" applyFill="1" applyAlignment="1">
      <alignment vertical="center"/>
    </xf>
    <xf numFmtId="37" fontId="2" fillId="2" borderId="0" xfId="0" applyNumberFormat="1" applyFont="1" applyFill="1" applyAlignment="1">
      <alignment horizontal="center" vertical="center" wrapText="1"/>
    </xf>
    <xf numFmtId="37" fontId="49" fillId="24" borderId="0" xfId="0" applyNumberFormat="1" applyFont="1" applyFill="1" applyAlignment="1">
      <alignment horizontal="center" vertical="center" wrapText="1"/>
    </xf>
    <xf numFmtId="37" fontId="2" fillId="3" borderId="0" xfId="0" applyNumberFormat="1" applyFont="1" applyFill="1" applyAlignment="1">
      <alignment vertical="center" wrapText="1"/>
    </xf>
    <xf numFmtId="37" fontId="2" fillId="2" borderId="0" xfId="0" applyNumberFormat="1" applyFont="1" applyFill="1" applyAlignment="1">
      <alignment vertical="center" wrapText="1"/>
    </xf>
    <xf numFmtId="37" fontId="13" fillId="3" borderId="0" xfId="0" applyNumberFormat="1" applyFont="1" applyFill="1" applyAlignment="1">
      <alignment vertical="center" wrapText="1"/>
    </xf>
    <xf numFmtId="37" fontId="31" fillId="2" borderId="0" xfId="0" applyNumberFormat="1" applyFont="1" applyFill="1" applyAlignment="1">
      <alignment vertical="center" wrapText="1"/>
    </xf>
    <xf numFmtId="164" fontId="45" fillId="2" borderId="0" xfId="0" applyNumberFormat="1" applyFont="1" applyFill="1" applyAlignment="1">
      <alignment vertical="center"/>
    </xf>
    <xf numFmtId="37" fontId="31" fillId="2" borderId="59" xfId="0" applyNumberFormat="1" applyFont="1" applyFill="1" applyBorder="1" applyAlignment="1">
      <alignment horizontal="center" vertical="center"/>
    </xf>
    <xf numFmtId="3" fontId="33" fillId="12" borderId="7" xfId="0" applyNumberFormat="1" applyFont="1" applyFill="1" applyBorder="1" applyAlignment="1">
      <alignment vertical="center"/>
    </xf>
    <xf numFmtId="167" fontId="1" fillId="2" borderId="0" xfId="0" applyNumberFormat="1" applyFont="1" applyFill="1" applyAlignment="1">
      <alignment vertical="center"/>
    </xf>
    <xf numFmtId="167" fontId="4" fillId="2" borderId="7" xfId="0" applyNumberFormat="1" applyFont="1" applyFill="1" applyBorder="1" applyAlignment="1">
      <alignment horizontal="center" vertical="center" wrapText="1"/>
    </xf>
    <xf numFmtId="167" fontId="1" fillId="3" borderId="0" xfId="0" applyNumberFormat="1" applyFont="1" applyFill="1" applyAlignment="1">
      <alignment horizontal="center" vertical="center"/>
    </xf>
    <xf numFmtId="167" fontId="1" fillId="2" borderId="12" xfId="0" applyNumberFormat="1" applyFont="1" applyFill="1" applyBorder="1" applyAlignment="1">
      <alignment vertical="center"/>
    </xf>
    <xf numFmtId="167" fontId="2" fillId="2" borderId="0" xfId="0" applyNumberFormat="1" applyFont="1" applyFill="1" applyAlignment="1">
      <alignment vertical="center"/>
    </xf>
    <xf numFmtId="167" fontId="1" fillId="3" borderId="0" xfId="0" applyNumberFormat="1" applyFont="1" applyFill="1" applyAlignment="1">
      <alignment vertical="center"/>
    </xf>
    <xf numFmtId="167" fontId="1" fillId="7" borderId="0" xfId="0" applyNumberFormat="1" applyFont="1" applyFill="1" applyAlignment="1">
      <alignment vertical="center"/>
    </xf>
    <xf numFmtId="167" fontId="1" fillId="0" borderId="0" xfId="0" applyNumberFormat="1" applyFont="1" applyAlignment="1">
      <alignment vertical="center"/>
    </xf>
    <xf numFmtId="167" fontId="1" fillId="2" borderId="0" xfId="0" applyNumberFormat="1" applyFont="1" applyFill="1" applyAlignment="1">
      <alignment horizontal="centerContinuous" vertical="center"/>
    </xf>
    <xf numFmtId="167" fontId="33" fillId="16" borderId="0" xfId="0" applyNumberFormat="1" applyFont="1" applyFill="1" applyAlignment="1">
      <alignment vertical="center"/>
    </xf>
    <xf numFmtId="167" fontId="40" fillId="2" borderId="0" xfId="0" applyNumberFormat="1" applyFont="1" applyFill="1" applyAlignment="1">
      <alignment vertical="center"/>
    </xf>
    <xf numFmtId="37" fontId="1" fillId="2" borderId="60" xfId="0" applyNumberFormat="1" applyFont="1" applyFill="1" applyBorder="1" applyAlignment="1">
      <alignment vertical="center"/>
    </xf>
    <xf numFmtId="37" fontId="1" fillId="2" borderId="60" xfId="0" applyNumberFormat="1" applyFont="1" applyFill="1" applyBorder="1" applyAlignment="1">
      <alignment vertical="center" wrapText="1"/>
    </xf>
    <xf numFmtId="37" fontId="31" fillId="2" borderId="60" xfId="0" applyNumberFormat="1" applyFont="1" applyFill="1" applyBorder="1" applyAlignment="1">
      <alignment horizontal="center" vertical="center"/>
    </xf>
    <xf numFmtId="39" fontId="1" fillId="12" borderId="0" xfId="0" applyNumberFormat="1" applyFont="1" applyFill="1" applyAlignment="1">
      <alignment horizontal="right" vertical="center"/>
    </xf>
    <xf numFmtId="169" fontId="33" fillId="2" borderId="0" xfId="0" applyNumberFormat="1" applyFont="1" applyFill="1" applyAlignment="1">
      <alignment horizontal="centerContinuous" vertical="center"/>
    </xf>
    <xf numFmtId="169" fontId="33" fillId="2" borderId="0" xfId="0" applyNumberFormat="1" applyFont="1" applyFill="1" applyAlignment="1">
      <alignment horizontal="center" vertical="center"/>
    </xf>
    <xf numFmtId="169" fontId="35" fillId="2" borderId="7" xfId="0" applyNumberFormat="1" applyFont="1" applyFill="1" applyBorder="1" applyAlignment="1">
      <alignment horizontal="center" vertical="center" wrapText="1"/>
    </xf>
    <xf numFmtId="169" fontId="33" fillId="3" borderId="0" xfId="0" applyNumberFormat="1" applyFont="1" applyFill="1" applyAlignment="1">
      <alignment horizontal="center" vertical="center"/>
    </xf>
    <xf numFmtId="169" fontId="33" fillId="3" borderId="0" xfId="0" applyNumberFormat="1" applyFont="1" applyFill="1" applyAlignment="1">
      <alignment vertical="center"/>
    </xf>
    <xf numFmtId="169" fontId="31" fillId="2" borderId="0" xfId="0" applyNumberFormat="1" applyFont="1" applyFill="1" applyAlignment="1">
      <alignment horizontal="center" vertical="center"/>
    </xf>
    <xf numFmtId="169" fontId="33" fillId="2" borderId="0" xfId="0" applyNumberFormat="1" applyFont="1" applyFill="1" applyAlignment="1">
      <alignment vertical="center"/>
    </xf>
    <xf numFmtId="3" fontId="39" fillId="4" borderId="60" xfId="0" applyNumberFormat="1" applyFont="1" applyFill="1" applyBorder="1" applyAlignment="1">
      <alignment horizontal="left" vertical="center"/>
    </xf>
    <xf numFmtId="37" fontId="13" fillId="2" borderId="0" xfId="0" applyNumberFormat="1" applyFont="1" applyFill="1" applyAlignment="1">
      <alignment horizontal="center" vertical="center" wrapText="1"/>
    </xf>
    <xf numFmtId="37" fontId="45" fillId="0" borderId="0" xfId="0" applyNumberFormat="1" applyFont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37" fontId="4" fillId="5" borderId="61" xfId="0" applyNumberFormat="1" applyFont="1" applyFill="1" applyBorder="1" applyAlignment="1">
      <alignment horizontal="center" vertical="center" wrapText="1"/>
    </xf>
    <xf numFmtId="37" fontId="13" fillId="5" borderId="6" xfId="0" applyNumberFormat="1" applyFont="1" applyFill="1" applyBorder="1" applyAlignment="1">
      <alignment vertical="center"/>
    </xf>
    <xf numFmtId="37" fontId="40" fillId="20" borderId="62" xfId="0" applyNumberFormat="1" applyFont="1" applyFill="1" applyBorder="1" applyAlignment="1">
      <alignment vertical="center" wrapText="1"/>
    </xf>
    <xf numFmtId="37" fontId="68" fillId="20" borderId="49" xfId="0" applyNumberFormat="1" applyFont="1" applyFill="1" applyBorder="1" applyAlignment="1">
      <alignment horizontal="center" vertical="center" wrapText="1"/>
    </xf>
    <xf numFmtId="37" fontId="1" fillId="2" borderId="49" xfId="0" applyNumberFormat="1" applyFont="1" applyFill="1" applyBorder="1" applyAlignment="1">
      <alignment vertical="center" wrapText="1"/>
    </xf>
    <xf numFmtId="164" fontId="69" fillId="10" borderId="63" xfId="0" applyNumberFormat="1" applyFont="1" applyFill="1" applyBorder="1" applyAlignment="1">
      <alignment horizontal="center" vertical="center"/>
    </xf>
    <xf numFmtId="37" fontId="55" fillId="20" borderId="49" xfId="0" applyNumberFormat="1" applyFont="1" applyFill="1" applyBorder="1" applyAlignment="1">
      <alignment horizontal="center" vertical="center" wrapText="1"/>
    </xf>
    <xf numFmtId="0" fontId="39" fillId="10" borderId="20" xfId="0" applyFont="1" applyFill="1" applyBorder="1" applyAlignment="1">
      <alignment horizontal="left" vertical="center" wrapText="1"/>
    </xf>
    <xf numFmtId="37" fontId="33" fillId="10" borderId="20" xfId="0" applyNumberFormat="1" applyFont="1" applyFill="1" applyBorder="1" applyAlignment="1">
      <alignment vertical="center"/>
    </xf>
    <xf numFmtId="37" fontId="39" fillId="10" borderId="20" xfId="0" applyNumberFormat="1" applyFont="1" applyFill="1" applyBorder="1" applyAlignment="1">
      <alignment vertical="center"/>
    </xf>
    <xf numFmtId="37" fontId="45" fillId="10" borderId="20" xfId="0" applyNumberFormat="1" applyFont="1" applyFill="1" applyBorder="1" applyAlignment="1">
      <alignment vertical="center"/>
    </xf>
    <xf numFmtId="37" fontId="31" fillId="10" borderId="20" xfId="0" applyNumberFormat="1" applyFont="1" applyFill="1" applyBorder="1" applyAlignment="1">
      <alignment vertical="center" wrapText="1"/>
    </xf>
    <xf numFmtId="37" fontId="64" fillId="0" borderId="0" xfId="0" applyNumberFormat="1" applyFont="1" applyAlignment="1">
      <alignment horizontal="center" vertical="center"/>
    </xf>
    <xf numFmtId="37" fontId="66" fillId="0" borderId="0" xfId="0" applyNumberFormat="1" applyFont="1" applyAlignment="1">
      <alignment vertical="center" wrapText="1"/>
    </xf>
    <xf numFmtId="37" fontId="39" fillId="0" borderId="60" xfId="0" applyNumberFormat="1" applyFont="1" applyBorder="1" applyAlignment="1">
      <alignment horizontal="center" vertical="center"/>
    </xf>
    <xf numFmtId="0" fontId="39" fillId="0" borderId="60" xfId="0" applyFont="1" applyBorder="1" applyAlignment="1">
      <alignment horizontal="left" vertical="center" wrapText="1"/>
    </xf>
    <xf numFmtId="37" fontId="39" fillId="0" borderId="60" xfId="0" applyNumberFormat="1" applyFont="1" applyBorder="1" applyAlignment="1">
      <alignment vertical="center"/>
    </xf>
    <xf numFmtId="37" fontId="39" fillId="24" borderId="60" xfId="0" applyNumberFormat="1" applyFont="1" applyFill="1" applyBorder="1" applyAlignment="1">
      <alignment vertical="center"/>
    </xf>
    <xf numFmtId="37" fontId="39" fillId="2" borderId="60" xfId="0" applyNumberFormat="1" applyFont="1" applyFill="1" applyBorder="1" applyAlignment="1">
      <alignment vertical="center"/>
    </xf>
    <xf numFmtId="37" fontId="45" fillId="0" borderId="60" xfId="0" applyNumberFormat="1" applyFont="1" applyBorder="1" applyAlignment="1">
      <alignment vertical="center"/>
    </xf>
    <xf numFmtId="37" fontId="41" fillId="0" borderId="60" xfId="0" applyNumberFormat="1" applyFont="1" applyBorder="1" applyAlignment="1">
      <alignment vertical="center" wrapText="1"/>
    </xf>
    <xf numFmtId="37" fontId="35" fillId="2" borderId="60" xfId="0" applyNumberFormat="1" applyFont="1" applyFill="1" applyBorder="1" applyAlignment="1">
      <alignment horizontal="center" vertical="center" wrapText="1"/>
    </xf>
    <xf numFmtId="37" fontId="35" fillId="0" borderId="60" xfId="0" applyNumberFormat="1" applyFont="1" applyBorder="1" applyAlignment="1">
      <alignment horizontal="center" vertical="center" wrapText="1"/>
    </xf>
    <xf numFmtId="37" fontId="46" fillId="2" borderId="60" xfId="0" applyNumberFormat="1" applyFont="1" applyFill="1" applyBorder="1" applyAlignment="1">
      <alignment horizontal="center" vertical="center" wrapText="1"/>
    </xf>
    <xf numFmtId="15" fontId="49" fillId="2" borderId="60" xfId="0" applyNumberFormat="1" applyFont="1" applyFill="1" applyBorder="1" applyAlignment="1">
      <alignment horizontal="center" vertical="center" wrapText="1"/>
    </xf>
    <xf numFmtId="37" fontId="31" fillId="2" borderId="64" xfId="0" applyNumberFormat="1" applyFont="1" applyFill="1" applyBorder="1" applyAlignment="1">
      <alignment horizontal="center" vertical="center"/>
    </xf>
    <xf numFmtId="39" fontId="1" fillId="12" borderId="0" xfId="0" quotePrefix="1" applyNumberFormat="1" applyFont="1" applyFill="1" applyAlignment="1">
      <alignment horizontal="left" vertical="center"/>
    </xf>
    <xf numFmtId="37" fontId="40" fillId="10" borderId="64" xfId="0" quotePrefix="1" applyNumberFormat="1" applyFont="1" applyFill="1" applyBorder="1" applyAlignment="1">
      <alignment horizontal="center" vertical="center"/>
    </xf>
    <xf numFmtId="9" fontId="2" fillId="10" borderId="64" xfId="1" applyFont="1" applyFill="1" applyBorder="1" applyAlignment="1">
      <alignment vertical="center"/>
    </xf>
    <xf numFmtId="3" fontId="1" fillId="10" borderId="64" xfId="0" applyNumberFormat="1" applyFont="1" applyFill="1" applyBorder="1" applyAlignment="1">
      <alignment vertical="center"/>
    </xf>
    <xf numFmtId="37" fontId="40" fillId="10" borderId="64" xfId="0" applyNumberFormat="1" applyFont="1" applyFill="1" applyBorder="1" applyAlignment="1">
      <alignment vertical="center"/>
    </xf>
    <xf numFmtId="3" fontId="40" fillId="10" borderId="64" xfId="0" quotePrefix="1" applyNumberFormat="1" applyFont="1" applyFill="1" applyBorder="1" applyAlignment="1">
      <alignment horizontal="center" vertical="center"/>
    </xf>
    <xf numFmtId="9" fontId="2" fillId="10" borderId="64" xfId="0" applyNumberFormat="1" applyFont="1" applyFill="1" applyBorder="1" applyAlignment="1">
      <alignment vertical="center"/>
    </xf>
    <xf numFmtId="37" fontId="1" fillId="2" borderId="0" xfId="0" applyNumberFormat="1" applyFont="1" applyFill="1" applyAlignment="1">
      <alignment horizontal="right" vertical="center"/>
    </xf>
    <xf numFmtId="0" fontId="1" fillId="0" borderId="66" xfId="0" applyFont="1" applyBorder="1" applyAlignment="1">
      <alignment horizontal="center" vertical="center"/>
    </xf>
    <xf numFmtId="39" fontId="45" fillId="12" borderId="0" xfId="0" applyNumberFormat="1" applyFont="1" applyFill="1" applyAlignment="1">
      <alignment vertical="center"/>
    </xf>
    <xf numFmtId="39" fontId="10" fillId="12" borderId="0" xfId="0" applyNumberFormat="1" applyFont="1" applyFill="1" applyAlignment="1">
      <alignment vertical="center"/>
    </xf>
    <xf numFmtId="39" fontId="41" fillId="12" borderId="0" xfId="0" applyNumberFormat="1" applyFont="1" applyFill="1" applyAlignment="1">
      <alignment vertical="center"/>
    </xf>
    <xf numFmtId="39" fontId="5" fillId="12" borderId="0" xfId="0" applyNumberFormat="1" applyFont="1" applyFill="1" applyAlignment="1">
      <alignment vertical="center"/>
    </xf>
    <xf numFmtId="39" fontId="7" fillId="12" borderId="0" xfId="0" applyNumberFormat="1" applyFont="1" applyFill="1" applyAlignment="1">
      <alignment vertical="center"/>
    </xf>
    <xf numFmtId="39" fontId="4" fillId="12" borderId="0" xfId="0" applyNumberFormat="1" applyFont="1" applyFill="1" applyAlignment="1">
      <alignment horizontal="center" vertical="center"/>
    </xf>
    <xf numFmtId="4" fontId="1" fillId="12" borderId="0" xfId="0" applyNumberFormat="1" applyFont="1" applyFill="1" applyAlignment="1">
      <alignment vertical="center"/>
    </xf>
    <xf numFmtId="39" fontId="25" fillId="12" borderId="0" xfId="0" applyNumberFormat="1" applyFont="1" applyFill="1" applyAlignment="1">
      <alignment vertical="center"/>
    </xf>
    <xf numFmtId="166" fontId="25" fillId="12" borderId="0" xfId="0" applyNumberFormat="1" applyFont="1" applyFill="1" applyAlignment="1">
      <alignment horizontal="center" vertical="center"/>
    </xf>
    <xf numFmtId="39" fontId="29" fillId="12" borderId="0" xfId="0" applyNumberFormat="1" applyFont="1" applyFill="1" applyAlignment="1">
      <alignment vertical="center"/>
    </xf>
    <xf numFmtId="39" fontId="2" fillId="12" borderId="0" xfId="0" applyNumberFormat="1" applyFont="1" applyFill="1" applyAlignment="1">
      <alignment vertical="center"/>
    </xf>
    <xf numFmtId="49" fontId="2" fillId="12" borderId="0" xfId="0" applyNumberFormat="1" applyFont="1" applyFill="1" applyAlignment="1">
      <alignment vertical="center"/>
    </xf>
    <xf numFmtId="168" fontId="2" fillId="12" borderId="0" xfId="0" applyNumberFormat="1" applyFont="1" applyFill="1" applyAlignment="1">
      <alignment horizontal="center" vertical="center"/>
    </xf>
    <xf numFmtId="3" fontId="31" fillId="12" borderId="0" xfId="0" applyNumberFormat="1" applyFont="1" applyFill="1" applyAlignment="1">
      <alignment horizontal="center" vertical="center"/>
    </xf>
    <xf numFmtId="3" fontId="45" fillId="12" borderId="0" xfId="0" applyNumberFormat="1" applyFont="1" applyFill="1" applyAlignment="1">
      <alignment vertical="center"/>
    </xf>
    <xf numFmtId="3" fontId="31" fillId="12" borderId="0" xfId="0" applyNumberFormat="1" applyFont="1" applyFill="1" applyAlignment="1">
      <alignment vertical="center"/>
    </xf>
    <xf numFmtId="37" fontId="2" fillId="12" borderId="0" xfId="0" applyNumberFormat="1" applyFont="1" applyFill="1" applyAlignment="1">
      <alignment vertical="center"/>
    </xf>
    <xf numFmtId="3" fontId="40" fillId="12" borderId="0" xfId="0" applyNumberFormat="1" applyFont="1" applyFill="1" applyAlignment="1">
      <alignment vertical="center"/>
    </xf>
    <xf numFmtId="3" fontId="1" fillId="12" borderId="0" xfId="0" applyNumberFormat="1" applyFont="1" applyFill="1" applyAlignment="1">
      <alignment vertical="center"/>
    </xf>
    <xf numFmtId="37" fontId="1" fillId="12" borderId="0" xfId="0" applyNumberFormat="1" applyFont="1" applyFill="1" applyAlignment="1">
      <alignment vertical="center"/>
    </xf>
    <xf numFmtId="15" fontId="1" fillId="2" borderId="67" xfId="0" applyNumberFormat="1" applyFont="1" applyFill="1" applyBorder="1" applyAlignment="1">
      <alignment horizontal="center" vertical="center"/>
    </xf>
    <xf numFmtId="37" fontId="33" fillId="12" borderId="20" xfId="0" applyNumberFormat="1" applyFont="1" applyFill="1" applyBorder="1" applyAlignment="1">
      <alignment horizontal="center" vertical="center"/>
    </xf>
    <xf numFmtId="0" fontId="39" fillId="12" borderId="20" xfId="0" applyFont="1" applyFill="1" applyBorder="1" applyAlignment="1">
      <alignment horizontal="left" vertical="center" wrapText="1"/>
    </xf>
    <xf numFmtId="37" fontId="33" fillId="12" borderId="20" xfId="0" applyNumberFormat="1" applyFont="1" applyFill="1" applyBorder="1" applyAlignment="1">
      <alignment vertical="center"/>
    </xf>
    <xf numFmtId="37" fontId="39" fillId="12" borderId="20" xfId="0" applyNumberFormat="1" applyFont="1" applyFill="1" applyBorder="1" applyAlignment="1">
      <alignment vertical="center"/>
    </xf>
    <xf numFmtId="37" fontId="45" fillId="12" borderId="20" xfId="0" applyNumberFormat="1" applyFont="1" applyFill="1" applyBorder="1" applyAlignment="1">
      <alignment vertical="center"/>
    </xf>
    <xf numFmtId="37" fontId="31" fillId="12" borderId="20" xfId="0" applyNumberFormat="1" applyFont="1" applyFill="1" applyBorder="1" applyAlignment="1">
      <alignment vertical="center" wrapText="1"/>
    </xf>
    <xf numFmtId="0" fontId="33" fillId="12" borderId="0" xfId="0" applyFont="1" applyFill="1" applyAlignment="1">
      <alignment vertical="center"/>
    </xf>
    <xf numFmtId="3" fontId="21" fillId="12" borderId="0" xfId="0" applyNumberFormat="1" applyFont="1" applyFill="1" applyAlignment="1">
      <alignment vertical="center"/>
    </xf>
    <xf numFmtId="37" fontId="31" fillId="2" borderId="68" xfId="0" applyNumberFormat="1" applyFont="1" applyFill="1" applyBorder="1" applyAlignment="1">
      <alignment horizontal="center" vertical="center"/>
    </xf>
    <xf numFmtId="3" fontId="1" fillId="2" borderId="69" xfId="0" applyNumberFormat="1" applyFont="1" applyFill="1" applyBorder="1" applyAlignment="1">
      <alignment vertical="center"/>
    </xf>
    <xf numFmtId="39" fontId="33" fillId="0" borderId="0" xfId="0" applyNumberFormat="1" applyFont="1" applyAlignment="1">
      <alignment vertical="center" wrapText="1"/>
    </xf>
    <xf numFmtId="15" fontId="33" fillId="0" borderId="65" xfId="0" applyNumberFormat="1" applyFont="1" applyBorder="1" applyAlignment="1">
      <alignment horizontal="center" vertical="center"/>
    </xf>
    <xf numFmtId="37" fontId="33" fillId="0" borderId="65" xfId="0" applyNumberFormat="1" applyFont="1" applyBorder="1" applyAlignment="1">
      <alignment horizontal="center" vertical="center"/>
    </xf>
    <xf numFmtId="3" fontId="39" fillId="0" borderId="60" xfId="0" applyNumberFormat="1" applyFont="1" applyBorder="1" applyAlignment="1">
      <alignment horizontal="left" vertical="center"/>
    </xf>
    <xf numFmtId="37" fontId="1" fillId="0" borderId="65" xfId="0" applyNumberFormat="1" applyFont="1" applyBorder="1" applyAlignment="1">
      <alignment vertical="center"/>
    </xf>
    <xf numFmtId="37" fontId="1" fillId="0" borderId="65" xfId="0" applyNumberFormat="1" applyFont="1" applyBorder="1" applyAlignment="1">
      <alignment vertical="center" wrapText="1"/>
    </xf>
    <xf numFmtId="3" fontId="1" fillId="0" borderId="7" xfId="0" applyNumberFormat="1" applyFont="1" applyBorder="1" applyAlignment="1">
      <alignment vertical="center"/>
    </xf>
    <xf numFmtId="3" fontId="33" fillId="0" borderId="7" xfId="0" applyNumberFormat="1" applyFont="1" applyBorder="1" applyAlignment="1">
      <alignment horizontal="center" vertical="center"/>
    </xf>
    <xf numFmtId="0" fontId="40" fillId="2" borderId="0" xfId="0" applyFont="1" applyFill="1" applyAlignment="1">
      <alignment horizontal="centerContinuous" vertical="center"/>
    </xf>
    <xf numFmtId="0" fontId="40" fillId="2" borderId="0" xfId="0" applyFont="1" applyFill="1" applyAlignment="1">
      <alignment horizontal="left" vertical="center"/>
    </xf>
    <xf numFmtId="15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3" fontId="40" fillId="3" borderId="0" xfId="0" applyNumberFormat="1" applyFont="1" applyFill="1" applyAlignment="1">
      <alignment vertical="center"/>
    </xf>
    <xf numFmtId="0" fontId="41" fillId="0" borderId="65" xfId="0" applyFont="1" applyBorder="1" applyAlignment="1">
      <alignment horizontal="center" vertical="center"/>
    </xf>
    <xf numFmtId="37" fontId="47" fillId="2" borderId="0" xfId="0" applyNumberFormat="1" applyFont="1" applyFill="1" applyAlignment="1">
      <alignment horizontal="center" vertical="center"/>
    </xf>
    <xf numFmtId="3" fontId="3" fillId="0" borderId="7" xfId="0" applyNumberFormat="1" applyFont="1" applyBorder="1" applyAlignment="1">
      <alignment horizontal="left" vertical="center"/>
    </xf>
    <xf numFmtId="3" fontId="31" fillId="0" borderId="7" xfId="0" applyNumberFormat="1" applyFont="1" applyBorder="1" applyAlignment="1">
      <alignment horizontal="center" vertical="center"/>
    </xf>
    <xf numFmtId="37" fontId="33" fillId="0" borderId="18" xfId="0" applyNumberFormat="1" applyFont="1" applyBorder="1" applyAlignment="1">
      <alignment vertical="center"/>
    </xf>
    <xf numFmtId="37" fontId="39" fillId="0" borderId="18" xfId="0" applyNumberFormat="1" applyFont="1" applyBorder="1" applyAlignment="1">
      <alignment horizontal="center" vertical="center"/>
    </xf>
    <xf numFmtId="37" fontId="39" fillId="0" borderId="18" xfId="0" applyNumberFormat="1" applyFont="1" applyBorder="1" applyAlignment="1">
      <alignment vertical="center"/>
    </xf>
    <xf numFmtId="37" fontId="40" fillId="0" borderId="18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167" fontId="1" fillId="0" borderId="12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3" fontId="49" fillId="0" borderId="20" xfId="0" applyNumberFormat="1" applyFont="1" applyBorder="1" applyAlignment="1">
      <alignment vertical="center"/>
    </xf>
    <xf numFmtId="3" fontId="35" fillId="0" borderId="20" xfId="0" applyNumberFormat="1" applyFont="1" applyBorder="1" applyAlignment="1">
      <alignment vertical="center"/>
    </xf>
    <xf numFmtId="3" fontId="33" fillId="0" borderId="0" xfId="0" applyNumberFormat="1" applyFont="1" applyAlignment="1">
      <alignment vertical="center"/>
    </xf>
    <xf numFmtId="3" fontId="46" fillId="0" borderId="20" xfId="0" applyNumberFormat="1" applyFont="1" applyBorder="1" applyAlignment="1">
      <alignment vertical="center"/>
    </xf>
    <xf numFmtId="37" fontId="33" fillId="41" borderId="20" xfId="0" applyNumberFormat="1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left" vertical="center" wrapText="1"/>
    </xf>
    <xf numFmtId="37" fontId="39" fillId="41" borderId="20" xfId="0" applyNumberFormat="1" applyFont="1" applyFill="1" applyBorder="1" applyAlignment="1">
      <alignment vertical="center"/>
    </xf>
    <xf numFmtId="37" fontId="45" fillId="41" borderId="20" xfId="0" applyNumberFormat="1" applyFont="1" applyFill="1" applyBorder="1" applyAlignment="1">
      <alignment vertical="center"/>
    </xf>
    <xf numFmtId="37" fontId="41" fillId="41" borderId="20" xfId="0" applyNumberFormat="1" applyFont="1" applyFill="1" applyBorder="1" applyAlignment="1">
      <alignment vertical="center" wrapText="1"/>
    </xf>
    <xf numFmtId="39" fontId="1" fillId="0" borderId="0" xfId="0" applyNumberFormat="1" applyFont="1" applyAlignment="1">
      <alignment horizontal="left" vertical="center"/>
    </xf>
    <xf numFmtId="15" fontId="2" fillId="2" borderId="0" xfId="0" applyNumberFormat="1" applyFont="1" applyFill="1" applyAlignment="1">
      <alignment horizontal="center" vertical="center"/>
    </xf>
    <xf numFmtId="39" fontId="2" fillId="2" borderId="0" xfId="0" applyNumberFormat="1" applyFont="1" applyFill="1" applyAlignment="1">
      <alignment horizontal="right" vertical="center"/>
    </xf>
    <xf numFmtId="39" fontId="2" fillId="3" borderId="0" xfId="0" applyNumberFormat="1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37" fontId="67" fillId="0" borderId="20" xfId="0" applyNumberFormat="1" applyFont="1" applyBorder="1" applyAlignment="1">
      <alignment vertical="center"/>
    </xf>
    <xf numFmtId="0" fontId="39" fillId="0" borderId="7" xfId="0" applyFont="1" applyBorder="1" applyAlignment="1">
      <alignment vertical="center"/>
    </xf>
    <xf numFmtId="3" fontId="33" fillId="0" borderId="7" xfId="0" applyNumberFormat="1" applyFont="1" applyBorder="1" applyAlignment="1">
      <alignment vertical="center"/>
    </xf>
    <xf numFmtId="37" fontId="39" fillId="0" borderId="22" xfId="0" applyNumberFormat="1" applyFont="1" applyBorder="1" applyAlignment="1">
      <alignment vertical="center"/>
    </xf>
    <xf numFmtId="37" fontId="1" fillId="0" borderId="70" xfId="0" applyNumberFormat="1" applyFont="1" applyBorder="1" applyAlignment="1">
      <alignment vertical="center"/>
    </xf>
    <xf numFmtId="37" fontId="1" fillId="2" borderId="70" xfId="0" applyNumberFormat="1" applyFont="1" applyFill="1" applyBorder="1" applyAlignment="1">
      <alignment vertical="center"/>
    </xf>
    <xf numFmtId="3" fontId="33" fillId="0" borderId="66" xfId="0" applyNumberFormat="1" applyFont="1" applyBorder="1" applyAlignment="1">
      <alignment horizontal="center" vertical="center"/>
    </xf>
    <xf numFmtId="3" fontId="1" fillId="0" borderId="66" xfId="0" applyNumberFormat="1" applyFont="1" applyBorder="1" applyAlignment="1">
      <alignment vertical="center"/>
    </xf>
    <xf numFmtId="37" fontId="33" fillId="0" borderId="66" xfId="0" applyNumberFormat="1" applyFont="1" applyBorder="1" applyAlignment="1">
      <alignment vertical="center"/>
    </xf>
    <xf numFmtId="37" fontId="39" fillId="0" borderId="66" xfId="0" applyNumberFormat="1" applyFont="1" applyBorder="1" applyAlignment="1">
      <alignment horizontal="center" vertical="center"/>
    </xf>
    <xf numFmtId="3" fontId="33" fillId="2" borderId="70" xfId="0" applyNumberFormat="1" applyFont="1" applyFill="1" applyBorder="1" applyAlignment="1">
      <alignment vertical="center"/>
    </xf>
    <xf numFmtId="37" fontId="33" fillId="0" borderId="70" xfId="0" applyNumberFormat="1" applyFont="1" applyBorder="1" applyAlignment="1">
      <alignment horizontal="center" vertical="center"/>
    </xf>
    <xf numFmtId="37" fontId="1" fillId="2" borderId="70" xfId="0" applyNumberFormat="1" applyFont="1" applyFill="1" applyBorder="1" applyAlignment="1">
      <alignment vertical="center" wrapText="1"/>
    </xf>
    <xf numFmtId="3" fontId="1" fillId="2" borderId="70" xfId="0" applyNumberFormat="1" applyFont="1" applyFill="1" applyBorder="1" applyAlignment="1">
      <alignment vertical="center"/>
    </xf>
    <xf numFmtId="15" fontId="1" fillId="2" borderId="70" xfId="0" applyNumberFormat="1" applyFont="1" applyFill="1" applyBorder="1" applyAlignment="1">
      <alignment horizontal="center" vertical="center"/>
    </xf>
    <xf numFmtId="37" fontId="45" fillId="2" borderId="70" xfId="0" applyNumberFormat="1" applyFont="1" applyFill="1" applyBorder="1" applyAlignment="1">
      <alignment horizontal="center" vertical="center"/>
    </xf>
    <xf numFmtId="37" fontId="1" fillId="0" borderId="70" xfId="0" applyNumberFormat="1" applyFont="1" applyBorder="1" applyAlignment="1">
      <alignment vertical="center" wrapText="1"/>
    </xf>
    <xf numFmtId="0" fontId="1" fillId="0" borderId="70" xfId="0" applyFont="1" applyBorder="1" applyAlignment="1">
      <alignment horizontal="center" vertical="center"/>
    </xf>
    <xf numFmtId="3" fontId="33" fillId="2" borderId="70" xfId="0" applyNumberFormat="1" applyFont="1" applyFill="1" applyBorder="1" applyAlignment="1">
      <alignment horizontal="center" vertical="center"/>
    </xf>
    <xf numFmtId="3" fontId="3" fillId="2" borderId="70" xfId="0" applyNumberFormat="1" applyFont="1" applyFill="1" applyBorder="1" applyAlignment="1">
      <alignment vertical="center"/>
    </xf>
    <xf numFmtId="37" fontId="33" fillId="2" borderId="70" xfId="0" applyNumberFormat="1" applyFont="1" applyFill="1" applyBorder="1" applyAlignment="1">
      <alignment vertical="center"/>
    </xf>
    <xf numFmtId="37" fontId="39" fillId="2" borderId="70" xfId="0" applyNumberFormat="1" applyFont="1" applyFill="1" applyBorder="1" applyAlignment="1">
      <alignment vertical="center"/>
    </xf>
    <xf numFmtId="0" fontId="31" fillId="2" borderId="7" xfId="0" applyFont="1" applyFill="1" applyBorder="1" applyAlignment="1">
      <alignment horizontal="center" vertical="center" wrapText="1"/>
    </xf>
    <xf numFmtId="0" fontId="33" fillId="0" borderId="0" xfId="0" applyFont="1"/>
    <xf numFmtId="0" fontId="2" fillId="13" borderId="0" xfId="0" applyFont="1" applyFill="1" applyAlignment="1">
      <alignment vertical="center"/>
    </xf>
    <xf numFmtId="0" fontId="33" fillId="10" borderId="0" xfId="0" applyFont="1" applyFill="1"/>
    <xf numFmtId="0" fontId="2" fillId="4" borderId="0" xfId="0" applyFont="1" applyFill="1" applyAlignment="1">
      <alignment vertical="center"/>
    </xf>
    <xf numFmtId="0" fontId="39" fillId="2" borderId="20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1" fillId="4" borderId="21" xfId="0" applyFont="1" applyFill="1" applyBorder="1" applyAlignment="1">
      <alignment horizontal="left" vertical="center"/>
    </xf>
    <xf numFmtId="0" fontId="33" fillId="0" borderId="17" xfId="0" applyFont="1" applyBorder="1"/>
    <xf numFmtId="0" fontId="33" fillId="0" borderId="22" xfId="0" applyFont="1" applyBorder="1"/>
    <xf numFmtId="0" fontId="33" fillId="14" borderId="0" xfId="0" applyFont="1" applyFill="1" applyAlignment="1">
      <alignment vertical="center"/>
    </xf>
    <xf numFmtId="0" fontId="39" fillId="0" borderId="20" xfId="0" applyFont="1" applyBorder="1" applyAlignment="1">
      <alignment horizontal="left" vertical="center"/>
    </xf>
    <xf numFmtId="0" fontId="33" fillId="2" borderId="18" xfId="0" applyFont="1" applyFill="1" applyBorder="1" applyAlignment="1">
      <alignment horizontal="center" vertical="center"/>
    </xf>
    <xf numFmtId="0" fontId="58" fillId="0" borderId="0" xfId="0" applyFont="1"/>
    <xf numFmtId="0" fontId="52" fillId="8" borderId="0" xfId="0" applyFont="1" applyFill="1" applyAlignment="1">
      <alignment vertical="center"/>
    </xf>
    <xf numFmtId="0" fontId="52" fillId="8" borderId="21" xfId="0" applyFont="1" applyFill="1" applyBorder="1" applyAlignment="1">
      <alignment horizontal="right" vertical="center"/>
    </xf>
    <xf numFmtId="0" fontId="52" fillId="0" borderId="0" xfId="0" applyFont="1"/>
    <xf numFmtId="0" fontId="31" fillId="22" borderId="0" xfId="0" applyFont="1" applyFill="1" applyAlignment="1">
      <alignment vertical="center"/>
    </xf>
    <xf numFmtId="0" fontId="33" fillId="22" borderId="21" xfId="0" applyFont="1" applyFill="1" applyBorder="1" applyAlignment="1">
      <alignment horizontal="right" vertical="center"/>
    </xf>
    <xf numFmtId="0" fontId="31" fillId="0" borderId="0" xfId="0" applyFont="1"/>
    <xf numFmtId="0" fontId="41" fillId="0" borderId="0" xfId="0" applyFont="1"/>
    <xf numFmtId="0" fontId="39" fillId="0" borderId="0" xfId="0" applyFont="1"/>
    <xf numFmtId="0" fontId="2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2" borderId="6" xfId="0" quotePrefix="1" applyFont="1" applyFill="1" applyBorder="1" applyAlignment="1">
      <alignment horizontal="left" vertical="center"/>
    </xf>
    <xf numFmtId="3" fontId="28" fillId="2" borderId="70" xfId="0" applyNumberFormat="1" applyFont="1" applyFill="1" applyBorder="1" applyAlignment="1">
      <alignment vertical="center"/>
    </xf>
    <xf numFmtId="0" fontId="33" fillId="2" borderId="70" xfId="0" applyFont="1" applyFill="1" applyBorder="1" applyAlignment="1">
      <alignment horizontal="center" vertical="center"/>
    </xf>
    <xf numFmtId="37" fontId="39" fillId="0" borderId="70" xfId="0" applyNumberFormat="1" applyFont="1" applyBorder="1" applyAlignment="1">
      <alignment vertical="center"/>
    </xf>
    <xf numFmtId="3" fontId="33" fillId="0" borderId="70" xfId="0" applyNumberFormat="1" applyFont="1" applyBorder="1" applyAlignment="1">
      <alignment horizontal="center" vertical="center"/>
    </xf>
    <xf numFmtId="3" fontId="33" fillId="0" borderId="64" xfId="0" applyNumberFormat="1" applyFont="1" applyBorder="1" applyAlignment="1">
      <alignment vertical="center"/>
    </xf>
    <xf numFmtId="37" fontId="31" fillId="0" borderId="7" xfId="0" applyNumberFormat="1" applyFont="1" applyBorder="1" applyAlignment="1">
      <alignment vertical="center"/>
    </xf>
    <xf numFmtId="37" fontId="31" fillId="0" borderId="64" xfId="0" applyNumberFormat="1" applyFont="1" applyBorder="1" applyAlignment="1">
      <alignment vertical="center"/>
    </xf>
    <xf numFmtId="37" fontId="33" fillId="0" borderId="7" xfId="0" quotePrefix="1" applyNumberFormat="1" applyFont="1" applyBorder="1" applyAlignment="1">
      <alignment horizontal="center" vertical="center"/>
    </xf>
    <xf numFmtId="37" fontId="33" fillId="0" borderId="64" xfId="0" quotePrefix="1" applyNumberFormat="1" applyFont="1" applyBorder="1" applyAlignment="1">
      <alignment horizontal="center" vertical="center"/>
    </xf>
    <xf numFmtId="9" fontId="33" fillId="0" borderId="7" xfId="1" applyFont="1" applyFill="1" applyBorder="1" applyAlignment="1">
      <alignment vertical="center"/>
    </xf>
    <xf numFmtId="9" fontId="33" fillId="0" borderId="64" xfId="1" applyFont="1" applyFill="1" applyBorder="1" applyAlignment="1">
      <alignment vertical="center"/>
    </xf>
    <xf numFmtId="37" fontId="33" fillId="0" borderId="64" xfId="0" applyNumberFormat="1" applyFont="1" applyBorder="1" applyAlignment="1">
      <alignment vertical="center"/>
    </xf>
    <xf numFmtId="3" fontId="31" fillId="0" borderId="7" xfId="0" quotePrefix="1" applyNumberFormat="1" applyFont="1" applyBorder="1" applyAlignment="1">
      <alignment horizontal="center" vertical="center"/>
    </xf>
    <xf numFmtId="3" fontId="31" fillId="0" borderId="64" xfId="0" quotePrefix="1" applyNumberFormat="1" applyFont="1" applyBorder="1" applyAlignment="1">
      <alignment horizontal="center" vertical="center"/>
    </xf>
    <xf numFmtId="9" fontId="31" fillId="0" borderId="7" xfId="0" applyNumberFormat="1" applyFont="1" applyBorder="1" applyAlignment="1">
      <alignment vertical="center"/>
    </xf>
    <xf numFmtId="9" fontId="31" fillId="0" borderId="64" xfId="0" applyNumberFormat="1" applyFont="1" applyBorder="1" applyAlignment="1">
      <alignment vertical="center"/>
    </xf>
    <xf numFmtId="37" fontId="1" fillId="12" borderId="70" xfId="0" applyNumberFormat="1" applyFont="1" applyFill="1" applyBorder="1" applyAlignment="1">
      <alignment vertical="center" wrapText="1"/>
    </xf>
    <xf numFmtId="3" fontId="1" fillId="12" borderId="70" xfId="0" applyNumberFormat="1" applyFont="1" applyFill="1" applyBorder="1" applyAlignment="1">
      <alignment vertical="center"/>
    </xf>
    <xf numFmtId="37" fontId="1" fillId="12" borderId="65" xfId="0" applyNumberFormat="1" applyFont="1" applyFill="1" applyBorder="1" applyAlignment="1">
      <alignment vertical="center" wrapText="1"/>
    </xf>
    <xf numFmtId="3" fontId="33" fillId="12" borderId="70" xfId="0" applyNumberFormat="1" applyFont="1" applyFill="1" applyBorder="1" applyAlignment="1">
      <alignment vertical="center"/>
    </xf>
    <xf numFmtId="39" fontId="1" fillId="12" borderId="0" xfId="0" applyNumberFormat="1" applyFont="1" applyFill="1" applyAlignment="1">
      <alignment horizontal="left" vertical="center"/>
    </xf>
    <xf numFmtId="39" fontId="39" fillId="12" borderId="0" xfId="0" applyNumberFormat="1" applyFont="1" applyFill="1" applyAlignment="1">
      <alignment horizontal="right" vertical="center"/>
    </xf>
    <xf numFmtId="15" fontId="33" fillId="12" borderId="0" xfId="0" applyNumberFormat="1" applyFont="1" applyFill="1" applyAlignment="1">
      <alignment horizontal="center" vertical="center"/>
    </xf>
    <xf numFmtId="3" fontId="1" fillId="0" borderId="70" xfId="0" applyNumberFormat="1" applyFont="1" applyBorder="1" applyAlignment="1">
      <alignment vertical="center"/>
    </xf>
    <xf numFmtId="15" fontId="1" fillId="0" borderId="70" xfId="0" applyNumberFormat="1" applyFont="1" applyBorder="1" applyAlignment="1">
      <alignment horizontal="center" vertical="center"/>
    </xf>
    <xf numFmtId="49" fontId="1" fillId="0" borderId="70" xfId="0" applyNumberFormat="1" applyFont="1" applyBorder="1" applyAlignment="1">
      <alignment horizontal="center" vertical="center"/>
    </xf>
    <xf numFmtId="37" fontId="33" fillId="0" borderId="70" xfId="0" applyNumberFormat="1" applyFont="1" applyBorder="1" applyAlignment="1">
      <alignment vertical="center"/>
    </xf>
    <xf numFmtId="37" fontId="2" fillId="12" borderId="70" xfId="0" applyNumberFormat="1" applyFont="1" applyFill="1" applyBorder="1" applyAlignment="1">
      <alignment vertical="center"/>
    </xf>
    <xf numFmtId="37" fontId="41" fillId="2" borderId="0" xfId="0" applyNumberFormat="1" applyFont="1" applyFill="1" applyAlignment="1">
      <alignment vertical="center" wrapText="1"/>
    </xf>
    <xf numFmtId="37" fontId="31" fillId="6" borderId="0" xfId="0" applyNumberFormat="1" applyFont="1" applyFill="1" applyAlignment="1">
      <alignment horizontal="center" vertical="center"/>
    </xf>
    <xf numFmtId="39" fontId="40" fillId="2" borderId="0" xfId="0" applyNumberFormat="1" applyFont="1" applyFill="1" applyAlignment="1">
      <alignment horizontal="centerContinuous" vertical="center"/>
    </xf>
    <xf numFmtId="39" fontId="33" fillId="8" borderId="0" xfId="0" applyNumberFormat="1" applyFont="1" applyFill="1" applyAlignment="1">
      <alignment vertical="center"/>
    </xf>
    <xf numFmtId="39" fontId="40" fillId="2" borderId="0" xfId="0" applyNumberFormat="1" applyFont="1" applyFill="1" applyAlignment="1">
      <alignment vertical="center"/>
    </xf>
    <xf numFmtId="39" fontId="31" fillId="2" borderId="0" xfId="0" applyNumberFormat="1" applyFont="1" applyFill="1" applyAlignment="1">
      <alignment horizontal="left" vertical="center"/>
    </xf>
    <xf numFmtId="39" fontId="1" fillId="2" borderId="18" xfId="0" applyNumberFormat="1" applyFont="1" applyFill="1" applyBorder="1" applyAlignment="1">
      <alignment vertical="center"/>
    </xf>
    <xf numFmtId="39" fontId="31" fillId="2" borderId="20" xfId="0" applyNumberFormat="1" applyFont="1" applyFill="1" applyBorder="1" applyAlignment="1">
      <alignment horizontal="center" vertical="center" wrapText="1"/>
    </xf>
    <xf numFmtId="39" fontId="40" fillId="4" borderId="7" xfId="0" applyNumberFormat="1" applyFont="1" applyFill="1" applyBorder="1" applyAlignment="1">
      <alignment horizontal="center" vertical="center" wrapText="1"/>
    </xf>
    <xf numFmtId="39" fontId="31" fillId="8" borderId="0" xfId="0" applyNumberFormat="1" applyFont="1" applyFill="1" applyAlignment="1">
      <alignment vertical="center" wrapText="1"/>
    </xf>
    <xf numFmtId="39" fontId="12" fillId="4" borderId="47" xfId="0" quotePrefix="1" applyNumberFormat="1" applyFont="1" applyFill="1" applyBorder="1" applyAlignment="1">
      <alignment horizontal="center" vertical="center" wrapText="1"/>
    </xf>
    <xf numFmtId="39" fontId="33" fillId="0" borderId="0" xfId="0" applyNumberFormat="1" applyFont="1"/>
    <xf numFmtId="39" fontId="40" fillId="4" borderId="0" xfId="0" applyNumberFormat="1" applyFont="1" applyFill="1" applyAlignment="1">
      <alignment horizontal="center" vertical="center"/>
    </xf>
    <xf numFmtId="39" fontId="31" fillId="0" borderId="35" xfId="0" applyNumberFormat="1" applyFont="1" applyBorder="1" applyAlignment="1">
      <alignment horizontal="center" vertical="center"/>
    </xf>
    <xf numFmtId="39" fontId="31" fillId="0" borderId="2" xfId="0" applyNumberFormat="1" applyFont="1" applyBorder="1" applyAlignment="1">
      <alignment horizontal="center" vertical="center"/>
    </xf>
    <xf numFmtId="39" fontId="31" fillId="0" borderId="36" xfId="0" applyNumberFormat="1" applyFont="1" applyBorder="1" applyAlignment="1">
      <alignment horizontal="center" vertical="center"/>
    </xf>
    <xf numFmtId="39" fontId="31" fillId="0" borderId="48" xfId="0" applyNumberFormat="1" applyFont="1" applyBorder="1" applyAlignment="1">
      <alignment horizontal="center" vertical="center"/>
    </xf>
    <xf numFmtId="39" fontId="40" fillId="4" borderId="0" xfId="0" applyNumberFormat="1" applyFont="1" applyFill="1" applyAlignment="1">
      <alignment vertical="center"/>
    </xf>
    <xf numFmtId="39" fontId="12" fillId="4" borderId="28" xfId="0" applyNumberFormat="1" applyFont="1" applyFill="1" applyBorder="1" applyAlignment="1">
      <alignment horizontal="center" vertical="center"/>
    </xf>
    <xf numFmtId="39" fontId="12" fillId="4" borderId="0" xfId="0" applyNumberFormat="1" applyFont="1" applyFill="1" applyAlignment="1">
      <alignment horizontal="center" vertical="center"/>
    </xf>
    <xf numFmtId="39" fontId="15" fillId="4" borderId="29" xfId="0" applyNumberFormat="1" applyFont="1" applyFill="1" applyBorder="1" applyAlignment="1">
      <alignment horizontal="center" vertical="center"/>
    </xf>
    <xf numFmtId="39" fontId="15" fillId="4" borderId="28" xfId="0" applyNumberFormat="1" applyFont="1" applyFill="1" applyBorder="1" applyAlignment="1">
      <alignment horizontal="center" vertical="center"/>
    </xf>
    <xf numFmtId="39" fontId="15" fillId="4" borderId="0" xfId="0" applyNumberFormat="1" applyFont="1" applyFill="1" applyAlignment="1">
      <alignment horizontal="center" vertical="center"/>
    </xf>
    <xf numFmtId="39" fontId="33" fillId="0" borderId="0" xfId="0" applyNumberFormat="1" applyFont="1" applyAlignment="1">
      <alignment vertical="center"/>
    </xf>
    <xf numFmtId="39" fontId="33" fillId="0" borderId="29" xfId="0" applyNumberFormat="1" applyFont="1" applyBorder="1" applyAlignment="1">
      <alignment vertical="center"/>
    </xf>
    <xf numFmtId="39" fontId="33" fillId="0" borderId="49" xfId="0" applyNumberFormat="1" applyFont="1" applyBorder="1" applyAlignment="1">
      <alignment vertical="center"/>
    </xf>
    <xf numFmtId="39" fontId="15" fillId="4" borderId="28" xfId="0" applyNumberFormat="1" applyFont="1" applyFill="1" applyBorder="1" applyAlignment="1">
      <alignment vertical="center"/>
    </xf>
    <xf numFmtId="39" fontId="15" fillId="4" borderId="0" xfId="0" applyNumberFormat="1" applyFont="1" applyFill="1" applyAlignment="1">
      <alignment vertical="center"/>
    </xf>
    <xf numFmtId="39" fontId="15" fillId="4" borderId="29" xfId="0" applyNumberFormat="1" applyFont="1" applyFill="1" applyBorder="1" applyAlignment="1">
      <alignment horizontal="right" vertical="center"/>
    </xf>
    <xf numFmtId="39" fontId="15" fillId="4" borderId="28" xfId="0" applyNumberFormat="1" applyFont="1" applyFill="1" applyBorder="1" applyAlignment="1">
      <alignment horizontal="right" vertical="center"/>
    </xf>
    <xf numFmtId="39" fontId="15" fillId="4" borderId="0" xfId="0" applyNumberFormat="1" applyFont="1" applyFill="1" applyAlignment="1">
      <alignment horizontal="right" vertical="center"/>
    </xf>
    <xf numFmtId="39" fontId="39" fillId="2" borderId="18" xfId="0" applyNumberFormat="1" applyFont="1" applyFill="1" applyBorder="1" applyAlignment="1">
      <alignment vertical="center"/>
    </xf>
    <xf numFmtId="39" fontId="40" fillId="4" borderId="7" xfId="0" applyNumberFormat="1" applyFont="1" applyFill="1" applyBorder="1" applyAlignment="1">
      <alignment vertical="center"/>
    </xf>
    <xf numFmtId="39" fontId="15" fillId="4" borderId="37" xfId="0" applyNumberFormat="1" applyFont="1" applyFill="1" applyBorder="1" applyAlignment="1">
      <alignment vertical="center"/>
    </xf>
    <xf numFmtId="39" fontId="15" fillId="4" borderId="22" xfId="0" applyNumberFormat="1" applyFont="1" applyFill="1" applyBorder="1" applyAlignment="1">
      <alignment vertical="center"/>
    </xf>
    <xf numFmtId="39" fontId="15" fillId="4" borderId="38" xfId="0" applyNumberFormat="1" applyFont="1" applyFill="1" applyBorder="1" applyAlignment="1">
      <alignment vertical="center"/>
    </xf>
    <xf numFmtId="39" fontId="15" fillId="4" borderId="50" xfId="0" applyNumberFormat="1" applyFont="1" applyFill="1" applyBorder="1" applyAlignment="1">
      <alignment vertical="center"/>
    </xf>
    <xf numFmtId="39" fontId="15" fillId="4" borderId="39" xfId="0" applyNumberFormat="1" applyFont="1" applyFill="1" applyBorder="1" applyAlignment="1">
      <alignment horizontal="right" vertical="center"/>
    </xf>
    <xf numFmtId="39" fontId="15" fillId="4" borderId="37" xfId="0" applyNumberFormat="1" applyFont="1" applyFill="1" applyBorder="1" applyAlignment="1">
      <alignment horizontal="right" vertical="center"/>
    </xf>
    <xf numFmtId="39" fontId="15" fillId="4" borderId="20" xfId="0" applyNumberFormat="1" applyFont="1" applyFill="1" applyBorder="1" applyAlignment="1">
      <alignment horizontal="right" vertical="center"/>
    </xf>
    <xf numFmtId="39" fontId="15" fillId="4" borderId="50" xfId="0" applyNumberFormat="1" applyFont="1" applyFill="1" applyBorder="1" applyAlignment="1">
      <alignment horizontal="right" vertical="center"/>
    </xf>
    <xf numFmtId="39" fontId="15" fillId="4" borderId="20" xfId="0" applyNumberFormat="1" applyFont="1" applyFill="1" applyBorder="1" applyAlignment="1">
      <alignment vertical="center"/>
    </xf>
    <xf numFmtId="39" fontId="15" fillId="4" borderId="49" xfId="0" applyNumberFormat="1" applyFont="1" applyFill="1" applyBorder="1" applyAlignment="1">
      <alignment horizontal="right" vertical="center"/>
    </xf>
    <xf numFmtId="39" fontId="40" fillId="0" borderId="0" xfId="0" applyNumberFormat="1" applyFont="1" applyAlignment="1">
      <alignment vertical="center"/>
    </xf>
    <xf numFmtId="39" fontId="45" fillId="4" borderId="7" xfId="0" applyNumberFormat="1" applyFont="1" applyFill="1" applyBorder="1" applyAlignment="1">
      <alignment horizontal="right" vertical="center"/>
    </xf>
    <xf numFmtId="39" fontId="40" fillId="4" borderId="7" xfId="0" applyNumberFormat="1" applyFont="1" applyFill="1" applyBorder="1" applyAlignment="1">
      <alignment horizontal="right" vertical="center"/>
    </xf>
    <xf numFmtId="39" fontId="12" fillId="8" borderId="0" xfId="0" applyNumberFormat="1" applyFont="1" applyFill="1" applyAlignment="1">
      <alignment vertical="center"/>
    </xf>
    <xf numFmtId="39" fontId="12" fillId="4" borderId="40" xfId="0" applyNumberFormat="1" applyFont="1" applyFill="1" applyBorder="1" applyAlignment="1">
      <alignment horizontal="right" vertical="center"/>
    </xf>
    <xf numFmtId="39" fontId="12" fillId="4" borderId="41" xfId="0" applyNumberFormat="1" applyFont="1" applyFill="1" applyBorder="1" applyAlignment="1">
      <alignment horizontal="right" vertical="center"/>
    </xf>
    <xf numFmtId="39" fontId="12" fillId="4" borderId="42" xfId="0" applyNumberFormat="1" applyFont="1" applyFill="1" applyBorder="1" applyAlignment="1">
      <alignment horizontal="right" vertical="center"/>
    </xf>
    <xf numFmtId="39" fontId="12" fillId="4" borderId="51" xfId="0" applyNumberFormat="1" applyFont="1" applyFill="1" applyBorder="1" applyAlignment="1">
      <alignment horizontal="right" vertical="center"/>
    </xf>
    <xf numFmtId="39" fontId="33" fillId="14" borderId="0" xfId="0" applyNumberFormat="1" applyFont="1" applyFill="1" applyAlignment="1">
      <alignment vertical="center"/>
    </xf>
    <xf numFmtId="39" fontId="40" fillId="14" borderId="0" xfId="0" applyNumberFormat="1" applyFont="1" applyFill="1" applyAlignment="1">
      <alignment vertical="center"/>
    </xf>
    <xf numFmtId="39" fontId="15" fillId="14" borderId="0" xfId="0" applyNumberFormat="1" applyFont="1" applyFill="1" applyAlignment="1">
      <alignment vertical="center"/>
    </xf>
    <xf numFmtId="39" fontId="15" fillId="14" borderId="0" xfId="0" applyNumberFormat="1" applyFont="1" applyFill="1" applyAlignment="1">
      <alignment horizontal="right" vertical="center"/>
    </xf>
    <xf numFmtId="39" fontId="15" fillId="4" borderId="43" xfId="0" applyNumberFormat="1" applyFont="1" applyFill="1" applyBorder="1" applyAlignment="1">
      <alignment vertical="center"/>
    </xf>
    <xf numFmtId="39" fontId="15" fillId="4" borderId="44" xfId="0" applyNumberFormat="1" applyFont="1" applyFill="1" applyBorder="1" applyAlignment="1">
      <alignment vertical="center"/>
    </xf>
    <xf numFmtId="39" fontId="15" fillId="4" borderId="47" xfId="0" applyNumberFormat="1" applyFont="1" applyFill="1" applyBorder="1" applyAlignment="1">
      <alignment vertical="center"/>
    </xf>
    <xf numFmtId="39" fontId="39" fillId="2" borderId="20" xfId="0" applyNumberFormat="1" applyFont="1" applyFill="1" applyBorder="1" applyAlignment="1">
      <alignment vertical="center"/>
    </xf>
    <xf numFmtId="39" fontId="12" fillId="4" borderId="37" xfId="0" applyNumberFormat="1" applyFont="1" applyFill="1" applyBorder="1" applyAlignment="1">
      <alignment horizontal="right" vertical="center"/>
    </xf>
    <xf numFmtId="39" fontId="12" fillId="4" borderId="22" xfId="0" applyNumberFormat="1" applyFont="1" applyFill="1" applyBorder="1" applyAlignment="1">
      <alignment horizontal="right" vertical="center"/>
    </xf>
    <xf numFmtId="39" fontId="12" fillId="4" borderId="38" xfId="0" applyNumberFormat="1" applyFont="1" applyFill="1" applyBorder="1" applyAlignment="1">
      <alignment horizontal="right" vertical="center"/>
    </xf>
    <xf numFmtId="39" fontId="12" fillId="4" borderId="50" xfId="0" applyNumberFormat="1" applyFont="1" applyFill="1" applyBorder="1" applyAlignment="1">
      <alignment horizontal="right" vertical="center"/>
    </xf>
    <xf numFmtId="39" fontId="45" fillId="4" borderId="0" xfId="0" applyNumberFormat="1" applyFont="1" applyFill="1" applyAlignment="1">
      <alignment vertical="center"/>
    </xf>
    <xf numFmtId="39" fontId="53" fillId="8" borderId="0" xfId="0" applyNumberFormat="1" applyFont="1" applyFill="1" applyAlignment="1">
      <alignment vertical="center"/>
    </xf>
    <xf numFmtId="39" fontId="53" fillId="4" borderId="40" xfId="0" applyNumberFormat="1" applyFont="1" applyFill="1" applyBorder="1" applyAlignment="1">
      <alignment horizontal="right" vertical="center"/>
    </xf>
    <xf numFmtId="39" fontId="53" fillId="4" borderId="41" xfId="0" applyNumberFormat="1" applyFont="1" applyFill="1" applyBorder="1" applyAlignment="1">
      <alignment horizontal="right" vertical="center"/>
    </xf>
    <xf numFmtId="39" fontId="53" fillId="4" borderId="42" xfId="0" applyNumberFormat="1" applyFont="1" applyFill="1" applyBorder="1" applyAlignment="1">
      <alignment horizontal="right" vertical="center"/>
    </xf>
    <xf numFmtId="39" fontId="53" fillId="4" borderId="51" xfId="0" applyNumberFormat="1" applyFont="1" applyFill="1" applyBorder="1" applyAlignment="1">
      <alignment horizontal="right" vertical="center"/>
    </xf>
    <xf numFmtId="39" fontId="58" fillId="0" borderId="0" xfId="0" applyNumberFormat="1" applyFont="1"/>
    <xf numFmtId="39" fontId="62" fillId="4" borderId="0" xfId="0" applyNumberFormat="1" applyFont="1" applyFill="1" applyAlignment="1">
      <alignment horizontal="right" vertical="center"/>
    </xf>
    <xf numFmtId="39" fontId="62" fillId="8" borderId="0" xfId="0" applyNumberFormat="1" applyFont="1" applyFill="1" applyAlignment="1">
      <alignment vertical="center"/>
    </xf>
    <xf numFmtId="39" fontId="62" fillId="4" borderId="2" xfId="0" applyNumberFormat="1" applyFont="1" applyFill="1" applyBorder="1" applyAlignment="1">
      <alignment horizontal="right" vertical="center"/>
    </xf>
    <xf numFmtId="39" fontId="52" fillId="8" borderId="22" xfId="0" applyNumberFormat="1" applyFont="1" applyFill="1" applyBorder="1" applyAlignment="1">
      <alignment vertical="center"/>
    </xf>
    <xf numFmtId="39" fontId="40" fillId="8" borderId="0" xfId="0" applyNumberFormat="1" applyFont="1" applyFill="1" applyAlignment="1">
      <alignment vertical="center"/>
    </xf>
    <xf numFmtId="39" fontId="52" fillId="8" borderId="0" xfId="0" applyNumberFormat="1" applyFont="1" applyFill="1" applyAlignment="1">
      <alignment vertical="center"/>
    </xf>
    <xf numFmtId="39" fontId="52" fillId="14" borderId="0" xfId="0" applyNumberFormat="1" applyFont="1" applyFill="1" applyAlignment="1">
      <alignment vertical="center"/>
    </xf>
    <xf numFmtId="39" fontId="52" fillId="8" borderId="0" xfId="0" applyNumberFormat="1" applyFont="1" applyFill="1" applyAlignment="1">
      <alignment horizontal="right" vertical="center"/>
    </xf>
    <xf numFmtId="39" fontId="52" fillId="14" borderId="20" xfId="0" applyNumberFormat="1" applyFont="1" applyFill="1" applyBorder="1" applyAlignment="1">
      <alignment vertical="center"/>
    </xf>
    <xf numFmtId="39" fontId="52" fillId="14" borderId="0" xfId="0" applyNumberFormat="1" applyFont="1" applyFill="1" applyAlignment="1">
      <alignment horizontal="right" vertical="center"/>
    </xf>
    <xf numFmtId="39" fontId="52" fillId="0" borderId="0" xfId="0" applyNumberFormat="1" applyFont="1"/>
    <xf numFmtId="39" fontId="31" fillId="0" borderId="0" xfId="0" applyNumberFormat="1" applyFont="1" applyAlignment="1">
      <alignment vertical="center"/>
    </xf>
    <xf numFmtId="39" fontId="52" fillId="0" borderId="0" xfId="0" applyNumberFormat="1" applyFont="1" applyAlignment="1">
      <alignment vertical="center"/>
    </xf>
    <xf numFmtId="39" fontId="52" fillId="0" borderId="0" xfId="0" applyNumberFormat="1" applyFont="1" applyAlignment="1">
      <alignment horizontal="right" vertical="center"/>
    </xf>
    <xf numFmtId="39" fontId="33" fillId="22" borderId="22" xfId="0" applyNumberFormat="1" applyFont="1" applyFill="1" applyBorder="1" applyAlignment="1">
      <alignment vertical="center"/>
    </xf>
    <xf numFmtId="39" fontId="31" fillId="22" borderId="0" xfId="0" applyNumberFormat="1" applyFont="1" applyFill="1" applyAlignment="1">
      <alignment vertical="center"/>
    </xf>
    <xf numFmtId="39" fontId="41" fillId="0" borderId="0" xfId="0" applyNumberFormat="1" applyFont="1"/>
    <xf numFmtId="39" fontId="39" fillId="0" borderId="0" xfId="0" applyNumberFormat="1" applyFont="1"/>
    <xf numFmtId="39" fontId="40" fillId="0" borderId="0" xfId="0" applyNumberFormat="1" applyFont="1"/>
    <xf numFmtId="39" fontId="31" fillId="0" borderId="0" xfId="0" quotePrefix="1" applyNumberFormat="1" applyFont="1" applyAlignment="1">
      <alignment horizontal="center" vertical="center"/>
    </xf>
    <xf numFmtId="39" fontId="31" fillId="0" borderId="25" xfId="0" applyNumberFormat="1" applyFont="1" applyBorder="1" applyAlignment="1">
      <alignment horizontal="center"/>
    </xf>
    <xf numFmtId="39" fontId="40" fillId="0" borderId="0" xfId="0" applyNumberFormat="1" applyFont="1" applyAlignment="1">
      <alignment horizontal="center"/>
    </xf>
    <xf numFmtId="39" fontId="41" fillId="0" borderId="25" xfId="0" applyNumberFormat="1" applyFont="1" applyBorder="1" applyAlignment="1">
      <alignment vertical="center"/>
    </xf>
    <xf numFmtId="39" fontId="41" fillId="2" borderId="25" xfId="0" applyNumberFormat="1" applyFont="1" applyFill="1" applyBorder="1" applyAlignment="1">
      <alignment vertical="center"/>
    </xf>
    <xf numFmtId="39" fontId="40" fillId="2" borderId="25" xfId="0" applyNumberFormat="1" applyFont="1" applyFill="1" applyBorder="1" applyAlignment="1">
      <alignment vertical="center"/>
    </xf>
    <xf numFmtId="39" fontId="40" fillId="11" borderId="8" xfId="0" applyNumberFormat="1" applyFont="1" applyFill="1" applyBorder="1" applyAlignment="1">
      <alignment vertical="center"/>
    </xf>
    <xf numFmtId="37" fontId="31" fillId="2" borderId="70" xfId="0" applyNumberFormat="1" applyFont="1" applyFill="1" applyBorder="1" applyAlignment="1">
      <alignment horizontal="center" vertical="center"/>
    </xf>
    <xf numFmtId="37" fontId="41" fillId="2" borderId="70" xfId="0" applyNumberFormat="1" applyFont="1" applyFill="1" applyBorder="1" applyAlignment="1">
      <alignment vertical="center" wrapText="1"/>
    </xf>
    <xf numFmtId="37" fontId="40" fillId="2" borderId="0" xfId="0" applyNumberFormat="1" applyFont="1" applyFill="1" applyAlignment="1">
      <alignment horizontal="center" vertical="center" wrapText="1"/>
    </xf>
    <xf numFmtId="37" fontId="31" fillId="6" borderId="0" xfId="0" applyNumberFormat="1" applyFont="1" applyFill="1" applyAlignment="1">
      <alignment horizontal="center" vertical="center" wrapText="1"/>
    </xf>
    <xf numFmtId="37" fontId="40" fillId="6" borderId="0" xfId="0" applyNumberFormat="1" applyFont="1" applyFill="1" applyAlignment="1">
      <alignment horizontal="center" vertical="center" wrapText="1"/>
    </xf>
    <xf numFmtId="37" fontId="41" fillId="2" borderId="7" xfId="0" applyNumberFormat="1" applyFont="1" applyFill="1" applyBorder="1" applyAlignment="1">
      <alignment vertical="center" wrapText="1"/>
    </xf>
    <xf numFmtId="37" fontId="41" fillId="4" borderId="7" xfId="0" applyNumberFormat="1" applyFont="1" applyFill="1" applyBorder="1" applyAlignment="1">
      <alignment vertical="center" wrapText="1"/>
    </xf>
    <xf numFmtId="37" fontId="41" fillId="2" borderId="20" xfId="0" applyNumberFormat="1" applyFont="1" applyFill="1" applyBorder="1" applyAlignment="1">
      <alignment vertical="center" wrapText="1"/>
    </xf>
    <xf numFmtId="37" fontId="41" fillId="0" borderId="7" xfId="0" applyNumberFormat="1" applyFont="1" applyBorder="1" applyAlignment="1">
      <alignment vertical="center" wrapText="1"/>
    </xf>
    <xf numFmtId="37" fontId="41" fillId="10" borderId="7" xfId="0" applyNumberFormat="1" applyFont="1" applyFill="1" applyBorder="1" applyAlignment="1">
      <alignment vertical="center" wrapText="1"/>
    </xf>
    <xf numFmtId="37" fontId="41" fillId="11" borderId="7" xfId="0" applyNumberFormat="1" applyFont="1" applyFill="1" applyBorder="1" applyAlignment="1">
      <alignment vertical="center" wrapText="1"/>
    </xf>
    <xf numFmtId="37" fontId="41" fillId="2" borderId="59" xfId="0" applyNumberFormat="1" applyFont="1" applyFill="1" applyBorder="1" applyAlignment="1">
      <alignment vertical="center" wrapText="1"/>
    </xf>
    <xf numFmtId="37" fontId="41" fillId="2" borderId="60" xfId="0" applyNumberFormat="1" applyFont="1" applyFill="1" applyBorder="1" applyAlignment="1">
      <alignment vertical="center" wrapText="1"/>
    </xf>
    <xf numFmtId="37" fontId="41" fillId="2" borderId="67" xfId="0" applyNumberFormat="1" applyFont="1" applyFill="1" applyBorder="1" applyAlignment="1">
      <alignment vertical="center" wrapText="1"/>
    </xf>
    <xf numFmtId="37" fontId="41" fillId="2" borderId="68" xfId="0" applyNumberFormat="1" applyFont="1" applyFill="1" applyBorder="1" applyAlignment="1">
      <alignment vertical="center" wrapText="1"/>
    </xf>
    <xf numFmtId="37" fontId="41" fillId="2" borderId="7" xfId="0" quotePrefix="1" applyNumberFormat="1" applyFont="1" applyFill="1" applyBorder="1" applyAlignment="1">
      <alignment horizontal="left" vertical="center" wrapText="1"/>
    </xf>
    <xf numFmtId="37" fontId="41" fillId="2" borderId="64" xfId="0" applyNumberFormat="1" applyFont="1" applyFill="1" applyBorder="1" applyAlignment="1">
      <alignment vertical="center" wrapText="1"/>
    </xf>
    <xf numFmtId="37" fontId="31" fillId="17" borderId="0" xfId="0" applyNumberFormat="1" applyFont="1" applyFill="1" applyAlignment="1">
      <alignment vertical="center"/>
    </xf>
    <xf numFmtId="37" fontId="41" fillId="2" borderId="52" xfId="0" applyNumberFormat="1" applyFont="1" applyFill="1" applyBorder="1" applyAlignment="1">
      <alignment vertical="center" wrapText="1"/>
    </xf>
    <xf numFmtId="37" fontId="41" fillId="0" borderId="52" xfId="0" applyNumberFormat="1" applyFont="1" applyBorder="1" applyAlignment="1">
      <alignment vertical="center" wrapText="1"/>
    </xf>
    <xf numFmtId="37" fontId="41" fillId="0" borderId="70" xfId="0" applyNumberFormat="1" applyFont="1" applyBorder="1" applyAlignment="1">
      <alignment vertical="center" wrapText="1"/>
    </xf>
    <xf numFmtId="37" fontId="31" fillId="3" borderId="0" xfId="0" applyNumberFormat="1" applyFont="1" applyFill="1" applyAlignment="1">
      <alignment horizontal="center" vertical="center"/>
    </xf>
    <xf numFmtId="37" fontId="41" fillId="3" borderId="0" xfId="0" applyNumberFormat="1" applyFont="1" applyFill="1" applyAlignment="1">
      <alignment vertical="center" wrapText="1"/>
    </xf>
    <xf numFmtId="3" fontId="41" fillId="3" borderId="0" xfId="0" applyNumberFormat="1" applyFont="1" applyFill="1" applyAlignment="1">
      <alignment vertical="center" wrapText="1"/>
    </xf>
    <xf numFmtId="3" fontId="1" fillId="17" borderId="0" xfId="0" applyNumberFormat="1" applyFont="1" applyFill="1" applyAlignment="1">
      <alignment vertical="center" wrapText="1"/>
    </xf>
    <xf numFmtId="3" fontId="41" fillId="17" borderId="0" xfId="0" applyNumberFormat="1" applyFont="1" applyFill="1" applyAlignment="1">
      <alignment vertical="center" wrapText="1"/>
    </xf>
    <xf numFmtId="3" fontId="41" fillId="2" borderId="0" xfId="0" applyNumberFormat="1" applyFont="1" applyFill="1" applyAlignment="1">
      <alignment vertical="center" wrapText="1"/>
    </xf>
    <xf numFmtId="3" fontId="41" fillId="4" borderId="0" xfId="0" applyNumberFormat="1" applyFont="1" applyFill="1" applyAlignment="1">
      <alignment vertical="center" wrapText="1"/>
    </xf>
    <xf numFmtId="2" fontId="41" fillId="2" borderId="0" xfId="0" applyNumberFormat="1" applyFont="1" applyFill="1" applyAlignment="1">
      <alignment vertical="center" wrapText="1"/>
    </xf>
    <xf numFmtId="37" fontId="1" fillId="2" borderId="70" xfId="0" quotePrefix="1" applyNumberFormat="1" applyFont="1" applyFill="1" applyBorder="1" applyAlignment="1">
      <alignment vertical="center" wrapText="1"/>
    </xf>
    <xf numFmtId="37" fontId="33" fillId="12" borderId="70" xfId="0" applyNumberFormat="1" applyFont="1" applyFill="1" applyBorder="1" applyAlignment="1">
      <alignment horizontal="center" vertical="center"/>
    </xf>
    <xf numFmtId="3" fontId="33" fillId="10" borderId="70" xfId="0" applyNumberFormat="1" applyFont="1" applyFill="1" applyBorder="1" applyAlignment="1">
      <alignment horizontal="center" vertical="center"/>
    </xf>
    <xf numFmtId="0" fontId="1" fillId="42" borderId="70" xfId="0" applyFont="1" applyFill="1" applyBorder="1" applyAlignment="1">
      <alignment horizontal="center" vertical="center"/>
    </xf>
    <xf numFmtId="3" fontId="33" fillId="42" borderId="70" xfId="0" applyNumberFormat="1" applyFont="1" applyFill="1" applyBorder="1" applyAlignment="1">
      <alignment horizontal="center" vertical="center"/>
    </xf>
    <xf numFmtId="3" fontId="3" fillId="42" borderId="70" xfId="0" applyNumberFormat="1" applyFont="1" applyFill="1" applyBorder="1" applyAlignment="1">
      <alignment vertical="center"/>
    </xf>
    <xf numFmtId="3" fontId="1" fillId="42" borderId="70" xfId="0" applyNumberFormat="1" applyFont="1" applyFill="1" applyBorder="1" applyAlignment="1">
      <alignment vertical="center"/>
    </xf>
    <xf numFmtId="37" fontId="33" fillId="42" borderId="70" xfId="0" applyNumberFormat="1" applyFont="1" applyFill="1" applyBorder="1" applyAlignment="1">
      <alignment vertical="center"/>
    </xf>
    <xf numFmtId="37" fontId="39" fillId="42" borderId="70" xfId="0" applyNumberFormat="1" applyFont="1" applyFill="1" applyBorder="1" applyAlignment="1">
      <alignment vertical="center"/>
    </xf>
    <xf numFmtId="37" fontId="47" fillId="42" borderId="0" xfId="0" applyNumberFormat="1" applyFont="1" applyFill="1" applyAlignment="1">
      <alignment horizontal="center" vertical="center"/>
    </xf>
    <xf numFmtId="37" fontId="1" fillId="42" borderId="52" xfId="0" applyNumberFormat="1" applyFont="1" applyFill="1" applyBorder="1" applyAlignment="1">
      <alignment vertical="center"/>
    </xf>
    <xf numFmtId="37" fontId="41" fillId="42" borderId="20" xfId="0" applyNumberFormat="1" applyFont="1" applyFill="1" applyBorder="1" applyAlignment="1">
      <alignment vertical="center"/>
    </xf>
    <xf numFmtId="37" fontId="39" fillId="42" borderId="20" xfId="0" applyNumberFormat="1" applyFont="1" applyFill="1" applyBorder="1" applyAlignment="1">
      <alignment vertical="center"/>
    </xf>
    <xf numFmtId="3" fontId="1" fillId="42" borderId="0" xfId="0" applyNumberFormat="1" applyFont="1" applyFill="1" applyAlignment="1">
      <alignment vertical="center"/>
    </xf>
    <xf numFmtId="15" fontId="1" fillId="2" borderId="2" xfId="0" applyNumberFormat="1" applyFont="1" applyFill="1" applyBorder="1" applyAlignment="1">
      <alignment horizontal="center" vertical="center"/>
    </xf>
    <xf numFmtId="3" fontId="39" fillId="10" borderId="20" xfId="0" applyNumberFormat="1" applyFont="1" applyFill="1" applyBorder="1" applyAlignment="1">
      <alignment vertical="center" wrapText="1"/>
    </xf>
    <xf numFmtId="37" fontId="39" fillId="10" borderId="20" xfId="0" quotePrefix="1" applyNumberFormat="1" applyFont="1" applyFill="1" applyBorder="1" applyAlignment="1">
      <alignment vertical="center"/>
    </xf>
    <xf numFmtId="37" fontId="31" fillId="10" borderId="20" xfId="0" applyNumberFormat="1" applyFont="1" applyFill="1" applyBorder="1" applyAlignment="1">
      <alignment horizontal="center" vertical="center"/>
    </xf>
    <xf numFmtId="3" fontId="45" fillId="10" borderId="20" xfId="0" applyNumberFormat="1" applyFont="1" applyFill="1" applyBorder="1" applyAlignment="1">
      <alignment vertical="center"/>
    </xf>
    <xf numFmtId="49" fontId="2" fillId="12" borderId="16" xfId="0" applyNumberFormat="1" applyFont="1" applyFill="1" applyBorder="1" applyAlignment="1">
      <alignment vertical="center"/>
    </xf>
    <xf numFmtId="15" fontId="1" fillId="2" borderId="16" xfId="0" applyNumberFormat="1" applyFont="1" applyFill="1" applyBorder="1" applyAlignment="1">
      <alignment horizontal="center" vertical="center"/>
    </xf>
    <xf numFmtId="3" fontId="31" fillId="12" borderId="16" xfId="0" applyNumberFormat="1" applyFont="1" applyFill="1" applyBorder="1" applyAlignment="1">
      <alignment horizontal="center" vertical="center"/>
    </xf>
    <xf numFmtId="3" fontId="45" fillId="12" borderId="16" xfId="0" applyNumberFormat="1" applyFont="1" applyFill="1" applyBorder="1" applyAlignment="1">
      <alignment vertical="center"/>
    </xf>
    <xf numFmtId="15" fontId="1" fillId="2" borderId="13" xfId="0" applyNumberFormat="1" applyFont="1" applyFill="1" applyBorder="1" applyAlignment="1">
      <alignment vertical="center"/>
    </xf>
    <xf numFmtId="170" fontId="39" fillId="2" borderId="0" xfId="0" applyNumberFormat="1" applyFont="1" applyFill="1" applyAlignment="1">
      <alignment vertical="center"/>
    </xf>
    <xf numFmtId="3" fontId="41" fillId="2" borderId="70" xfId="0" quotePrefix="1" applyNumberFormat="1" applyFont="1" applyFill="1" applyBorder="1" applyAlignment="1">
      <alignment horizontal="left" vertical="center"/>
    </xf>
    <xf numFmtId="3" fontId="3" fillId="2" borderId="70" xfId="0" applyNumberFormat="1" applyFont="1" applyFill="1" applyBorder="1" applyAlignment="1" applyProtection="1">
      <alignment vertical="center"/>
      <protection locked="0"/>
    </xf>
    <xf numFmtId="37" fontId="33" fillId="15" borderId="20" xfId="0" applyNumberFormat="1" applyFont="1" applyFill="1" applyBorder="1" applyAlignment="1">
      <alignment horizontal="center" vertical="center"/>
    </xf>
    <xf numFmtId="3" fontId="39" fillId="15" borderId="20" xfId="0" applyNumberFormat="1" applyFont="1" applyFill="1" applyBorder="1" applyAlignment="1">
      <alignment vertical="center" wrapText="1"/>
    </xf>
    <xf numFmtId="37" fontId="39" fillId="15" borderId="20" xfId="0" quotePrefix="1" applyNumberFormat="1" applyFont="1" applyFill="1" applyBorder="1" applyAlignment="1">
      <alignment vertical="center"/>
    </xf>
    <xf numFmtId="37" fontId="31" fillId="15" borderId="20" xfId="0" applyNumberFormat="1" applyFont="1" applyFill="1" applyBorder="1" applyAlignment="1">
      <alignment horizontal="center" vertical="center"/>
    </xf>
    <xf numFmtId="3" fontId="45" fillId="15" borderId="20" xfId="0" applyNumberFormat="1" applyFont="1" applyFill="1" applyBorder="1" applyAlignment="1">
      <alignment vertical="center"/>
    </xf>
    <xf numFmtId="3" fontId="35" fillId="15" borderId="20" xfId="0" applyNumberFormat="1" applyFont="1" applyFill="1" applyBorder="1" applyAlignment="1">
      <alignment vertical="center"/>
    </xf>
    <xf numFmtId="0" fontId="33" fillId="0" borderId="70" xfId="0" applyFont="1" applyBorder="1" applyAlignment="1">
      <alignment horizontal="center" vertical="center"/>
    </xf>
    <xf numFmtId="39" fontId="15" fillId="4" borderId="70" xfId="0" applyNumberFormat="1" applyFont="1" applyFill="1" applyBorder="1" applyAlignment="1">
      <alignment vertical="center"/>
    </xf>
    <xf numFmtId="39" fontId="15" fillId="4" borderId="70" xfId="0" applyNumberFormat="1" applyFont="1" applyFill="1" applyBorder="1" applyAlignment="1">
      <alignment horizontal="right" vertical="center"/>
    </xf>
    <xf numFmtId="0" fontId="39" fillId="2" borderId="20" xfId="0" applyFont="1" applyFill="1" applyBorder="1" applyAlignment="1">
      <alignment horizontal="left" vertical="center" wrapText="1"/>
    </xf>
    <xf numFmtId="37" fontId="39" fillId="42" borderId="20" xfId="0" quotePrefix="1" applyNumberFormat="1" applyFont="1" applyFill="1" applyBorder="1" applyAlignment="1">
      <alignment vertical="center"/>
    </xf>
    <xf numFmtId="37" fontId="39" fillId="20" borderId="20" xfId="0" quotePrefix="1" applyNumberFormat="1" applyFont="1" applyFill="1" applyBorder="1" applyAlignment="1">
      <alignment vertical="center"/>
    </xf>
    <xf numFmtId="0" fontId="1" fillId="12" borderId="7" xfId="0" applyFont="1" applyFill="1" applyBorder="1" applyAlignment="1">
      <alignment horizontal="center" vertical="center"/>
    </xf>
    <xf numFmtId="37" fontId="40" fillId="0" borderId="64" xfId="0" quotePrefix="1" applyNumberFormat="1" applyFont="1" applyBorder="1" applyAlignment="1">
      <alignment horizontal="center" vertical="center"/>
    </xf>
    <xf numFmtId="9" fontId="2" fillId="0" borderId="64" xfId="1" applyFont="1" applyFill="1" applyBorder="1" applyAlignment="1">
      <alignment vertical="center"/>
    </xf>
    <xf numFmtId="3" fontId="1" fillId="0" borderId="64" xfId="0" applyNumberFormat="1" applyFont="1" applyBorder="1" applyAlignment="1">
      <alignment vertical="center"/>
    </xf>
    <xf numFmtId="37" fontId="40" fillId="0" borderId="64" xfId="0" applyNumberFormat="1" applyFont="1" applyBorder="1" applyAlignment="1">
      <alignment vertical="center"/>
    </xf>
    <xf numFmtId="3" fontId="40" fillId="0" borderId="64" xfId="0" quotePrefix="1" applyNumberFormat="1" applyFont="1" applyBorder="1" applyAlignment="1">
      <alignment horizontal="center" vertical="center"/>
    </xf>
    <xf numFmtId="9" fontId="2" fillId="0" borderId="64" xfId="0" applyNumberFormat="1" applyFont="1" applyBorder="1" applyAlignment="1">
      <alignment vertical="center"/>
    </xf>
    <xf numFmtId="15" fontId="33" fillId="12" borderId="70" xfId="0" applyNumberFormat="1" applyFont="1" applyFill="1" applyBorder="1" applyAlignment="1">
      <alignment horizontal="center" vertical="center"/>
    </xf>
    <xf numFmtId="0" fontId="45" fillId="12" borderId="70" xfId="0" applyFont="1" applyFill="1" applyBorder="1" applyAlignment="1">
      <alignment horizontal="center" vertical="center"/>
    </xf>
    <xf numFmtId="15" fontId="1" fillId="12" borderId="70" xfId="0" applyNumberFormat="1" applyFont="1" applyFill="1" applyBorder="1" applyAlignment="1">
      <alignment horizontal="center" vertical="center"/>
    </xf>
    <xf numFmtId="37" fontId="33" fillId="12" borderId="65" xfId="0" applyNumberFormat="1" applyFont="1" applyFill="1" applyBorder="1" applyAlignment="1">
      <alignment horizontal="center" vertical="center"/>
    </xf>
    <xf numFmtId="15" fontId="33" fillId="12" borderId="65" xfId="0" applyNumberFormat="1" applyFont="1" applyFill="1" applyBorder="1" applyAlignment="1">
      <alignment horizontal="center" vertical="center"/>
    </xf>
    <xf numFmtId="15" fontId="1" fillId="12" borderId="7" xfId="0" applyNumberFormat="1" applyFont="1" applyFill="1" applyBorder="1" applyAlignment="1">
      <alignment horizontal="center" vertical="center"/>
    </xf>
    <xf numFmtId="0" fontId="41" fillId="12" borderId="65" xfId="0" applyFont="1" applyFill="1" applyBorder="1" applyAlignment="1">
      <alignment horizontal="center" vertical="center"/>
    </xf>
    <xf numFmtId="37" fontId="1" fillId="12" borderId="70" xfId="0" applyNumberFormat="1" applyFont="1" applyFill="1" applyBorder="1" applyAlignment="1">
      <alignment vertical="center"/>
    </xf>
    <xf numFmtId="37" fontId="39" fillId="12" borderId="70" xfId="0" applyNumberFormat="1" applyFont="1" applyFill="1" applyBorder="1" applyAlignment="1">
      <alignment horizontal="center" vertical="center"/>
    </xf>
    <xf numFmtId="37" fontId="45" fillId="12" borderId="70" xfId="0" applyNumberFormat="1" applyFont="1" applyFill="1" applyBorder="1" applyAlignment="1">
      <alignment horizontal="center" vertical="center"/>
    </xf>
    <xf numFmtId="49" fontId="1" fillId="12" borderId="7" xfId="0" applyNumberFormat="1" applyFont="1" applyFill="1" applyBorder="1" applyAlignment="1">
      <alignment horizontal="center" vertical="center"/>
    </xf>
    <xf numFmtId="37" fontId="45" fillId="12" borderId="18" xfId="0" applyNumberFormat="1" applyFont="1" applyFill="1" applyBorder="1" applyAlignment="1">
      <alignment vertical="center"/>
    </xf>
    <xf numFmtId="0" fontId="1" fillId="12" borderId="21" xfId="0" applyFont="1" applyFill="1" applyBorder="1" applyAlignment="1">
      <alignment horizontal="center" vertical="center"/>
    </xf>
    <xf numFmtId="3" fontId="33" fillId="12" borderId="22" xfId="0" applyNumberFormat="1" applyFont="1" applyFill="1" applyBorder="1" applyAlignment="1">
      <alignment horizontal="center" vertical="center"/>
    </xf>
    <xf numFmtId="37" fontId="33" fillId="12" borderId="70" xfId="0" applyNumberFormat="1" applyFont="1" applyFill="1" applyBorder="1" applyAlignment="1">
      <alignment vertical="center"/>
    </xf>
    <xf numFmtId="37" fontId="39" fillId="12" borderId="70" xfId="0" applyNumberFormat="1" applyFont="1" applyFill="1" applyBorder="1" applyAlignment="1">
      <alignment vertical="center"/>
    </xf>
    <xf numFmtId="37" fontId="47" fillId="12" borderId="0" xfId="0" applyNumberFormat="1" applyFont="1" applyFill="1" applyAlignment="1">
      <alignment horizontal="center" vertical="center"/>
    </xf>
    <xf numFmtId="37" fontId="40" fillId="12" borderId="70" xfId="0" applyNumberFormat="1" applyFont="1" applyFill="1" applyBorder="1" applyAlignment="1">
      <alignment vertical="center"/>
    </xf>
    <xf numFmtId="14" fontId="1" fillId="12" borderId="22" xfId="0" applyNumberFormat="1" applyFont="1" applyFill="1" applyBorder="1" applyAlignment="1">
      <alignment vertical="center"/>
    </xf>
    <xf numFmtId="3" fontId="1" fillId="12" borderId="22" xfId="0" applyNumberFormat="1" applyFont="1" applyFill="1" applyBorder="1" applyAlignment="1">
      <alignment vertical="center"/>
    </xf>
    <xf numFmtId="15" fontId="1" fillId="12" borderId="3" xfId="0" applyNumberFormat="1" applyFont="1" applyFill="1" applyBorder="1" applyAlignment="1">
      <alignment horizontal="center" vertical="center"/>
    </xf>
    <xf numFmtId="0" fontId="1" fillId="12" borderId="70" xfId="0" applyFont="1" applyFill="1" applyBorder="1" applyAlignment="1">
      <alignment horizontal="center" vertical="center"/>
    </xf>
    <xf numFmtId="3" fontId="33" fillId="12" borderId="70" xfId="0" applyNumberFormat="1" applyFont="1" applyFill="1" applyBorder="1" applyAlignment="1">
      <alignment horizontal="center" vertical="center"/>
    </xf>
    <xf numFmtId="37" fontId="39" fillId="0" borderId="70" xfId="0" applyNumberFormat="1" applyFont="1" applyBorder="1" applyAlignment="1">
      <alignment horizontal="center" vertical="center"/>
    </xf>
    <xf numFmtId="168" fontId="2" fillId="12" borderId="0" xfId="0" applyNumberFormat="1" applyFont="1" applyFill="1" applyAlignment="1">
      <alignment horizontal="left" vertical="center"/>
    </xf>
    <xf numFmtId="0" fontId="39" fillId="0" borderId="70" xfId="0" applyFont="1" applyBorder="1" applyAlignment="1">
      <alignment horizontal="left" vertical="center" wrapText="1"/>
    </xf>
    <xf numFmtId="37" fontId="41" fillId="0" borderId="70" xfId="0" applyNumberFormat="1" applyFont="1" applyBorder="1" applyAlignment="1">
      <alignment vertical="center"/>
    </xf>
    <xf numFmtId="37" fontId="41" fillId="10" borderId="20" xfId="0" applyNumberFormat="1" applyFont="1" applyFill="1" applyBorder="1" applyAlignment="1">
      <alignment vertical="center"/>
    </xf>
    <xf numFmtId="37" fontId="41" fillId="12" borderId="20" xfId="0" applyNumberFormat="1" applyFont="1" applyFill="1" applyBorder="1" applyAlignment="1">
      <alignment vertical="center"/>
    </xf>
    <xf numFmtId="37" fontId="41" fillId="11" borderId="0" xfId="0" applyNumberFormat="1" applyFont="1" applyFill="1" applyAlignment="1">
      <alignment vertical="center" wrapText="1"/>
    </xf>
    <xf numFmtId="0" fontId="70" fillId="0" borderId="0" xfId="0" applyFont="1" applyAlignment="1">
      <alignment vertical="center"/>
    </xf>
    <xf numFmtId="37" fontId="31" fillId="0" borderId="70" xfId="0" applyNumberFormat="1" applyFont="1" applyBorder="1" applyAlignment="1">
      <alignment horizontal="center" vertical="center"/>
    </xf>
    <xf numFmtId="37" fontId="31" fillId="10" borderId="70" xfId="0" applyNumberFormat="1" applyFont="1" applyFill="1" applyBorder="1" applyAlignment="1">
      <alignment horizontal="center" vertical="center"/>
    </xf>
    <xf numFmtId="3" fontId="39" fillId="12" borderId="9" xfId="0" applyNumberFormat="1" applyFont="1" applyFill="1" applyBorder="1" applyAlignment="1">
      <alignment horizontal="left" vertical="center"/>
    </xf>
    <xf numFmtId="3" fontId="39" fillId="12" borderId="12" xfId="0" applyNumberFormat="1" applyFont="1" applyFill="1" applyBorder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37" fontId="33" fillId="12" borderId="0" xfId="0" applyNumberFormat="1" applyFont="1" applyFill="1" applyAlignment="1">
      <alignment horizontal="center" vertical="center"/>
    </xf>
    <xf numFmtId="0" fontId="39" fillId="12" borderId="0" xfId="0" applyFont="1" applyFill="1" applyAlignment="1">
      <alignment horizontal="left" vertical="center"/>
    </xf>
    <xf numFmtId="37" fontId="1" fillId="12" borderId="0" xfId="0" applyNumberFormat="1" applyFont="1" applyFill="1" applyAlignment="1">
      <alignment vertical="center" wrapText="1"/>
    </xf>
    <xf numFmtId="3" fontId="39" fillId="12" borderId="60" xfId="0" applyNumberFormat="1" applyFont="1" applyFill="1" applyBorder="1" applyAlignment="1">
      <alignment horizontal="left" vertical="center"/>
    </xf>
    <xf numFmtId="37" fontId="1" fillId="12" borderId="65" xfId="0" applyNumberFormat="1" applyFont="1" applyFill="1" applyBorder="1" applyAlignment="1">
      <alignment vertical="center"/>
    </xf>
    <xf numFmtId="49" fontId="1" fillId="12" borderId="70" xfId="0" applyNumberFormat="1" applyFont="1" applyFill="1" applyBorder="1" applyAlignment="1">
      <alignment horizontal="center" vertical="center"/>
    </xf>
    <xf numFmtId="3" fontId="33" fillId="10" borderId="70" xfId="0" applyNumberFormat="1" applyFont="1" applyFill="1" applyBorder="1" applyAlignment="1">
      <alignment vertical="center"/>
    </xf>
    <xf numFmtId="37" fontId="45" fillId="10" borderId="70" xfId="0" applyNumberFormat="1" applyFont="1" applyFill="1" applyBorder="1" applyAlignment="1">
      <alignment horizontal="center" vertical="center"/>
    </xf>
    <xf numFmtId="37" fontId="33" fillId="10" borderId="70" xfId="0" applyNumberFormat="1" applyFont="1" applyFill="1" applyBorder="1" applyAlignment="1">
      <alignment horizontal="center" vertical="center"/>
    </xf>
    <xf numFmtId="37" fontId="45" fillId="24" borderId="70" xfId="0" applyNumberFormat="1" applyFont="1" applyFill="1" applyBorder="1" applyAlignment="1">
      <alignment horizontal="center" vertical="center"/>
    </xf>
    <xf numFmtId="37" fontId="33" fillId="24" borderId="70" xfId="0" applyNumberFormat="1" applyFont="1" applyFill="1" applyBorder="1" applyAlignment="1">
      <alignment horizontal="center" vertical="center"/>
    </xf>
    <xf numFmtId="3" fontId="39" fillId="0" borderId="70" xfId="0" applyNumberFormat="1" applyFont="1" applyBorder="1" applyAlignment="1">
      <alignment horizontal="left" vertical="center"/>
    </xf>
    <xf numFmtId="37" fontId="1" fillId="11" borderId="70" xfId="0" applyNumberFormat="1" applyFont="1" applyFill="1" applyBorder="1" applyAlignment="1">
      <alignment vertical="center"/>
    </xf>
    <xf numFmtId="3" fontId="40" fillId="2" borderId="0" xfId="0" applyNumberFormat="1" applyFont="1" applyFill="1" applyAlignment="1">
      <alignment horizontal="center" vertical="center"/>
    </xf>
    <xf numFmtId="164" fontId="40" fillId="2" borderId="0" xfId="0" applyNumberFormat="1" applyFont="1" applyFill="1" applyAlignment="1">
      <alignment horizontal="center" vertical="center"/>
    </xf>
    <xf numFmtId="37" fontId="40" fillId="2" borderId="0" xfId="0" applyNumberFormat="1" applyFont="1" applyFill="1" applyAlignment="1">
      <alignment horizontal="center" vertical="center"/>
    </xf>
    <xf numFmtId="37" fontId="49" fillId="2" borderId="70" xfId="0" applyNumberFormat="1" applyFont="1" applyFill="1" applyBorder="1" applyAlignment="1">
      <alignment horizontal="center" vertical="center" wrapText="1"/>
    </xf>
    <xf numFmtId="3" fontId="40" fillId="3" borderId="0" xfId="0" applyNumberFormat="1" applyFont="1" applyFill="1" applyAlignment="1">
      <alignment horizontal="center" vertical="center"/>
    </xf>
    <xf numFmtId="3" fontId="40" fillId="2" borderId="23" xfId="0" applyNumberFormat="1" applyFont="1" applyFill="1" applyBorder="1" applyAlignment="1">
      <alignment horizontal="center" vertical="center"/>
    </xf>
    <xf numFmtId="3" fontId="40" fillId="12" borderId="23" xfId="0" applyNumberFormat="1" applyFont="1" applyFill="1" applyBorder="1" applyAlignment="1">
      <alignment horizontal="center" vertical="center"/>
    </xf>
    <xf numFmtId="3" fontId="40" fillId="2" borderId="70" xfId="0" applyNumberFormat="1" applyFont="1" applyFill="1" applyBorder="1" applyAlignment="1">
      <alignment horizontal="center" vertical="center"/>
    </xf>
    <xf numFmtId="3" fontId="40" fillId="12" borderId="70" xfId="0" applyNumberFormat="1" applyFont="1" applyFill="1" applyBorder="1" applyAlignment="1">
      <alignment horizontal="center" vertical="center"/>
    </xf>
    <xf numFmtId="37" fontId="45" fillId="43" borderId="20" xfId="0" applyNumberFormat="1" applyFont="1" applyFill="1" applyBorder="1" applyAlignment="1">
      <alignment vertical="center"/>
    </xf>
    <xf numFmtId="37" fontId="33" fillId="44" borderId="70" xfId="0" applyNumberFormat="1" applyFont="1" applyFill="1" applyBorder="1" applyAlignment="1">
      <alignment horizontal="center" vertical="center"/>
    </xf>
    <xf numFmtId="3" fontId="33" fillId="0" borderId="70" xfId="0" applyNumberFormat="1" applyFont="1" applyBorder="1" applyAlignment="1">
      <alignment vertical="center"/>
    </xf>
    <xf numFmtId="39" fontId="1" fillId="10" borderId="0" xfId="0" applyNumberFormat="1" applyFont="1" applyFill="1" applyAlignment="1">
      <alignment horizontal="left" vertical="center"/>
    </xf>
    <xf numFmtId="39" fontId="1" fillId="20" borderId="0" xfId="0" applyNumberFormat="1" applyFont="1" applyFill="1" applyAlignment="1">
      <alignment horizontal="right" vertical="center"/>
    </xf>
    <xf numFmtId="39" fontId="1" fillId="20" borderId="0" xfId="0" applyNumberFormat="1" applyFont="1" applyFill="1" applyAlignment="1">
      <alignment vertical="center"/>
    </xf>
    <xf numFmtId="37" fontId="33" fillId="25" borderId="70" xfId="0" applyNumberFormat="1" applyFont="1" applyFill="1" applyBorder="1" applyAlignment="1">
      <alignment horizontal="center" vertical="center"/>
    </xf>
    <xf numFmtId="39" fontId="1" fillId="10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left" vertical="center"/>
    </xf>
    <xf numFmtId="166" fontId="35" fillId="2" borderId="7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 vertical="center"/>
    </xf>
    <xf numFmtId="166" fontId="33" fillId="12" borderId="70" xfId="0" applyNumberFormat="1" applyFont="1" applyFill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1" fillId="12" borderId="0" xfId="0" applyNumberFormat="1" applyFont="1" applyFill="1" applyAlignment="1">
      <alignment vertical="center"/>
    </xf>
    <xf numFmtId="166" fontId="2" fillId="2" borderId="12" xfId="0" applyNumberFormat="1" applyFont="1" applyFill="1" applyBorder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166" fontId="1" fillId="7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2" borderId="0" xfId="0" applyNumberFormat="1" applyFont="1" applyFill="1" applyAlignment="1">
      <alignment horizontal="centerContinuous" vertical="center"/>
    </xf>
    <xf numFmtId="166" fontId="33" fillId="16" borderId="0" xfId="0" applyNumberFormat="1" applyFont="1" applyFill="1" applyAlignment="1">
      <alignment vertical="center"/>
    </xf>
    <xf numFmtId="166" fontId="45" fillId="2" borderId="0" xfId="0" applyNumberFormat="1" applyFont="1" applyFill="1" applyAlignment="1">
      <alignment vertical="center"/>
    </xf>
    <xf numFmtId="166" fontId="1" fillId="0" borderId="7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6" fontId="33" fillId="0" borderId="7" xfId="0" applyNumberFormat="1" applyFont="1" applyBorder="1" applyAlignment="1">
      <alignment horizontal="center" vertical="center"/>
    </xf>
    <xf numFmtId="166" fontId="40" fillId="2" borderId="12" xfId="0" applyNumberFormat="1" applyFont="1" applyFill="1" applyBorder="1" applyAlignment="1">
      <alignment vertical="center"/>
    </xf>
    <xf numFmtId="166" fontId="41" fillId="2" borderId="70" xfId="0" applyNumberFormat="1" applyFont="1" applyFill="1" applyBorder="1" applyAlignment="1">
      <alignment horizontal="right" vertical="center"/>
    </xf>
    <xf numFmtId="166" fontId="3" fillId="2" borderId="70" xfId="0" applyNumberFormat="1" applyFont="1" applyFill="1" applyBorder="1" applyAlignment="1" applyProtection="1">
      <alignment horizontal="right" vertical="center"/>
      <protection locked="0"/>
    </xf>
    <xf numFmtId="166" fontId="2" fillId="10" borderId="0" xfId="0" applyNumberFormat="1" applyFont="1" applyFill="1" applyAlignment="1">
      <alignment vertical="center"/>
    </xf>
    <xf numFmtId="166" fontId="1" fillId="6" borderId="0" xfId="0" applyNumberFormat="1" applyFont="1" applyFill="1" applyAlignment="1">
      <alignment vertical="center"/>
    </xf>
    <xf numFmtId="166" fontId="2" fillId="6" borderId="0" xfId="0" applyNumberFormat="1" applyFont="1" applyFill="1" applyAlignment="1">
      <alignment vertical="center"/>
    </xf>
    <xf numFmtId="37" fontId="1" fillId="42" borderId="70" xfId="0" applyNumberFormat="1" applyFont="1" applyFill="1" applyBorder="1" applyAlignment="1">
      <alignment vertical="center"/>
    </xf>
    <xf numFmtId="171" fontId="1" fillId="12" borderId="0" xfId="0" applyNumberFormat="1" applyFont="1" applyFill="1" applyAlignment="1">
      <alignment vertical="center"/>
    </xf>
    <xf numFmtId="171" fontId="1" fillId="42" borderId="0" xfId="0" applyNumberFormat="1" applyFont="1" applyFill="1" applyAlignment="1">
      <alignment vertical="center"/>
    </xf>
    <xf numFmtId="171" fontId="1" fillId="12" borderId="22" xfId="0" applyNumberFormat="1" applyFont="1" applyFill="1" applyBorder="1" applyAlignment="1">
      <alignment vertical="center"/>
    </xf>
    <xf numFmtId="171" fontId="33" fillId="12" borderId="70" xfId="0" applyNumberFormat="1" applyFont="1" applyFill="1" applyBorder="1" applyAlignment="1">
      <alignment vertical="center"/>
    </xf>
    <xf numFmtId="171" fontId="33" fillId="2" borderId="0" xfId="0" applyNumberFormat="1" applyFont="1" applyFill="1" applyAlignment="1">
      <alignment vertical="center"/>
    </xf>
    <xf numFmtId="171" fontId="35" fillId="2" borderId="7" xfId="0" applyNumberFormat="1" applyFont="1" applyFill="1" applyBorder="1" applyAlignment="1">
      <alignment vertical="center" wrapText="1"/>
    </xf>
    <xf numFmtId="171" fontId="32" fillId="2" borderId="0" xfId="0" applyNumberFormat="1" applyFont="1" applyFill="1" applyAlignment="1">
      <alignment vertical="center"/>
    </xf>
    <xf numFmtId="171" fontId="32" fillId="3" borderId="0" xfId="0" applyNumberFormat="1" applyFont="1" applyFill="1" applyAlignment="1">
      <alignment vertical="center"/>
    </xf>
    <xf numFmtId="171" fontId="33" fillId="2" borderId="52" xfId="0" applyNumberFormat="1" applyFont="1" applyFill="1" applyBorder="1" applyAlignment="1">
      <alignment vertical="center"/>
    </xf>
    <xf numFmtId="171" fontId="33" fillId="2" borderId="16" xfId="0" applyNumberFormat="1" applyFont="1" applyFill="1" applyBorder="1" applyAlignment="1">
      <alignment vertical="center"/>
    </xf>
    <xf numFmtId="171" fontId="33" fillId="12" borderId="0" xfId="0" applyNumberFormat="1" applyFont="1" applyFill="1" applyAlignment="1">
      <alignment vertical="center"/>
    </xf>
    <xf numFmtId="171" fontId="33" fillId="2" borderId="70" xfId="0" applyNumberFormat="1" applyFont="1" applyFill="1" applyBorder="1" applyAlignment="1">
      <alignment vertical="center"/>
    </xf>
    <xf numFmtId="39" fontId="1" fillId="10" borderId="0" xfId="0" applyNumberFormat="1" applyFont="1" applyFill="1" applyAlignment="1">
      <alignment horizontal="right" vertical="center"/>
    </xf>
    <xf numFmtId="39" fontId="1" fillId="33" borderId="0" xfId="0" applyNumberFormat="1" applyFont="1" applyFill="1" applyAlignment="1">
      <alignment vertical="center"/>
    </xf>
    <xf numFmtId="39" fontId="1" fillId="33" borderId="0" xfId="0" applyNumberFormat="1" applyFont="1" applyFill="1" applyAlignment="1">
      <alignment horizontal="right" vertical="center"/>
    </xf>
    <xf numFmtId="37" fontId="33" fillId="43" borderId="70" xfId="0" applyNumberFormat="1" applyFont="1" applyFill="1" applyBorder="1" applyAlignment="1">
      <alignment horizontal="center" vertical="center"/>
    </xf>
    <xf numFmtId="3" fontId="39" fillId="43" borderId="9" xfId="0" applyNumberFormat="1" applyFont="1" applyFill="1" applyBorder="1" applyAlignment="1">
      <alignment horizontal="left" vertical="center"/>
    </xf>
    <xf numFmtId="3" fontId="39" fillId="43" borderId="12" xfId="0" applyNumberFormat="1" applyFont="1" applyFill="1" applyBorder="1" applyAlignment="1">
      <alignment horizontal="left" vertical="center"/>
    </xf>
    <xf numFmtId="3" fontId="40" fillId="43" borderId="70" xfId="0" applyNumberFormat="1" applyFont="1" applyFill="1" applyBorder="1" applyAlignment="1">
      <alignment horizontal="center" vertical="center"/>
    </xf>
    <xf numFmtId="37" fontId="1" fillId="43" borderId="70" xfId="0" applyNumberFormat="1" applyFont="1" applyFill="1" applyBorder="1" applyAlignment="1">
      <alignment vertical="center"/>
    </xf>
    <xf numFmtId="3" fontId="1" fillId="43" borderId="70" xfId="0" applyNumberFormat="1" applyFont="1" applyFill="1" applyBorder="1" applyAlignment="1">
      <alignment vertical="center"/>
    </xf>
    <xf numFmtId="3" fontId="33" fillId="10" borderId="7" xfId="0" applyNumberFormat="1" applyFont="1" applyFill="1" applyBorder="1" applyAlignment="1">
      <alignment horizontal="center" vertical="center"/>
    </xf>
    <xf numFmtId="3" fontId="1" fillId="10" borderId="12" xfId="0" applyNumberFormat="1" applyFont="1" applyFill="1" applyBorder="1" applyAlignment="1">
      <alignment vertical="center"/>
    </xf>
    <xf numFmtId="167" fontId="1" fillId="10" borderId="12" xfId="0" applyNumberFormat="1" applyFont="1" applyFill="1" applyBorder="1" applyAlignment="1">
      <alignment vertical="center"/>
    </xf>
    <xf numFmtId="37" fontId="33" fillId="10" borderId="18" xfId="0" applyNumberFormat="1" applyFont="1" applyFill="1" applyBorder="1" applyAlignment="1">
      <alignment vertical="center"/>
    </xf>
    <xf numFmtId="3" fontId="31" fillId="2" borderId="0" xfId="0" applyNumberFormat="1" applyFont="1" applyFill="1" applyAlignment="1">
      <alignment horizontal="center" vertical="center"/>
    </xf>
    <xf numFmtId="37" fontId="41" fillId="2" borderId="0" xfId="0" applyNumberFormat="1" applyFont="1" applyFill="1" applyAlignment="1">
      <alignment vertical="center" wrapText="1"/>
    </xf>
    <xf numFmtId="37" fontId="33" fillId="0" borderId="0" xfId="0" applyNumberFormat="1" applyFont="1" applyAlignment="1">
      <alignment vertical="center" wrapText="1"/>
    </xf>
    <xf numFmtId="37" fontId="13" fillId="6" borderId="0" xfId="0" applyNumberFormat="1" applyFont="1" applyFill="1" applyAlignment="1">
      <alignment horizontal="center" vertical="center"/>
    </xf>
    <xf numFmtId="37" fontId="31" fillId="6" borderId="0" xfId="0" applyNumberFormat="1" applyFont="1" applyFill="1" applyAlignment="1">
      <alignment horizontal="center" vertical="center"/>
    </xf>
    <xf numFmtId="37" fontId="45" fillId="6" borderId="0" xfId="0" quotePrefix="1" applyNumberFormat="1" applyFont="1" applyFill="1" applyAlignment="1">
      <alignment horizontal="center" vertical="center"/>
    </xf>
    <xf numFmtId="37" fontId="42" fillId="0" borderId="21" xfId="0" applyNumberFormat="1" applyFont="1" applyBorder="1" applyAlignment="1">
      <alignment horizontal="center" vertical="center" wrapText="1"/>
    </xf>
    <xf numFmtId="37" fontId="42" fillId="0" borderId="22" xfId="0" applyNumberFormat="1" applyFont="1" applyBorder="1" applyAlignment="1">
      <alignment horizontal="center" vertical="center" wrapText="1"/>
    </xf>
    <xf numFmtId="37" fontId="45" fillId="24" borderId="21" xfId="0" quotePrefix="1" applyNumberFormat="1" applyFont="1" applyFill="1" applyBorder="1" applyAlignment="1">
      <alignment horizontal="center" vertical="center"/>
    </xf>
    <xf numFmtId="37" fontId="40" fillId="24" borderId="23" xfId="0" applyNumberFormat="1" applyFont="1" applyFill="1" applyBorder="1" applyAlignment="1">
      <alignment horizontal="center" vertical="center"/>
    </xf>
    <xf numFmtId="37" fontId="40" fillId="24" borderId="17" xfId="0" applyNumberFormat="1" applyFont="1" applyFill="1" applyBorder="1" applyAlignment="1">
      <alignment horizontal="center" vertical="center"/>
    </xf>
    <xf numFmtId="37" fontId="54" fillId="0" borderId="56" xfId="0" applyNumberFormat="1" applyFont="1" applyBorder="1" applyAlignment="1">
      <alignment horizontal="center" vertical="center"/>
    </xf>
    <xf numFmtId="37" fontId="54" fillId="0" borderId="57" xfId="0" applyNumberFormat="1" applyFont="1" applyBorder="1" applyAlignment="1">
      <alignment horizontal="center" vertical="center"/>
    </xf>
    <xf numFmtId="37" fontId="54" fillId="0" borderId="58" xfId="0" applyNumberFormat="1" applyFont="1" applyBorder="1" applyAlignment="1">
      <alignment horizontal="center" vertical="center"/>
    </xf>
    <xf numFmtId="37" fontId="49" fillId="0" borderId="21" xfId="0" applyNumberFormat="1" applyFont="1" applyBorder="1" applyAlignment="1">
      <alignment horizontal="center" vertical="center"/>
    </xf>
    <xf numFmtId="37" fontId="49" fillId="0" borderId="23" xfId="0" applyNumberFormat="1" applyFont="1" applyBorder="1" applyAlignment="1">
      <alignment horizontal="center" vertical="center"/>
    </xf>
    <xf numFmtId="37" fontId="49" fillId="0" borderId="17" xfId="0" applyNumberFormat="1" applyFont="1" applyBorder="1" applyAlignment="1">
      <alignment horizontal="center" vertical="center"/>
    </xf>
    <xf numFmtId="37" fontId="35" fillId="2" borderId="21" xfId="0" applyNumberFormat="1" applyFont="1" applyFill="1" applyBorder="1" applyAlignment="1">
      <alignment horizontal="center" vertical="center" wrapText="1"/>
    </xf>
    <xf numFmtId="37" fontId="35" fillId="2" borderId="22" xfId="0" applyNumberFormat="1" applyFont="1" applyFill="1" applyBorder="1" applyAlignment="1">
      <alignment horizontal="center" vertical="center" wrapText="1"/>
    </xf>
    <xf numFmtId="39" fontId="12" fillId="4" borderId="32" xfId="0" applyNumberFormat="1" applyFont="1" applyFill="1" applyBorder="1" applyAlignment="1">
      <alignment horizontal="center" vertical="center" wrapText="1"/>
    </xf>
    <xf numFmtId="39" fontId="12" fillId="4" borderId="33" xfId="0" applyNumberFormat="1" applyFont="1" applyFill="1" applyBorder="1" applyAlignment="1">
      <alignment horizontal="center" vertical="center" wrapText="1"/>
    </xf>
    <xf numFmtId="39" fontId="12" fillId="4" borderId="34" xfId="0" applyNumberFormat="1" applyFont="1" applyFill="1" applyBorder="1" applyAlignment="1">
      <alignment horizontal="center" vertical="center" wrapText="1"/>
    </xf>
    <xf numFmtId="39" fontId="12" fillId="4" borderId="45" xfId="0" applyNumberFormat="1" applyFont="1" applyFill="1" applyBorder="1" applyAlignment="1">
      <alignment horizontal="center" vertical="center" wrapText="1"/>
    </xf>
    <xf numFmtId="39" fontId="12" fillId="4" borderId="46" xfId="0" applyNumberFormat="1" applyFont="1" applyFill="1" applyBorder="1" applyAlignment="1">
      <alignment horizontal="center" vertical="center" wrapText="1"/>
    </xf>
    <xf numFmtId="0" fontId="31" fillId="0" borderId="14" xfId="0" quotePrefix="1" applyFont="1" applyBorder="1" applyAlignment="1">
      <alignment horizontal="center" vertical="center"/>
    </xf>
    <xf numFmtId="0" fontId="31" fillId="0" borderId="5" xfId="0" quotePrefix="1" applyFont="1" applyBorder="1" applyAlignment="1">
      <alignment horizontal="center" vertical="center"/>
    </xf>
    <xf numFmtId="39" fontId="41" fillId="2" borderId="0" xfId="0" applyNumberFormat="1" applyFont="1" applyFill="1" applyAlignment="1">
      <alignment vertical="center" wrapText="1"/>
    </xf>
    <xf numFmtId="3" fontId="1" fillId="0" borderId="0" xfId="0" applyNumberFormat="1" applyFont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D4F5F8"/>
      <color rgb="FF00FF00"/>
      <color rgb="FFFF99FF"/>
      <color rgb="FFFFCC66"/>
      <color rgb="FF0000FF"/>
      <color rgb="FF00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A666-2263-4231-AD8B-48BC3E602A8C}">
  <dimension ref="A1:IK113"/>
  <sheetViews>
    <sheetView showGridLines="0" workbookViewId="0">
      <pane ySplit="12" topLeftCell="A49" activePane="bottomLeft" state="frozen"/>
      <selection pane="bottomLeft"/>
    </sheetView>
  </sheetViews>
  <sheetFormatPr baseColWidth="10" defaultColWidth="9.6640625" defaultRowHeight="12.75" x14ac:dyDescent="0.2"/>
  <cols>
    <col min="1" max="1" width="7.6640625" style="68" customWidth="1"/>
    <col min="2" max="2" width="63.33203125" style="251" bestFit="1" customWidth="1"/>
    <col min="3" max="4" width="12.77734375" style="56" customWidth="1"/>
    <col min="5" max="5" width="1.6640625" style="47" customWidth="1"/>
    <col min="6" max="6" width="12" style="51" bestFit="1" customWidth="1"/>
    <col min="7" max="7" width="10.77734375" style="51" bestFit="1" customWidth="1"/>
    <col min="8" max="18" width="9.6640625" style="51"/>
    <col min="19" max="30" width="9.6640625" style="56"/>
    <col min="31" max="245" width="9.6640625" style="11"/>
    <col min="246" max="16384" width="9.6640625" style="23"/>
  </cols>
  <sheetData>
    <row r="1" spans="1:7" s="1" customFormat="1" ht="15" customHeight="1" x14ac:dyDescent="0.2">
      <c r="A1" s="225" t="str">
        <f>+Códigos!$A$1</f>
        <v>LIBRO DIARIO OFICINA</v>
      </c>
      <c r="B1" s="316"/>
      <c r="C1" s="55"/>
      <c r="D1" s="55"/>
      <c r="E1" s="137"/>
      <c r="F1" s="51"/>
      <c r="G1" s="51"/>
    </row>
    <row r="2" spans="1:7" s="1" customFormat="1" ht="15" customHeight="1" x14ac:dyDescent="0.2">
      <c r="A2" s="775" t="s">
        <v>704</v>
      </c>
      <c r="B2" s="316"/>
      <c r="C2" s="55"/>
      <c r="D2" s="55"/>
      <c r="E2" s="137"/>
      <c r="F2" s="51"/>
      <c r="G2" s="51"/>
    </row>
    <row r="3" spans="1:7" s="1" customFormat="1" ht="15" customHeight="1" x14ac:dyDescent="0.2">
      <c r="A3" s="66" t="str">
        <f>+Códigos!$A$3</f>
        <v>AÑO:</v>
      </c>
      <c r="B3" s="772">
        <f>+Códigos!$B$3</f>
        <v>2025</v>
      </c>
      <c r="C3" s="55"/>
      <c r="D3" s="55"/>
      <c r="E3" s="137"/>
      <c r="F3" s="51"/>
      <c r="G3" s="51"/>
    </row>
    <row r="4" spans="1:7" s="31" customFormat="1" x14ac:dyDescent="0.2">
      <c r="A4" s="459"/>
      <c r="B4" s="459"/>
      <c r="C4" s="302" t="s">
        <v>725</v>
      </c>
      <c r="D4" s="302" t="s">
        <v>724</v>
      </c>
      <c r="E4" s="303"/>
      <c r="F4" s="53" t="s">
        <v>626</v>
      </c>
      <c r="G4" s="496" t="s">
        <v>728</v>
      </c>
    </row>
    <row r="5" spans="1:7" s="275" customFormat="1" ht="10.5" x14ac:dyDescent="0.2">
      <c r="A5" s="459"/>
      <c r="B5" s="460" t="s">
        <v>45</v>
      </c>
      <c r="C5" s="798">
        <f>+C46</f>
        <v>791027153</v>
      </c>
      <c r="D5" s="799">
        <f>+'INGRESOS A CAJA'!G2</f>
        <v>634239583</v>
      </c>
      <c r="E5" s="303"/>
      <c r="F5" s="802">
        <f>+C5-D5</f>
        <v>156787570</v>
      </c>
      <c r="G5" s="817" t="s">
        <v>729</v>
      </c>
    </row>
    <row r="6" spans="1:7" s="275" customFormat="1" ht="10.5" x14ac:dyDescent="0.2">
      <c r="A6" s="459"/>
      <c r="B6" s="460" t="s">
        <v>555</v>
      </c>
      <c r="C6" s="798">
        <f>+C113</f>
        <v>629110853</v>
      </c>
      <c r="D6" s="799">
        <f>+'EGRESOS DE CAJA'!H2</f>
        <v>633732083</v>
      </c>
      <c r="E6" s="303"/>
      <c r="F6" s="802">
        <f>+C6-D6</f>
        <v>-4621230</v>
      </c>
      <c r="G6" s="817" t="s">
        <v>730</v>
      </c>
    </row>
    <row r="7" spans="1:7" ht="12.95" customHeight="1" x14ac:dyDescent="0.2">
      <c r="A7" s="459"/>
      <c r="B7" s="460"/>
      <c r="C7" s="801"/>
      <c r="D7" s="801"/>
      <c r="E7" s="45"/>
      <c r="G7" s="53" t="s">
        <v>726</v>
      </c>
    </row>
    <row r="8" spans="1:7" s="1" customFormat="1" ht="12.95" customHeight="1" x14ac:dyDescent="0.2">
      <c r="A8" s="93"/>
      <c r="B8" s="805"/>
      <c r="C8" s="805" t="s">
        <v>722</v>
      </c>
      <c r="D8" s="806">
        <f>+D46-D75</f>
        <v>-161991104</v>
      </c>
      <c r="E8" s="137"/>
      <c r="F8" s="51"/>
      <c r="G8" s="51">
        <f>+D8/3</f>
        <v>-53997034.666666664</v>
      </c>
    </row>
    <row r="9" spans="1:7" s="1" customFormat="1" ht="12.95" customHeight="1" x14ac:dyDescent="0.2">
      <c r="A9" s="93"/>
      <c r="B9" s="805"/>
      <c r="C9" s="805" t="s">
        <v>723</v>
      </c>
      <c r="D9" s="806">
        <f>+D46-D113</f>
        <v>-412385813</v>
      </c>
      <c r="E9" s="137"/>
      <c r="F9" s="51"/>
      <c r="G9" s="51">
        <f>+D9/3</f>
        <v>-137461937.66666666</v>
      </c>
    </row>
    <row r="10" spans="1:7" ht="12.95" customHeight="1" x14ac:dyDescent="0.2">
      <c r="A10" s="459"/>
      <c r="B10" s="803"/>
      <c r="C10" s="804"/>
      <c r="D10" s="804"/>
      <c r="E10" s="45"/>
    </row>
    <row r="11" spans="1:7" ht="12.95" customHeight="1" x14ac:dyDescent="0.2">
      <c r="A11" s="313" t="s">
        <v>4</v>
      </c>
      <c r="B11" s="319" t="s">
        <v>23</v>
      </c>
      <c r="C11" s="302" t="s">
        <v>407</v>
      </c>
      <c r="D11" s="272" t="s">
        <v>721</v>
      </c>
      <c r="E11" s="45"/>
      <c r="F11" s="733"/>
    </row>
    <row r="12" spans="1:7" ht="5.0999999999999996" customHeight="1" x14ac:dyDescent="0.2">
      <c r="A12" s="315"/>
      <c r="B12" s="321"/>
      <c r="C12" s="50"/>
      <c r="D12" s="50"/>
      <c r="E12" s="45"/>
    </row>
    <row r="13" spans="1:7" x14ac:dyDescent="0.2">
      <c r="A13" s="65"/>
      <c r="B13" s="65"/>
      <c r="C13" s="66"/>
      <c r="D13" s="66"/>
      <c r="E13" s="45"/>
      <c r="F13" s="53"/>
    </row>
    <row r="14" spans="1:7" x14ac:dyDescent="0.2">
      <c r="A14" s="1349" t="s">
        <v>610</v>
      </c>
      <c r="B14" s="1349"/>
      <c r="C14" s="1349"/>
      <c r="D14" s="1349"/>
      <c r="E14" s="45"/>
    </row>
    <row r="15" spans="1:7" x14ac:dyDescent="0.2">
      <c r="A15" s="310" t="s">
        <v>711</v>
      </c>
      <c r="C15" s="51"/>
      <c r="D15" s="51"/>
      <c r="E15" s="45"/>
    </row>
    <row r="16" spans="1:7" x14ac:dyDescent="0.2">
      <c r="A16" s="436"/>
      <c r="B16" s="466" t="s">
        <v>705</v>
      </c>
      <c r="C16" s="488">
        <f>+FACTURACIÓN!G98</f>
        <v>29603000</v>
      </c>
      <c r="D16" s="441">
        <f>+C16</f>
        <v>29603000</v>
      </c>
      <c r="E16" s="45"/>
    </row>
    <row r="17" spans="1:4" x14ac:dyDescent="0.2">
      <c r="A17" s="436"/>
      <c r="B17" s="466" t="s">
        <v>706</v>
      </c>
      <c r="C17" s="488">
        <f>+FACTURACIÓN!G141</f>
        <v>0</v>
      </c>
      <c r="D17" s="441"/>
    </row>
    <row r="18" spans="1:4" x14ac:dyDescent="0.2">
      <c r="A18" s="436"/>
      <c r="B18" s="466" t="s">
        <v>707</v>
      </c>
      <c r="C18" s="488">
        <f>+FACTURACIÓN!G300</f>
        <v>121560000</v>
      </c>
      <c r="D18" s="441"/>
    </row>
    <row r="19" spans="1:4" x14ac:dyDescent="0.2">
      <c r="A19" s="436"/>
      <c r="B19" s="466" t="s">
        <v>592</v>
      </c>
      <c r="C19" s="488">
        <f>+FACTURACIÓN!G322</f>
        <v>0</v>
      </c>
      <c r="D19" s="441">
        <f>+C19-FACTURACIÓN!J322</f>
        <v>0</v>
      </c>
    </row>
    <row r="20" spans="1:4" x14ac:dyDescent="0.2">
      <c r="A20" s="436"/>
      <c r="B20" s="466" t="s">
        <v>321</v>
      </c>
      <c r="C20" s="488">
        <f>+FACTURACIÓN!H324</f>
        <v>5624570</v>
      </c>
      <c r="D20" s="787">
        <f>+C20</f>
        <v>5624570</v>
      </c>
    </row>
    <row r="21" spans="1:4" x14ac:dyDescent="0.2">
      <c r="A21" s="436"/>
      <c r="B21" s="466">
        <f>_xlfn.XLOOKUP(A21,Códigos!$A$489:$A$522,Códigos!$B$489:$B$522,"Verificar",0)</f>
        <v>0</v>
      </c>
      <c r="C21" s="488">
        <f>SUMIF('INGRESOS A CAJA'!$B$9:$B$4452,A21,'INGRESOS A CAJA'!$F$9:$F$4452)</f>
        <v>0</v>
      </c>
      <c r="D21" s="441"/>
    </row>
    <row r="22" spans="1:4" x14ac:dyDescent="0.2">
      <c r="A22" s="436"/>
      <c r="B22" s="464"/>
      <c r="C22" s="465"/>
      <c r="D22" s="441"/>
    </row>
    <row r="23" spans="1:4" x14ac:dyDescent="0.2">
      <c r="A23" s="164"/>
      <c r="C23" s="51"/>
      <c r="D23" s="51"/>
    </row>
    <row r="24" spans="1:4" x14ac:dyDescent="0.2">
      <c r="A24" s="310" t="s">
        <v>712</v>
      </c>
      <c r="B24" s="69"/>
      <c r="C24" s="53">
        <f>SUM(C16:C23)</f>
        <v>156787570</v>
      </c>
      <c r="D24" s="53">
        <f>SUM(D16:D23)</f>
        <v>35227570</v>
      </c>
    </row>
    <row r="25" spans="1:4" x14ac:dyDescent="0.2">
      <c r="A25" s="93"/>
      <c r="B25" s="93"/>
      <c r="C25" s="101"/>
      <c r="D25" s="101"/>
    </row>
    <row r="26" spans="1:4" x14ac:dyDescent="0.2">
      <c r="A26" s="1349" t="s">
        <v>713</v>
      </c>
      <c r="B26" s="1349"/>
      <c r="C26" s="1349"/>
      <c r="D26" s="1349"/>
    </row>
    <row r="27" spans="1:4" x14ac:dyDescent="0.2">
      <c r="A27" s="284"/>
      <c r="C27" s="51"/>
      <c r="D27" s="51"/>
    </row>
    <row r="28" spans="1:4" x14ac:dyDescent="0.2">
      <c r="A28" s="436" t="s">
        <v>18</v>
      </c>
      <c r="B28" s="466" t="str">
        <f>_xlfn.XLOOKUP(A28,Códigos!$A$489:$A$522,Códigos!$B$489:$B$522,"Verificar",0)</f>
        <v>Recibido por: -FACTURAS -GTFF</v>
      </c>
      <c r="C28" s="488">
        <f>SUMIF('INGRESOS A CAJA'!$B$9:$B$4452,A28,'INGRESOS A CAJA'!$F$9:$F$4452)</f>
        <v>45615800</v>
      </c>
      <c r="D28" s="441"/>
    </row>
    <row r="29" spans="1:4" x14ac:dyDescent="0.2">
      <c r="A29" s="436" t="s">
        <v>33</v>
      </c>
      <c r="B29" s="466" t="str">
        <f>_xlfn.XLOOKUP(A29,Códigos!$A$489:$A$522,Códigos!$B$489:$B$522,"Verificar",0)</f>
        <v>Recibido por: -Cuentas de cobro -GTFF</v>
      </c>
      <c r="C29" s="488">
        <f>SUMIF('INGRESOS A CAJA'!$B$9:$B$4452,A29,'INGRESOS A CAJA'!$F$9:$F$4452)</f>
        <v>0</v>
      </c>
      <c r="D29" s="441"/>
    </row>
    <row r="30" spans="1:4" x14ac:dyDescent="0.2">
      <c r="A30" s="436" t="s">
        <v>34</v>
      </c>
      <c r="B30" s="466" t="str">
        <f>_xlfn.XLOOKUP(A30,Códigos!$A$489:$A$522,Códigos!$B$489:$B$522,"Verificar",0)</f>
        <v>Recibido por: -Cuentas de cobro -DAFF</v>
      </c>
      <c r="C30" s="488">
        <f>SUMIF('INGRESOS A CAJA'!$B$9:$B$4452,A30,'INGRESOS A CAJA'!$F$9:$F$4452)</f>
        <v>42540000</v>
      </c>
      <c r="D30" s="441"/>
    </row>
    <row r="31" spans="1:4" x14ac:dyDescent="0.2">
      <c r="A31" s="436" t="s">
        <v>5</v>
      </c>
      <c r="B31" s="466" t="str">
        <f>_xlfn.XLOOKUP(A31,Códigos!$A$489:$A$522,Códigos!$B$489:$B$522,"Verificar",0)</f>
        <v>Recibido por: -Otros ingresos Sin Facturación</v>
      </c>
      <c r="C31" s="488">
        <f>SUMIF('INGRESOS A CAJA'!$B$9:$B$4452,A31,'INGRESOS A CAJA'!$F$9:$F$4452)</f>
        <v>0</v>
      </c>
      <c r="D31" s="441"/>
    </row>
    <row r="32" spans="1:4" x14ac:dyDescent="0.2">
      <c r="A32" s="436" t="s">
        <v>35</v>
      </c>
      <c r="B32" s="466" t="str">
        <f>_xlfn.XLOOKUP(A32,Códigos!$A$489:$A$522,Códigos!$B$489:$B$522,"Verificar",0)</f>
        <v>Ingresos Recibidos de terceros para pagos</v>
      </c>
      <c r="C32" s="488">
        <f>SUMIF('INGRESOS A CAJA'!$B$9:$B$4452,A32,'INGRESOS A CAJA'!$F$9:$F$4452)</f>
        <v>1096000</v>
      </c>
      <c r="D32" s="441"/>
    </row>
    <row r="33" spans="1:7" x14ac:dyDescent="0.2">
      <c r="A33" s="436" t="s">
        <v>36</v>
      </c>
      <c r="B33" s="466" t="str">
        <f>_xlfn.XLOOKUP(A33,Códigos!$A$489:$A$522,Códigos!$B$489:$B$522,"Verificar",0)</f>
        <v>Recibido por: -Cuentas por Cobrar</v>
      </c>
      <c r="C33" s="488">
        <f>SUMIF('INGRESOS A CAJA'!$B$9:$B$4452,A33,'INGRESOS A CAJA'!$F$9:$F$4452)</f>
        <v>10076800</v>
      </c>
      <c r="D33" s="441"/>
      <c r="E33" s="45"/>
      <c r="F33" s="53"/>
    </row>
    <row r="34" spans="1:7" x14ac:dyDescent="0.2">
      <c r="A34" s="436" t="s">
        <v>10</v>
      </c>
      <c r="B34" s="466" t="str">
        <f>_xlfn.XLOOKUP(A34,Códigos!$A$489:$A$522,Códigos!$B$489:$B$522,"Verificar",0)</f>
        <v>Recibido por: -Abono a préstamos por Nómina de:</v>
      </c>
      <c r="C34" s="488">
        <f>SUMIF('INGRESOS A CAJA'!$B$9:$B$4452,A34,'INGRESOS A CAJA'!$F$9:$F$4452)</f>
        <v>1744200</v>
      </c>
      <c r="D34" s="441"/>
      <c r="E34" s="45"/>
      <c r="F34" s="53"/>
    </row>
    <row r="35" spans="1:7" x14ac:dyDescent="0.2">
      <c r="A35" s="436" t="s">
        <v>14</v>
      </c>
      <c r="B35" s="466" t="str">
        <f>_xlfn.XLOOKUP(A35,Códigos!$A$489:$A$522,Códigos!$B$489:$B$522,"Verificar",0)</f>
        <v>Recibido por: -Abono a préstamos por Nómina de:</v>
      </c>
      <c r="C35" s="488">
        <f>SUMIF('INGRESOS A CAJA'!$B$9:$B$4452,A35,'INGRESOS A CAJA'!$F$9:$F$4452)</f>
        <v>0</v>
      </c>
      <c r="D35" s="441"/>
      <c r="E35" s="45"/>
      <c r="F35" s="53"/>
    </row>
    <row r="36" spans="1:7" x14ac:dyDescent="0.2">
      <c r="A36" s="436" t="s">
        <v>37</v>
      </c>
      <c r="B36" s="466" t="str">
        <f>_xlfn.XLOOKUP(A36,Códigos!$A$489:$A$522,Códigos!$B$489:$B$522,"Verificar",0)</f>
        <v>-Retiros y Traslados de Bancos</v>
      </c>
      <c r="C36" s="488">
        <f>SUMIF('INGRESOS A CAJA'!$B$9:$B$4452,A36,'INGRESOS A CAJA'!$F$9:$F$4452)</f>
        <v>533166783</v>
      </c>
      <c r="D36" s="441"/>
      <c r="E36" s="45"/>
      <c r="F36" s="53"/>
    </row>
    <row r="37" spans="1:7" x14ac:dyDescent="0.2">
      <c r="A37" s="436" t="s">
        <v>6</v>
      </c>
      <c r="B37" s="466" t="str">
        <f>_xlfn.XLOOKUP(A37,Códigos!$A$489:$A$522,Códigos!$B$489:$B$522,"Verificar",0)</f>
        <v>-Consignaciones pendientes de identificar</v>
      </c>
      <c r="C37" s="488">
        <f>SUMIF('INGRESOS A CAJA'!$B$9:$B$4452,A37,'INGRESOS A CAJA'!$F$9:$F$4452)</f>
        <v>0</v>
      </c>
      <c r="D37" s="441"/>
      <c r="E37" s="45"/>
      <c r="F37" s="53"/>
    </row>
    <row r="38" spans="1:7" x14ac:dyDescent="0.2">
      <c r="A38" s="436" t="s">
        <v>9</v>
      </c>
      <c r="B38" s="466" t="str">
        <f>_xlfn.XLOOKUP(A38,Códigos!$A$489:$A$522,Códigos!$B$489:$B$522,"Verificar",0)</f>
        <v>Recibido por: -Préstamos a favor de la oficina</v>
      </c>
      <c r="C38" s="488">
        <f>SUMIF('INGRESOS A CAJA'!$B$9:$B$4452,A38,'INGRESOS A CAJA'!$F$9:$F$4452)</f>
        <v>0</v>
      </c>
      <c r="D38" s="441"/>
      <c r="E38" s="45"/>
      <c r="F38" s="53"/>
    </row>
    <row r="39" spans="1:7" x14ac:dyDescent="0.2">
      <c r="A39" s="436" t="s">
        <v>12</v>
      </c>
      <c r="B39" s="466" t="str">
        <f>_xlfn.XLOOKUP(A39,Códigos!$A$489:$A$522,Códigos!$B$489:$B$522,"Verificar",0)</f>
        <v>Reembolsos y recuperaciones</v>
      </c>
      <c r="C39" s="488">
        <f>SUMIF('INGRESOS A CAJA'!$B$9:$B$4452,A39,'INGRESOS A CAJA'!$F$9:$F$4452)</f>
        <v>0</v>
      </c>
      <c r="D39" s="441"/>
      <c r="E39" s="45"/>
      <c r="F39" s="53"/>
    </row>
    <row r="40" spans="1:7" x14ac:dyDescent="0.2">
      <c r="A40" s="786"/>
      <c r="B40" s="466" t="s">
        <v>320</v>
      </c>
      <c r="C40" s="488">
        <f>SUMIF('INGRESOS A CAJA'!$B$9:$B$4452,A40,'INGRESOS A CAJA'!$F$9:$F$4452)</f>
        <v>0</v>
      </c>
      <c r="D40" s="787">
        <f>-FACTURACIÓN!J324</f>
        <v>-3256330</v>
      </c>
      <c r="E40" s="45"/>
      <c r="F40" s="53"/>
    </row>
    <row r="41" spans="1:7" x14ac:dyDescent="0.2">
      <c r="A41" s="786"/>
      <c r="B41" s="466">
        <f>_xlfn.XLOOKUP(A41,Códigos!$A$489:$A$522,Códigos!$B$489:$B$522,"Verificar",0)</f>
        <v>0</v>
      </c>
      <c r="C41" s="488">
        <f>SUMIF('INGRESOS A CAJA'!$B$9:$B$4452,A41,'INGRESOS A CAJA'!$F$9:$F$4452)</f>
        <v>0</v>
      </c>
      <c r="D41" s="787"/>
      <c r="E41" s="45"/>
      <c r="F41" s="53"/>
    </row>
    <row r="42" spans="1:7" x14ac:dyDescent="0.2">
      <c r="A42" s="436"/>
      <c r="B42" s="466"/>
      <c r="C42" s="465"/>
      <c r="D42" s="441"/>
      <c r="E42" s="45"/>
      <c r="F42" s="53"/>
    </row>
    <row r="43" spans="1:7" x14ac:dyDescent="0.2">
      <c r="A43" s="164"/>
      <c r="B43" s="783"/>
      <c r="C43" s="52"/>
      <c r="D43" s="51"/>
      <c r="E43" s="45"/>
      <c r="F43" s="53"/>
    </row>
    <row r="44" spans="1:7" x14ac:dyDescent="0.2">
      <c r="A44" s="310" t="s">
        <v>714</v>
      </c>
      <c r="B44" s="69"/>
      <c r="C44" s="53">
        <f>SUM(C28:C43)</f>
        <v>634239583</v>
      </c>
      <c r="D44" s="53">
        <f>SUM(D28:D43)</f>
        <v>-3256330</v>
      </c>
      <c r="E44" s="45"/>
      <c r="F44" s="53"/>
    </row>
    <row r="45" spans="1:7" x14ac:dyDescent="0.2">
      <c r="A45" s="164"/>
      <c r="B45" s="783"/>
      <c r="C45" s="52"/>
      <c r="D45" s="51"/>
      <c r="E45" s="45"/>
      <c r="F45" s="53"/>
    </row>
    <row r="46" spans="1:7" s="61" customFormat="1" x14ac:dyDescent="0.2">
      <c r="A46" s="796" t="s">
        <v>715</v>
      </c>
      <c r="B46" s="218"/>
      <c r="C46" s="96">
        <f>+C24+C44</f>
        <v>791027153</v>
      </c>
      <c r="D46" s="96">
        <f>+D24+D44</f>
        <v>31971240</v>
      </c>
      <c r="E46" s="797"/>
      <c r="F46" s="96">
        <f>+D46-D75</f>
        <v>-161991104</v>
      </c>
      <c r="G46" s="51" t="s">
        <v>722</v>
      </c>
    </row>
    <row r="50" spans="1:4" x14ac:dyDescent="0.2">
      <c r="A50" s="1349" t="s">
        <v>608</v>
      </c>
      <c r="B50" s="1349"/>
      <c r="C50" s="1349"/>
      <c r="D50" s="1349"/>
    </row>
    <row r="51" spans="1:4" x14ac:dyDescent="0.2">
      <c r="A51" s="310" t="s">
        <v>716</v>
      </c>
      <c r="C51" s="51"/>
      <c r="D51" s="51"/>
    </row>
    <row r="52" spans="1:4" x14ac:dyDescent="0.2">
      <c r="A52" s="436">
        <v>2</v>
      </c>
      <c r="B52" s="466" t="str">
        <f>_xlfn.XLOOKUP(A52,Códigos!$A$421:$A$483,Códigos!$B$421:$B$483,"Verificar",0)</f>
        <v>Pago de Salarios a:</v>
      </c>
      <c r="C52" s="488">
        <f>SUMIF('EGRESOS DE CAJA'!$B$9:$B$5958,A52,'EGRESOS DE CAJA'!$G$9:$G$5958)</f>
        <v>57460000</v>
      </c>
      <c r="D52" s="441">
        <f>+C52</f>
        <v>57460000</v>
      </c>
    </row>
    <row r="53" spans="1:4" x14ac:dyDescent="0.2">
      <c r="A53" s="436">
        <v>3</v>
      </c>
      <c r="B53" s="466" t="str">
        <f>_xlfn.XLOOKUP(A53,Códigos!$A$421:$A$483,Códigos!$B$421:$B$483,"Verificar",0)</f>
        <v>Pago de Prestaciones sociales a:</v>
      </c>
      <c r="C53" s="488">
        <f>SUMIF('EGRESOS DE CAJA'!$B$9:$B$5958,A53,'EGRESOS DE CAJA'!$G$9:$G$5958)</f>
        <v>0</v>
      </c>
      <c r="D53" s="441"/>
    </row>
    <row r="54" spans="1:4" x14ac:dyDescent="0.2">
      <c r="A54" s="436">
        <v>4</v>
      </c>
      <c r="B54" s="466" t="str">
        <f>_xlfn.XLOOKUP(A54,Códigos!$A$421:$A$483,Códigos!$B$421:$B$483,"Verificar",0)</f>
        <v>Pago de Bonificación a:</v>
      </c>
      <c r="C54" s="488">
        <f>SUMIF('EGRESOS DE CAJA'!$B$9:$B$5958,A54,'EGRESOS DE CAJA'!$G$9:$G$5958)</f>
        <v>0</v>
      </c>
      <c r="D54" s="441"/>
    </row>
    <row r="55" spans="1:4" x14ac:dyDescent="0.2">
      <c r="A55" s="436">
        <v>5</v>
      </c>
      <c r="B55" s="466" t="str">
        <f>_xlfn.XLOOKUP(A55,Códigos!$A$421:$A$483,Códigos!$B$421:$B$483,"Verificar",0)</f>
        <v>Préstamos por Nómina a:</v>
      </c>
      <c r="C55" s="488">
        <f>SUMIF('EGRESOS DE CAJA'!$B$9:$B$5958,A55,'EGRESOS DE CAJA'!$G$9:$G$5958)</f>
        <v>12065900</v>
      </c>
      <c r="D55" s="441">
        <f t="shared" ref="D55:D71" si="0">+C55</f>
        <v>12065900</v>
      </c>
    </row>
    <row r="56" spans="1:4" x14ac:dyDescent="0.2">
      <c r="A56" s="436">
        <v>6</v>
      </c>
      <c r="B56" s="466" t="str">
        <f>_xlfn.XLOOKUP(A56,Códigos!$A$421:$A$483,Códigos!$B$421:$B$483,"Verificar",0)</f>
        <v>Préstamos por Nómina a:</v>
      </c>
      <c r="C56" s="488">
        <f>SUMIF('EGRESOS DE CAJA'!$B$9:$B$5958,A56,'EGRESOS DE CAJA'!$G$9:$G$5958)</f>
        <v>67737400</v>
      </c>
      <c r="D56" s="441">
        <f t="shared" si="0"/>
        <v>67737400</v>
      </c>
    </row>
    <row r="57" spans="1:4" x14ac:dyDescent="0.2">
      <c r="A57" s="436">
        <v>7</v>
      </c>
      <c r="B57" s="466" t="str">
        <f>_xlfn.XLOOKUP(A57,Códigos!$A$421:$A$483,Códigos!$B$421:$B$483,"Verificar",0)</f>
        <v>Pagos de: -Seguridad Social</v>
      </c>
      <c r="C57" s="488">
        <f>SUMIF('EGRESOS DE CAJA'!$B$9:$B$5958,A57,'EGRESOS DE CAJA'!$G$9:$G$5958)</f>
        <v>27296800</v>
      </c>
      <c r="D57" s="441">
        <f t="shared" si="0"/>
        <v>27296800</v>
      </c>
    </row>
    <row r="58" spans="1:4" x14ac:dyDescent="0.2">
      <c r="A58" s="436">
        <v>9</v>
      </c>
      <c r="B58" s="466" t="str">
        <f>_xlfn.XLOOKUP(A58,Códigos!$A$421:$A$483,Códigos!$B$421:$B$483,"Verificar",0)</f>
        <v>Pagos de: -Servicios públicos -OFICINA-</v>
      </c>
      <c r="C58" s="488">
        <f>SUMIF('EGRESOS DE CAJA'!$B$9:$B$5958,A58,'EGRESOS DE CAJA'!$G$9:$G$5958)</f>
        <v>10779655</v>
      </c>
      <c r="D58" s="441">
        <f t="shared" si="0"/>
        <v>10779655</v>
      </c>
    </row>
    <row r="59" spans="1:4" x14ac:dyDescent="0.2">
      <c r="A59" s="436">
        <v>12</v>
      </c>
      <c r="B59" s="466" t="str">
        <f>_xlfn.XLOOKUP(A59,Códigos!$A$421:$A$483,Códigos!$B$421:$B$483,"Verificar",0)</f>
        <v>Pagos de: -Celulares</v>
      </c>
      <c r="C59" s="488">
        <f>SUMIF('EGRESOS DE CAJA'!$B$9:$B$5958,A59,'EGRESOS DE CAJA'!$G$9:$G$5958)</f>
        <v>3595890</v>
      </c>
      <c r="D59" s="441">
        <f t="shared" si="0"/>
        <v>3595890</v>
      </c>
    </row>
    <row r="60" spans="1:4" x14ac:dyDescent="0.2">
      <c r="A60" s="436">
        <v>13</v>
      </c>
      <c r="B60" s="466" t="str">
        <f>_xlfn.XLOOKUP(A60,Códigos!$A$421:$A$483,Códigos!$B$421:$B$483,"Verificar",0)</f>
        <v>Pagos de: -Suscripciones</v>
      </c>
      <c r="C60" s="488">
        <f>SUMIF('EGRESOS DE CAJA'!$B$9:$B$5958,A60,'EGRESOS DE CAJA'!$G$9:$G$5958)</f>
        <v>0</v>
      </c>
      <c r="D60" s="441">
        <f t="shared" si="0"/>
        <v>0</v>
      </c>
    </row>
    <row r="61" spans="1:4" x14ac:dyDescent="0.2">
      <c r="A61" s="436">
        <v>14</v>
      </c>
      <c r="B61" s="466" t="str">
        <f>_xlfn.XLOOKUP(A61,Códigos!$A$421:$A$483,Códigos!$B$421:$B$483,"Verificar",0)</f>
        <v>Pagos de: -Seminarios y capacitaciones</v>
      </c>
      <c r="C61" s="488">
        <f>SUMIF('EGRESOS DE CAJA'!$B$9:$B$5958,A61,'EGRESOS DE CAJA'!$G$9:$G$5958)</f>
        <v>0</v>
      </c>
      <c r="D61" s="441">
        <f t="shared" si="0"/>
        <v>0</v>
      </c>
    </row>
    <row r="62" spans="1:4" x14ac:dyDescent="0.2">
      <c r="A62" s="436">
        <v>15</v>
      </c>
      <c r="B62" s="466" t="str">
        <f>_xlfn.XLOOKUP(A62,Códigos!$A$421:$A$483,Códigos!$B$421:$B$483,"Verificar",0)</f>
        <v>Pagos de: -Mantenimiento de equipos y telefonía</v>
      </c>
      <c r="C62" s="488">
        <f>SUMIF('EGRESOS DE CAJA'!$B$9:$B$5958,A62,'EGRESOS DE CAJA'!$G$9:$G$5958)</f>
        <v>0</v>
      </c>
      <c r="D62" s="441">
        <f t="shared" si="0"/>
        <v>0</v>
      </c>
    </row>
    <row r="63" spans="1:4" x14ac:dyDescent="0.2">
      <c r="A63" s="436">
        <v>17</v>
      </c>
      <c r="B63" s="466" t="str">
        <f>_xlfn.XLOOKUP(A63,Códigos!$A$421:$A$483,Códigos!$B$421:$B$483,"Verificar",0)</f>
        <v>Pagos de: -Sanciones e intereses asumidos</v>
      </c>
      <c r="C63" s="488">
        <f>SUMIF('EGRESOS DE CAJA'!$B$9:$B$5958,A63,'EGRESOS DE CAJA'!$G$9:$G$5958)</f>
        <v>0</v>
      </c>
      <c r="D63" s="441">
        <f t="shared" si="0"/>
        <v>0</v>
      </c>
    </row>
    <row r="64" spans="1:4" x14ac:dyDescent="0.2">
      <c r="A64" s="436">
        <v>18</v>
      </c>
      <c r="B64" s="466" t="str">
        <f>_xlfn.XLOOKUP(A64,Códigos!$A$421:$A$483,Códigos!$B$421:$B$483,"Verificar",0)</f>
        <v>Pagos de: -Pasajes y transportes</v>
      </c>
      <c r="C64" s="488">
        <f>SUMIF('EGRESOS DE CAJA'!$B$9:$B$5958,A64,'EGRESOS DE CAJA'!$G$9:$G$5958)</f>
        <v>80000</v>
      </c>
      <c r="D64" s="441">
        <f t="shared" si="0"/>
        <v>80000</v>
      </c>
    </row>
    <row r="65" spans="1:4" x14ac:dyDescent="0.2">
      <c r="A65" s="436">
        <v>20</v>
      </c>
      <c r="B65" s="466" t="str">
        <f>_xlfn.XLOOKUP(A65,Códigos!$A$421:$A$483,Códigos!$B$421:$B$483,"Verificar",0)</f>
        <v>Pagos de: -Demás Gastos oficina</v>
      </c>
      <c r="C65" s="488">
        <f>SUMIF('EGRESOS DE CAJA'!$B$9:$B$5958,A65,'EGRESOS DE CAJA'!$G$9:$G$5958)</f>
        <v>80000</v>
      </c>
      <c r="D65" s="441">
        <f t="shared" si="0"/>
        <v>80000</v>
      </c>
    </row>
    <row r="66" spans="1:4" x14ac:dyDescent="0.2">
      <c r="A66" s="436">
        <v>22</v>
      </c>
      <c r="B66" s="466" t="str">
        <f>_xlfn.XLOOKUP(A66,Códigos!$A$421:$A$483,Códigos!$B$421:$B$483,"Verificar",0)</f>
        <v>Compra de: -Equipos, dotaciones y repuestos para oficina</v>
      </c>
      <c r="C66" s="488">
        <f>SUMIF('EGRESOS DE CAJA'!$B$9:$B$5958,A66,'EGRESOS DE CAJA'!$G$9:$G$5958)</f>
        <v>8425299</v>
      </c>
      <c r="D66" s="441">
        <f t="shared" si="0"/>
        <v>8425299</v>
      </c>
    </row>
    <row r="67" spans="1:4" x14ac:dyDescent="0.2">
      <c r="A67" s="436">
        <v>23</v>
      </c>
      <c r="B67" s="466" t="str">
        <f>_xlfn.XLOOKUP(A67,Códigos!$A$421:$A$483,Códigos!$B$421:$B$483,"Verificar",0)</f>
        <v>Compra de: -Útiles de aseo</v>
      </c>
      <c r="C67" s="488">
        <f>SUMIF('EGRESOS DE CAJA'!$B$9:$B$5958,A67,'EGRESOS DE CAJA'!$G$9:$G$5958)</f>
        <v>685000</v>
      </c>
      <c r="D67" s="441">
        <f t="shared" si="0"/>
        <v>685000</v>
      </c>
    </row>
    <row r="68" spans="1:4" x14ac:dyDescent="0.2">
      <c r="A68" s="436">
        <v>24</v>
      </c>
      <c r="B68" s="466" t="str">
        <f>_xlfn.XLOOKUP(A68,Códigos!$A$421:$A$483,Códigos!$B$421:$B$483,"Verificar",0)</f>
        <v>Compra de: -Papelería</v>
      </c>
      <c r="C68" s="488">
        <f>SUMIF('EGRESOS DE CAJA'!$B$9:$B$5958,A68,'EGRESOS DE CAJA'!$G$9:$G$5958)</f>
        <v>126000</v>
      </c>
      <c r="D68" s="441">
        <f t="shared" si="0"/>
        <v>126000</v>
      </c>
    </row>
    <row r="69" spans="1:4" x14ac:dyDescent="0.2">
      <c r="A69" s="436">
        <v>25</v>
      </c>
      <c r="B69" s="466" t="str">
        <f>_xlfn.XLOOKUP(A69,Códigos!$A$421:$A$483,Códigos!$B$421:$B$483,"Verificar",0)</f>
        <v>Compra de: -Manuales, Libros y formularios</v>
      </c>
      <c r="C69" s="488">
        <f>SUMIF('EGRESOS DE CAJA'!$B$9:$B$5958,A69,'EGRESOS DE CAJA'!$G$9:$G$5958)</f>
        <v>204400</v>
      </c>
      <c r="D69" s="441">
        <f t="shared" si="0"/>
        <v>204400</v>
      </c>
    </row>
    <row r="70" spans="1:4" x14ac:dyDescent="0.2">
      <c r="A70" s="436">
        <v>26</v>
      </c>
      <c r="B70" s="466" t="str">
        <f>_xlfn.XLOOKUP(A70,Códigos!$A$421:$A$483,Códigos!$B$421:$B$483,"Verificar",0)</f>
        <v>Compra de: -Drogas y farmacia</v>
      </c>
      <c r="C70" s="488">
        <f>SUMIF('EGRESOS DE CAJA'!$B$9:$B$5958,A70,'EGRESOS DE CAJA'!$G$9:$G$5958)</f>
        <v>0</v>
      </c>
      <c r="D70" s="441">
        <f t="shared" si="0"/>
        <v>0</v>
      </c>
    </row>
    <row r="71" spans="1:4" x14ac:dyDescent="0.2">
      <c r="A71" s="436">
        <v>27</v>
      </c>
      <c r="B71" s="466" t="str">
        <f>_xlfn.XLOOKUP(A71,Códigos!$A$421:$A$483,Códigos!$B$421:$B$483,"Verificar",0)</f>
        <v>Compra de: -Restaurante y cafetería</v>
      </c>
      <c r="C71" s="488">
        <f>SUMIF('EGRESOS DE CAJA'!$B$9:$B$5958,A71,'EGRESOS DE CAJA'!$G$9:$G$5958)</f>
        <v>5426000</v>
      </c>
      <c r="D71" s="441">
        <f t="shared" si="0"/>
        <v>5426000</v>
      </c>
    </row>
    <row r="72" spans="1:4" x14ac:dyDescent="0.2">
      <c r="A72" s="786"/>
      <c r="B72" s="466">
        <f>_xlfn.XLOOKUP(A72,Códigos!$A$421:$A$483,Códigos!$B$421:$B$483,"Verificar",0)</f>
        <v>0</v>
      </c>
      <c r="C72" s="488">
        <f>SUMIF('EGRESOS DE CAJA'!$B$9:$B$5958,A72,'EGRESOS DE CAJA'!$G$9:$G$5958)</f>
        <v>0</v>
      </c>
      <c r="D72" s="788"/>
    </row>
    <row r="73" spans="1:4" ht="12" customHeight="1" x14ac:dyDescent="0.2">
      <c r="A73" s="436"/>
      <c r="B73" s="466"/>
      <c r="C73" s="465"/>
      <c r="D73" s="441"/>
    </row>
    <row r="74" spans="1:4" x14ac:dyDescent="0.2">
      <c r="A74" s="164"/>
      <c r="C74" s="51"/>
      <c r="D74" s="51"/>
    </row>
    <row r="75" spans="1:4" x14ac:dyDescent="0.2">
      <c r="A75" s="310" t="s">
        <v>31</v>
      </c>
      <c r="B75" s="69"/>
      <c r="C75" s="53">
        <f>SUM(C52:C74)</f>
        <v>193962344</v>
      </c>
      <c r="D75" s="53">
        <f>SUM(D52:D74)</f>
        <v>193962344</v>
      </c>
    </row>
    <row r="76" spans="1:4" ht="5.0999999999999996" customHeight="1" x14ac:dyDescent="0.2">
      <c r="A76" s="282"/>
      <c r="B76" s="168"/>
      <c r="C76" s="54"/>
      <c r="D76" s="54"/>
    </row>
    <row r="77" spans="1:4" x14ac:dyDescent="0.2">
      <c r="A77" s="1349"/>
      <c r="B77" s="1349"/>
      <c r="C77" s="1349"/>
      <c r="D77" s="1349"/>
    </row>
    <row r="78" spans="1:4" x14ac:dyDescent="0.2">
      <c r="A78" s="1349" t="s">
        <v>608</v>
      </c>
      <c r="B78" s="1349"/>
      <c r="C78" s="1349"/>
      <c r="D78" s="1349"/>
    </row>
    <row r="79" spans="1:4" x14ac:dyDescent="0.2">
      <c r="A79" s="310" t="s">
        <v>709</v>
      </c>
      <c r="C79" s="51"/>
      <c r="D79" s="51"/>
    </row>
    <row r="80" spans="1:4" x14ac:dyDescent="0.2">
      <c r="A80" s="436">
        <v>1</v>
      </c>
      <c r="B80" s="800" t="str">
        <f>_xlfn.XLOOKUP(A80,Códigos!$A$421:$A$483,Códigos!$B$421:$B$483,"Verificar",0)</f>
        <v>Gastos personales</v>
      </c>
      <c r="C80" s="488">
        <f>SUMIF('EGRESOS DE CAJA'!$B$9:$B$5958,A80,'EGRESOS DE CAJA'!$G$9:$G$5958)</f>
        <v>193927304</v>
      </c>
      <c r="D80" s="441">
        <f>+C80</f>
        <v>193927304</v>
      </c>
    </row>
    <row r="81" spans="1:4" x14ac:dyDescent="0.2">
      <c r="A81" s="436">
        <v>8</v>
      </c>
      <c r="B81" s="800" t="str">
        <f>_xlfn.XLOOKUP(A81,Códigos!$A$421:$A$483,Códigos!$B$421:$B$483,"Verificar",0)</f>
        <v>Pagos de: -Cuota para alimentos y Manuntención</v>
      </c>
      <c r="C81" s="488">
        <f>SUMIF('EGRESOS DE CAJA'!$B$9:$B$5958,A81,'EGRESOS DE CAJA'!$G$9:$G$5958)</f>
        <v>43358150</v>
      </c>
      <c r="D81" s="441">
        <f t="shared" ref="D81:D86" si="1">+C81</f>
        <v>43358150</v>
      </c>
    </row>
    <row r="82" spans="1:4" x14ac:dyDescent="0.2">
      <c r="A82" s="436">
        <v>10</v>
      </c>
      <c r="B82" s="800" t="str">
        <f>_xlfn.XLOOKUP(A82,Códigos!$A$421:$A$483,Códigos!$B$421:$B$483,"Verificar",0)</f>
        <v>Pagos de: -Servicios públicos -NIÑAS-</v>
      </c>
      <c r="C82" s="488">
        <f>SUMIF('EGRESOS DE CAJA'!$B$9:$B$5958,A82,'EGRESOS DE CAJA'!$G$9:$G$5958)</f>
        <v>816300</v>
      </c>
      <c r="D82" s="441">
        <f t="shared" si="1"/>
        <v>816300</v>
      </c>
    </row>
    <row r="83" spans="1:4" x14ac:dyDescent="0.2">
      <c r="A83" s="436">
        <v>11</v>
      </c>
      <c r="B83" s="800" t="str">
        <f>_xlfn.XLOOKUP(A83,Códigos!$A$421:$A$483,Códigos!$B$421:$B$483,"Verificar",0)</f>
        <v>Pagos de: -Servicios Administracion y otros Oficina</v>
      </c>
      <c r="C83" s="488">
        <f>SUMIF('EGRESOS DE CAJA'!$B$9:$B$5958,A83,'EGRESOS DE CAJA'!$G$9:$G$5958)</f>
        <v>6596185</v>
      </c>
      <c r="D83" s="441">
        <f t="shared" si="1"/>
        <v>6596185</v>
      </c>
    </row>
    <row r="84" spans="1:4" x14ac:dyDescent="0.2">
      <c r="A84" s="436">
        <v>16</v>
      </c>
      <c r="B84" s="800" t="str">
        <f>_xlfn.XLOOKUP(A84,Códigos!$A$421:$A$483,Códigos!$B$421:$B$483,"Verificar",0)</f>
        <v>Pagos de: -Aguinaldos y Propinas</v>
      </c>
      <c r="C84" s="488">
        <f>SUMIF('EGRESOS DE CAJA'!$B$9:$B$5958,A84,'EGRESOS DE CAJA'!$G$9:$G$5958)</f>
        <v>0</v>
      </c>
      <c r="D84" s="441">
        <f t="shared" si="1"/>
        <v>0</v>
      </c>
    </row>
    <row r="85" spans="1:4" x14ac:dyDescent="0.2">
      <c r="A85" s="436">
        <v>19</v>
      </c>
      <c r="B85" s="800" t="str">
        <f>_xlfn.XLOOKUP(A85,Códigos!$A$421:$A$483,Códigos!$B$421:$B$483,"Verificar",0)</f>
        <v>Pagos de: -Gastos Barbosa</v>
      </c>
      <c r="C85" s="488">
        <f>SUMIF('EGRESOS DE CAJA'!$B$9:$B$5958,A85,'EGRESOS DE CAJA'!$G$9:$G$5958)</f>
        <v>0</v>
      </c>
      <c r="D85" s="441">
        <f t="shared" si="1"/>
        <v>0</v>
      </c>
    </row>
    <row r="86" spans="1:4" x14ac:dyDescent="0.2">
      <c r="A86" s="436">
        <v>35</v>
      </c>
      <c r="B86" s="800" t="str">
        <f>_xlfn.XLOOKUP(A86,Códigos!$A$421:$A$483,Códigos!$B$421:$B$483,"Verificar",0)</f>
        <v>Impuestos, tasas y contribuciones -GTFF-</v>
      </c>
      <c r="C86" s="488">
        <f>SUMIF('EGRESOS DE CAJA'!$B$9:$B$5958,A86,'EGRESOS DE CAJA'!$G$9:$G$5958)-F106</f>
        <v>72200</v>
      </c>
      <c r="D86" s="441">
        <f t="shared" si="1"/>
        <v>72200</v>
      </c>
    </row>
    <row r="87" spans="1:4" x14ac:dyDescent="0.2">
      <c r="A87" s="786"/>
      <c r="B87" s="800">
        <f>_xlfn.XLOOKUP(A87,Códigos!$A$421:$A$483,Códigos!$B$421:$B$483,"Verificar",0)</f>
        <v>0</v>
      </c>
      <c r="C87" s="488">
        <f>SUMIF('EGRESOS DE CAJA'!$B$9:$B$5958,A87,'EGRESOS DE CAJA'!$G$9:$G$5958)</f>
        <v>0</v>
      </c>
      <c r="D87" s="788"/>
    </row>
    <row r="88" spans="1:4" x14ac:dyDescent="0.2">
      <c r="A88" s="436"/>
      <c r="B88" s="466"/>
      <c r="C88" s="488"/>
      <c r="D88" s="441"/>
    </row>
    <row r="89" spans="1:4" x14ac:dyDescent="0.2">
      <c r="A89" s="164"/>
      <c r="C89" s="51"/>
      <c r="D89" s="51"/>
    </row>
    <row r="90" spans="1:4" x14ac:dyDescent="0.2">
      <c r="A90" s="310" t="s">
        <v>31</v>
      </c>
      <c r="B90" s="69"/>
      <c r="C90" s="53">
        <f>SUM(C80:C89)</f>
        <v>244770139</v>
      </c>
      <c r="D90" s="53">
        <f>SUM(D80:D89)</f>
        <v>244770139</v>
      </c>
    </row>
    <row r="91" spans="1:4" x14ac:dyDescent="0.2">
      <c r="A91" s="310"/>
      <c r="B91" s="69"/>
      <c r="C91" s="53"/>
      <c r="D91" s="53"/>
    </row>
    <row r="92" spans="1:4" x14ac:dyDescent="0.2">
      <c r="A92" s="784"/>
      <c r="B92" s="785"/>
      <c r="C92" s="189"/>
      <c r="D92" s="189"/>
    </row>
    <row r="93" spans="1:4" ht="5.0999999999999996" customHeight="1" x14ac:dyDescent="0.2">
      <c r="A93" s="282"/>
      <c r="B93" s="168"/>
      <c r="C93" s="54"/>
      <c r="D93" s="54"/>
    </row>
    <row r="94" spans="1:4" x14ac:dyDescent="0.2">
      <c r="A94" s="65"/>
      <c r="B94" s="65"/>
      <c r="C94" s="66"/>
      <c r="D94" s="66"/>
    </row>
    <row r="95" spans="1:4" x14ac:dyDescent="0.2">
      <c r="A95" s="1349" t="s">
        <v>608</v>
      </c>
      <c r="B95" s="1349"/>
      <c r="C95" s="1349"/>
      <c r="D95" s="1349"/>
    </row>
    <row r="96" spans="1:4" x14ac:dyDescent="0.2">
      <c r="A96" s="310" t="s">
        <v>710</v>
      </c>
      <c r="C96" s="51"/>
      <c r="D96" s="51"/>
    </row>
    <row r="97" spans="1:6" x14ac:dyDescent="0.2">
      <c r="A97" s="436">
        <v>21</v>
      </c>
      <c r="B97" s="800" t="str">
        <f>_xlfn.XLOOKUP(A97,Códigos!$A$421:$A$483,Códigos!$B$421:$B$483,"Verificar",0)</f>
        <v>Pagos de: -Cuentas por Pagar a:</v>
      </c>
      <c r="C97" s="488">
        <f>SUMIF('EGRESOS DE CAJA'!$B$9:$B$5958,A97,'EGRESOS DE CAJA'!$G$9:$G$5958)</f>
        <v>5929000</v>
      </c>
      <c r="D97" s="441"/>
      <c r="E97" s="45"/>
    </row>
    <row r="98" spans="1:6" x14ac:dyDescent="0.2">
      <c r="A98" s="436">
        <v>28</v>
      </c>
      <c r="B98" s="800" t="str">
        <f>_xlfn.XLOOKUP(A98,Códigos!$A$421:$A$483,Códigos!$B$421:$B$483,"Verificar",0)</f>
        <v>Préstamos a:</v>
      </c>
      <c r="C98" s="488">
        <f>SUMIF('EGRESOS DE CAJA'!$B$9:$B$5958,A98,'EGRESOS DE CAJA'!$G$9:$G$5958)</f>
        <v>41111900</v>
      </c>
      <c r="D98" s="441"/>
      <c r="E98" s="45"/>
    </row>
    <row r="99" spans="1:6" x14ac:dyDescent="0.2">
      <c r="A99" s="436">
        <v>29</v>
      </c>
      <c r="B99" s="800" t="str">
        <f>_xlfn.XLOOKUP(A99,Códigos!$A$421:$A$483,Códigos!$B$421:$B$483,"Verificar",0)</f>
        <v>Egresos por Cuenta de Terceros -Pagos impuestos-</v>
      </c>
      <c r="C99" s="488">
        <f>SUMIF('EGRESOS DE CAJA'!$B$9:$B$5958,A99,'EGRESOS DE CAJA'!$G$9:$G$5958)</f>
        <v>11346300</v>
      </c>
      <c r="D99" s="441"/>
      <c r="E99" s="45"/>
    </row>
    <row r="100" spans="1:6" x14ac:dyDescent="0.2">
      <c r="A100" s="436">
        <v>30</v>
      </c>
      <c r="B100" s="800" t="str">
        <f>_xlfn.XLOOKUP(A100,Códigos!$A$421:$A$483,Códigos!$B$421:$B$483,"Verificar",0)</f>
        <v>Egresos por Cuenta de Terceros -Seguridad social-</v>
      </c>
      <c r="C100" s="488">
        <f>SUMIF('EGRESOS DE CAJA'!$B$9:$B$5958,A100,'EGRESOS DE CAJA'!$G$9:$G$5958)</f>
        <v>0</v>
      </c>
      <c r="D100" s="441"/>
      <c r="E100" s="45"/>
    </row>
    <row r="101" spans="1:6" x14ac:dyDescent="0.2">
      <c r="A101" s="436">
        <v>31</v>
      </c>
      <c r="B101" s="800" t="str">
        <f>_xlfn.XLOOKUP(A101,Códigos!$A$421:$A$483,Códigos!$B$421:$B$483,"Verificar",0)</f>
        <v>Egresos por Cuenta de Terceros -Certificados y otros</v>
      </c>
      <c r="C101" s="488">
        <f>SUMIF('EGRESOS DE CAJA'!$B$9:$B$5958,A101,'EGRESOS DE CAJA'!$G$9:$G$5958)</f>
        <v>0</v>
      </c>
      <c r="D101" s="441"/>
      <c r="E101" s="45"/>
    </row>
    <row r="102" spans="1:6" x14ac:dyDescent="0.2">
      <c r="A102" s="436">
        <v>32</v>
      </c>
      <c r="B102" s="800" t="str">
        <f>_xlfn.XLOOKUP(A102,Códigos!$A$421:$A$483,Códigos!$B$421:$B$483,"Verificar",0)</f>
        <v>Egresos por Cuenta de Terceros -Mantenimiento o compras de equipos y repuestos</v>
      </c>
      <c r="C102" s="488">
        <f>SUMIF('EGRESOS DE CAJA'!$B$9:$B$5958,A102,'EGRESOS DE CAJA'!$G$9:$G$5958)</f>
        <v>0</v>
      </c>
      <c r="D102" s="441"/>
      <c r="E102" s="45"/>
    </row>
    <row r="103" spans="1:6" x14ac:dyDescent="0.2">
      <c r="A103" s="436">
        <v>33</v>
      </c>
      <c r="B103" s="800" t="str">
        <f>_xlfn.XLOOKUP(A103,Códigos!$A$421:$A$483,Códigos!$B$421:$B$483,"Verificar",0)</f>
        <v>AJUSTE POR -Consignación - Traslado a Bancos</v>
      </c>
      <c r="C103" s="488">
        <f>SUMIF('EGRESOS DE CAJA'!$B$9:$B$5958,A103,'EGRESOS DE CAJA'!$G$9:$G$5958)</f>
        <v>125181600</v>
      </c>
      <c r="D103" s="441"/>
      <c r="E103" s="45"/>
    </row>
    <row r="104" spans="1:6" x14ac:dyDescent="0.2">
      <c r="A104" s="436">
        <v>34</v>
      </c>
      <c r="B104" s="800" t="str">
        <f>_xlfn.XLOOKUP(A104,Códigos!$A$421:$A$483,Códigos!$B$421:$B$483,"Verificar",0)</f>
        <v>AJUSTE POR -Consignaciones pendientes de identificar</v>
      </c>
      <c r="C104" s="488">
        <f>SUMIF('EGRESOS DE CAJA'!$B$9:$B$5958,A104,'EGRESOS DE CAJA'!$G$9:$G$5958)</f>
        <v>0</v>
      </c>
      <c r="D104" s="441"/>
      <c r="E104" s="45"/>
    </row>
    <row r="105" spans="1:6" x14ac:dyDescent="0.2">
      <c r="A105" s="786"/>
      <c r="B105" s="466" t="s">
        <v>717</v>
      </c>
      <c r="C105" s="807"/>
      <c r="D105" s="788"/>
      <c r="E105" s="45"/>
    </row>
    <row r="106" spans="1:6" x14ac:dyDescent="0.2">
      <c r="A106" s="786"/>
      <c r="B106" s="466" t="s">
        <v>718</v>
      </c>
      <c r="C106" s="807">
        <f>+F106</f>
        <v>1185000</v>
      </c>
      <c r="D106" s="788"/>
      <c r="E106" s="45"/>
      <c r="F106" s="51">
        <f>+'EGRESOS DE CAJA'!G52</f>
        <v>1185000</v>
      </c>
    </row>
    <row r="107" spans="1:6" x14ac:dyDescent="0.2">
      <c r="A107" s="786"/>
      <c r="B107" s="466" t="s">
        <v>720</v>
      </c>
      <c r="C107" s="807">
        <f>+C20</f>
        <v>5624570</v>
      </c>
      <c r="D107" s="788">
        <f>+C107</f>
        <v>5624570</v>
      </c>
      <c r="E107" s="45"/>
    </row>
    <row r="108" spans="1:6" x14ac:dyDescent="0.2">
      <c r="A108" s="786"/>
      <c r="B108" s="800">
        <f>_xlfn.XLOOKUP(A108,Códigos!$A$421:$A$483,Códigos!$B$421:$B$483,"Verificar",0)</f>
        <v>0</v>
      </c>
      <c r="C108" s="488">
        <f>SUMIF('EGRESOS DE CAJA'!$B$9:$B$5958,A108,'EGRESOS DE CAJA'!$G$9:$G$5958)</f>
        <v>0</v>
      </c>
      <c r="D108" s="788"/>
      <c r="E108" s="45"/>
    </row>
    <row r="109" spans="1:6" x14ac:dyDescent="0.2">
      <c r="A109" s="436"/>
      <c r="B109" s="466"/>
      <c r="C109" s="465"/>
      <c r="D109" s="441"/>
      <c r="E109" s="45"/>
    </row>
    <row r="110" spans="1:6" x14ac:dyDescent="0.2">
      <c r="A110" s="164"/>
      <c r="C110" s="51"/>
      <c r="D110" s="51"/>
      <c r="E110" s="45"/>
    </row>
    <row r="111" spans="1:6" x14ac:dyDescent="0.2">
      <c r="A111" s="310" t="s">
        <v>31</v>
      </c>
      <c r="B111" s="69"/>
      <c r="C111" s="53">
        <f>SUM(C97:C110)</f>
        <v>190378370</v>
      </c>
      <c r="D111" s="53">
        <f>SUM(D97:D110)</f>
        <v>5624570</v>
      </c>
      <c r="E111" s="45"/>
    </row>
    <row r="113" spans="1:4" s="61" customFormat="1" x14ac:dyDescent="0.2">
      <c r="A113" s="796" t="s">
        <v>719</v>
      </c>
      <c r="B113" s="218"/>
      <c r="C113" s="96">
        <f>+C111+C90+C75</f>
        <v>629110853</v>
      </c>
      <c r="D113" s="96">
        <f>+D111+D90+D75</f>
        <v>444357053</v>
      </c>
    </row>
  </sheetData>
  <mergeCells count="6">
    <mergeCell ref="A95:D95"/>
    <mergeCell ref="A77:D77"/>
    <mergeCell ref="A78:D78"/>
    <mergeCell ref="A50:D50"/>
    <mergeCell ref="A14:D14"/>
    <mergeCell ref="A26:D2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47C4-9C84-4DE1-968E-CFE0ED4E466B}">
  <sheetPr>
    <tabColor rgb="FFFFFF00"/>
  </sheetPr>
  <dimension ref="A1:M199"/>
  <sheetViews>
    <sheetView showGridLines="0" zoomScale="90" zoomScaleNormal="90" workbookViewId="0">
      <pane ySplit="5" topLeftCell="A6" activePane="bottomLeft" state="frozen"/>
      <selection pane="bottomLeft" activeCell="A6" sqref="A6"/>
    </sheetView>
  </sheetViews>
  <sheetFormatPr baseColWidth="10" defaultRowHeight="12.75" x14ac:dyDescent="0.2"/>
  <cols>
    <col min="1" max="1" width="9.77734375" style="72" customWidth="1"/>
    <col min="2" max="2" width="3.21875" style="72" bestFit="1" customWidth="1"/>
    <col min="3" max="3" width="8.21875" style="72" customWidth="1"/>
    <col min="4" max="4" width="39.33203125" style="72" bestFit="1" customWidth="1"/>
    <col min="5" max="5" width="30.88671875" style="81" customWidth="1"/>
    <col min="6" max="8" width="11.5546875" style="81"/>
    <col min="9" max="9" width="30.109375" style="81" bestFit="1" customWidth="1"/>
    <col min="10" max="10" width="11.5546875" style="81"/>
    <col min="11" max="11" width="30.21875" style="81" customWidth="1"/>
    <col min="12" max="12" width="2.77734375" style="81" customWidth="1"/>
    <col min="13" max="13" width="11.5546875" style="81"/>
    <col min="14" max="16384" width="11.5546875" style="72"/>
  </cols>
  <sheetData>
    <row r="1" spans="1:10" s="81" customFormat="1" x14ac:dyDescent="0.2">
      <c r="A1" s="66" t="s">
        <v>0</v>
      </c>
    </row>
    <row r="2" spans="1:10" x14ac:dyDescent="0.2">
      <c r="A2" s="66" t="s">
        <v>656</v>
      </c>
    </row>
    <row r="3" spans="1:10" x14ac:dyDescent="0.2">
      <c r="A3" s="128"/>
    </row>
    <row r="4" spans="1:10" s="71" customFormat="1" x14ac:dyDescent="0.2">
      <c r="A4" s="619" t="s">
        <v>638</v>
      </c>
      <c r="E4" s="89"/>
      <c r="F4" s="89"/>
      <c r="G4" s="89"/>
      <c r="H4" s="619" t="s">
        <v>639</v>
      </c>
      <c r="I4" s="89"/>
      <c r="J4" s="89"/>
    </row>
    <row r="5" spans="1:10" x14ac:dyDescent="0.2">
      <c r="A5" s="83"/>
      <c r="B5" s="83"/>
      <c r="C5" s="83"/>
      <c r="D5" s="83"/>
      <c r="E5" s="83"/>
      <c r="F5" s="83"/>
      <c r="G5" s="83"/>
      <c r="H5" s="83"/>
      <c r="I5" s="83"/>
      <c r="J5" s="83"/>
    </row>
    <row r="6" spans="1:10" x14ac:dyDescent="0.2">
      <c r="A6" s="618" t="s">
        <v>413</v>
      </c>
      <c r="H6" s="568"/>
    </row>
    <row r="7" spans="1:10" x14ac:dyDescent="0.2">
      <c r="A7" s="278" t="s">
        <v>387</v>
      </c>
      <c r="G7" s="569" t="s">
        <v>561</v>
      </c>
      <c r="H7" s="66" t="s">
        <v>32</v>
      </c>
      <c r="I7" s="66"/>
      <c r="J7" s="467"/>
    </row>
    <row r="8" spans="1:10" x14ac:dyDescent="0.2">
      <c r="A8" s="455">
        <v>43846</v>
      </c>
      <c r="B8" s="456" t="s">
        <v>34</v>
      </c>
      <c r="C8" s="457">
        <v>295</v>
      </c>
      <c r="D8" s="458" t="str">
        <f>_xlfn.XLOOKUP(B8,Códigos!$A$489:$A$522,Códigos!$B$489:$B$522,"Verificar",0)</f>
        <v>Recibido por: -Cuentas de cobro -DAFF</v>
      </c>
      <c r="E8" s="570" t="str">
        <f>_xlfn.XLOOKUP(C8,Códigos!$A$11:$A$415,Códigos!$B$11:$B$415,"Verificar",0)</f>
        <v>NOMBRE 77</v>
      </c>
      <c r="F8" s="450">
        <v>600000</v>
      </c>
      <c r="H8" s="436" t="s">
        <v>34</v>
      </c>
      <c r="I8" s="488" t="str">
        <f>_xlfn.XLOOKUP(H8,Códigos!$A$489:$A$522,Códigos!$B$489:$B$522,"Verificar",0)</f>
        <v>Recibido por: -Cuentas de cobro -DAFF</v>
      </c>
      <c r="J8" s="441">
        <f>SUMIF(B8,H8,F8)</f>
        <v>600000</v>
      </c>
    </row>
    <row r="9" spans="1:10" x14ac:dyDescent="0.2">
      <c r="H9" s="66"/>
      <c r="I9" s="66"/>
      <c r="J9" s="66"/>
    </row>
    <row r="10" spans="1:10" x14ac:dyDescent="0.2">
      <c r="A10" s="170" t="s">
        <v>388</v>
      </c>
      <c r="H10" s="66" t="s">
        <v>30</v>
      </c>
      <c r="I10" s="66"/>
      <c r="J10" s="66"/>
    </row>
    <row r="11" spans="1:10" x14ac:dyDescent="0.2">
      <c r="A11" s="430">
        <v>43846</v>
      </c>
      <c r="B11" s="432">
        <v>33</v>
      </c>
      <c r="C11" s="432">
        <v>295</v>
      </c>
      <c r="D11" s="433" t="str">
        <f>_xlfn.XLOOKUP(B11,Códigos!$A$421:$A$483,Códigos!$B$421:$B$483,"Verificar",0)</f>
        <v>AJUSTE POR -Consignación - Traslado a Bancos</v>
      </c>
      <c r="E11" s="571" t="str">
        <f>_xlfn.XLOOKUP(C11,Códigos!$A$11:$A$415,Códigos!$B$11:$B$415,"Verificar",0)</f>
        <v>NOMBRE 77</v>
      </c>
      <c r="F11" s="450">
        <v>600000</v>
      </c>
      <c r="H11" s="436">
        <v>33</v>
      </c>
      <c r="I11" s="488" t="str">
        <f>_xlfn.XLOOKUP(H11,Códigos!$A$421:$A$483,Códigos!$B$421:$B$483,"Verificar",0)</f>
        <v>AJUSTE POR -Consignación - Traslado a Bancos</v>
      </c>
      <c r="J11" s="441">
        <f>SUMIF(B11,H11,F11)</f>
        <v>600000</v>
      </c>
    </row>
    <row r="12" spans="1:10" x14ac:dyDescent="0.2">
      <c r="H12" s="164"/>
      <c r="I12" s="82" t="s">
        <v>558</v>
      </c>
      <c r="J12" s="96">
        <f>+J8-J11</f>
        <v>0</v>
      </c>
    </row>
    <row r="13" spans="1:10" x14ac:dyDescent="0.2">
      <c r="C13" s="71" t="s">
        <v>606</v>
      </c>
      <c r="H13" s="164"/>
      <c r="I13" s="82"/>
      <c r="J13" s="96"/>
    </row>
    <row r="14" spans="1:10" ht="42" x14ac:dyDescent="0.2">
      <c r="C14" s="271" t="s">
        <v>652</v>
      </c>
      <c r="D14" s="532" t="s">
        <v>579</v>
      </c>
      <c r="E14" s="271" t="s">
        <v>643</v>
      </c>
      <c r="F14" s="271" t="s">
        <v>651</v>
      </c>
      <c r="G14" s="271" t="s">
        <v>584</v>
      </c>
      <c r="H14" s="271" t="s">
        <v>585</v>
      </c>
      <c r="I14" s="271" t="s">
        <v>586</v>
      </c>
      <c r="J14" s="271" t="s">
        <v>590</v>
      </c>
    </row>
    <row r="15" spans="1:10" x14ac:dyDescent="0.2">
      <c r="C15" s="539">
        <v>295</v>
      </c>
      <c r="D15" s="540" t="str">
        <f>_xlfn.XLOOKUP(C15,Códigos!$A$11:$A$415,Códigos!$B$11:$B$415,"Verificar",0)</f>
        <v>NOMBRE 77</v>
      </c>
      <c r="E15" s="541">
        <f>SUMIF('CARTERA años anteriores'!$C$9:$C$133,C15,'CARTERA años anteriores'!$J$9:$J$133)</f>
        <v>0</v>
      </c>
      <c r="F15" s="541">
        <f>SUMIF(FACTURACIÓN!$C$8:$C$1082,C15,FACTURACIÓN!$K$8:$K$1082)</f>
        <v>900000</v>
      </c>
      <c r="G15" s="541">
        <f>SUMIF('INGRESOS A CAJA'!$C$10:$C$954,C15,'INGRESOS A CAJA'!$F$10:$F$954)</f>
        <v>900000</v>
      </c>
      <c r="H15" s="541">
        <f>SUMIF('EGRESOS DE CAJA'!$C$10:$C$2251,C15,'EGRESOS DE CAJA'!$G$10:$G$2251)</f>
        <v>0</v>
      </c>
      <c r="I15" s="542">
        <f>+E15+F15-G15+H15</f>
        <v>0</v>
      </c>
      <c r="J15" s="558"/>
    </row>
    <row r="19" spans="1:11" x14ac:dyDescent="0.2">
      <c r="A19" s="71" t="s">
        <v>111</v>
      </c>
    </row>
    <row r="20" spans="1:11" x14ac:dyDescent="0.2">
      <c r="A20" s="278" t="s">
        <v>387</v>
      </c>
      <c r="G20" s="569" t="s">
        <v>561</v>
      </c>
      <c r="H20" s="66" t="s">
        <v>32</v>
      </c>
      <c r="I20" s="66"/>
      <c r="J20" s="467"/>
      <c r="K20" s="572" t="s">
        <v>509</v>
      </c>
    </row>
    <row r="21" spans="1:11" x14ac:dyDescent="0.2">
      <c r="A21" s="422">
        <v>43846</v>
      </c>
      <c r="B21" s="419" t="s">
        <v>35</v>
      </c>
      <c r="C21" s="420">
        <v>65</v>
      </c>
      <c r="D21" s="421" t="str">
        <f>_xlfn.XLOOKUP(B21,Códigos!$A$489:$A$522,Códigos!$B$489:$B$522,"Verificar",0)</f>
        <v>Ingresos Recibidos de terceros para pagos</v>
      </c>
      <c r="E21" s="573" t="str">
        <f>_xlfn.XLOOKUP(C21,Códigos!$A$11:$A$415,Códigos!$B$11:$B$415,"Verificar",0)</f>
        <v>NOMBRE 44</v>
      </c>
      <c r="F21" s="453">
        <v>5824000</v>
      </c>
      <c r="H21" s="436" t="s">
        <v>35</v>
      </c>
      <c r="I21" s="488" t="str">
        <f>_xlfn.XLOOKUP(H21,Códigos!$A$489:$A$522,Códigos!$B$489:$B$522,"Verificar",0)</f>
        <v>Ingresos Recibidos de terceros para pagos</v>
      </c>
      <c r="J21" s="441">
        <f>SUMIF(B21,H21,F21)</f>
        <v>5824000</v>
      </c>
    </row>
    <row r="22" spans="1:11" x14ac:dyDescent="0.2">
      <c r="A22" s="422">
        <v>43846</v>
      </c>
      <c r="B22" s="419" t="s">
        <v>5</v>
      </c>
      <c r="C22" s="420">
        <v>65</v>
      </c>
      <c r="D22" s="421" t="str">
        <f>_xlfn.XLOOKUP(B22,Códigos!$A$489:$A$522,Códigos!$B$489:$B$522,"Verificar",0)</f>
        <v>Recibido por: -Otros ingresos Sin Facturación</v>
      </c>
      <c r="E22" s="573" t="str">
        <f>_xlfn.XLOOKUP(C22,Códigos!$A$11:$A$415,Códigos!$B$11:$B$415,"Verificar",0)</f>
        <v>NOMBRE 44</v>
      </c>
      <c r="F22" s="453">
        <f>5900000-F21</f>
        <v>76000</v>
      </c>
      <c r="H22" s="436" t="s">
        <v>5</v>
      </c>
      <c r="I22" s="488" t="str">
        <f>_xlfn.XLOOKUP(H22,Códigos!$A$489:$A$522,Códigos!$B$489:$B$522,"Verificar",0)</f>
        <v>Recibido por: -Otros ingresos Sin Facturación</v>
      </c>
      <c r="J22" s="441">
        <f>SUMIF(B22,H22,F22)</f>
        <v>76000</v>
      </c>
      <c r="K22" s="471">
        <f>+J22+J21</f>
        <v>5900000</v>
      </c>
    </row>
    <row r="23" spans="1:11" x14ac:dyDescent="0.2">
      <c r="H23" s="66"/>
      <c r="I23" s="66"/>
      <c r="J23" s="66"/>
      <c r="K23" s="82" t="s">
        <v>566</v>
      </c>
    </row>
    <row r="24" spans="1:11" x14ac:dyDescent="0.2">
      <c r="A24" s="170" t="s">
        <v>388</v>
      </c>
      <c r="H24" s="66" t="s">
        <v>30</v>
      </c>
      <c r="I24" s="66"/>
      <c r="J24" s="66"/>
    </row>
    <row r="25" spans="1:11" x14ac:dyDescent="0.2">
      <c r="A25" s="293">
        <v>43846</v>
      </c>
      <c r="B25" s="436">
        <v>29</v>
      </c>
      <c r="C25" s="288">
        <v>65</v>
      </c>
      <c r="D25" s="297" t="str">
        <f>_xlfn.XLOOKUP(B25,Códigos!$A$421:$A$483,Códigos!$B$421:$B$483,"Verificar",0)</f>
        <v>Egresos por Cuenta de Terceros -Pagos impuestos-</v>
      </c>
      <c r="E25" s="574" t="str">
        <f>_xlfn.XLOOKUP(C25,Códigos!$A$11:$A$415,Códigos!$B$11:$B$415,"Verificar",0)</f>
        <v>NOMBRE 44</v>
      </c>
      <c r="F25" s="441">
        <v>5824000</v>
      </c>
      <c r="H25" s="436">
        <v>29</v>
      </c>
      <c r="I25" s="488" t="str">
        <f>_xlfn.XLOOKUP(H25,Códigos!$A$421:$A$483,Códigos!$B$421:$B$483,"Verificar",0)</f>
        <v>Egresos por Cuenta de Terceros -Pagos impuestos-</v>
      </c>
      <c r="J25" s="441">
        <f>SUMIF(B25,H25,F25)</f>
        <v>5824000</v>
      </c>
      <c r="K25" s="81" t="s">
        <v>559</v>
      </c>
    </row>
    <row r="26" spans="1:11" x14ac:dyDescent="0.2">
      <c r="A26" s="293">
        <v>43846</v>
      </c>
      <c r="B26" s="436">
        <v>33</v>
      </c>
      <c r="C26" s="288">
        <v>65</v>
      </c>
      <c r="D26" s="297" t="str">
        <f>_xlfn.XLOOKUP(B26,Códigos!$A$421:$A$483,Códigos!$B$421:$B$483,"Verificar",0)</f>
        <v>AJUSTE POR -Consignación - Traslado a Bancos</v>
      </c>
      <c r="E26" s="574" t="str">
        <f>_xlfn.XLOOKUP(C26,Códigos!$A$11:$A$415,Códigos!$B$11:$B$415,"Verificar",0)</f>
        <v>NOMBRE 44</v>
      </c>
      <c r="F26" s="441">
        <v>76000</v>
      </c>
      <c r="H26" s="436">
        <v>33</v>
      </c>
      <c r="I26" s="488" t="str">
        <f>_xlfn.XLOOKUP(H26,Códigos!$A$421:$A$483,Códigos!$B$421:$B$483,"Verificar",0)</f>
        <v>AJUSTE POR -Consignación - Traslado a Bancos</v>
      </c>
      <c r="J26" s="441">
        <f>SUMIF(B26,H26,F26)</f>
        <v>76000</v>
      </c>
      <c r="K26" s="82" t="s">
        <v>560</v>
      </c>
    </row>
    <row r="27" spans="1:11" x14ac:dyDescent="0.2">
      <c r="A27" s="293">
        <v>43873</v>
      </c>
      <c r="B27" s="436">
        <v>31</v>
      </c>
      <c r="C27" s="288">
        <v>65</v>
      </c>
      <c r="D27" s="297" t="str">
        <f>_xlfn.XLOOKUP(B27,Códigos!$A$421:$A$483,Códigos!$B$421:$B$483,"Verificar",0)</f>
        <v>Egresos por Cuenta de Terceros -Certificados y otros</v>
      </c>
      <c r="E27" s="298" t="str">
        <f>_xlfn.XLOOKUP(C27,Códigos!$A$11:$A$415,Códigos!$B$11:$B$415,"Verificar",0)</f>
        <v>NOMBRE 44</v>
      </c>
      <c r="F27" s="441">
        <v>6100</v>
      </c>
      <c r="H27" s="436">
        <v>31</v>
      </c>
      <c r="I27" s="488" t="str">
        <f>_xlfn.XLOOKUP(H27,Códigos!$A$421:$A$483,Códigos!$B$421:$B$483,"Verificar",0)</f>
        <v>Egresos por Cuenta de Terceros -Certificados y otros</v>
      </c>
      <c r="J27" s="441">
        <f>SUMIF(B27,H27,F27)</f>
        <v>6100</v>
      </c>
      <c r="K27" s="82"/>
    </row>
    <row r="28" spans="1:11" ht="25.5" x14ac:dyDescent="0.2">
      <c r="H28" s="164"/>
      <c r="I28" s="620" t="s">
        <v>644</v>
      </c>
      <c r="J28" s="96">
        <f>+J21+J22-J25-J26-J27</f>
        <v>-6100</v>
      </c>
    </row>
    <row r="29" spans="1:11" x14ac:dyDescent="0.2">
      <c r="C29" s="71" t="s">
        <v>606</v>
      </c>
      <c r="H29" s="164"/>
      <c r="I29" s="82"/>
      <c r="J29" s="96"/>
    </row>
    <row r="30" spans="1:11" ht="42" x14ac:dyDescent="0.2">
      <c r="A30" s="71"/>
      <c r="C30" s="271" t="s">
        <v>652</v>
      </c>
      <c r="D30" s="532" t="s">
        <v>579</v>
      </c>
      <c r="E30" s="271" t="s">
        <v>643</v>
      </c>
      <c r="F30" s="271" t="s">
        <v>651</v>
      </c>
      <c r="G30" s="271" t="s">
        <v>584</v>
      </c>
      <c r="H30" s="271" t="s">
        <v>585</v>
      </c>
      <c r="I30" s="271" t="s">
        <v>586</v>
      </c>
      <c r="J30" s="271" t="s">
        <v>590</v>
      </c>
    </row>
    <row r="31" spans="1:11" x14ac:dyDescent="0.2">
      <c r="C31" s="539">
        <v>65</v>
      </c>
      <c r="D31" s="540" t="str">
        <f>_xlfn.XLOOKUP(C31,Códigos!$A$11:$A$415,Códigos!$B$11:$B$415,"Verificar",0)</f>
        <v>NOMBRE 44</v>
      </c>
      <c r="E31" s="541">
        <f>SUMIF('CARTERA años anteriores'!$C$9:$C$133,C31,'CARTERA años anteriores'!$J$9:$J$133)</f>
        <v>0</v>
      </c>
      <c r="F31" s="541">
        <f>SUMIF('CARTERA años anteriores'!$C$9:$C$133,C31,'CARTERA años anteriores'!$L$9:$L$133)</f>
        <v>0</v>
      </c>
      <c r="G31" s="541">
        <f>SUMIF(FACTURACIÓN!$C$8:$C$1082,C31,FACTURACIÓN!$K$8:$K$1082)</f>
        <v>4170000</v>
      </c>
      <c r="H31" s="541">
        <f>SUMIF('INGRESOS A CAJA'!$C$10:$C$954,C31,'INGRESOS A CAJA'!$F$10:$F$954)</f>
        <v>0</v>
      </c>
      <c r="I31" s="541">
        <f>SUMIF('EGRESOS DE CAJA'!$C$10:$C$2251,C31,'EGRESOS DE CAJA'!$G$10:$G$2251)</f>
        <v>0</v>
      </c>
      <c r="J31" s="542">
        <f>+E31-F31+G31-H31+I31</f>
        <v>4170000</v>
      </c>
    </row>
    <row r="34" spans="1:11" x14ac:dyDescent="0.2">
      <c r="A34" s="71" t="s">
        <v>512</v>
      </c>
    </row>
    <row r="35" spans="1:11" x14ac:dyDescent="0.2">
      <c r="A35" s="278" t="s">
        <v>387</v>
      </c>
      <c r="G35" s="569" t="s">
        <v>561</v>
      </c>
      <c r="H35" s="66" t="s">
        <v>32</v>
      </c>
      <c r="I35" s="66"/>
      <c r="J35" s="467"/>
    </row>
    <row r="36" spans="1:11" x14ac:dyDescent="0.2">
      <c r="A36" s="430">
        <v>43839</v>
      </c>
      <c r="B36" s="431" t="s">
        <v>6</v>
      </c>
      <c r="C36" s="432">
        <v>0</v>
      </c>
      <c r="D36" s="433" t="str">
        <f>_xlfn.XLOOKUP(B36,Códigos!$A$489:$A$522,Códigos!$B$489:$B$522,"Verificar",0)</f>
        <v>-Consignaciones pendientes de identificar</v>
      </c>
      <c r="E36" s="571" t="str">
        <f>_xlfn.XLOOKUP(C36,Códigos!$A$11:$A$415,Códigos!$B$11:$B$415,"Verificar",0)</f>
        <v>CONSIGNACIÓN POR IDENTIFICAR</v>
      </c>
      <c r="F36" s="450">
        <v>1000000</v>
      </c>
      <c r="G36" s="569"/>
      <c r="H36" s="436" t="s">
        <v>6</v>
      </c>
      <c r="I36" s="488" t="str">
        <f>_xlfn.XLOOKUP(H36,Códigos!$A$489:$A$522,Códigos!$B$489:$B$522,"Verificar",0)</f>
        <v>-Consignaciones pendientes de identificar</v>
      </c>
      <c r="J36" s="441">
        <f>SUMIF(B36,H36,F36)</f>
        <v>1000000</v>
      </c>
    </row>
    <row r="37" spans="1:11" x14ac:dyDescent="0.2">
      <c r="A37" s="170" t="s">
        <v>388</v>
      </c>
      <c r="G37" s="569"/>
      <c r="H37" s="66" t="s">
        <v>30</v>
      </c>
      <c r="I37" s="66"/>
      <c r="J37" s="66"/>
    </row>
    <row r="38" spans="1:11" x14ac:dyDescent="0.2">
      <c r="A38" s="430">
        <v>43839</v>
      </c>
      <c r="B38" s="431">
        <v>34</v>
      </c>
      <c r="C38" s="432">
        <v>0</v>
      </c>
      <c r="D38" s="433" t="str">
        <f>_xlfn.XLOOKUP(B38,Códigos!$A$421:$A$483,Códigos!$B$421:$B$483,"Verificar",0)</f>
        <v>AJUSTE POR -Consignaciones pendientes de identificar</v>
      </c>
      <c r="E38" s="571" t="str">
        <f>_xlfn.XLOOKUP(C38,Códigos!$A$11:$A$415,Códigos!$B$11:$B$415,"Verificar",0)</f>
        <v>CONSIGNACIÓN POR IDENTIFICAR</v>
      </c>
      <c r="F38" s="450">
        <v>1000000</v>
      </c>
      <c r="G38" s="569"/>
      <c r="H38" s="436">
        <v>34</v>
      </c>
      <c r="I38" s="488" t="str">
        <f>_xlfn.XLOOKUP(H38,Códigos!$A$421:$A$483,Códigos!$B$421:$B$483,"Verificar",0)</f>
        <v>AJUSTE POR -Consignaciones pendientes de identificar</v>
      </c>
      <c r="J38" s="441">
        <f>SUMIF(B38,H38,F38)</f>
        <v>1000000</v>
      </c>
    </row>
    <row r="39" spans="1:11" x14ac:dyDescent="0.2">
      <c r="A39" s="278"/>
      <c r="G39" s="569"/>
      <c r="H39" s="66"/>
      <c r="I39" s="66"/>
      <c r="J39" s="467"/>
    </row>
    <row r="40" spans="1:11" x14ac:dyDescent="0.2">
      <c r="A40" s="278" t="s">
        <v>387</v>
      </c>
      <c r="G40" s="569"/>
      <c r="H40" s="66"/>
      <c r="I40" s="66"/>
      <c r="J40" s="467"/>
    </row>
    <row r="41" spans="1:11" x14ac:dyDescent="0.2">
      <c r="A41" s="430">
        <v>43847</v>
      </c>
      <c r="B41" s="431" t="s">
        <v>6</v>
      </c>
      <c r="C41" s="432">
        <v>0</v>
      </c>
      <c r="D41" s="433" t="str">
        <f>_xlfn.XLOOKUP(B41,Códigos!$A$489:$A$522,Códigos!$B$489:$B$522,"Verificar",0)</f>
        <v>-Consignaciones pendientes de identificar</v>
      </c>
      <c r="E41" s="571" t="str">
        <f>_xlfn.XLOOKUP(C41,Códigos!$A$11:$A$415,Códigos!$B$11:$B$415,"Verificar",0)</f>
        <v>CONSIGNACIÓN POR IDENTIFICAR</v>
      </c>
      <c r="F41" s="450">
        <v>1500000</v>
      </c>
      <c r="H41" s="436" t="s">
        <v>6</v>
      </c>
      <c r="I41" s="488" t="str">
        <f>_xlfn.XLOOKUP(H41,Códigos!$A$489:$A$522,Códigos!$B$489:$B$522,"Verificar",0)</f>
        <v>-Consignaciones pendientes de identificar</v>
      </c>
      <c r="J41" s="441">
        <f>SUMIF(B41,H41,F41)</f>
        <v>1500000</v>
      </c>
    </row>
    <row r="42" spans="1:11" x14ac:dyDescent="0.2">
      <c r="A42" s="170" t="s">
        <v>388</v>
      </c>
      <c r="H42" s="66" t="s">
        <v>30</v>
      </c>
      <c r="I42" s="66"/>
      <c r="J42" s="66"/>
    </row>
    <row r="43" spans="1:11" x14ac:dyDescent="0.2">
      <c r="A43" s="430">
        <v>43847</v>
      </c>
      <c r="B43" s="431">
        <v>34</v>
      </c>
      <c r="C43" s="432">
        <v>0</v>
      </c>
      <c r="D43" s="433" t="str">
        <f>_xlfn.XLOOKUP(B43,Códigos!$A$421:$A$483,Códigos!$B$421:$B$483,"Verificar",0)</f>
        <v>AJUSTE POR -Consignaciones pendientes de identificar</v>
      </c>
      <c r="E43" s="571" t="str">
        <f>_xlfn.XLOOKUP(C43,Códigos!$A$11:$A$415,Códigos!$B$11:$B$415,"Verificar",0)</f>
        <v>CONSIGNACIÓN POR IDENTIFICAR</v>
      </c>
      <c r="F43" s="450">
        <v>1500000</v>
      </c>
      <c r="H43" s="436">
        <v>34</v>
      </c>
      <c r="I43" s="488" t="str">
        <f>_xlfn.XLOOKUP(H43,Códigos!$A$421:$A$483,Códigos!$B$421:$B$483,"Verificar",0)</f>
        <v>AJUSTE POR -Consignaciones pendientes de identificar</v>
      </c>
      <c r="J43" s="441">
        <f>SUMIF(B43,H43,F43)</f>
        <v>1500000</v>
      </c>
      <c r="K43" s="575" t="s">
        <v>563</v>
      </c>
    </row>
    <row r="44" spans="1:11" x14ac:dyDescent="0.2">
      <c r="I44" s="82" t="s">
        <v>558</v>
      </c>
      <c r="J44" s="96">
        <f>+J36+J41-J38-J43</f>
        <v>0</v>
      </c>
    </row>
    <row r="45" spans="1:11" x14ac:dyDescent="0.2">
      <c r="H45" s="576" t="s">
        <v>390</v>
      </c>
      <c r="I45" s="468"/>
      <c r="J45" s="468"/>
    </row>
    <row r="46" spans="1:11" x14ac:dyDescent="0.2">
      <c r="H46" s="469" t="s">
        <v>6</v>
      </c>
      <c r="I46" s="577" t="str">
        <f>_xlfn.XLOOKUP(H46,Códigos!$A$489:$A$522,Códigos!$B$489:$B$522,"Verificar",0)</f>
        <v>-Consignaciones pendientes de identificar</v>
      </c>
      <c r="J46" s="470">
        <f>SUMIF('INGRESOS A CAJA'!$B$9:$B$4452,H46,'INGRESOS A CAJA'!$F$9:$F$4452)</f>
        <v>0</v>
      </c>
      <c r="K46" s="82" t="s">
        <v>564</v>
      </c>
    </row>
    <row r="49" spans="1:11" x14ac:dyDescent="0.2">
      <c r="A49" s="71" t="s">
        <v>148</v>
      </c>
    </row>
    <row r="50" spans="1:11" x14ac:dyDescent="0.2">
      <c r="A50" s="278" t="s">
        <v>387</v>
      </c>
      <c r="H50" s="66" t="s">
        <v>32</v>
      </c>
      <c r="I50" s="66"/>
      <c r="J50" s="467"/>
    </row>
    <row r="51" spans="1:11" x14ac:dyDescent="0.2">
      <c r="A51" s="430">
        <v>43848</v>
      </c>
      <c r="B51" s="431" t="s">
        <v>34</v>
      </c>
      <c r="C51" s="432">
        <v>122</v>
      </c>
      <c r="D51" s="433" t="str">
        <f>_xlfn.XLOOKUP(B51,Códigos!$A$489:$A$522,Códigos!$B$489:$B$522,"Verificar",0)</f>
        <v>Recibido por: -Cuentas de cobro -DAFF</v>
      </c>
      <c r="E51" s="571" t="str">
        <f>_xlfn.XLOOKUP(C51,Códigos!$A$11:$A$415,Códigos!$B$11:$B$415,"Verificar",0)</f>
        <v>NOMBRE 191</v>
      </c>
      <c r="F51" s="450">
        <v>470000</v>
      </c>
      <c r="H51" s="436" t="s">
        <v>34</v>
      </c>
      <c r="I51" s="488" t="str">
        <f>_xlfn.XLOOKUP(H51,Códigos!$A$489:$A$522,Códigos!$B$489:$B$522,"Verificar",0)</f>
        <v>Recibido por: -Cuentas de cobro -DAFF</v>
      </c>
      <c r="J51" s="441">
        <f>SUMIF(B51,H51,F51)</f>
        <v>470000</v>
      </c>
    </row>
    <row r="52" spans="1:11" x14ac:dyDescent="0.2">
      <c r="A52" s="170" t="s">
        <v>388</v>
      </c>
      <c r="H52" s="66" t="s">
        <v>30</v>
      </c>
      <c r="I52" s="66"/>
      <c r="J52" s="66"/>
    </row>
    <row r="53" spans="1:11" x14ac:dyDescent="0.2">
      <c r="A53" s="430">
        <v>43848</v>
      </c>
      <c r="B53" s="432">
        <v>33</v>
      </c>
      <c r="C53" s="432">
        <v>122</v>
      </c>
      <c r="D53" s="433" t="str">
        <f>_xlfn.XLOOKUP(B53,Códigos!$A$421:$A$483,Códigos!$B$421:$B$483,"Verificar",0)</f>
        <v>AJUSTE POR -Consignación - Traslado a Bancos</v>
      </c>
      <c r="E53" s="571" t="str">
        <f>_xlfn.XLOOKUP(C53,Códigos!$A$11:$A$415,Códigos!$B$11:$B$415,"Verificar",0)</f>
        <v>NOMBRE 191</v>
      </c>
      <c r="F53" s="450">
        <v>470000</v>
      </c>
      <c r="H53" s="436">
        <v>33</v>
      </c>
      <c r="I53" s="488" t="str">
        <f>_xlfn.XLOOKUP(H53,Códigos!$A$421:$A$483,Códigos!$B$421:$B$483,"Verificar",0)</f>
        <v>AJUSTE POR -Consignación - Traslado a Bancos</v>
      </c>
      <c r="J53" s="441">
        <f>SUMIF(B53,H53,F53)</f>
        <v>470000</v>
      </c>
      <c r="K53" s="82" t="s">
        <v>560</v>
      </c>
    </row>
    <row r="54" spans="1:11" x14ac:dyDescent="0.2">
      <c r="I54" s="82" t="s">
        <v>558</v>
      </c>
      <c r="J54" s="96">
        <f>+J51-J53</f>
        <v>0</v>
      </c>
    </row>
    <row r="55" spans="1:11" x14ac:dyDescent="0.2">
      <c r="C55" s="71" t="s">
        <v>606</v>
      </c>
      <c r="H55" s="164"/>
      <c r="I55" s="82"/>
      <c r="J55" s="96"/>
    </row>
    <row r="56" spans="1:11" ht="42" x14ac:dyDescent="0.2">
      <c r="C56" s="271" t="s">
        <v>652</v>
      </c>
      <c r="D56" s="532" t="s">
        <v>579</v>
      </c>
      <c r="E56" s="271" t="s">
        <v>643</v>
      </c>
      <c r="F56" s="271" t="s">
        <v>651</v>
      </c>
      <c r="G56" s="271" t="s">
        <v>584</v>
      </c>
      <c r="H56" s="271" t="s">
        <v>585</v>
      </c>
      <c r="I56" s="271" t="s">
        <v>586</v>
      </c>
      <c r="J56" s="271" t="s">
        <v>590</v>
      </c>
    </row>
    <row r="57" spans="1:11" x14ac:dyDescent="0.2">
      <c r="C57" s="539">
        <v>122</v>
      </c>
      <c r="D57" s="540" t="str">
        <f>_xlfn.XLOOKUP(C57,Códigos!$A$11:$A$415,Códigos!$B$11:$B$415,"Verificar",0)</f>
        <v>NOMBRE 191</v>
      </c>
      <c r="E57" s="541">
        <f>SUMIF('CARTERA años anteriores'!$C$9:$C$133,C57,'CARTERA años anteriores'!$J$9:$J$133)</f>
        <v>0</v>
      </c>
      <c r="F57" s="541">
        <f>SUMIF('CARTERA años anteriores'!$C$9:$C$133,C57,'CARTERA años anteriores'!$L$9:$L$133)</f>
        <v>0</v>
      </c>
      <c r="G57" s="541">
        <f>SUMIF(FACTURACIÓN!$C$8:$C$1082,C57,FACTURACIÓN!$K$8:$K$1082)</f>
        <v>690000</v>
      </c>
      <c r="H57" s="541">
        <f>SUMIF('INGRESOS A CAJA'!$C$10:$C$954,C57,'INGRESOS A CAJA'!$F$10:$F$954)</f>
        <v>0</v>
      </c>
      <c r="I57" s="541">
        <f>SUMIF('EGRESOS DE CAJA'!$C$10:$C$2251,C57,'EGRESOS DE CAJA'!$G$10:$G$2251)</f>
        <v>0</v>
      </c>
      <c r="J57" s="542">
        <f>+E57-F57+G57-H57+I57</f>
        <v>690000</v>
      </c>
    </row>
    <row r="60" spans="1:11" x14ac:dyDescent="0.2">
      <c r="A60" s="75"/>
      <c r="B60" s="75"/>
      <c r="C60" s="75"/>
      <c r="D60" s="75"/>
      <c r="E60" s="83"/>
      <c r="F60" s="83"/>
      <c r="G60" s="83"/>
      <c r="H60" s="83"/>
      <c r="I60" s="83"/>
      <c r="J60" s="83"/>
      <c r="K60" s="83"/>
    </row>
    <row r="61" spans="1:11" x14ac:dyDescent="0.2">
      <c r="A61" s="71" t="s">
        <v>379</v>
      </c>
    </row>
    <row r="62" spans="1:11" x14ac:dyDescent="0.2">
      <c r="A62" s="278" t="s">
        <v>387</v>
      </c>
      <c r="H62" s="66" t="s">
        <v>32</v>
      </c>
      <c r="I62" s="66"/>
      <c r="J62" s="467"/>
      <c r="K62" s="81" t="s">
        <v>359</v>
      </c>
    </row>
    <row r="63" spans="1:11" x14ac:dyDescent="0.2">
      <c r="A63" s="429">
        <v>43850</v>
      </c>
      <c r="B63" s="424" t="s">
        <v>37</v>
      </c>
      <c r="C63" s="425">
        <v>262</v>
      </c>
      <c r="D63" s="426" t="str">
        <f>_xlfn.XLOOKUP(B63,Códigos!$A$489:$A$522,Códigos!$B$489:$B$522,"Verificar",0)</f>
        <v>-Retiros y Traslados de Bancos</v>
      </c>
      <c r="E63" s="578" t="str">
        <f>_xlfn.XLOOKUP(C63,Códigos!$A$11:$A$415,Códigos!$B$11:$B$415,"Verificar",0)</f>
        <v>NOMBRE 95</v>
      </c>
      <c r="F63" s="454">
        <f>1797495-F64</f>
        <v>1042245</v>
      </c>
      <c r="H63" s="436" t="s">
        <v>37</v>
      </c>
      <c r="I63" s="488" t="str">
        <f>_xlfn.XLOOKUP(H63,Códigos!$A$489:$A$522,Códigos!$B$489:$B$522,"Verificar",0)</f>
        <v>-Retiros y Traslados de Bancos</v>
      </c>
      <c r="J63" s="441">
        <f>SUMIF(B63,H63,F63)</f>
        <v>1042245</v>
      </c>
    </row>
    <row r="64" spans="1:11" x14ac:dyDescent="0.2">
      <c r="A64" s="429">
        <v>43850</v>
      </c>
      <c r="B64" s="424" t="s">
        <v>37</v>
      </c>
      <c r="C64" s="425">
        <v>262</v>
      </c>
      <c r="D64" s="426" t="str">
        <f>_xlfn.XLOOKUP(B64,Códigos!$A$489:$A$522,Códigos!$B$489:$B$522,"Verificar",0)</f>
        <v>-Retiros y Traslados de Bancos</v>
      </c>
      <c r="E64" s="578" t="str">
        <f>_xlfn.XLOOKUP(C64,Códigos!$A$11:$A$415,Códigos!$B$11:$B$415,"Verificar",0)</f>
        <v>NOMBRE 95</v>
      </c>
      <c r="F64" s="454">
        <f>795000-(79500/2)</f>
        <v>755250</v>
      </c>
      <c r="H64" s="436" t="s">
        <v>37</v>
      </c>
      <c r="I64" s="488" t="str">
        <f>_xlfn.XLOOKUP(H64,Códigos!$A$489:$A$522,Códigos!$B$489:$B$522,"Verificar",0)</f>
        <v>-Retiros y Traslados de Bancos</v>
      </c>
      <c r="J64" s="441">
        <f>SUMIF(B64,H64,F64)</f>
        <v>755250</v>
      </c>
    </row>
    <row r="65" spans="1:11" x14ac:dyDescent="0.2">
      <c r="A65" s="427">
        <v>43850</v>
      </c>
      <c r="B65" s="352" t="s">
        <v>35</v>
      </c>
      <c r="C65" s="353">
        <v>8</v>
      </c>
      <c r="D65" s="428" t="str">
        <f>_xlfn.XLOOKUP(B65,Códigos!$A$489:$A$522,Códigos!$B$489:$B$522,"Verificar",0)</f>
        <v>Ingresos Recibidos de terceros para pagos</v>
      </c>
      <c r="E65" s="579" t="str">
        <f>_xlfn.XLOOKUP(C65,Códigos!$A$11:$A$415,Códigos!$B$11:$B$415,"Verificar",0)</f>
        <v>NOMBRE 64</v>
      </c>
      <c r="F65" s="451">
        <f>2089000+35000</f>
        <v>2124000</v>
      </c>
      <c r="H65" s="436" t="s">
        <v>35</v>
      </c>
      <c r="I65" s="488" t="str">
        <f>_xlfn.XLOOKUP(H65,Códigos!$A$489:$A$522,Códigos!$B$489:$B$522,"Verificar",0)</f>
        <v>Ingresos Recibidos de terceros para pagos</v>
      </c>
      <c r="J65" s="441">
        <f>SUMIF(B65,H65,F65)</f>
        <v>2124000</v>
      </c>
      <c r="K65" s="572" t="s">
        <v>565</v>
      </c>
    </row>
    <row r="66" spans="1:11" x14ac:dyDescent="0.2">
      <c r="A66" s="427">
        <v>43850</v>
      </c>
      <c r="B66" s="352" t="s">
        <v>5</v>
      </c>
      <c r="C66" s="353">
        <v>8</v>
      </c>
      <c r="D66" s="428" t="str">
        <f>_xlfn.XLOOKUP(B66,Códigos!$A$489:$A$522,Códigos!$B$489:$B$522,"Verificar",0)</f>
        <v>Recibido por: -Otros ingresos Sin Facturación</v>
      </c>
      <c r="E66" s="579" t="str">
        <f>_xlfn.XLOOKUP(C66,Códigos!$A$11:$A$415,Códigos!$B$11:$B$415,"Verificar",0)</f>
        <v>NOMBRE 64</v>
      </c>
      <c r="F66" s="451">
        <f>2132496-F65</f>
        <v>8496</v>
      </c>
      <c r="H66" s="436" t="s">
        <v>5</v>
      </c>
      <c r="I66" s="488" t="str">
        <f>_xlfn.XLOOKUP(H66,Códigos!$A$489:$A$522,Códigos!$B$489:$B$522,"Verificar",0)</f>
        <v>Recibido por: -Otros ingresos Sin Facturación</v>
      </c>
      <c r="J66" s="441">
        <f>SUMIF(B66,H66,F66)</f>
        <v>8496</v>
      </c>
      <c r="K66" s="471">
        <f>SUM(J65:J66)</f>
        <v>2132496</v>
      </c>
    </row>
    <row r="67" spans="1:11" x14ac:dyDescent="0.2">
      <c r="K67" s="82" t="s">
        <v>566</v>
      </c>
    </row>
    <row r="68" spans="1:11" x14ac:dyDescent="0.2">
      <c r="K68" s="434" t="s">
        <v>567</v>
      </c>
    </row>
    <row r="69" spans="1:11" x14ac:dyDescent="0.2">
      <c r="A69" s="170" t="s">
        <v>388</v>
      </c>
      <c r="E69" s="87" t="s">
        <v>640</v>
      </c>
      <c r="H69" s="66" t="s">
        <v>30</v>
      </c>
      <c r="I69" s="66"/>
      <c r="J69" s="66"/>
      <c r="K69" s="434">
        <v>3921495</v>
      </c>
    </row>
    <row r="70" spans="1:11" x14ac:dyDescent="0.2">
      <c r="A70" s="293">
        <v>43850</v>
      </c>
      <c r="B70" s="436">
        <v>29</v>
      </c>
      <c r="C70" s="288">
        <v>8</v>
      </c>
      <c r="D70" s="297" t="str">
        <f>_xlfn.XLOOKUP(B70,Códigos!$A$421:$A$483,Códigos!$B$421:$B$483,"Verificar",0)</f>
        <v>Egresos por Cuenta de Terceros -Pagos impuestos-</v>
      </c>
      <c r="E70" s="574" t="str">
        <f>_xlfn.XLOOKUP(C70,Códigos!$A$11:$A$415,Códigos!$B$11:$B$415,"Verificar",0)</f>
        <v>NOMBRE 64</v>
      </c>
      <c r="F70" s="451">
        <f>2089000+35000</f>
        <v>2124000</v>
      </c>
      <c r="H70" s="436">
        <v>29</v>
      </c>
      <c r="I70" s="488" t="str">
        <f>_xlfn.XLOOKUP(H70,Códigos!$A$421:$A$483,Códigos!$B$421:$B$483,"Verificar",0)</f>
        <v>Egresos por Cuenta de Terceros -Pagos impuestos-</v>
      </c>
      <c r="J70" s="441">
        <f>SUMIF(B70,H70,F70)</f>
        <v>2124000</v>
      </c>
      <c r="K70" s="434">
        <f>SUM(J70+J72+J73)</f>
        <v>3921495</v>
      </c>
    </row>
    <row r="71" spans="1:11" x14ac:dyDescent="0.2">
      <c r="A71" s="293">
        <v>43850</v>
      </c>
      <c r="B71" s="436">
        <v>33</v>
      </c>
      <c r="C71" s="288">
        <v>8</v>
      </c>
      <c r="D71" s="297" t="str">
        <f>_xlfn.XLOOKUP(B71,Códigos!$A$421:$A$483,Códigos!$B$421:$B$483,"Verificar",0)</f>
        <v>AJUSTE POR -Consignación - Traslado a Bancos</v>
      </c>
      <c r="E71" s="574" t="str">
        <f>_xlfn.XLOOKUP(C71,Códigos!$A$11:$A$415,Códigos!$B$11:$B$415,"Verificar",0)</f>
        <v>NOMBRE 64</v>
      </c>
      <c r="F71" s="451">
        <f>2132496-F70</f>
        <v>8496</v>
      </c>
      <c r="H71" s="436">
        <v>33</v>
      </c>
      <c r="I71" s="488" t="str">
        <f>_xlfn.XLOOKUP(H71,Códigos!$A$421:$A$483,Códigos!$B$421:$B$483,"Verificar",0)</f>
        <v>AJUSTE POR -Consignación - Traslado a Bancos</v>
      </c>
      <c r="J71" s="441">
        <f>SUMIF(B71,H71,F71)</f>
        <v>8496</v>
      </c>
      <c r="K71" s="82" t="s">
        <v>560</v>
      </c>
    </row>
    <row r="72" spans="1:11" x14ac:dyDescent="0.2">
      <c r="A72" s="293">
        <v>43850</v>
      </c>
      <c r="B72" s="436">
        <v>14</v>
      </c>
      <c r="C72" s="288">
        <v>361</v>
      </c>
      <c r="D72" s="297" t="str">
        <f>_xlfn.XLOOKUP(B72,Códigos!$A$421:$A$483,Códigos!$B$421:$B$483,"Verificar",0)</f>
        <v>Pagos de: -Seminarios y capacitaciones</v>
      </c>
      <c r="E72" s="574" t="str">
        <f>_xlfn.XLOOKUP(C72,Códigos!$A$11:$A$415,Códigos!$B$11:$B$415,"Verificar",0)</f>
        <v>NOMBRE 49</v>
      </c>
      <c r="F72" s="441">
        <f>1797495-F73</f>
        <v>1042245</v>
      </c>
      <c r="H72" s="436">
        <v>14</v>
      </c>
      <c r="I72" s="488" t="str">
        <f>_xlfn.XLOOKUP(H72,Códigos!$A$421:$A$483,Códigos!$B$421:$B$483,"Verificar",0)</f>
        <v>Pagos de: -Seminarios y capacitaciones</v>
      </c>
      <c r="J72" s="441">
        <f>SUMIF(B72,H72,F72)</f>
        <v>1042245</v>
      </c>
    </row>
    <row r="73" spans="1:11" x14ac:dyDescent="0.2">
      <c r="A73" s="293">
        <v>43850</v>
      </c>
      <c r="B73" s="436">
        <v>28</v>
      </c>
      <c r="C73" s="288">
        <v>250</v>
      </c>
      <c r="D73" s="297" t="str">
        <f>_xlfn.XLOOKUP(B73,Códigos!$A$421:$A$483,Códigos!$B$421:$B$483,"Verificar",0)</f>
        <v>Préstamos a:</v>
      </c>
      <c r="E73" s="574" t="str">
        <f>_xlfn.XLOOKUP(C73,Códigos!$A$11:$A$415,Códigos!$B$11:$B$415,"Verificar",0)</f>
        <v>NOMBRE 75</v>
      </c>
      <c r="F73" s="441">
        <f>795000-(79500/2)</f>
        <v>755250</v>
      </c>
      <c r="H73" s="436">
        <v>28</v>
      </c>
      <c r="I73" s="488" t="str">
        <f>_xlfn.XLOOKUP(H73,Códigos!$A$421:$A$483,Códigos!$B$421:$B$483,"Verificar",0)</f>
        <v>Préstamos a:</v>
      </c>
      <c r="J73" s="441">
        <f>SUMIF(B73,H73,F73)</f>
        <v>755250</v>
      </c>
    </row>
    <row r="74" spans="1:11" x14ac:dyDescent="0.2">
      <c r="I74" s="82" t="s">
        <v>558</v>
      </c>
      <c r="J74" s="96">
        <f>SUM(J63:J66)-SUM(J70:J73)</f>
        <v>0</v>
      </c>
      <c r="K74" s="82" t="s">
        <v>564</v>
      </c>
    </row>
    <row r="75" spans="1:11" x14ac:dyDescent="0.2">
      <c r="A75" s="71" t="s">
        <v>379</v>
      </c>
    </row>
    <row r="76" spans="1:11" x14ac:dyDescent="0.2">
      <c r="A76" s="278" t="s">
        <v>387</v>
      </c>
      <c r="H76" s="66" t="s">
        <v>32</v>
      </c>
      <c r="I76" s="128" t="s">
        <v>595</v>
      </c>
      <c r="J76" s="467"/>
    </row>
    <row r="77" spans="1:11" x14ac:dyDescent="0.2">
      <c r="A77" s="430">
        <v>43884</v>
      </c>
      <c r="B77" s="431" t="s">
        <v>36</v>
      </c>
      <c r="C77" s="432">
        <v>8</v>
      </c>
      <c r="D77" s="433" t="str">
        <f>_xlfn.XLOOKUP(B77,Códigos!$A$489:$A$522,Códigos!$B$489:$B$522,"Verificar",0)</f>
        <v>Recibido por: -Cuentas por Cobrar</v>
      </c>
      <c r="E77" s="571" t="str">
        <f>_xlfn.XLOOKUP(C77,Códigos!$A$11:$A$415,Códigos!$B$11:$B$415,"Verificar",0)</f>
        <v>NOMBRE 64</v>
      </c>
      <c r="F77" s="450">
        <v>30000</v>
      </c>
      <c r="H77" s="436" t="s">
        <v>36</v>
      </c>
      <c r="I77" s="488" t="str">
        <f>_xlfn.XLOOKUP(H77,Códigos!$A$489:$A$522,Códigos!$B$489:$B$522,"Verificar",0)</f>
        <v>Recibido por: -Cuentas por Cobrar</v>
      </c>
      <c r="J77" s="441">
        <f>SUMIF(B77,H77,F77)</f>
        <v>30000</v>
      </c>
    </row>
    <row r="79" spans="1:11" x14ac:dyDescent="0.2">
      <c r="A79" s="170" t="s">
        <v>388</v>
      </c>
      <c r="H79" s="66" t="s">
        <v>30</v>
      </c>
      <c r="I79" s="81" t="s">
        <v>574</v>
      </c>
      <c r="J79" s="66"/>
    </row>
    <row r="80" spans="1:11" ht="42" x14ac:dyDescent="0.2">
      <c r="A80" s="430">
        <v>43884</v>
      </c>
      <c r="B80" s="432">
        <v>33</v>
      </c>
      <c r="C80" s="432">
        <v>8</v>
      </c>
      <c r="D80" s="433" t="str">
        <f>_xlfn.XLOOKUP(B80,Códigos!$A$421:$A$483,Códigos!$B$421:$B$483,"Verificar",0)</f>
        <v>AJUSTE POR -Consignación - Traslado a Bancos</v>
      </c>
      <c r="E80" s="571" t="str">
        <f>_xlfn.XLOOKUP(C80,Códigos!$A$11:$A$415,Códigos!$B$11:$B$415,"Verificar",0)</f>
        <v>NOMBRE 64</v>
      </c>
      <c r="F80" s="450">
        <v>30000</v>
      </c>
      <c r="H80" s="436">
        <v>28</v>
      </c>
      <c r="I80" s="488" t="str">
        <f>_xlfn.XLOOKUP(H80,Códigos!$A$421:$A$483,Códigos!$B$421:$B$483,"Verificar",0)</f>
        <v>Préstamos a:</v>
      </c>
      <c r="J80" s="441"/>
      <c r="K80" s="476" t="s">
        <v>570</v>
      </c>
    </row>
    <row r="81" spans="1:11" x14ac:dyDescent="0.2">
      <c r="I81" s="468" t="s">
        <v>572</v>
      </c>
      <c r="J81" s="468">
        <f>+J77-J80</f>
        <v>30000</v>
      </c>
      <c r="K81" s="585" t="s">
        <v>571</v>
      </c>
    </row>
    <row r="83" spans="1:11" x14ac:dyDescent="0.2">
      <c r="C83" s="71" t="s">
        <v>606</v>
      </c>
      <c r="H83" s="164"/>
      <c r="I83" s="82"/>
      <c r="J83" s="96"/>
    </row>
    <row r="84" spans="1:11" ht="42" x14ac:dyDescent="0.2">
      <c r="C84" s="271" t="s">
        <v>652</v>
      </c>
      <c r="D84" s="532" t="s">
        <v>579</v>
      </c>
      <c r="E84" s="271" t="s">
        <v>643</v>
      </c>
      <c r="F84" s="271" t="s">
        <v>651</v>
      </c>
      <c r="G84" s="271" t="s">
        <v>584</v>
      </c>
      <c r="H84" s="271" t="s">
        <v>585</v>
      </c>
      <c r="I84" s="271" t="s">
        <v>586</v>
      </c>
      <c r="J84" s="271" t="s">
        <v>590</v>
      </c>
    </row>
    <row r="85" spans="1:11" ht="25.5" x14ac:dyDescent="0.2">
      <c r="C85" s="529">
        <v>8</v>
      </c>
      <c r="D85" s="526" t="str">
        <f>_xlfn.XLOOKUP(C85,Códigos!$A$11:$A$415,Códigos!$B$11:$B$415,"Verificar",0)</f>
        <v>NOMBRE 64</v>
      </c>
      <c r="E85" s="527">
        <f>SUMIF('CARTERA años anteriores'!$C$9:$C$133,C85,'CARTERA años anteriores'!$J$9:$J$133)</f>
        <v>252000</v>
      </c>
      <c r="F85" s="527">
        <f>SUMIF('CARTERA años anteriores'!$C$9:$C$133,C85,'CARTERA años anteriores'!$L$9:$L$133)</f>
        <v>0</v>
      </c>
      <c r="G85" s="527">
        <f>SUMIF(FACTURACIÓN!$C$8:$C$1082,C85,FACTURACIÓN!$K$8:$K$1082)</f>
        <v>0</v>
      </c>
      <c r="H85" s="527">
        <f>SUMIF('INGRESOS A CAJA'!$C$10:$C$954,C85,'INGRESOS A CAJA'!$F$10:$F$954)</f>
        <v>0</v>
      </c>
      <c r="I85" s="527">
        <f>SUMIF('EGRESOS DE CAJA'!$C$10:$C$2251,C85,'EGRESOS DE CAJA'!$G$10:$G$2251)</f>
        <v>900100</v>
      </c>
      <c r="J85" s="528">
        <f>+E85-F85+G85-H85+I85</f>
        <v>1152100</v>
      </c>
      <c r="K85" s="557" t="s">
        <v>637</v>
      </c>
    </row>
    <row r="89" spans="1:11" x14ac:dyDescent="0.2">
      <c r="A89" s="75"/>
      <c r="B89" s="75"/>
      <c r="C89" s="75"/>
      <c r="D89" s="75"/>
      <c r="E89" s="83"/>
      <c r="F89" s="83"/>
      <c r="G89" s="83"/>
      <c r="H89" s="83"/>
      <c r="I89" s="83"/>
      <c r="J89" s="83"/>
      <c r="K89" s="83"/>
    </row>
    <row r="90" spans="1:11" x14ac:dyDescent="0.2">
      <c r="A90" s="71" t="s">
        <v>414</v>
      </c>
    </row>
    <row r="91" spans="1:11" x14ac:dyDescent="0.2">
      <c r="A91" s="278" t="s">
        <v>387</v>
      </c>
      <c r="H91" s="66" t="s">
        <v>32</v>
      </c>
      <c r="I91" s="128" t="s">
        <v>595</v>
      </c>
      <c r="J91" s="467"/>
    </row>
    <row r="92" spans="1:11" x14ac:dyDescent="0.2">
      <c r="A92" s="473">
        <v>43850</v>
      </c>
      <c r="B92" s="474" t="s">
        <v>36</v>
      </c>
      <c r="C92" s="437">
        <v>222</v>
      </c>
      <c r="D92" s="475" t="str">
        <f>_xlfn.XLOOKUP(B92,Códigos!$A$489:$A$522,Códigos!$B$489:$B$522,"Verificar",0)</f>
        <v>Recibido por: -Cuentas por Cobrar</v>
      </c>
      <c r="E92" s="580" t="str">
        <f>_xlfn.XLOOKUP(C92,Códigos!$A$11:$A$415,Códigos!$B$11:$B$415,"Verificar",0)</f>
        <v>NOMBRE 101</v>
      </c>
      <c r="F92" s="452"/>
      <c r="H92" s="436" t="s">
        <v>36</v>
      </c>
      <c r="I92" s="488" t="str">
        <f>_xlfn.XLOOKUP(H92,Códigos!$A$489:$A$522,Códigos!$B$489:$B$522,"Verificar",0)</f>
        <v>Recibido por: -Cuentas por Cobrar</v>
      </c>
      <c r="J92" s="441">
        <f>SUMIF(B92,H92,F92)</f>
        <v>0</v>
      </c>
    </row>
    <row r="93" spans="1:11" x14ac:dyDescent="0.2">
      <c r="A93" s="473">
        <v>43857</v>
      </c>
      <c r="B93" s="474" t="s">
        <v>36</v>
      </c>
      <c r="C93" s="437">
        <v>222</v>
      </c>
      <c r="D93" s="475" t="str">
        <f>_xlfn.XLOOKUP(B93,Códigos!$A$489:$A$522,Códigos!$B$489:$B$522,"Verificar",0)</f>
        <v>Recibido por: -Cuentas por Cobrar</v>
      </c>
      <c r="E93" s="580" t="str">
        <f>_xlfn.XLOOKUP(C93,Códigos!$A$11:$A$415,Códigos!$B$11:$B$415,"Verificar",0)</f>
        <v>NOMBRE 101</v>
      </c>
      <c r="F93" s="452">
        <v>547200</v>
      </c>
      <c r="H93" s="436" t="s">
        <v>36</v>
      </c>
      <c r="I93" s="488" t="str">
        <f>_xlfn.XLOOKUP(H93,Códigos!$A$489:$A$522,Códigos!$B$489:$B$522,"Verificar",0)</f>
        <v>Recibido por: -Cuentas por Cobrar</v>
      </c>
      <c r="J93" s="441">
        <f>SUMIF(B93,H93,F93)</f>
        <v>547200</v>
      </c>
    </row>
    <row r="94" spans="1:11" x14ac:dyDescent="0.2">
      <c r="A94" s="473">
        <v>43878</v>
      </c>
      <c r="B94" s="474" t="s">
        <v>36</v>
      </c>
      <c r="C94" s="437">
        <v>222</v>
      </c>
      <c r="D94" s="475" t="str">
        <f>_xlfn.XLOOKUP(B94,Códigos!$A$489:$A$522,Códigos!$B$489:$B$522,"Verificar",0)</f>
        <v>Recibido por: -Cuentas por Cobrar</v>
      </c>
      <c r="E94" s="580" t="str">
        <f>_xlfn.XLOOKUP(C94,Códigos!$A$11:$A$415,Códigos!$B$11:$B$415,"Verificar",0)</f>
        <v>NOMBRE 101</v>
      </c>
      <c r="F94" s="452">
        <v>254500</v>
      </c>
      <c r="H94" s="436" t="s">
        <v>36</v>
      </c>
      <c r="I94" s="488" t="str">
        <f>_xlfn.XLOOKUP(H94,Códigos!$A$489:$A$522,Códigos!$B$489:$B$522,"Verificar",0)</f>
        <v>Recibido por: -Cuentas por Cobrar</v>
      </c>
      <c r="J94" s="441">
        <f>SUMIF(B94,H94,F94)</f>
        <v>254500</v>
      </c>
    </row>
    <row r="95" spans="1:11" x14ac:dyDescent="0.2">
      <c r="A95" s="473">
        <v>43903</v>
      </c>
      <c r="B95" s="474" t="s">
        <v>36</v>
      </c>
      <c r="C95" s="437">
        <v>222</v>
      </c>
      <c r="D95" s="475" t="str">
        <f>_xlfn.XLOOKUP(B95,Códigos!$A$489:$A$522,Códigos!$B$489:$B$522,"Verificar",0)</f>
        <v>Recibido por: -Cuentas por Cobrar</v>
      </c>
      <c r="E95" s="580" t="str">
        <f>_xlfn.XLOOKUP(C95,Códigos!$A$11:$A$415,Códigos!$B$11:$B$415,"Verificar",0)</f>
        <v>NOMBRE 101</v>
      </c>
      <c r="F95" s="452">
        <v>547200</v>
      </c>
      <c r="H95" s="436" t="s">
        <v>36</v>
      </c>
      <c r="I95" s="488" t="str">
        <f>_xlfn.XLOOKUP(H95,Códigos!$A$489:$A$522,Códigos!$B$489:$B$522,"Verificar",0)</f>
        <v>Recibido por: -Cuentas por Cobrar</v>
      </c>
      <c r="J95" s="441">
        <f>SUMIF(B95,H95,F95)</f>
        <v>547200</v>
      </c>
    </row>
    <row r="98" spans="1:11" x14ac:dyDescent="0.2">
      <c r="A98" s="170" t="s">
        <v>388</v>
      </c>
      <c r="H98" s="66" t="s">
        <v>30</v>
      </c>
      <c r="I98" s="81" t="s">
        <v>568</v>
      </c>
      <c r="J98" s="66"/>
    </row>
    <row r="99" spans="1:11" x14ac:dyDescent="0.2">
      <c r="A99" s="472">
        <v>43844</v>
      </c>
      <c r="B99" s="439">
        <v>28</v>
      </c>
      <c r="C99" s="437">
        <v>222</v>
      </c>
      <c r="D99" s="438" t="str">
        <f>_xlfn.XLOOKUP(B99,Códigos!$A$421:$A$483,Códigos!$B$421:$B$483,"Verificar",0)</f>
        <v>Préstamos a:</v>
      </c>
      <c r="E99" s="581" t="str">
        <f>_xlfn.XLOOKUP(C99,Códigos!$A$11:$A$415,Códigos!$B$11:$B$415,"Verificar",0)</f>
        <v>NOMBRE 101</v>
      </c>
      <c r="F99" s="452">
        <v>547200</v>
      </c>
      <c r="H99" s="436">
        <v>28</v>
      </c>
      <c r="I99" s="488" t="str">
        <f>_xlfn.XLOOKUP(H99,Códigos!$A$421:$A$483,Códigos!$B$421:$B$483,"Verificar",0)</f>
        <v>Préstamos a:</v>
      </c>
      <c r="J99" s="441">
        <f>SUMIF(B99,H99,F99)</f>
        <v>547200</v>
      </c>
    </row>
    <row r="100" spans="1:11" ht="105" x14ac:dyDescent="0.2">
      <c r="A100" s="472">
        <v>43857</v>
      </c>
      <c r="B100" s="439">
        <v>33</v>
      </c>
      <c r="C100" s="437">
        <v>355</v>
      </c>
      <c r="D100" s="438" t="str">
        <f>_xlfn.XLOOKUP(B100,Códigos!$A$421:$A$483,Códigos!$B$421:$B$483,"Verificar",0)</f>
        <v>AJUSTE POR -Consignación - Traslado a Bancos</v>
      </c>
      <c r="E100" s="581" t="str">
        <f>_xlfn.XLOOKUP(C100,Códigos!$A$11:$A$415,Códigos!$B$11:$B$415,"Verificar",0)</f>
        <v>NOMBRE 96</v>
      </c>
      <c r="F100" s="452">
        <v>547200</v>
      </c>
      <c r="G100" s="582" t="s">
        <v>577</v>
      </c>
      <c r="H100" s="439">
        <v>33</v>
      </c>
      <c r="I100" s="583" t="str">
        <f>_xlfn.XLOOKUP(H100,Códigos!$A$421:$A$483,Códigos!$B$421:$B$483,"Verificar",0)</f>
        <v>AJUSTE POR -Consignación - Traslado a Bancos</v>
      </c>
      <c r="J100" s="441">
        <f>SUMIF(B100,H100,F100)</f>
        <v>547200</v>
      </c>
      <c r="K100" s="584" t="s">
        <v>576</v>
      </c>
    </row>
    <row r="101" spans="1:11" x14ac:dyDescent="0.2">
      <c r="A101" s="472">
        <v>43874</v>
      </c>
      <c r="B101" s="439">
        <v>28</v>
      </c>
      <c r="C101" s="437">
        <v>222</v>
      </c>
      <c r="D101" s="438" t="str">
        <f>_xlfn.XLOOKUP(B101,Códigos!$A$421:$A$483,Códigos!$B$421:$B$483,"Verificar",0)</f>
        <v>Préstamos a:</v>
      </c>
      <c r="E101" s="581" t="str">
        <f>_xlfn.XLOOKUP(C101,Códigos!$A$11:$A$415,Códigos!$B$11:$B$415,"Verificar",0)</f>
        <v>NOMBRE 101</v>
      </c>
      <c r="F101" s="452">
        <v>254500</v>
      </c>
      <c r="H101" s="436">
        <v>28</v>
      </c>
      <c r="I101" s="488" t="str">
        <f>_xlfn.XLOOKUP(H101,Códigos!$A$421:$A$483,Códigos!$B$421:$B$483,"Verificar",0)</f>
        <v>Préstamos a:</v>
      </c>
      <c r="J101" s="441">
        <f>SUMIF(B101,H101,F101)</f>
        <v>254500</v>
      </c>
    </row>
    <row r="102" spans="1:11" x14ac:dyDescent="0.2">
      <c r="A102" s="472">
        <v>43902</v>
      </c>
      <c r="B102" s="439">
        <v>28</v>
      </c>
      <c r="C102" s="437">
        <v>222</v>
      </c>
      <c r="D102" s="438" t="str">
        <f>_xlfn.XLOOKUP(B102,Códigos!$A$421:$A$483,Códigos!$B$421:$B$483,"Verificar",0)</f>
        <v>Préstamos a:</v>
      </c>
      <c r="E102" s="581" t="str">
        <f>_xlfn.XLOOKUP(C102,Códigos!$A$11:$A$415,Códigos!$B$11:$B$415,"Verificar",0)</f>
        <v>NOMBRE 101</v>
      </c>
      <c r="F102" s="452">
        <v>547200</v>
      </c>
      <c r="H102" s="436">
        <v>28</v>
      </c>
      <c r="I102" s="488" t="str">
        <f>_xlfn.XLOOKUP(H102,Códigos!$A$421:$A$483,Códigos!$B$421:$B$483,"Verificar",0)</f>
        <v>Préstamos a:</v>
      </c>
      <c r="J102" s="441">
        <f>SUMIF(B102,H102,F102)</f>
        <v>547200</v>
      </c>
    </row>
    <row r="103" spans="1:11" ht="85.5" customHeight="1" x14ac:dyDescent="0.2">
      <c r="I103" s="468" t="s">
        <v>654</v>
      </c>
      <c r="J103" s="468">
        <f>SUM(J93:J95)-SUM(J98:J102)</f>
        <v>-547200</v>
      </c>
      <c r="K103" s="640" t="s">
        <v>655</v>
      </c>
    </row>
    <row r="104" spans="1:11" x14ac:dyDescent="0.2">
      <c r="C104" s="71" t="s">
        <v>606</v>
      </c>
      <c r="H104" s="164"/>
      <c r="I104" s="82"/>
      <c r="J104" s="96"/>
    </row>
    <row r="105" spans="1:11" ht="42" x14ac:dyDescent="0.2">
      <c r="C105" s="271" t="s">
        <v>652</v>
      </c>
      <c r="D105" s="532" t="s">
        <v>579</v>
      </c>
      <c r="E105" s="271" t="s">
        <v>643</v>
      </c>
      <c r="F105" s="271" t="s">
        <v>651</v>
      </c>
      <c r="G105" s="271" t="s">
        <v>584</v>
      </c>
      <c r="H105" s="271" t="s">
        <v>585</v>
      </c>
      <c r="I105" s="271" t="s">
        <v>586</v>
      </c>
      <c r="J105" s="271" t="s">
        <v>590</v>
      </c>
    </row>
    <row r="106" spans="1:11" x14ac:dyDescent="0.2">
      <c r="C106" s="636">
        <v>222</v>
      </c>
      <c r="D106" s="637" t="str">
        <f>_xlfn.XLOOKUP(C106,Códigos!$A$11:$A$415,Códigos!$B$11:$B$415,"Verificar",0)</f>
        <v>NOMBRE 101</v>
      </c>
      <c r="E106" s="638">
        <f>SUMIF('CARTERA años anteriores'!$C$9:$C$133,C106,'CARTERA años anteriores'!$J$9:$J$133)</f>
        <v>3280000</v>
      </c>
      <c r="F106" s="638">
        <f>SUMIF('CARTERA años anteriores'!$C$9:$C$133,C106,'CARTERA años anteriores'!$L$9:$L$133)</f>
        <v>0</v>
      </c>
      <c r="G106" s="638">
        <f>SUMIF(FACTURACIÓN!$C$8:$C$1082,C106,FACTURACIÓN!$K$8:$K$1082)</f>
        <v>4880000</v>
      </c>
      <c r="H106" s="638">
        <f>SUMIF('INGRESOS A CAJA'!$C$10:$C$954,C106,'INGRESOS A CAJA'!$F$10:$F$954)</f>
        <v>0</v>
      </c>
      <c r="I106" s="638">
        <f>SUMIF('EGRESOS DE CAJA'!$C$10:$C$2251,C106,'EGRESOS DE CAJA'!$G$10:$G$2251)</f>
        <v>2929800</v>
      </c>
      <c r="J106" s="639">
        <f>+E106-F106+G106-H106+I106</f>
        <v>11089800</v>
      </c>
    </row>
    <row r="108" spans="1:11" x14ac:dyDescent="0.2">
      <c r="A108" s="75"/>
      <c r="B108" s="75"/>
      <c r="C108" s="75"/>
      <c r="D108" s="75"/>
      <c r="E108" s="83"/>
      <c r="F108" s="83"/>
      <c r="G108" s="83"/>
      <c r="H108" s="83"/>
      <c r="I108" s="83"/>
      <c r="J108" s="83"/>
      <c r="K108" s="83"/>
    </row>
    <row r="109" spans="1:11" x14ac:dyDescent="0.2">
      <c r="A109" s="71" t="s">
        <v>557</v>
      </c>
    </row>
    <row r="110" spans="1:11" x14ac:dyDescent="0.2">
      <c r="A110" s="278" t="s">
        <v>387</v>
      </c>
      <c r="H110" s="66" t="s">
        <v>32</v>
      </c>
      <c r="I110" s="128" t="s">
        <v>641</v>
      </c>
      <c r="J110" s="467"/>
    </row>
    <row r="111" spans="1:11" x14ac:dyDescent="0.2">
      <c r="A111" s="477">
        <v>43895</v>
      </c>
      <c r="B111" s="478" t="s">
        <v>37</v>
      </c>
      <c r="C111" s="479">
        <v>262</v>
      </c>
      <c r="D111" s="480" t="str">
        <f>_xlfn.XLOOKUP(B111,Códigos!$A$489:$A$522,Códigos!$B$489:$B$522,"Verificar",0)</f>
        <v>-Retiros y Traslados de Bancos</v>
      </c>
      <c r="E111" s="586" t="str">
        <f>_xlfn.XLOOKUP(C111,Códigos!$A$11:$A$415,Códigos!$B$11:$B$415,"Verificar",0)</f>
        <v>NOMBRE 95</v>
      </c>
      <c r="F111" s="481">
        <v>600000</v>
      </c>
      <c r="H111" s="436" t="s">
        <v>37</v>
      </c>
      <c r="I111" s="488" t="str">
        <f>_xlfn.XLOOKUP(H111,Códigos!$A$489:$A$522,Códigos!$B$489:$B$522,"Verificar",0)</f>
        <v>-Retiros y Traslados de Bancos</v>
      </c>
      <c r="J111" s="441">
        <f>SUMIF(B111,H111,F111)</f>
        <v>600000</v>
      </c>
      <c r="K111" s="476" t="s">
        <v>573</v>
      </c>
    </row>
    <row r="112" spans="1:11" x14ac:dyDescent="0.2">
      <c r="A112" s="477">
        <v>43902</v>
      </c>
      <c r="B112" s="478" t="s">
        <v>37</v>
      </c>
      <c r="C112" s="482">
        <v>262</v>
      </c>
      <c r="D112" s="480" t="str">
        <f>_xlfn.XLOOKUP(B112,Códigos!$A$489:$A$522,Códigos!$B$489:$B$522,"Verificar",0)</f>
        <v>-Retiros y Traslados de Bancos</v>
      </c>
      <c r="E112" s="586" t="str">
        <f>_xlfn.XLOOKUP(C112,Códigos!$A$11:$A$415,Códigos!$B$11:$B$415,"Verificar",0)</f>
        <v>NOMBRE 95</v>
      </c>
      <c r="F112" s="481">
        <v>500000</v>
      </c>
      <c r="H112" s="436" t="s">
        <v>37</v>
      </c>
      <c r="I112" s="488" t="str">
        <f>_xlfn.XLOOKUP(H112,Códigos!$A$489:$A$522,Códigos!$B$489:$B$522,"Verificar",0)</f>
        <v>-Retiros y Traslados de Bancos</v>
      </c>
      <c r="J112" s="441">
        <f>SUMIF(B112,H112,F112)</f>
        <v>500000</v>
      </c>
      <c r="K112" s="82" t="s">
        <v>558</v>
      </c>
    </row>
    <row r="114" spans="1:13" ht="30" customHeight="1" x14ac:dyDescent="0.2">
      <c r="A114" s="170" t="s">
        <v>388</v>
      </c>
      <c r="H114" s="66" t="s">
        <v>30</v>
      </c>
      <c r="I114" s="1351" t="s">
        <v>642</v>
      </c>
      <c r="J114" s="1351"/>
      <c r="K114" s="1351"/>
      <c r="L114" s="83"/>
    </row>
    <row r="115" spans="1:13" ht="31.5" x14ac:dyDescent="0.2">
      <c r="A115" s="485">
        <v>43895</v>
      </c>
      <c r="B115" s="479">
        <v>33</v>
      </c>
      <c r="C115" s="479">
        <v>355</v>
      </c>
      <c r="D115" s="484" t="str">
        <f>_xlfn.XLOOKUP(B115,Códigos!$A$421:$A$483,Códigos!$B$421:$B$483,"Verificar",0)</f>
        <v>AJUSTE POR -Consignación - Traslado a Bancos</v>
      </c>
      <c r="E115" s="587" t="str">
        <f>_xlfn.XLOOKUP(C115,Códigos!$A$11:$A$415,Códigos!$B$11:$B$415,"Verificar",0)</f>
        <v>NOMBRE 96</v>
      </c>
      <c r="F115" s="481">
        <v>600000</v>
      </c>
      <c r="H115" s="436">
        <v>33</v>
      </c>
      <c r="I115" s="488" t="str">
        <f>_xlfn.XLOOKUP(H115,Códigos!$A$421:$A$483,Códigos!$B$421:$B$483,"Verificar",0)</f>
        <v>AJUSTE POR -Consignación - Traslado a Bancos</v>
      </c>
      <c r="J115" s="441">
        <f>SUMIF(B115,H115,F115)</f>
        <v>600000</v>
      </c>
      <c r="K115" s="476" t="s">
        <v>575</v>
      </c>
      <c r="L115" s="83"/>
      <c r="M115" s="82" t="s">
        <v>558</v>
      </c>
    </row>
    <row r="116" spans="1:13" x14ac:dyDescent="0.2">
      <c r="A116" s="483">
        <v>43902</v>
      </c>
      <c r="B116" s="479">
        <v>8</v>
      </c>
      <c r="C116" s="482">
        <v>283</v>
      </c>
      <c r="D116" s="484" t="str">
        <f>_xlfn.XLOOKUP(B116,Códigos!$A$421:$A$483,Códigos!$B$421:$B$483,"Verificar",0)</f>
        <v>Pagos de: -Cuota para alimentos y Manuntención</v>
      </c>
      <c r="E116" s="587" t="str">
        <f>_xlfn.XLOOKUP(C116,Códigos!$A$11:$A$415,Códigos!$B$11:$B$415,"Verificar",0)</f>
        <v>NOMBRE 104</v>
      </c>
      <c r="F116" s="481">
        <v>500000</v>
      </c>
      <c r="H116" s="436">
        <v>8</v>
      </c>
      <c r="I116" s="488" t="str">
        <f>_xlfn.XLOOKUP(H116,Códigos!$A$421:$A$483,Códigos!$B$421:$B$483,"Verificar",0)</f>
        <v>Pagos de: -Cuota para alimentos y Manuntención</v>
      </c>
      <c r="J116" s="441">
        <f>SUMIF(B116,H116,F116)</f>
        <v>500000</v>
      </c>
      <c r="K116" s="82" t="s">
        <v>558</v>
      </c>
      <c r="L116" s="83"/>
    </row>
    <row r="117" spans="1:13" x14ac:dyDescent="0.2">
      <c r="L117" s="83"/>
    </row>
    <row r="118" spans="1:13" x14ac:dyDescent="0.2">
      <c r="A118" s="75"/>
      <c r="B118" s="75"/>
      <c r="C118" s="75"/>
      <c r="D118" s="75"/>
      <c r="E118" s="83"/>
      <c r="F118" s="83"/>
      <c r="G118" s="83"/>
      <c r="H118" s="83"/>
      <c r="I118" s="83"/>
      <c r="J118" s="83"/>
      <c r="K118" s="83"/>
      <c r="L118" s="83"/>
    </row>
    <row r="119" spans="1:13" x14ac:dyDescent="0.2">
      <c r="A119" s="71" t="s">
        <v>421</v>
      </c>
      <c r="L119" s="83"/>
    </row>
    <row r="120" spans="1:13" x14ac:dyDescent="0.2">
      <c r="A120" s="278" t="s">
        <v>387</v>
      </c>
      <c r="H120" s="66" t="s">
        <v>32</v>
      </c>
      <c r="I120" s="128" t="s">
        <v>596</v>
      </c>
      <c r="J120" s="467"/>
      <c r="K120" s="81" t="s">
        <v>597</v>
      </c>
      <c r="L120" s="83"/>
    </row>
    <row r="121" spans="1:13" x14ac:dyDescent="0.2">
      <c r="A121" s="543">
        <v>43887</v>
      </c>
      <c r="B121" s="544" t="s">
        <v>36</v>
      </c>
      <c r="C121" s="545">
        <v>298</v>
      </c>
      <c r="D121" s="546" t="str">
        <f>_xlfn.XLOOKUP(B121,Códigos!$A$489:$A$522,Códigos!$B$489:$B$522,"Verificar",0)</f>
        <v>Recibido por: -Cuentas por Cobrar</v>
      </c>
      <c r="E121" s="588" t="str">
        <f>_xlfn.XLOOKUP(C121,Códigos!$A$11:$A$415,Códigos!$B$11:$B$415,"Verificar",0)</f>
        <v>NOMBRE 283</v>
      </c>
      <c r="F121" s="547">
        <v>253700</v>
      </c>
      <c r="G121" s="551" t="s">
        <v>594</v>
      </c>
      <c r="H121" s="436" t="s">
        <v>36</v>
      </c>
      <c r="I121" s="488" t="str">
        <f>_xlfn.XLOOKUP(H121,Códigos!$A$489:$A$522,Códigos!$B$489:$B$522,"Verificar",0)</f>
        <v>Recibido por: -Cuentas por Cobrar</v>
      </c>
      <c r="J121" s="441">
        <f>SUMIF(B121,H121,F121)</f>
        <v>253700</v>
      </c>
      <c r="K121" s="589" t="s">
        <v>370</v>
      </c>
      <c r="L121" s="83"/>
    </row>
    <row r="122" spans="1:13" x14ac:dyDescent="0.2">
      <c r="A122" s="543">
        <v>43888</v>
      </c>
      <c r="B122" s="544" t="s">
        <v>36</v>
      </c>
      <c r="C122" s="545">
        <v>298</v>
      </c>
      <c r="D122" s="546" t="str">
        <f>_xlfn.XLOOKUP(B122,Códigos!$A$489:$A$522,Códigos!$B$489:$B$522,"Verificar",0)</f>
        <v>Recibido por: -Cuentas por Cobrar</v>
      </c>
      <c r="E122" s="588" t="str">
        <f>_xlfn.XLOOKUP(C122,Códigos!$A$11:$A$415,Códigos!$B$11:$B$415,"Verificar",0)</f>
        <v>NOMBRE 283</v>
      </c>
      <c r="F122" s="547">
        <v>253700</v>
      </c>
      <c r="G122" s="551" t="s">
        <v>594</v>
      </c>
      <c r="H122" s="436" t="s">
        <v>36</v>
      </c>
      <c r="I122" s="488" t="str">
        <f>_xlfn.XLOOKUP(H122,Códigos!$A$489:$A$522,Códigos!$B$489:$B$522,"Verificar",0)</f>
        <v>Recibido por: -Cuentas por Cobrar</v>
      </c>
      <c r="J122" s="441">
        <f>SUMIF(B122,H122,F122)</f>
        <v>253700</v>
      </c>
      <c r="K122" s="589" t="s">
        <v>360</v>
      </c>
      <c r="L122" s="83"/>
    </row>
    <row r="123" spans="1:13" x14ac:dyDescent="0.2">
      <c r="L123" s="83"/>
    </row>
    <row r="124" spans="1:13" x14ac:dyDescent="0.2">
      <c r="A124" s="170" t="s">
        <v>388</v>
      </c>
      <c r="H124" s="66" t="s">
        <v>30</v>
      </c>
      <c r="I124" s="81" t="s">
        <v>569</v>
      </c>
      <c r="J124" s="66"/>
      <c r="K124" s="82"/>
      <c r="L124" s="83"/>
    </row>
    <row r="125" spans="1:13" x14ac:dyDescent="0.2">
      <c r="A125" s="548">
        <v>43887</v>
      </c>
      <c r="B125" s="549">
        <v>30</v>
      </c>
      <c r="C125" s="545">
        <v>298</v>
      </c>
      <c r="D125" s="550" t="str">
        <f>_xlfn.XLOOKUP(B125,Códigos!$A$421:$A$483,Códigos!$B$421:$B$483,"Verificar",0)</f>
        <v>Egresos por Cuenta de Terceros -Seguridad social-</v>
      </c>
      <c r="E125" s="590" t="str">
        <f>_xlfn.XLOOKUP(C125,Códigos!$A$11:$A$415,Códigos!$B$11:$B$415,"Verificar",0)</f>
        <v>NOMBRE 283</v>
      </c>
      <c r="F125" s="547">
        <v>253700</v>
      </c>
      <c r="H125" s="436">
        <v>30</v>
      </c>
      <c r="I125" s="488" t="str">
        <f>_xlfn.XLOOKUP(H125,Códigos!$A$421:$A$483,Códigos!$B$421:$B$483,"Verificar",0)</f>
        <v>Egresos por Cuenta de Terceros -Seguridad social-</v>
      </c>
      <c r="J125" s="441">
        <f>SUMIF(B125,H125,F125)</f>
        <v>253700</v>
      </c>
      <c r="K125" s="591" t="s">
        <v>370</v>
      </c>
      <c r="L125" s="83"/>
    </row>
    <row r="126" spans="1:13" x14ac:dyDescent="0.2">
      <c r="J126" s="96">
        <f>SUM(J121:J123)-SUM(J125)</f>
        <v>253700</v>
      </c>
      <c r="K126" s="82" t="s">
        <v>598</v>
      </c>
      <c r="L126" s="83"/>
    </row>
    <row r="127" spans="1:13" x14ac:dyDescent="0.2">
      <c r="C127" s="71" t="s">
        <v>606</v>
      </c>
      <c r="H127" s="164"/>
      <c r="I127" s="82"/>
      <c r="J127" s="96"/>
      <c r="K127" s="82"/>
      <c r="L127" s="83"/>
    </row>
    <row r="128" spans="1:13" ht="42" x14ac:dyDescent="0.2">
      <c r="C128" s="271" t="s">
        <v>652</v>
      </c>
      <c r="D128" s="532" t="s">
        <v>579</v>
      </c>
      <c r="E128" s="271" t="s">
        <v>643</v>
      </c>
      <c r="F128" s="271" t="s">
        <v>651</v>
      </c>
      <c r="G128" s="271" t="s">
        <v>584</v>
      </c>
      <c r="H128" s="271" t="s">
        <v>585</v>
      </c>
      <c r="I128" s="271" t="s">
        <v>586</v>
      </c>
      <c r="J128" s="271" t="s">
        <v>590</v>
      </c>
      <c r="K128" s="82"/>
      <c r="L128" s="83"/>
    </row>
    <row r="129" spans="1:11" x14ac:dyDescent="0.2">
      <c r="C129" s="510">
        <v>298</v>
      </c>
      <c r="D129" s="511" t="str">
        <f>_xlfn.XLOOKUP(C129,Códigos!$A$11:$A$415,Códigos!$B$11:$B$415,"Verificar",0)</f>
        <v>NOMBRE 283</v>
      </c>
      <c r="E129" s="525">
        <f>SUMIF('CARTERA años anteriores'!$C$9:$C$133,C129,'CARTERA años anteriores'!$J$9:$J$133)</f>
        <v>0</v>
      </c>
      <c r="F129" s="525">
        <f>SUMIF('CARTERA años anteriores'!$C$9:$C$133,C129,'CARTERA años anteriores'!$L$9:$L$133)</f>
        <v>0</v>
      </c>
      <c r="G129" s="525">
        <f>SUMIF(FACTURACIÓN!$C$8:$C$1082,C129,FACTURACIÓN!$K$8:$K$1082)</f>
        <v>520000</v>
      </c>
      <c r="H129" s="525">
        <f>SUMIF('INGRESOS A CAJA'!$C$10:$C$954,C129,'INGRESOS A CAJA'!$F$10:$F$954)</f>
        <v>0</v>
      </c>
      <c r="I129" s="525">
        <f>SUMIF('EGRESOS DE CAJA'!$C$10:$C$2251,C129,'EGRESOS DE CAJA'!$G$10:$G$2251)</f>
        <v>438000</v>
      </c>
      <c r="J129" s="512">
        <f>+E129-F129+G129-H129+I129</f>
        <v>958000</v>
      </c>
      <c r="K129" s="557" t="s">
        <v>599</v>
      </c>
    </row>
    <row r="130" spans="1:11" x14ac:dyDescent="0.2">
      <c r="J130" s="96"/>
      <c r="K130" s="82"/>
    </row>
    <row r="131" spans="1:11" x14ac:dyDescent="0.2">
      <c r="A131" s="75"/>
      <c r="B131" s="75"/>
      <c r="C131" s="75"/>
      <c r="D131" s="75"/>
      <c r="E131" s="83"/>
      <c r="F131" s="83"/>
      <c r="G131" s="83"/>
      <c r="H131" s="83"/>
      <c r="I131" s="83"/>
      <c r="J131" s="83"/>
      <c r="K131" s="83"/>
    </row>
    <row r="132" spans="1:11" x14ac:dyDescent="0.2">
      <c r="A132" s="71" t="s">
        <v>627</v>
      </c>
      <c r="D132" s="71"/>
    </row>
    <row r="133" spans="1:11" x14ac:dyDescent="0.2">
      <c r="A133" s="71" t="s">
        <v>603</v>
      </c>
    </row>
    <row r="134" spans="1:11" x14ac:dyDescent="0.2">
      <c r="C134" s="72" t="s">
        <v>604</v>
      </c>
    </row>
    <row r="135" spans="1:11" x14ac:dyDescent="0.2">
      <c r="A135" s="99"/>
      <c r="B135" s="16"/>
      <c r="C135" s="99">
        <v>19</v>
      </c>
      <c r="D135" s="16" t="str">
        <f>_xlfn.XLOOKUP(C135,Códigos!$A$11:$A$415,Códigos!$B$11:$B$415,"Verificar",0)</f>
        <v>NOMBRE 164</v>
      </c>
      <c r="E135" s="101"/>
      <c r="F135" s="95">
        <v>100800</v>
      </c>
    </row>
    <row r="136" spans="1:11" x14ac:dyDescent="0.2">
      <c r="A136" s="99"/>
      <c r="B136" s="1"/>
      <c r="C136" s="99">
        <v>28</v>
      </c>
      <c r="D136" s="16" t="str">
        <f>_xlfn.XLOOKUP(C136,Códigos!$A$11:$A$415,Códigos!$B$11:$B$415,"Verificar",0)</f>
        <v>NOMBRE 180</v>
      </c>
      <c r="E136" s="101"/>
      <c r="F136" s="95">
        <v>33300</v>
      </c>
    </row>
    <row r="137" spans="1:11" x14ac:dyDescent="0.2">
      <c r="E137" s="605" t="str">
        <f>+C134</f>
        <v>CONSOL CxC</v>
      </c>
      <c r="F137" s="606">
        <f>SUM(F134:F136)</f>
        <v>134100</v>
      </c>
      <c r="G137" s="607" t="s">
        <v>611</v>
      </c>
      <c r="H137" s="608"/>
      <c r="I137" s="608"/>
    </row>
    <row r="138" spans="1:11" x14ac:dyDescent="0.2">
      <c r="C138" s="72" t="s">
        <v>605</v>
      </c>
    </row>
    <row r="139" spans="1:11" x14ac:dyDescent="0.2">
      <c r="B139" s="13">
        <v>19</v>
      </c>
      <c r="C139" s="562">
        <v>23</v>
      </c>
      <c r="D139" s="563" t="s">
        <v>8</v>
      </c>
      <c r="E139" s="117" t="str">
        <f>+D135</f>
        <v>NOMBRE 164</v>
      </c>
      <c r="F139" s="492">
        <v>100800</v>
      </c>
      <c r="G139" s="77">
        <v>0</v>
      </c>
      <c r="H139" s="493">
        <v>100800</v>
      </c>
    </row>
    <row r="140" spans="1:11" x14ac:dyDescent="0.2">
      <c r="B140" s="13">
        <v>28</v>
      </c>
      <c r="C140" s="562">
        <v>23</v>
      </c>
      <c r="D140" s="563" t="s">
        <v>8</v>
      </c>
      <c r="E140" s="51" t="str">
        <f>+D136</f>
        <v>NOMBRE 180</v>
      </c>
      <c r="F140" s="492">
        <v>5800</v>
      </c>
      <c r="G140" s="77">
        <v>0</v>
      </c>
      <c r="H140" s="493">
        <v>5800</v>
      </c>
    </row>
    <row r="141" spans="1:11" x14ac:dyDescent="0.2">
      <c r="F141" s="594"/>
      <c r="G141" s="593" t="str">
        <f>+C138</f>
        <v>OTRAS CxC año</v>
      </c>
      <c r="H141" s="594">
        <f>SUM(H138:H140)</f>
        <v>106600</v>
      </c>
      <c r="I141" s="595" t="s">
        <v>613</v>
      </c>
      <c r="J141" s="596"/>
      <c r="K141" s="596"/>
    </row>
    <row r="142" spans="1:11" x14ac:dyDescent="0.2">
      <c r="C142" s="72" t="s">
        <v>606</v>
      </c>
    </row>
    <row r="143" spans="1:11" x14ac:dyDescent="0.2">
      <c r="C143" s="92">
        <v>19</v>
      </c>
      <c r="D143" s="16" t="str">
        <f>_xlfn.XLOOKUP(C143,Códigos!$A$11:$A$415,Códigos!$B$11:$B$415,"Verificar",0)</f>
        <v>NOMBRE 164</v>
      </c>
      <c r="E143" s="81">
        <v>6199900</v>
      </c>
      <c r="F143" s="81">
        <v>5626800</v>
      </c>
      <c r="G143" s="81">
        <v>0</v>
      </c>
      <c r="H143" s="81">
        <v>573100</v>
      </c>
      <c r="I143" s="84">
        <v>0</v>
      </c>
    </row>
    <row r="144" spans="1:11" x14ac:dyDescent="0.2">
      <c r="C144" s="92">
        <v>28</v>
      </c>
      <c r="D144" s="16" t="str">
        <f>_xlfn.XLOOKUP(C144,Códigos!$A$11:$A$415,Códigos!$B$11:$B$415,"Verificar",0)</f>
        <v>NOMBRE 180</v>
      </c>
      <c r="E144" s="81">
        <v>9067800</v>
      </c>
      <c r="F144" s="81">
        <v>8229600</v>
      </c>
      <c r="G144" s="81">
        <v>0</v>
      </c>
      <c r="H144" s="81">
        <v>838200</v>
      </c>
      <c r="I144" s="84">
        <v>0</v>
      </c>
    </row>
    <row r="145" spans="1:10" x14ac:dyDescent="0.2">
      <c r="G145" s="597"/>
      <c r="H145" s="598" t="str">
        <f>+C142</f>
        <v>CARTERA del año</v>
      </c>
      <c r="I145" s="599">
        <f>SUM(I142:I144)</f>
        <v>0</v>
      </c>
      <c r="J145" s="600" t="s">
        <v>615</v>
      </c>
    </row>
    <row r="146" spans="1:10" x14ac:dyDescent="0.2">
      <c r="C146" s="72" t="s">
        <v>614</v>
      </c>
    </row>
    <row r="147" spans="1:10" x14ac:dyDescent="0.2">
      <c r="A147" s="20">
        <v>43298</v>
      </c>
      <c r="B147" s="18"/>
      <c r="C147" s="18">
        <v>28</v>
      </c>
      <c r="D147" s="16" t="str">
        <f>_xlfn.XLOOKUP(C147,Códigos!$A$11:$A$415,Códigos!$B$11:$B$415,"Verificar",0)</f>
        <v>NOMBRE 180</v>
      </c>
      <c r="E147" s="51">
        <v>11000</v>
      </c>
      <c r="F147" s="51">
        <v>0</v>
      </c>
      <c r="G147" s="51">
        <v>11000</v>
      </c>
      <c r="H147" s="51">
        <v>0</v>
      </c>
      <c r="I147" s="51">
        <v>11000</v>
      </c>
      <c r="J147" s="51"/>
    </row>
    <row r="148" spans="1:10" x14ac:dyDescent="0.2">
      <c r="A148" s="72" t="s">
        <v>607</v>
      </c>
      <c r="B148" s="18"/>
      <c r="C148" s="18">
        <v>28</v>
      </c>
      <c r="D148" s="16" t="str">
        <f>_xlfn.XLOOKUP(C148,Códigos!$A$11:$A$415,Códigos!$B$11:$B$415,"Verificar",0)</f>
        <v>NOMBRE 180</v>
      </c>
      <c r="E148" s="51">
        <v>16500</v>
      </c>
      <c r="F148" s="51">
        <v>0</v>
      </c>
      <c r="G148" s="51">
        <v>0</v>
      </c>
      <c r="H148" s="51">
        <v>0</v>
      </c>
      <c r="I148" s="51">
        <v>16500</v>
      </c>
      <c r="J148" s="51"/>
    </row>
    <row r="149" spans="1:10" x14ac:dyDescent="0.2">
      <c r="B149" s="18"/>
      <c r="C149" s="18"/>
      <c r="D149" s="1"/>
      <c r="E149" s="51"/>
      <c r="F149" s="51"/>
      <c r="G149" s="601"/>
      <c r="H149" s="602" t="str">
        <f>+C146</f>
        <v>C x C años ant</v>
      </c>
      <c r="I149" s="603">
        <f>SUM(I147:I148)</f>
        <v>27500</v>
      </c>
      <c r="J149" s="604" t="s">
        <v>628</v>
      </c>
    </row>
    <row r="150" spans="1:10" x14ac:dyDescent="0.2">
      <c r="C150" s="72" t="s">
        <v>608</v>
      </c>
      <c r="I150" s="70"/>
      <c r="J150" s="87"/>
    </row>
    <row r="151" spans="1:10" x14ac:dyDescent="0.2">
      <c r="A151" s="15">
        <v>43535</v>
      </c>
      <c r="B151" s="167">
        <v>16</v>
      </c>
      <c r="C151" s="167">
        <v>19</v>
      </c>
      <c r="D151" s="16" t="str">
        <f>_xlfn.XLOOKUP(C151,Códigos!$A$11:$A$415,Códigos!$B$11:$B$415,"Verificar",0)</f>
        <v>NOMBRE 164</v>
      </c>
      <c r="E151" s="51">
        <v>5800</v>
      </c>
    </row>
    <row r="152" spans="1:10" x14ac:dyDescent="0.2">
      <c r="A152" s="15">
        <v>43817</v>
      </c>
      <c r="B152" s="167">
        <v>16</v>
      </c>
      <c r="C152" s="167">
        <v>19</v>
      </c>
      <c r="D152" s="16" t="str">
        <f>_xlfn.XLOOKUP(C152,Códigos!$A$11:$A$415,Códigos!$B$11:$B$415,"Verificar",0)</f>
        <v>NOMBRE 164</v>
      </c>
      <c r="E152" s="51">
        <v>95000</v>
      </c>
      <c r="F152" s="51"/>
    </row>
    <row r="153" spans="1:10" x14ac:dyDescent="0.2">
      <c r="A153" s="15">
        <v>43535</v>
      </c>
      <c r="B153" s="167">
        <v>16</v>
      </c>
      <c r="C153" s="167">
        <v>28</v>
      </c>
      <c r="D153" s="16" t="str">
        <f>_xlfn.XLOOKUP(C153,Códigos!$A$11:$A$415,Códigos!$B$11:$B$415,"Verificar",0)</f>
        <v>NOMBRE 180</v>
      </c>
      <c r="E153" s="51">
        <v>5800</v>
      </c>
    </row>
    <row r="154" spans="1:10" x14ac:dyDescent="0.2">
      <c r="A154" s="15"/>
      <c r="B154" s="167"/>
      <c r="D154" s="609" t="str">
        <f>+C150</f>
        <v>EGRESOS DE CAJA</v>
      </c>
      <c r="E154" s="610">
        <f>SUM(E151:E153)</f>
        <v>106600</v>
      </c>
      <c r="F154" s="611" t="s">
        <v>612</v>
      </c>
      <c r="G154" s="612"/>
      <c r="H154" s="612"/>
      <c r="I154" s="612"/>
    </row>
    <row r="155" spans="1:10" x14ac:dyDescent="0.2">
      <c r="A155" s="15"/>
      <c r="B155" s="167"/>
      <c r="C155" s="72" t="s">
        <v>610</v>
      </c>
      <c r="E155" s="70"/>
      <c r="F155" s="62"/>
    </row>
    <row r="156" spans="1:10" x14ac:dyDescent="0.2">
      <c r="A156" s="15"/>
      <c r="B156" s="167"/>
      <c r="C156" s="167">
        <v>19</v>
      </c>
      <c r="D156" s="16" t="str">
        <f>_xlfn.XLOOKUP(C156,Códigos!$A$11:$A$415,Códigos!$B$11:$B$415,"Verificar",0)</f>
        <v>NOMBRE 164</v>
      </c>
      <c r="E156" s="51"/>
      <c r="F156" s="51"/>
      <c r="I156" s="70"/>
      <c r="J156" s="62"/>
    </row>
    <row r="157" spans="1:10" x14ac:dyDescent="0.2">
      <c r="C157" s="167">
        <v>28</v>
      </c>
      <c r="D157" s="16" t="str">
        <f>_xlfn.XLOOKUP(C157,Códigos!$A$11:$A$415,Códigos!$B$11:$B$415,"Verificar",0)</f>
        <v>NOMBRE 180</v>
      </c>
    </row>
    <row r="158" spans="1:10" x14ac:dyDescent="0.2">
      <c r="A158" s="486" t="s">
        <v>620</v>
      </c>
      <c r="B158" s="592"/>
      <c r="C158" s="223"/>
      <c r="D158" s="592"/>
      <c r="E158" s="223"/>
      <c r="F158" s="592" t="s">
        <v>603</v>
      </c>
      <c r="G158" s="236"/>
      <c r="H158" s="236"/>
      <c r="I158" s="237">
        <f>+I149+E154</f>
        <v>134100</v>
      </c>
      <c r="J158" s="107" t="s">
        <v>616</v>
      </c>
    </row>
    <row r="159" spans="1:10" x14ac:dyDescent="0.2">
      <c r="A159" s="613"/>
      <c r="B159" s="613"/>
      <c r="C159" s="614"/>
      <c r="D159" s="613"/>
      <c r="E159" s="615"/>
      <c r="F159" s="615"/>
      <c r="G159" s="615"/>
      <c r="H159" s="615"/>
      <c r="I159" s="615"/>
      <c r="J159" s="615"/>
    </row>
    <row r="160" spans="1:10" x14ac:dyDescent="0.2">
      <c r="A160" s="71" t="s">
        <v>617</v>
      </c>
      <c r="C160" s="167"/>
    </row>
    <row r="161" spans="1:10" x14ac:dyDescent="0.2">
      <c r="A161" s="71"/>
      <c r="C161" s="72" t="s">
        <v>604</v>
      </c>
    </row>
    <row r="162" spans="1:10" x14ac:dyDescent="0.2">
      <c r="A162" s="71"/>
      <c r="C162" s="99">
        <v>19</v>
      </c>
      <c r="D162" s="16" t="str">
        <f>_xlfn.XLOOKUP(C162,Códigos!$A$11:$A$415,Códigos!$B$11:$B$415,"Verificar",0)</f>
        <v>NOMBRE 164</v>
      </c>
      <c r="F162" s="87">
        <v>0</v>
      </c>
    </row>
    <row r="163" spans="1:10" x14ac:dyDescent="0.2">
      <c r="A163" s="71"/>
      <c r="C163" s="99">
        <v>28</v>
      </c>
      <c r="D163" s="16" t="str">
        <f>_xlfn.XLOOKUP(C163,Códigos!$A$11:$A$415,Códigos!$B$11:$B$415,"Verificar",0)</f>
        <v>NOMBRE 180</v>
      </c>
      <c r="E163" s="81">
        <v>0</v>
      </c>
      <c r="F163" s="87">
        <v>27500</v>
      </c>
    </row>
    <row r="164" spans="1:10" x14ac:dyDescent="0.2">
      <c r="A164" s="71"/>
      <c r="E164" s="605" t="str">
        <f>+C161</f>
        <v>CONSOL CxC</v>
      </c>
      <c r="F164" s="606">
        <f>SUM(F161:F163)</f>
        <v>27500</v>
      </c>
      <c r="G164" s="607" t="s">
        <v>611</v>
      </c>
      <c r="H164" s="608"/>
      <c r="I164" s="608"/>
    </row>
    <row r="165" spans="1:10" x14ac:dyDescent="0.2">
      <c r="A165" s="71"/>
      <c r="C165" s="72" t="s">
        <v>605</v>
      </c>
    </row>
    <row r="166" spans="1:10" x14ac:dyDescent="0.2">
      <c r="A166" s="71"/>
      <c r="B166" s="13">
        <v>19</v>
      </c>
      <c r="C166" s="562">
        <v>23</v>
      </c>
      <c r="D166" s="563" t="s">
        <v>8</v>
      </c>
      <c r="E166" s="16" t="str">
        <f>+D162</f>
        <v>NOMBRE 164</v>
      </c>
      <c r="F166" s="492">
        <v>0</v>
      </c>
      <c r="G166" s="77">
        <v>0</v>
      </c>
      <c r="H166" s="493">
        <v>0</v>
      </c>
    </row>
    <row r="167" spans="1:10" x14ac:dyDescent="0.2">
      <c r="A167" s="71"/>
      <c r="B167" s="13">
        <v>28</v>
      </c>
      <c r="C167" s="562">
        <v>23</v>
      </c>
      <c r="D167" s="563" t="s">
        <v>8</v>
      </c>
      <c r="E167" s="16" t="str">
        <f>+D163</f>
        <v>NOMBRE 180</v>
      </c>
      <c r="F167" s="492">
        <v>0</v>
      </c>
      <c r="G167" s="77">
        <v>0</v>
      </c>
      <c r="H167" s="493">
        <v>0</v>
      </c>
    </row>
    <row r="168" spans="1:10" x14ac:dyDescent="0.2">
      <c r="A168" s="71"/>
      <c r="F168" s="594"/>
      <c r="G168" s="593" t="str">
        <f>+C165</f>
        <v>OTRAS CxC año</v>
      </c>
      <c r="H168" s="594">
        <f>SUM(H165:H167)</f>
        <v>0</v>
      </c>
      <c r="I168" s="595" t="s">
        <v>613</v>
      </c>
      <c r="J168" s="596"/>
    </row>
    <row r="169" spans="1:10" x14ac:dyDescent="0.2">
      <c r="A169" s="71"/>
      <c r="C169" s="72" t="s">
        <v>606</v>
      </c>
    </row>
    <row r="170" spans="1:10" x14ac:dyDescent="0.2">
      <c r="A170" s="71"/>
      <c r="C170" s="92">
        <v>19</v>
      </c>
      <c r="D170" s="16" t="str">
        <f>_xlfn.XLOOKUP(C170,Códigos!$A$11:$A$415,Códigos!$B$11:$B$415,"Verificar",0)</f>
        <v>NOMBRE 164</v>
      </c>
      <c r="E170" s="81">
        <v>0</v>
      </c>
      <c r="G170" s="81">
        <v>0</v>
      </c>
      <c r="H170" s="81">
        <v>0</v>
      </c>
      <c r="I170" s="84">
        <v>0</v>
      </c>
    </row>
    <row r="171" spans="1:10" x14ac:dyDescent="0.2">
      <c r="A171" s="71"/>
      <c r="C171" s="92">
        <v>28</v>
      </c>
      <c r="D171" s="16" t="str">
        <f>_xlfn.XLOOKUP(C171,Códigos!$A$11:$A$415,Códigos!$B$11:$B$415,"Verificar",0)</f>
        <v>NOMBRE 180</v>
      </c>
      <c r="E171" s="81">
        <v>0</v>
      </c>
      <c r="G171" s="81">
        <v>0</v>
      </c>
      <c r="H171" s="81">
        <v>0</v>
      </c>
      <c r="I171" s="84">
        <v>0</v>
      </c>
    </row>
    <row r="172" spans="1:10" x14ac:dyDescent="0.2">
      <c r="A172" s="71"/>
      <c r="G172" s="597"/>
      <c r="H172" s="598" t="str">
        <f>+C169</f>
        <v>CARTERA del año</v>
      </c>
      <c r="I172" s="599">
        <f>SUM(I169:I171)</f>
        <v>0</v>
      </c>
      <c r="J172" s="600" t="s">
        <v>615</v>
      </c>
    </row>
    <row r="173" spans="1:10" x14ac:dyDescent="0.2">
      <c r="A173" s="71"/>
      <c r="C173" s="72" t="s">
        <v>614</v>
      </c>
    </row>
    <row r="174" spans="1:10" x14ac:dyDescent="0.2">
      <c r="A174" s="20">
        <v>43298</v>
      </c>
      <c r="B174" s="18"/>
      <c r="C174" s="18">
        <v>28</v>
      </c>
      <c r="D174" s="16" t="str">
        <f>_xlfn.XLOOKUP(C174,Códigos!$A$11:$A$415,Códigos!$B$11:$B$415,"Verificar",0)</f>
        <v>NOMBRE 180</v>
      </c>
      <c r="E174" s="51">
        <v>11000</v>
      </c>
      <c r="F174" s="51">
        <v>0</v>
      </c>
      <c r="G174" s="51">
        <v>11000</v>
      </c>
      <c r="H174" s="51">
        <v>0</v>
      </c>
      <c r="I174" s="51">
        <v>11000</v>
      </c>
      <c r="J174" s="51"/>
    </row>
    <row r="175" spans="1:10" x14ac:dyDescent="0.2">
      <c r="A175" s="72" t="s">
        <v>607</v>
      </c>
      <c r="B175" s="18"/>
      <c r="C175" s="18">
        <v>28</v>
      </c>
      <c r="D175" s="16" t="str">
        <f>_xlfn.XLOOKUP(C175,Códigos!$A$11:$A$415,Códigos!$B$11:$B$415,"Verificar",0)</f>
        <v>NOMBRE 180</v>
      </c>
      <c r="E175" s="51">
        <v>16500</v>
      </c>
      <c r="F175" s="51">
        <v>0</v>
      </c>
      <c r="G175" s="51">
        <v>0</v>
      </c>
      <c r="H175" s="51">
        <v>0</v>
      </c>
      <c r="I175" s="51">
        <v>16500</v>
      </c>
      <c r="J175" s="51"/>
    </row>
    <row r="176" spans="1:10" x14ac:dyDescent="0.2">
      <c r="A176" s="71"/>
      <c r="C176" s="167"/>
      <c r="G176" s="601"/>
      <c r="H176" s="602" t="str">
        <f>+C173</f>
        <v>C x C años ant</v>
      </c>
      <c r="I176" s="603">
        <f>SUM(I174:I175)</f>
        <v>27500</v>
      </c>
      <c r="J176" s="604" t="s">
        <v>628</v>
      </c>
    </row>
    <row r="177" spans="1:11" x14ac:dyDescent="0.2">
      <c r="C177" s="169" t="s">
        <v>619</v>
      </c>
    </row>
    <row r="178" spans="1:11" x14ac:dyDescent="0.2">
      <c r="C178" s="72" t="s">
        <v>608</v>
      </c>
      <c r="E178" s="62"/>
    </row>
    <row r="179" spans="1:11" x14ac:dyDescent="0.2">
      <c r="C179" s="167">
        <v>19</v>
      </c>
      <c r="D179" s="72" t="s">
        <v>618</v>
      </c>
    </row>
    <row r="180" spans="1:11" x14ac:dyDescent="0.2">
      <c r="C180" s="167">
        <v>28</v>
      </c>
      <c r="D180" s="72" t="s">
        <v>618</v>
      </c>
    </row>
    <row r="181" spans="1:11" x14ac:dyDescent="0.2">
      <c r="C181" s="72" t="s">
        <v>610</v>
      </c>
    </row>
    <row r="182" spans="1:11" x14ac:dyDescent="0.2">
      <c r="C182" s="167">
        <v>19</v>
      </c>
      <c r="D182" s="72" t="s">
        <v>618</v>
      </c>
    </row>
    <row r="183" spans="1:11" x14ac:dyDescent="0.2">
      <c r="A183" s="15"/>
      <c r="B183" s="167"/>
      <c r="C183" s="167">
        <v>28</v>
      </c>
      <c r="D183" s="72" t="s">
        <v>618</v>
      </c>
      <c r="E183" s="51"/>
    </row>
    <row r="184" spans="1:11" x14ac:dyDescent="0.2">
      <c r="A184" s="15"/>
      <c r="B184" s="167"/>
      <c r="C184" s="167"/>
      <c r="E184" s="51"/>
    </row>
    <row r="185" spans="1:11" x14ac:dyDescent="0.2">
      <c r="C185" s="169" t="s">
        <v>629</v>
      </c>
    </row>
    <row r="186" spans="1:11" x14ac:dyDescent="0.2">
      <c r="A186" s="15"/>
      <c r="B186" s="167"/>
      <c r="C186" s="72" t="s">
        <v>608</v>
      </c>
      <c r="D186" s="68"/>
      <c r="E186" s="51"/>
    </row>
    <row r="187" spans="1:11" ht="27.75" customHeight="1" x14ac:dyDescent="0.2">
      <c r="A187" s="15">
        <v>43844</v>
      </c>
      <c r="B187" s="167">
        <v>16</v>
      </c>
      <c r="C187" s="167"/>
      <c r="D187" s="16" t="str">
        <f>_xlfn.XLOOKUP(B187,Códigos!$A$11:$A$415,Códigos!$B$11:$B$415,"Verificar",0)</f>
        <v>NOMBRE 105</v>
      </c>
      <c r="E187" s="62">
        <f>6100*2</f>
        <v>12200</v>
      </c>
      <c r="F187" s="1350" t="s">
        <v>632</v>
      </c>
      <c r="G187" s="1350"/>
      <c r="H187" s="1350"/>
      <c r="I187" s="1350"/>
      <c r="J187" s="104">
        <f>+I149+H140+6100</f>
        <v>39400</v>
      </c>
      <c r="K187" s="87" t="s">
        <v>622</v>
      </c>
    </row>
    <row r="188" spans="1:11" ht="23.25" customHeight="1" x14ac:dyDescent="0.2">
      <c r="A188" s="15">
        <v>43866</v>
      </c>
      <c r="B188" s="167">
        <v>23</v>
      </c>
      <c r="C188" s="167"/>
      <c r="D188" s="16" t="str">
        <f>_xlfn.XLOOKUP(B188,Códigos!$A$11:$A$415,Códigos!$B$11:$B$415,"Verificar",0)</f>
        <v>NOMBRE 169</v>
      </c>
      <c r="E188" s="62">
        <v>182000</v>
      </c>
      <c r="F188" s="1350" t="s">
        <v>621</v>
      </c>
      <c r="G188" s="1350"/>
      <c r="H188" s="1350"/>
      <c r="I188" s="1350"/>
      <c r="J188" s="104">
        <f>+H139+6100</f>
        <v>106900</v>
      </c>
      <c r="K188" s="87" t="s">
        <v>623</v>
      </c>
    </row>
    <row r="189" spans="1:11" x14ac:dyDescent="0.2">
      <c r="C189" s="72" t="s">
        <v>610</v>
      </c>
    </row>
    <row r="190" spans="1:11" x14ac:dyDescent="0.2">
      <c r="A190" s="157">
        <v>43864</v>
      </c>
      <c r="B190" s="448" t="s">
        <v>14</v>
      </c>
      <c r="C190" s="449"/>
      <c r="D190" s="1376" t="str">
        <f>+D187</f>
        <v>NOMBRE 105</v>
      </c>
      <c r="E190" s="62">
        <v>107200</v>
      </c>
      <c r="F190" s="1350"/>
      <c r="G190" s="1350"/>
      <c r="H190" s="1350"/>
      <c r="I190" s="1350"/>
    </row>
    <row r="191" spans="1:11" x14ac:dyDescent="0.2">
      <c r="A191" s="157">
        <v>43866</v>
      </c>
      <c r="B191" s="448" t="s">
        <v>14</v>
      </c>
      <c r="C191" s="449"/>
      <c r="D191" s="1376" t="str">
        <f>+D188</f>
        <v>NOMBRE 169</v>
      </c>
      <c r="E191" s="62">
        <v>182000</v>
      </c>
      <c r="F191" s="1350" t="s">
        <v>621</v>
      </c>
      <c r="G191" s="1350"/>
      <c r="H191" s="1350"/>
      <c r="I191" s="1350"/>
    </row>
    <row r="192" spans="1:11" x14ac:dyDescent="0.2">
      <c r="A192" s="567" t="s">
        <v>630</v>
      </c>
      <c r="B192" s="567"/>
      <c r="C192" s="567"/>
      <c r="D192" s="566"/>
      <c r="E192" s="384"/>
      <c r="F192" s="384"/>
      <c r="G192" s="384"/>
      <c r="H192" s="384"/>
      <c r="I192" s="565">
        <f>SUM(J187:J188)</f>
        <v>146300</v>
      </c>
      <c r="J192" s="495" t="s">
        <v>624</v>
      </c>
      <c r="K192" s="384"/>
    </row>
    <row r="194" spans="1:11" x14ac:dyDescent="0.2">
      <c r="A194" s="71" t="s">
        <v>631</v>
      </c>
      <c r="E194" s="62" t="s">
        <v>625</v>
      </c>
    </row>
    <row r="195" spans="1:11" ht="42" x14ac:dyDescent="0.2">
      <c r="E195" s="271" t="s">
        <v>643</v>
      </c>
      <c r="F195" s="271" t="s">
        <v>584</v>
      </c>
      <c r="G195" s="271" t="s">
        <v>585</v>
      </c>
      <c r="H195" s="271" t="s">
        <v>586</v>
      </c>
      <c r="I195" s="271" t="s">
        <v>590</v>
      </c>
      <c r="J195" s="564" t="s">
        <v>626</v>
      </c>
    </row>
    <row r="196" spans="1:11" x14ac:dyDescent="0.2">
      <c r="C196" s="510">
        <v>19</v>
      </c>
      <c r="D196" s="511" t="str">
        <f>_xlfn.XLOOKUP(C196,Códigos!$A$11:$A$415,Códigos!$B$11:$B$415,"Verificar",0)</f>
        <v>NOMBRE 164</v>
      </c>
      <c r="E196" s="525">
        <f>SUMIF('CARTERA años anteriores'!$C$9:$C$133,C196,'CARTERA años anteriores'!$J$9:$J$133)</f>
        <v>0</v>
      </c>
      <c r="F196" s="525">
        <f>SUMIF(FACTURACIÓN!$C$8:$C$1082,C196,FACTURACIÓN!$N$8:$N$1082)</f>
        <v>0</v>
      </c>
      <c r="G196" s="525">
        <f>SUMIF('INGRESOS A CAJA'!$C$10:$C$954,C196,'INGRESOS A CAJA'!$F$10:$F$954)</f>
        <v>0</v>
      </c>
      <c r="H196" s="525">
        <f>SUMIF('EGRESOS DE CAJA'!$C$10:$C$2251,C196,'EGRESOS DE CAJA'!$G$10:$G$2251)</f>
        <v>0</v>
      </c>
      <c r="I196" s="512">
        <f>+E196+F196-G196+H196</f>
        <v>0</v>
      </c>
      <c r="J196" s="223">
        <f>+J188-I196</f>
        <v>106900</v>
      </c>
      <c r="K196" s="557" t="s">
        <v>634</v>
      </c>
    </row>
    <row r="197" spans="1:11" ht="25.5" x14ac:dyDescent="0.2">
      <c r="C197" s="510">
        <v>28</v>
      </c>
      <c r="D197" s="511" t="str">
        <f>_xlfn.XLOOKUP(C197,Códigos!$A$11:$A$415,Códigos!$B$11:$B$415,"Verificar",0)</f>
        <v>NOMBRE 180</v>
      </c>
      <c r="E197" s="525">
        <f>SUMIF('CARTERA años anteriores'!$C$9:$C$133,C197,'CARTERA años anteriores'!$J$9:$J$133)</f>
        <v>0</v>
      </c>
      <c r="F197" s="525">
        <f>SUMIF(FACTURACIÓN!$C$8:$C$1082,C197,FACTURACIÓN!$N$8:$N$1082)</f>
        <v>0</v>
      </c>
      <c r="G197" s="525">
        <f>SUMIF('INGRESOS A CAJA'!$C$10:$C$954,C197,'INGRESOS A CAJA'!$F$10:$F$954)</f>
        <v>0</v>
      </c>
      <c r="H197" s="525">
        <f>SUMIF('EGRESOS DE CAJA'!$C$10:$C$2251,C197,'EGRESOS DE CAJA'!$G$10:$G$2251)</f>
        <v>0</v>
      </c>
      <c r="I197" s="512">
        <f>+E197+F197-G197+H197</f>
        <v>0</v>
      </c>
      <c r="J197" s="223">
        <f>+I197-J187</f>
        <v>-39400</v>
      </c>
      <c r="K197" s="557" t="s">
        <v>635</v>
      </c>
    </row>
    <row r="198" spans="1:11" s="71" customFormat="1" x14ac:dyDescent="0.2">
      <c r="A198" s="71" t="s">
        <v>636</v>
      </c>
      <c r="E198" s="89"/>
      <c r="F198" s="89"/>
      <c r="G198" s="89"/>
      <c r="H198" s="89"/>
      <c r="I198" s="89"/>
      <c r="J198" s="89"/>
      <c r="K198" s="89"/>
    </row>
    <row r="199" spans="1:11" x14ac:dyDescent="0.2">
      <c r="A199" s="157">
        <v>43817</v>
      </c>
      <c r="B199" s="616">
        <v>16</v>
      </c>
      <c r="C199" s="72">
        <v>19</v>
      </c>
      <c r="D199" s="72" t="s">
        <v>609</v>
      </c>
      <c r="E199" s="81">
        <v>95000</v>
      </c>
      <c r="F199" s="1350"/>
      <c r="G199" s="1350"/>
      <c r="H199" s="1350"/>
      <c r="I199" s="1350"/>
      <c r="J199" s="89" t="s">
        <v>633</v>
      </c>
    </row>
  </sheetData>
  <mergeCells count="6">
    <mergeCell ref="F199:I199"/>
    <mergeCell ref="I114:K114"/>
    <mergeCell ref="F187:I187"/>
    <mergeCell ref="F188:I188"/>
    <mergeCell ref="F190:I190"/>
    <mergeCell ref="F191:I19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9"/>
  <sheetViews>
    <sheetView showGridLines="0" showOutlineSymbols="0" defaultGridColor="0" colorId="8" zoomScaleNormal="100" workbookViewId="0">
      <selection activeCell="A2" sqref="A2"/>
    </sheetView>
  </sheetViews>
  <sheetFormatPr baseColWidth="10" defaultColWidth="9.6640625" defaultRowHeight="12.75" x14ac:dyDescent="0.2"/>
  <cols>
    <col min="1" max="1" width="6.6640625" style="66" customWidth="1"/>
    <col min="2" max="2" width="50.77734375" style="127" customWidth="1"/>
    <col min="3" max="3" width="50.77734375" style="1061" customWidth="1"/>
    <col min="4" max="4" width="2.6640625" style="413" customWidth="1"/>
    <col min="5" max="5" width="15.33203125" style="516" customWidth="1"/>
    <col min="6" max="6" width="11.6640625" style="51" customWidth="1"/>
    <col min="7" max="7" width="35.77734375" style="51" customWidth="1"/>
    <col min="8" max="8" width="9.6640625" style="51" bestFit="1" customWidth="1"/>
    <col min="9" max="9" width="14.88671875" style="126" customWidth="1"/>
    <col min="10" max="10" width="2.77734375" style="57" customWidth="1"/>
    <col min="11" max="11" width="9.6640625" style="51" customWidth="1"/>
    <col min="12" max="12" width="14.77734375" style="51" bestFit="1" customWidth="1"/>
    <col min="13" max="13" width="9.6640625" style="51"/>
    <col min="14" max="14" width="13.44140625" style="51" customWidth="1"/>
    <col min="15" max="16384" width="9.6640625" style="51"/>
  </cols>
  <sheetData>
    <row r="1" spans="1:5" ht="12" customHeight="1" x14ac:dyDescent="0.2">
      <c r="A1" s="66" t="s">
        <v>2052</v>
      </c>
      <c r="D1" s="411"/>
      <c r="E1" s="206"/>
    </row>
    <row r="2" spans="1:5" ht="12" customHeight="1" x14ac:dyDescent="0.2">
      <c r="A2" s="66" t="s">
        <v>260</v>
      </c>
      <c r="D2" s="411"/>
    </row>
    <row r="3" spans="1:5" ht="12" customHeight="1" x14ac:dyDescent="0.2">
      <c r="A3" s="66" t="s">
        <v>683</v>
      </c>
      <c r="B3" s="770">
        <v>2025</v>
      </c>
      <c r="C3" s="1159"/>
      <c r="D3" s="411"/>
    </row>
    <row r="4" spans="1:5" ht="12" customHeight="1" x14ac:dyDescent="0.2">
      <c r="A4" s="322"/>
      <c r="B4" s="386"/>
      <c r="C4" s="1159"/>
      <c r="D4" s="411"/>
    </row>
    <row r="5" spans="1:5" ht="25.5" x14ac:dyDescent="0.2">
      <c r="A5" s="1062" t="s">
        <v>4</v>
      </c>
      <c r="B5" s="1160" t="s">
        <v>438</v>
      </c>
      <c r="C5" s="1161" t="s">
        <v>26</v>
      </c>
      <c r="D5" s="273"/>
    </row>
    <row r="6" spans="1:5" x14ac:dyDescent="0.2">
      <c r="A6" s="323"/>
      <c r="B6" s="387"/>
      <c r="C6" s="556"/>
      <c r="D6" s="411"/>
      <c r="E6" s="206" t="s">
        <v>659</v>
      </c>
    </row>
    <row r="7" spans="1:5" x14ac:dyDescent="0.2">
      <c r="A7" s="101"/>
      <c r="B7" s="388"/>
      <c r="D7" s="411"/>
    </row>
    <row r="8" spans="1:5" x14ac:dyDescent="0.2">
      <c r="A8" s="1354" t="s">
        <v>450</v>
      </c>
      <c r="B8" s="1354"/>
      <c r="C8" s="1354"/>
      <c r="D8" s="411"/>
    </row>
    <row r="9" spans="1:5" ht="25.5" x14ac:dyDescent="0.2">
      <c r="A9" s="1062" t="s">
        <v>4</v>
      </c>
      <c r="B9" s="1160" t="s">
        <v>579</v>
      </c>
      <c r="C9" s="1161" t="s">
        <v>26</v>
      </c>
      <c r="D9" s="411"/>
    </row>
    <row r="10" spans="1:5" x14ac:dyDescent="0.2">
      <c r="A10" s="101"/>
      <c r="B10" s="388"/>
      <c r="D10" s="411"/>
    </row>
    <row r="11" spans="1:5" x14ac:dyDescent="0.2">
      <c r="A11" s="392">
        <v>0</v>
      </c>
      <c r="B11" s="394" t="s">
        <v>512</v>
      </c>
      <c r="C11" s="1163"/>
      <c r="D11" s="411"/>
    </row>
    <row r="12" spans="1:5" x14ac:dyDescent="0.2">
      <c r="A12" s="1263">
        <v>41</v>
      </c>
      <c r="B12" s="1001" t="s">
        <v>1683</v>
      </c>
      <c r="C12" s="1163"/>
      <c r="D12" s="411"/>
    </row>
    <row r="13" spans="1:5" x14ac:dyDescent="0.2">
      <c r="A13" s="1263">
        <v>346</v>
      </c>
      <c r="B13" s="1001" t="s">
        <v>1684</v>
      </c>
      <c r="C13" s="1162"/>
      <c r="D13" s="411"/>
    </row>
    <row r="14" spans="1:5" x14ac:dyDescent="0.2">
      <c r="A14" s="1263">
        <v>300</v>
      </c>
      <c r="B14" s="1001" t="s">
        <v>1685</v>
      </c>
      <c r="C14" s="1162"/>
      <c r="D14" s="411"/>
    </row>
    <row r="15" spans="1:5" x14ac:dyDescent="0.2">
      <c r="A15" s="1263">
        <v>312</v>
      </c>
      <c r="B15" s="1001" t="s">
        <v>1686</v>
      </c>
      <c r="C15" s="1162"/>
      <c r="D15" s="411"/>
    </row>
    <row r="16" spans="1:5" x14ac:dyDescent="0.2">
      <c r="A16" s="1263">
        <v>217</v>
      </c>
      <c r="B16" s="1001" t="s">
        <v>1687</v>
      </c>
      <c r="C16" s="1162"/>
      <c r="D16" s="411"/>
    </row>
    <row r="17" spans="1:3" x14ac:dyDescent="0.2">
      <c r="A17" s="1263">
        <v>42</v>
      </c>
      <c r="B17" s="1001" t="s">
        <v>1688</v>
      </c>
      <c r="C17" s="1163"/>
    </row>
    <row r="18" spans="1:3" x14ac:dyDescent="0.2">
      <c r="A18" s="1263">
        <v>43</v>
      </c>
      <c r="B18" s="1001" t="s">
        <v>1689</v>
      </c>
      <c r="C18" s="1163"/>
    </row>
    <row r="19" spans="1:3" x14ac:dyDescent="0.2">
      <c r="A19" s="1263">
        <v>44</v>
      </c>
      <c r="B19" s="1001" t="s">
        <v>1690</v>
      </c>
      <c r="C19" s="1163"/>
    </row>
    <row r="20" spans="1:3" x14ac:dyDescent="0.2">
      <c r="A20" s="1263">
        <v>45</v>
      </c>
      <c r="B20" s="1001" t="s">
        <v>1691</v>
      </c>
      <c r="C20" s="1163"/>
    </row>
    <row r="21" spans="1:3" x14ac:dyDescent="0.2">
      <c r="A21" s="1263">
        <v>172</v>
      </c>
      <c r="B21" s="1001" t="s">
        <v>1692</v>
      </c>
      <c r="C21" s="1162"/>
    </row>
    <row r="22" spans="1:3" x14ac:dyDescent="0.2">
      <c r="A22" s="1263">
        <v>156</v>
      </c>
      <c r="B22" s="1001" t="s">
        <v>1693</v>
      </c>
      <c r="C22" s="1162"/>
    </row>
    <row r="23" spans="1:3" x14ac:dyDescent="0.2">
      <c r="A23" s="1263">
        <v>47</v>
      </c>
      <c r="B23" s="1001" t="s">
        <v>1694</v>
      </c>
      <c r="C23" s="1162"/>
    </row>
    <row r="24" spans="1:3" x14ac:dyDescent="0.2">
      <c r="A24" s="1263">
        <v>179</v>
      </c>
      <c r="B24" s="1001" t="s">
        <v>1695</v>
      </c>
      <c r="C24" s="1162"/>
    </row>
    <row r="25" spans="1:3" x14ac:dyDescent="0.2">
      <c r="A25" s="1263">
        <v>48</v>
      </c>
      <c r="B25" s="1001" t="s">
        <v>1696</v>
      </c>
      <c r="C25" s="1162"/>
    </row>
    <row r="26" spans="1:3" x14ac:dyDescent="0.2">
      <c r="A26" s="1263">
        <v>36</v>
      </c>
      <c r="B26" s="1001" t="s">
        <v>1697</v>
      </c>
      <c r="C26" s="1162"/>
    </row>
    <row r="27" spans="1:3" x14ac:dyDescent="0.2">
      <c r="A27" s="1263">
        <v>38</v>
      </c>
      <c r="B27" s="1001" t="s">
        <v>1698</v>
      </c>
      <c r="C27" s="1163"/>
    </row>
    <row r="28" spans="1:3" x14ac:dyDescent="0.2">
      <c r="A28" s="1263">
        <v>49</v>
      </c>
      <c r="B28" s="1001" t="s">
        <v>1699</v>
      </c>
      <c r="C28" s="1162"/>
    </row>
    <row r="29" spans="1:3" x14ac:dyDescent="0.2">
      <c r="A29" s="1263">
        <v>50</v>
      </c>
      <c r="B29" s="1001" t="s">
        <v>1700</v>
      </c>
      <c r="C29" s="1164"/>
    </row>
    <row r="30" spans="1:3" x14ac:dyDescent="0.2">
      <c r="A30" s="1263">
        <v>51</v>
      </c>
      <c r="B30" s="1001" t="s">
        <v>1701</v>
      </c>
      <c r="C30" s="1164"/>
    </row>
    <row r="31" spans="1:3" x14ac:dyDescent="0.2">
      <c r="A31" s="1263">
        <v>52</v>
      </c>
      <c r="B31" s="1001" t="s">
        <v>1702</v>
      </c>
      <c r="C31" s="1163"/>
    </row>
    <row r="32" spans="1:3" x14ac:dyDescent="0.2">
      <c r="A32" s="1263">
        <v>1</v>
      </c>
      <c r="B32" s="1001" t="s">
        <v>1703</v>
      </c>
      <c r="C32" s="1162"/>
    </row>
    <row r="33" spans="1:3" x14ac:dyDescent="0.2">
      <c r="A33" s="1263">
        <v>53</v>
      </c>
      <c r="B33" s="1001" t="s">
        <v>1704</v>
      </c>
      <c r="C33" s="1162"/>
    </row>
    <row r="34" spans="1:3" x14ac:dyDescent="0.2">
      <c r="A34" s="1263">
        <v>2</v>
      </c>
      <c r="B34" s="1001" t="s">
        <v>1705</v>
      </c>
      <c r="C34" s="1162"/>
    </row>
    <row r="35" spans="1:3" x14ac:dyDescent="0.2">
      <c r="A35" s="1263">
        <v>3</v>
      </c>
      <c r="B35" s="1001" t="s">
        <v>1706</v>
      </c>
      <c r="C35" s="1162"/>
    </row>
    <row r="36" spans="1:3" x14ac:dyDescent="0.2">
      <c r="A36" s="1263">
        <v>5</v>
      </c>
      <c r="B36" s="1001" t="s">
        <v>1707</v>
      </c>
      <c r="C36" s="1162"/>
    </row>
    <row r="37" spans="1:3" x14ac:dyDescent="0.2">
      <c r="A37" s="1263">
        <v>341</v>
      </c>
      <c r="B37" s="1001" t="s">
        <v>1708</v>
      </c>
      <c r="C37" s="1162"/>
    </row>
    <row r="38" spans="1:3" x14ac:dyDescent="0.2">
      <c r="A38" s="1263">
        <v>260</v>
      </c>
      <c r="B38" s="1001" t="s">
        <v>1709</v>
      </c>
      <c r="C38" s="1167" t="s">
        <v>582</v>
      </c>
    </row>
    <row r="39" spans="1:3" x14ac:dyDescent="0.2">
      <c r="A39" s="1263">
        <v>225</v>
      </c>
      <c r="B39" s="1001" t="s">
        <v>1710</v>
      </c>
      <c r="C39" s="1162"/>
    </row>
    <row r="40" spans="1:3" x14ac:dyDescent="0.2">
      <c r="A40" s="1263">
        <v>257</v>
      </c>
      <c r="B40" s="1001" t="s">
        <v>1711</v>
      </c>
      <c r="C40" s="1162"/>
    </row>
    <row r="41" spans="1:3" x14ac:dyDescent="0.2">
      <c r="A41" s="1263">
        <v>56</v>
      </c>
      <c r="B41" s="1001" t="s">
        <v>1712</v>
      </c>
      <c r="C41" s="1162"/>
    </row>
    <row r="42" spans="1:3" x14ac:dyDescent="0.2">
      <c r="A42" s="1263">
        <v>353</v>
      </c>
      <c r="B42" s="1001" t="s">
        <v>1713</v>
      </c>
      <c r="C42" s="1162"/>
    </row>
    <row r="43" spans="1:3" x14ac:dyDescent="0.2">
      <c r="A43" s="1263">
        <v>218</v>
      </c>
      <c r="B43" s="1001" t="s">
        <v>1714</v>
      </c>
      <c r="C43" s="1162"/>
    </row>
    <row r="44" spans="1:3" x14ac:dyDescent="0.2">
      <c r="A44" s="1263">
        <v>306</v>
      </c>
      <c r="B44" s="1001" t="s">
        <v>1715</v>
      </c>
      <c r="C44" s="1162"/>
    </row>
    <row r="45" spans="1:3" x14ac:dyDescent="0.2">
      <c r="A45" s="1263">
        <v>270</v>
      </c>
      <c r="B45" s="1001" t="s">
        <v>1716</v>
      </c>
      <c r="C45" s="1162"/>
    </row>
    <row r="46" spans="1:3" x14ac:dyDescent="0.2">
      <c r="A46" s="1263">
        <v>4</v>
      </c>
      <c r="B46" s="1001" t="s">
        <v>1717</v>
      </c>
      <c r="C46" s="1162"/>
    </row>
    <row r="47" spans="1:3" x14ac:dyDescent="0.2">
      <c r="A47" s="1263">
        <v>59</v>
      </c>
      <c r="B47" s="1001" t="s">
        <v>1718</v>
      </c>
      <c r="C47" s="1162"/>
    </row>
    <row r="48" spans="1:3" x14ac:dyDescent="0.2">
      <c r="A48" s="1263">
        <v>322</v>
      </c>
      <c r="B48" s="1001" t="s">
        <v>1719</v>
      </c>
      <c r="C48" s="1167" t="s">
        <v>540</v>
      </c>
    </row>
    <row r="49" spans="1:3" x14ac:dyDescent="0.2">
      <c r="A49" s="1263">
        <v>271</v>
      </c>
      <c r="B49" s="1001" t="s">
        <v>1720</v>
      </c>
      <c r="C49" s="1162"/>
    </row>
    <row r="50" spans="1:3" x14ac:dyDescent="0.2">
      <c r="A50" s="1263">
        <v>60</v>
      </c>
      <c r="B50" s="1001" t="s">
        <v>1721</v>
      </c>
      <c r="C50" s="1162"/>
    </row>
    <row r="51" spans="1:3" x14ac:dyDescent="0.2">
      <c r="A51" s="1263">
        <v>61</v>
      </c>
      <c r="B51" s="1001" t="s">
        <v>1722</v>
      </c>
      <c r="C51" s="1163"/>
    </row>
    <row r="52" spans="1:3" x14ac:dyDescent="0.2">
      <c r="A52" s="1263">
        <v>246</v>
      </c>
      <c r="B52" s="1001" t="s">
        <v>1723</v>
      </c>
      <c r="C52" s="1162"/>
    </row>
    <row r="53" spans="1:3" x14ac:dyDescent="0.2">
      <c r="A53" s="1263">
        <v>62</v>
      </c>
      <c r="B53" s="1001" t="s">
        <v>1724</v>
      </c>
      <c r="C53" s="1162"/>
    </row>
    <row r="54" spans="1:3" x14ac:dyDescent="0.2">
      <c r="A54" s="1263">
        <v>63</v>
      </c>
      <c r="B54" s="1001" t="s">
        <v>1725</v>
      </c>
      <c r="C54" s="1162"/>
    </row>
    <row r="55" spans="1:3" x14ac:dyDescent="0.2">
      <c r="A55" s="1263">
        <v>65</v>
      </c>
      <c r="B55" s="1001" t="s">
        <v>1726</v>
      </c>
      <c r="C55" s="1162"/>
    </row>
    <row r="56" spans="1:3" x14ac:dyDescent="0.2">
      <c r="A56" s="1263">
        <v>67</v>
      </c>
      <c r="B56" s="1001" t="s">
        <v>1727</v>
      </c>
      <c r="C56" s="1162"/>
    </row>
    <row r="57" spans="1:3" x14ac:dyDescent="0.2">
      <c r="A57" s="1263">
        <v>279</v>
      </c>
      <c r="B57" s="1001" t="s">
        <v>1728</v>
      </c>
      <c r="C57" s="1162"/>
    </row>
    <row r="58" spans="1:3" x14ac:dyDescent="0.2">
      <c r="A58" s="1263">
        <v>68</v>
      </c>
      <c r="B58" s="1001" t="s">
        <v>1729</v>
      </c>
      <c r="C58" s="1162"/>
    </row>
    <row r="59" spans="1:3" x14ac:dyDescent="0.2">
      <c r="A59" s="1263">
        <v>236</v>
      </c>
      <c r="B59" s="1001" t="s">
        <v>1730</v>
      </c>
      <c r="C59" s="1162"/>
    </row>
    <row r="60" spans="1:3" x14ac:dyDescent="0.2">
      <c r="A60" s="1263">
        <v>361</v>
      </c>
      <c r="B60" s="1001" t="s">
        <v>1731</v>
      </c>
      <c r="C60" s="1164"/>
    </row>
    <row r="61" spans="1:3" x14ac:dyDescent="0.2">
      <c r="A61" s="1263">
        <v>13</v>
      </c>
      <c r="B61" s="1001" t="s">
        <v>1732</v>
      </c>
      <c r="C61" s="1162"/>
    </row>
    <row r="62" spans="1:3" x14ac:dyDescent="0.2">
      <c r="A62" s="1263">
        <v>69</v>
      </c>
      <c r="B62" s="1001" t="s">
        <v>1733</v>
      </c>
      <c r="C62" s="1162"/>
    </row>
    <row r="63" spans="1:3" x14ac:dyDescent="0.2">
      <c r="A63" s="1263">
        <v>70</v>
      </c>
      <c r="B63" s="1001" t="s">
        <v>1734</v>
      </c>
      <c r="C63" s="1162"/>
    </row>
    <row r="64" spans="1:3" x14ac:dyDescent="0.2">
      <c r="A64" s="1263">
        <v>71</v>
      </c>
      <c r="B64" s="1001" t="s">
        <v>1735</v>
      </c>
      <c r="C64" s="1162"/>
    </row>
    <row r="65" spans="1:3" x14ac:dyDescent="0.2">
      <c r="A65" s="1263">
        <v>72</v>
      </c>
      <c r="B65" s="1001" t="s">
        <v>1736</v>
      </c>
      <c r="C65" s="1162"/>
    </row>
    <row r="66" spans="1:3" x14ac:dyDescent="0.2">
      <c r="A66" s="1263">
        <v>73</v>
      </c>
      <c r="B66" s="1001" t="s">
        <v>1737</v>
      </c>
      <c r="C66" s="1162"/>
    </row>
    <row r="67" spans="1:3" x14ac:dyDescent="0.2">
      <c r="A67" s="1263">
        <v>74</v>
      </c>
      <c r="B67" s="1001" t="s">
        <v>1738</v>
      </c>
      <c r="C67" s="1162"/>
    </row>
    <row r="68" spans="1:3" x14ac:dyDescent="0.2">
      <c r="A68" s="1263">
        <v>6</v>
      </c>
      <c r="B68" s="1001" t="s">
        <v>1739</v>
      </c>
      <c r="C68" s="1162"/>
    </row>
    <row r="69" spans="1:3" x14ac:dyDescent="0.2">
      <c r="A69" s="1263">
        <v>0</v>
      </c>
      <c r="B69" s="1001" t="s">
        <v>1740</v>
      </c>
      <c r="C69" s="1162"/>
    </row>
    <row r="70" spans="1:3" x14ac:dyDescent="0.2">
      <c r="A70" s="1263">
        <v>7</v>
      </c>
      <c r="B70" s="1001" t="s">
        <v>1741</v>
      </c>
      <c r="C70" s="1162"/>
    </row>
    <row r="71" spans="1:3" x14ac:dyDescent="0.2">
      <c r="A71" s="1263">
        <v>75</v>
      </c>
      <c r="B71" s="1001" t="s">
        <v>1742</v>
      </c>
      <c r="C71" s="1162"/>
    </row>
    <row r="72" spans="1:3" x14ac:dyDescent="0.2">
      <c r="A72" s="1263">
        <v>76</v>
      </c>
      <c r="B72" s="1001" t="s">
        <v>1743</v>
      </c>
      <c r="C72" s="1162"/>
    </row>
    <row r="73" spans="1:3" x14ac:dyDescent="0.2">
      <c r="A73" s="1263">
        <v>77</v>
      </c>
      <c r="B73" s="1001" t="s">
        <v>1744</v>
      </c>
      <c r="C73" s="1162"/>
    </row>
    <row r="74" spans="1:3" x14ac:dyDescent="0.2">
      <c r="A74" s="1263">
        <v>78</v>
      </c>
      <c r="B74" s="1001" t="s">
        <v>1745</v>
      </c>
      <c r="C74" s="1162"/>
    </row>
    <row r="75" spans="1:3" x14ac:dyDescent="0.2">
      <c r="A75" s="1263">
        <v>8</v>
      </c>
      <c r="B75" s="1001" t="s">
        <v>1746</v>
      </c>
      <c r="C75" s="1162"/>
    </row>
    <row r="76" spans="1:3" x14ac:dyDescent="0.2">
      <c r="A76" s="1263">
        <v>9</v>
      </c>
      <c r="B76" s="1001" t="s">
        <v>1747</v>
      </c>
      <c r="C76" s="1162"/>
    </row>
    <row r="77" spans="1:3" x14ac:dyDescent="0.2">
      <c r="A77" s="1263">
        <v>303</v>
      </c>
      <c r="B77" s="1001" t="s">
        <v>1748</v>
      </c>
      <c r="C77" s="1162"/>
    </row>
    <row r="78" spans="1:3" x14ac:dyDescent="0.2">
      <c r="A78" s="1263">
        <v>79</v>
      </c>
      <c r="B78" s="1001" t="s">
        <v>1749</v>
      </c>
      <c r="C78" s="1162"/>
    </row>
    <row r="79" spans="1:3" x14ac:dyDescent="0.2">
      <c r="A79" s="1263">
        <v>348</v>
      </c>
      <c r="B79" s="1001" t="s">
        <v>1750</v>
      </c>
      <c r="C79" s="1162"/>
    </row>
    <row r="80" spans="1:3" x14ac:dyDescent="0.2">
      <c r="A80" s="1263">
        <v>338</v>
      </c>
      <c r="B80" s="1001" t="s">
        <v>1751</v>
      </c>
      <c r="C80" s="1162"/>
    </row>
    <row r="81" spans="1:3" x14ac:dyDescent="0.2">
      <c r="A81" s="1263">
        <v>313</v>
      </c>
      <c r="B81" s="1001" t="s">
        <v>1752</v>
      </c>
      <c r="C81" s="1162"/>
    </row>
    <row r="82" spans="1:3" x14ac:dyDescent="0.2">
      <c r="A82" s="1263">
        <v>324</v>
      </c>
      <c r="B82" s="1001" t="s">
        <v>1753</v>
      </c>
      <c r="C82" s="1162"/>
    </row>
    <row r="83" spans="1:3" x14ac:dyDescent="0.2">
      <c r="A83" s="1263">
        <v>340</v>
      </c>
      <c r="B83" s="1001" t="s">
        <v>1754</v>
      </c>
      <c r="C83" s="1162"/>
    </row>
    <row r="84" spans="1:3" x14ac:dyDescent="0.2">
      <c r="A84" s="1263">
        <v>349</v>
      </c>
      <c r="B84" s="1001" t="s">
        <v>1755</v>
      </c>
      <c r="C84" s="1162"/>
    </row>
    <row r="85" spans="1:3" x14ac:dyDescent="0.2">
      <c r="A85" s="1263">
        <v>227</v>
      </c>
      <c r="B85" s="1001" t="s">
        <v>1756</v>
      </c>
      <c r="C85" s="1167" t="s">
        <v>582</v>
      </c>
    </row>
    <row r="86" spans="1:3" x14ac:dyDescent="0.2">
      <c r="A86" s="1263">
        <v>250</v>
      </c>
      <c r="B86" s="1001" t="s">
        <v>1757</v>
      </c>
      <c r="C86" s="1162"/>
    </row>
    <row r="87" spans="1:3" x14ac:dyDescent="0.2">
      <c r="A87" s="1263">
        <v>299</v>
      </c>
      <c r="B87" s="1001" t="s">
        <v>1758</v>
      </c>
      <c r="C87" s="1162"/>
    </row>
    <row r="88" spans="1:3" x14ac:dyDescent="0.2">
      <c r="A88" s="1263">
        <v>295</v>
      </c>
      <c r="B88" s="1001" t="s">
        <v>1759</v>
      </c>
      <c r="C88" s="1162"/>
    </row>
    <row r="89" spans="1:3" x14ac:dyDescent="0.2">
      <c r="A89" s="1263">
        <v>81</v>
      </c>
      <c r="B89" s="1001" t="s">
        <v>1760</v>
      </c>
      <c r="C89" s="1162"/>
    </row>
    <row r="90" spans="1:3" x14ac:dyDescent="0.2">
      <c r="A90" s="1263">
        <v>39</v>
      </c>
      <c r="B90" s="1001" t="s">
        <v>1761</v>
      </c>
      <c r="C90" s="1162"/>
    </row>
    <row r="91" spans="1:3" x14ac:dyDescent="0.2">
      <c r="A91" s="1263">
        <v>10</v>
      </c>
      <c r="B91" s="1001" t="s">
        <v>1762</v>
      </c>
      <c r="C91" s="1162"/>
    </row>
    <row r="92" spans="1:3" x14ac:dyDescent="0.2">
      <c r="A92" s="1263">
        <v>272</v>
      </c>
      <c r="B92" s="1001" t="s">
        <v>1763</v>
      </c>
      <c r="C92" s="1162"/>
    </row>
    <row r="93" spans="1:3" x14ac:dyDescent="0.2">
      <c r="A93" s="1263">
        <v>83</v>
      </c>
      <c r="B93" s="1001" t="s">
        <v>1764</v>
      </c>
      <c r="C93" s="1162"/>
    </row>
    <row r="94" spans="1:3" x14ac:dyDescent="0.2">
      <c r="A94" s="1263">
        <v>84</v>
      </c>
      <c r="B94" s="1001" t="s">
        <v>1765</v>
      </c>
      <c r="C94" s="1162"/>
    </row>
    <row r="95" spans="1:3" x14ac:dyDescent="0.2">
      <c r="A95" s="1263">
        <v>301</v>
      </c>
      <c r="B95" s="1001" t="s">
        <v>1766</v>
      </c>
      <c r="C95" s="1162"/>
    </row>
    <row r="96" spans="1:3" x14ac:dyDescent="0.2">
      <c r="A96" s="1263">
        <v>329</v>
      </c>
      <c r="B96" s="1001" t="s">
        <v>1767</v>
      </c>
      <c r="C96" s="1162"/>
    </row>
    <row r="97" spans="1:3" x14ac:dyDescent="0.2">
      <c r="A97" s="1263">
        <v>85</v>
      </c>
      <c r="B97" s="1001" t="s">
        <v>1768</v>
      </c>
      <c r="C97" s="1162"/>
    </row>
    <row r="98" spans="1:3" x14ac:dyDescent="0.2">
      <c r="A98" s="1263">
        <v>86</v>
      </c>
      <c r="B98" s="1001" t="s">
        <v>1769</v>
      </c>
      <c r="C98" s="1162"/>
    </row>
    <row r="99" spans="1:3" x14ac:dyDescent="0.2">
      <c r="A99" s="1263">
        <v>273</v>
      </c>
      <c r="B99" s="1001" t="s">
        <v>1770</v>
      </c>
      <c r="C99" s="1162"/>
    </row>
    <row r="100" spans="1:3" x14ac:dyDescent="0.2">
      <c r="A100" s="1263">
        <v>87</v>
      </c>
      <c r="B100" s="1001" t="s">
        <v>1771</v>
      </c>
      <c r="C100" s="1162"/>
    </row>
    <row r="101" spans="1:3" x14ac:dyDescent="0.2">
      <c r="A101" s="1263">
        <v>88</v>
      </c>
      <c r="B101" s="1001" t="s">
        <v>1772</v>
      </c>
      <c r="C101" s="1162"/>
    </row>
    <row r="102" spans="1:3" x14ac:dyDescent="0.2">
      <c r="A102" s="1264">
        <v>309</v>
      </c>
      <c r="B102" s="1001" t="s">
        <v>1773</v>
      </c>
      <c r="C102" s="1162"/>
    </row>
    <row r="103" spans="1:3" x14ac:dyDescent="0.2">
      <c r="A103" s="1263">
        <v>11</v>
      </c>
      <c r="B103" s="1001" t="s">
        <v>1774</v>
      </c>
      <c r="C103" s="1168"/>
    </row>
    <row r="104" spans="1:3" x14ac:dyDescent="0.2">
      <c r="A104" s="1263">
        <v>90</v>
      </c>
      <c r="B104" s="1001" t="s">
        <v>1775</v>
      </c>
      <c r="C104" s="1162"/>
    </row>
    <row r="105" spans="1:3" x14ac:dyDescent="0.2">
      <c r="A105" s="1263">
        <v>360</v>
      </c>
      <c r="B105" s="1001" t="s">
        <v>1776</v>
      </c>
      <c r="C105" s="1162"/>
    </row>
    <row r="106" spans="1:3" x14ac:dyDescent="0.2">
      <c r="A106" s="1263">
        <v>262</v>
      </c>
      <c r="B106" s="1001" t="s">
        <v>1777</v>
      </c>
      <c r="C106" s="1162"/>
    </row>
    <row r="107" spans="1:3" x14ac:dyDescent="0.2">
      <c r="A107" s="1263">
        <v>355</v>
      </c>
      <c r="B107" s="1001" t="s">
        <v>1778</v>
      </c>
      <c r="C107" s="1162"/>
    </row>
    <row r="108" spans="1:3" x14ac:dyDescent="0.2">
      <c r="A108" s="1263">
        <v>362</v>
      </c>
      <c r="B108" s="1001" t="s">
        <v>1779</v>
      </c>
      <c r="C108" s="1162"/>
    </row>
    <row r="109" spans="1:3" x14ac:dyDescent="0.2">
      <c r="A109" s="1263">
        <v>244</v>
      </c>
      <c r="B109" s="1001" t="s">
        <v>1780</v>
      </c>
      <c r="C109" s="1162"/>
    </row>
    <row r="110" spans="1:3" x14ac:dyDescent="0.2">
      <c r="A110" s="1263">
        <v>285</v>
      </c>
      <c r="B110" s="1001" t="s">
        <v>1781</v>
      </c>
      <c r="C110" s="1162"/>
    </row>
    <row r="111" spans="1:3" x14ac:dyDescent="0.2">
      <c r="A111" s="1263">
        <v>91</v>
      </c>
      <c r="B111" s="1001" t="s">
        <v>1782</v>
      </c>
      <c r="C111" s="1162"/>
    </row>
    <row r="112" spans="1:3" x14ac:dyDescent="0.2">
      <c r="A112" s="1263">
        <v>222</v>
      </c>
      <c r="B112" s="1001" t="s">
        <v>1783</v>
      </c>
      <c r="C112" s="1162"/>
    </row>
    <row r="113" spans="1:3" x14ac:dyDescent="0.2">
      <c r="A113" s="1263">
        <v>253</v>
      </c>
      <c r="B113" s="1001" t="s">
        <v>1784</v>
      </c>
      <c r="C113" s="1162"/>
    </row>
    <row r="114" spans="1:3" x14ac:dyDescent="0.2">
      <c r="A114" s="1263">
        <v>284</v>
      </c>
      <c r="B114" s="1001" t="s">
        <v>1785</v>
      </c>
      <c r="C114" s="1162"/>
    </row>
    <row r="115" spans="1:3" x14ac:dyDescent="0.2">
      <c r="A115" s="1263">
        <v>283</v>
      </c>
      <c r="B115" s="1001" t="s">
        <v>1786</v>
      </c>
      <c r="C115" s="1162"/>
    </row>
    <row r="116" spans="1:3" x14ac:dyDescent="0.2">
      <c r="A116" s="1263">
        <v>16</v>
      </c>
      <c r="B116" s="1001" t="s">
        <v>1787</v>
      </c>
      <c r="C116" s="1162"/>
    </row>
    <row r="117" spans="1:3" x14ac:dyDescent="0.2">
      <c r="A117" s="1263">
        <v>92</v>
      </c>
      <c r="B117" s="1001" t="s">
        <v>1788</v>
      </c>
      <c r="C117" s="1162"/>
    </row>
    <row r="118" spans="1:3" x14ac:dyDescent="0.2">
      <c r="A118" s="1263">
        <v>357</v>
      </c>
      <c r="B118" s="1001" t="s">
        <v>1789</v>
      </c>
      <c r="C118" s="1162"/>
    </row>
    <row r="119" spans="1:3" x14ac:dyDescent="0.2">
      <c r="A119" s="1263">
        <v>356</v>
      </c>
      <c r="B119" s="1001" t="s">
        <v>1790</v>
      </c>
      <c r="C119" s="1162"/>
    </row>
    <row r="120" spans="1:3" x14ac:dyDescent="0.2">
      <c r="A120" s="1263">
        <v>287</v>
      </c>
      <c r="B120" s="1001" t="s">
        <v>1791</v>
      </c>
      <c r="C120" s="1162"/>
    </row>
    <row r="121" spans="1:3" x14ac:dyDescent="0.2">
      <c r="A121" s="1263">
        <v>347</v>
      </c>
      <c r="B121" s="1001" t="s">
        <v>1792</v>
      </c>
      <c r="C121" s="1162"/>
    </row>
    <row r="122" spans="1:3" x14ac:dyDescent="0.2">
      <c r="A122" s="1263">
        <v>95</v>
      </c>
      <c r="B122" s="1001" t="s">
        <v>1793</v>
      </c>
      <c r="C122" s="1162"/>
    </row>
    <row r="123" spans="1:3" x14ac:dyDescent="0.2">
      <c r="A123" s="1263">
        <v>96</v>
      </c>
      <c r="B123" s="1001" t="s">
        <v>1794</v>
      </c>
      <c r="C123" s="1162"/>
    </row>
    <row r="124" spans="1:3" x14ac:dyDescent="0.2">
      <c r="A124" s="1263">
        <v>97</v>
      </c>
      <c r="B124" s="1001" t="s">
        <v>1795</v>
      </c>
      <c r="C124" s="1162"/>
    </row>
    <row r="125" spans="1:3" x14ac:dyDescent="0.2">
      <c r="A125" s="1263">
        <v>98</v>
      </c>
      <c r="B125" s="1001" t="s">
        <v>1796</v>
      </c>
      <c r="C125" s="1169"/>
    </row>
    <row r="126" spans="1:3" x14ac:dyDescent="0.2">
      <c r="A126" s="1263">
        <v>12</v>
      </c>
      <c r="B126" s="1001" t="s">
        <v>1797</v>
      </c>
      <c r="C126" s="1162"/>
    </row>
    <row r="127" spans="1:3" x14ac:dyDescent="0.2">
      <c r="A127" s="1263">
        <v>46</v>
      </c>
      <c r="B127" s="1001" t="s">
        <v>1798</v>
      </c>
      <c r="C127" s="1162"/>
    </row>
    <row r="128" spans="1:3" x14ac:dyDescent="0.2">
      <c r="A128" s="1263">
        <v>131</v>
      </c>
      <c r="B128" s="1001" t="s">
        <v>1799</v>
      </c>
      <c r="C128" s="1162"/>
    </row>
    <row r="129" spans="1:3" x14ac:dyDescent="0.2">
      <c r="A129" s="1263">
        <v>54</v>
      </c>
      <c r="B129" s="1001" t="s">
        <v>1800</v>
      </c>
      <c r="C129" s="1162"/>
    </row>
    <row r="130" spans="1:3" x14ac:dyDescent="0.2">
      <c r="A130" s="1263">
        <v>99</v>
      </c>
      <c r="B130" s="1001" t="s">
        <v>1801</v>
      </c>
      <c r="C130" s="1162"/>
    </row>
    <row r="131" spans="1:3" x14ac:dyDescent="0.2">
      <c r="A131" s="1263">
        <v>55</v>
      </c>
      <c r="B131" s="1001" t="s">
        <v>1802</v>
      </c>
      <c r="C131" s="1162"/>
    </row>
    <row r="132" spans="1:3" x14ac:dyDescent="0.2">
      <c r="A132" s="1263">
        <v>232</v>
      </c>
      <c r="B132" s="1001" t="s">
        <v>1803</v>
      </c>
      <c r="C132" s="1162"/>
    </row>
    <row r="133" spans="1:3" x14ac:dyDescent="0.2">
      <c r="A133" s="1263">
        <v>233</v>
      </c>
      <c r="B133" s="1001" t="s">
        <v>1804</v>
      </c>
      <c r="C133" s="1162"/>
    </row>
    <row r="134" spans="1:3" x14ac:dyDescent="0.2">
      <c r="A134" s="1263">
        <v>330</v>
      </c>
      <c r="B134" s="1001" t="s">
        <v>1805</v>
      </c>
      <c r="C134" s="1162"/>
    </row>
    <row r="135" spans="1:3" x14ac:dyDescent="0.2">
      <c r="A135" s="1263">
        <v>100</v>
      </c>
      <c r="B135" s="1001" t="s">
        <v>1806</v>
      </c>
      <c r="C135" s="1162"/>
    </row>
    <row r="136" spans="1:3" x14ac:dyDescent="0.2">
      <c r="A136" s="1263">
        <v>223</v>
      </c>
      <c r="B136" s="1001" t="s">
        <v>1807</v>
      </c>
      <c r="C136" s="1162"/>
    </row>
    <row r="137" spans="1:3" x14ac:dyDescent="0.2">
      <c r="A137" s="1263">
        <v>101</v>
      </c>
      <c r="B137" s="1001" t="s">
        <v>1808</v>
      </c>
      <c r="C137" s="1162"/>
    </row>
    <row r="138" spans="1:3" x14ac:dyDescent="0.2">
      <c r="A138" s="1263">
        <v>239</v>
      </c>
      <c r="B138" s="1001" t="s">
        <v>1809</v>
      </c>
      <c r="C138" s="1162"/>
    </row>
    <row r="139" spans="1:3" x14ac:dyDescent="0.2">
      <c r="A139" s="1263">
        <v>263</v>
      </c>
      <c r="B139" s="1001" t="s">
        <v>1810</v>
      </c>
      <c r="C139" s="1162"/>
    </row>
    <row r="140" spans="1:3" x14ac:dyDescent="0.2">
      <c r="A140" s="1263">
        <v>286</v>
      </c>
      <c r="B140" s="1001" t="s">
        <v>1811</v>
      </c>
      <c r="C140" s="1162"/>
    </row>
    <row r="141" spans="1:3" x14ac:dyDescent="0.2">
      <c r="A141" s="1263">
        <v>57</v>
      </c>
      <c r="B141" s="1001" t="s">
        <v>1812</v>
      </c>
      <c r="C141" s="1162"/>
    </row>
    <row r="142" spans="1:3" x14ac:dyDescent="0.2">
      <c r="A142" s="1263">
        <v>108</v>
      </c>
      <c r="B142" s="1001" t="s">
        <v>1813</v>
      </c>
      <c r="C142" s="1162"/>
    </row>
    <row r="143" spans="1:3" x14ac:dyDescent="0.2">
      <c r="A143" s="1263">
        <v>24</v>
      </c>
      <c r="B143" s="1001" t="s">
        <v>1814</v>
      </c>
      <c r="C143" s="1162"/>
    </row>
    <row r="144" spans="1:3" x14ac:dyDescent="0.2">
      <c r="A144" s="1263">
        <v>109</v>
      </c>
      <c r="B144" s="1001" t="s">
        <v>1815</v>
      </c>
      <c r="C144" s="1162"/>
    </row>
    <row r="145" spans="1:3" x14ac:dyDescent="0.2">
      <c r="A145" s="1263">
        <v>110</v>
      </c>
      <c r="B145" s="1001" t="s">
        <v>1816</v>
      </c>
      <c r="C145" s="1162"/>
    </row>
    <row r="146" spans="1:3" x14ac:dyDescent="0.2">
      <c r="A146" s="1263">
        <v>111</v>
      </c>
      <c r="B146" s="1001" t="s">
        <v>1817</v>
      </c>
      <c r="C146" s="1162"/>
    </row>
    <row r="147" spans="1:3" x14ac:dyDescent="0.2">
      <c r="A147" s="1263">
        <v>343</v>
      </c>
      <c r="B147" s="1001" t="s">
        <v>1818</v>
      </c>
      <c r="C147" s="1162"/>
    </row>
    <row r="148" spans="1:3" x14ac:dyDescent="0.2">
      <c r="A148" s="1263">
        <v>305</v>
      </c>
      <c r="B148" s="1001" t="s">
        <v>1819</v>
      </c>
      <c r="C148" s="1162"/>
    </row>
    <row r="149" spans="1:3" x14ac:dyDescent="0.2">
      <c r="A149" s="1263">
        <v>224</v>
      </c>
      <c r="B149" s="1001" t="s">
        <v>1820</v>
      </c>
      <c r="C149" s="1162"/>
    </row>
    <row r="150" spans="1:3" x14ac:dyDescent="0.2">
      <c r="A150" s="1263">
        <v>228</v>
      </c>
      <c r="B150" s="1001" t="s">
        <v>1821</v>
      </c>
      <c r="C150" s="1162"/>
    </row>
    <row r="151" spans="1:3" x14ac:dyDescent="0.2">
      <c r="A151" s="1263">
        <v>289</v>
      </c>
      <c r="B151" s="1001" t="s">
        <v>1822</v>
      </c>
      <c r="C151" s="1162"/>
    </row>
    <row r="152" spans="1:3" x14ac:dyDescent="0.2">
      <c r="A152" s="1263">
        <v>112</v>
      </c>
      <c r="B152" s="1001" t="s">
        <v>1823</v>
      </c>
      <c r="C152" s="1162"/>
    </row>
    <row r="153" spans="1:3" x14ac:dyDescent="0.2">
      <c r="A153" s="1263">
        <v>113</v>
      </c>
      <c r="B153" s="1001" t="s">
        <v>1824</v>
      </c>
      <c r="C153" s="1162"/>
    </row>
    <row r="154" spans="1:3" x14ac:dyDescent="0.2">
      <c r="A154" s="1263">
        <v>148</v>
      </c>
      <c r="B154" s="1001" t="s">
        <v>1825</v>
      </c>
      <c r="C154" s="1162"/>
    </row>
    <row r="155" spans="1:3" x14ac:dyDescent="0.2">
      <c r="A155" s="1263">
        <v>258</v>
      </c>
      <c r="B155" s="1001" t="s">
        <v>1826</v>
      </c>
      <c r="C155" s="1162"/>
    </row>
    <row r="156" spans="1:3" x14ac:dyDescent="0.2">
      <c r="A156" s="1263">
        <v>115</v>
      </c>
      <c r="B156" s="1001" t="s">
        <v>1827</v>
      </c>
      <c r="C156" s="1162"/>
    </row>
    <row r="157" spans="1:3" x14ac:dyDescent="0.2">
      <c r="A157" s="1263">
        <v>116</v>
      </c>
      <c r="B157" s="1001" t="s">
        <v>1828</v>
      </c>
      <c r="C157" s="1162"/>
    </row>
    <row r="158" spans="1:3" x14ac:dyDescent="0.2">
      <c r="A158" s="1263">
        <v>331</v>
      </c>
      <c r="B158" s="1001" t="s">
        <v>1829</v>
      </c>
      <c r="C158" s="1170"/>
    </row>
    <row r="159" spans="1:3" x14ac:dyDescent="0.2">
      <c r="A159" s="1263">
        <v>256</v>
      </c>
      <c r="B159" s="1001" t="s">
        <v>1830</v>
      </c>
      <c r="C159" s="1162"/>
    </row>
    <row r="160" spans="1:3" x14ac:dyDescent="0.2">
      <c r="A160" s="1263">
        <v>242</v>
      </c>
      <c r="B160" s="1001" t="s">
        <v>1831</v>
      </c>
      <c r="C160" s="1162"/>
    </row>
    <row r="161" spans="1:3" x14ac:dyDescent="0.2">
      <c r="A161" s="1263">
        <v>314</v>
      </c>
      <c r="B161" s="1001" t="s">
        <v>1832</v>
      </c>
      <c r="C161" s="1162"/>
    </row>
    <row r="162" spans="1:3" x14ac:dyDescent="0.2">
      <c r="A162" s="1263">
        <v>248</v>
      </c>
      <c r="B162" s="1001" t="s">
        <v>1833</v>
      </c>
      <c r="C162" s="1162"/>
    </row>
    <row r="163" spans="1:3" x14ac:dyDescent="0.2">
      <c r="A163" s="1263">
        <v>251</v>
      </c>
      <c r="B163" s="1001" t="s">
        <v>1834</v>
      </c>
      <c r="C163" s="1171"/>
    </row>
    <row r="164" spans="1:3" x14ac:dyDescent="0.2">
      <c r="A164" s="1263">
        <v>261</v>
      </c>
      <c r="B164" s="1001" t="s">
        <v>1835</v>
      </c>
      <c r="C164" s="1162"/>
    </row>
    <row r="165" spans="1:3" x14ac:dyDescent="0.2">
      <c r="A165" s="1263">
        <v>118</v>
      </c>
      <c r="B165" s="1001" t="s">
        <v>1836</v>
      </c>
      <c r="C165" s="1162"/>
    </row>
    <row r="166" spans="1:3" x14ac:dyDescent="0.2">
      <c r="A166" s="1263">
        <v>275</v>
      </c>
      <c r="B166" s="1001" t="s">
        <v>1837</v>
      </c>
      <c r="C166" s="1162"/>
    </row>
    <row r="167" spans="1:3" x14ac:dyDescent="0.2">
      <c r="A167" s="1263">
        <v>276</v>
      </c>
      <c r="B167" s="1001" t="s">
        <v>1838</v>
      </c>
      <c r="C167" s="1162"/>
    </row>
    <row r="168" spans="1:3" x14ac:dyDescent="0.2">
      <c r="A168" s="1263">
        <v>119</v>
      </c>
      <c r="B168" s="1001" t="s">
        <v>1839</v>
      </c>
      <c r="C168" s="1162"/>
    </row>
    <row r="169" spans="1:3" x14ac:dyDescent="0.2">
      <c r="A169" s="1263">
        <v>14</v>
      </c>
      <c r="B169" s="1001" t="s">
        <v>1840</v>
      </c>
      <c r="C169" s="1162"/>
    </row>
    <row r="170" spans="1:3" x14ac:dyDescent="0.2">
      <c r="A170" s="1263">
        <v>15</v>
      </c>
      <c r="B170" s="1001" t="s">
        <v>1841</v>
      </c>
      <c r="C170" s="1162"/>
    </row>
    <row r="171" spans="1:3" x14ac:dyDescent="0.2">
      <c r="A171" s="1263">
        <v>17</v>
      </c>
      <c r="B171" s="1001" t="s">
        <v>1842</v>
      </c>
      <c r="C171" s="1162"/>
    </row>
    <row r="172" spans="1:3" x14ac:dyDescent="0.2">
      <c r="A172" s="1263">
        <v>18</v>
      </c>
      <c r="B172" s="1001" t="s">
        <v>1843</v>
      </c>
      <c r="C172" s="1162"/>
    </row>
    <row r="173" spans="1:3" x14ac:dyDescent="0.2">
      <c r="A173" s="1263">
        <v>245</v>
      </c>
      <c r="B173" s="1001" t="s">
        <v>1844</v>
      </c>
      <c r="C173" s="1162"/>
    </row>
    <row r="174" spans="1:3" x14ac:dyDescent="0.2">
      <c r="A174" s="1263">
        <v>337</v>
      </c>
      <c r="B174" s="1001" t="s">
        <v>1845</v>
      </c>
      <c r="C174" s="1162"/>
    </row>
    <row r="175" spans="1:3" x14ac:dyDescent="0.2">
      <c r="A175" s="1263">
        <v>19</v>
      </c>
      <c r="B175" s="1001" t="s">
        <v>1846</v>
      </c>
      <c r="C175" s="1162"/>
    </row>
    <row r="176" spans="1:3" x14ac:dyDescent="0.2">
      <c r="A176" s="1263">
        <v>196</v>
      </c>
      <c r="B176" s="1001" t="s">
        <v>1847</v>
      </c>
      <c r="C176" s="1162"/>
    </row>
    <row r="177" spans="1:3" x14ac:dyDescent="0.2">
      <c r="A177" s="1263">
        <v>255</v>
      </c>
      <c r="B177" s="1001" t="s">
        <v>1848</v>
      </c>
      <c r="C177" s="1162"/>
    </row>
    <row r="178" spans="1:3" x14ac:dyDescent="0.2">
      <c r="A178" s="1263">
        <v>20</v>
      </c>
      <c r="B178" s="1001" t="s">
        <v>1849</v>
      </c>
      <c r="C178" s="1162"/>
    </row>
    <row r="179" spans="1:3" x14ac:dyDescent="0.2">
      <c r="A179" s="1263">
        <v>21</v>
      </c>
      <c r="B179" s="1001" t="s">
        <v>1850</v>
      </c>
      <c r="C179" s="1162"/>
    </row>
    <row r="180" spans="1:3" x14ac:dyDescent="0.2">
      <c r="A180" s="1263">
        <v>23</v>
      </c>
      <c r="B180" s="1001" t="s">
        <v>1851</v>
      </c>
      <c r="C180" s="1162"/>
    </row>
    <row r="181" spans="1:3" x14ac:dyDescent="0.2">
      <c r="A181" s="1263">
        <v>290</v>
      </c>
      <c r="B181" s="1001" t="s">
        <v>1852</v>
      </c>
      <c r="C181" s="1162"/>
    </row>
    <row r="182" spans="1:3" x14ac:dyDescent="0.2">
      <c r="A182" s="1263">
        <v>33</v>
      </c>
      <c r="B182" s="1001" t="s">
        <v>1853</v>
      </c>
      <c r="C182" s="1162"/>
    </row>
    <row r="183" spans="1:3" x14ac:dyDescent="0.2">
      <c r="A183" s="1263">
        <v>318</v>
      </c>
      <c r="B183" s="1001" t="s">
        <v>1854</v>
      </c>
      <c r="C183" s="1162"/>
    </row>
    <row r="184" spans="1:3" x14ac:dyDescent="0.2">
      <c r="A184" s="1263">
        <v>291</v>
      </c>
      <c r="B184" s="1001" t="s">
        <v>1855</v>
      </c>
      <c r="C184" s="1169"/>
    </row>
    <row r="185" spans="1:3" x14ac:dyDescent="0.2">
      <c r="A185" s="1263">
        <v>292</v>
      </c>
      <c r="B185" s="1001" t="s">
        <v>1856</v>
      </c>
      <c r="C185" s="1162"/>
    </row>
    <row r="186" spans="1:3" x14ac:dyDescent="0.2">
      <c r="A186" s="1263">
        <v>293</v>
      </c>
      <c r="B186" s="1001" t="s">
        <v>1857</v>
      </c>
      <c r="C186" s="1162"/>
    </row>
    <row r="187" spans="1:3" x14ac:dyDescent="0.2">
      <c r="A187" s="1263">
        <v>34</v>
      </c>
      <c r="B187" s="1001" t="s">
        <v>1858</v>
      </c>
      <c r="C187" s="1162"/>
    </row>
    <row r="188" spans="1:3" x14ac:dyDescent="0.2">
      <c r="A188" s="1263">
        <v>310</v>
      </c>
      <c r="B188" s="1001" t="s">
        <v>1859</v>
      </c>
      <c r="C188" s="1162"/>
    </row>
    <row r="189" spans="1:3" x14ac:dyDescent="0.2">
      <c r="A189" s="1263">
        <v>25</v>
      </c>
      <c r="B189" s="1001" t="s">
        <v>1860</v>
      </c>
      <c r="C189" s="1162"/>
    </row>
    <row r="190" spans="1:3" x14ac:dyDescent="0.2">
      <c r="A190" s="1263">
        <v>325</v>
      </c>
      <c r="B190" s="1001" t="s">
        <v>1861</v>
      </c>
      <c r="C190" s="1162"/>
    </row>
    <row r="191" spans="1:3" x14ac:dyDescent="0.2">
      <c r="A191" s="1263">
        <v>28</v>
      </c>
      <c r="B191" s="1001" t="s">
        <v>1862</v>
      </c>
      <c r="C191" s="1162"/>
    </row>
    <row r="192" spans="1:3" x14ac:dyDescent="0.2">
      <c r="A192" s="1263">
        <v>254</v>
      </c>
      <c r="B192" s="1001" t="s">
        <v>1863</v>
      </c>
      <c r="C192" s="1162"/>
    </row>
    <row r="193" spans="1:3" x14ac:dyDescent="0.2">
      <c r="A193" s="1263">
        <v>288</v>
      </c>
      <c r="B193" s="1001" t="s">
        <v>1864</v>
      </c>
      <c r="C193" s="1162"/>
    </row>
    <row r="194" spans="1:3" x14ac:dyDescent="0.2">
      <c r="A194" s="1263">
        <v>315</v>
      </c>
      <c r="B194" s="1001" t="s">
        <v>1865</v>
      </c>
      <c r="C194" s="1162"/>
    </row>
    <row r="195" spans="1:3" x14ac:dyDescent="0.2">
      <c r="A195" s="1263">
        <v>230</v>
      </c>
      <c r="B195" s="1001" t="s">
        <v>1866</v>
      </c>
      <c r="C195" s="1162"/>
    </row>
    <row r="196" spans="1:3" x14ac:dyDescent="0.2">
      <c r="A196" s="1263">
        <v>235</v>
      </c>
      <c r="B196" s="1001" t="s">
        <v>1867</v>
      </c>
      <c r="C196" s="1162"/>
    </row>
    <row r="197" spans="1:3" x14ac:dyDescent="0.2">
      <c r="A197" s="1263">
        <v>259</v>
      </c>
      <c r="B197" s="1001" t="s">
        <v>1868</v>
      </c>
      <c r="C197" s="1162"/>
    </row>
    <row r="198" spans="1:3" x14ac:dyDescent="0.2">
      <c r="A198" s="1263">
        <v>29</v>
      </c>
      <c r="B198" s="1001" t="s">
        <v>1869</v>
      </c>
      <c r="C198" s="1162"/>
    </row>
    <row r="199" spans="1:3" x14ac:dyDescent="0.2">
      <c r="A199" s="1263">
        <v>30</v>
      </c>
      <c r="B199" s="1001" t="s">
        <v>1870</v>
      </c>
      <c r="C199" s="1162"/>
    </row>
    <row r="200" spans="1:3" x14ac:dyDescent="0.2">
      <c r="A200" s="1263">
        <v>31</v>
      </c>
      <c r="B200" s="1001" t="s">
        <v>1871</v>
      </c>
      <c r="C200" s="1162"/>
    </row>
    <row r="201" spans="1:3" x14ac:dyDescent="0.2">
      <c r="A201" s="1263">
        <v>121</v>
      </c>
      <c r="B201" s="1001" t="s">
        <v>1872</v>
      </c>
      <c r="C201" s="1162"/>
    </row>
    <row r="202" spans="1:3" x14ac:dyDescent="0.2">
      <c r="A202" s="1263">
        <v>122</v>
      </c>
      <c r="B202" s="1001" t="s">
        <v>1873</v>
      </c>
      <c r="C202" s="1162"/>
    </row>
    <row r="203" spans="1:3" x14ac:dyDescent="0.2">
      <c r="A203" s="1263">
        <v>58</v>
      </c>
      <c r="B203" s="1001" t="s">
        <v>1874</v>
      </c>
      <c r="C203" s="1162"/>
    </row>
    <row r="204" spans="1:3" x14ac:dyDescent="0.2">
      <c r="A204" s="1263">
        <v>162</v>
      </c>
      <c r="B204" s="1001" t="s">
        <v>1875</v>
      </c>
      <c r="C204" s="1162"/>
    </row>
    <row r="205" spans="1:3" x14ac:dyDescent="0.2">
      <c r="A205" s="1263">
        <v>123</v>
      </c>
      <c r="B205" s="1001" t="s">
        <v>1876</v>
      </c>
      <c r="C205" s="1162"/>
    </row>
    <row r="206" spans="1:3" x14ac:dyDescent="0.2">
      <c r="A206" s="1263">
        <v>345</v>
      </c>
      <c r="B206" s="1001" t="s">
        <v>1877</v>
      </c>
      <c r="C206" s="1162"/>
    </row>
    <row r="207" spans="1:3" x14ac:dyDescent="0.2">
      <c r="A207" s="1263">
        <v>124</v>
      </c>
      <c r="B207" s="1001" t="s">
        <v>1878</v>
      </c>
      <c r="C207" s="1162"/>
    </row>
    <row r="208" spans="1:3" x14ac:dyDescent="0.2">
      <c r="A208" s="1263">
        <v>350</v>
      </c>
      <c r="B208" s="1001" t="s">
        <v>1879</v>
      </c>
      <c r="C208" s="1162"/>
    </row>
    <row r="209" spans="1:3" x14ac:dyDescent="0.2">
      <c r="A209" s="1263">
        <v>351</v>
      </c>
      <c r="B209" s="1001" t="s">
        <v>1880</v>
      </c>
      <c r="C209" s="1162"/>
    </row>
    <row r="210" spans="1:3" x14ac:dyDescent="0.2">
      <c r="A210" s="1263">
        <v>32</v>
      </c>
      <c r="B210" s="1001" t="s">
        <v>1881</v>
      </c>
      <c r="C210" s="1162"/>
    </row>
    <row r="211" spans="1:3" x14ac:dyDescent="0.2">
      <c r="A211" s="1263">
        <v>247</v>
      </c>
      <c r="B211" s="1001" t="s">
        <v>1882</v>
      </c>
      <c r="C211" s="1162"/>
    </row>
    <row r="212" spans="1:3" x14ac:dyDescent="0.2">
      <c r="A212" s="1263">
        <v>26</v>
      </c>
      <c r="B212" s="1001" t="s">
        <v>1883</v>
      </c>
      <c r="C212" s="1162"/>
    </row>
    <row r="213" spans="1:3" x14ac:dyDescent="0.2">
      <c r="A213" s="1263">
        <v>64</v>
      </c>
      <c r="B213" s="1001" t="s">
        <v>1884</v>
      </c>
      <c r="C213" s="1162"/>
    </row>
    <row r="214" spans="1:3" x14ac:dyDescent="0.2">
      <c r="A214" s="1263">
        <v>333</v>
      </c>
      <c r="B214" s="1001" t="s">
        <v>1885</v>
      </c>
      <c r="C214" s="1168"/>
    </row>
    <row r="215" spans="1:3" x14ac:dyDescent="0.2">
      <c r="A215" s="1263">
        <v>344</v>
      </c>
      <c r="B215" s="1001" t="s">
        <v>1886</v>
      </c>
      <c r="C215" s="1162"/>
    </row>
    <row r="216" spans="1:3" x14ac:dyDescent="0.2">
      <c r="A216" s="1263">
        <v>186</v>
      </c>
      <c r="B216" s="1001" t="s">
        <v>1887</v>
      </c>
      <c r="C216" s="1162"/>
    </row>
    <row r="217" spans="1:3" x14ac:dyDescent="0.2">
      <c r="A217" s="1263">
        <v>126</v>
      </c>
      <c r="B217" s="1001" t="s">
        <v>1888</v>
      </c>
      <c r="C217" s="1162"/>
    </row>
    <row r="218" spans="1:3" x14ac:dyDescent="0.2">
      <c r="A218" s="1263">
        <v>66</v>
      </c>
      <c r="B218" s="1001" t="s">
        <v>1889</v>
      </c>
      <c r="C218" s="1162"/>
    </row>
    <row r="219" spans="1:3" x14ac:dyDescent="0.2">
      <c r="A219" s="1263">
        <v>127</v>
      </c>
      <c r="B219" s="1001" t="s">
        <v>1890</v>
      </c>
      <c r="C219" s="1162"/>
    </row>
    <row r="220" spans="1:3" x14ac:dyDescent="0.2">
      <c r="A220" s="1263">
        <v>128</v>
      </c>
      <c r="B220" s="1001" t="s">
        <v>1891</v>
      </c>
      <c r="C220" s="1162"/>
    </row>
    <row r="221" spans="1:3" x14ac:dyDescent="0.2">
      <c r="A221" s="1263">
        <v>221</v>
      </c>
      <c r="B221" s="1001" t="s">
        <v>1892</v>
      </c>
      <c r="C221" s="1162"/>
    </row>
    <row r="222" spans="1:3" x14ac:dyDescent="0.2">
      <c r="A222" s="1263">
        <v>80</v>
      </c>
      <c r="B222" s="1001" t="s">
        <v>1893</v>
      </c>
      <c r="C222" s="1162"/>
    </row>
    <row r="223" spans="1:3" x14ac:dyDescent="0.2">
      <c r="A223" s="1263">
        <v>231</v>
      </c>
      <c r="B223" s="1001" t="s">
        <v>1894</v>
      </c>
      <c r="C223" s="1162"/>
    </row>
    <row r="224" spans="1:3" x14ac:dyDescent="0.2">
      <c r="A224" s="1263">
        <v>216</v>
      </c>
      <c r="B224" s="1001" t="s">
        <v>1895</v>
      </c>
      <c r="C224" s="1162"/>
    </row>
    <row r="225" spans="1:3" x14ac:dyDescent="0.2">
      <c r="A225" s="1263">
        <v>129</v>
      </c>
      <c r="B225" s="1001" t="s">
        <v>1896</v>
      </c>
      <c r="C225" s="1162"/>
    </row>
    <row r="226" spans="1:3" x14ac:dyDescent="0.2">
      <c r="A226" s="1263">
        <v>132</v>
      </c>
      <c r="B226" s="1001" t="s">
        <v>1897</v>
      </c>
      <c r="C226" s="1162"/>
    </row>
    <row r="227" spans="1:3" x14ac:dyDescent="0.2">
      <c r="A227" s="1263">
        <v>133</v>
      </c>
      <c r="B227" s="1001" t="s">
        <v>1898</v>
      </c>
      <c r="C227" s="1162"/>
    </row>
    <row r="228" spans="1:3" x14ac:dyDescent="0.2">
      <c r="A228" s="1263">
        <v>134</v>
      </c>
      <c r="B228" s="1001" t="s">
        <v>1899</v>
      </c>
      <c r="C228" s="1162"/>
    </row>
    <row r="229" spans="1:3" x14ac:dyDescent="0.2">
      <c r="A229" s="1263">
        <v>269</v>
      </c>
      <c r="B229" s="1001" t="s">
        <v>1900</v>
      </c>
      <c r="C229" s="1162"/>
    </row>
    <row r="230" spans="1:3" x14ac:dyDescent="0.2">
      <c r="A230" s="1263">
        <v>252</v>
      </c>
      <c r="B230" s="1001" t="s">
        <v>1901</v>
      </c>
      <c r="C230" s="1162"/>
    </row>
    <row r="231" spans="1:3" x14ac:dyDescent="0.2">
      <c r="A231" s="1263">
        <v>249</v>
      </c>
      <c r="B231" s="1001" t="s">
        <v>1902</v>
      </c>
      <c r="C231" s="1162"/>
    </row>
    <row r="232" spans="1:3" x14ac:dyDescent="0.2">
      <c r="A232" s="1263">
        <v>82</v>
      </c>
      <c r="B232" s="1001" t="s">
        <v>1903</v>
      </c>
      <c r="C232" s="1162"/>
    </row>
    <row r="233" spans="1:3" x14ac:dyDescent="0.2">
      <c r="A233" s="1263">
        <v>136</v>
      </c>
      <c r="B233" s="1001" t="s">
        <v>1904</v>
      </c>
      <c r="C233" s="1162"/>
    </row>
    <row r="234" spans="1:3" x14ac:dyDescent="0.2">
      <c r="A234" s="1263">
        <v>137</v>
      </c>
      <c r="B234" s="1001" t="s">
        <v>1905</v>
      </c>
      <c r="C234" s="1162"/>
    </row>
    <row r="235" spans="1:3" x14ac:dyDescent="0.2">
      <c r="A235" s="1263">
        <v>267</v>
      </c>
      <c r="B235" s="1001" t="s">
        <v>1906</v>
      </c>
      <c r="C235" s="1162"/>
    </row>
    <row r="236" spans="1:3" x14ac:dyDescent="0.2">
      <c r="A236" s="1263">
        <v>280</v>
      </c>
      <c r="B236" s="1001" t="s">
        <v>1907</v>
      </c>
      <c r="C236" s="1162"/>
    </row>
    <row r="237" spans="1:3" x14ac:dyDescent="0.2">
      <c r="A237" s="1263">
        <v>89</v>
      </c>
      <c r="B237" s="1001" t="s">
        <v>1908</v>
      </c>
      <c r="C237" s="1162"/>
    </row>
    <row r="238" spans="1:3" x14ac:dyDescent="0.2">
      <c r="A238" s="1263">
        <v>352</v>
      </c>
      <c r="B238" s="1001" t="s">
        <v>1909</v>
      </c>
      <c r="C238" s="1162"/>
    </row>
    <row r="239" spans="1:3" x14ac:dyDescent="0.2">
      <c r="A239" s="1263">
        <v>141</v>
      </c>
      <c r="B239" s="1001" t="s">
        <v>1910</v>
      </c>
      <c r="C239" s="1162"/>
    </row>
    <row r="240" spans="1:3" x14ac:dyDescent="0.2">
      <c r="A240" s="1263">
        <v>138</v>
      </c>
      <c r="B240" s="1001" t="s">
        <v>1911</v>
      </c>
      <c r="C240" s="1162"/>
    </row>
    <row r="241" spans="1:3" x14ac:dyDescent="0.2">
      <c r="A241" s="1263">
        <v>139</v>
      </c>
      <c r="B241" s="1001" t="s">
        <v>1912</v>
      </c>
      <c r="C241" s="1162"/>
    </row>
    <row r="242" spans="1:3" x14ac:dyDescent="0.2">
      <c r="A242" s="1263">
        <v>140</v>
      </c>
      <c r="B242" s="1001" t="s">
        <v>1913</v>
      </c>
      <c r="C242" s="1162"/>
    </row>
    <row r="243" spans="1:3" x14ac:dyDescent="0.2">
      <c r="A243" s="1263">
        <v>359</v>
      </c>
      <c r="B243" s="1001" t="s">
        <v>1914</v>
      </c>
      <c r="C243" s="1162"/>
    </row>
    <row r="244" spans="1:3" x14ac:dyDescent="0.2">
      <c r="A244" s="1263">
        <v>195</v>
      </c>
      <c r="B244" s="1001" t="s">
        <v>1915</v>
      </c>
      <c r="C244" s="1162"/>
    </row>
    <row r="245" spans="1:3" x14ac:dyDescent="0.2">
      <c r="A245" s="1263">
        <v>170</v>
      </c>
      <c r="B245" s="1001" t="s">
        <v>1916</v>
      </c>
      <c r="C245" s="1162"/>
    </row>
    <row r="246" spans="1:3" x14ac:dyDescent="0.2">
      <c r="A246" s="1263">
        <v>142</v>
      </c>
      <c r="B246" s="1001" t="s">
        <v>1917</v>
      </c>
      <c r="C246" s="1162"/>
    </row>
    <row r="247" spans="1:3" x14ac:dyDescent="0.2">
      <c r="A247" s="1263">
        <v>143</v>
      </c>
      <c r="B247" s="1001" t="s">
        <v>1918</v>
      </c>
      <c r="C247" s="1162"/>
    </row>
    <row r="248" spans="1:3" x14ac:dyDescent="0.2">
      <c r="A248" s="1263">
        <v>144</v>
      </c>
      <c r="B248" s="1001" t="s">
        <v>1919</v>
      </c>
      <c r="C248" s="1162"/>
    </row>
    <row r="249" spans="1:3" x14ac:dyDescent="0.2">
      <c r="A249" s="1263">
        <v>145</v>
      </c>
      <c r="B249" s="1001" t="s">
        <v>1920</v>
      </c>
      <c r="C249" s="1162"/>
    </row>
    <row r="250" spans="1:3" x14ac:dyDescent="0.2">
      <c r="A250" s="1263">
        <v>146</v>
      </c>
      <c r="B250" s="1001" t="s">
        <v>1921</v>
      </c>
      <c r="C250" s="1162"/>
    </row>
    <row r="251" spans="1:3" x14ac:dyDescent="0.2">
      <c r="A251" s="1263">
        <v>22</v>
      </c>
      <c r="B251" s="1001" t="s">
        <v>1922</v>
      </c>
      <c r="C251" s="1162"/>
    </row>
    <row r="252" spans="1:3" x14ac:dyDescent="0.2">
      <c r="A252" s="1263">
        <v>147</v>
      </c>
      <c r="B252" s="1001" t="s">
        <v>1923</v>
      </c>
      <c r="C252" s="1162"/>
    </row>
    <row r="253" spans="1:3" x14ac:dyDescent="0.2">
      <c r="A253" s="1263">
        <v>320</v>
      </c>
      <c r="B253" s="1001" t="s">
        <v>1924</v>
      </c>
      <c r="C253" s="1162"/>
    </row>
    <row r="254" spans="1:3" x14ac:dyDescent="0.2">
      <c r="A254" s="1263">
        <v>93</v>
      </c>
      <c r="B254" s="1001" t="s">
        <v>1925</v>
      </c>
      <c r="C254" s="1162"/>
    </row>
    <row r="255" spans="1:3" x14ac:dyDescent="0.2">
      <c r="A255" s="1263">
        <v>149</v>
      </c>
      <c r="B255" s="1001" t="s">
        <v>1926</v>
      </c>
      <c r="C255" s="1162"/>
    </row>
    <row r="256" spans="1:3" x14ac:dyDescent="0.2">
      <c r="A256" s="1263">
        <v>184</v>
      </c>
      <c r="B256" s="1001" t="s">
        <v>1927</v>
      </c>
      <c r="C256" s="1162"/>
    </row>
    <row r="257" spans="1:3" x14ac:dyDescent="0.2">
      <c r="A257" s="1263">
        <v>265</v>
      </c>
      <c r="B257" s="1001" t="s">
        <v>1928</v>
      </c>
      <c r="C257" s="1162"/>
    </row>
    <row r="258" spans="1:3" x14ac:dyDescent="0.2">
      <c r="A258" s="1263">
        <v>150</v>
      </c>
      <c r="B258" s="1001" t="s">
        <v>1929</v>
      </c>
      <c r="C258" s="1162"/>
    </row>
    <row r="259" spans="1:3" x14ac:dyDescent="0.2">
      <c r="A259" s="1263">
        <v>151</v>
      </c>
      <c r="B259" s="1001" t="s">
        <v>1930</v>
      </c>
      <c r="C259" s="1162"/>
    </row>
    <row r="260" spans="1:3" x14ac:dyDescent="0.2">
      <c r="A260" s="1263">
        <v>152</v>
      </c>
      <c r="B260" s="1001" t="s">
        <v>1931</v>
      </c>
      <c r="C260" s="1162"/>
    </row>
    <row r="261" spans="1:3" x14ac:dyDescent="0.2">
      <c r="A261" s="1263">
        <v>94</v>
      </c>
      <c r="B261" s="1001" t="s">
        <v>1932</v>
      </c>
      <c r="C261" s="1162"/>
    </row>
    <row r="262" spans="1:3" x14ac:dyDescent="0.2">
      <c r="A262" s="1263">
        <v>154</v>
      </c>
      <c r="B262" s="1001" t="s">
        <v>1933</v>
      </c>
      <c r="C262" s="1162"/>
    </row>
    <row r="263" spans="1:3" x14ac:dyDescent="0.2">
      <c r="A263" s="1263">
        <v>297</v>
      </c>
      <c r="B263" s="1001" t="s">
        <v>1934</v>
      </c>
      <c r="C263" s="1166"/>
    </row>
    <row r="264" spans="1:3" x14ac:dyDescent="0.2">
      <c r="A264" s="1263">
        <v>163</v>
      </c>
      <c r="B264" s="1001" t="s">
        <v>1935</v>
      </c>
      <c r="C264" s="1162"/>
    </row>
    <row r="265" spans="1:3" x14ac:dyDescent="0.2">
      <c r="A265" s="1263">
        <v>339</v>
      </c>
      <c r="B265" s="1001" t="s">
        <v>1936</v>
      </c>
      <c r="C265" s="1162"/>
    </row>
    <row r="266" spans="1:3" x14ac:dyDescent="0.2">
      <c r="A266" s="1263">
        <v>102</v>
      </c>
      <c r="B266" s="1001" t="s">
        <v>1937</v>
      </c>
      <c r="C266" s="1162"/>
    </row>
    <row r="267" spans="1:3" x14ac:dyDescent="0.2">
      <c r="A267" s="1263">
        <v>321</v>
      </c>
      <c r="B267" s="1001" t="s">
        <v>1938</v>
      </c>
      <c r="C267" s="1162"/>
    </row>
    <row r="268" spans="1:3" x14ac:dyDescent="0.2">
      <c r="A268" s="1263">
        <v>277</v>
      </c>
      <c r="B268" s="1001" t="s">
        <v>1939</v>
      </c>
      <c r="C268" s="1162"/>
    </row>
    <row r="269" spans="1:3" x14ac:dyDescent="0.2">
      <c r="A269" s="1263">
        <v>302</v>
      </c>
      <c r="B269" s="1001" t="s">
        <v>1940</v>
      </c>
      <c r="C269" s="1162"/>
    </row>
    <row r="270" spans="1:3" x14ac:dyDescent="0.2">
      <c r="A270" s="1263">
        <v>155</v>
      </c>
      <c r="B270" s="1001" t="s">
        <v>1941</v>
      </c>
      <c r="C270" s="1162"/>
    </row>
    <row r="271" spans="1:3" x14ac:dyDescent="0.2">
      <c r="A271" s="1263">
        <v>157</v>
      </c>
      <c r="B271" s="1001" t="s">
        <v>1942</v>
      </c>
      <c r="C271" s="1162"/>
    </row>
    <row r="272" spans="1:3" x14ac:dyDescent="0.2">
      <c r="A272" s="1263">
        <v>103</v>
      </c>
      <c r="B272" s="1001" t="s">
        <v>1943</v>
      </c>
      <c r="C272" s="1162"/>
    </row>
    <row r="273" spans="1:3" x14ac:dyDescent="0.2">
      <c r="A273" s="1263">
        <v>158</v>
      </c>
      <c r="B273" s="1001" t="s">
        <v>1944</v>
      </c>
      <c r="C273" s="1162"/>
    </row>
    <row r="274" spans="1:3" x14ac:dyDescent="0.2">
      <c r="A274" s="1263">
        <v>334</v>
      </c>
      <c r="B274" s="1001" t="s">
        <v>1945</v>
      </c>
      <c r="C274" s="1162"/>
    </row>
    <row r="275" spans="1:3" x14ac:dyDescent="0.2">
      <c r="A275" s="1263">
        <v>342</v>
      </c>
      <c r="B275" s="1001" t="s">
        <v>1946</v>
      </c>
      <c r="C275" s="1162"/>
    </row>
    <row r="276" spans="1:3" x14ac:dyDescent="0.2">
      <c r="A276" s="1263">
        <v>328</v>
      </c>
      <c r="B276" s="1001" t="s">
        <v>1947</v>
      </c>
      <c r="C276" s="1162"/>
    </row>
    <row r="277" spans="1:3" x14ac:dyDescent="0.2">
      <c r="A277" s="1263">
        <v>159</v>
      </c>
      <c r="B277" s="1001" t="s">
        <v>1948</v>
      </c>
      <c r="C277" s="1172"/>
    </row>
    <row r="278" spans="1:3" x14ac:dyDescent="0.2">
      <c r="A278" s="1263">
        <v>160</v>
      </c>
      <c r="B278" s="1001" t="s">
        <v>1949</v>
      </c>
      <c r="C278" s="1162"/>
    </row>
    <row r="279" spans="1:3" x14ac:dyDescent="0.2">
      <c r="A279" s="1263">
        <v>161</v>
      </c>
      <c r="B279" s="1001" t="s">
        <v>1950</v>
      </c>
      <c r="C279" s="1162"/>
    </row>
    <row r="280" spans="1:3" x14ac:dyDescent="0.2">
      <c r="A280" s="1263">
        <v>164</v>
      </c>
      <c r="B280" s="1001" t="s">
        <v>1951</v>
      </c>
      <c r="C280" s="1162"/>
    </row>
    <row r="281" spans="1:3" x14ac:dyDescent="0.2">
      <c r="A281" s="1263">
        <v>165</v>
      </c>
      <c r="B281" s="1001" t="s">
        <v>1952</v>
      </c>
      <c r="C281" s="1162"/>
    </row>
    <row r="282" spans="1:3" x14ac:dyDescent="0.2">
      <c r="A282" s="1263">
        <v>166</v>
      </c>
      <c r="B282" s="1001" t="s">
        <v>1953</v>
      </c>
      <c r="C282" s="1162"/>
    </row>
    <row r="283" spans="1:3" x14ac:dyDescent="0.2">
      <c r="A283" s="1263">
        <v>167</v>
      </c>
      <c r="B283" s="1001" t="s">
        <v>1954</v>
      </c>
      <c r="C283" s="1162"/>
    </row>
    <row r="284" spans="1:3" x14ac:dyDescent="0.2">
      <c r="A284" s="1263">
        <v>168</v>
      </c>
      <c r="B284" s="1001" t="s">
        <v>1955</v>
      </c>
      <c r="C284" s="1162"/>
    </row>
    <row r="285" spans="1:3" x14ac:dyDescent="0.2">
      <c r="A285" s="1263">
        <v>35</v>
      </c>
      <c r="B285" s="1001" t="s">
        <v>1956</v>
      </c>
      <c r="C285" s="1162"/>
    </row>
    <row r="286" spans="1:3" x14ac:dyDescent="0.2">
      <c r="A286" s="1263">
        <v>307</v>
      </c>
      <c r="B286" s="1001" t="s">
        <v>1957</v>
      </c>
      <c r="C286" s="1162"/>
    </row>
    <row r="287" spans="1:3" x14ac:dyDescent="0.2">
      <c r="A287" s="1263">
        <v>104</v>
      </c>
      <c r="B287" s="1001" t="s">
        <v>1958</v>
      </c>
      <c r="C287" s="1162"/>
    </row>
    <row r="288" spans="1:3" x14ac:dyDescent="0.2">
      <c r="A288" s="1264">
        <v>308</v>
      </c>
      <c r="B288" s="1001" t="s">
        <v>1959</v>
      </c>
      <c r="C288" s="1162"/>
    </row>
    <row r="289" spans="1:3" x14ac:dyDescent="0.2">
      <c r="A289" s="1263">
        <v>323</v>
      </c>
      <c r="B289" s="1001" t="s">
        <v>1960</v>
      </c>
      <c r="C289" s="1162"/>
    </row>
    <row r="290" spans="1:3" x14ac:dyDescent="0.2">
      <c r="A290" s="1263">
        <v>106</v>
      </c>
      <c r="B290" s="1001" t="s">
        <v>1961</v>
      </c>
      <c r="C290" s="1162"/>
    </row>
    <row r="291" spans="1:3" x14ac:dyDescent="0.2">
      <c r="A291" s="1263">
        <v>274</v>
      </c>
      <c r="B291" s="1001" t="s">
        <v>1962</v>
      </c>
      <c r="C291" s="1173"/>
    </row>
    <row r="292" spans="1:3" x14ac:dyDescent="0.2">
      <c r="A292" s="1263">
        <v>304</v>
      </c>
      <c r="B292" s="1001" t="s">
        <v>1963</v>
      </c>
      <c r="C292" s="1162"/>
    </row>
    <row r="293" spans="1:3" x14ac:dyDescent="0.2">
      <c r="A293" s="1263">
        <v>237</v>
      </c>
      <c r="B293" s="1001" t="s">
        <v>1964</v>
      </c>
      <c r="C293" s="1162"/>
    </row>
    <row r="294" spans="1:3" x14ac:dyDescent="0.2">
      <c r="A294" s="1263">
        <v>298</v>
      </c>
      <c r="B294" s="1001" t="s">
        <v>1965</v>
      </c>
      <c r="C294" s="1162"/>
    </row>
    <row r="295" spans="1:3" x14ac:dyDescent="0.2">
      <c r="A295" s="1263">
        <v>169</v>
      </c>
      <c r="B295" s="1001" t="s">
        <v>1966</v>
      </c>
      <c r="C295" s="1162"/>
    </row>
    <row r="296" spans="1:3" x14ac:dyDescent="0.2">
      <c r="A296" s="1157">
        <v>316</v>
      </c>
      <c r="B296" s="1001" t="s">
        <v>1967</v>
      </c>
      <c r="C296" s="1162"/>
    </row>
    <row r="297" spans="1:3" x14ac:dyDescent="0.2">
      <c r="A297" s="1263">
        <v>153</v>
      </c>
      <c r="B297" s="1001" t="s">
        <v>1968</v>
      </c>
      <c r="C297" s="1162"/>
    </row>
    <row r="298" spans="1:3" x14ac:dyDescent="0.2">
      <c r="A298" s="1263">
        <v>181</v>
      </c>
      <c r="B298" s="1001" t="s">
        <v>1969</v>
      </c>
      <c r="C298" s="1162"/>
    </row>
    <row r="299" spans="1:3" x14ac:dyDescent="0.2">
      <c r="A299" s="1263">
        <v>107</v>
      </c>
      <c r="B299" s="1001" t="s">
        <v>1970</v>
      </c>
      <c r="C299" s="1162"/>
    </row>
    <row r="300" spans="1:3" x14ac:dyDescent="0.2">
      <c r="A300" s="1263">
        <v>229</v>
      </c>
      <c r="B300" s="1001" t="s">
        <v>1971</v>
      </c>
      <c r="C300" s="1162"/>
    </row>
    <row r="301" spans="1:3" x14ac:dyDescent="0.2">
      <c r="A301" s="1263">
        <v>171</v>
      </c>
      <c r="B301" s="1001" t="s">
        <v>1972</v>
      </c>
      <c r="C301" s="1162"/>
    </row>
    <row r="302" spans="1:3" x14ac:dyDescent="0.2">
      <c r="A302" s="1263">
        <v>238</v>
      </c>
      <c r="B302" s="1001" t="s">
        <v>1973</v>
      </c>
      <c r="C302" s="1162"/>
    </row>
    <row r="303" spans="1:3" x14ac:dyDescent="0.2">
      <c r="A303" s="1263">
        <v>282</v>
      </c>
      <c r="B303" s="1001" t="s">
        <v>1974</v>
      </c>
      <c r="C303" s="1162"/>
    </row>
    <row r="304" spans="1:3" x14ac:dyDescent="0.2">
      <c r="A304" s="1263">
        <v>174</v>
      </c>
      <c r="B304" s="1001" t="s">
        <v>1975</v>
      </c>
      <c r="C304" s="1162"/>
    </row>
    <row r="305" spans="1:3" x14ac:dyDescent="0.2">
      <c r="A305" s="1263">
        <v>173</v>
      </c>
      <c r="B305" s="1001" t="s">
        <v>1976</v>
      </c>
      <c r="C305" s="1162"/>
    </row>
    <row r="306" spans="1:3" x14ac:dyDescent="0.2">
      <c r="A306" s="1263">
        <v>332</v>
      </c>
      <c r="B306" s="1001" t="s">
        <v>1977</v>
      </c>
      <c r="C306" s="1162"/>
    </row>
    <row r="307" spans="1:3" x14ac:dyDescent="0.2">
      <c r="A307" s="1263">
        <v>294</v>
      </c>
      <c r="B307" s="1001" t="s">
        <v>1978</v>
      </c>
      <c r="C307" s="1162"/>
    </row>
    <row r="308" spans="1:3" x14ac:dyDescent="0.2">
      <c r="A308" s="1263">
        <v>326</v>
      </c>
      <c r="B308" s="1001" t="s">
        <v>1979</v>
      </c>
      <c r="C308" s="1162"/>
    </row>
    <row r="309" spans="1:3" x14ac:dyDescent="0.2">
      <c r="A309" s="1263">
        <v>243</v>
      </c>
      <c r="B309" s="1001" t="s">
        <v>1980</v>
      </c>
      <c r="C309" s="1261" t="s">
        <v>582</v>
      </c>
    </row>
    <row r="310" spans="1:3" x14ac:dyDescent="0.2">
      <c r="A310" s="1263">
        <v>175</v>
      </c>
      <c r="B310" s="1001" t="s">
        <v>1981</v>
      </c>
      <c r="C310" s="1162"/>
    </row>
    <row r="311" spans="1:3" x14ac:dyDescent="0.2">
      <c r="A311" s="1263">
        <v>296</v>
      </c>
      <c r="B311" s="1001" t="s">
        <v>1982</v>
      </c>
      <c r="C311" s="1162"/>
    </row>
    <row r="312" spans="1:3" x14ac:dyDescent="0.2">
      <c r="A312" s="1263">
        <v>176</v>
      </c>
      <c r="B312" s="1001" t="s">
        <v>1983</v>
      </c>
      <c r="C312" s="1162"/>
    </row>
    <row r="313" spans="1:3" x14ac:dyDescent="0.2">
      <c r="A313" s="1263">
        <v>177</v>
      </c>
      <c r="B313" s="1001" t="s">
        <v>1984</v>
      </c>
      <c r="C313" s="1162"/>
    </row>
    <row r="314" spans="1:3" x14ac:dyDescent="0.2">
      <c r="A314" s="1263">
        <v>234</v>
      </c>
      <c r="B314" s="1001" t="s">
        <v>1985</v>
      </c>
      <c r="C314" s="1162"/>
    </row>
    <row r="315" spans="1:3" x14ac:dyDescent="0.2">
      <c r="A315" s="1263">
        <v>266</v>
      </c>
      <c r="B315" s="1001" t="s">
        <v>1986</v>
      </c>
      <c r="C315" s="1162"/>
    </row>
    <row r="316" spans="1:3" x14ac:dyDescent="0.2">
      <c r="A316" s="1263">
        <v>317</v>
      </c>
      <c r="B316" s="1001" t="s">
        <v>1987</v>
      </c>
      <c r="C316" s="1162"/>
    </row>
    <row r="317" spans="1:3" x14ac:dyDescent="0.2">
      <c r="A317" s="1263">
        <v>135</v>
      </c>
      <c r="B317" s="1001" t="s">
        <v>1988</v>
      </c>
      <c r="C317" s="1162"/>
    </row>
    <row r="318" spans="1:3" x14ac:dyDescent="0.2">
      <c r="A318" s="1263">
        <v>178</v>
      </c>
      <c r="B318" s="1001" t="s">
        <v>1989</v>
      </c>
      <c r="C318" s="1162"/>
    </row>
    <row r="319" spans="1:3" x14ac:dyDescent="0.2">
      <c r="A319" s="1263">
        <v>114</v>
      </c>
      <c r="B319" s="1001" t="s">
        <v>1990</v>
      </c>
      <c r="C319" s="1162"/>
    </row>
    <row r="320" spans="1:3" x14ac:dyDescent="0.2">
      <c r="A320" s="1263">
        <v>319</v>
      </c>
      <c r="B320" s="1001" t="s">
        <v>1991</v>
      </c>
      <c r="C320" s="1162"/>
    </row>
    <row r="321" spans="1:3" x14ac:dyDescent="0.2">
      <c r="A321" s="1263">
        <v>37</v>
      </c>
      <c r="B321" s="1001" t="s">
        <v>1992</v>
      </c>
      <c r="C321" s="1162"/>
    </row>
    <row r="322" spans="1:3" x14ac:dyDescent="0.2">
      <c r="A322" s="1263">
        <v>105</v>
      </c>
      <c r="B322" s="1001" t="s">
        <v>1993</v>
      </c>
      <c r="C322" s="1162"/>
    </row>
    <row r="323" spans="1:3" x14ac:dyDescent="0.2">
      <c r="A323" s="1263">
        <v>264</v>
      </c>
      <c r="B323" s="1001" t="s">
        <v>1994</v>
      </c>
      <c r="C323" s="1162"/>
    </row>
    <row r="324" spans="1:3" x14ac:dyDescent="0.2">
      <c r="A324" s="1157">
        <v>281</v>
      </c>
      <c r="B324" s="1001" t="s">
        <v>1995</v>
      </c>
      <c r="C324" s="1162"/>
    </row>
    <row r="325" spans="1:3" x14ac:dyDescent="0.2">
      <c r="A325" s="1263">
        <v>180</v>
      </c>
      <c r="B325" s="1001" t="s">
        <v>1996</v>
      </c>
      <c r="C325" s="1162"/>
    </row>
    <row r="326" spans="1:3" x14ac:dyDescent="0.2">
      <c r="A326" s="1263">
        <v>311</v>
      </c>
      <c r="B326" s="1001" t="s">
        <v>1997</v>
      </c>
      <c r="C326" s="1162"/>
    </row>
    <row r="327" spans="1:3" x14ac:dyDescent="0.2">
      <c r="A327" s="1263">
        <v>241</v>
      </c>
      <c r="B327" s="1001" t="s">
        <v>1998</v>
      </c>
      <c r="C327" s="1162"/>
    </row>
    <row r="328" spans="1:3" x14ac:dyDescent="0.2">
      <c r="A328" s="1263">
        <v>182</v>
      </c>
      <c r="B328" s="1001" t="s">
        <v>1999</v>
      </c>
      <c r="C328" s="1162"/>
    </row>
    <row r="329" spans="1:3" x14ac:dyDescent="0.2">
      <c r="A329" s="1263">
        <v>354</v>
      </c>
      <c r="B329" s="1001" t="s">
        <v>2000</v>
      </c>
      <c r="C329" s="1162"/>
    </row>
    <row r="330" spans="1:3" x14ac:dyDescent="0.2">
      <c r="A330" s="1263">
        <v>183</v>
      </c>
      <c r="B330" s="1001" t="s">
        <v>2001</v>
      </c>
      <c r="C330" s="1162"/>
    </row>
    <row r="331" spans="1:3" x14ac:dyDescent="0.2">
      <c r="A331" s="1264">
        <v>327</v>
      </c>
      <c r="B331" s="1001" t="s">
        <v>2002</v>
      </c>
      <c r="C331" s="1162"/>
    </row>
    <row r="332" spans="1:3" x14ac:dyDescent="0.2">
      <c r="A332" s="1263">
        <v>201</v>
      </c>
      <c r="B332" s="1001" t="s">
        <v>2003</v>
      </c>
      <c r="C332" s="1162"/>
    </row>
    <row r="333" spans="1:3" x14ac:dyDescent="0.2">
      <c r="A333" s="1263">
        <v>205</v>
      </c>
      <c r="B333" s="1001" t="s">
        <v>2004</v>
      </c>
      <c r="C333" s="1162"/>
    </row>
    <row r="334" spans="1:3" x14ac:dyDescent="0.2">
      <c r="A334" s="1263">
        <v>185</v>
      </c>
      <c r="B334" s="1001" t="s">
        <v>2005</v>
      </c>
      <c r="C334" s="1162"/>
    </row>
    <row r="335" spans="1:3" x14ac:dyDescent="0.2">
      <c r="A335" s="1263">
        <v>187</v>
      </c>
      <c r="B335" s="1001" t="s">
        <v>2006</v>
      </c>
      <c r="C335" s="1162"/>
    </row>
    <row r="336" spans="1:3" x14ac:dyDescent="0.2">
      <c r="A336" s="1263">
        <v>40</v>
      </c>
      <c r="B336" s="1001" t="s">
        <v>2007</v>
      </c>
      <c r="C336" s="1162"/>
    </row>
    <row r="337" spans="1:3" x14ac:dyDescent="0.2">
      <c r="A337" s="1263">
        <v>268</v>
      </c>
      <c r="B337" s="1001" t="s">
        <v>2008</v>
      </c>
      <c r="C337" s="1162"/>
    </row>
    <row r="338" spans="1:3" x14ac:dyDescent="0.2">
      <c r="A338" s="1263">
        <v>188</v>
      </c>
      <c r="B338" s="1001" t="s">
        <v>2009</v>
      </c>
      <c r="C338" s="1162"/>
    </row>
    <row r="339" spans="1:3" x14ac:dyDescent="0.2">
      <c r="A339" s="1263">
        <v>189</v>
      </c>
      <c r="B339" s="1001" t="s">
        <v>2010</v>
      </c>
      <c r="C339" s="1162"/>
    </row>
    <row r="340" spans="1:3" x14ac:dyDescent="0.2">
      <c r="A340" s="1263">
        <v>190</v>
      </c>
      <c r="B340" s="1001" t="s">
        <v>2011</v>
      </c>
      <c r="C340" s="1162"/>
    </row>
    <row r="341" spans="1:3" x14ac:dyDescent="0.2">
      <c r="A341" s="1263">
        <v>191</v>
      </c>
      <c r="B341" s="1001" t="s">
        <v>2012</v>
      </c>
      <c r="C341" s="1162"/>
    </row>
    <row r="342" spans="1:3" x14ac:dyDescent="0.2">
      <c r="A342" s="1263">
        <v>192</v>
      </c>
      <c r="B342" s="1001" t="s">
        <v>2013</v>
      </c>
      <c r="C342" s="1162"/>
    </row>
    <row r="343" spans="1:3" x14ac:dyDescent="0.2">
      <c r="A343" s="1263">
        <v>193</v>
      </c>
      <c r="B343" s="1001" t="s">
        <v>2014</v>
      </c>
      <c r="C343" s="1162"/>
    </row>
    <row r="344" spans="1:3" x14ac:dyDescent="0.2">
      <c r="A344" s="1263">
        <v>194</v>
      </c>
      <c r="B344" s="1001" t="s">
        <v>2015</v>
      </c>
      <c r="C344" s="1162"/>
    </row>
    <row r="345" spans="1:3" x14ac:dyDescent="0.2">
      <c r="A345" s="1263">
        <v>197</v>
      </c>
      <c r="B345" s="1001" t="s">
        <v>2016</v>
      </c>
      <c r="C345" s="1162"/>
    </row>
    <row r="346" spans="1:3" x14ac:dyDescent="0.2">
      <c r="A346" s="1263">
        <v>226</v>
      </c>
      <c r="B346" s="1001" t="s">
        <v>2017</v>
      </c>
      <c r="C346" s="1162"/>
    </row>
    <row r="347" spans="1:3" x14ac:dyDescent="0.2">
      <c r="A347" s="1263">
        <v>198</v>
      </c>
      <c r="B347" s="1001" t="s">
        <v>2018</v>
      </c>
      <c r="C347" s="1162"/>
    </row>
    <row r="348" spans="1:3" x14ac:dyDescent="0.2">
      <c r="A348" s="1263">
        <v>199</v>
      </c>
      <c r="B348" s="1001" t="s">
        <v>2019</v>
      </c>
      <c r="C348" s="1162"/>
    </row>
    <row r="349" spans="1:3" x14ac:dyDescent="0.2">
      <c r="A349" s="1263">
        <v>358</v>
      </c>
      <c r="B349" s="1001" t="s">
        <v>2020</v>
      </c>
      <c r="C349" s="1162"/>
    </row>
    <row r="350" spans="1:3" x14ac:dyDescent="0.2">
      <c r="A350" s="1263">
        <v>200</v>
      </c>
      <c r="B350" s="1001" t="s">
        <v>2021</v>
      </c>
      <c r="C350" s="1162"/>
    </row>
    <row r="351" spans="1:3" x14ac:dyDescent="0.2">
      <c r="A351" s="1263">
        <v>117</v>
      </c>
      <c r="B351" s="1001" t="s">
        <v>2022</v>
      </c>
      <c r="C351" s="1162"/>
    </row>
    <row r="352" spans="1:3" x14ac:dyDescent="0.2">
      <c r="A352" s="1263">
        <v>240</v>
      </c>
      <c r="B352" s="1001" t="s">
        <v>2023</v>
      </c>
      <c r="C352" s="1162"/>
    </row>
    <row r="353" spans="1:3" x14ac:dyDescent="0.2">
      <c r="A353" s="1263">
        <v>202</v>
      </c>
      <c r="B353" s="1001" t="s">
        <v>2024</v>
      </c>
      <c r="C353" s="1162"/>
    </row>
    <row r="354" spans="1:3" x14ac:dyDescent="0.2">
      <c r="A354" s="1263">
        <v>120</v>
      </c>
      <c r="B354" s="1001" t="s">
        <v>2025</v>
      </c>
      <c r="C354" s="1162"/>
    </row>
    <row r="355" spans="1:3" x14ac:dyDescent="0.2">
      <c r="A355" s="1263">
        <v>203</v>
      </c>
      <c r="B355" s="1001" t="s">
        <v>2026</v>
      </c>
      <c r="C355" s="1162"/>
    </row>
    <row r="356" spans="1:3" x14ac:dyDescent="0.2">
      <c r="A356" s="1263">
        <v>27</v>
      </c>
      <c r="B356" s="1001" t="s">
        <v>2027</v>
      </c>
      <c r="C356" s="1162"/>
    </row>
    <row r="357" spans="1:3" x14ac:dyDescent="0.2">
      <c r="A357" s="1263">
        <v>204</v>
      </c>
      <c r="B357" s="1001" t="s">
        <v>2028</v>
      </c>
      <c r="C357" s="1162"/>
    </row>
    <row r="358" spans="1:3" x14ac:dyDescent="0.2">
      <c r="A358" s="1263">
        <v>220</v>
      </c>
      <c r="B358" s="1001" t="s">
        <v>2029</v>
      </c>
      <c r="C358" s="1162"/>
    </row>
    <row r="359" spans="1:3" x14ac:dyDescent="0.2">
      <c r="A359" s="1263">
        <v>219</v>
      </c>
      <c r="B359" s="1001" t="s">
        <v>2030</v>
      </c>
      <c r="C359" s="1162"/>
    </row>
    <row r="360" spans="1:3" x14ac:dyDescent="0.2">
      <c r="A360" s="1263">
        <v>206</v>
      </c>
      <c r="B360" s="1001" t="s">
        <v>2031</v>
      </c>
      <c r="C360" s="1162"/>
    </row>
    <row r="361" spans="1:3" x14ac:dyDescent="0.2">
      <c r="A361" s="1263">
        <v>207</v>
      </c>
      <c r="B361" s="1001" t="s">
        <v>2032</v>
      </c>
      <c r="C361" s="1162"/>
    </row>
    <row r="362" spans="1:3" x14ac:dyDescent="0.2">
      <c r="A362" s="1263">
        <v>208</v>
      </c>
      <c r="B362" s="1001" t="s">
        <v>2033</v>
      </c>
      <c r="C362" s="1162"/>
    </row>
    <row r="363" spans="1:3" x14ac:dyDescent="0.2">
      <c r="A363" s="1263">
        <v>209</v>
      </c>
      <c r="B363" s="1001" t="s">
        <v>2034</v>
      </c>
      <c r="C363" s="1162"/>
    </row>
    <row r="364" spans="1:3" x14ac:dyDescent="0.2">
      <c r="A364" s="1263">
        <v>210</v>
      </c>
      <c r="B364" s="1001" t="s">
        <v>2035</v>
      </c>
      <c r="C364" s="1165"/>
    </row>
    <row r="365" spans="1:3" x14ac:dyDescent="0.2">
      <c r="A365" s="1263">
        <v>211</v>
      </c>
      <c r="B365" s="1001" t="s">
        <v>2036</v>
      </c>
      <c r="C365" s="1165"/>
    </row>
    <row r="366" spans="1:3" x14ac:dyDescent="0.2">
      <c r="A366" s="1263">
        <v>125</v>
      </c>
      <c r="B366" s="1001" t="s">
        <v>2037</v>
      </c>
      <c r="C366" s="1166"/>
    </row>
    <row r="367" spans="1:3" x14ac:dyDescent="0.2">
      <c r="A367" s="1263">
        <v>335</v>
      </c>
      <c r="B367" s="1001" t="s">
        <v>2038</v>
      </c>
      <c r="C367" s="1166"/>
    </row>
    <row r="368" spans="1:3" x14ac:dyDescent="0.2">
      <c r="A368" s="1263">
        <v>278</v>
      </c>
      <c r="B368" s="1001" t="s">
        <v>2039</v>
      </c>
      <c r="C368" s="1166"/>
    </row>
    <row r="369" spans="1:3" x14ac:dyDescent="0.2">
      <c r="A369" s="1264">
        <v>363</v>
      </c>
      <c r="B369" s="1001" t="s">
        <v>2040</v>
      </c>
      <c r="C369" s="1165"/>
    </row>
    <row r="370" spans="1:3" x14ac:dyDescent="0.2">
      <c r="A370" s="1263">
        <v>130</v>
      </c>
      <c r="B370" s="1001" t="s">
        <v>2041</v>
      </c>
      <c r="C370" s="1162"/>
    </row>
    <row r="371" spans="1:3" x14ac:dyDescent="0.2">
      <c r="A371" s="1263">
        <v>212</v>
      </c>
      <c r="B371" s="1001" t="s">
        <v>2042</v>
      </c>
      <c r="C371" s="1166"/>
    </row>
    <row r="372" spans="1:3" x14ac:dyDescent="0.2">
      <c r="A372" s="1263">
        <v>336</v>
      </c>
      <c r="B372" s="1001" t="s">
        <v>2043</v>
      </c>
      <c r="C372" s="1166"/>
    </row>
    <row r="373" spans="1:3" x14ac:dyDescent="0.2">
      <c r="A373" s="1263">
        <v>213</v>
      </c>
      <c r="B373" s="1001" t="s">
        <v>2044</v>
      </c>
      <c r="C373" s="1166"/>
    </row>
    <row r="374" spans="1:3" x14ac:dyDescent="0.2">
      <c r="A374" s="1263">
        <v>214</v>
      </c>
      <c r="B374" s="1001" t="s">
        <v>2045</v>
      </c>
      <c r="C374" s="1162"/>
    </row>
    <row r="375" spans="1:3" x14ac:dyDescent="0.2">
      <c r="A375" s="1263">
        <v>215</v>
      </c>
      <c r="B375" s="1001" t="s">
        <v>2046</v>
      </c>
      <c r="C375" s="1162"/>
    </row>
    <row r="376" spans="1:3" x14ac:dyDescent="0.2">
      <c r="A376" s="1263">
        <v>364</v>
      </c>
      <c r="B376" s="1001" t="s">
        <v>2047</v>
      </c>
      <c r="C376" s="1162"/>
    </row>
    <row r="377" spans="1:3" x14ac:dyDescent="0.2">
      <c r="A377" s="1263">
        <v>365</v>
      </c>
      <c r="B377" s="1001" t="s">
        <v>2048</v>
      </c>
      <c r="C377" s="1162"/>
    </row>
    <row r="378" spans="1:3" x14ac:dyDescent="0.2">
      <c r="A378" s="1263">
        <v>366</v>
      </c>
      <c r="B378" s="1001" t="s">
        <v>2049</v>
      </c>
      <c r="C378" s="1162"/>
    </row>
    <row r="379" spans="1:3" x14ac:dyDescent="0.2">
      <c r="A379" s="1263">
        <v>367</v>
      </c>
      <c r="B379" s="1001" t="s">
        <v>2050</v>
      </c>
      <c r="C379" s="1162"/>
    </row>
    <row r="380" spans="1:3" x14ac:dyDescent="0.2">
      <c r="A380" s="1263">
        <v>368</v>
      </c>
      <c r="B380" s="1001" t="s">
        <v>2051</v>
      </c>
      <c r="C380" s="1158"/>
    </row>
    <row r="381" spans="1:3" x14ac:dyDescent="0.2">
      <c r="A381" s="392">
        <v>369</v>
      </c>
      <c r="B381" s="393"/>
      <c r="C381" s="1162"/>
    </row>
    <row r="382" spans="1:3" x14ac:dyDescent="0.2">
      <c r="A382" s="392">
        <v>370</v>
      </c>
      <c r="B382" s="393"/>
      <c r="C382" s="1162"/>
    </row>
    <row r="383" spans="1:3" x14ac:dyDescent="0.2">
      <c r="A383" s="392">
        <f t="shared" ref="A383:A392" si="0">+A382+1</f>
        <v>371</v>
      </c>
      <c r="B383" s="393"/>
      <c r="C383" s="1162"/>
    </row>
    <row r="384" spans="1:3" x14ac:dyDescent="0.2">
      <c r="A384" s="392">
        <f t="shared" si="0"/>
        <v>372</v>
      </c>
      <c r="B384" s="393"/>
      <c r="C384" s="1162"/>
    </row>
    <row r="385" spans="1:3" x14ac:dyDescent="0.2">
      <c r="A385" s="392">
        <f t="shared" si="0"/>
        <v>373</v>
      </c>
      <c r="B385" s="393"/>
      <c r="C385" s="1162"/>
    </row>
    <row r="386" spans="1:3" x14ac:dyDescent="0.2">
      <c r="A386" s="392">
        <f t="shared" si="0"/>
        <v>374</v>
      </c>
      <c r="B386" s="393"/>
      <c r="C386" s="1162"/>
    </row>
    <row r="387" spans="1:3" x14ac:dyDescent="0.2">
      <c r="A387" s="392">
        <f t="shared" si="0"/>
        <v>375</v>
      </c>
      <c r="B387" s="393"/>
      <c r="C387" s="1162"/>
    </row>
    <row r="388" spans="1:3" x14ac:dyDescent="0.2">
      <c r="A388" s="392">
        <f t="shared" si="0"/>
        <v>376</v>
      </c>
      <c r="B388" s="393"/>
      <c r="C388" s="1162"/>
    </row>
    <row r="389" spans="1:3" x14ac:dyDescent="0.2">
      <c r="A389" s="392">
        <f t="shared" si="0"/>
        <v>377</v>
      </c>
      <c r="B389" s="393"/>
      <c r="C389" s="1162"/>
    </row>
    <row r="390" spans="1:3" x14ac:dyDescent="0.2">
      <c r="A390" s="392">
        <f t="shared" si="0"/>
        <v>378</v>
      </c>
      <c r="B390" s="393"/>
      <c r="C390" s="1162"/>
    </row>
    <row r="391" spans="1:3" x14ac:dyDescent="0.2">
      <c r="A391" s="392">
        <f t="shared" si="0"/>
        <v>379</v>
      </c>
      <c r="B391" s="393"/>
      <c r="C391" s="1162"/>
    </row>
    <row r="392" spans="1:3" x14ac:dyDescent="0.2">
      <c r="A392" s="392">
        <f t="shared" si="0"/>
        <v>380</v>
      </c>
      <c r="B392" s="393"/>
      <c r="C392" s="1162"/>
    </row>
    <row r="417" spans="1:11" x14ac:dyDescent="0.2">
      <c r="A417" s="101"/>
      <c r="D417" s="411"/>
      <c r="E417" s="206" t="s">
        <v>659</v>
      </c>
      <c r="J417" s="416"/>
    </row>
    <row r="418" spans="1:11" x14ac:dyDescent="0.2">
      <c r="A418" s="1353" t="s">
        <v>449</v>
      </c>
      <c r="B418" s="1353"/>
      <c r="C418" s="1353"/>
      <c r="D418" s="98"/>
      <c r="E418" s="517"/>
      <c r="J418" s="416"/>
      <c r="K418" s="48"/>
    </row>
    <row r="419" spans="1:11" x14ac:dyDescent="0.2">
      <c r="A419" s="1062" t="s">
        <v>4</v>
      </c>
      <c r="B419" s="1160" t="s">
        <v>281</v>
      </c>
      <c r="C419" s="1161" t="s">
        <v>26</v>
      </c>
      <c r="D419" s="98"/>
      <c r="E419" s="517"/>
      <c r="J419" s="416"/>
      <c r="K419" s="48"/>
    </row>
    <row r="420" spans="1:11" x14ac:dyDescent="0.2">
      <c r="A420" s="101"/>
      <c r="C420" s="1159" t="s">
        <v>437</v>
      </c>
      <c r="D420" s="411"/>
      <c r="H420" s="408" t="s">
        <v>440</v>
      </c>
      <c r="J420" s="416"/>
    </row>
    <row r="421" spans="1:11" ht="51" x14ac:dyDescent="0.2">
      <c r="A421" s="831">
        <v>1</v>
      </c>
      <c r="B421" s="832" t="s">
        <v>424</v>
      </c>
      <c r="C421" s="1175" t="s">
        <v>523</v>
      </c>
      <c r="D421" s="412">
        <v>1</v>
      </c>
      <c r="E421" s="518"/>
      <c r="F421" s="397">
        <v>1</v>
      </c>
      <c r="G421" s="398" t="s">
        <v>46</v>
      </c>
      <c r="H421" s="399" t="s">
        <v>398</v>
      </c>
      <c r="I421" s="418" t="s">
        <v>457</v>
      </c>
      <c r="J421" s="412">
        <v>1</v>
      </c>
      <c r="K421" s="53"/>
    </row>
    <row r="422" spans="1:11" x14ac:dyDescent="0.2">
      <c r="A422" s="831">
        <v>2</v>
      </c>
      <c r="B422" s="832" t="s">
        <v>458</v>
      </c>
      <c r="C422" s="1175" t="s">
        <v>474</v>
      </c>
      <c r="D422" s="412">
        <f t="shared" ref="D422:D453" si="1">+D421+1</f>
        <v>2</v>
      </c>
      <c r="E422" s="518"/>
      <c r="F422" s="397">
        <v>2</v>
      </c>
      <c r="G422" s="398" t="s">
        <v>47</v>
      </c>
      <c r="H422" s="399" t="s">
        <v>398</v>
      </c>
      <c r="I422" s="418" t="s">
        <v>457</v>
      </c>
      <c r="J422" s="412">
        <f t="shared" ref="J422:J472" si="2">+J421+1</f>
        <v>2</v>
      </c>
      <c r="K422" s="53" t="s">
        <v>540</v>
      </c>
    </row>
    <row r="423" spans="1:11" ht="25.5" x14ac:dyDescent="0.2">
      <c r="A423" s="831">
        <v>3</v>
      </c>
      <c r="B423" s="832" t="s">
        <v>459</v>
      </c>
      <c r="C423" s="1175" t="s">
        <v>524</v>
      </c>
      <c r="D423" s="412">
        <f t="shared" si="1"/>
        <v>3</v>
      </c>
      <c r="E423" s="518"/>
      <c r="F423" s="397">
        <v>3</v>
      </c>
      <c r="G423" s="398"/>
      <c r="H423" s="399" t="s">
        <v>429</v>
      </c>
      <c r="I423" s="401"/>
      <c r="J423" s="412">
        <f t="shared" si="2"/>
        <v>3</v>
      </c>
    </row>
    <row r="424" spans="1:11" ht="25.5" x14ac:dyDescent="0.2">
      <c r="A424" s="831">
        <v>4</v>
      </c>
      <c r="B424" s="832" t="s">
        <v>427</v>
      </c>
      <c r="C424" s="1175" t="s">
        <v>475</v>
      </c>
      <c r="D424" s="412">
        <f t="shared" si="1"/>
        <v>4</v>
      </c>
      <c r="E424" s="518"/>
      <c r="F424" s="406">
        <v>4</v>
      </c>
      <c r="G424" s="407" t="s">
        <v>49</v>
      </c>
      <c r="H424" s="399" t="s">
        <v>398</v>
      </c>
      <c r="I424" s="400" t="s">
        <v>546</v>
      </c>
      <c r="J424" s="412">
        <f t="shared" si="2"/>
        <v>4</v>
      </c>
      <c r="K424" s="53" t="s">
        <v>511</v>
      </c>
    </row>
    <row r="425" spans="1:11" x14ac:dyDescent="0.2">
      <c r="A425" s="831">
        <v>5</v>
      </c>
      <c r="B425" s="832" t="s">
        <v>426</v>
      </c>
      <c r="C425" s="1175" t="s">
        <v>521</v>
      </c>
      <c r="D425" s="412">
        <f t="shared" si="1"/>
        <v>5</v>
      </c>
      <c r="E425" s="518"/>
      <c r="F425" s="397">
        <v>5</v>
      </c>
      <c r="G425" s="398"/>
      <c r="H425" s="399" t="s">
        <v>429</v>
      </c>
      <c r="I425" s="400"/>
      <c r="J425" s="412">
        <f t="shared" si="2"/>
        <v>5</v>
      </c>
    </row>
    <row r="426" spans="1:11" x14ac:dyDescent="0.2">
      <c r="A426" s="831">
        <v>6</v>
      </c>
      <c r="B426" s="832" t="s">
        <v>426</v>
      </c>
      <c r="C426" s="1175" t="s">
        <v>522</v>
      </c>
      <c r="D426" s="412">
        <f t="shared" si="1"/>
        <v>6</v>
      </c>
      <c r="E426" s="518"/>
      <c r="F426" s="397">
        <v>6</v>
      </c>
      <c r="G426" s="398" t="s">
        <v>51</v>
      </c>
      <c r="H426" s="399" t="s">
        <v>398</v>
      </c>
      <c r="I426" s="400" t="s">
        <v>503</v>
      </c>
      <c r="J426" s="412">
        <f t="shared" si="2"/>
        <v>6</v>
      </c>
      <c r="K426" s="53" t="s">
        <v>511</v>
      </c>
    </row>
    <row r="427" spans="1:11" ht="25.5" x14ac:dyDescent="0.2">
      <c r="A427" s="831">
        <v>7</v>
      </c>
      <c r="B427" s="832" t="s">
        <v>462</v>
      </c>
      <c r="C427" s="1175" t="s">
        <v>525</v>
      </c>
      <c r="D427" s="412">
        <f t="shared" si="1"/>
        <v>7</v>
      </c>
      <c r="E427" s="518"/>
      <c r="F427" s="397">
        <v>7</v>
      </c>
      <c r="G427" s="398" t="s">
        <v>52</v>
      </c>
      <c r="H427" s="399" t="s">
        <v>398</v>
      </c>
      <c r="I427" s="400" t="s">
        <v>531</v>
      </c>
      <c r="J427" s="412">
        <f t="shared" si="2"/>
        <v>7</v>
      </c>
      <c r="K427" s="53" t="s">
        <v>511</v>
      </c>
    </row>
    <row r="428" spans="1:11" ht="38.25" x14ac:dyDescent="0.2">
      <c r="A428" s="831">
        <v>8</v>
      </c>
      <c r="B428" s="832" t="s">
        <v>463</v>
      </c>
      <c r="C428" s="1175" t="s">
        <v>527</v>
      </c>
      <c r="D428" s="412">
        <f t="shared" si="1"/>
        <v>8</v>
      </c>
      <c r="E428" s="518"/>
      <c r="F428" s="397">
        <v>8</v>
      </c>
      <c r="G428" s="398" t="s">
        <v>53</v>
      </c>
      <c r="H428" s="399" t="s">
        <v>398</v>
      </c>
      <c r="I428" s="400" t="s">
        <v>500</v>
      </c>
      <c r="J428" s="412">
        <f t="shared" si="2"/>
        <v>8</v>
      </c>
      <c r="K428" s="53" t="s">
        <v>511</v>
      </c>
    </row>
    <row r="429" spans="1:11" ht="38.25" x14ac:dyDescent="0.2">
      <c r="A429" s="831">
        <v>9</v>
      </c>
      <c r="B429" s="832" t="s">
        <v>482</v>
      </c>
      <c r="C429" s="1175" t="s">
        <v>526</v>
      </c>
      <c r="D429" s="412">
        <f t="shared" si="1"/>
        <v>9</v>
      </c>
      <c r="E429" s="518"/>
      <c r="F429" s="397">
        <v>9</v>
      </c>
      <c r="G429" s="398" t="s">
        <v>376</v>
      </c>
      <c r="H429" s="399" t="s">
        <v>398</v>
      </c>
      <c r="I429" s="400" t="s">
        <v>532</v>
      </c>
      <c r="J429" s="412">
        <f t="shared" si="2"/>
        <v>9</v>
      </c>
      <c r="K429" s="53" t="s">
        <v>511</v>
      </c>
    </row>
    <row r="430" spans="1:11" ht="25.5" x14ac:dyDescent="0.2">
      <c r="A430" s="831">
        <v>10</v>
      </c>
      <c r="B430" s="832" t="s">
        <v>483</v>
      </c>
      <c r="C430" s="1175" t="s">
        <v>485</v>
      </c>
      <c r="D430" s="412">
        <f t="shared" si="1"/>
        <v>10</v>
      </c>
      <c r="E430" s="518"/>
      <c r="F430" s="397">
        <v>10</v>
      </c>
      <c r="G430" s="398" t="s">
        <v>54</v>
      </c>
      <c r="H430" s="399" t="s">
        <v>429</v>
      </c>
      <c r="I430" s="400" t="s">
        <v>504</v>
      </c>
      <c r="J430" s="412">
        <f t="shared" si="2"/>
        <v>10</v>
      </c>
      <c r="K430" s="53" t="s">
        <v>511</v>
      </c>
    </row>
    <row r="431" spans="1:11" ht="25.5" x14ac:dyDescent="0.2">
      <c r="A431" s="831">
        <v>11</v>
      </c>
      <c r="B431" s="832" t="s">
        <v>1373</v>
      </c>
      <c r="C431" s="1175" t="s">
        <v>486</v>
      </c>
      <c r="D431" s="412">
        <f t="shared" si="1"/>
        <v>11</v>
      </c>
      <c r="E431" s="518"/>
      <c r="F431" s="397">
        <v>11</v>
      </c>
      <c r="G431" s="398" t="s">
        <v>55</v>
      </c>
      <c r="H431" s="399" t="s">
        <v>429</v>
      </c>
      <c r="I431" s="400" t="s">
        <v>504</v>
      </c>
      <c r="J431" s="412">
        <f t="shared" si="2"/>
        <v>11</v>
      </c>
      <c r="K431" s="53" t="s">
        <v>511</v>
      </c>
    </row>
    <row r="432" spans="1:11" ht="25.5" x14ac:dyDescent="0.2">
      <c r="A432" s="831">
        <v>12</v>
      </c>
      <c r="B432" s="832" t="s">
        <v>464</v>
      </c>
      <c r="C432" s="1175" t="s">
        <v>476</v>
      </c>
      <c r="D432" s="412">
        <f t="shared" si="1"/>
        <v>12</v>
      </c>
      <c r="E432" s="518"/>
      <c r="F432" s="397">
        <v>12</v>
      </c>
      <c r="G432" s="398" t="s">
        <v>56</v>
      </c>
      <c r="H432" s="399" t="s">
        <v>398</v>
      </c>
      <c r="I432" s="400" t="s">
        <v>533</v>
      </c>
      <c r="J432" s="412">
        <f t="shared" si="2"/>
        <v>12</v>
      </c>
      <c r="K432" s="53" t="s">
        <v>511</v>
      </c>
    </row>
    <row r="433" spans="1:11" x14ac:dyDescent="0.2">
      <c r="A433" s="831">
        <v>13</v>
      </c>
      <c r="B433" s="832" t="s">
        <v>465</v>
      </c>
      <c r="C433" s="1175" t="s">
        <v>477</v>
      </c>
      <c r="D433" s="412">
        <f t="shared" si="1"/>
        <v>13</v>
      </c>
      <c r="E433" s="518"/>
      <c r="F433" s="397">
        <v>13</v>
      </c>
      <c r="G433" s="398" t="s">
        <v>57</v>
      </c>
      <c r="H433" s="399" t="s">
        <v>398</v>
      </c>
      <c r="I433" s="400" t="s">
        <v>542</v>
      </c>
      <c r="J433" s="412">
        <f t="shared" si="2"/>
        <v>13</v>
      </c>
      <c r="K433" s="53" t="s">
        <v>511</v>
      </c>
    </row>
    <row r="434" spans="1:11" x14ac:dyDescent="0.2">
      <c r="A434" s="831">
        <v>14</v>
      </c>
      <c r="B434" s="832" t="s">
        <v>466</v>
      </c>
      <c r="C434" s="1175" t="s">
        <v>478</v>
      </c>
      <c r="D434" s="412">
        <f t="shared" si="1"/>
        <v>14</v>
      </c>
      <c r="E434" s="518"/>
      <c r="F434" s="397">
        <v>14</v>
      </c>
      <c r="G434" s="398" t="s">
        <v>261</v>
      </c>
      <c r="H434" s="399" t="s">
        <v>398</v>
      </c>
      <c r="I434" s="400" t="s">
        <v>543</v>
      </c>
      <c r="J434" s="412">
        <f t="shared" si="2"/>
        <v>14</v>
      </c>
      <c r="K434" s="53" t="s">
        <v>511</v>
      </c>
    </row>
    <row r="435" spans="1:11" ht="63.75" x14ac:dyDescent="0.2">
      <c r="A435" s="831">
        <v>15</v>
      </c>
      <c r="B435" s="832" t="s">
        <v>467</v>
      </c>
      <c r="C435" s="1175" t="s">
        <v>541</v>
      </c>
      <c r="D435" s="412">
        <f t="shared" si="1"/>
        <v>15</v>
      </c>
      <c r="E435" s="518"/>
      <c r="F435" s="397">
        <v>15</v>
      </c>
      <c r="G435" s="398" t="s">
        <v>262</v>
      </c>
      <c r="H435" s="399" t="s">
        <v>398</v>
      </c>
      <c r="I435" s="400" t="s">
        <v>544</v>
      </c>
      <c r="J435" s="412">
        <f t="shared" si="2"/>
        <v>15</v>
      </c>
      <c r="K435" s="53" t="s">
        <v>511</v>
      </c>
    </row>
    <row r="436" spans="1:11" x14ac:dyDescent="0.2">
      <c r="A436" s="831">
        <v>16</v>
      </c>
      <c r="B436" s="832" t="s">
        <v>468</v>
      </c>
      <c r="C436" s="1175" t="s">
        <v>528</v>
      </c>
      <c r="D436" s="412">
        <f t="shared" si="1"/>
        <v>16</v>
      </c>
      <c r="E436" s="518"/>
      <c r="F436" s="397">
        <v>16</v>
      </c>
      <c r="G436" s="398" t="s">
        <v>24</v>
      </c>
      <c r="H436" s="399" t="s">
        <v>398</v>
      </c>
      <c r="I436" s="400" t="s">
        <v>545</v>
      </c>
      <c r="J436" s="412">
        <f t="shared" si="2"/>
        <v>16</v>
      </c>
      <c r="K436" s="53" t="s">
        <v>511</v>
      </c>
    </row>
    <row r="437" spans="1:11" ht="25.5" x14ac:dyDescent="0.2">
      <c r="A437" s="831">
        <v>17</v>
      </c>
      <c r="B437" s="832" t="s">
        <v>479</v>
      </c>
      <c r="C437" s="1175" t="s">
        <v>481</v>
      </c>
      <c r="D437" s="412">
        <f t="shared" si="1"/>
        <v>17</v>
      </c>
      <c r="E437" s="518"/>
      <c r="F437" s="397">
        <v>17</v>
      </c>
      <c r="G437" s="398" t="s">
        <v>58</v>
      </c>
      <c r="H437" s="399" t="s">
        <v>398</v>
      </c>
      <c r="I437" s="400" t="s">
        <v>507</v>
      </c>
      <c r="J437" s="412">
        <f t="shared" si="2"/>
        <v>17</v>
      </c>
      <c r="K437" s="53" t="s">
        <v>511</v>
      </c>
    </row>
    <row r="438" spans="1:11" ht="38.25" x14ac:dyDescent="0.2">
      <c r="A438" s="831">
        <v>18</v>
      </c>
      <c r="B438" s="832" t="s">
        <v>461</v>
      </c>
      <c r="C438" s="1175" t="s">
        <v>552</v>
      </c>
      <c r="D438" s="412">
        <f t="shared" si="1"/>
        <v>18</v>
      </c>
      <c r="E438" s="518"/>
      <c r="F438" s="397">
        <v>18</v>
      </c>
      <c r="G438" s="398" t="s">
        <v>358</v>
      </c>
      <c r="H438" s="399" t="s">
        <v>398</v>
      </c>
      <c r="I438" s="400" t="s">
        <v>534</v>
      </c>
      <c r="J438" s="412">
        <f t="shared" si="2"/>
        <v>18</v>
      </c>
      <c r="K438" s="53" t="s">
        <v>511</v>
      </c>
    </row>
    <row r="439" spans="1:11" ht="25.5" x14ac:dyDescent="0.2">
      <c r="A439" s="831">
        <v>19</v>
      </c>
      <c r="B439" s="832" t="s">
        <v>460</v>
      </c>
      <c r="C439" s="1175" t="s">
        <v>529</v>
      </c>
      <c r="D439" s="412">
        <f t="shared" si="1"/>
        <v>19</v>
      </c>
      <c r="E439" s="518"/>
      <c r="F439" s="397">
        <v>19</v>
      </c>
      <c r="G439" s="398" t="s">
        <v>59</v>
      </c>
      <c r="H439" s="399" t="s">
        <v>429</v>
      </c>
      <c r="I439" s="401" t="s">
        <v>399</v>
      </c>
      <c r="J439" s="412">
        <f t="shared" si="2"/>
        <v>19</v>
      </c>
    </row>
    <row r="440" spans="1:11" ht="25.5" x14ac:dyDescent="0.2">
      <c r="A440" s="831">
        <v>20</v>
      </c>
      <c r="B440" s="832" t="s">
        <v>487</v>
      </c>
      <c r="C440" s="1175" t="s">
        <v>489</v>
      </c>
      <c r="D440" s="412">
        <f t="shared" si="1"/>
        <v>20</v>
      </c>
      <c r="E440" s="518"/>
      <c r="F440" s="397">
        <v>20</v>
      </c>
      <c r="G440" s="398" t="s">
        <v>60</v>
      </c>
      <c r="H440" s="399" t="s">
        <v>429</v>
      </c>
      <c r="I440" s="401" t="s">
        <v>399</v>
      </c>
      <c r="J440" s="412">
        <f t="shared" si="2"/>
        <v>20</v>
      </c>
    </row>
    <row r="441" spans="1:11" x14ac:dyDescent="0.2">
      <c r="A441" s="831">
        <v>21</v>
      </c>
      <c r="B441" s="832" t="s">
        <v>473</v>
      </c>
      <c r="C441" s="1175" t="s">
        <v>490</v>
      </c>
      <c r="D441" s="412">
        <f t="shared" si="1"/>
        <v>21</v>
      </c>
      <c r="E441" s="518"/>
      <c r="F441" s="397">
        <v>21</v>
      </c>
      <c r="G441" s="398" t="s">
        <v>61</v>
      </c>
      <c r="H441" s="399" t="s">
        <v>429</v>
      </c>
      <c r="I441" s="401" t="s">
        <v>399</v>
      </c>
      <c r="J441" s="412">
        <f t="shared" si="2"/>
        <v>21</v>
      </c>
    </row>
    <row r="442" spans="1:11" x14ac:dyDescent="0.2">
      <c r="A442" s="831">
        <v>22</v>
      </c>
      <c r="B442" s="832" t="s">
        <v>469</v>
      </c>
      <c r="C442" s="1175" t="s">
        <v>498</v>
      </c>
      <c r="D442" s="412">
        <f t="shared" si="1"/>
        <v>22</v>
      </c>
      <c r="E442" s="518"/>
      <c r="F442" s="406">
        <v>22</v>
      </c>
      <c r="G442" s="407" t="s">
        <v>62</v>
      </c>
      <c r="H442" s="399" t="s">
        <v>398</v>
      </c>
      <c r="I442" s="400" t="s">
        <v>502</v>
      </c>
      <c r="J442" s="412">
        <f t="shared" si="2"/>
        <v>22</v>
      </c>
      <c r="K442" s="53" t="s">
        <v>511</v>
      </c>
    </row>
    <row r="443" spans="1:11" ht="25.5" x14ac:dyDescent="0.2">
      <c r="A443" s="831">
        <v>23</v>
      </c>
      <c r="B443" s="832" t="s">
        <v>488</v>
      </c>
      <c r="C443" s="1175" t="s">
        <v>530</v>
      </c>
      <c r="D443" s="412">
        <f t="shared" si="1"/>
        <v>23</v>
      </c>
      <c r="E443" s="518"/>
      <c r="F443" s="397">
        <v>23</v>
      </c>
      <c r="G443" s="398" t="s">
        <v>63</v>
      </c>
      <c r="H443" s="399" t="s">
        <v>398</v>
      </c>
      <c r="I443" s="400" t="s">
        <v>505</v>
      </c>
      <c r="J443" s="412">
        <f t="shared" si="2"/>
        <v>23</v>
      </c>
      <c r="K443" s="53" t="s">
        <v>511</v>
      </c>
    </row>
    <row r="444" spans="1:11" ht="25.5" x14ac:dyDescent="0.2">
      <c r="A444" s="831">
        <v>24</v>
      </c>
      <c r="B444" s="832" t="s">
        <v>480</v>
      </c>
      <c r="C444" s="1175" t="s">
        <v>530</v>
      </c>
      <c r="D444" s="412">
        <f t="shared" si="1"/>
        <v>24</v>
      </c>
      <c r="E444" s="518"/>
      <c r="F444" s="397">
        <v>24</v>
      </c>
      <c r="G444" s="398" t="s">
        <v>64</v>
      </c>
      <c r="H444" s="399" t="s">
        <v>429</v>
      </c>
      <c r="I444" s="401" t="s">
        <v>399</v>
      </c>
      <c r="J444" s="412">
        <f t="shared" si="2"/>
        <v>24</v>
      </c>
    </row>
    <row r="445" spans="1:11" ht="25.5" x14ac:dyDescent="0.2">
      <c r="A445" s="831">
        <v>25</v>
      </c>
      <c r="B445" s="832" t="s">
        <v>470</v>
      </c>
      <c r="C445" s="1175" t="s">
        <v>530</v>
      </c>
      <c r="D445" s="412">
        <f t="shared" si="1"/>
        <v>25</v>
      </c>
      <c r="E445" s="518"/>
      <c r="F445" s="397">
        <v>25</v>
      </c>
      <c r="G445" s="398" t="s">
        <v>317</v>
      </c>
      <c r="H445" s="399" t="s">
        <v>429</v>
      </c>
      <c r="I445" s="401" t="s">
        <v>399</v>
      </c>
      <c r="J445" s="412">
        <f t="shared" si="2"/>
        <v>25</v>
      </c>
    </row>
    <row r="446" spans="1:11" ht="25.5" x14ac:dyDescent="0.2">
      <c r="A446" s="831">
        <v>26</v>
      </c>
      <c r="B446" s="832" t="s">
        <v>471</v>
      </c>
      <c r="C446" s="1175" t="s">
        <v>530</v>
      </c>
      <c r="D446" s="412">
        <f t="shared" si="1"/>
        <v>26</v>
      </c>
      <c r="E446" s="518"/>
      <c r="F446" s="397">
        <v>26</v>
      </c>
      <c r="G446" s="398" t="s">
        <v>65</v>
      </c>
      <c r="H446" s="399" t="s">
        <v>429</v>
      </c>
      <c r="I446" s="400" t="s">
        <v>501</v>
      </c>
      <c r="J446" s="412">
        <f t="shared" si="2"/>
        <v>26</v>
      </c>
    </row>
    <row r="447" spans="1:11" ht="25.5" x14ac:dyDescent="0.2">
      <c r="A447" s="831">
        <v>27</v>
      </c>
      <c r="B447" s="832" t="s">
        <v>472</v>
      </c>
      <c r="C447" s="1175" t="s">
        <v>530</v>
      </c>
      <c r="D447" s="412">
        <f t="shared" si="1"/>
        <v>27</v>
      </c>
      <c r="E447" s="518"/>
      <c r="F447" s="397">
        <v>27</v>
      </c>
      <c r="G447" s="398" t="s">
        <v>66</v>
      </c>
      <c r="H447" s="399" t="s">
        <v>429</v>
      </c>
      <c r="I447" s="400" t="s">
        <v>535</v>
      </c>
      <c r="J447" s="412">
        <f t="shared" si="2"/>
        <v>27</v>
      </c>
    </row>
    <row r="448" spans="1:11" ht="25.5" x14ac:dyDescent="0.2">
      <c r="A448" s="831">
        <v>28</v>
      </c>
      <c r="B448" s="832" t="s">
        <v>425</v>
      </c>
      <c r="C448" s="1175" t="s">
        <v>499</v>
      </c>
      <c r="D448" s="412">
        <f t="shared" si="1"/>
        <v>28</v>
      </c>
      <c r="E448" s="518"/>
      <c r="F448" s="406">
        <v>28</v>
      </c>
      <c r="G448" s="407" t="s">
        <v>67</v>
      </c>
      <c r="H448" s="399" t="s">
        <v>398</v>
      </c>
      <c r="I448" s="400" t="s">
        <v>502</v>
      </c>
      <c r="J448" s="412">
        <f t="shared" si="2"/>
        <v>28</v>
      </c>
      <c r="K448" s="53" t="s">
        <v>511</v>
      </c>
    </row>
    <row r="449" spans="1:11" ht="25.5" x14ac:dyDescent="0.2">
      <c r="A449" s="831">
        <v>29</v>
      </c>
      <c r="B449" s="832" t="s">
        <v>491</v>
      </c>
      <c r="C449" s="1175" t="s">
        <v>493</v>
      </c>
      <c r="D449" s="412">
        <f t="shared" si="1"/>
        <v>29</v>
      </c>
      <c r="E449" s="518"/>
      <c r="F449" s="397">
        <v>29</v>
      </c>
      <c r="G449" s="398" t="s">
        <v>68</v>
      </c>
      <c r="H449" s="399" t="s">
        <v>398</v>
      </c>
      <c r="I449" s="400" t="s">
        <v>536</v>
      </c>
      <c r="J449" s="412">
        <f t="shared" si="2"/>
        <v>29</v>
      </c>
      <c r="K449" s="53" t="s">
        <v>511</v>
      </c>
    </row>
    <row r="450" spans="1:11" ht="25.5" x14ac:dyDescent="0.2">
      <c r="A450" s="831">
        <v>30</v>
      </c>
      <c r="B450" s="832" t="s">
        <v>492</v>
      </c>
      <c r="C450" s="1175" t="s">
        <v>494</v>
      </c>
      <c r="D450" s="412">
        <f t="shared" si="1"/>
        <v>30</v>
      </c>
      <c r="E450" s="518"/>
      <c r="F450" s="397">
        <v>30</v>
      </c>
      <c r="G450" s="398" t="s">
        <v>69</v>
      </c>
      <c r="H450" s="399" t="s">
        <v>429</v>
      </c>
      <c r="I450" s="400" t="s">
        <v>506</v>
      </c>
      <c r="J450" s="412">
        <f t="shared" si="2"/>
        <v>30</v>
      </c>
    </row>
    <row r="451" spans="1:11" ht="25.5" x14ac:dyDescent="0.2">
      <c r="A451" s="831">
        <v>31</v>
      </c>
      <c r="B451" s="832" t="s">
        <v>428</v>
      </c>
      <c r="C451" s="1175" t="s">
        <v>495</v>
      </c>
      <c r="D451" s="412">
        <f t="shared" si="1"/>
        <v>31</v>
      </c>
      <c r="E451" s="518"/>
      <c r="F451" s="397">
        <v>31</v>
      </c>
      <c r="G451" s="398" t="s">
        <v>361</v>
      </c>
      <c r="H451" s="399" t="s">
        <v>398</v>
      </c>
      <c r="I451" s="400" t="s">
        <v>537</v>
      </c>
      <c r="J451" s="412">
        <f t="shared" si="2"/>
        <v>31</v>
      </c>
      <c r="K451" s="53" t="s">
        <v>511</v>
      </c>
    </row>
    <row r="452" spans="1:11" ht="38.25" x14ac:dyDescent="0.2">
      <c r="A452" s="831">
        <v>32</v>
      </c>
      <c r="B452" s="832" t="s">
        <v>496</v>
      </c>
      <c r="C452" s="1175" t="s">
        <v>497</v>
      </c>
      <c r="D452" s="412">
        <f t="shared" si="1"/>
        <v>32</v>
      </c>
      <c r="E452" s="518"/>
      <c r="F452" s="397">
        <v>32</v>
      </c>
      <c r="G452" s="398" t="s">
        <v>70</v>
      </c>
      <c r="H452" s="399" t="s">
        <v>429</v>
      </c>
      <c r="I452" s="401" t="s">
        <v>399</v>
      </c>
      <c r="J452" s="412">
        <f t="shared" si="2"/>
        <v>32</v>
      </c>
    </row>
    <row r="453" spans="1:11" ht="177.75" customHeight="1" x14ac:dyDescent="0.2">
      <c r="A453" s="1157">
        <v>33</v>
      </c>
      <c r="B453" s="997" t="s">
        <v>778</v>
      </c>
      <c r="C453" s="1158" t="s">
        <v>777</v>
      </c>
      <c r="D453" s="412">
        <f t="shared" si="1"/>
        <v>33</v>
      </c>
      <c r="E453" s="518"/>
      <c r="F453" s="406">
        <v>33</v>
      </c>
      <c r="G453" s="407" t="s">
        <v>71</v>
      </c>
      <c r="H453" s="399" t="s">
        <v>429</v>
      </c>
      <c r="I453" s="401" t="s">
        <v>399</v>
      </c>
      <c r="J453" s="412">
        <f t="shared" si="2"/>
        <v>33</v>
      </c>
    </row>
    <row r="454" spans="1:11" ht="38.25" x14ac:dyDescent="0.2">
      <c r="A454" s="1157">
        <v>34</v>
      </c>
      <c r="B454" s="1186" t="s">
        <v>779</v>
      </c>
      <c r="C454" s="1177" t="s">
        <v>562</v>
      </c>
      <c r="D454" s="412"/>
      <c r="E454" s="518"/>
      <c r="F454" s="397">
        <v>34</v>
      </c>
      <c r="G454" s="398" t="s">
        <v>72</v>
      </c>
      <c r="H454" s="399" t="s">
        <v>398</v>
      </c>
      <c r="I454" s="401" t="s">
        <v>399</v>
      </c>
      <c r="J454" s="412">
        <f t="shared" si="2"/>
        <v>34</v>
      </c>
    </row>
    <row r="455" spans="1:11" ht="25.5" x14ac:dyDescent="0.2">
      <c r="A455" s="1157">
        <v>35</v>
      </c>
      <c r="B455" s="997" t="s">
        <v>686</v>
      </c>
      <c r="C455" s="1158" t="s">
        <v>697</v>
      </c>
      <c r="D455" s="412"/>
      <c r="E455" s="518"/>
      <c r="F455" s="397">
        <v>35</v>
      </c>
      <c r="G455" s="398" t="s">
        <v>73</v>
      </c>
      <c r="H455" s="399" t="s">
        <v>398</v>
      </c>
      <c r="I455" s="400" t="s">
        <v>547</v>
      </c>
      <c r="J455" s="412">
        <f t="shared" si="2"/>
        <v>35</v>
      </c>
      <c r="K455" s="53" t="s">
        <v>511</v>
      </c>
    </row>
    <row r="456" spans="1:11" x14ac:dyDescent="0.2">
      <c r="A456" s="1157">
        <v>36</v>
      </c>
      <c r="B456" s="997" t="s">
        <v>745</v>
      </c>
      <c r="C456" s="1158" t="s">
        <v>780</v>
      </c>
      <c r="D456" s="412"/>
      <c r="E456" s="518"/>
      <c r="F456" s="397">
        <v>36</v>
      </c>
      <c r="G456" s="398" t="s">
        <v>74</v>
      </c>
      <c r="H456" s="399" t="s">
        <v>398</v>
      </c>
      <c r="I456" s="400" t="s">
        <v>535</v>
      </c>
      <c r="J456" s="412">
        <f t="shared" si="2"/>
        <v>36</v>
      </c>
      <c r="K456" s="53" t="s">
        <v>511</v>
      </c>
    </row>
    <row r="457" spans="1:11" x14ac:dyDescent="0.2">
      <c r="A457" s="1157">
        <v>37</v>
      </c>
      <c r="B457" s="997" t="s">
        <v>316</v>
      </c>
      <c r="C457" s="1158" t="s">
        <v>781</v>
      </c>
      <c r="D457" s="412"/>
      <c r="E457" s="518"/>
      <c r="F457" s="397">
        <v>37</v>
      </c>
      <c r="G457" s="398" t="s">
        <v>75</v>
      </c>
      <c r="H457" s="399" t="s">
        <v>429</v>
      </c>
      <c r="I457" s="400" t="s">
        <v>535</v>
      </c>
      <c r="J457" s="412">
        <f t="shared" si="2"/>
        <v>37</v>
      </c>
      <c r="K457" s="53" t="s">
        <v>548</v>
      </c>
    </row>
    <row r="458" spans="1:11" x14ac:dyDescent="0.2">
      <c r="A458" s="1157">
        <v>38</v>
      </c>
      <c r="B458" s="997" t="s">
        <v>757</v>
      </c>
      <c r="C458" s="1158" t="s">
        <v>782</v>
      </c>
      <c r="D458" s="412"/>
      <c r="E458" s="518"/>
      <c r="F458" s="397">
        <v>38</v>
      </c>
      <c r="G458" s="398" t="s">
        <v>76</v>
      </c>
      <c r="H458" s="399" t="s">
        <v>429</v>
      </c>
      <c r="I458" s="400" t="s">
        <v>502</v>
      </c>
      <c r="J458" s="412">
        <f t="shared" si="2"/>
        <v>38</v>
      </c>
      <c r="K458" s="53" t="s">
        <v>548</v>
      </c>
    </row>
    <row r="459" spans="1:11" ht="25.5" x14ac:dyDescent="0.2">
      <c r="A459" s="1157">
        <v>39</v>
      </c>
      <c r="B459" s="997" t="s">
        <v>783</v>
      </c>
      <c r="C459" s="1158" t="s">
        <v>784</v>
      </c>
      <c r="D459" s="412"/>
      <c r="E459" s="518"/>
      <c r="F459" s="397">
        <v>39</v>
      </c>
      <c r="G459" s="398" t="s">
        <v>77</v>
      </c>
      <c r="H459" s="399" t="s">
        <v>429</v>
      </c>
      <c r="I459" s="401" t="s">
        <v>399</v>
      </c>
      <c r="J459" s="412">
        <f t="shared" si="2"/>
        <v>39</v>
      </c>
    </row>
    <row r="460" spans="1:11" ht="25.5" x14ac:dyDescent="0.2">
      <c r="A460" s="1157">
        <v>40</v>
      </c>
      <c r="B460" s="997" t="s">
        <v>785</v>
      </c>
      <c r="C460" s="1158" t="s">
        <v>786</v>
      </c>
      <c r="D460" s="412"/>
      <c r="E460" s="518"/>
      <c r="F460" s="397">
        <v>40</v>
      </c>
      <c r="G460" s="398" t="s">
        <v>78</v>
      </c>
      <c r="H460" s="399" t="s">
        <v>429</v>
      </c>
      <c r="I460" s="401" t="s">
        <v>399</v>
      </c>
      <c r="J460" s="412">
        <f t="shared" si="2"/>
        <v>40</v>
      </c>
    </row>
    <row r="461" spans="1:11" x14ac:dyDescent="0.2">
      <c r="A461" s="831">
        <v>41</v>
      </c>
      <c r="B461" s="997" t="s">
        <v>841</v>
      </c>
      <c r="C461" s="1175"/>
      <c r="D461" s="412"/>
      <c r="E461" s="518"/>
      <c r="F461" s="397">
        <v>41</v>
      </c>
      <c r="G461" s="398" t="s">
        <v>263</v>
      </c>
      <c r="H461" s="399" t="s">
        <v>429</v>
      </c>
      <c r="I461" s="401" t="s">
        <v>399</v>
      </c>
      <c r="J461" s="412">
        <f t="shared" si="2"/>
        <v>41</v>
      </c>
    </row>
    <row r="462" spans="1:11" x14ac:dyDescent="0.2">
      <c r="A462" s="831">
        <v>42</v>
      </c>
      <c r="B462" s="997" t="s">
        <v>849</v>
      </c>
      <c r="C462" s="1175"/>
      <c r="D462" s="412"/>
      <c r="E462" s="518"/>
      <c r="F462" s="397">
        <v>42</v>
      </c>
      <c r="G462" s="398" t="s">
        <v>79</v>
      </c>
      <c r="H462" s="399" t="s">
        <v>398</v>
      </c>
      <c r="I462" s="400" t="s">
        <v>538</v>
      </c>
      <c r="J462" s="412">
        <f t="shared" si="2"/>
        <v>42</v>
      </c>
      <c r="K462" s="53" t="s">
        <v>511</v>
      </c>
    </row>
    <row r="463" spans="1:11" x14ac:dyDescent="0.2">
      <c r="A463" s="831">
        <v>43</v>
      </c>
      <c r="B463" s="832" t="s">
        <v>850</v>
      </c>
      <c r="C463" s="1175"/>
      <c r="D463" s="412"/>
      <c r="E463" s="518"/>
      <c r="F463" s="397">
        <v>43</v>
      </c>
      <c r="G463" s="398" t="s">
        <v>275</v>
      </c>
      <c r="H463" s="399" t="s">
        <v>398</v>
      </c>
      <c r="I463" s="400" t="s">
        <v>539</v>
      </c>
      <c r="J463" s="412">
        <f t="shared" si="2"/>
        <v>43</v>
      </c>
      <c r="K463" s="53" t="s">
        <v>511</v>
      </c>
    </row>
    <row r="464" spans="1:11" x14ac:dyDescent="0.2">
      <c r="A464" s="831">
        <v>44</v>
      </c>
      <c r="B464" s="997" t="s">
        <v>855</v>
      </c>
      <c r="C464" s="1175"/>
      <c r="D464" s="412"/>
      <c r="E464" s="518"/>
      <c r="F464" s="397">
        <v>44</v>
      </c>
      <c r="G464" s="398" t="s">
        <v>283</v>
      </c>
      <c r="H464" s="399" t="s">
        <v>429</v>
      </c>
      <c r="I464" s="401" t="s">
        <v>399</v>
      </c>
      <c r="J464" s="412">
        <f t="shared" si="2"/>
        <v>44</v>
      </c>
    </row>
    <row r="465" spans="1:11" x14ac:dyDescent="0.2">
      <c r="A465" s="831">
        <v>45</v>
      </c>
      <c r="B465" s="832"/>
      <c r="C465" s="1175"/>
      <c r="D465" s="412"/>
      <c r="E465" s="518"/>
      <c r="F465" s="397">
        <v>45</v>
      </c>
      <c r="G465" s="398" t="s">
        <v>80</v>
      </c>
      <c r="H465" s="399" t="s">
        <v>429</v>
      </c>
      <c r="I465" s="401" t="s">
        <v>399</v>
      </c>
      <c r="J465" s="412">
        <f t="shared" si="2"/>
        <v>45</v>
      </c>
    </row>
    <row r="466" spans="1:11" x14ac:dyDescent="0.2">
      <c r="A466" s="831">
        <v>46</v>
      </c>
      <c r="B466" s="832"/>
      <c r="C466" s="1175"/>
      <c r="D466" s="412"/>
      <c r="E466" s="518"/>
      <c r="F466" s="397">
        <v>46</v>
      </c>
      <c r="G466" s="398" t="s">
        <v>81</v>
      </c>
      <c r="H466" s="399" t="s">
        <v>429</v>
      </c>
      <c r="I466" s="400" t="s">
        <v>535</v>
      </c>
      <c r="J466" s="412">
        <f t="shared" si="2"/>
        <v>46</v>
      </c>
    </row>
    <row r="467" spans="1:11" x14ac:dyDescent="0.2">
      <c r="A467" s="831">
        <v>47</v>
      </c>
      <c r="B467" s="832"/>
      <c r="C467" s="1175"/>
      <c r="D467" s="412"/>
      <c r="E467" s="518"/>
      <c r="F467" s="397">
        <v>47</v>
      </c>
      <c r="G467" s="398" t="s">
        <v>306</v>
      </c>
      <c r="H467" s="399" t="s">
        <v>429</v>
      </c>
      <c r="I467" s="400" t="s">
        <v>508</v>
      </c>
      <c r="J467" s="412">
        <f t="shared" si="2"/>
        <v>47</v>
      </c>
    </row>
    <row r="468" spans="1:11" x14ac:dyDescent="0.2">
      <c r="A468" s="831">
        <v>48</v>
      </c>
      <c r="B468" s="832"/>
      <c r="C468" s="1175"/>
      <c r="D468" s="412"/>
      <c r="E468" s="518"/>
      <c r="F468" s="397">
        <v>48</v>
      </c>
      <c r="G468" s="398" t="s">
        <v>307</v>
      </c>
      <c r="H468" s="399" t="s">
        <v>429</v>
      </c>
      <c r="I468" s="401" t="s">
        <v>399</v>
      </c>
      <c r="J468" s="412">
        <f t="shared" si="2"/>
        <v>48</v>
      </c>
    </row>
    <row r="469" spans="1:11" x14ac:dyDescent="0.2">
      <c r="A469" s="831">
        <v>49</v>
      </c>
      <c r="B469" s="832"/>
      <c r="C469" s="1175"/>
      <c r="D469" s="412"/>
      <c r="E469" s="518"/>
      <c r="F469" s="397">
        <v>49</v>
      </c>
      <c r="G469" s="398" t="s">
        <v>356</v>
      </c>
      <c r="H469" s="399" t="s">
        <v>429</v>
      </c>
      <c r="I469" s="400" t="s">
        <v>508</v>
      </c>
      <c r="J469" s="412">
        <f t="shared" si="2"/>
        <v>49</v>
      </c>
    </row>
    <row r="470" spans="1:11" x14ac:dyDescent="0.2">
      <c r="A470" s="831">
        <v>50</v>
      </c>
      <c r="B470" s="832"/>
      <c r="C470" s="1175"/>
      <c r="D470" s="412"/>
      <c r="E470" s="518"/>
      <c r="F470" s="397">
        <v>50</v>
      </c>
      <c r="G470" s="398" t="s">
        <v>316</v>
      </c>
      <c r="H470" s="399" t="s">
        <v>398</v>
      </c>
      <c r="I470" s="400" t="s">
        <v>539</v>
      </c>
      <c r="J470" s="412">
        <f t="shared" si="2"/>
        <v>50</v>
      </c>
      <c r="K470" s="53" t="s">
        <v>511</v>
      </c>
    </row>
    <row r="471" spans="1:11" x14ac:dyDescent="0.2">
      <c r="A471" s="831">
        <v>51</v>
      </c>
      <c r="B471" s="832"/>
      <c r="C471" s="1175"/>
      <c r="D471" s="412"/>
      <c r="E471" s="518"/>
      <c r="F471" s="397">
        <v>51</v>
      </c>
      <c r="G471" s="398" t="s">
        <v>353</v>
      </c>
      <c r="H471" s="399" t="s">
        <v>398</v>
      </c>
      <c r="I471" s="400" t="s">
        <v>430</v>
      </c>
      <c r="J471" s="412">
        <f t="shared" si="2"/>
        <v>51</v>
      </c>
      <c r="K471" s="53" t="s">
        <v>511</v>
      </c>
    </row>
    <row r="472" spans="1:11" x14ac:dyDescent="0.2">
      <c r="A472" s="831">
        <v>52</v>
      </c>
      <c r="B472" s="832"/>
      <c r="C472" s="1175"/>
      <c r="D472" s="412"/>
      <c r="E472" s="518"/>
      <c r="F472" s="406">
        <v>52</v>
      </c>
      <c r="G472" s="407" t="s">
        <v>354</v>
      </c>
      <c r="H472" s="399" t="s">
        <v>398</v>
      </c>
      <c r="I472" s="400" t="s">
        <v>520</v>
      </c>
      <c r="J472" s="412">
        <f t="shared" si="2"/>
        <v>52</v>
      </c>
      <c r="K472" s="53" t="s">
        <v>511</v>
      </c>
    </row>
    <row r="473" spans="1:11" x14ac:dyDescent="0.2">
      <c r="A473" s="831">
        <v>53</v>
      </c>
      <c r="B473" s="832"/>
      <c r="C473" s="1175"/>
      <c r="D473" s="412"/>
      <c r="E473" s="518"/>
      <c r="F473" s="101">
        <v>53</v>
      </c>
      <c r="J473" s="416"/>
    </row>
    <row r="474" spans="1:11" x14ac:dyDescent="0.2">
      <c r="A474" s="831">
        <v>54</v>
      </c>
      <c r="B474" s="832"/>
      <c r="C474" s="1175"/>
      <c r="D474" s="412"/>
      <c r="E474" s="518"/>
      <c r="F474" s="101">
        <v>54</v>
      </c>
      <c r="J474" s="416"/>
    </row>
    <row r="475" spans="1:11" x14ac:dyDescent="0.2">
      <c r="A475" s="831">
        <v>55</v>
      </c>
      <c r="B475" s="832"/>
      <c r="C475" s="1175"/>
      <c r="D475" s="412"/>
      <c r="E475" s="518"/>
      <c r="F475" s="101">
        <v>55</v>
      </c>
      <c r="J475" s="416"/>
    </row>
    <row r="476" spans="1:11" x14ac:dyDescent="0.2">
      <c r="A476" s="831">
        <v>56</v>
      </c>
      <c r="B476" s="832"/>
      <c r="C476" s="1175"/>
      <c r="D476" s="412"/>
      <c r="E476" s="518"/>
      <c r="F476" s="101">
        <v>56</v>
      </c>
      <c r="J476" s="416"/>
    </row>
    <row r="477" spans="1:11" x14ac:dyDescent="0.2">
      <c r="A477" s="831">
        <v>57</v>
      </c>
      <c r="B477" s="832"/>
      <c r="C477" s="1175"/>
      <c r="D477" s="412"/>
      <c r="E477" s="518"/>
      <c r="F477" s="101">
        <v>57</v>
      </c>
      <c r="J477" s="416"/>
    </row>
    <row r="478" spans="1:11" x14ac:dyDescent="0.2">
      <c r="A478" s="831">
        <v>58</v>
      </c>
      <c r="B478" s="832"/>
      <c r="C478" s="1175"/>
      <c r="D478" s="412"/>
      <c r="E478" s="518"/>
      <c r="F478" s="101">
        <v>58</v>
      </c>
      <c r="J478" s="416"/>
    </row>
    <row r="479" spans="1:11" x14ac:dyDescent="0.2">
      <c r="A479" s="831">
        <v>59</v>
      </c>
      <c r="B479" s="832"/>
      <c r="C479" s="1175"/>
      <c r="D479" s="412"/>
      <c r="E479" s="518"/>
      <c r="F479" s="101">
        <v>59</v>
      </c>
      <c r="J479" s="416"/>
    </row>
    <row r="480" spans="1:11" x14ac:dyDescent="0.2">
      <c r="A480" s="831">
        <v>60</v>
      </c>
      <c r="B480" s="832"/>
      <c r="C480" s="1175"/>
      <c r="D480" s="412"/>
      <c r="E480" s="518"/>
      <c r="F480" s="101">
        <v>60</v>
      </c>
      <c r="J480" s="416"/>
    </row>
    <row r="484" spans="1:11" x14ac:dyDescent="0.2">
      <c r="A484" s="101"/>
      <c r="D484" s="98"/>
      <c r="E484" s="206" t="s">
        <v>659</v>
      </c>
      <c r="F484" s="48"/>
      <c r="G484" s="48"/>
      <c r="H484" s="48"/>
      <c r="I484" s="48"/>
      <c r="J484" s="416"/>
      <c r="K484" s="48"/>
    </row>
    <row r="485" spans="1:11" x14ac:dyDescent="0.2">
      <c r="A485" s="101"/>
      <c r="D485" s="98"/>
      <c r="E485" s="517"/>
      <c r="F485" s="48"/>
      <c r="G485" s="48"/>
      <c r="H485" s="48"/>
      <c r="I485" s="48"/>
      <c r="J485" s="416"/>
      <c r="K485" s="48"/>
    </row>
    <row r="486" spans="1:11" x14ac:dyDescent="0.2">
      <c r="A486" s="1353" t="s">
        <v>448</v>
      </c>
      <c r="B486" s="1353"/>
      <c r="C486" s="1353"/>
      <c r="D486" s="98"/>
      <c r="E486" s="517"/>
      <c r="F486" s="48"/>
      <c r="G486" s="48"/>
      <c r="H486" s="48"/>
      <c r="I486" s="48"/>
      <c r="J486" s="416"/>
      <c r="K486" s="48"/>
    </row>
    <row r="487" spans="1:11" x14ac:dyDescent="0.2">
      <c r="A487" s="1062" t="s">
        <v>4</v>
      </c>
      <c r="B487" s="1160" t="s">
        <v>281</v>
      </c>
      <c r="C487" s="1161" t="s">
        <v>26</v>
      </c>
      <c r="D487" s="98"/>
      <c r="E487" s="517"/>
      <c r="F487" s="48"/>
      <c r="G487" s="48"/>
      <c r="H487" s="48"/>
      <c r="I487" s="48"/>
      <c r="J487" s="416"/>
      <c r="K487" s="48"/>
    </row>
    <row r="488" spans="1:11" x14ac:dyDescent="0.2">
      <c r="A488" s="101"/>
      <c r="C488" s="1159" t="s">
        <v>437</v>
      </c>
      <c r="D488" s="411"/>
      <c r="H488" s="408" t="s">
        <v>440</v>
      </c>
      <c r="J488" s="416"/>
    </row>
    <row r="489" spans="1:11" x14ac:dyDescent="0.2">
      <c r="A489" s="831" t="s">
        <v>18</v>
      </c>
      <c r="B489" s="832" t="s">
        <v>433</v>
      </c>
      <c r="C489" s="1175" t="s">
        <v>453</v>
      </c>
      <c r="D489" s="412">
        <v>1</v>
      </c>
      <c r="E489" s="518"/>
      <c r="F489" s="397" t="s">
        <v>18</v>
      </c>
      <c r="G489" s="398" t="s">
        <v>82</v>
      </c>
      <c r="H489" s="399" t="s">
        <v>398</v>
      </c>
      <c r="I489" s="400" t="s">
        <v>436</v>
      </c>
      <c r="J489" s="410">
        <v>1</v>
      </c>
    </row>
    <row r="490" spans="1:11" x14ac:dyDescent="0.2">
      <c r="A490" s="831" t="s">
        <v>33</v>
      </c>
      <c r="B490" s="832" t="s">
        <v>432</v>
      </c>
      <c r="C490" s="1175" t="s">
        <v>454</v>
      </c>
      <c r="D490" s="412">
        <f t="shared" ref="D490:D520" si="3">+D489+1</f>
        <v>2</v>
      </c>
      <c r="E490" s="518"/>
      <c r="F490" s="397" t="s">
        <v>33</v>
      </c>
      <c r="G490" s="398" t="s">
        <v>83</v>
      </c>
      <c r="H490" s="399" t="s">
        <v>398</v>
      </c>
      <c r="I490" s="400" t="s">
        <v>431</v>
      </c>
      <c r="J490" s="410">
        <f>+J489+1</f>
        <v>2</v>
      </c>
    </row>
    <row r="491" spans="1:11" x14ac:dyDescent="0.2">
      <c r="A491" s="831" t="s">
        <v>34</v>
      </c>
      <c r="B491" s="832" t="s">
        <v>434</v>
      </c>
      <c r="C491" s="1175" t="s">
        <v>455</v>
      </c>
      <c r="D491" s="412">
        <f t="shared" si="3"/>
        <v>3</v>
      </c>
      <c r="E491" s="518"/>
      <c r="F491" s="397" t="s">
        <v>34</v>
      </c>
      <c r="G491" s="398" t="s">
        <v>84</v>
      </c>
      <c r="H491" s="399" t="s">
        <v>429</v>
      </c>
      <c r="I491" s="400" t="s">
        <v>435</v>
      </c>
      <c r="J491" s="410">
        <f t="shared" ref="J491:J513" si="4">+J490+1</f>
        <v>3</v>
      </c>
    </row>
    <row r="492" spans="1:11" ht="51" x14ac:dyDescent="0.2">
      <c r="A492" s="831" t="s">
        <v>5</v>
      </c>
      <c r="B492" s="832" t="s">
        <v>519</v>
      </c>
      <c r="C492" s="1175" t="s">
        <v>451</v>
      </c>
      <c r="D492" s="412">
        <f t="shared" si="3"/>
        <v>4</v>
      </c>
      <c r="E492" s="518"/>
      <c r="F492" s="397" t="s">
        <v>5</v>
      </c>
      <c r="G492" s="398" t="s">
        <v>85</v>
      </c>
      <c r="H492" s="399" t="s">
        <v>398</v>
      </c>
      <c r="I492" s="400" t="s">
        <v>447</v>
      </c>
      <c r="J492" s="410">
        <f t="shared" si="4"/>
        <v>4</v>
      </c>
    </row>
    <row r="493" spans="1:11" ht="25.5" x14ac:dyDescent="0.2">
      <c r="A493" s="831" t="s">
        <v>35</v>
      </c>
      <c r="B493" s="832" t="s">
        <v>510</v>
      </c>
      <c r="C493" s="1175" t="s">
        <v>452</v>
      </c>
      <c r="D493" s="412">
        <f t="shared" si="3"/>
        <v>5</v>
      </c>
      <c r="E493" s="518"/>
      <c r="F493" s="402" t="s">
        <v>35</v>
      </c>
      <c r="G493" s="403" t="s">
        <v>86</v>
      </c>
      <c r="H493" s="399" t="s">
        <v>429</v>
      </c>
      <c r="I493" s="400" t="s">
        <v>447</v>
      </c>
      <c r="J493" s="410">
        <f t="shared" si="4"/>
        <v>5</v>
      </c>
      <c r="K493" s="409" t="s">
        <v>444</v>
      </c>
    </row>
    <row r="494" spans="1:11" ht="63.75" x14ac:dyDescent="0.2">
      <c r="A494" s="831" t="s">
        <v>36</v>
      </c>
      <c r="B494" s="832" t="s">
        <v>442</v>
      </c>
      <c r="C494" s="1175" t="s">
        <v>445</v>
      </c>
      <c r="D494" s="412">
        <f t="shared" si="3"/>
        <v>6</v>
      </c>
      <c r="E494" s="518"/>
      <c r="F494" s="397" t="s">
        <v>36</v>
      </c>
      <c r="G494" s="398" t="s">
        <v>87</v>
      </c>
      <c r="H494" s="399" t="s">
        <v>429</v>
      </c>
      <c r="I494" s="400" t="s">
        <v>441</v>
      </c>
      <c r="J494" s="410">
        <f t="shared" si="4"/>
        <v>6</v>
      </c>
    </row>
    <row r="495" spans="1:11" x14ac:dyDescent="0.2">
      <c r="A495" s="831" t="s">
        <v>10</v>
      </c>
      <c r="B495" s="660" t="s">
        <v>516</v>
      </c>
      <c r="C495" s="1176" t="s">
        <v>517</v>
      </c>
      <c r="D495" s="412">
        <f t="shared" si="3"/>
        <v>7</v>
      </c>
      <c r="E495" s="518"/>
      <c r="F495" s="397" t="s">
        <v>10</v>
      </c>
      <c r="G495" s="398" t="s">
        <v>88</v>
      </c>
      <c r="H495" s="399" t="s">
        <v>429</v>
      </c>
      <c r="I495" s="400" t="s">
        <v>441</v>
      </c>
      <c r="J495" s="410">
        <f t="shared" si="4"/>
        <v>7</v>
      </c>
    </row>
    <row r="496" spans="1:11" x14ac:dyDescent="0.2">
      <c r="A496" s="831" t="s">
        <v>14</v>
      </c>
      <c r="B496" s="660" t="s">
        <v>516</v>
      </c>
      <c r="C496" s="1176" t="s">
        <v>518</v>
      </c>
      <c r="D496" s="412">
        <f t="shared" si="3"/>
        <v>8</v>
      </c>
      <c r="E496" s="518"/>
      <c r="F496" s="397" t="s">
        <v>14</v>
      </c>
      <c r="G496" s="398" t="s">
        <v>89</v>
      </c>
      <c r="H496" s="399" t="s">
        <v>398</v>
      </c>
      <c r="I496" s="400" t="s">
        <v>439</v>
      </c>
      <c r="J496" s="410">
        <f t="shared" si="4"/>
        <v>8</v>
      </c>
    </row>
    <row r="497" spans="1:11" ht="51" x14ac:dyDescent="0.2">
      <c r="A497" s="831" t="s">
        <v>37</v>
      </c>
      <c r="B497" s="833" t="s">
        <v>557</v>
      </c>
      <c r="C497" s="1176" t="s">
        <v>554</v>
      </c>
      <c r="D497" s="412">
        <f t="shared" si="3"/>
        <v>9</v>
      </c>
      <c r="E497" s="518"/>
      <c r="F497" s="397" t="s">
        <v>37</v>
      </c>
      <c r="G497" s="398" t="s">
        <v>90</v>
      </c>
      <c r="H497" s="399" t="s">
        <v>429</v>
      </c>
      <c r="I497" s="417" t="s">
        <v>399</v>
      </c>
      <c r="J497" s="410">
        <f t="shared" si="4"/>
        <v>9</v>
      </c>
    </row>
    <row r="498" spans="1:11" ht="25.5" x14ac:dyDescent="0.2">
      <c r="A498" s="831" t="s">
        <v>6</v>
      </c>
      <c r="B498" s="833" t="s">
        <v>515</v>
      </c>
      <c r="C498" s="1176" t="s">
        <v>513</v>
      </c>
      <c r="D498" s="412">
        <f t="shared" si="3"/>
        <v>10</v>
      </c>
      <c r="E498" s="518"/>
      <c r="F498" s="404" t="s">
        <v>6</v>
      </c>
      <c r="G498" s="405" t="s">
        <v>91</v>
      </c>
      <c r="H498" s="399" t="s">
        <v>398</v>
      </c>
      <c r="I498" s="400" t="s">
        <v>435</v>
      </c>
      <c r="J498" s="410">
        <f t="shared" si="4"/>
        <v>10</v>
      </c>
    </row>
    <row r="499" spans="1:11" ht="25.5" x14ac:dyDescent="0.2">
      <c r="A499" s="831" t="s">
        <v>9</v>
      </c>
      <c r="B499" s="834" t="s">
        <v>514</v>
      </c>
      <c r="C499" s="1176" t="s">
        <v>456</v>
      </c>
      <c r="D499" s="412">
        <f t="shared" si="3"/>
        <v>11</v>
      </c>
      <c r="E499" s="518"/>
      <c r="F499" s="397" t="s">
        <v>9</v>
      </c>
      <c r="G499" s="398" t="s">
        <v>92</v>
      </c>
      <c r="H499" s="399" t="s">
        <v>399</v>
      </c>
      <c r="I499" s="417" t="s">
        <v>399</v>
      </c>
      <c r="J499" s="410">
        <f t="shared" si="4"/>
        <v>11</v>
      </c>
    </row>
    <row r="500" spans="1:11" x14ac:dyDescent="0.2">
      <c r="A500" s="831" t="s">
        <v>12</v>
      </c>
      <c r="B500" s="660" t="s">
        <v>553</v>
      </c>
      <c r="C500" s="1176"/>
      <c r="D500" s="412">
        <f t="shared" si="3"/>
        <v>12</v>
      </c>
      <c r="E500" s="518"/>
      <c r="F500" s="397" t="s">
        <v>12</v>
      </c>
      <c r="G500" s="398" t="s">
        <v>93</v>
      </c>
      <c r="H500" s="399" t="s">
        <v>398</v>
      </c>
      <c r="I500" s="400" t="s">
        <v>443</v>
      </c>
      <c r="J500" s="410">
        <f t="shared" si="4"/>
        <v>12</v>
      </c>
    </row>
    <row r="501" spans="1:11" x14ac:dyDescent="0.2">
      <c r="A501" s="831" t="s">
        <v>13</v>
      </c>
      <c r="B501" s="660" t="s">
        <v>746</v>
      </c>
      <c r="C501" s="1176" t="s">
        <v>747</v>
      </c>
      <c r="D501" s="412">
        <f t="shared" si="3"/>
        <v>13</v>
      </c>
      <c r="E501" s="518"/>
      <c r="F501" s="397" t="s">
        <v>13</v>
      </c>
      <c r="G501" s="398" t="s">
        <v>94</v>
      </c>
      <c r="H501" s="399" t="s">
        <v>398</v>
      </c>
      <c r="I501" s="400" t="s">
        <v>441</v>
      </c>
      <c r="J501" s="410">
        <f t="shared" si="4"/>
        <v>13</v>
      </c>
    </row>
    <row r="502" spans="1:11" x14ac:dyDescent="0.2">
      <c r="A502" s="831" t="s">
        <v>7</v>
      </c>
      <c r="B502" s="1001" t="s">
        <v>759</v>
      </c>
      <c r="C502" s="1158" t="s">
        <v>758</v>
      </c>
      <c r="D502" s="412">
        <f t="shared" si="3"/>
        <v>14</v>
      </c>
      <c r="E502" s="518"/>
      <c r="F502" s="397" t="s">
        <v>7</v>
      </c>
      <c r="G502" s="398" t="s">
        <v>95</v>
      </c>
      <c r="H502" s="399" t="s">
        <v>398</v>
      </c>
      <c r="I502" s="400" t="s">
        <v>441</v>
      </c>
      <c r="J502" s="410">
        <f t="shared" si="4"/>
        <v>14</v>
      </c>
    </row>
    <row r="503" spans="1:11" x14ac:dyDescent="0.2">
      <c r="A503" s="831" t="s">
        <v>8</v>
      </c>
      <c r="B503" s="1001" t="s">
        <v>760</v>
      </c>
      <c r="C503" s="1177" t="s">
        <v>761</v>
      </c>
      <c r="D503" s="412">
        <f t="shared" si="3"/>
        <v>15</v>
      </c>
      <c r="E503" s="518"/>
      <c r="F503" s="397" t="s">
        <v>8</v>
      </c>
      <c r="G503" s="398" t="s">
        <v>96</v>
      </c>
      <c r="H503" s="399" t="s">
        <v>398</v>
      </c>
      <c r="I503" s="400" t="s">
        <v>446</v>
      </c>
      <c r="J503" s="410">
        <f t="shared" si="4"/>
        <v>15</v>
      </c>
    </row>
    <row r="504" spans="1:11" x14ac:dyDescent="0.2">
      <c r="A504" s="831" t="s">
        <v>16</v>
      </c>
      <c r="B504" s="834" t="s">
        <v>840</v>
      </c>
      <c r="C504" s="1176" t="s">
        <v>842</v>
      </c>
      <c r="D504" s="412">
        <f t="shared" si="3"/>
        <v>16</v>
      </c>
      <c r="E504" s="518"/>
      <c r="F504" s="397" t="s">
        <v>16</v>
      </c>
      <c r="G504" s="398" t="s">
        <v>97</v>
      </c>
      <c r="H504" s="399" t="s">
        <v>429</v>
      </c>
      <c r="I504" s="400" t="s">
        <v>446</v>
      </c>
      <c r="J504" s="410">
        <f t="shared" si="4"/>
        <v>16</v>
      </c>
    </row>
    <row r="505" spans="1:11" x14ac:dyDescent="0.2">
      <c r="A505" s="831" t="s">
        <v>17</v>
      </c>
      <c r="B505" s="834" t="s">
        <v>840</v>
      </c>
      <c r="C505" s="1176" t="s">
        <v>844</v>
      </c>
      <c r="D505" s="412">
        <f t="shared" si="3"/>
        <v>17</v>
      </c>
      <c r="E505" s="518"/>
      <c r="F505" s="402" t="s">
        <v>17</v>
      </c>
      <c r="G505" s="403" t="s">
        <v>86</v>
      </c>
      <c r="H505" s="399" t="s">
        <v>429</v>
      </c>
      <c r="I505" s="400" t="s">
        <v>447</v>
      </c>
      <c r="J505" s="410">
        <f t="shared" si="4"/>
        <v>17</v>
      </c>
      <c r="K505" s="409" t="s">
        <v>444</v>
      </c>
    </row>
    <row r="506" spans="1:11" x14ac:dyDescent="0.2">
      <c r="A506" s="831" t="s">
        <v>38</v>
      </c>
      <c r="B506" s="834" t="s">
        <v>840</v>
      </c>
      <c r="C506" s="1176" t="s">
        <v>843</v>
      </c>
      <c r="D506" s="412">
        <f t="shared" si="3"/>
        <v>18</v>
      </c>
      <c r="E506" s="518"/>
      <c r="F506" s="397" t="s">
        <v>38</v>
      </c>
      <c r="G506" s="398" t="s">
        <v>98</v>
      </c>
      <c r="H506" s="399" t="s">
        <v>429</v>
      </c>
      <c r="I506" s="400" t="s">
        <v>439</v>
      </c>
      <c r="J506" s="410">
        <f t="shared" si="4"/>
        <v>18</v>
      </c>
    </row>
    <row r="507" spans="1:11" x14ac:dyDescent="0.2">
      <c r="A507" s="831" t="s">
        <v>11</v>
      </c>
      <c r="B507" s="834" t="s">
        <v>851</v>
      </c>
      <c r="C507" s="1176"/>
      <c r="D507" s="412">
        <f t="shared" si="3"/>
        <v>19</v>
      </c>
      <c r="E507" s="518"/>
      <c r="F507" s="397" t="s">
        <v>11</v>
      </c>
      <c r="G507" s="398" t="s">
        <v>99</v>
      </c>
      <c r="H507" s="399" t="s">
        <v>429</v>
      </c>
      <c r="I507" s="417" t="s">
        <v>399</v>
      </c>
      <c r="J507" s="410">
        <f t="shared" si="4"/>
        <v>19</v>
      </c>
    </row>
    <row r="508" spans="1:11" x14ac:dyDescent="0.2">
      <c r="A508" s="831" t="s">
        <v>39</v>
      </c>
      <c r="B508" s="834"/>
      <c r="C508" s="1176"/>
      <c r="D508" s="412">
        <f t="shared" si="3"/>
        <v>20</v>
      </c>
      <c r="E508" s="518"/>
      <c r="F508" s="397" t="s">
        <v>39</v>
      </c>
      <c r="G508" s="398" t="s">
        <v>100</v>
      </c>
      <c r="H508" s="399" t="s">
        <v>429</v>
      </c>
      <c r="I508" s="417" t="s">
        <v>399</v>
      </c>
      <c r="J508" s="410">
        <f t="shared" si="4"/>
        <v>20</v>
      </c>
    </row>
    <row r="509" spans="1:11" x14ac:dyDescent="0.2">
      <c r="A509" s="831" t="s">
        <v>15</v>
      </c>
      <c r="B509" s="834"/>
      <c r="C509" s="1176"/>
      <c r="D509" s="412">
        <f t="shared" si="3"/>
        <v>21</v>
      </c>
      <c r="E509" s="518"/>
      <c r="F509" s="397" t="s">
        <v>15</v>
      </c>
      <c r="G509" s="398" t="s">
        <v>264</v>
      </c>
      <c r="H509" s="399" t="s">
        <v>429</v>
      </c>
      <c r="I509" s="400" t="s">
        <v>447</v>
      </c>
      <c r="J509" s="410">
        <f t="shared" si="4"/>
        <v>21</v>
      </c>
    </row>
    <row r="510" spans="1:11" x14ac:dyDescent="0.2">
      <c r="A510" s="831" t="s">
        <v>40</v>
      </c>
      <c r="B510" s="834"/>
      <c r="C510" s="1176"/>
      <c r="D510" s="412">
        <f t="shared" si="3"/>
        <v>22</v>
      </c>
      <c r="E510" s="518"/>
      <c r="F510" s="397" t="s">
        <v>40</v>
      </c>
      <c r="G510" s="398" t="s">
        <v>301</v>
      </c>
      <c r="H510" s="399" t="s">
        <v>429</v>
      </c>
      <c r="I510" s="417" t="s">
        <v>399</v>
      </c>
      <c r="J510" s="410">
        <f t="shared" si="4"/>
        <v>22</v>
      </c>
    </row>
    <row r="511" spans="1:11" x14ac:dyDescent="0.2">
      <c r="A511" s="831" t="s">
        <v>41</v>
      </c>
      <c r="B511" s="834"/>
      <c r="C511" s="1176"/>
      <c r="D511" s="412">
        <f t="shared" si="3"/>
        <v>23</v>
      </c>
      <c r="E511" s="518"/>
      <c r="F511" s="397" t="s">
        <v>41</v>
      </c>
      <c r="G511" s="398" t="s">
        <v>341</v>
      </c>
      <c r="H511" s="399" t="s">
        <v>398</v>
      </c>
      <c r="I511" s="400" t="s">
        <v>447</v>
      </c>
      <c r="J511" s="410">
        <f t="shared" si="4"/>
        <v>23</v>
      </c>
      <c r="K511" s="53" t="s">
        <v>511</v>
      </c>
    </row>
    <row r="512" spans="1:11" x14ac:dyDescent="0.2">
      <c r="A512" s="831" t="s">
        <v>42</v>
      </c>
      <c r="B512" s="660"/>
      <c r="C512" s="1176"/>
      <c r="D512" s="412">
        <f t="shared" si="3"/>
        <v>24</v>
      </c>
      <c r="E512" s="518"/>
      <c r="F512" s="397" t="s">
        <v>42</v>
      </c>
      <c r="G512" s="398" t="s">
        <v>355</v>
      </c>
      <c r="H512" s="399" t="s">
        <v>398</v>
      </c>
      <c r="I512" s="400" t="s">
        <v>446</v>
      </c>
      <c r="J512" s="410">
        <f t="shared" si="4"/>
        <v>24</v>
      </c>
      <c r="K512" s="20"/>
    </row>
    <row r="513" spans="1:10" x14ac:dyDescent="0.2">
      <c r="A513" s="831" t="s">
        <v>43</v>
      </c>
      <c r="B513" s="832"/>
      <c r="C513" s="1175"/>
      <c r="D513" s="412">
        <f t="shared" si="3"/>
        <v>25</v>
      </c>
      <c r="E513" s="518"/>
      <c r="F513" s="397" t="s">
        <v>43</v>
      </c>
      <c r="G513" s="398" t="s">
        <v>357</v>
      </c>
      <c r="H513" s="399" t="s">
        <v>429</v>
      </c>
      <c r="I513" s="417" t="s">
        <v>399</v>
      </c>
      <c r="J513" s="410">
        <f t="shared" si="4"/>
        <v>25</v>
      </c>
    </row>
    <row r="514" spans="1:10" x14ac:dyDescent="0.2">
      <c r="A514" s="831" t="s">
        <v>44</v>
      </c>
      <c r="B514" s="832"/>
      <c r="C514" s="1175"/>
      <c r="D514" s="412">
        <f t="shared" si="3"/>
        <v>26</v>
      </c>
      <c r="E514" s="518"/>
    </row>
    <row r="515" spans="1:10" x14ac:dyDescent="0.2">
      <c r="A515" s="831" t="s">
        <v>381</v>
      </c>
      <c r="B515" s="832"/>
      <c r="C515" s="1175"/>
      <c r="D515" s="412">
        <f t="shared" si="3"/>
        <v>27</v>
      </c>
      <c r="E515" s="518"/>
    </row>
    <row r="516" spans="1:10" x14ac:dyDescent="0.2">
      <c r="A516" s="831" t="s">
        <v>382</v>
      </c>
      <c r="B516" s="832"/>
      <c r="C516" s="1175"/>
      <c r="D516" s="412">
        <f t="shared" si="3"/>
        <v>28</v>
      </c>
      <c r="E516" s="518"/>
    </row>
    <row r="517" spans="1:10" x14ac:dyDescent="0.2">
      <c r="A517" s="831" t="s">
        <v>383</v>
      </c>
      <c r="B517" s="832"/>
      <c r="C517" s="1175"/>
      <c r="D517" s="412">
        <f t="shared" si="3"/>
        <v>29</v>
      </c>
      <c r="E517" s="518"/>
    </row>
    <row r="518" spans="1:10" x14ac:dyDescent="0.2">
      <c r="A518" s="831" t="s">
        <v>384</v>
      </c>
      <c r="B518" s="835"/>
      <c r="C518" s="1175"/>
      <c r="D518" s="412">
        <f t="shared" si="3"/>
        <v>30</v>
      </c>
      <c r="E518" s="518"/>
    </row>
    <row r="519" spans="1:10" x14ac:dyDescent="0.2">
      <c r="A519" s="831" t="s">
        <v>385</v>
      </c>
      <c r="B519" s="832"/>
      <c r="C519" s="1175"/>
      <c r="D519" s="412">
        <f t="shared" si="3"/>
        <v>31</v>
      </c>
      <c r="E519" s="518"/>
    </row>
    <row r="520" spans="1:10" x14ac:dyDescent="0.2">
      <c r="A520" s="831" t="s">
        <v>386</v>
      </c>
      <c r="B520" s="832"/>
      <c r="C520" s="1175"/>
      <c r="D520" s="412">
        <f t="shared" si="3"/>
        <v>32</v>
      </c>
      <c r="E520" s="518"/>
    </row>
    <row r="521" spans="1:10" x14ac:dyDescent="0.2">
      <c r="A521" s="101"/>
      <c r="D521" s="411"/>
    </row>
    <row r="522" spans="1:10" x14ac:dyDescent="0.2">
      <c r="A522" s="1178"/>
      <c r="B522" s="840"/>
      <c r="C522" s="1179"/>
      <c r="D522" s="59"/>
      <c r="F522" s="190"/>
      <c r="G522" s="190"/>
    </row>
    <row r="523" spans="1:10" x14ac:dyDescent="0.2">
      <c r="A523" s="101"/>
    </row>
    <row r="524" spans="1:10" x14ac:dyDescent="0.2">
      <c r="A524" s="101"/>
    </row>
    <row r="525" spans="1:10" x14ac:dyDescent="0.2">
      <c r="A525" s="101"/>
    </row>
    <row r="526" spans="1:10" x14ac:dyDescent="0.2">
      <c r="A526" s="504"/>
      <c r="B526" s="389"/>
      <c r="C526" s="1180"/>
      <c r="D526" s="414"/>
      <c r="E526" s="519"/>
    </row>
    <row r="527" spans="1:10" x14ac:dyDescent="0.2">
      <c r="A527" s="1174" t="s">
        <v>363</v>
      </c>
      <c r="B527" s="1181"/>
      <c r="C527" s="1182"/>
      <c r="D527" s="414"/>
      <c r="E527" s="519"/>
    </row>
    <row r="528" spans="1:10" x14ac:dyDescent="0.2">
      <c r="A528" s="505"/>
      <c r="B528" s="505" t="s">
        <v>282</v>
      </c>
      <c r="C528" s="1161"/>
      <c r="D528" s="414"/>
      <c r="E528" s="519"/>
    </row>
    <row r="529" spans="1:9" x14ac:dyDescent="0.2">
      <c r="A529" s="101">
        <v>3</v>
      </c>
      <c r="B529" s="390" t="s">
        <v>114</v>
      </c>
      <c r="C529" s="1183"/>
      <c r="D529" s="415">
        <v>1</v>
      </c>
      <c r="E529" s="520"/>
      <c r="F529" s="99">
        <v>3</v>
      </c>
      <c r="G529" s="51">
        <f>+A529-F529</f>
        <v>0</v>
      </c>
    </row>
    <row r="530" spans="1:9" x14ac:dyDescent="0.2">
      <c r="A530" s="101">
        <v>5</v>
      </c>
      <c r="B530" s="390" t="s">
        <v>115</v>
      </c>
      <c r="C530" s="1183"/>
      <c r="D530" s="415">
        <f>+D529+1</f>
        <v>2</v>
      </c>
      <c r="E530" s="520"/>
      <c r="F530" s="99">
        <v>5</v>
      </c>
      <c r="G530" s="51">
        <f t="shared" ref="G530:G595" si="5">+A530-F530</f>
        <v>0</v>
      </c>
    </row>
    <row r="531" spans="1:9" x14ac:dyDescent="0.2">
      <c r="A531" s="101">
        <v>7</v>
      </c>
      <c r="B531" s="41" t="s">
        <v>116</v>
      </c>
      <c r="C531" s="1184"/>
      <c r="D531" s="415">
        <f t="shared" ref="D531:D595" si="6">+D530+1</f>
        <v>3</v>
      </c>
      <c r="E531" s="520"/>
      <c r="F531" s="99">
        <v>7</v>
      </c>
      <c r="G531" s="51">
        <f t="shared" si="5"/>
        <v>0</v>
      </c>
    </row>
    <row r="532" spans="1:9" ht="25.5" x14ac:dyDescent="0.2">
      <c r="A532" s="101">
        <v>13</v>
      </c>
      <c r="B532" s="41" t="s">
        <v>117</v>
      </c>
      <c r="C532" s="1184"/>
      <c r="D532" s="415">
        <f t="shared" si="6"/>
        <v>4</v>
      </c>
      <c r="E532" s="520"/>
      <c r="F532" s="99">
        <v>13</v>
      </c>
      <c r="G532" s="51">
        <f t="shared" si="5"/>
        <v>0</v>
      </c>
    </row>
    <row r="533" spans="1:9" x14ac:dyDescent="0.2">
      <c r="A533" s="101">
        <v>16</v>
      </c>
      <c r="B533" s="39" t="s">
        <v>118</v>
      </c>
      <c r="C533" s="1185"/>
      <c r="D533" s="415">
        <f t="shared" si="6"/>
        <v>5</v>
      </c>
      <c r="E533" s="520"/>
      <c r="F533" s="99">
        <v>16</v>
      </c>
      <c r="G533" s="51">
        <f t="shared" si="5"/>
        <v>0</v>
      </c>
    </row>
    <row r="534" spans="1:9" x14ac:dyDescent="0.2">
      <c r="A534" s="101">
        <v>22</v>
      </c>
      <c r="B534" s="39" t="s">
        <v>109</v>
      </c>
      <c r="C534" s="1185"/>
      <c r="D534" s="415">
        <f t="shared" si="6"/>
        <v>6</v>
      </c>
      <c r="E534" s="520"/>
      <c r="F534" s="99">
        <v>22</v>
      </c>
      <c r="G534" s="51">
        <f t="shared" si="5"/>
        <v>0</v>
      </c>
    </row>
    <row r="535" spans="1:9" x14ac:dyDescent="0.2">
      <c r="A535" s="101">
        <v>24</v>
      </c>
      <c r="B535" s="41" t="s">
        <v>119</v>
      </c>
      <c r="C535" s="1184"/>
      <c r="D535" s="415">
        <f t="shared" si="6"/>
        <v>7</v>
      </c>
      <c r="E535" s="520"/>
      <c r="F535" s="99">
        <v>24</v>
      </c>
      <c r="G535" s="51">
        <f t="shared" si="5"/>
        <v>0</v>
      </c>
    </row>
    <row r="536" spans="1:9" x14ac:dyDescent="0.2">
      <c r="A536" s="101">
        <v>26</v>
      </c>
      <c r="B536" s="39" t="s">
        <v>121</v>
      </c>
      <c r="C536" s="1185"/>
      <c r="D536" s="415">
        <f t="shared" si="6"/>
        <v>8</v>
      </c>
      <c r="E536" s="520"/>
      <c r="F536" s="99">
        <v>26</v>
      </c>
      <c r="G536" s="51">
        <f t="shared" si="5"/>
        <v>0</v>
      </c>
    </row>
    <row r="537" spans="1:9" x14ac:dyDescent="0.2">
      <c r="A537" s="101">
        <v>27</v>
      </c>
      <c r="B537" s="390" t="s">
        <v>122</v>
      </c>
      <c r="C537" s="1183"/>
      <c r="D537" s="415">
        <f t="shared" si="6"/>
        <v>9</v>
      </c>
      <c r="E537" s="520"/>
      <c r="F537" s="99">
        <v>27</v>
      </c>
      <c r="G537" s="51">
        <f t="shared" si="5"/>
        <v>0</v>
      </c>
    </row>
    <row r="538" spans="1:9" x14ac:dyDescent="0.2">
      <c r="A538" s="101">
        <v>33</v>
      </c>
      <c r="B538" s="127" t="s">
        <v>123</v>
      </c>
      <c r="D538" s="415">
        <f t="shared" si="6"/>
        <v>10</v>
      </c>
      <c r="E538" s="520"/>
      <c r="F538" s="99">
        <v>33</v>
      </c>
      <c r="G538" s="51">
        <f>+A538-F538</f>
        <v>0</v>
      </c>
    </row>
    <row r="539" spans="1:9" x14ac:dyDescent="0.2">
      <c r="A539" s="101">
        <v>34</v>
      </c>
      <c r="B539" s="41" t="s">
        <v>124</v>
      </c>
      <c r="C539" s="1184"/>
      <c r="D539" s="415">
        <f t="shared" si="6"/>
        <v>11</v>
      </c>
      <c r="E539" s="520"/>
      <c r="F539" s="99"/>
      <c r="H539" s="99"/>
      <c r="I539" s="51"/>
    </row>
    <row r="540" spans="1:9" ht="25.5" x14ac:dyDescent="0.2">
      <c r="A540" s="101">
        <v>36</v>
      </c>
      <c r="B540" s="41" t="s">
        <v>125</v>
      </c>
      <c r="C540" s="1184"/>
      <c r="D540" s="415">
        <f t="shared" si="6"/>
        <v>12</v>
      </c>
      <c r="E540" s="520"/>
      <c r="F540" s="99">
        <v>36</v>
      </c>
      <c r="G540" s="51">
        <f t="shared" si="5"/>
        <v>0</v>
      </c>
    </row>
    <row r="541" spans="1:9" x14ac:dyDescent="0.2">
      <c r="A541" s="101">
        <v>38</v>
      </c>
      <c r="B541" s="39" t="s">
        <v>126</v>
      </c>
      <c r="C541" s="1185"/>
      <c r="D541" s="415">
        <f t="shared" si="6"/>
        <v>13</v>
      </c>
      <c r="E541" s="520"/>
      <c r="F541" s="99"/>
      <c r="H541" s="99">
        <v>38</v>
      </c>
      <c r="I541" s="117" t="s">
        <v>369</v>
      </c>
    </row>
    <row r="542" spans="1:9" x14ac:dyDescent="0.2">
      <c r="A542" s="101">
        <v>39</v>
      </c>
      <c r="B542" s="390" t="s">
        <v>127</v>
      </c>
      <c r="C542" s="1183"/>
      <c r="D542" s="415">
        <f t="shared" si="6"/>
        <v>14</v>
      </c>
      <c r="E542" s="520"/>
      <c r="F542" s="99">
        <v>39</v>
      </c>
      <c r="G542" s="51">
        <f t="shared" si="5"/>
        <v>0</v>
      </c>
    </row>
    <row r="543" spans="1:9" x14ac:dyDescent="0.2">
      <c r="A543" s="101">
        <v>46</v>
      </c>
      <c r="B543" s="127" t="s">
        <v>128</v>
      </c>
      <c r="D543" s="415">
        <f t="shared" si="6"/>
        <v>15</v>
      </c>
      <c r="E543" s="520"/>
      <c r="F543" s="101" t="s">
        <v>423</v>
      </c>
    </row>
    <row r="544" spans="1:9" x14ac:dyDescent="0.2">
      <c r="A544" s="101">
        <v>54</v>
      </c>
      <c r="B544" s="390" t="s">
        <v>129</v>
      </c>
      <c r="C544" s="1183"/>
      <c r="D544" s="415">
        <f t="shared" si="6"/>
        <v>16</v>
      </c>
      <c r="E544" s="520"/>
      <c r="F544" s="99">
        <v>54</v>
      </c>
      <c r="G544" s="51">
        <f t="shared" si="5"/>
        <v>0</v>
      </c>
    </row>
    <row r="545" spans="1:7" x14ac:dyDescent="0.2">
      <c r="A545" s="101">
        <v>55</v>
      </c>
      <c r="B545" s="390" t="s">
        <v>130</v>
      </c>
      <c r="C545" s="1183"/>
      <c r="D545" s="415">
        <f t="shared" si="6"/>
        <v>17</v>
      </c>
      <c r="E545" s="520"/>
      <c r="F545" s="99">
        <v>55</v>
      </c>
      <c r="G545" s="51">
        <f t="shared" si="5"/>
        <v>0</v>
      </c>
    </row>
    <row r="546" spans="1:7" x14ac:dyDescent="0.2">
      <c r="A546" s="101">
        <v>57</v>
      </c>
      <c r="B546" s="390" t="s">
        <v>131</v>
      </c>
      <c r="C546" s="1183"/>
      <c r="D546" s="415">
        <f t="shared" si="6"/>
        <v>18</v>
      </c>
      <c r="E546" s="520"/>
      <c r="F546" s="99">
        <v>57</v>
      </c>
      <c r="G546" s="51">
        <f t="shared" si="5"/>
        <v>0</v>
      </c>
    </row>
    <row r="547" spans="1:7" x14ac:dyDescent="0.2">
      <c r="A547" s="101">
        <v>58</v>
      </c>
      <c r="B547" s="390" t="s">
        <v>132</v>
      </c>
      <c r="C547" s="1183"/>
      <c r="D547" s="415">
        <f t="shared" si="6"/>
        <v>19</v>
      </c>
      <c r="E547" s="520"/>
      <c r="F547" s="99">
        <v>58</v>
      </c>
      <c r="G547" s="51">
        <f t="shared" si="5"/>
        <v>0</v>
      </c>
    </row>
    <row r="548" spans="1:7" x14ac:dyDescent="0.2">
      <c r="A548" s="101">
        <v>64</v>
      </c>
      <c r="B548" s="390" t="s">
        <v>133</v>
      </c>
      <c r="C548" s="1183"/>
      <c r="D548" s="415">
        <f t="shared" si="6"/>
        <v>20</v>
      </c>
      <c r="E548" s="520"/>
      <c r="F548" s="99">
        <v>64</v>
      </c>
      <c r="G548" s="51">
        <f t="shared" si="5"/>
        <v>0</v>
      </c>
    </row>
    <row r="549" spans="1:7" x14ac:dyDescent="0.2">
      <c r="A549" s="101">
        <v>66</v>
      </c>
      <c r="B549" s="390" t="s">
        <v>134</v>
      </c>
      <c r="C549" s="1183"/>
      <c r="D549" s="415">
        <f t="shared" si="6"/>
        <v>21</v>
      </c>
      <c r="E549" s="520"/>
      <c r="F549" s="99">
        <v>66</v>
      </c>
      <c r="G549" s="51">
        <f t="shared" si="5"/>
        <v>0</v>
      </c>
    </row>
    <row r="550" spans="1:7" x14ac:dyDescent="0.2">
      <c r="A550" s="101">
        <v>80</v>
      </c>
      <c r="B550" s="390" t="s">
        <v>136</v>
      </c>
      <c r="C550" s="1183"/>
      <c r="D550" s="415">
        <f t="shared" si="6"/>
        <v>22</v>
      </c>
      <c r="E550" s="520"/>
      <c r="F550" s="99">
        <v>80</v>
      </c>
      <c r="G550" s="51">
        <f t="shared" si="5"/>
        <v>0</v>
      </c>
    </row>
    <row r="551" spans="1:7" x14ac:dyDescent="0.2">
      <c r="A551" s="101">
        <v>82</v>
      </c>
      <c r="B551" s="390" t="s">
        <v>137</v>
      </c>
      <c r="C551" s="1183"/>
      <c r="D551" s="415">
        <f t="shared" si="6"/>
        <v>23</v>
      </c>
      <c r="E551" s="520"/>
      <c r="F551" s="99">
        <v>82</v>
      </c>
      <c r="G551" s="51">
        <f t="shared" si="5"/>
        <v>0</v>
      </c>
    </row>
    <row r="552" spans="1:7" x14ac:dyDescent="0.2">
      <c r="A552" s="101">
        <v>89</v>
      </c>
      <c r="B552" s="390" t="s">
        <v>138</v>
      </c>
      <c r="C552" s="1183"/>
      <c r="D552" s="415">
        <f t="shared" si="6"/>
        <v>24</v>
      </c>
      <c r="E552" s="520"/>
      <c r="F552" s="99">
        <v>89</v>
      </c>
      <c r="G552" s="51">
        <f t="shared" si="5"/>
        <v>0</v>
      </c>
    </row>
    <row r="553" spans="1:7" x14ac:dyDescent="0.2">
      <c r="A553" s="101">
        <v>93</v>
      </c>
      <c r="B553" s="390" t="s">
        <v>139</v>
      </c>
      <c r="C553" s="1183"/>
      <c r="D553" s="415">
        <f t="shared" si="6"/>
        <v>25</v>
      </c>
      <c r="E553" s="520"/>
      <c r="F553" s="99">
        <v>93</v>
      </c>
      <c r="G553" s="51">
        <f t="shared" si="5"/>
        <v>0</v>
      </c>
    </row>
    <row r="554" spans="1:7" x14ac:dyDescent="0.2">
      <c r="A554" s="101">
        <v>94</v>
      </c>
      <c r="B554" s="390" t="s">
        <v>140</v>
      </c>
      <c r="C554" s="1183"/>
      <c r="D554" s="415">
        <f t="shared" si="6"/>
        <v>26</v>
      </c>
      <c r="E554" s="520"/>
      <c r="F554" s="99">
        <v>94</v>
      </c>
      <c r="G554" s="51">
        <f t="shared" si="5"/>
        <v>0</v>
      </c>
    </row>
    <row r="555" spans="1:7" x14ac:dyDescent="0.2">
      <c r="A555" s="101">
        <v>102</v>
      </c>
      <c r="B555" s="390" t="s">
        <v>141</v>
      </c>
      <c r="C555" s="1183"/>
      <c r="D555" s="415">
        <f t="shared" si="6"/>
        <v>27</v>
      </c>
      <c r="E555" s="520"/>
      <c r="F555" s="99">
        <v>102</v>
      </c>
      <c r="G555" s="51">
        <f t="shared" si="5"/>
        <v>0</v>
      </c>
    </row>
    <row r="556" spans="1:7" x14ac:dyDescent="0.2">
      <c r="A556" s="101">
        <v>103</v>
      </c>
      <c r="B556" s="390" t="s">
        <v>112</v>
      </c>
      <c r="C556" s="1183"/>
      <c r="D556" s="415">
        <f t="shared" si="6"/>
        <v>28</v>
      </c>
      <c r="E556" s="520"/>
      <c r="F556" s="99">
        <v>103</v>
      </c>
      <c r="G556" s="51">
        <f t="shared" si="5"/>
        <v>0</v>
      </c>
    </row>
    <row r="557" spans="1:7" x14ac:dyDescent="0.2">
      <c r="A557" s="101">
        <v>104</v>
      </c>
      <c r="B557" s="390" t="s">
        <v>142</v>
      </c>
      <c r="C557" s="1183"/>
      <c r="D557" s="415">
        <f t="shared" si="6"/>
        <v>29</v>
      </c>
      <c r="E557" s="520"/>
      <c r="F557" s="99">
        <v>104</v>
      </c>
      <c r="G557" s="51">
        <f t="shared" si="5"/>
        <v>0</v>
      </c>
    </row>
    <row r="558" spans="1:7" x14ac:dyDescent="0.2">
      <c r="A558" s="101">
        <v>105</v>
      </c>
      <c r="B558" s="390" t="s">
        <v>143</v>
      </c>
      <c r="C558" s="1183"/>
      <c r="D558" s="415">
        <f t="shared" si="6"/>
        <v>30</v>
      </c>
      <c r="E558" s="520"/>
      <c r="F558" s="99">
        <v>105</v>
      </c>
      <c r="G558" s="51">
        <f t="shared" si="5"/>
        <v>0</v>
      </c>
    </row>
    <row r="559" spans="1:7" x14ac:dyDescent="0.2">
      <c r="A559" s="101">
        <v>106</v>
      </c>
      <c r="B559" s="390" t="s">
        <v>144</v>
      </c>
      <c r="C559" s="1183"/>
      <c r="D559" s="415">
        <f t="shared" si="6"/>
        <v>31</v>
      </c>
      <c r="E559" s="520"/>
      <c r="F559" s="99">
        <v>106</v>
      </c>
      <c r="G559" s="51">
        <f t="shared" si="5"/>
        <v>0</v>
      </c>
    </row>
    <row r="560" spans="1:7" x14ac:dyDescent="0.2">
      <c r="A560" s="101">
        <v>107</v>
      </c>
      <c r="B560" s="390" t="s">
        <v>110</v>
      </c>
      <c r="C560" s="1183"/>
      <c r="D560" s="415">
        <f t="shared" si="6"/>
        <v>32</v>
      </c>
      <c r="E560" s="520"/>
      <c r="F560" s="99">
        <v>107</v>
      </c>
      <c r="G560" s="51">
        <f t="shared" si="5"/>
        <v>0</v>
      </c>
    </row>
    <row r="561" spans="1:7" x14ac:dyDescent="0.2">
      <c r="A561" s="101">
        <v>114</v>
      </c>
      <c r="B561" s="390" t="s">
        <v>145</v>
      </c>
      <c r="C561" s="1183"/>
      <c r="D561" s="415">
        <f t="shared" si="6"/>
        <v>33</v>
      </c>
      <c r="E561" s="520"/>
      <c r="F561" s="99">
        <v>114</v>
      </c>
      <c r="G561" s="51">
        <f t="shared" si="5"/>
        <v>0</v>
      </c>
    </row>
    <row r="562" spans="1:7" x14ac:dyDescent="0.2">
      <c r="A562" s="101">
        <v>117</v>
      </c>
      <c r="B562" s="390" t="s">
        <v>146</v>
      </c>
      <c r="C562" s="1183"/>
      <c r="D562" s="415">
        <f t="shared" si="6"/>
        <v>34</v>
      </c>
      <c r="E562" s="520"/>
      <c r="F562" s="99">
        <v>117</v>
      </c>
      <c r="G562" s="51">
        <f t="shared" si="5"/>
        <v>0</v>
      </c>
    </row>
    <row r="563" spans="1:7" x14ac:dyDescent="0.2">
      <c r="A563" s="101">
        <v>120</v>
      </c>
      <c r="B563" s="390" t="s">
        <v>147</v>
      </c>
      <c r="C563" s="1183"/>
      <c r="D563" s="415">
        <f t="shared" si="6"/>
        <v>35</v>
      </c>
      <c r="E563" s="520"/>
      <c r="F563" s="99">
        <v>120</v>
      </c>
      <c r="G563" s="51">
        <f t="shared" si="5"/>
        <v>0</v>
      </c>
    </row>
    <row r="564" spans="1:7" x14ac:dyDescent="0.2">
      <c r="A564" s="101">
        <v>125</v>
      </c>
      <c r="B564" s="390" t="s">
        <v>149</v>
      </c>
      <c r="C564" s="1183"/>
      <c r="D564" s="415">
        <f t="shared" si="6"/>
        <v>36</v>
      </c>
      <c r="E564" s="520"/>
      <c r="F564" s="99">
        <v>125</v>
      </c>
      <c r="G564" s="51">
        <f t="shared" si="5"/>
        <v>0</v>
      </c>
    </row>
    <row r="565" spans="1:7" x14ac:dyDescent="0.2">
      <c r="A565" s="101">
        <v>130</v>
      </c>
      <c r="B565" s="390" t="s">
        <v>150</v>
      </c>
      <c r="C565" s="1183"/>
      <c r="D565" s="415">
        <f t="shared" si="6"/>
        <v>37</v>
      </c>
      <c r="E565" s="520"/>
      <c r="F565" s="99">
        <v>130</v>
      </c>
      <c r="G565" s="51">
        <f t="shared" si="5"/>
        <v>0</v>
      </c>
    </row>
    <row r="566" spans="1:7" x14ac:dyDescent="0.2">
      <c r="A566" s="101">
        <v>131</v>
      </c>
      <c r="B566" s="390" t="s">
        <v>151</v>
      </c>
      <c r="C566" s="1183"/>
      <c r="D566" s="415">
        <f t="shared" si="6"/>
        <v>38</v>
      </c>
      <c r="E566" s="520"/>
      <c r="F566" s="99">
        <v>131</v>
      </c>
      <c r="G566" s="51">
        <f t="shared" si="5"/>
        <v>0</v>
      </c>
    </row>
    <row r="567" spans="1:7" x14ac:dyDescent="0.2">
      <c r="A567" s="101">
        <v>135</v>
      </c>
      <c r="B567" s="390" t="s">
        <v>152</v>
      </c>
      <c r="C567" s="1183"/>
      <c r="D567" s="415">
        <f t="shared" si="6"/>
        <v>39</v>
      </c>
      <c r="E567" s="520"/>
      <c r="F567" s="99">
        <v>135</v>
      </c>
      <c r="G567" s="51">
        <f t="shared" si="5"/>
        <v>0</v>
      </c>
    </row>
    <row r="568" spans="1:7" x14ac:dyDescent="0.2">
      <c r="A568" s="101">
        <v>141</v>
      </c>
      <c r="B568" s="390" t="s">
        <v>153</v>
      </c>
      <c r="C568" s="1183"/>
      <c r="D568" s="415">
        <f t="shared" si="6"/>
        <v>40</v>
      </c>
      <c r="E568" s="520"/>
      <c r="F568" s="99">
        <v>141</v>
      </c>
      <c r="G568" s="51">
        <f t="shared" si="5"/>
        <v>0</v>
      </c>
    </row>
    <row r="569" spans="1:7" x14ac:dyDescent="0.2">
      <c r="A569" s="101">
        <v>148</v>
      </c>
      <c r="B569" s="390" t="s">
        <v>154</v>
      </c>
      <c r="C569" s="1183"/>
      <c r="D569" s="415">
        <f t="shared" si="6"/>
        <v>41</v>
      </c>
      <c r="E569" s="520"/>
      <c r="F569" s="99">
        <v>148</v>
      </c>
      <c r="G569" s="51">
        <f t="shared" si="5"/>
        <v>0</v>
      </c>
    </row>
    <row r="570" spans="1:7" x14ac:dyDescent="0.2">
      <c r="A570" s="101">
        <v>153</v>
      </c>
      <c r="B570" s="390" t="s">
        <v>155</v>
      </c>
      <c r="C570" s="1183"/>
      <c r="D570" s="415">
        <f t="shared" si="6"/>
        <v>42</v>
      </c>
      <c r="E570" s="520"/>
      <c r="F570" s="99">
        <v>153</v>
      </c>
      <c r="G570" s="51">
        <f t="shared" si="5"/>
        <v>0</v>
      </c>
    </row>
    <row r="571" spans="1:7" x14ac:dyDescent="0.2">
      <c r="A571" s="101">
        <v>156</v>
      </c>
      <c r="B571" s="390" t="s">
        <v>156</v>
      </c>
      <c r="C571" s="1183"/>
      <c r="D571" s="415">
        <f t="shared" si="6"/>
        <v>43</v>
      </c>
      <c r="E571" s="520"/>
      <c r="F571" s="99">
        <v>156</v>
      </c>
      <c r="G571" s="51">
        <f t="shared" si="5"/>
        <v>0</v>
      </c>
    </row>
    <row r="572" spans="1:7" x14ac:dyDescent="0.2">
      <c r="A572" s="101">
        <v>162</v>
      </c>
      <c r="B572" s="390" t="s">
        <v>158</v>
      </c>
      <c r="C572" s="1183"/>
      <c r="D572" s="415">
        <f t="shared" si="6"/>
        <v>44</v>
      </c>
      <c r="E572" s="520"/>
      <c r="F572" s="99">
        <v>162</v>
      </c>
      <c r="G572" s="51">
        <f t="shared" si="5"/>
        <v>0</v>
      </c>
    </row>
    <row r="573" spans="1:7" x14ac:dyDescent="0.2">
      <c r="A573" s="101">
        <v>163</v>
      </c>
      <c r="B573" s="390" t="s">
        <v>159</v>
      </c>
      <c r="C573" s="1183"/>
      <c r="D573" s="415">
        <f t="shared" si="6"/>
        <v>45</v>
      </c>
      <c r="E573" s="520"/>
      <c r="F573" s="99">
        <v>163</v>
      </c>
      <c r="G573" s="51">
        <f t="shared" si="5"/>
        <v>0</v>
      </c>
    </row>
    <row r="574" spans="1:7" x14ac:dyDescent="0.2">
      <c r="A574" s="101">
        <v>170</v>
      </c>
      <c r="B574" s="390" t="s">
        <v>160</v>
      </c>
      <c r="C574" s="1183"/>
      <c r="D574" s="415">
        <f t="shared" si="6"/>
        <v>46</v>
      </c>
      <c r="E574" s="520"/>
      <c r="F574" s="99">
        <v>170</v>
      </c>
      <c r="G574" s="51">
        <f t="shared" si="5"/>
        <v>0</v>
      </c>
    </row>
    <row r="575" spans="1:7" x14ac:dyDescent="0.2">
      <c r="A575" s="101">
        <v>172</v>
      </c>
      <c r="B575" s="390" t="s">
        <v>161</v>
      </c>
      <c r="C575" s="1183"/>
      <c r="D575" s="415">
        <f t="shared" si="6"/>
        <v>47</v>
      </c>
      <c r="E575" s="520"/>
      <c r="F575" s="99">
        <v>172</v>
      </c>
      <c r="G575" s="51">
        <f t="shared" si="5"/>
        <v>0</v>
      </c>
    </row>
    <row r="576" spans="1:7" x14ac:dyDescent="0.2">
      <c r="A576" s="101">
        <v>178</v>
      </c>
      <c r="B576" s="390" t="s">
        <v>162</v>
      </c>
      <c r="C576" s="1183"/>
      <c r="D576" s="415">
        <f t="shared" si="6"/>
        <v>48</v>
      </c>
      <c r="E576" s="520"/>
      <c r="F576" s="99">
        <v>178</v>
      </c>
      <c r="G576" s="51">
        <f t="shared" si="5"/>
        <v>0</v>
      </c>
    </row>
    <row r="577" spans="1:7" x14ac:dyDescent="0.2">
      <c r="A577" s="101">
        <v>179</v>
      </c>
      <c r="B577" s="390" t="s">
        <v>163</v>
      </c>
      <c r="C577" s="1183"/>
      <c r="D577" s="415">
        <f t="shared" si="6"/>
        <v>49</v>
      </c>
      <c r="E577" s="520"/>
      <c r="F577" s="99">
        <v>179</v>
      </c>
      <c r="G577" s="51">
        <f t="shared" si="5"/>
        <v>0</v>
      </c>
    </row>
    <row r="578" spans="1:7" x14ac:dyDescent="0.2">
      <c r="A578" s="101">
        <v>181</v>
      </c>
      <c r="B578" s="390" t="s">
        <v>108</v>
      </c>
      <c r="C578" s="1183"/>
      <c r="D578" s="415">
        <f t="shared" si="6"/>
        <v>50</v>
      </c>
      <c r="E578" s="520"/>
      <c r="F578" s="99">
        <v>181</v>
      </c>
      <c r="G578" s="51">
        <f t="shared" si="5"/>
        <v>0</v>
      </c>
    </row>
    <row r="579" spans="1:7" x14ac:dyDescent="0.2">
      <c r="A579" s="101">
        <v>184</v>
      </c>
      <c r="B579" s="390" t="s">
        <v>164</v>
      </c>
      <c r="C579" s="1183"/>
      <c r="D579" s="415">
        <f t="shared" si="6"/>
        <v>51</v>
      </c>
      <c r="E579" s="520"/>
      <c r="F579" s="99">
        <v>184</v>
      </c>
      <c r="G579" s="51">
        <f t="shared" si="5"/>
        <v>0</v>
      </c>
    </row>
    <row r="580" spans="1:7" x14ac:dyDescent="0.2">
      <c r="A580" s="101">
        <v>186</v>
      </c>
      <c r="B580" s="390" t="s">
        <v>165</v>
      </c>
      <c r="C580" s="1183"/>
      <c r="D580" s="415">
        <f t="shared" si="6"/>
        <v>52</v>
      </c>
      <c r="E580" s="520"/>
      <c r="F580" s="99">
        <v>186</v>
      </c>
      <c r="G580" s="51">
        <f t="shared" si="5"/>
        <v>0</v>
      </c>
    </row>
    <row r="581" spans="1:7" x14ac:dyDescent="0.2">
      <c r="A581" s="101">
        <v>195</v>
      </c>
      <c r="B581" s="390" t="s">
        <v>166</v>
      </c>
      <c r="C581" s="1183"/>
      <c r="D581" s="415">
        <f t="shared" si="6"/>
        <v>53</v>
      </c>
      <c r="E581" s="520"/>
      <c r="F581" s="99">
        <v>195</v>
      </c>
      <c r="G581" s="51">
        <f t="shared" si="5"/>
        <v>0</v>
      </c>
    </row>
    <row r="582" spans="1:7" x14ac:dyDescent="0.2">
      <c r="A582" s="101">
        <v>196</v>
      </c>
      <c r="B582" s="390" t="s">
        <v>167</v>
      </c>
      <c r="C582" s="1183"/>
      <c r="D582" s="415">
        <f t="shared" si="6"/>
        <v>54</v>
      </c>
      <c r="E582" s="520"/>
      <c r="F582" s="99">
        <v>196</v>
      </c>
      <c r="G582" s="51">
        <f t="shared" si="5"/>
        <v>0</v>
      </c>
    </row>
    <row r="583" spans="1:7" x14ac:dyDescent="0.2">
      <c r="A583" s="101">
        <v>201</v>
      </c>
      <c r="B583" s="390" t="s">
        <v>168</v>
      </c>
      <c r="C583" s="1183"/>
      <c r="D583" s="415">
        <f t="shared" si="6"/>
        <v>55</v>
      </c>
      <c r="E583" s="520"/>
      <c r="F583" s="99">
        <v>201</v>
      </c>
      <c r="G583" s="51">
        <f t="shared" si="5"/>
        <v>0</v>
      </c>
    </row>
    <row r="584" spans="1:7" x14ac:dyDescent="0.2">
      <c r="A584" s="101">
        <v>205</v>
      </c>
      <c r="B584" s="390" t="s">
        <v>169</v>
      </c>
      <c r="C584" s="1183"/>
      <c r="D584" s="415">
        <f t="shared" si="6"/>
        <v>56</v>
      </c>
      <c r="E584" s="520"/>
      <c r="F584" s="99">
        <v>205</v>
      </c>
      <c r="G584" s="51">
        <f t="shared" si="5"/>
        <v>0</v>
      </c>
    </row>
    <row r="585" spans="1:7" x14ac:dyDescent="0.2">
      <c r="A585" s="101">
        <v>218</v>
      </c>
      <c r="B585" s="390" t="s">
        <v>269</v>
      </c>
      <c r="C585" s="1183"/>
      <c r="D585" s="415">
        <f t="shared" si="6"/>
        <v>57</v>
      </c>
      <c r="E585" s="520"/>
      <c r="F585" s="99">
        <v>218</v>
      </c>
      <c r="G585" s="51">
        <f t="shared" si="5"/>
        <v>0</v>
      </c>
    </row>
    <row r="586" spans="1:7" x14ac:dyDescent="0.2">
      <c r="A586" s="101">
        <v>224</v>
      </c>
      <c r="B586" s="390" t="s">
        <v>170</v>
      </c>
      <c r="C586" s="1183"/>
      <c r="D586" s="415">
        <f t="shared" si="6"/>
        <v>58</v>
      </c>
      <c r="E586" s="520"/>
      <c r="F586" s="99">
        <v>224</v>
      </c>
      <c r="G586" s="51">
        <f t="shared" si="5"/>
        <v>0</v>
      </c>
    </row>
    <row r="587" spans="1:7" x14ac:dyDescent="0.2">
      <c r="A587" s="101">
        <v>228</v>
      </c>
      <c r="B587" s="390" t="s">
        <v>171</v>
      </c>
      <c r="C587" s="1183"/>
      <c r="D587" s="415">
        <f t="shared" si="6"/>
        <v>59</v>
      </c>
      <c r="E587" s="520"/>
      <c r="F587" s="99">
        <v>228</v>
      </c>
      <c r="G587" s="51">
        <f t="shared" si="5"/>
        <v>0</v>
      </c>
    </row>
    <row r="588" spans="1:7" x14ac:dyDescent="0.2">
      <c r="A588" s="101">
        <v>229</v>
      </c>
      <c r="B588" s="390" t="s">
        <v>172</v>
      </c>
      <c r="C588" s="1183"/>
      <c r="D588" s="415">
        <f t="shared" si="6"/>
        <v>60</v>
      </c>
      <c r="E588" s="520"/>
      <c r="F588" s="99">
        <v>229</v>
      </c>
      <c r="G588" s="51">
        <f t="shared" si="5"/>
        <v>0</v>
      </c>
    </row>
    <row r="589" spans="1:7" x14ac:dyDescent="0.2">
      <c r="A589" s="101">
        <v>230</v>
      </c>
      <c r="B589" s="390" t="s">
        <v>173</v>
      </c>
      <c r="C589" s="1183"/>
      <c r="D589" s="415">
        <f t="shared" si="6"/>
        <v>61</v>
      </c>
      <c r="E589" s="520"/>
      <c r="F589" s="99">
        <v>230</v>
      </c>
      <c r="G589" s="51">
        <f t="shared" si="5"/>
        <v>0</v>
      </c>
    </row>
    <row r="590" spans="1:7" x14ac:dyDescent="0.2">
      <c r="A590" s="101">
        <v>233</v>
      </c>
      <c r="B590" s="390" t="s">
        <v>174</v>
      </c>
      <c r="C590" s="1183"/>
      <c r="D590" s="415">
        <f t="shared" si="6"/>
        <v>62</v>
      </c>
      <c r="E590" s="520"/>
      <c r="F590" s="99">
        <v>233</v>
      </c>
      <c r="G590" s="51">
        <f t="shared" si="5"/>
        <v>0</v>
      </c>
    </row>
    <row r="591" spans="1:7" x14ac:dyDescent="0.2">
      <c r="A591" s="101">
        <v>237</v>
      </c>
      <c r="B591" s="390" t="s">
        <v>175</v>
      </c>
      <c r="C591" s="1183"/>
      <c r="D591" s="415">
        <f t="shared" si="6"/>
        <v>63</v>
      </c>
      <c r="E591" s="520"/>
      <c r="F591" s="99">
        <v>237</v>
      </c>
      <c r="G591" s="51">
        <f t="shared" si="5"/>
        <v>0</v>
      </c>
    </row>
    <row r="592" spans="1:7" x14ac:dyDescent="0.2">
      <c r="A592" s="101">
        <v>244</v>
      </c>
      <c r="B592" s="390" t="s">
        <v>176</v>
      </c>
      <c r="C592" s="1183"/>
      <c r="D592" s="415">
        <f t="shared" si="6"/>
        <v>64</v>
      </c>
      <c r="E592" s="520"/>
      <c r="F592" s="99">
        <v>244</v>
      </c>
      <c r="G592" s="51">
        <f t="shared" si="5"/>
        <v>0</v>
      </c>
    </row>
    <row r="593" spans="1:9" x14ac:dyDescent="0.2">
      <c r="A593" s="101">
        <v>247</v>
      </c>
      <c r="B593" s="390" t="s">
        <v>177</v>
      </c>
      <c r="C593" s="1183"/>
      <c r="D593" s="415">
        <f t="shared" si="6"/>
        <v>65</v>
      </c>
      <c r="E593" s="520"/>
      <c r="F593" s="99">
        <v>247</v>
      </c>
      <c r="G593" s="51">
        <f t="shared" si="5"/>
        <v>0</v>
      </c>
    </row>
    <row r="594" spans="1:9" x14ac:dyDescent="0.2">
      <c r="A594" s="101">
        <v>256</v>
      </c>
      <c r="B594" s="390" t="s">
        <v>178</v>
      </c>
      <c r="C594" s="1183"/>
      <c r="D594" s="415">
        <f t="shared" si="6"/>
        <v>66</v>
      </c>
      <c r="E594" s="520"/>
      <c r="F594" s="99">
        <v>256</v>
      </c>
      <c r="G594" s="51">
        <f t="shared" si="5"/>
        <v>0</v>
      </c>
    </row>
    <row r="595" spans="1:9" x14ac:dyDescent="0.2">
      <c r="A595" s="101">
        <v>257</v>
      </c>
      <c r="B595" s="390" t="s">
        <v>179</v>
      </c>
      <c r="C595" s="1183"/>
      <c r="D595" s="415">
        <f t="shared" si="6"/>
        <v>67</v>
      </c>
      <c r="E595" s="520"/>
      <c r="F595" s="99">
        <v>257</v>
      </c>
      <c r="G595" s="51">
        <f t="shared" si="5"/>
        <v>0</v>
      </c>
    </row>
    <row r="596" spans="1:9" x14ac:dyDescent="0.2">
      <c r="A596" s="101">
        <v>261</v>
      </c>
      <c r="B596" s="127" t="s">
        <v>183</v>
      </c>
      <c r="D596" s="415">
        <f>+D595+1</f>
        <v>68</v>
      </c>
      <c r="E596" s="520"/>
      <c r="F596" s="99"/>
    </row>
    <row r="597" spans="1:9" x14ac:dyDescent="0.2">
      <c r="A597" s="101">
        <v>268</v>
      </c>
      <c r="B597" s="390" t="s">
        <v>180</v>
      </c>
      <c r="C597" s="1183"/>
      <c r="D597" s="415">
        <f>+D596+1</f>
        <v>69</v>
      </c>
      <c r="E597" s="520"/>
      <c r="F597" s="99">
        <v>268</v>
      </c>
      <c r="G597" s="51">
        <f t="shared" ref="G597:G604" si="7">+A597-F597</f>
        <v>0</v>
      </c>
      <c r="H597" s="99">
        <v>261</v>
      </c>
      <c r="I597" s="51" t="s">
        <v>183</v>
      </c>
    </row>
    <row r="598" spans="1:9" x14ac:dyDescent="0.2">
      <c r="A598" s="101">
        <v>274</v>
      </c>
      <c r="B598" s="127" t="s">
        <v>415</v>
      </c>
      <c r="D598" s="415">
        <f>+D597+1</f>
        <v>70</v>
      </c>
      <c r="E598" s="520"/>
      <c r="F598" s="53" t="s">
        <v>416</v>
      </c>
      <c r="H598" s="99"/>
      <c r="I598" s="51"/>
    </row>
    <row r="599" spans="1:9" x14ac:dyDescent="0.2">
      <c r="A599" s="101">
        <v>279</v>
      </c>
      <c r="B599" s="390" t="s">
        <v>181</v>
      </c>
      <c r="C599" s="1183"/>
      <c r="D599" s="415">
        <f t="shared" ref="D599:D604" si="8">+D598+1</f>
        <v>71</v>
      </c>
      <c r="E599" s="520"/>
      <c r="F599" s="99">
        <v>279</v>
      </c>
      <c r="G599" s="51">
        <f t="shared" si="7"/>
        <v>0</v>
      </c>
    </row>
    <row r="600" spans="1:9" x14ac:dyDescent="0.2">
      <c r="A600" s="101">
        <v>281</v>
      </c>
      <c r="B600" s="390" t="s">
        <v>182</v>
      </c>
      <c r="C600" s="1183"/>
      <c r="D600" s="415">
        <f t="shared" si="8"/>
        <v>72</v>
      </c>
      <c r="E600" s="520"/>
      <c r="F600" s="99">
        <v>281</v>
      </c>
      <c r="G600" s="51">
        <f t="shared" si="7"/>
        <v>0</v>
      </c>
    </row>
    <row r="601" spans="1:9" x14ac:dyDescent="0.2">
      <c r="A601" s="101">
        <v>304</v>
      </c>
      <c r="B601" s="390" t="s">
        <v>270</v>
      </c>
      <c r="C601" s="1183"/>
      <c r="D601" s="415">
        <f t="shared" si="8"/>
        <v>73</v>
      </c>
      <c r="E601" s="520"/>
      <c r="F601" s="99">
        <v>304</v>
      </c>
      <c r="G601" s="51">
        <f t="shared" si="7"/>
        <v>0</v>
      </c>
    </row>
    <row r="602" spans="1:9" x14ac:dyDescent="0.2">
      <c r="A602" s="101">
        <v>308</v>
      </c>
      <c r="B602" s="390" t="s">
        <v>271</v>
      </c>
      <c r="C602" s="1183"/>
      <c r="D602" s="415">
        <f t="shared" si="8"/>
        <v>74</v>
      </c>
      <c r="E602" s="520"/>
      <c r="F602" s="99">
        <v>308</v>
      </c>
      <c r="G602" s="51">
        <f t="shared" si="7"/>
        <v>0</v>
      </c>
    </row>
    <row r="603" spans="1:9" x14ac:dyDescent="0.2">
      <c r="A603" s="101">
        <v>309</v>
      </c>
      <c r="B603" s="390" t="s">
        <v>272</v>
      </c>
      <c r="C603" s="1183"/>
      <c r="D603" s="415">
        <f t="shared" si="8"/>
        <v>75</v>
      </c>
      <c r="E603" s="520"/>
      <c r="F603" s="99">
        <v>309</v>
      </c>
      <c r="G603" s="51">
        <f t="shared" si="7"/>
        <v>0</v>
      </c>
    </row>
    <row r="604" spans="1:9" x14ac:dyDescent="0.2">
      <c r="A604" s="101">
        <v>327</v>
      </c>
      <c r="B604" s="127" t="s">
        <v>333</v>
      </c>
      <c r="D604" s="415">
        <f t="shared" si="8"/>
        <v>76</v>
      </c>
      <c r="E604" s="520"/>
      <c r="F604" s="99">
        <v>327</v>
      </c>
      <c r="G604" s="51">
        <f t="shared" si="7"/>
        <v>0</v>
      </c>
    </row>
    <row r="605" spans="1:9" x14ac:dyDescent="0.2">
      <c r="A605" s="504"/>
      <c r="B605" s="389"/>
      <c r="C605" s="1180"/>
      <c r="D605" s="414"/>
      <c r="E605" s="519"/>
      <c r="F605" s="99"/>
    </row>
    <row r="606" spans="1:9" x14ac:dyDescent="0.2">
      <c r="A606" s="1352" t="s">
        <v>30</v>
      </c>
      <c r="B606" s="1352"/>
      <c r="C606" s="1161"/>
      <c r="D606" s="98"/>
      <c r="E606" s="517"/>
    </row>
    <row r="607" spans="1:9" x14ac:dyDescent="0.2">
      <c r="A607" s="101"/>
      <c r="D607" s="411"/>
    </row>
    <row r="608" spans="1:9" x14ac:dyDescent="0.2">
      <c r="A608" s="101">
        <v>3</v>
      </c>
      <c r="B608" s="127" t="s">
        <v>48</v>
      </c>
      <c r="D608" s="411"/>
      <c r="F608" s="99">
        <v>3</v>
      </c>
    </row>
    <row r="609" spans="1:6" x14ac:dyDescent="0.2">
      <c r="A609" s="101">
        <v>5</v>
      </c>
      <c r="B609" s="127" t="s">
        <v>50</v>
      </c>
      <c r="D609" s="411"/>
      <c r="F609" s="99">
        <v>5</v>
      </c>
    </row>
  </sheetData>
  <sortState xmlns:xlrd2="http://schemas.microsoft.com/office/spreadsheetml/2017/richdata2" ref="A12:B375">
    <sortCondition ref="B12:B375"/>
  </sortState>
  <mergeCells count="4">
    <mergeCell ref="A606:B606"/>
    <mergeCell ref="A486:C486"/>
    <mergeCell ref="A418:C418"/>
    <mergeCell ref="A8:C8"/>
  </mergeCells>
  <phoneticPr fontId="71" type="noConversion"/>
  <printOptions horizontalCentered="1"/>
  <pageMargins left="0.19685039370078741" right="0.19685039370078741" top="0.78740157480314965" bottom="0.19685039370078741" header="0" footer="0"/>
  <pageSetup scale="79" orientation="portrait" r:id="rId1"/>
  <headerFooter alignWithMargins="0"/>
  <rowBreaks count="1" manualBreakCount="1">
    <brk id="484" max="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8680-4097-41F6-A6D3-19DFA0B48AD9}">
  <dimension ref="A1:K608"/>
  <sheetViews>
    <sheetView workbookViewId="0">
      <selection activeCell="A2" sqref="A2"/>
    </sheetView>
  </sheetViews>
  <sheetFormatPr baseColWidth="10" defaultColWidth="9.6640625" defaultRowHeight="12.75" x14ac:dyDescent="0.2"/>
  <cols>
    <col min="1" max="1" width="6.6640625" style="66" customWidth="1"/>
    <col min="2" max="2" width="50.77734375" style="127" customWidth="1"/>
    <col min="3" max="3" width="50.77734375" style="1061" customWidth="1"/>
    <col min="4" max="4" width="2.6640625" style="413" customWidth="1"/>
    <col min="5" max="5" width="15.33203125" style="516" customWidth="1"/>
    <col min="6" max="6" width="11.6640625" style="51" customWidth="1"/>
    <col min="7" max="7" width="35.77734375" style="51" customWidth="1"/>
    <col min="8" max="8" width="9.6640625" style="51" bestFit="1"/>
    <col min="9" max="9" width="14.88671875" style="126" customWidth="1"/>
    <col min="10" max="10" width="2.77734375" style="57" customWidth="1"/>
    <col min="11" max="11" width="9.6640625" style="51"/>
    <col min="12" max="12" width="14.77734375" style="51" bestFit="1" customWidth="1"/>
    <col min="13" max="13" width="9.6640625" style="51"/>
    <col min="14" max="14" width="13.44140625" style="51" customWidth="1"/>
    <col min="15" max="16384" width="9.6640625" style="51"/>
  </cols>
  <sheetData>
    <row r="1" spans="1:5" ht="12" customHeight="1" x14ac:dyDescent="0.2">
      <c r="A1" s="66" t="s">
        <v>2052</v>
      </c>
      <c r="D1" s="411"/>
      <c r="E1" s="206"/>
    </row>
    <row r="2" spans="1:5" ht="12" customHeight="1" x14ac:dyDescent="0.2">
      <c r="A2" s="66" t="s">
        <v>260</v>
      </c>
      <c r="D2" s="411"/>
    </row>
    <row r="3" spans="1:5" ht="12" customHeight="1" x14ac:dyDescent="0.2">
      <c r="A3" s="66" t="s">
        <v>683</v>
      </c>
      <c r="B3" s="770">
        <v>2024</v>
      </c>
      <c r="C3" s="1159"/>
      <c r="D3" s="411"/>
    </row>
    <row r="4" spans="1:5" ht="12" customHeight="1" x14ac:dyDescent="0.2">
      <c r="A4" s="322"/>
      <c r="B4" s="386"/>
      <c r="C4" s="1159"/>
      <c r="D4" s="411"/>
    </row>
    <row r="5" spans="1:5" ht="25.5" x14ac:dyDescent="0.2">
      <c r="A5" s="1062" t="s">
        <v>4</v>
      </c>
      <c r="B5" s="1160" t="s">
        <v>438</v>
      </c>
      <c r="C5" s="1161" t="s">
        <v>26</v>
      </c>
      <c r="D5" s="273"/>
    </row>
    <row r="6" spans="1:5" x14ac:dyDescent="0.2">
      <c r="A6" s="323"/>
      <c r="B6" s="387"/>
      <c r="C6" s="556"/>
      <c r="D6" s="411"/>
      <c r="E6" s="206" t="s">
        <v>659</v>
      </c>
    </row>
    <row r="7" spans="1:5" x14ac:dyDescent="0.2">
      <c r="A7" s="101"/>
      <c r="B7" s="388"/>
      <c r="D7" s="411"/>
    </row>
    <row r="8" spans="1:5" x14ac:dyDescent="0.2">
      <c r="A8" s="1354" t="s">
        <v>450</v>
      </c>
      <c r="B8" s="1354"/>
      <c r="C8" s="1354"/>
      <c r="D8" s="411"/>
    </row>
    <row r="9" spans="1:5" ht="25.5" x14ac:dyDescent="0.2">
      <c r="A9" s="1062" t="s">
        <v>4</v>
      </c>
      <c r="B9" s="1160" t="s">
        <v>579</v>
      </c>
      <c r="C9" s="1161" t="s">
        <v>26</v>
      </c>
      <c r="D9" s="411"/>
    </row>
    <row r="10" spans="1:5" x14ac:dyDescent="0.2">
      <c r="A10" s="101"/>
      <c r="B10" s="388"/>
      <c r="D10" s="411"/>
    </row>
    <row r="11" spans="1:5" x14ac:dyDescent="0.2">
      <c r="A11" s="392">
        <v>0</v>
      </c>
      <c r="B11" s="394" t="s">
        <v>1683</v>
      </c>
      <c r="C11" s="1163"/>
      <c r="D11" s="411"/>
    </row>
    <row r="12" spans="1:5" x14ac:dyDescent="0.2">
      <c r="A12" s="392">
        <v>1</v>
      </c>
      <c r="B12" s="394" t="s">
        <v>1684</v>
      </c>
      <c r="C12" s="1163"/>
      <c r="D12" s="411"/>
    </row>
    <row r="13" spans="1:5" x14ac:dyDescent="0.2">
      <c r="A13" s="392">
        <v>2</v>
      </c>
      <c r="B13" s="394" t="s">
        <v>1685</v>
      </c>
      <c r="C13" s="1162"/>
      <c r="D13" s="411"/>
    </row>
    <row r="14" spans="1:5" x14ac:dyDescent="0.2">
      <c r="A14" s="392">
        <v>3</v>
      </c>
      <c r="B14" s="394" t="s">
        <v>1686</v>
      </c>
      <c r="C14" s="1162"/>
      <c r="D14" s="411"/>
    </row>
    <row r="15" spans="1:5" x14ac:dyDescent="0.2">
      <c r="A15" s="392">
        <v>4</v>
      </c>
      <c r="B15" s="394" t="s">
        <v>1687</v>
      </c>
      <c r="C15" s="1162"/>
      <c r="D15" s="411"/>
    </row>
    <row r="16" spans="1:5" x14ac:dyDescent="0.2">
      <c r="A16" s="392">
        <v>5</v>
      </c>
      <c r="B16" s="394" t="s">
        <v>1688</v>
      </c>
      <c r="C16" s="1162"/>
      <c r="D16" s="411"/>
    </row>
    <row r="17" spans="1:3" x14ac:dyDescent="0.2">
      <c r="A17" s="392">
        <v>6</v>
      </c>
      <c r="B17" s="394" t="s">
        <v>1689</v>
      </c>
      <c r="C17" s="1163"/>
    </row>
    <row r="18" spans="1:3" x14ac:dyDescent="0.2">
      <c r="A18" s="392">
        <v>7</v>
      </c>
      <c r="B18" s="394" t="s">
        <v>1690</v>
      </c>
      <c r="C18" s="1163"/>
    </row>
    <row r="19" spans="1:3" x14ac:dyDescent="0.2">
      <c r="A19" s="392">
        <v>8</v>
      </c>
      <c r="B19" s="394" t="s">
        <v>1691</v>
      </c>
      <c r="C19" s="1163"/>
    </row>
    <row r="20" spans="1:3" x14ac:dyDescent="0.2">
      <c r="A20" s="392">
        <v>9</v>
      </c>
      <c r="B20" s="394" t="s">
        <v>1692</v>
      </c>
      <c r="C20" s="1163"/>
    </row>
    <row r="21" spans="1:3" x14ac:dyDescent="0.2">
      <c r="A21" s="392">
        <v>10</v>
      </c>
      <c r="B21" s="394" t="s">
        <v>1693</v>
      </c>
      <c r="C21" s="1162"/>
    </row>
    <row r="22" spans="1:3" x14ac:dyDescent="0.2">
      <c r="A22" s="392">
        <v>11</v>
      </c>
      <c r="B22" s="394" t="s">
        <v>1694</v>
      </c>
      <c r="C22" s="1162"/>
    </row>
    <row r="23" spans="1:3" x14ac:dyDescent="0.2">
      <c r="A23" s="392">
        <v>12</v>
      </c>
      <c r="B23" s="394" t="s">
        <v>1695</v>
      </c>
      <c r="C23" s="1162"/>
    </row>
    <row r="24" spans="1:3" x14ac:dyDescent="0.2">
      <c r="A24" s="392">
        <v>14</v>
      </c>
      <c r="B24" s="394" t="s">
        <v>1696</v>
      </c>
      <c r="C24" s="1162"/>
    </row>
    <row r="25" spans="1:3" x14ac:dyDescent="0.2">
      <c r="A25" s="392">
        <v>15</v>
      </c>
      <c r="B25" s="394" t="s">
        <v>1697</v>
      </c>
      <c r="C25" s="1162"/>
    </row>
    <row r="26" spans="1:3" x14ac:dyDescent="0.2">
      <c r="A26" s="392">
        <v>16</v>
      </c>
      <c r="B26" s="394" t="s">
        <v>1698</v>
      </c>
      <c r="C26" s="1162"/>
    </row>
    <row r="27" spans="1:3" x14ac:dyDescent="0.2">
      <c r="A27" s="392">
        <v>17</v>
      </c>
      <c r="B27" s="394" t="s">
        <v>1699</v>
      </c>
      <c r="C27" s="1163"/>
    </row>
    <row r="28" spans="1:3" x14ac:dyDescent="0.2">
      <c r="A28" s="392">
        <v>18</v>
      </c>
      <c r="B28" s="394" t="s">
        <v>1700</v>
      </c>
      <c r="C28" s="1162"/>
    </row>
    <row r="29" spans="1:3" x14ac:dyDescent="0.2">
      <c r="A29" s="514">
        <v>19</v>
      </c>
      <c r="B29" s="394" t="s">
        <v>1701</v>
      </c>
      <c r="C29" s="1164"/>
    </row>
    <row r="30" spans="1:3" x14ac:dyDescent="0.2">
      <c r="A30" s="514">
        <v>20</v>
      </c>
      <c r="B30" s="394" t="s">
        <v>1702</v>
      </c>
      <c r="C30" s="1164"/>
    </row>
    <row r="31" spans="1:3" x14ac:dyDescent="0.2">
      <c r="A31" s="392">
        <v>21</v>
      </c>
      <c r="B31" s="394" t="s">
        <v>1703</v>
      </c>
      <c r="C31" s="1163"/>
    </row>
    <row r="32" spans="1:3" x14ac:dyDescent="0.2">
      <c r="A32" s="392">
        <v>22</v>
      </c>
      <c r="B32" s="394" t="s">
        <v>1704</v>
      </c>
      <c r="C32" s="1162"/>
    </row>
    <row r="33" spans="1:3" x14ac:dyDescent="0.2">
      <c r="A33" s="392">
        <v>23</v>
      </c>
      <c r="B33" s="394" t="s">
        <v>1705</v>
      </c>
      <c r="C33" s="1162"/>
    </row>
    <row r="34" spans="1:3" x14ac:dyDescent="0.2">
      <c r="A34" s="392">
        <v>24</v>
      </c>
      <c r="B34" s="394" t="s">
        <v>1706</v>
      </c>
      <c r="C34" s="1162"/>
    </row>
    <row r="35" spans="1:3" x14ac:dyDescent="0.2">
      <c r="A35" s="392">
        <v>25</v>
      </c>
      <c r="B35" s="394" t="s">
        <v>1707</v>
      </c>
      <c r="C35" s="1162"/>
    </row>
    <row r="36" spans="1:3" x14ac:dyDescent="0.2">
      <c r="A36" s="392">
        <v>26</v>
      </c>
      <c r="B36" s="394" t="s">
        <v>1708</v>
      </c>
      <c r="C36" s="1162"/>
    </row>
    <row r="37" spans="1:3" x14ac:dyDescent="0.2">
      <c r="A37" s="392">
        <v>27</v>
      </c>
      <c r="B37" s="394" t="s">
        <v>1709</v>
      </c>
      <c r="C37" s="1162"/>
    </row>
    <row r="38" spans="1:3" x14ac:dyDescent="0.2">
      <c r="A38" s="392">
        <v>28</v>
      </c>
      <c r="B38" s="394" t="s">
        <v>1710</v>
      </c>
      <c r="C38" s="1167" t="s">
        <v>582</v>
      </c>
    </row>
    <row r="39" spans="1:3" x14ac:dyDescent="0.2">
      <c r="A39" s="392">
        <v>29</v>
      </c>
      <c r="B39" s="394" t="s">
        <v>1711</v>
      </c>
      <c r="C39" s="1162"/>
    </row>
    <row r="40" spans="1:3" x14ac:dyDescent="0.2">
      <c r="A40" s="392">
        <v>30</v>
      </c>
      <c r="B40" s="394" t="s">
        <v>1712</v>
      </c>
      <c r="C40" s="1162"/>
    </row>
    <row r="41" spans="1:3" x14ac:dyDescent="0.2">
      <c r="A41" s="392">
        <v>31</v>
      </c>
      <c r="B41" s="394" t="s">
        <v>1713</v>
      </c>
      <c r="C41" s="1162"/>
    </row>
    <row r="42" spans="1:3" x14ac:dyDescent="0.2">
      <c r="A42" s="392">
        <v>32</v>
      </c>
      <c r="B42" s="394" t="s">
        <v>1714</v>
      </c>
      <c r="C42" s="1162"/>
    </row>
    <row r="43" spans="1:3" x14ac:dyDescent="0.2">
      <c r="A43" s="392">
        <v>33</v>
      </c>
      <c r="B43" s="394" t="s">
        <v>1715</v>
      </c>
      <c r="C43" s="1162"/>
    </row>
    <row r="44" spans="1:3" x14ac:dyDescent="0.2">
      <c r="A44" s="392">
        <v>34</v>
      </c>
      <c r="B44" s="394" t="s">
        <v>1716</v>
      </c>
      <c r="C44" s="1162"/>
    </row>
    <row r="45" spans="1:3" x14ac:dyDescent="0.2">
      <c r="A45" s="392">
        <v>34</v>
      </c>
      <c r="B45" s="394" t="s">
        <v>1717</v>
      </c>
      <c r="C45" s="1162"/>
    </row>
    <row r="46" spans="1:3" x14ac:dyDescent="0.2">
      <c r="A46" s="392">
        <v>35</v>
      </c>
      <c r="B46" s="394" t="s">
        <v>1718</v>
      </c>
      <c r="C46" s="1162"/>
    </row>
    <row r="47" spans="1:3" x14ac:dyDescent="0.2">
      <c r="A47" s="392">
        <v>36</v>
      </c>
      <c r="B47" s="394" t="s">
        <v>1719</v>
      </c>
      <c r="C47" s="1162"/>
    </row>
    <row r="48" spans="1:3" x14ac:dyDescent="0.2">
      <c r="A48" s="392">
        <v>37</v>
      </c>
      <c r="B48" s="394" t="s">
        <v>1720</v>
      </c>
      <c r="C48" s="1167" t="s">
        <v>540</v>
      </c>
    </row>
    <row r="49" spans="1:3" x14ac:dyDescent="0.2">
      <c r="A49" s="392">
        <v>38</v>
      </c>
      <c r="B49" s="394" t="s">
        <v>1721</v>
      </c>
      <c r="C49" s="1162"/>
    </row>
    <row r="50" spans="1:3" x14ac:dyDescent="0.2">
      <c r="A50" s="392">
        <v>39</v>
      </c>
      <c r="B50" s="394" t="s">
        <v>1722</v>
      </c>
      <c r="C50" s="1162"/>
    </row>
    <row r="51" spans="1:3" x14ac:dyDescent="0.2">
      <c r="A51" s="392">
        <v>40</v>
      </c>
      <c r="B51" s="394" t="s">
        <v>1723</v>
      </c>
      <c r="C51" s="1163"/>
    </row>
    <row r="52" spans="1:3" x14ac:dyDescent="0.2">
      <c r="A52" s="392">
        <v>41</v>
      </c>
      <c r="B52" s="394" t="s">
        <v>1724</v>
      </c>
      <c r="C52" s="1162"/>
    </row>
    <row r="53" spans="1:3" x14ac:dyDescent="0.2">
      <c r="A53" s="392">
        <v>42</v>
      </c>
      <c r="B53" s="394" t="s">
        <v>1725</v>
      </c>
      <c r="C53" s="1162"/>
    </row>
    <row r="54" spans="1:3" x14ac:dyDescent="0.2">
      <c r="A54" s="392">
        <v>43</v>
      </c>
      <c r="B54" s="394" t="s">
        <v>1726</v>
      </c>
      <c r="C54" s="1162"/>
    </row>
    <row r="55" spans="1:3" x14ac:dyDescent="0.2">
      <c r="A55" s="392">
        <v>44</v>
      </c>
      <c r="B55" s="394" t="s">
        <v>1727</v>
      </c>
      <c r="C55" s="1162"/>
    </row>
    <row r="56" spans="1:3" x14ac:dyDescent="0.2">
      <c r="A56" s="392">
        <v>45</v>
      </c>
      <c r="B56" s="394" t="s">
        <v>1728</v>
      </c>
      <c r="C56" s="1162"/>
    </row>
    <row r="57" spans="1:3" x14ac:dyDescent="0.2">
      <c r="A57" s="392">
        <v>46</v>
      </c>
      <c r="B57" s="394" t="s">
        <v>1729</v>
      </c>
      <c r="C57" s="1162"/>
    </row>
    <row r="58" spans="1:3" x14ac:dyDescent="0.2">
      <c r="A58" s="392">
        <v>47</v>
      </c>
      <c r="B58" s="394" t="s">
        <v>1730</v>
      </c>
      <c r="C58" s="1162"/>
    </row>
    <row r="59" spans="1:3" x14ac:dyDescent="0.2">
      <c r="A59" s="392">
        <v>48</v>
      </c>
      <c r="B59" s="394" t="s">
        <v>1731</v>
      </c>
      <c r="C59" s="1162"/>
    </row>
    <row r="60" spans="1:3" x14ac:dyDescent="0.2">
      <c r="A60" s="514">
        <v>49</v>
      </c>
      <c r="B60" s="394" t="s">
        <v>1732</v>
      </c>
      <c r="C60" s="1164"/>
    </row>
    <row r="61" spans="1:3" x14ac:dyDescent="0.2">
      <c r="A61" s="392">
        <v>50</v>
      </c>
      <c r="B61" s="394" t="s">
        <v>1733</v>
      </c>
      <c r="C61" s="1162"/>
    </row>
    <row r="62" spans="1:3" x14ac:dyDescent="0.2">
      <c r="A62" s="392">
        <v>51</v>
      </c>
      <c r="B62" s="394" t="s">
        <v>1734</v>
      </c>
      <c r="C62" s="1162"/>
    </row>
    <row r="63" spans="1:3" x14ac:dyDescent="0.2">
      <c r="A63" s="392">
        <v>52</v>
      </c>
      <c r="B63" s="394" t="s">
        <v>1735</v>
      </c>
      <c r="C63" s="1162"/>
    </row>
    <row r="64" spans="1:3" x14ac:dyDescent="0.2">
      <c r="A64" s="392">
        <v>53</v>
      </c>
      <c r="B64" s="394" t="s">
        <v>1736</v>
      </c>
      <c r="C64" s="1162"/>
    </row>
    <row r="65" spans="1:3" x14ac:dyDescent="0.2">
      <c r="A65" s="392">
        <v>54</v>
      </c>
      <c r="B65" s="394" t="s">
        <v>1737</v>
      </c>
      <c r="C65" s="1162"/>
    </row>
    <row r="66" spans="1:3" x14ac:dyDescent="0.2">
      <c r="A66" s="392">
        <v>55</v>
      </c>
      <c r="B66" s="394" t="s">
        <v>1738</v>
      </c>
      <c r="C66" s="1162"/>
    </row>
    <row r="67" spans="1:3" x14ac:dyDescent="0.2">
      <c r="A67" s="392">
        <v>56</v>
      </c>
      <c r="B67" s="394" t="s">
        <v>1739</v>
      </c>
      <c r="C67" s="1162"/>
    </row>
    <row r="68" spans="1:3" x14ac:dyDescent="0.2">
      <c r="A68" s="392">
        <v>57</v>
      </c>
      <c r="B68" s="394" t="s">
        <v>1740</v>
      </c>
      <c r="C68" s="1162"/>
    </row>
    <row r="69" spans="1:3" x14ac:dyDescent="0.2">
      <c r="A69" s="392">
        <v>58</v>
      </c>
      <c r="B69" s="394" t="s">
        <v>1741</v>
      </c>
      <c r="C69" s="1162"/>
    </row>
    <row r="70" spans="1:3" x14ac:dyDescent="0.2">
      <c r="A70" s="392">
        <v>59</v>
      </c>
      <c r="B70" s="394" t="s">
        <v>1742</v>
      </c>
      <c r="C70" s="1162"/>
    </row>
    <row r="71" spans="1:3" x14ac:dyDescent="0.2">
      <c r="A71" s="392">
        <v>60</v>
      </c>
      <c r="B71" s="394" t="s">
        <v>1743</v>
      </c>
      <c r="C71" s="1162"/>
    </row>
    <row r="72" spans="1:3" x14ac:dyDescent="0.2">
      <c r="A72" s="392">
        <v>61</v>
      </c>
      <c r="B72" s="394" t="s">
        <v>1744</v>
      </c>
      <c r="C72" s="1162"/>
    </row>
    <row r="73" spans="1:3" x14ac:dyDescent="0.2">
      <c r="A73" s="392">
        <v>62</v>
      </c>
      <c r="B73" s="394" t="s">
        <v>1745</v>
      </c>
      <c r="C73" s="1162"/>
    </row>
    <row r="74" spans="1:3" x14ac:dyDescent="0.2">
      <c r="A74" s="392">
        <v>63</v>
      </c>
      <c r="B74" s="394" t="s">
        <v>1746</v>
      </c>
      <c r="C74" s="1162"/>
    </row>
    <row r="75" spans="1:3" x14ac:dyDescent="0.2">
      <c r="A75" s="392">
        <v>64</v>
      </c>
      <c r="B75" s="394" t="s">
        <v>1747</v>
      </c>
      <c r="C75" s="1162"/>
    </row>
    <row r="76" spans="1:3" x14ac:dyDescent="0.2">
      <c r="A76" s="392">
        <v>65</v>
      </c>
      <c r="B76" s="394" t="s">
        <v>1748</v>
      </c>
      <c r="C76" s="1162"/>
    </row>
    <row r="77" spans="1:3" x14ac:dyDescent="0.2">
      <c r="A77" s="392">
        <v>66</v>
      </c>
      <c r="B77" s="394" t="s">
        <v>1749</v>
      </c>
      <c r="C77" s="1162"/>
    </row>
    <row r="78" spans="1:3" x14ac:dyDescent="0.2">
      <c r="A78" s="392">
        <v>67</v>
      </c>
      <c r="B78" s="394" t="s">
        <v>1750</v>
      </c>
      <c r="C78" s="1162"/>
    </row>
    <row r="79" spans="1:3" x14ac:dyDescent="0.2">
      <c r="A79" s="392">
        <v>68</v>
      </c>
      <c r="B79" s="394" t="s">
        <v>1751</v>
      </c>
      <c r="C79" s="1162"/>
    </row>
    <row r="80" spans="1:3" x14ac:dyDescent="0.2">
      <c r="A80" s="392">
        <v>69</v>
      </c>
      <c r="B80" s="394" t="s">
        <v>1752</v>
      </c>
      <c r="C80" s="1162"/>
    </row>
    <row r="81" spans="1:3" x14ac:dyDescent="0.2">
      <c r="A81" s="392">
        <v>70</v>
      </c>
      <c r="B81" s="394" t="s">
        <v>1753</v>
      </c>
      <c r="C81" s="1162"/>
    </row>
    <row r="82" spans="1:3" x14ac:dyDescent="0.2">
      <c r="A82" s="392">
        <v>71</v>
      </c>
      <c r="B82" s="394" t="s">
        <v>1754</v>
      </c>
      <c r="C82" s="1162"/>
    </row>
    <row r="83" spans="1:3" x14ac:dyDescent="0.2">
      <c r="A83" s="392">
        <v>72</v>
      </c>
      <c r="B83" s="394" t="s">
        <v>1755</v>
      </c>
      <c r="C83" s="1162"/>
    </row>
    <row r="84" spans="1:3" x14ac:dyDescent="0.2">
      <c r="A84" s="392">
        <v>73</v>
      </c>
      <c r="B84" s="394" t="s">
        <v>1756</v>
      </c>
      <c r="C84" s="1162"/>
    </row>
    <row r="85" spans="1:3" x14ac:dyDescent="0.2">
      <c r="A85" s="392">
        <v>74</v>
      </c>
      <c r="B85" s="394" t="s">
        <v>1757</v>
      </c>
      <c r="C85" s="1167" t="s">
        <v>582</v>
      </c>
    </row>
    <row r="86" spans="1:3" x14ac:dyDescent="0.2">
      <c r="A86" s="392">
        <v>75</v>
      </c>
      <c r="B86" s="394" t="s">
        <v>1758</v>
      </c>
      <c r="C86" s="1162"/>
    </row>
    <row r="87" spans="1:3" x14ac:dyDescent="0.2">
      <c r="A87" s="392">
        <v>76</v>
      </c>
      <c r="B87" s="394" t="s">
        <v>1759</v>
      </c>
      <c r="C87" s="1162"/>
    </row>
    <row r="88" spans="1:3" x14ac:dyDescent="0.2">
      <c r="A88" s="392">
        <v>77</v>
      </c>
      <c r="B88" s="394" t="s">
        <v>1760</v>
      </c>
      <c r="C88" s="1162"/>
    </row>
    <row r="89" spans="1:3" x14ac:dyDescent="0.2">
      <c r="A89" s="392">
        <v>78</v>
      </c>
      <c r="B89" s="394" t="s">
        <v>1761</v>
      </c>
      <c r="C89" s="1162"/>
    </row>
    <row r="90" spans="1:3" x14ac:dyDescent="0.2">
      <c r="A90" s="392">
        <v>79</v>
      </c>
      <c r="B90" s="394" t="s">
        <v>1762</v>
      </c>
      <c r="C90" s="1162"/>
    </row>
    <row r="91" spans="1:3" x14ac:dyDescent="0.2">
      <c r="A91" s="392">
        <v>80</v>
      </c>
      <c r="B91" s="394" t="s">
        <v>1763</v>
      </c>
      <c r="C91" s="1162"/>
    </row>
    <row r="92" spans="1:3" x14ac:dyDescent="0.2">
      <c r="A92" s="392">
        <v>81</v>
      </c>
      <c r="B92" s="394" t="s">
        <v>1764</v>
      </c>
      <c r="C92" s="1162"/>
    </row>
    <row r="93" spans="1:3" x14ac:dyDescent="0.2">
      <c r="A93" s="392">
        <v>82</v>
      </c>
      <c r="B93" s="394" t="s">
        <v>1765</v>
      </c>
      <c r="C93" s="1162"/>
    </row>
    <row r="94" spans="1:3" x14ac:dyDescent="0.2">
      <c r="A94" s="392">
        <v>83</v>
      </c>
      <c r="B94" s="394" t="s">
        <v>1766</v>
      </c>
      <c r="C94" s="1162"/>
    </row>
    <row r="95" spans="1:3" x14ac:dyDescent="0.2">
      <c r="A95" s="392">
        <v>84</v>
      </c>
      <c r="B95" s="394" t="s">
        <v>1767</v>
      </c>
      <c r="C95" s="1162"/>
    </row>
    <row r="96" spans="1:3" x14ac:dyDescent="0.2">
      <c r="A96" s="392">
        <v>85</v>
      </c>
      <c r="B96" s="394" t="s">
        <v>1768</v>
      </c>
      <c r="C96" s="1162"/>
    </row>
    <row r="97" spans="1:3" x14ac:dyDescent="0.2">
      <c r="A97" s="392">
        <v>86</v>
      </c>
      <c r="B97" s="394" t="s">
        <v>1769</v>
      </c>
      <c r="C97" s="1162"/>
    </row>
    <row r="98" spans="1:3" x14ac:dyDescent="0.2">
      <c r="A98" s="392">
        <v>87</v>
      </c>
      <c r="B98" s="394" t="s">
        <v>1770</v>
      </c>
      <c r="C98" s="1162"/>
    </row>
    <row r="99" spans="1:3" x14ac:dyDescent="0.2">
      <c r="A99" s="392">
        <v>88</v>
      </c>
      <c r="B99" s="394" t="s">
        <v>1771</v>
      </c>
      <c r="C99" s="1162"/>
    </row>
    <row r="100" spans="1:3" x14ac:dyDescent="0.2">
      <c r="A100" s="392">
        <v>89</v>
      </c>
      <c r="B100" s="394" t="s">
        <v>1772</v>
      </c>
      <c r="C100" s="1162"/>
    </row>
    <row r="101" spans="1:3" x14ac:dyDescent="0.2">
      <c r="A101" s="392">
        <v>90</v>
      </c>
      <c r="B101" s="394" t="s">
        <v>1773</v>
      </c>
      <c r="C101" s="1162"/>
    </row>
    <row r="102" spans="1:3" x14ac:dyDescent="0.2">
      <c r="A102" s="392">
        <v>91</v>
      </c>
      <c r="B102" s="394" t="s">
        <v>1774</v>
      </c>
      <c r="C102" s="1162"/>
    </row>
    <row r="103" spans="1:3" x14ac:dyDescent="0.2">
      <c r="A103" s="852">
        <v>92</v>
      </c>
      <c r="B103" s="394" t="s">
        <v>1775</v>
      </c>
      <c r="C103" s="1168"/>
    </row>
    <row r="104" spans="1:3" x14ac:dyDescent="0.2">
      <c r="A104" s="392">
        <v>93</v>
      </c>
      <c r="B104" s="394" t="s">
        <v>1776</v>
      </c>
      <c r="C104" s="1162"/>
    </row>
    <row r="105" spans="1:3" x14ac:dyDescent="0.2">
      <c r="A105" s="392">
        <v>94</v>
      </c>
      <c r="B105" s="394" t="s">
        <v>1777</v>
      </c>
      <c r="C105" s="1162"/>
    </row>
    <row r="106" spans="1:3" x14ac:dyDescent="0.2">
      <c r="A106" s="392">
        <v>95</v>
      </c>
      <c r="B106" s="394" t="s">
        <v>1778</v>
      </c>
      <c r="C106" s="1162"/>
    </row>
    <row r="107" spans="1:3" x14ac:dyDescent="0.2">
      <c r="A107" s="392">
        <v>96</v>
      </c>
      <c r="B107" s="394" t="s">
        <v>1779</v>
      </c>
      <c r="C107" s="1162"/>
    </row>
    <row r="108" spans="1:3" x14ac:dyDescent="0.2">
      <c r="A108" s="392">
        <v>97</v>
      </c>
      <c r="B108" s="394" t="s">
        <v>1780</v>
      </c>
      <c r="C108" s="1162"/>
    </row>
    <row r="109" spans="1:3" x14ac:dyDescent="0.2">
      <c r="A109" s="392">
        <v>98</v>
      </c>
      <c r="B109" s="394" t="s">
        <v>1781</v>
      </c>
      <c r="C109" s="1162"/>
    </row>
    <row r="110" spans="1:3" x14ac:dyDescent="0.2">
      <c r="A110" s="392">
        <v>99</v>
      </c>
      <c r="B110" s="394" t="s">
        <v>1782</v>
      </c>
      <c r="C110" s="1162"/>
    </row>
    <row r="111" spans="1:3" x14ac:dyDescent="0.2">
      <c r="A111" s="392">
        <v>100</v>
      </c>
      <c r="B111" s="394" t="s">
        <v>1783</v>
      </c>
      <c r="C111" s="1162"/>
    </row>
    <row r="112" spans="1:3" x14ac:dyDescent="0.2">
      <c r="A112" s="392">
        <v>101</v>
      </c>
      <c r="B112" s="394" t="s">
        <v>1784</v>
      </c>
      <c r="C112" s="1162"/>
    </row>
    <row r="113" spans="1:3" x14ac:dyDescent="0.2">
      <c r="A113" s="392">
        <v>102</v>
      </c>
      <c r="B113" s="394" t="s">
        <v>1785</v>
      </c>
      <c r="C113" s="1162"/>
    </row>
    <row r="114" spans="1:3" x14ac:dyDescent="0.2">
      <c r="A114" s="392">
        <v>103</v>
      </c>
      <c r="B114" s="394" t="s">
        <v>1786</v>
      </c>
      <c r="C114" s="1162"/>
    </row>
    <row r="115" spans="1:3" x14ac:dyDescent="0.2">
      <c r="A115" s="392">
        <v>104</v>
      </c>
      <c r="B115" s="394" t="s">
        <v>1787</v>
      </c>
      <c r="C115" s="1162"/>
    </row>
    <row r="116" spans="1:3" x14ac:dyDescent="0.2">
      <c r="A116" s="392">
        <v>105</v>
      </c>
      <c r="B116" s="394" t="s">
        <v>1788</v>
      </c>
      <c r="C116" s="1162"/>
    </row>
    <row r="117" spans="1:3" x14ac:dyDescent="0.2">
      <c r="A117" s="392">
        <v>106</v>
      </c>
      <c r="B117" s="394" t="s">
        <v>1789</v>
      </c>
      <c r="C117" s="1162"/>
    </row>
    <row r="118" spans="1:3" x14ac:dyDescent="0.2">
      <c r="A118" s="392">
        <v>107</v>
      </c>
      <c r="B118" s="394" t="s">
        <v>1790</v>
      </c>
      <c r="C118" s="1162"/>
    </row>
    <row r="119" spans="1:3" x14ac:dyDescent="0.2">
      <c r="A119" s="392">
        <v>108</v>
      </c>
      <c r="B119" s="394" t="s">
        <v>1791</v>
      </c>
      <c r="C119" s="1162"/>
    </row>
    <row r="120" spans="1:3" x14ac:dyDescent="0.2">
      <c r="A120" s="392">
        <v>109</v>
      </c>
      <c r="B120" s="394" t="s">
        <v>1792</v>
      </c>
      <c r="C120" s="1162"/>
    </row>
    <row r="121" spans="1:3" x14ac:dyDescent="0.2">
      <c r="A121" s="392">
        <v>110</v>
      </c>
      <c r="B121" s="394" t="s">
        <v>1793</v>
      </c>
      <c r="C121" s="1162"/>
    </row>
    <row r="122" spans="1:3" x14ac:dyDescent="0.2">
      <c r="A122" s="392">
        <v>111</v>
      </c>
      <c r="B122" s="394" t="s">
        <v>1794</v>
      </c>
      <c r="C122" s="1162"/>
    </row>
    <row r="123" spans="1:3" x14ac:dyDescent="0.2">
      <c r="A123" s="392">
        <v>112</v>
      </c>
      <c r="B123" s="394" t="s">
        <v>1795</v>
      </c>
      <c r="C123" s="1162"/>
    </row>
    <row r="124" spans="1:3" x14ac:dyDescent="0.2">
      <c r="A124" s="392">
        <v>113</v>
      </c>
      <c r="B124" s="394" t="s">
        <v>1796</v>
      </c>
      <c r="C124" s="1162"/>
    </row>
    <row r="125" spans="1:3" x14ac:dyDescent="0.2">
      <c r="A125" s="867">
        <v>114</v>
      </c>
      <c r="B125" s="394" t="s">
        <v>1797</v>
      </c>
      <c r="C125" s="1169"/>
    </row>
    <row r="126" spans="1:3" x14ac:dyDescent="0.2">
      <c r="A126" s="392">
        <v>115</v>
      </c>
      <c r="B126" s="394" t="s">
        <v>1798</v>
      </c>
      <c r="C126" s="1162"/>
    </row>
    <row r="127" spans="1:3" x14ac:dyDescent="0.2">
      <c r="A127" s="392">
        <v>116</v>
      </c>
      <c r="B127" s="394" t="s">
        <v>1799</v>
      </c>
      <c r="C127" s="1162"/>
    </row>
    <row r="128" spans="1:3" x14ac:dyDescent="0.2">
      <c r="A128" s="392">
        <v>117</v>
      </c>
      <c r="B128" s="394" t="s">
        <v>1800</v>
      </c>
      <c r="C128" s="1162"/>
    </row>
    <row r="129" spans="1:3" x14ac:dyDescent="0.2">
      <c r="A129" s="392">
        <v>118</v>
      </c>
      <c r="B129" s="394" t="s">
        <v>1801</v>
      </c>
      <c r="C129" s="1162"/>
    </row>
    <row r="130" spans="1:3" x14ac:dyDescent="0.2">
      <c r="A130" s="392">
        <v>119</v>
      </c>
      <c r="B130" s="394" t="s">
        <v>1802</v>
      </c>
      <c r="C130" s="1162"/>
    </row>
    <row r="131" spans="1:3" x14ac:dyDescent="0.2">
      <c r="A131" s="392">
        <v>120</v>
      </c>
      <c r="B131" s="394" t="s">
        <v>1803</v>
      </c>
      <c r="C131" s="1162"/>
    </row>
    <row r="132" spans="1:3" x14ac:dyDescent="0.2">
      <c r="A132" s="392">
        <v>121</v>
      </c>
      <c r="B132" s="394" t="s">
        <v>1804</v>
      </c>
      <c r="C132" s="1162"/>
    </row>
    <row r="133" spans="1:3" x14ac:dyDescent="0.2">
      <c r="A133" s="392">
        <v>122</v>
      </c>
      <c r="B133" s="394" t="s">
        <v>1805</v>
      </c>
      <c r="C133" s="1162"/>
    </row>
    <row r="134" spans="1:3" x14ac:dyDescent="0.2">
      <c r="A134" s="392">
        <v>123</v>
      </c>
      <c r="B134" s="394" t="s">
        <v>1806</v>
      </c>
      <c r="C134" s="1162"/>
    </row>
    <row r="135" spans="1:3" x14ac:dyDescent="0.2">
      <c r="A135" s="392">
        <v>124</v>
      </c>
      <c r="B135" s="394" t="s">
        <v>1807</v>
      </c>
      <c r="C135" s="1162"/>
    </row>
    <row r="136" spans="1:3" x14ac:dyDescent="0.2">
      <c r="A136" s="392">
        <v>125</v>
      </c>
      <c r="B136" s="394" t="s">
        <v>1808</v>
      </c>
      <c r="C136" s="1162"/>
    </row>
    <row r="137" spans="1:3" x14ac:dyDescent="0.2">
      <c r="A137" s="392">
        <v>126</v>
      </c>
      <c r="B137" s="394" t="s">
        <v>1809</v>
      </c>
      <c r="C137" s="1162"/>
    </row>
    <row r="138" spans="1:3" x14ac:dyDescent="0.2">
      <c r="A138" s="392">
        <v>127</v>
      </c>
      <c r="B138" s="394" t="s">
        <v>1810</v>
      </c>
      <c r="C138" s="1162"/>
    </row>
    <row r="139" spans="1:3" x14ac:dyDescent="0.2">
      <c r="A139" s="392">
        <v>128</v>
      </c>
      <c r="B139" s="394" t="s">
        <v>1811</v>
      </c>
      <c r="C139" s="1162"/>
    </row>
    <row r="140" spans="1:3" x14ac:dyDescent="0.2">
      <c r="A140" s="392">
        <v>129</v>
      </c>
      <c r="B140" s="394" t="s">
        <v>1812</v>
      </c>
      <c r="C140" s="1162"/>
    </row>
    <row r="141" spans="1:3" x14ac:dyDescent="0.2">
      <c r="A141" s="392">
        <v>130</v>
      </c>
      <c r="B141" s="394" t="s">
        <v>1813</v>
      </c>
      <c r="C141" s="1162"/>
    </row>
    <row r="142" spans="1:3" x14ac:dyDescent="0.2">
      <c r="A142" s="392">
        <v>131</v>
      </c>
      <c r="B142" s="394" t="s">
        <v>1814</v>
      </c>
      <c r="C142" s="1162"/>
    </row>
    <row r="143" spans="1:3" x14ac:dyDescent="0.2">
      <c r="A143" s="392">
        <v>132</v>
      </c>
      <c r="B143" s="394" t="s">
        <v>1815</v>
      </c>
      <c r="C143" s="1162"/>
    </row>
    <row r="144" spans="1:3" x14ac:dyDescent="0.2">
      <c r="A144" s="392">
        <v>133</v>
      </c>
      <c r="B144" s="394" t="s">
        <v>1816</v>
      </c>
      <c r="C144" s="1162"/>
    </row>
    <row r="145" spans="1:3" x14ac:dyDescent="0.2">
      <c r="A145" s="392">
        <v>134</v>
      </c>
      <c r="B145" s="394" t="s">
        <v>1817</v>
      </c>
      <c r="C145" s="1162"/>
    </row>
    <row r="146" spans="1:3" x14ac:dyDescent="0.2">
      <c r="A146" s="392">
        <v>135</v>
      </c>
      <c r="B146" s="394" t="s">
        <v>1818</v>
      </c>
      <c r="C146" s="1162"/>
    </row>
    <row r="147" spans="1:3" x14ac:dyDescent="0.2">
      <c r="A147" s="392">
        <v>136</v>
      </c>
      <c r="B147" s="394" t="s">
        <v>1819</v>
      </c>
      <c r="C147" s="1162"/>
    </row>
    <row r="148" spans="1:3" x14ac:dyDescent="0.2">
      <c r="A148" s="392">
        <v>137</v>
      </c>
      <c r="B148" s="394" t="s">
        <v>1820</v>
      </c>
      <c r="C148" s="1162"/>
    </row>
    <row r="149" spans="1:3" x14ac:dyDescent="0.2">
      <c r="A149" s="392">
        <v>138</v>
      </c>
      <c r="B149" s="394" t="s">
        <v>1821</v>
      </c>
      <c r="C149" s="1162"/>
    </row>
    <row r="150" spans="1:3" x14ac:dyDescent="0.2">
      <c r="A150" s="392">
        <v>139</v>
      </c>
      <c r="B150" s="394" t="s">
        <v>1822</v>
      </c>
      <c r="C150" s="1162"/>
    </row>
    <row r="151" spans="1:3" x14ac:dyDescent="0.2">
      <c r="A151" s="392">
        <v>140</v>
      </c>
      <c r="B151" s="394" t="s">
        <v>1823</v>
      </c>
      <c r="C151" s="1162"/>
    </row>
    <row r="152" spans="1:3" x14ac:dyDescent="0.2">
      <c r="A152" s="392">
        <v>141</v>
      </c>
      <c r="B152" s="394" t="s">
        <v>1824</v>
      </c>
      <c r="C152" s="1162"/>
    </row>
    <row r="153" spans="1:3" x14ac:dyDescent="0.2">
      <c r="A153" s="392">
        <v>142</v>
      </c>
      <c r="B153" s="394" t="s">
        <v>1825</v>
      </c>
      <c r="C153" s="1162"/>
    </row>
    <row r="154" spans="1:3" x14ac:dyDescent="0.2">
      <c r="A154" s="392">
        <v>143</v>
      </c>
      <c r="B154" s="394" t="s">
        <v>1826</v>
      </c>
      <c r="C154" s="1162"/>
    </row>
    <row r="155" spans="1:3" x14ac:dyDescent="0.2">
      <c r="A155" s="392">
        <v>144</v>
      </c>
      <c r="B155" s="394" t="s">
        <v>1827</v>
      </c>
      <c r="C155" s="1162"/>
    </row>
    <row r="156" spans="1:3" x14ac:dyDescent="0.2">
      <c r="A156" s="392">
        <v>145</v>
      </c>
      <c r="B156" s="394" t="s">
        <v>1828</v>
      </c>
      <c r="C156" s="1162"/>
    </row>
    <row r="157" spans="1:3" x14ac:dyDescent="0.2">
      <c r="A157" s="392">
        <v>146</v>
      </c>
      <c r="B157" s="394" t="s">
        <v>1829</v>
      </c>
      <c r="C157" s="1162"/>
    </row>
    <row r="158" spans="1:3" x14ac:dyDescent="0.2">
      <c r="A158" s="101">
        <v>147</v>
      </c>
      <c r="B158" s="394" t="s">
        <v>1830</v>
      </c>
      <c r="C158" s="1170"/>
    </row>
    <row r="159" spans="1:3" x14ac:dyDescent="0.2">
      <c r="A159" s="392">
        <v>148</v>
      </c>
      <c r="B159" s="394" t="s">
        <v>1831</v>
      </c>
      <c r="C159" s="1162"/>
    </row>
    <row r="160" spans="1:3" x14ac:dyDescent="0.2">
      <c r="A160" s="392">
        <v>149</v>
      </c>
      <c r="B160" s="394" t="s">
        <v>1832</v>
      </c>
      <c r="C160" s="1162"/>
    </row>
    <row r="161" spans="1:3" x14ac:dyDescent="0.2">
      <c r="A161" s="392">
        <v>150</v>
      </c>
      <c r="B161" s="394" t="s">
        <v>1833</v>
      </c>
      <c r="C161" s="1162"/>
    </row>
    <row r="162" spans="1:3" x14ac:dyDescent="0.2">
      <c r="A162" s="392">
        <v>151</v>
      </c>
      <c r="B162" s="394" t="s">
        <v>1834</v>
      </c>
      <c r="C162" s="1162"/>
    </row>
    <row r="163" spans="1:3" x14ac:dyDescent="0.2">
      <c r="A163" s="944">
        <v>152</v>
      </c>
      <c r="B163" s="394" t="s">
        <v>1835</v>
      </c>
      <c r="C163" s="1171"/>
    </row>
    <row r="164" spans="1:3" x14ac:dyDescent="0.2">
      <c r="A164" s="392">
        <v>153</v>
      </c>
      <c r="B164" s="394" t="s">
        <v>1836</v>
      </c>
      <c r="C164" s="1162"/>
    </row>
    <row r="165" spans="1:3" x14ac:dyDescent="0.2">
      <c r="A165" s="392">
        <v>154</v>
      </c>
      <c r="B165" s="394" t="s">
        <v>1837</v>
      </c>
      <c r="C165" s="1162"/>
    </row>
    <row r="166" spans="1:3" x14ac:dyDescent="0.2">
      <c r="A166" s="392">
        <v>155</v>
      </c>
      <c r="B166" s="394" t="s">
        <v>1838</v>
      </c>
      <c r="C166" s="1162"/>
    </row>
    <row r="167" spans="1:3" x14ac:dyDescent="0.2">
      <c r="A167" s="392">
        <v>156</v>
      </c>
      <c r="B167" s="394" t="s">
        <v>1839</v>
      </c>
      <c r="C167" s="1162"/>
    </row>
    <row r="168" spans="1:3" x14ac:dyDescent="0.2">
      <c r="A168" s="392">
        <v>157</v>
      </c>
      <c r="B168" s="394" t="s">
        <v>1840</v>
      </c>
      <c r="C168" s="1162"/>
    </row>
    <row r="169" spans="1:3" x14ac:dyDescent="0.2">
      <c r="A169" s="392">
        <v>158</v>
      </c>
      <c r="B169" s="394" t="s">
        <v>1841</v>
      </c>
      <c r="C169" s="1162"/>
    </row>
    <row r="170" spans="1:3" x14ac:dyDescent="0.2">
      <c r="A170" s="392">
        <v>159</v>
      </c>
      <c r="B170" s="394" t="s">
        <v>1842</v>
      </c>
      <c r="C170" s="1162"/>
    </row>
    <row r="171" spans="1:3" x14ac:dyDescent="0.2">
      <c r="A171" s="392">
        <v>160</v>
      </c>
      <c r="B171" s="394" t="s">
        <v>1843</v>
      </c>
      <c r="C171" s="1162"/>
    </row>
    <row r="172" spans="1:3" x14ac:dyDescent="0.2">
      <c r="A172" s="392">
        <v>161</v>
      </c>
      <c r="B172" s="394" t="s">
        <v>1844</v>
      </c>
      <c r="C172" s="1162"/>
    </row>
    <row r="173" spans="1:3" x14ac:dyDescent="0.2">
      <c r="A173" s="392">
        <v>162</v>
      </c>
      <c r="B173" s="394" t="s">
        <v>1845</v>
      </c>
      <c r="C173" s="1162"/>
    </row>
    <row r="174" spans="1:3" x14ac:dyDescent="0.2">
      <c r="A174" s="392">
        <v>163</v>
      </c>
      <c r="B174" s="394" t="s">
        <v>1846</v>
      </c>
      <c r="C174" s="1162"/>
    </row>
    <row r="175" spans="1:3" x14ac:dyDescent="0.2">
      <c r="A175" s="392">
        <v>164</v>
      </c>
      <c r="B175" s="394" t="s">
        <v>1847</v>
      </c>
      <c r="C175" s="1162"/>
    </row>
    <row r="176" spans="1:3" x14ac:dyDescent="0.2">
      <c r="A176" s="392">
        <v>165</v>
      </c>
      <c r="B176" s="394" t="s">
        <v>1848</v>
      </c>
      <c r="C176" s="1162"/>
    </row>
    <row r="177" spans="1:3" x14ac:dyDescent="0.2">
      <c r="A177" s="392">
        <v>166</v>
      </c>
      <c r="B177" s="394" t="s">
        <v>1849</v>
      </c>
      <c r="C177" s="1162"/>
    </row>
    <row r="178" spans="1:3" x14ac:dyDescent="0.2">
      <c r="A178" s="392">
        <v>167</v>
      </c>
      <c r="B178" s="394" t="s">
        <v>1850</v>
      </c>
      <c r="C178" s="1162"/>
    </row>
    <row r="179" spans="1:3" x14ac:dyDescent="0.2">
      <c r="A179" s="392">
        <v>168</v>
      </c>
      <c r="B179" s="394" t="s">
        <v>1851</v>
      </c>
      <c r="C179" s="1162"/>
    </row>
    <row r="180" spans="1:3" x14ac:dyDescent="0.2">
      <c r="A180" s="392">
        <v>169</v>
      </c>
      <c r="B180" s="394" t="s">
        <v>1852</v>
      </c>
      <c r="C180" s="1162"/>
    </row>
    <row r="181" spans="1:3" x14ac:dyDescent="0.2">
      <c r="A181" s="392">
        <v>170</v>
      </c>
      <c r="B181" s="394" t="s">
        <v>1853</v>
      </c>
      <c r="C181" s="1162"/>
    </row>
    <row r="182" spans="1:3" x14ac:dyDescent="0.2">
      <c r="A182" s="392">
        <v>171</v>
      </c>
      <c r="B182" s="394" t="s">
        <v>1854</v>
      </c>
      <c r="C182" s="1162"/>
    </row>
    <row r="183" spans="1:3" x14ac:dyDescent="0.2">
      <c r="A183" s="392">
        <v>172</v>
      </c>
      <c r="B183" s="394" t="s">
        <v>1855</v>
      </c>
      <c r="C183" s="1162"/>
    </row>
    <row r="184" spans="1:3" x14ac:dyDescent="0.2">
      <c r="A184" s="867">
        <v>173</v>
      </c>
      <c r="B184" s="394" t="s">
        <v>1856</v>
      </c>
      <c r="C184" s="1169"/>
    </row>
    <row r="185" spans="1:3" x14ac:dyDescent="0.2">
      <c r="A185" s="392">
        <v>174</v>
      </c>
      <c r="B185" s="394" t="s">
        <v>1857</v>
      </c>
      <c r="C185" s="1162"/>
    </row>
    <row r="186" spans="1:3" x14ac:dyDescent="0.2">
      <c r="A186" s="392">
        <v>175</v>
      </c>
      <c r="B186" s="394" t="s">
        <v>1858</v>
      </c>
      <c r="C186" s="1162"/>
    </row>
    <row r="187" spans="1:3" x14ac:dyDescent="0.2">
      <c r="A187" s="392">
        <v>176</v>
      </c>
      <c r="B187" s="394" t="s">
        <v>1859</v>
      </c>
      <c r="C187" s="1162"/>
    </row>
    <row r="188" spans="1:3" x14ac:dyDescent="0.2">
      <c r="A188" s="392">
        <v>177</v>
      </c>
      <c r="B188" s="394" t="s">
        <v>1860</v>
      </c>
      <c r="C188" s="1162"/>
    </row>
    <row r="189" spans="1:3" x14ac:dyDescent="0.2">
      <c r="A189" s="392">
        <v>178</v>
      </c>
      <c r="B189" s="394" t="s">
        <v>1861</v>
      </c>
      <c r="C189" s="1162"/>
    </row>
    <row r="190" spans="1:3" x14ac:dyDescent="0.2">
      <c r="A190" s="392">
        <v>179</v>
      </c>
      <c r="B190" s="394" t="s">
        <v>1862</v>
      </c>
      <c r="C190" s="1162"/>
    </row>
    <row r="191" spans="1:3" x14ac:dyDescent="0.2">
      <c r="A191" s="392">
        <v>180</v>
      </c>
      <c r="B191" s="394" t="s">
        <v>1863</v>
      </c>
      <c r="C191" s="1162"/>
    </row>
    <row r="192" spans="1:3" x14ac:dyDescent="0.2">
      <c r="A192" s="392">
        <v>181</v>
      </c>
      <c r="B192" s="394" t="s">
        <v>1864</v>
      </c>
      <c r="C192" s="1162"/>
    </row>
    <row r="193" spans="1:3" x14ac:dyDescent="0.2">
      <c r="A193" s="392">
        <v>182</v>
      </c>
      <c r="B193" s="394" t="s">
        <v>1865</v>
      </c>
      <c r="C193" s="1162"/>
    </row>
    <row r="194" spans="1:3" x14ac:dyDescent="0.2">
      <c r="A194" s="392">
        <v>183</v>
      </c>
      <c r="B194" s="394" t="s">
        <v>1866</v>
      </c>
      <c r="C194" s="1162"/>
    </row>
    <row r="195" spans="1:3" x14ac:dyDescent="0.2">
      <c r="A195" s="392">
        <v>184</v>
      </c>
      <c r="B195" s="394" t="s">
        <v>1867</v>
      </c>
      <c r="C195" s="1162"/>
    </row>
    <row r="196" spans="1:3" x14ac:dyDescent="0.2">
      <c r="A196" s="392">
        <v>185</v>
      </c>
      <c r="B196" s="394" t="s">
        <v>1868</v>
      </c>
      <c r="C196" s="1162"/>
    </row>
    <row r="197" spans="1:3" x14ac:dyDescent="0.2">
      <c r="A197" s="392">
        <v>186</v>
      </c>
      <c r="B197" s="394" t="s">
        <v>1869</v>
      </c>
      <c r="C197" s="1162"/>
    </row>
    <row r="198" spans="1:3" x14ac:dyDescent="0.2">
      <c r="A198" s="392">
        <v>187</v>
      </c>
      <c r="B198" s="394" t="s">
        <v>1870</v>
      </c>
      <c r="C198" s="1162"/>
    </row>
    <row r="199" spans="1:3" x14ac:dyDescent="0.2">
      <c r="A199" s="392">
        <v>188</v>
      </c>
      <c r="B199" s="394" t="s">
        <v>1871</v>
      </c>
      <c r="C199" s="1162"/>
    </row>
    <row r="200" spans="1:3" x14ac:dyDescent="0.2">
      <c r="A200" s="392">
        <v>189</v>
      </c>
      <c r="B200" s="394" t="s">
        <v>1872</v>
      </c>
      <c r="C200" s="1162"/>
    </row>
    <row r="201" spans="1:3" x14ac:dyDescent="0.2">
      <c r="A201" s="392">
        <v>190</v>
      </c>
      <c r="B201" s="394" t="s">
        <v>1873</v>
      </c>
      <c r="C201" s="1162"/>
    </row>
    <row r="202" spans="1:3" x14ac:dyDescent="0.2">
      <c r="A202" s="392">
        <v>191</v>
      </c>
      <c r="B202" s="394" t="s">
        <v>1874</v>
      </c>
      <c r="C202" s="1162"/>
    </row>
    <row r="203" spans="1:3" x14ac:dyDescent="0.2">
      <c r="A203" s="392">
        <v>192</v>
      </c>
      <c r="B203" s="394" t="s">
        <v>1875</v>
      </c>
      <c r="C203" s="1162"/>
    </row>
    <row r="204" spans="1:3" x14ac:dyDescent="0.2">
      <c r="A204" s="392">
        <v>193</v>
      </c>
      <c r="B204" s="394" t="s">
        <v>1876</v>
      </c>
      <c r="C204" s="1162"/>
    </row>
    <row r="205" spans="1:3" x14ac:dyDescent="0.2">
      <c r="A205" s="392">
        <v>194</v>
      </c>
      <c r="B205" s="394" t="s">
        <v>1877</v>
      </c>
      <c r="C205" s="1162"/>
    </row>
    <row r="206" spans="1:3" x14ac:dyDescent="0.2">
      <c r="A206" s="392">
        <v>195</v>
      </c>
      <c r="B206" s="394" t="s">
        <v>1878</v>
      </c>
      <c r="C206" s="1162"/>
    </row>
    <row r="207" spans="1:3" x14ac:dyDescent="0.2">
      <c r="A207" s="392">
        <v>196</v>
      </c>
      <c r="B207" s="394" t="s">
        <v>1879</v>
      </c>
      <c r="C207" s="1162"/>
    </row>
    <row r="208" spans="1:3" x14ac:dyDescent="0.2">
      <c r="A208" s="392">
        <v>197</v>
      </c>
      <c r="B208" s="394" t="s">
        <v>1880</v>
      </c>
      <c r="C208" s="1162"/>
    </row>
    <row r="209" spans="1:3" x14ac:dyDescent="0.2">
      <c r="A209" s="392">
        <v>198</v>
      </c>
      <c r="B209" s="394" t="s">
        <v>1881</v>
      </c>
      <c r="C209" s="1162"/>
    </row>
    <row r="210" spans="1:3" x14ac:dyDescent="0.2">
      <c r="A210" s="392">
        <v>199</v>
      </c>
      <c r="B210" s="394" t="s">
        <v>1882</v>
      </c>
      <c r="C210" s="1162"/>
    </row>
    <row r="211" spans="1:3" x14ac:dyDescent="0.2">
      <c r="A211" s="392">
        <v>200</v>
      </c>
      <c r="B211" s="394" t="s">
        <v>1883</v>
      </c>
      <c r="C211" s="1162"/>
    </row>
    <row r="212" spans="1:3" x14ac:dyDescent="0.2">
      <c r="A212" s="392">
        <v>201</v>
      </c>
      <c r="B212" s="394" t="s">
        <v>1884</v>
      </c>
      <c r="C212" s="1162"/>
    </row>
    <row r="213" spans="1:3" x14ac:dyDescent="0.2">
      <c r="A213" s="392">
        <v>202</v>
      </c>
      <c r="B213" s="394" t="s">
        <v>1885</v>
      </c>
      <c r="C213" s="1162"/>
    </row>
    <row r="214" spans="1:3" x14ac:dyDescent="0.2">
      <c r="A214" s="852">
        <v>203</v>
      </c>
      <c r="B214" s="394" t="s">
        <v>1886</v>
      </c>
      <c r="C214" s="1168"/>
    </row>
    <row r="215" spans="1:3" x14ac:dyDescent="0.2">
      <c r="A215" s="392">
        <v>204</v>
      </c>
      <c r="B215" s="394" t="s">
        <v>1887</v>
      </c>
      <c r="C215" s="1162"/>
    </row>
    <row r="216" spans="1:3" x14ac:dyDescent="0.2">
      <c r="A216" s="392">
        <v>205</v>
      </c>
      <c r="B216" s="394" t="s">
        <v>1888</v>
      </c>
      <c r="C216" s="1162"/>
    </row>
    <row r="217" spans="1:3" x14ac:dyDescent="0.2">
      <c r="A217" s="392">
        <v>206</v>
      </c>
      <c r="B217" s="394" t="s">
        <v>1889</v>
      </c>
      <c r="C217" s="1162"/>
    </row>
    <row r="218" spans="1:3" x14ac:dyDescent="0.2">
      <c r="A218" s="392">
        <v>207</v>
      </c>
      <c r="B218" s="394" t="s">
        <v>1890</v>
      </c>
      <c r="C218" s="1162"/>
    </row>
    <row r="219" spans="1:3" x14ac:dyDescent="0.2">
      <c r="A219" s="392">
        <v>208</v>
      </c>
      <c r="B219" s="394" t="s">
        <v>1891</v>
      </c>
      <c r="C219" s="1162"/>
    </row>
    <row r="220" spans="1:3" x14ac:dyDescent="0.2">
      <c r="A220" s="392">
        <v>209</v>
      </c>
      <c r="B220" s="394" t="s">
        <v>1892</v>
      </c>
      <c r="C220" s="1162"/>
    </row>
    <row r="221" spans="1:3" x14ac:dyDescent="0.2">
      <c r="A221" s="392">
        <v>210</v>
      </c>
      <c r="B221" s="394" t="s">
        <v>1893</v>
      </c>
      <c r="C221" s="1162"/>
    </row>
    <row r="222" spans="1:3" x14ac:dyDescent="0.2">
      <c r="A222" s="392">
        <v>211</v>
      </c>
      <c r="B222" s="394" t="s">
        <v>1894</v>
      </c>
      <c r="C222" s="1162"/>
    </row>
    <row r="223" spans="1:3" x14ac:dyDescent="0.2">
      <c r="A223" s="392">
        <v>212</v>
      </c>
      <c r="B223" s="394" t="s">
        <v>1895</v>
      </c>
      <c r="C223" s="1162"/>
    </row>
    <row r="224" spans="1:3" x14ac:dyDescent="0.2">
      <c r="A224" s="392">
        <v>213</v>
      </c>
      <c r="B224" s="394" t="s">
        <v>1896</v>
      </c>
      <c r="C224" s="1162"/>
    </row>
    <row r="225" spans="1:3" x14ac:dyDescent="0.2">
      <c r="A225" s="392">
        <v>214</v>
      </c>
      <c r="B225" s="394" t="s">
        <v>1897</v>
      </c>
      <c r="C225" s="1162"/>
    </row>
    <row r="226" spans="1:3" x14ac:dyDescent="0.2">
      <c r="A226" s="392">
        <v>215</v>
      </c>
      <c r="B226" s="394" t="s">
        <v>1898</v>
      </c>
      <c r="C226" s="1162"/>
    </row>
    <row r="227" spans="1:3" x14ac:dyDescent="0.2">
      <c r="A227" s="392">
        <v>216</v>
      </c>
      <c r="B227" s="394" t="s">
        <v>1899</v>
      </c>
      <c r="C227" s="1162"/>
    </row>
    <row r="228" spans="1:3" x14ac:dyDescent="0.2">
      <c r="A228" s="392">
        <v>217</v>
      </c>
      <c r="B228" s="394" t="s">
        <v>1900</v>
      </c>
      <c r="C228" s="1162"/>
    </row>
    <row r="229" spans="1:3" x14ac:dyDescent="0.2">
      <c r="A229" s="392">
        <v>218</v>
      </c>
      <c r="B229" s="394" t="s">
        <v>1901</v>
      </c>
      <c r="C229" s="1162"/>
    </row>
    <row r="230" spans="1:3" x14ac:dyDescent="0.2">
      <c r="A230" s="392">
        <v>219</v>
      </c>
      <c r="B230" s="394" t="s">
        <v>1902</v>
      </c>
      <c r="C230" s="1162"/>
    </row>
    <row r="231" spans="1:3" x14ac:dyDescent="0.2">
      <c r="A231" s="392">
        <v>220</v>
      </c>
      <c r="B231" s="394" t="s">
        <v>1903</v>
      </c>
      <c r="C231" s="1162"/>
    </row>
    <row r="232" spans="1:3" x14ac:dyDescent="0.2">
      <c r="A232" s="392">
        <v>221</v>
      </c>
      <c r="B232" s="394" t="s">
        <v>1904</v>
      </c>
      <c r="C232" s="1162"/>
    </row>
    <row r="233" spans="1:3" x14ac:dyDescent="0.2">
      <c r="A233" s="392">
        <v>222</v>
      </c>
      <c r="B233" s="394" t="s">
        <v>1905</v>
      </c>
      <c r="C233" s="1162"/>
    </row>
    <row r="234" spans="1:3" x14ac:dyDescent="0.2">
      <c r="A234" s="392">
        <v>223</v>
      </c>
      <c r="B234" s="394" t="s">
        <v>1906</v>
      </c>
      <c r="C234" s="1162"/>
    </row>
    <row r="235" spans="1:3" x14ac:dyDescent="0.2">
      <c r="A235" s="392">
        <v>224</v>
      </c>
      <c r="B235" s="394" t="s">
        <v>1907</v>
      </c>
      <c r="C235" s="1162"/>
    </row>
    <row r="236" spans="1:3" x14ac:dyDescent="0.2">
      <c r="A236" s="392">
        <v>225</v>
      </c>
      <c r="B236" s="394" t="s">
        <v>1908</v>
      </c>
      <c r="C236" s="1162"/>
    </row>
    <row r="237" spans="1:3" x14ac:dyDescent="0.2">
      <c r="A237" s="392">
        <v>226</v>
      </c>
      <c r="B237" s="394" t="s">
        <v>1909</v>
      </c>
      <c r="C237" s="1162"/>
    </row>
    <row r="238" spans="1:3" x14ac:dyDescent="0.2">
      <c r="A238" s="392">
        <v>227</v>
      </c>
      <c r="B238" s="394" t="s">
        <v>1910</v>
      </c>
      <c r="C238" s="1162"/>
    </row>
    <row r="239" spans="1:3" x14ac:dyDescent="0.2">
      <c r="A239" s="392">
        <v>228</v>
      </c>
      <c r="B239" s="394" t="s">
        <v>1911</v>
      </c>
      <c r="C239" s="1162"/>
    </row>
    <row r="240" spans="1:3" x14ac:dyDescent="0.2">
      <c r="A240" s="392">
        <v>229</v>
      </c>
      <c r="B240" s="394" t="s">
        <v>1912</v>
      </c>
      <c r="C240" s="1162"/>
    </row>
    <row r="241" spans="1:3" x14ac:dyDescent="0.2">
      <c r="A241" s="392">
        <v>230</v>
      </c>
      <c r="B241" s="394" t="s">
        <v>1913</v>
      </c>
      <c r="C241" s="1162"/>
    </row>
    <row r="242" spans="1:3" x14ac:dyDescent="0.2">
      <c r="A242" s="392">
        <v>231</v>
      </c>
      <c r="B242" s="394" t="s">
        <v>1914</v>
      </c>
      <c r="C242" s="1162"/>
    </row>
    <row r="243" spans="1:3" x14ac:dyDescent="0.2">
      <c r="A243" s="392">
        <v>232</v>
      </c>
      <c r="B243" s="394" t="s">
        <v>1915</v>
      </c>
      <c r="C243" s="1162"/>
    </row>
    <row r="244" spans="1:3" x14ac:dyDescent="0.2">
      <c r="A244" s="392">
        <v>233</v>
      </c>
      <c r="B244" s="394" t="s">
        <v>1916</v>
      </c>
      <c r="C244" s="1162"/>
    </row>
    <row r="245" spans="1:3" x14ac:dyDescent="0.2">
      <c r="A245" s="392">
        <v>234</v>
      </c>
      <c r="B245" s="394" t="s">
        <v>1917</v>
      </c>
      <c r="C245" s="1162"/>
    </row>
    <row r="246" spans="1:3" x14ac:dyDescent="0.2">
      <c r="A246" s="392">
        <v>235</v>
      </c>
      <c r="B246" s="394" t="s">
        <v>1918</v>
      </c>
      <c r="C246" s="1162"/>
    </row>
    <row r="247" spans="1:3" x14ac:dyDescent="0.2">
      <c r="A247" s="392">
        <v>236</v>
      </c>
      <c r="B247" s="394" t="s">
        <v>1919</v>
      </c>
      <c r="C247" s="1162"/>
    </row>
    <row r="248" spans="1:3" x14ac:dyDescent="0.2">
      <c r="A248" s="392">
        <v>237</v>
      </c>
      <c r="B248" s="394" t="s">
        <v>1920</v>
      </c>
      <c r="C248" s="1162"/>
    </row>
    <row r="249" spans="1:3" x14ac:dyDescent="0.2">
      <c r="A249" s="392">
        <v>238</v>
      </c>
      <c r="B249" s="394" t="s">
        <v>1921</v>
      </c>
      <c r="C249" s="1162"/>
    </row>
    <row r="250" spans="1:3" x14ac:dyDescent="0.2">
      <c r="A250" s="392">
        <v>239</v>
      </c>
      <c r="B250" s="394" t="s">
        <v>1922</v>
      </c>
      <c r="C250" s="1162"/>
    </row>
    <row r="251" spans="1:3" x14ac:dyDescent="0.2">
      <c r="A251" s="392">
        <v>240</v>
      </c>
      <c r="B251" s="394" t="s">
        <v>1923</v>
      </c>
      <c r="C251" s="1162"/>
    </row>
    <row r="252" spans="1:3" x14ac:dyDescent="0.2">
      <c r="A252" s="392">
        <v>241</v>
      </c>
      <c r="B252" s="394" t="s">
        <v>1924</v>
      </c>
      <c r="C252" s="1162"/>
    </row>
    <row r="253" spans="1:3" x14ac:dyDescent="0.2">
      <c r="A253" s="392">
        <v>242</v>
      </c>
      <c r="B253" s="394" t="s">
        <v>1925</v>
      </c>
      <c r="C253" s="1162"/>
    </row>
    <row r="254" spans="1:3" x14ac:dyDescent="0.2">
      <c r="A254" s="392">
        <v>243</v>
      </c>
      <c r="B254" s="394" t="s">
        <v>1926</v>
      </c>
      <c r="C254" s="1162"/>
    </row>
    <row r="255" spans="1:3" x14ac:dyDescent="0.2">
      <c r="A255" s="392">
        <v>244</v>
      </c>
      <c r="B255" s="394" t="s">
        <v>1927</v>
      </c>
      <c r="C255" s="1162"/>
    </row>
    <row r="256" spans="1:3" x14ac:dyDescent="0.2">
      <c r="A256" s="392">
        <v>245</v>
      </c>
      <c r="B256" s="394" t="s">
        <v>1928</v>
      </c>
      <c r="C256" s="1162"/>
    </row>
    <row r="257" spans="1:3" x14ac:dyDescent="0.2">
      <c r="A257" s="392">
        <v>246</v>
      </c>
      <c r="B257" s="394" t="s">
        <v>1929</v>
      </c>
      <c r="C257" s="1162"/>
    </row>
    <row r="258" spans="1:3" x14ac:dyDescent="0.2">
      <c r="A258" s="392">
        <v>247</v>
      </c>
      <c r="B258" s="394" t="s">
        <v>1930</v>
      </c>
      <c r="C258" s="1162"/>
    </row>
    <row r="259" spans="1:3" x14ac:dyDescent="0.2">
      <c r="A259" s="392">
        <v>248</v>
      </c>
      <c r="B259" s="394" t="s">
        <v>1931</v>
      </c>
      <c r="C259" s="1162"/>
    </row>
    <row r="260" spans="1:3" x14ac:dyDescent="0.2">
      <c r="A260" s="392">
        <v>249</v>
      </c>
      <c r="B260" s="394" t="s">
        <v>1932</v>
      </c>
      <c r="C260" s="1162"/>
    </row>
    <row r="261" spans="1:3" x14ac:dyDescent="0.2">
      <c r="A261" s="392">
        <v>250</v>
      </c>
      <c r="B261" s="394" t="s">
        <v>1933</v>
      </c>
      <c r="C261" s="1162"/>
    </row>
    <row r="262" spans="1:3" x14ac:dyDescent="0.2">
      <c r="A262" s="392">
        <v>251</v>
      </c>
      <c r="B262" s="394" t="s">
        <v>1934</v>
      </c>
      <c r="C262" s="1162"/>
    </row>
    <row r="263" spans="1:3" x14ac:dyDescent="0.2">
      <c r="A263" s="392">
        <v>252</v>
      </c>
      <c r="B263" s="394" t="s">
        <v>1935</v>
      </c>
      <c r="C263" s="1166"/>
    </row>
    <row r="264" spans="1:3" x14ac:dyDescent="0.2">
      <c r="A264" s="392">
        <v>253</v>
      </c>
      <c r="B264" s="394" t="s">
        <v>1936</v>
      </c>
      <c r="C264" s="1162"/>
    </row>
    <row r="265" spans="1:3" x14ac:dyDescent="0.2">
      <c r="A265" s="392">
        <v>254</v>
      </c>
      <c r="B265" s="394" t="s">
        <v>1937</v>
      </c>
      <c r="C265" s="1162"/>
    </row>
    <row r="266" spans="1:3" x14ac:dyDescent="0.2">
      <c r="A266" s="392">
        <v>255</v>
      </c>
      <c r="B266" s="394" t="s">
        <v>1938</v>
      </c>
      <c r="C266" s="1162"/>
    </row>
    <row r="267" spans="1:3" x14ac:dyDescent="0.2">
      <c r="A267" s="392">
        <v>256</v>
      </c>
      <c r="B267" s="394" t="s">
        <v>1939</v>
      </c>
      <c r="C267" s="1162"/>
    </row>
    <row r="268" spans="1:3" x14ac:dyDescent="0.2">
      <c r="A268" s="392">
        <v>257</v>
      </c>
      <c r="B268" s="394" t="s">
        <v>1940</v>
      </c>
      <c r="C268" s="1162"/>
    </row>
    <row r="269" spans="1:3" x14ac:dyDescent="0.2">
      <c r="A269" s="392">
        <v>258</v>
      </c>
      <c r="B269" s="394" t="s">
        <v>1941</v>
      </c>
      <c r="C269" s="1162"/>
    </row>
    <row r="270" spans="1:3" x14ac:dyDescent="0.2">
      <c r="A270" s="392">
        <v>259</v>
      </c>
      <c r="B270" s="394" t="s">
        <v>1942</v>
      </c>
      <c r="C270" s="1162"/>
    </row>
    <row r="271" spans="1:3" x14ac:dyDescent="0.2">
      <c r="A271" s="392">
        <v>260</v>
      </c>
      <c r="B271" s="394" t="s">
        <v>1943</v>
      </c>
      <c r="C271" s="1162"/>
    </row>
    <row r="272" spans="1:3" x14ac:dyDescent="0.2">
      <c r="A272" s="392">
        <v>261</v>
      </c>
      <c r="B272" s="394" t="s">
        <v>1944</v>
      </c>
      <c r="C272" s="1162"/>
    </row>
    <row r="273" spans="1:3" x14ac:dyDescent="0.2">
      <c r="A273" s="392">
        <v>262</v>
      </c>
      <c r="B273" s="394" t="s">
        <v>1945</v>
      </c>
      <c r="C273" s="1162"/>
    </row>
    <row r="274" spans="1:3" x14ac:dyDescent="0.2">
      <c r="A274" s="392">
        <v>263</v>
      </c>
      <c r="B274" s="394" t="s">
        <v>1946</v>
      </c>
      <c r="C274" s="1162"/>
    </row>
    <row r="275" spans="1:3" x14ac:dyDescent="0.2">
      <c r="A275" s="392">
        <v>264</v>
      </c>
      <c r="B275" s="394" t="s">
        <v>1947</v>
      </c>
      <c r="C275" s="1162"/>
    </row>
    <row r="276" spans="1:3" x14ac:dyDescent="0.2">
      <c r="A276" s="392">
        <v>265</v>
      </c>
      <c r="B276" s="394" t="s">
        <v>1948</v>
      </c>
      <c r="C276" s="1162"/>
    </row>
    <row r="277" spans="1:3" x14ac:dyDescent="0.2">
      <c r="A277" s="392">
        <v>266</v>
      </c>
      <c r="B277" s="394" t="s">
        <v>1949</v>
      </c>
      <c r="C277" s="1172"/>
    </row>
    <row r="278" spans="1:3" x14ac:dyDescent="0.2">
      <c r="A278" s="392">
        <v>267</v>
      </c>
      <c r="B278" s="394" t="s">
        <v>1950</v>
      </c>
      <c r="C278" s="1162"/>
    </row>
    <row r="279" spans="1:3" x14ac:dyDescent="0.2">
      <c r="A279" s="392">
        <v>268</v>
      </c>
      <c r="B279" s="394" t="s">
        <v>1951</v>
      </c>
      <c r="C279" s="1162"/>
    </row>
    <row r="280" spans="1:3" x14ac:dyDescent="0.2">
      <c r="A280" s="392">
        <v>269</v>
      </c>
      <c r="B280" s="394" t="s">
        <v>1952</v>
      </c>
      <c r="C280" s="1162"/>
    </row>
    <row r="281" spans="1:3" x14ac:dyDescent="0.2">
      <c r="A281" s="392">
        <v>270</v>
      </c>
      <c r="B281" s="394" t="s">
        <v>1953</v>
      </c>
      <c r="C281" s="1162"/>
    </row>
    <row r="282" spans="1:3" x14ac:dyDescent="0.2">
      <c r="A282" s="392">
        <v>271</v>
      </c>
      <c r="B282" s="394" t="s">
        <v>1954</v>
      </c>
      <c r="C282" s="1162"/>
    </row>
    <row r="283" spans="1:3" x14ac:dyDescent="0.2">
      <c r="A283" s="392">
        <v>272</v>
      </c>
      <c r="B283" s="394" t="s">
        <v>1955</v>
      </c>
      <c r="C283" s="1162"/>
    </row>
    <row r="284" spans="1:3" x14ac:dyDescent="0.2">
      <c r="A284" s="392">
        <v>273</v>
      </c>
      <c r="B284" s="394" t="s">
        <v>1956</v>
      </c>
      <c r="C284" s="1162"/>
    </row>
    <row r="285" spans="1:3" x14ac:dyDescent="0.2">
      <c r="A285" s="392">
        <v>274</v>
      </c>
      <c r="B285" s="394" t="s">
        <v>1957</v>
      </c>
      <c r="C285" s="1162"/>
    </row>
    <row r="286" spans="1:3" x14ac:dyDescent="0.2">
      <c r="A286" s="392">
        <v>275</v>
      </c>
      <c r="B286" s="394" t="s">
        <v>1958</v>
      </c>
      <c r="C286" s="1162"/>
    </row>
    <row r="287" spans="1:3" x14ac:dyDescent="0.2">
      <c r="A287" s="392">
        <v>276</v>
      </c>
      <c r="B287" s="394" t="s">
        <v>1959</v>
      </c>
      <c r="C287" s="1162"/>
    </row>
    <row r="288" spans="1:3" x14ac:dyDescent="0.2">
      <c r="A288" s="392">
        <v>277</v>
      </c>
      <c r="B288" s="394" t="s">
        <v>1960</v>
      </c>
      <c r="C288" s="1162"/>
    </row>
    <row r="289" spans="1:3" x14ac:dyDescent="0.2">
      <c r="A289" s="392">
        <v>278</v>
      </c>
      <c r="B289" s="394" t="s">
        <v>1961</v>
      </c>
      <c r="C289" s="1162"/>
    </row>
    <row r="290" spans="1:3" x14ac:dyDescent="0.2">
      <c r="A290" s="392">
        <v>279</v>
      </c>
      <c r="B290" s="394" t="s">
        <v>1962</v>
      </c>
      <c r="C290" s="1162"/>
    </row>
    <row r="291" spans="1:3" x14ac:dyDescent="0.2">
      <c r="A291" s="905">
        <v>280</v>
      </c>
      <c r="B291" s="394" t="s">
        <v>1963</v>
      </c>
      <c r="C291" s="1173"/>
    </row>
    <row r="292" spans="1:3" x14ac:dyDescent="0.2">
      <c r="A292" s="392">
        <v>281</v>
      </c>
      <c r="B292" s="394" t="s">
        <v>1964</v>
      </c>
      <c r="C292" s="1162"/>
    </row>
    <row r="293" spans="1:3" x14ac:dyDescent="0.2">
      <c r="A293" s="392">
        <v>282</v>
      </c>
      <c r="B293" s="394" t="s">
        <v>1965</v>
      </c>
      <c r="C293" s="1162"/>
    </row>
    <row r="294" spans="1:3" x14ac:dyDescent="0.2">
      <c r="A294" s="392">
        <v>283</v>
      </c>
      <c r="B294" s="394" t="s">
        <v>1966</v>
      </c>
      <c r="C294" s="1162"/>
    </row>
    <row r="295" spans="1:3" x14ac:dyDescent="0.2">
      <c r="A295" s="392">
        <v>284</v>
      </c>
      <c r="B295" s="394" t="s">
        <v>1967</v>
      </c>
      <c r="C295" s="1162"/>
    </row>
    <row r="296" spans="1:3" x14ac:dyDescent="0.2">
      <c r="A296" s="392">
        <v>285</v>
      </c>
      <c r="B296" s="394" t="s">
        <v>1968</v>
      </c>
      <c r="C296" s="1162"/>
    </row>
    <row r="297" spans="1:3" x14ac:dyDescent="0.2">
      <c r="A297" s="392">
        <v>286</v>
      </c>
      <c r="B297" s="394" t="s">
        <v>1969</v>
      </c>
      <c r="C297" s="1162"/>
    </row>
    <row r="298" spans="1:3" x14ac:dyDescent="0.2">
      <c r="A298" s="392">
        <v>287</v>
      </c>
      <c r="B298" s="394" t="s">
        <v>1970</v>
      </c>
      <c r="C298" s="1162"/>
    </row>
    <row r="299" spans="1:3" x14ac:dyDescent="0.2">
      <c r="A299" s="392">
        <v>288</v>
      </c>
      <c r="B299" s="394" t="s">
        <v>1971</v>
      </c>
      <c r="C299" s="1162"/>
    </row>
    <row r="300" spans="1:3" x14ac:dyDescent="0.2">
      <c r="A300" s="392">
        <v>289</v>
      </c>
      <c r="B300" s="394" t="s">
        <v>1972</v>
      </c>
      <c r="C300" s="1162"/>
    </row>
    <row r="301" spans="1:3" x14ac:dyDescent="0.2">
      <c r="A301" s="392">
        <v>290</v>
      </c>
      <c r="B301" s="394" t="s">
        <v>1973</v>
      </c>
      <c r="C301" s="1162"/>
    </row>
    <row r="302" spans="1:3" x14ac:dyDescent="0.2">
      <c r="A302" s="392">
        <v>291</v>
      </c>
      <c r="B302" s="394" t="s">
        <v>1974</v>
      </c>
      <c r="C302" s="1162"/>
    </row>
    <row r="303" spans="1:3" x14ac:dyDescent="0.2">
      <c r="A303" s="392">
        <v>292</v>
      </c>
      <c r="B303" s="394" t="s">
        <v>1975</v>
      </c>
      <c r="C303" s="1162"/>
    </row>
    <row r="304" spans="1:3" x14ac:dyDescent="0.2">
      <c r="A304" s="392">
        <v>293</v>
      </c>
      <c r="B304" s="394" t="s">
        <v>1976</v>
      </c>
      <c r="C304" s="1162"/>
    </row>
    <row r="305" spans="1:3" x14ac:dyDescent="0.2">
      <c r="A305" s="392">
        <v>294</v>
      </c>
      <c r="B305" s="394" t="s">
        <v>1977</v>
      </c>
      <c r="C305" s="1162"/>
    </row>
    <row r="306" spans="1:3" x14ac:dyDescent="0.2">
      <c r="A306" s="392">
        <v>295</v>
      </c>
      <c r="B306" s="394" t="s">
        <v>1978</v>
      </c>
      <c r="C306" s="1162"/>
    </row>
    <row r="307" spans="1:3" x14ac:dyDescent="0.2">
      <c r="A307" s="392">
        <v>296</v>
      </c>
      <c r="B307" s="394" t="s">
        <v>1979</v>
      </c>
      <c r="C307" s="1162"/>
    </row>
    <row r="308" spans="1:3" x14ac:dyDescent="0.2">
      <c r="A308" s="392">
        <v>297</v>
      </c>
      <c r="B308" s="394" t="s">
        <v>1980</v>
      </c>
      <c r="C308" s="1162"/>
    </row>
    <row r="309" spans="1:3" x14ac:dyDescent="0.2">
      <c r="A309" s="392">
        <v>298</v>
      </c>
      <c r="B309" s="394" t="s">
        <v>1981</v>
      </c>
      <c r="C309" s="1261" t="s">
        <v>582</v>
      </c>
    </row>
    <row r="310" spans="1:3" x14ac:dyDescent="0.2">
      <c r="A310" s="392">
        <v>299</v>
      </c>
      <c r="B310" s="394" t="s">
        <v>1982</v>
      </c>
      <c r="C310" s="1162"/>
    </row>
    <row r="311" spans="1:3" x14ac:dyDescent="0.2">
      <c r="A311" s="392">
        <v>300</v>
      </c>
      <c r="B311" s="394" t="s">
        <v>1983</v>
      </c>
      <c r="C311" s="1162"/>
    </row>
    <row r="312" spans="1:3" x14ac:dyDescent="0.2">
      <c r="A312" s="392">
        <v>301</v>
      </c>
      <c r="B312" s="394" t="s">
        <v>1984</v>
      </c>
      <c r="C312" s="1162"/>
    </row>
    <row r="313" spans="1:3" x14ac:dyDescent="0.2">
      <c r="A313" s="392">
        <v>302</v>
      </c>
      <c r="B313" s="394" t="s">
        <v>1985</v>
      </c>
      <c r="C313" s="1162"/>
    </row>
    <row r="314" spans="1:3" x14ac:dyDescent="0.2">
      <c r="A314" s="392">
        <v>303</v>
      </c>
      <c r="B314" s="394" t="s">
        <v>1986</v>
      </c>
      <c r="C314" s="1162"/>
    </row>
    <row r="315" spans="1:3" x14ac:dyDescent="0.2">
      <c r="A315" s="392">
        <v>304</v>
      </c>
      <c r="B315" s="394" t="s">
        <v>1987</v>
      </c>
      <c r="C315" s="1162"/>
    </row>
    <row r="316" spans="1:3" x14ac:dyDescent="0.2">
      <c r="A316" s="392">
        <v>305</v>
      </c>
      <c r="B316" s="394" t="s">
        <v>1988</v>
      </c>
      <c r="C316" s="1162"/>
    </row>
    <row r="317" spans="1:3" x14ac:dyDescent="0.2">
      <c r="A317" s="392">
        <v>306</v>
      </c>
      <c r="B317" s="394" t="s">
        <v>1989</v>
      </c>
      <c r="C317" s="1162"/>
    </row>
    <row r="318" spans="1:3" x14ac:dyDescent="0.2">
      <c r="A318" s="392">
        <v>307</v>
      </c>
      <c r="B318" s="394" t="s">
        <v>1990</v>
      </c>
      <c r="C318" s="1162"/>
    </row>
    <row r="319" spans="1:3" x14ac:dyDescent="0.2">
      <c r="A319" s="392">
        <v>308</v>
      </c>
      <c r="B319" s="394" t="s">
        <v>1991</v>
      </c>
      <c r="C319" s="1162"/>
    </row>
    <row r="320" spans="1:3" x14ac:dyDescent="0.2">
      <c r="A320" s="392">
        <v>309</v>
      </c>
      <c r="B320" s="394" t="s">
        <v>1992</v>
      </c>
      <c r="C320" s="1162"/>
    </row>
    <row r="321" spans="1:3" x14ac:dyDescent="0.2">
      <c r="A321" s="392">
        <v>310</v>
      </c>
      <c r="B321" s="394" t="s">
        <v>1993</v>
      </c>
      <c r="C321" s="1162"/>
    </row>
    <row r="322" spans="1:3" x14ac:dyDescent="0.2">
      <c r="A322" s="392">
        <v>311</v>
      </c>
      <c r="B322" s="394" t="s">
        <v>1994</v>
      </c>
      <c r="C322" s="1162"/>
    </row>
    <row r="323" spans="1:3" x14ac:dyDescent="0.2">
      <c r="A323" s="392">
        <v>312</v>
      </c>
      <c r="B323" s="394" t="s">
        <v>1995</v>
      </c>
      <c r="C323" s="1162"/>
    </row>
    <row r="324" spans="1:3" x14ac:dyDescent="0.2">
      <c r="A324" s="392">
        <v>313</v>
      </c>
      <c r="B324" s="394" t="s">
        <v>1996</v>
      </c>
      <c r="C324" s="1162"/>
    </row>
    <row r="325" spans="1:3" x14ac:dyDescent="0.2">
      <c r="A325" s="392">
        <v>314</v>
      </c>
      <c r="B325" s="394" t="s">
        <v>1997</v>
      </c>
      <c r="C325" s="1162"/>
    </row>
    <row r="326" spans="1:3" x14ac:dyDescent="0.2">
      <c r="A326" s="392">
        <v>315</v>
      </c>
      <c r="B326" s="394" t="s">
        <v>1998</v>
      </c>
      <c r="C326" s="1162"/>
    </row>
    <row r="327" spans="1:3" x14ac:dyDescent="0.2">
      <c r="A327" s="392">
        <v>316</v>
      </c>
      <c r="B327" s="394" t="s">
        <v>1999</v>
      </c>
      <c r="C327" s="1162"/>
    </row>
    <row r="328" spans="1:3" x14ac:dyDescent="0.2">
      <c r="A328" s="392">
        <v>317</v>
      </c>
      <c r="B328" s="394" t="s">
        <v>2000</v>
      </c>
      <c r="C328" s="1162"/>
    </row>
    <row r="329" spans="1:3" x14ac:dyDescent="0.2">
      <c r="A329" s="392">
        <v>318</v>
      </c>
      <c r="B329" s="394" t="s">
        <v>2001</v>
      </c>
      <c r="C329" s="1162"/>
    </row>
    <row r="330" spans="1:3" x14ac:dyDescent="0.2">
      <c r="A330" s="392">
        <v>319</v>
      </c>
      <c r="B330" s="394" t="s">
        <v>2002</v>
      </c>
      <c r="C330" s="1162"/>
    </row>
    <row r="331" spans="1:3" x14ac:dyDescent="0.2">
      <c r="A331" s="392">
        <v>320</v>
      </c>
      <c r="B331" s="394" t="s">
        <v>2003</v>
      </c>
      <c r="C331" s="1162"/>
    </row>
    <row r="332" spans="1:3" x14ac:dyDescent="0.2">
      <c r="A332" s="392">
        <v>321</v>
      </c>
      <c r="B332" s="394" t="s">
        <v>2004</v>
      </c>
      <c r="C332" s="1162"/>
    </row>
    <row r="333" spans="1:3" x14ac:dyDescent="0.2">
      <c r="A333" s="392">
        <v>322</v>
      </c>
      <c r="B333" s="394" t="s">
        <v>2005</v>
      </c>
      <c r="C333" s="1162"/>
    </row>
    <row r="334" spans="1:3" x14ac:dyDescent="0.2">
      <c r="A334" s="392">
        <v>323</v>
      </c>
      <c r="B334" s="394" t="s">
        <v>2006</v>
      </c>
      <c r="C334" s="1162"/>
    </row>
    <row r="335" spans="1:3" x14ac:dyDescent="0.2">
      <c r="A335" s="392">
        <v>324</v>
      </c>
      <c r="B335" s="394" t="s">
        <v>2007</v>
      </c>
      <c r="C335" s="1162"/>
    </row>
    <row r="336" spans="1:3" x14ac:dyDescent="0.2">
      <c r="A336" s="392">
        <v>325</v>
      </c>
      <c r="B336" s="394" t="s">
        <v>2008</v>
      </c>
      <c r="C336" s="1162"/>
    </row>
    <row r="337" spans="1:3" x14ac:dyDescent="0.2">
      <c r="A337" s="392">
        <v>326</v>
      </c>
      <c r="B337" s="394" t="s">
        <v>2009</v>
      </c>
      <c r="C337" s="1162"/>
    </row>
    <row r="338" spans="1:3" x14ac:dyDescent="0.2">
      <c r="A338" s="392">
        <v>327</v>
      </c>
      <c r="B338" s="394" t="s">
        <v>2010</v>
      </c>
      <c r="C338" s="1162"/>
    </row>
    <row r="339" spans="1:3" x14ac:dyDescent="0.2">
      <c r="A339" s="392">
        <v>328</v>
      </c>
      <c r="B339" s="394" t="s">
        <v>2011</v>
      </c>
      <c r="C339" s="1162"/>
    </row>
    <row r="340" spans="1:3" x14ac:dyDescent="0.2">
      <c r="A340" s="392">
        <v>329</v>
      </c>
      <c r="B340" s="394" t="s">
        <v>2012</v>
      </c>
      <c r="C340" s="1162"/>
    </row>
    <row r="341" spans="1:3" x14ac:dyDescent="0.2">
      <c r="A341" s="392">
        <v>330</v>
      </c>
      <c r="B341" s="394" t="s">
        <v>2013</v>
      </c>
      <c r="C341" s="1162"/>
    </row>
    <row r="342" spans="1:3" x14ac:dyDescent="0.2">
      <c r="A342" s="392">
        <v>331</v>
      </c>
      <c r="B342" s="394" t="s">
        <v>2014</v>
      </c>
      <c r="C342" s="1162"/>
    </row>
    <row r="343" spans="1:3" x14ac:dyDescent="0.2">
      <c r="A343" s="392">
        <v>332</v>
      </c>
      <c r="B343" s="394" t="s">
        <v>2015</v>
      </c>
      <c r="C343" s="1162"/>
    </row>
    <row r="344" spans="1:3" x14ac:dyDescent="0.2">
      <c r="A344" s="392">
        <v>333</v>
      </c>
      <c r="B344" s="394" t="s">
        <v>2016</v>
      </c>
      <c r="C344" s="1162"/>
    </row>
    <row r="345" spans="1:3" x14ac:dyDescent="0.2">
      <c r="A345" s="392">
        <v>334</v>
      </c>
      <c r="B345" s="394" t="s">
        <v>2017</v>
      </c>
      <c r="C345" s="1162"/>
    </row>
    <row r="346" spans="1:3" x14ac:dyDescent="0.2">
      <c r="A346" s="392">
        <v>335</v>
      </c>
      <c r="B346" s="394" t="s">
        <v>2018</v>
      </c>
      <c r="C346" s="1162"/>
    </row>
    <row r="347" spans="1:3" x14ac:dyDescent="0.2">
      <c r="A347" s="392">
        <v>336</v>
      </c>
      <c r="B347" s="394" t="s">
        <v>2019</v>
      </c>
      <c r="C347" s="1162"/>
    </row>
    <row r="348" spans="1:3" x14ac:dyDescent="0.2">
      <c r="A348" s="392">
        <v>337</v>
      </c>
      <c r="B348" s="394" t="s">
        <v>2020</v>
      </c>
      <c r="C348" s="1162"/>
    </row>
    <row r="349" spans="1:3" x14ac:dyDescent="0.2">
      <c r="A349" s="392">
        <v>338</v>
      </c>
      <c r="B349" s="394" t="s">
        <v>2021</v>
      </c>
      <c r="C349" s="1162"/>
    </row>
    <row r="350" spans="1:3" x14ac:dyDescent="0.2">
      <c r="A350" s="392">
        <v>339</v>
      </c>
      <c r="B350" s="394" t="s">
        <v>2022</v>
      </c>
      <c r="C350" s="1162"/>
    </row>
    <row r="351" spans="1:3" x14ac:dyDescent="0.2">
      <c r="A351" s="392">
        <v>340</v>
      </c>
      <c r="B351" s="394" t="s">
        <v>2023</v>
      </c>
      <c r="C351" s="1162"/>
    </row>
    <row r="352" spans="1:3" x14ac:dyDescent="0.2">
      <c r="A352" s="392">
        <v>341</v>
      </c>
      <c r="B352" s="394" t="s">
        <v>2024</v>
      </c>
      <c r="C352" s="1162"/>
    </row>
    <row r="353" spans="1:3" x14ac:dyDescent="0.2">
      <c r="A353" s="392">
        <v>342</v>
      </c>
      <c r="B353" s="394" t="s">
        <v>2025</v>
      </c>
      <c r="C353" s="1162"/>
    </row>
    <row r="354" spans="1:3" x14ac:dyDescent="0.2">
      <c r="A354" s="392">
        <v>343</v>
      </c>
      <c r="B354" s="394" t="s">
        <v>2026</v>
      </c>
      <c r="C354" s="1162"/>
    </row>
    <row r="355" spans="1:3" x14ac:dyDescent="0.2">
      <c r="A355" s="392">
        <v>344</v>
      </c>
      <c r="B355" s="394" t="s">
        <v>2027</v>
      </c>
      <c r="C355" s="1162"/>
    </row>
    <row r="356" spans="1:3" x14ac:dyDescent="0.2">
      <c r="A356" s="392">
        <v>345</v>
      </c>
      <c r="B356" s="394" t="s">
        <v>2028</v>
      </c>
      <c r="C356" s="1162"/>
    </row>
    <row r="357" spans="1:3" x14ac:dyDescent="0.2">
      <c r="A357" s="392">
        <v>346</v>
      </c>
      <c r="B357" s="394" t="s">
        <v>2029</v>
      </c>
      <c r="C357" s="1162"/>
    </row>
    <row r="358" spans="1:3" x14ac:dyDescent="0.2">
      <c r="A358" s="392">
        <v>347</v>
      </c>
      <c r="B358" s="394" t="s">
        <v>2030</v>
      </c>
      <c r="C358" s="1162"/>
    </row>
    <row r="359" spans="1:3" x14ac:dyDescent="0.2">
      <c r="A359" s="392">
        <v>348</v>
      </c>
      <c r="B359" s="394" t="s">
        <v>2031</v>
      </c>
      <c r="C359" s="1162"/>
    </row>
    <row r="360" spans="1:3" x14ac:dyDescent="0.2">
      <c r="A360" s="392">
        <v>349</v>
      </c>
      <c r="B360" s="394" t="s">
        <v>2032</v>
      </c>
      <c r="C360" s="1162"/>
    </row>
    <row r="361" spans="1:3" x14ac:dyDescent="0.2">
      <c r="A361" s="392">
        <v>350</v>
      </c>
      <c r="B361" s="394" t="s">
        <v>2033</v>
      </c>
      <c r="C361" s="1162"/>
    </row>
    <row r="362" spans="1:3" x14ac:dyDescent="0.2">
      <c r="A362" s="392">
        <v>351</v>
      </c>
      <c r="B362" s="394" t="s">
        <v>2034</v>
      </c>
      <c r="C362" s="1162"/>
    </row>
    <row r="363" spans="1:3" x14ac:dyDescent="0.2">
      <c r="A363" s="392">
        <v>352</v>
      </c>
      <c r="B363" s="394" t="s">
        <v>2035</v>
      </c>
      <c r="C363" s="1162"/>
    </row>
    <row r="364" spans="1:3" x14ac:dyDescent="0.2">
      <c r="A364" s="395">
        <v>353</v>
      </c>
      <c r="B364" s="394" t="s">
        <v>2036</v>
      </c>
      <c r="C364" s="1165"/>
    </row>
    <row r="365" spans="1:3" x14ac:dyDescent="0.2">
      <c r="A365" s="395">
        <v>354</v>
      </c>
      <c r="B365" s="394" t="s">
        <v>2037</v>
      </c>
      <c r="C365" s="1165"/>
    </row>
    <row r="366" spans="1:3" x14ac:dyDescent="0.2">
      <c r="A366" s="396">
        <v>355</v>
      </c>
      <c r="B366" s="394" t="s">
        <v>2038</v>
      </c>
      <c r="C366" s="1166"/>
    </row>
    <row r="367" spans="1:3" x14ac:dyDescent="0.2">
      <c r="A367" s="396">
        <v>356</v>
      </c>
      <c r="B367" s="394" t="s">
        <v>2039</v>
      </c>
      <c r="C367" s="1166"/>
    </row>
    <row r="368" spans="1:3" x14ac:dyDescent="0.2">
      <c r="A368" s="396">
        <v>357</v>
      </c>
      <c r="B368" s="394" t="s">
        <v>2040</v>
      </c>
      <c r="C368" s="1166"/>
    </row>
    <row r="369" spans="1:3" x14ac:dyDescent="0.2">
      <c r="A369" s="395">
        <v>358</v>
      </c>
      <c r="B369" s="394" t="s">
        <v>2041</v>
      </c>
      <c r="C369" s="1165"/>
    </row>
    <row r="370" spans="1:3" x14ac:dyDescent="0.2">
      <c r="A370" s="392">
        <v>359</v>
      </c>
      <c r="B370" s="394" t="s">
        <v>2042</v>
      </c>
      <c r="C370" s="1162"/>
    </row>
    <row r="371" spans="1:3" x14ac:dyDescent="0.2">
      <c r="A371" s="396">
        <v>360</v>
      </c>
      <c r="B371" s="394" t="s">
        <v>2043</v>
      </c>
      <c r="C371" s="1166"/>
    </row>
    <row r="372" spans="1:3" x14ac:dyDescent="0.2">
      <c r="A372" s="396">
        <v>361</v>
      </c>
      <c r="B372" s="394" t="s">
        <v>2044</v>
      </c>
      <c r="C372" s="1166"/>
    </row>
    <row r="373" spans="1:3" x14ac:dyDescent="0.2">
      <c r="A373" s="396">
        <v>362</v>
      </c>
      <c r="B373" s="394" t="s">
        <v>2045</v>
      </c>
      <c r="C373" s="1166"/>
    </row>
    <row r="374" spans="1:3" x14ac:dyDescent="0.2">
      <c r="A374" s="392">
        <v>363</v>
      </c>
      <c r="B374" s="394" t="s">
        <v>2046</v>
      </c>
      <c r="C374" s="1162"/>
    </row>
    <row r="375" spans="1:3" x14ac:dyDescent="0.2">
      <c r="A375" s="392">
        <v>364</v>
      </c>
      <c r="B375" s="394" t="s">
        <v>2047</v>
      </c>
      <c r="C375" s="1162"/>
    </row>
    <row r="376" spans="1:3" x14ac:dyDescent="0.2">
      <c r="A376" s="392">
        <v>365</v>
      </c>
      <c r="B376" s="394" t="s">
        <v>2048</v>
      </c>
      <c r="C376" s="1162"/>
    </row>
    <row r="377" spans="1:3" x14ac:dyDescent="0.2">
      <c r="A377" s="392">
        <v>366</v>
      </c>
      <c r="B377" s="394" t="s">
        <v>2049</v>
      </c>
      <c r="C377" s="1162"/>
    </row>
    <row r="378" spans="1:3" x14ac:dyDescent="0.2">
      <c r="A378" s="392">
        <v>367</v>
      </c>
      <c r="B378" s="394" t="s">
        <v>2050</v>
      </c>
      <c r="C378" s="1162"/>
    </row>
    <row r="379" spans="1:3" x14ac:dyDescent="0.2">
      <c r="A379" s="392">
        <v>368</v>
      </c>
      <c r="B379" s="394" t="s">
        <v>2051</v>
      </c>
      <c r="C379" s="1162"/>
    </row>
    <row r="380" spans="1:3" x14ac:dyDescent="0.2">
      <c r="A380" s="392">
        <v>369</v>
      </c>
      <c r="B380" s="393"/>
      <c r="C380" s="1162"/>
    </row>
    <row r="381" spans="1:3" x14ac:dyDescent="0.2">
      <c r="A381" s="392">
        <v>370</v>
      </c>
      <c r="B381" s="393"/>
      <c r="C381" s="1162"/>
    </row>
    <row r="382" spans="1:3" x14ac:dyDescent="0.2">
      <c r="A382" s="392">
        <f t="shared" ref="A382:A391" si="0">+A381+1</f>
        <v>371</v>
      </c>
      <c r="B382" s="393"/>
      <c r="C382" s="1162"/>
    </row>
    <row r="383" spans="1:3" x14ac:dyDescent="0.2">
      <c r="A383" s="392">
        <f t="shared" si="0"/>
        <v>372</v>
      </c>
      <c r="B383" s="393"/>
      <c r="C383" s="1162"/>
    </row>
    <row r="384" spans="1:3" x14ac:dyDescent="0.2">
      <c r="A384" s="392">
        <f t="shared" si="0"/>
        <v>373</v>
      </c>
      <c r="B384" s="393"/>
      <c r="C384" s="1162"/>
    </row>
    <row r="385" spans="1:3" x14ac:dyDescent="0.2">
      <c r="A385" s="392">
        <f t="shared" si="0"/>
        <v>374</v>
      </c>
      <c r="B385" s="393"/>
      <c r="C385" s="1162"/>
    </row>
    <row r="386" spans="1:3" x14ac:dyDescent="0.2">
      <c r="A386" s="392">
        <f t="shared" si="0"/>
        <v>375</v>
      </c>
      <c r="B386" s="393"/>
      <c r="C386" s="1162"/>
    </row>
    <row r="387" spans="1:3" x14ac:dyDescent="0.2">
      <c r="A387" s="392">
        <f t="shared" si="0"/>
        <v>376</v>
      </c>
      <c r="B387" s="393"/>
      <c r="C387" s="1162"/>
    </row>
    <row r="388" spans="1:3" x14ac:dyDescent="0.2">
      <c r="A388" s="392">
        <f t="shared" si="0"/>
        <v>377</v>
      </c>
      <c r="B388" s="393"/>
      <c r="C388" s="1162"/>
    </row>
    <row r="389" spans="1:3" x14ac:dyDescent="0.2">
      <c r="A389" s="392">
        <f t="shared" si="0"/>
        <v>378</v>
      </c>
      <c r="B389" s="393"/>
      <c r="C389" s="1162"/>
    </row>
    <row r="390" spans="1:3" x14ac:dyDescent="0.2">
      <c r="A390" s="392">
        <f t="shared" si="0"/>
        <v>379</v>
      </c>
      <c r="B390" s="393"/>
      <c r="C390" s="1162"/>
    </row>
    <row r="391" spans="1:3" x14ac:dyDescent="0.2">
      <c r="A391" s="392">
        <f t="shared" si="0"/>
        <v>380</v>
      </c>
      <c r="B391" s="393"/>
      <c r="C391" s="1162"/>
    </row>
    <row r="416" spans="1:10" x14ac:dyDescent="0.2">
      <c r="A416" s="101"/>
      <c r="D416" s="411"/>
      <c r="E416" s="206" t="s">
        <v>659</v>
      </c>
      <c r="J416" s="416"/>
    </row>
    <row r="417" spans="1:11" x14ac:dyDescent="0.2">
      <c r="A417" s="1353" t="s">
        <v>449</v>
      </c>
      <c r="B417" s="1353"/>
      <c r="C417" s="1353"/>
      <c r="D417" s="98"/>
      <c r="E417" s="517"/>
      <c r="J417" s="416"/>
      <c r="K417" s="48"/>
    </row>
    <row r="418" spans="1:11" x14ac:dyDescent="0.2">
      <c r="A418" s="1062" t="s">
        <v>4</v>
      </c>
      <c r="B418" s="1160" t="s">
        <v>281</v>
      </c>
      <c r="C418" s="1161" t="s">
        <v>26</v>
      </c>
      <c r="D418" s="98"/>
      <c r="E418" s="517"/>
      <c r="J418" s="416"/>
      <c r="K418" s="48"/>
    </row>
    <row r="419" spans="1:11" x14ac:dyDescent="0.2">
      <c r="A419" s="101"/>
      <c r="C419" s="1159" t="s">
        <v>437</v>
      </c>
      <c r="D419" s="411"/>
      <c r="H419" s="408" t="s">
        <v>440</v>
      </c>
      <c r="J419" s="416"/>
    </row>
    <row r="420" spans="1:11" ht="51" x14ac:dyDescent="0.2">
      <c r="A420" s="831">
        <v>1</v>
      </c>
      <c r="B420" s="832" t="s">
        <v>424</v>
      </c>
      <c r="C420" s="1175" t="s">
        <v>523</v>
      </c>
      <c r="D420" s="412">
        <v>1</v>
      </c>
      <c r="E420" s="518"/>
      <c r="F420" s="397">
        <v>1</v>
      </c>
      <c r="G420" s="398" t="s">
        <v>46</v>
      </c>
      <c r="H420" s="399" t="s">
        <v>398</v>
      </c>
      <c r="I420" s="418" t="s">
        <v>457</v>
      </c>
      <c r="J420" s="412">
        <v>1</v>
      </c>
      <c r="K420" s="53"/>
    </row>
    <row r="421" spans="1:11" x14ac:dyDescent="0.2">
      <c r="A421" s="831">
        <v>2</v>
      </c>
      <c r="B421" s="832" t="s">
        <v>458</v>
      </c>
      <c r="C421" s="1175" t="s">
        <v>474</v>
      </c>
      <c r="D421" s="412">
        <f t="shared" ref="D421:D452" si="1">+D420+1</f>
        <v>2</v>
      </c>
      <c r="E421" s="518"/>
      <c r="F421" s="397">
        <v>2</v>
      </c>
      <c r="G421" s="398" t="s">
        <v>47</v>
      </c>
      <c r="H421" s="399" t="s">
        <v>398</v>
      </c>
      <c r="I421" s="418" t="s">
        <v>457</v>
      </c>
      <c r="J421" s="412">
        <f t="shared" ref="J421:J471" si="2">+J420+1</f>
        <v>2</v>
      </c>
      <c r="K421" s="53" t="s">
        <v>540</v>
      </c>
    </row>
    <row r="422" spans="1:11" ht="25.5" x14ac:dyDescent="0.2">
      <c r="A422" s="831">
        <v>3</v>
      </c>
      <c r="B422" s="832" t="s">
        <v>459</v>
      </c>
      <c r="C422" s="1175" t="s">
        <v>524</v>
      </c>
      <c r="D422" s="412">
        <f t="shared" si="1"/>
        <v>3</v>
      </c>
      <c r="E422" s="518"/>
      <c r="F422" s="397">
        <v>3</v>
      </c>
      <c r="G422" s="398"/>
      <c r="H422" s="399" t="s">
        <v>429</v>
      </c>
      <c r="I422" s="401"/>
      <c r="J422" s="412">
        <f t="shared" si="2"/>
        <v>3</v>
      </c>
    </row>
    <row r="423" spans="1:11" ht="25.5" x14ac:dyDescent="0.2">
      <c r="A423" s="831">
        <v>4</v>
      </c>
      <c r="B423" s="832" t="s">
        <v>427</v>
      </c>
      <c r="C423" s="1175" t="s">
        <v>475</v>
      </c>
      <c r="D423" s="412">
        <f t="shared" si="1"/>
        <v>4</v>
      </c>
      <c r="E423" s="518"/>
      <c r="F423" s="406">
        <v>4</v>
      </c>
      <c r="G423" s="407" t="s">
        <v>49</v>
      </c>
      <c r="H423" s="399" t="s">
        <v>398</v>
      </c>
      <c r="I423" s="400" t="s">
        <v>546</v>
      </c>
      <c r="J423" s="412">
        <f t="shared" si="2"/>
        <v>4</v>
      </c>
      <c r="K423" s="53" t="s">
        <v>511</v>
      </c>
    </row>
    <row r="424" spans="1:11" x14ac:dyDescent="0.2">
      <c r="A424" s="831">
        <v>5</v>
      </c>
      <c r="B424" s="832" t="s">
        <v>426</v>
      </c>
      <c r="C424" s="1175" t="s">
        <v>521</v>
      </c>
      <c r="D424" s="412">
        <f t="shared" si="1"/>
        <v>5</v>
      </c>
      <c r="E424" s="518"/>
      <c r="F424" s="397">
        <v>5</v>
      </c>
      <c r="G424" s="398"/>
      <c r="H424" s="399" t="s">
        <v>429</v>
      </c>
      <c r="I424" s="400"/>
      <c r="J424" s="412">
        <f t="shared" si="2"/>
        <v>5</v>
      </c>
    </row>
    <row r="425" spans="1:11" x14ac:dyDescent="0.2">
      <c r="A425" s="831">
        <v>6</v>
      </c>
      <c r="B425" s="832" t="s">
        <v>426</v>
      </c>
      <c r="C425" s="1175" t="s">
        <v>522</v>
      </c>
      <c r="D425" s="412">
        <f t="shared" si="1"/>
        <v>6</v>
      </c>
      <c r="E425" s="518"/>
      <c r="F425" s="397">
        <v>6</v>
      </c>
      <c r="G425" s="398" t="s">
        <v>51</v>
      </c>
      <c r="H425" s="399" t="s">
        <v>398</v>
      </c>
      <c r="I425" s="400" t="s">
        <v>503</v>
      </c>
      <c r="J425" s="412">
        <f t="shared" si="2"/>
        <v>6</v>
      </c>
      <c r="K425" s="53" t="s">
        <v>511</v>
      </c>
    </row>
    <row r="426" spans="1:11" ht="25.5" x14ac:dyDescent="0.2">
      <c r="A426" s="831">
        <v>7</v>
      </c>
      <c r="B426" s="832" t="s">
        <v>462</v>
      </c>
      <c r="C426" s="1175" t="s">
        <v>525</v>
      </c>
      <c r="D426" s="412">
        <f t="shared" si="1"/>
        <v>7</v>
      </c>
      <c r="E426" s="518"/>
      <c r="F426" s="397">
        <v>7</v>
      </c>
      <c r="G426" s="398" t="s">
        <v>52</v>
      </c>
      <c r="H426" s="399" t="s">
        <v>398</v>
      </c>
      <c r="I426" s="400" t="s">
        <v>531</v>
      </c>
      <c r="J426" s="412">
        <f t="shared" si="2"/>
        <v>7</v>
      </c>
      <c r="K426" s="53" t="s">
        <v>511</v>
      </c>
    </row>
    <row r="427" spans="1:11" ht="38.25" x14ac:dyDescent="0.2">
      <c r="A427" s="831">
        <v>8</v>
      </c>
      <c r="B427" s="832" t="s">
        <v>463</v>
      </c>
      <c r="C427" s="1175" t="s">
        <v>527</v>
      </c>
      <c r="D427" s="412">
        <f t="shared" si="1"/>
        <v>8</v>
      </c>
      <c r="E427" s="518"/>
      <c r="F427" s="397">
        <v>8</v>
      </c>
      <c r="G427" s="398" t="s">
        <v>53</v>
      </c>
      <c r="H427" s="399" t="s">
        <v>398</v>
      </c>
      <c r="I427" s="400" t="s">
        <v>500</v>
      </c>
      <c r="J427" s="412">
        <f t="shared" si="2"/>
        <v>8</v>
      </c>
      <c r="K427" s="53" t="s">
        <v>511</v>
      </c>
    </row>
    <row r="428" spans="1:11" ht="38.25" x14ac:dyDescent="0.2">
      <c r="A428" s="831">
        <v>9</v>
      </c>
      <c r="B428" s="832" t="s">
        <v>482</v>
      </c>
      <c r="C428" s="1175" t="s">
        <v>526</v>
      </c>
      <c r="D428" s="412">
        <f t="shared" si="1"/>
        <v>9</v>
      </c>
      <c r="E428" s="518"/>
      <c r="F428" s="397">
        <v>9</v>
      </c>
      <c r="G428" s="398" t="s">
        <v>376</v>
      </c>
      <c r="H428" s="399" t="s">
        <v>398</v>
      </c>
      <c r="I428" s="400" t="s">
        <v>532</v>
      </c>
      <c r="J428" s="412">
        <f t="shared" si="2"/>
        <v>9</v>
      </c>
      <c r="K428" s="53" t="s">
        <v>511</v>
      </c>
    </row>
    <row r="429" spans="1:11" ht="25.5" x14ac:dyDescent="0.2">
      <c r="A429" s="831">
        <v>10</v>
      </c>
      <c r="B429" s="832" t="s">
        <v>483</v>
      </c>
      <c r="C429" s="1175" t="s">
        <v>485</v>
      </c>
      <c r="D429" s="412">
        <f t="shared" si="1"/>
        <v>10</v>
      </c>
      <c r="E429" s="518"/>
      <c r="F429" s="397">
        <v>10</v>
      </c>
      <c r="G429" s="398" t="s">
        <v>54</v>
      </c>
      <c r="H429" s="399" t="s">
        <v>429</v>
      </c>
      <c r="I429" s="400" t="s">
        <v>504</v>
      </c>
      <c r="J429" s="412">
        <f t="shared" si="2"/>
        <v>10</v>
      </c>
      <c r="K429" s="53" t="s">
        <v>511</v>
      </c>
    </row>
    <row r="430" spans="1:11" ht="25.5" x14ac:dyDescent="0.2">
      <c r="A430" s="831">
        <v>11</v>
      </c>
      <c r="B430" s="832" t="s">
        <v>484</v>
      </c>
      <c r="C430" s="1175" t="s">
        <v>486</v>
      </c>
      <c r="D430" s="412">
        <f t="shared" si="1"/>
        <v>11</v>
      </c>
      <c r="E430" s="518"/>
      <c r="F430" s="397">
        <v>11</v>
      </c>
      <c r="G430" s="398" t="s">
        <v>55</v>
      </c>
      <c r="H430" s="399" t="s">
        <v>429</v>
      </c>
      <c r="I430" s="400" t="s">
        <v>504</v>
      </c>
      <c r="J430" s="412">
        <f t="shared" si="2"/>
        <v>11</v>
      </c>
      <c r="K430" s="53" t="s">
        <v>511</v>
      </c>
    </row>
    <row r="431" spans="1:11" ht="25.5" x14ac:dyDescent="0.2">
      <c r="A431" s="831">
        <v>12</v>
      </c>
      <c r="B431" s="832" t="s">
        <v>464</v>
      </c>
      <c r="C431" s="1175" t="s">
        <v>476</v>
      </c>
      <c r="D431" s="412">
        <f t="shared" si="1"/>
        <v>12</v>
      </c>
      <c r="E431" s="518"/>
      <c r="F431" s="397">
        <v>12</v>
      </c>
      <c r="G431" s="398" t="s">
        <v>56</v>
      </c>
      <c r="H431" s="399" t="s">
        <v>398</v>
      </c>
      <c r="I431" s="400" t="s">
        <v>533</v>
      </c>
      <c r="J431" s="412">
        <f t="shared" si="2"/>
        <v>12</v>
      </c>
      <c r="K431" s="53" t="s">
        <v>511</v>
      </c>
    </row>
    <row r="432" spans="1:11" x14ac:dyDescent="0.2">
      <c r="A432" s="831">
        <v>13</v>
      </c>
      <c r="B432" s="832" t="s">
        <v>465</v>
      </c>
      <c r="C432" s="1175" t="s">
        <v>477</v>
      </c>
      <c r="D432" s="412">
        <f t="shared" si="1"/>
        <v>13</v>
      </c>
      <c r="E432" s="518"/>
      <c r="F432" s="397">
        <v>13</v>
      </c>
      <c r="G432" s="398" t="s">
        <v>57</v>
      </c>
      <c r="H432" s="399" t="s">
        <v>398</v>
      </c>
      <c r="I432" s="400" t="s">
        <v>542</v>
      </c>
      <c r="J432" s="412">
        <f t="shared" si="2"/>
        <v>13</v>
      </c>
      <c r="K432" s="53" t="s">
        <v>511</v>
      </c>
    </row>
    <row r="433" spans="1:11" x14ac:dyDescent="0.2">
      <c r="A433" s="831">
        <v>14</v>
      </c>
      <c r="B433" s="832" t="s">
        <v>466</v>
      </c>
      <c r="C433" s="1175" t="s">
        <v>478</v>
      </c>
      <c r="D433" s="412">
        <f t="shared" si="1"/>
        <v>14</v>
      </c>
      <c r="E433" s="518"/>
      <c r="F433" s="397">
        <v>14</v>
      </c>
      <c r="G433" s="398" t="s">
        <v>261</v>
      </c>
      <c r="H433" s="399" t="s">
        <v>398</v>
      </c>
      <c r="I433" s="400" t="s">
        <v>543</v>
      </c>
      <c r="J433" s="412">
        <f t="shared" si="2"/>
        <v>14</v>
      </c>
      <c r="K433" s="53" t="s">
        <v>511</v>
      </c>
    </row>
    <row r="434" spans="1:11" ht="63.75" x14ac:dyDescent="0.2">
      <c r="A434" s="831">
        <v>15</v>
      </c>
      <c r="B434" s="832" t="s">
        <v>467</v>
      </c>
      <c r="C434" s="1175" t="s">
        <v>541</v>
      </c>
      <c r="D434" s="412">
        <f t="shared" si="1"/>
        <v>15</v>
      </c>
      <c r="E434" s="518"/>
      <c r="F434" s="397">
        <v>15</v>
      </c>
      <c r="G434" s="398" t="s">
        <v>262</v>
      </c>
      <c r="H434" s="399" t="s">
        <v>398</v>
      </c>
      <c r="I434" s="400" t="s">
        <v>544</v>
      </c>
      <c r="J434" s="412">
        <f t="shared" si="2"/>
        <v>15</v>
      </c>
      <c r="K434" s="53" t="s">
        <v>511</v>
      </c>
    </row>
    <row r="435" spans="1:11" x14ac:dyDescent="0.2">
      <c r="A435" s="831">
        <v>16</v>
      </c>
      <c r="B435" s="832" t="s">
        <v>468</v>
      </c>
      <c r="C435" s="1175" t="s">
        <v>528</v>
      </c>
      <c r="D435" s="412">
        <f t="shared" si="1"/>
        <v>16</v>
      </c>
      <c r="E435" s="518"/>
      <c r="F435" s="397">
        <v>16</v>
      </c>
      <c r="G435" s="398" t="s">
        <v>24</v>
      </c>
      <c r="H435" s="399" t="s">
        <v>398</v>
      </c>
      <c r="I435" s="400" t="s">
        <v>545</v>
      </c>
      <c r="J435" s="412">
        <f t="shared" si="2"/>
        <v>16</v>
      </c>
      <c r="K435" s="53" t="s">
        <v>511</v>
      </c>
    </row>
    <row r="436" spans="1:11" ht="25.5" x14ac:dyDescent="0.2">
      <c r="A436" s="831">
        <v>17</v>
      </c>
      <c r="B436" s="832" t="s">
        <v>479</v>
      </c>
      <c r="C436" s="1175" t="s">
        <v>481</v>
      </c>
      <c r="D436" s="412">
        <f t="shared" si="1"/>
        <v>17</v>
      </c>
      <c r="E436" s="518"/>
      <c r="F436" s="397">
        <v>17</v>
      </c>
      <c r="G436" s="398" t="s">
        <v>58</v>
      </c>
      <c r="H436" s="399" t="s">
        <v>398</v>
      </c>
      <c r="I436" s="400" t="s">
        <v>507</v>
      </c>
      <c r="J436" s="412">
        <f t="shared" si="2"/>
        <v>17</v>
      </c>
      <c r="K436" s="53" t="s">
        <v>511</v>
      </c>
    </row>
    <row r="437" spans="1:11" ht="38.25" x14ac:dyDescent="0.2">
      <c r="A437" s="831">
        <v>18</v>
      </c>
      <c r="B437" s="832" t="s">
        <v>461</v>
      </c>
      <c r="C437" s="1175" t="s">
        <v>552</v>
      </c>
      <c r="D437" s="412">
        <f t="shared" si="1"/>
        <v>18</v>
      </c>
      <c r="E437" s="518"/>
      <c r="F437" s="397">
        <v>18</v>
      </c>
      <c r="G437" s="398" t="s">
        <v>358</v>
      </c>
      <c r="H437" s="399" t="s">
        <v>398</v>
      </c>
      <c r="I437" s="400" t="s">
        <v>534</v>
      </c>
      <c r="J437" s="412">
        <f t="shared" si="2"/>
        <v>18</v>
      </c>
      <c r="K437" s="53" t="s">
        <v>511</v>
      </c>
    </row>
    <row r="438" spans="1:11" ht="25.5" x14ac:dyDescent="0.2">
      <c r="A438" s="831">
        <v>19</v>
      </c>
      <c r="B438" s="832" t="s">
        <v>460</v>
      </c>
      <c r="C438" s="1175" t="s">
        <v>529</v>
      </c>
      <c r="D438" s="412">
        <f t="shared" si="1"/>
        <v>19</v>
      </c>
      <c r="E438" s="518"/>
      <c r="F438" s="397">
        <v>19</v>
      </c>
      <c r="G438" s="398" t="s">
        <v>59</v>
      </c>
      <c r="H438" s="399" t="s">
        <v>429</v>
      </c>
      <c r="I438" s="401" t="s">
        <v>399</v>
      </c>
      <c r="J438" s="412">
        <f t="shared" si="2"/>
        <v>19</v>
      </c>
    </row>
    <row r="439" spans="1:11" ht="25.5" x14ac:dyDescent="0.2">
      <c r="A439" s="831">
        <v>20</v>
      </c>
      <c r="B439" s="832" t="s">
        <v>487</v>
      </c>
      <c r="C439" s="1175" t="s">
        <v>489</v>
      </c>
      <c r="D439" s="412">
        <f t="shared" si="1"/>
        <v>20</v>
      </c>
      <c r="E439" s="518"/>
      <c r="F439" s="397">
        <v>20</v>
      </c>
      <c r="G439" s="398" t="s">
        <v>60</v>
      </c>
      <c r="H439" s="399" t="s">
        <v>429</v>
      </c>
      <c r="I439" s="401" t="s">
        <v>399</v>
      </c>
      <c r="J439" s="412">
        <f t="shared" si="2"/>
        <v>20</v>
      </c>
    </row>
    <row r="440" spans="1:11" x14ac:dyDescent="0.2">
      <c r="A440" s="831">
        <v>21</v>
      </c>
      <c r="B440" s="832" t="s">
        <v>473</v>
      </c>
      <c r="C440" s="1175" t="s">
        <v>490</v>
      </c>
      <c r="D440" s="412">
        <f t="shared" si="1"/>
        <v>21</v>
      </c>
      <c r="E440" s="518"/>
      <c r="F440" s="397">
        <v>21</v>
      </c>
      <c r="G440" s="398" t="s">
        <v>61</v>
      </c>
      <c r="H440" s="399" t="s">
        <v>429</v>
      </c>
      <c r="I440" s="401" t="s">
        <v>399</v>
      </c>
      <c r="J440" s="412">
        <f t="shared" si="2"/>
        <v>21</v>
      </c>
    </row>
    <row r="441" spans="1:11" x14ac:dyDescent="0.2">
      <c r="A441" s="831">
        <v>22</v>
      </c>
      <c r="B441" s="832" t="s">
        <v>469</v>
      </c>
      <c r="C441" s="1175" t="s">
        <v>498</v>
      </c>
      <c r="D441" s="412">
        <f t="shared" si="1"/>
        <v>22</v>
      </c>
      <c r="E441" s="518"/>
      <c r="F441" s="406">
        <v>22</v>
      </c>
      <c r="G441" s="407" t="s">
        <v>62</v>
      </c>
      <c r="H441" s="399" t="s">
        <v>398</v>
      </c>
      <c r="I441" s="400" t="s">
        <v>502</v>
      </c>
      <c r="J441" s="412">
        <f t="shared" si="2"/>
        <v>22</v>
      </c>
      <c r="K441" s="53" t="s">
        <v>511</v>
      </c>
    </row>
    <row r="442" spans="1:11" ht="25.5" x14ac:dyDescent="0.2">
      <c r="A442" s="831">
        <v>23</v>
      </c>
      <c r="B442" s="832" t="s">
        <v>488</v>
      </c>
      <c r="C442" s="1175" t="s">
        <v>530</v>
      </c>
      <c r="D442" s="412">
        <f t="shared" si="1"/>
        <v>23</v>
      </c>
      <c r="E442" s="518"/>
      <c r="F442" s="397">
        <v>23</v>
      </c>
      <c r="G442" s="398" t="s">
        <v>63</v>
      </c>
      <c r="H442" s="399" t="s">
        <v>398</v>
      </c>
      <c r="I442" s="400" t="s">
        <v>505</v>
      </c>
      <c r="J442" s="412">
        <f t="shared" si="2"/>
        <v>23</v>
      </c>
      <c r="K442" s="53" t="s">
        <v>511</v>
      </c>
    </row>
    <row r="443" spans="1:11" ht="25.5" x14ac:dyDescent="0.2">
      <c r="A443" s="831">
        <v>24</v>
      </c>
      <c r="B443" s="832" t="s">
        <v>480</v>
      </c>
      <c r="C443" s="1175" t="s">
        <v>530</v>
      </c>
      <c r="D443" s="412">
        <f t="shared" si="1"/>
        <v>24</v>
      </c>
      <c r="E443" s="518"/>
      <c r="F443" s="397">
        <v>24</v>
      </c>
      <c r="G443" s="398" t="s">
        <v>64</v>
      </c>
      <c r="H443" s="399" t="s">
        <v>429</v>
      </c>
      <c r="I443" s="401" t="s">
        <v>399</v>
      </c>
      <c r="J443" s="412">
        <f t="shared" si="2"/>
        <v>24</v>
      </c>
    </row>
    <row r="444" spans="1:11" ht="25.5" x14ac:dyDescent="0.2">
      <c r="A444" s="831">
        <v>25</v>
      </c>
      <c r="B444" s="832" t="s">
        <v>470</v>
      </c>
      <c r="C444" s="1175" t="s">
        <v>530</v>
      </c>
      <c r="D444" s="412">
        <f t="shared" si="1"/>
        <v>25</v>
      </c>
      <c r="E444" s="518"/>
      <c r="F444" s="397">
        <v>25</v>
      </c>
      <c r="G444" s="398" t="s">
        <v>317</v>
      </c>
      <c r="H444" s="399" t="s">
        <v>429</v>
      </c>
      <c r="I444" s="401" t="s">
        <v>399</v>
      </c>
      <c r="J444" s="412">
        <f t="shared" si="2"/>
        <v>25</v>
      </c>
    </row>
    <row r="445" spans="1:11" ht="25.5" x14ac:dyDescent="0.2">
      <c r="A445" s="831">
        <v>26</v>
      </c>
      <c r="B445" s="832" t="s">
        <v>471</v>
      </c>
      <c r="C445" s="1175" t="s">
        <v>530</v>
      </c>
      <c r="D445" s="412">
        <f t="shared" si="1"/>
        <v>26</v>
      </c>
      <c r="E445" s="518"/>
      <c r="F445" s="397">
        <v>26</v>
      </c>
      <c r="G445" s="398" t="s">
        <v>65</v>
      </c>
      <c r="H445" s="399" t="s">
        <v>429</v>
      </c>
      <c r="I445" s="400" t="s">
        <v>501</v>
      </c>
      <c r="J445" s="412">
        <f t="shared" si="2"/>
        <v>26</v>
      </c>
    </row>
    <row r="446" spans="1:11" ht="25.5" x14ac:dyDescent="0.2">
      <c r="A446" s="831">
        <v>27</v>
      </c>
      <c r="B446" s="832" t="s">
        <v>472</v>
      </c>
      <c r="C446" s="1175" t="s">
        <v>530</v>
      </c>
      <c r="D446" s="412">
        <f t="shared" si="1"/>
        <v>27</v>
      </c>
      <c r="E446" s="518"/>
      <c r="F446" s="397">
        <v>27</v>
      </c>
      <c r="G446" s="398" t="s">
        <v>66</v>
      </c>
      <c r="H446" s="399" t="s">
        <v>429</v>
      </c>
      <c r="I446" s="400" t="s">
        <v>535</v>
      </c>
      <c r="J446" s="412">
        <f t="shared" si="2"/>
        <v>27</v>
      </c>
    </row>
    <row r="447" spans="1:11" ht="25.5" x14ac:dyDescent="0.2">
      <c r="A447" s="831">
        <v>28</v>
      </c>
      <c r="B447" s="832" t="s">
        <v>425</v>
      </c>
      <c r="C447" s="1175" t="s">
        <v>499</v>
      </c>
      <c r="D447" s="412">
        <f t="shared" si="1"/>
        <v>28</v>
      </c>
      <c r="E447" s="518"/>
      <c r="F447" s="406">
        <v>28</v>
      </c>
      <c r="G447" s="407" t="s">
        <v>67</v>
      </c>
      <c r="H447" s="399" t="s">
        <v>398</v>
      </c>
      <c r="I447" s="400" t="s">
        <v>502</v>
      </c>
      <c r="J447" s="412">
        <f t="shared" si="2"/>
        <v>28</v>
      </c>
      <c r="K447" s="53" t="s">
        <v>511</v>
      </c>
    </row>
    <row r="448" spans="1:11" ht="25.5" x14ac:dyDescent="0.2">
      <c r="A448" s="831">
        <v>29</v>
      </c>
      <c r="B448" s="832" t="s">
        <v>491</v>
      </c>
      <c r="C448" s="1175" t="s">
        <v>493</v>
      </c>
      <c r="D448" s="412">
        <f t="shared" si="1"/>
        <v>29</v>
      </c>
      <c r="E448" s="518"/>
      <c r="F448" s="397">
        <v>29</v>
      </c>
      <c r="G448" s="398" t="s">
        <v>68</v>
      </c>
      <c r="H448" s="399" t="s">
        <v>398</v>
      </c>
      <c r="I448" s="400" t="s">
        <v>536</v>
      </c>
      <c r="J448" s="412">
        <f t="shared" si="2"/>
        <v>29</v>
      </c>
      <c r="K448" s="53" t="s">
        <v>511</v>
      </c>
    </row>
    <row r="449" spans="1:11" ht="25.5" x14ac:dyDescent="0.2">
      <c r="A449" s="831">
        <v>30</v>
      </c>
      <c r="B449" s="832" t="s">
        <v>492</v>
      </c>
      <c r="C449" s="1175" t="s">
        <v>494</v>
      </c>
      <c r="D449" s="412">
        <f t="shared" si="1"/>
        <v>30</v>
      </c>
      <c r="E449" s="518"/>
      <c r="F449" s="397">
        <v>30</v>
      </c>
      <c r="G449" s="398" t="s">
        <v>69</v>
      </c>
      <c r="H449" s="399" t="s">
        <v>429</v>
      </c>
      <c r="I449" s="400" t="s">
        <v>506</v>
      </c>
      <c r="J449" s="412">
        <f t="shared" si="2"/>
        <v>30</v>
      </c>
    </row>
    <row r="450" spans="1:11" ht="25.5" x14ac:dyDescent="0.2">
      <c r="A450" s="831">
        <v>31</v>
      </c>
      <c r="B450" s="832" t="s">
        <v>428</v>
      </c>
      <c r="C450" s="1175" t="s">
        <v>495</v>
      </c>
      <c r="D450" s="412">
        <f t="shared" si="1"/>
        <v>31</v>
      </c>
      <c r="E450" s="518"/>
      <c r="F450" s="397">
        <v>31</v>
      </c>
      <c r="G450" s="398" t="s">
        <v>361</v>
      </c>
      <c r="H450" s="399" t="s">
        <v>398</v>
      </c>
      <c r="I450" s="400" t="s">
        <v>537</v>
      </c>
      <c r="J450" s="412">
        <f t="shared" si="2"/>
        <v>31</v>
      </c>
      <c r="K450" s="53" t="s">
        <v>511</v>
      </c>
    </row>
    <row r="451" spans="1:11" ht="38.25" x14ac:dyDescent="0.2">
      <c r="A451" s="831">
        <v>32</v>
      </c>
      <c r="B451" s="832" t="s">
        <v>496</v>
      </c>
      <c r="C451" s="1175" t="s">
        <v>497</v>
      </c>
      <c r="D451" s="412">
        <f t="shared" si="1"/>
        <v>32</v>
      </c>
      <c r="E451" s="518"/>
      <c r="F451" s="397">
        <v>32</v>
      </c>
      <c r="G451" s="398" t="s">
        <v>70</v>
      </c>
      <c r="H451" s="399" t="s">
        <v>429</v>
      </c>
      <c r="I451" s="401" t="s">
        <v>399</v>
      </c>
      <c r="J451" s="412">
        <f t="shared" si="2"/>
        <v>32</v>
      </c>
    </row>
    <row r="452" spans="1:11" ht="177.75" customHeight="1" x14ac:dyDescent="0.2">
      <c r="A452" s="1157">
        <v>33</v>
      </c>
      <c r="B452" s="997" t="s">
        <v>778</v>
      </c>
      <c r="C452" s="1158" t="s">
        <v>777</v>
      </c>
      <c r="D452" s="412">
        <f t="shared" si="1"/>
        <v>33</v>
      </c>
      <c r="E452" s="518"/>
      <c r="F452" s="406">
        <v>33</v>
      </c>
      <c r="G452" s="407" t="s">
        <v>71</v>
      </c>
      <c r="H452" s="399" t="s">
        <v>429</v>
      </c>
      <c r="I452" s="401" t="s">
        <v>399</v>
      </c>
      <c r="J452" s="412">
        <f t="shared" si="2"/>
        <v>33</v>
      </c>
    </row>
    <row r="453" spans="1:11" ht="38.25" x14ac:dyDescent="0.2">
      <c r="A453" s="1157">
        <v>34</v>
      </c>
      <c r="B453" s="1186" t="s">
        <v>779</v>
      </c>
      <c r="C453" s="1177" t="s">
        <v>562</v>
      </c>
      <c r="D453" s="412"/>
      <c r="E453" s="518"/>
      <c r="F453" s="397">
        <v>34</v>
      </c>
      <c r="G453" s="398" t="s">
        <v>72</v>
      </c>
      <c r="H453" s="399" t="s">
        <v>398</v>
      </c>
      <c r="I453" s="401" t="s">
        <v>399</v>
      </c>
      <c r="J453" s="412">
        <f t="shared" si="2"/>
        <v>34</v>
      </c>
    </row>
    <row r="454" spans="1:11" ht="25.5" x14ac:dyDescent="0.2">
      <c r="A454" s="1157">
        <v>35</v>
      </c>
      <c r="B454" s="997" t="s">
        <v>686</v>
      </c>
      <c r="C454" s="1158" t="s">
        <v>697</v>
      </c>
      <c r="D454" s="412"/>
      <c r="E454" s="518"/>
      <c r="F454" s="397">
        <v>35</v>
      </c>
      <c r="G454" s="398" t="s">
        <v>73</v>
      </c>
      <c r="H454" s="399" t="s">
        <v>398</v>
      </c>
      <c r="I454" s="400" t="s">
        <v>547</v>
      </c>
      <c r="J454" s="412">
        <f t="shared" si="2"/>
        <v>35</v>
      </c>
      <c r="K454" s="53" t="s">
        <v>511</v>
      </c>
    </row>
    <row r="455" spans="1:11" x14ac:dyDescent="0.2">
      <c r="A455" s="1157">
        <v>36</v>
      </c>
      <c r="B455" s="997" t="s">
        <v>745</v>
      </c>
      <c r="C455" s="1158" t="s">
        <v>780</v>
      </c>
      <c r="D455" s="412"/>
      <c r="E455" s="518"/>
      <c r="F455" s="397">
        <v>36</v>
      </c>
      <c r="G455" s="398" t="s">
        <v>74</v>
      </c>
      <c r="H455" s="399" t="s">
        <v>398</v>
      </c>
      <c r="I455" s="400" t="s">
        <v>535</v>
      </c>
      <c r="J455" s="412">
        <f t="shared" si="2"/>
        <v>36</v>
      </c>
      <c r="K455" s="53" t="s">
        <v>511</v>
      </c>
    </row>
    <row r="456" spans="1:11" x14ac:dyDescent="0.2">
      <c r="A456" s="1157">
        <v>37</v>
      </c>
      <c r="B456" s="997" t="s">
        <v>316</v>
      </c>
      <c r="C456" s="1158" t="s">
        <v>781</v>
      </c>
      <c r="D456" s="412"/>
      <c r="E456" s="518"/>
      <c r="F456" s="397">
        <v>37</v>
      </c>
      <c r="G456" s="398" t="s">
        <v>75</v>
      </c>
      <c r="H456" s="399" t="s">
        <v>429</v>
      </c>
      <c r="I456" s="400" t="s">
        <v>535</v>
      </c>
      <c r="J456" s="412">
        <f t="shared" si="2"/>
        <v>37</v>
      </c>
      <c r="K456" s="53" t="s">
        <v>548</v>
      </c>
    </row>
    <row r="457" spans="1:11" x14ac:dyDescent="0.2">
      <c r="A457" s="1157">
        <v>38</v>
      </c>
      <c r="B457" s="997" t="s">
        <v>757</v>
      </c>
      <c r="C457" s="1158" t="s">
        <v>782</v>
      </c>
      <c r="D457" s="412"/>
      <c r="E457" s="518"/>
      <c r="F457" s="397">
        <v>38</v>
      </c>
      <c r="G457" s="398" t="s">
        <v>76</v>
      </c>
      <c r="H457" s="399" t="s">
        <v>429</v>
      </c>
      <c r="I457" s="400" t="s">
        <v>502</v>
      </c>
      <c r="J457" s="412">
        <f t="shared" si="2"/>
        <v>38</v>
      </c>
      <c r="K457" s="53" t="s">
        <v>548</v>
      </c>
    </row>
    <row r="458" spans="1:11" ht="25.5" x14ac:dyDescent="0.2">
      <c r="A458" s="1157">
        <v>39</v>
      </c>
      <c r="B458" s="997" t="s">
        <v>783</v>
      </c>
      <c r="C458" s="1158" t="s">
        <v>784</v>
      </c>
      <c r="D458" s="412"/>
      <c r="E458" s="518"/>
      <c r="F458" s="397">
        <v>39</v>
      </c>
      <c r="G458" s="398" t="s">
        <v>77</v>
      </c>
      <c r="H458" s="399" t="s">
        <v>429</v>
      </c>
      <c r="I458" s="401" t="s">
        <v>399</v>
      </c>
      <c r="J458" s="412">
        <f t="shared" si="2"/>
        <v>39</v>
      </c>
    </row>
    <row r="459" spans="1:11" ht="25.5" x14ac:dyDescent="0.2">
      <c r="A459" s="1157">
        <v>40</v>
      </c>
      <c r="B459" s="997" t="s">
        <v>785</v>
      </c>
      <c r="C459" s="1158" t="s">
        <v>786</v>
      </c>
      <c r="D459" s="412"/>
      <c r="E459" s="518"/>
      <c r="F459" s="397">
        <v>40</v>
      </c>
      <c r="G459" s="398" t="s">
        <v>78</v>
      </c>
      <c r="H459" s="399" t="s">
        <v>429</v>
      </c>
      <c r="I459" s="401" t="s">
        <v>399</v>
      </c>
      <c r="J459" s="412">
        <f t="shared" si="2"/>
        <v>40</v>
      </c>
    </row>
    <row r="460" spans="1:11" x14ac:dyDescent="0.2">
      <c r="A460" s="831">
        <v>41</v>
      </c>
      <c r="B460" s="997" t="s">
        <v>841</v>
      </c>
      <c r="C460" s="1175"/>
      <c r="D460" s="412"/>
      <c r="E460" s="518"/>
      <c r="F460" s="397">
        <v>41</v>
      </c>
      <c r="G460" s="398" t="s">
        <v>263</v>
      </c>
      <c r="H460" s="399" t="s">
        <v>429</v>
      </c>
      <c r="I460" s="401" t="s">
        <v>399</v>
      </c>
      <c r="J460" s="412">
        <f t="shared" si="2"/>
        <v>41</v>
      </c>
    </row>
    <row r="461" spans="1:11" x14ac:dyDescent="0.2">
      <c r="A461" s="831">
        <v>42</v>
      </c>
      <c r="B461" s="997" t="s">
        <v>849</v>
      </c>
      <c r="C461" s="1175"/>
      <c r="D461" s="412"/>
      <c r="E461" s="518"/>
      <c r="F461" s="397">
        <v>42</v>
      </c>
      <c r="G461" s="398" t="s">
        <v>79</v>
      </c>
      <c r="H461" s="399" t="s">
        <v>398</v>
      </c>
      <c r="I461" s="400" t="s">
        <v>538</v>
      </c>
      <c r="J461" s="412">
        <f t="shared" si="2"/>
        <v>42</v>
      </c>
      <c r="K461" s="53" t="s">
        <v>511</v>
      </c>
    </row>
    <row r="462" spans="1:11" x14ac:dyDescent="0.2">
      <c r="A462" s="831">
        <v>43</v>
      </c>
      <c r="B462" s="832"/>
      <c r="C462" s="1175"/>
      <c r="D462" s="412"/>
      <c r="E462" s="518"/>
      <c r="F462" s="397">
        <v>43</v>
      </c>
      <c r="G462" s="398" t="s">
        <v>275</v>
      </c>
      <c r="H462" s="399" t="s">
        <v>398</v>
      </c>
      <c r="I462" s="400" t="s">
        <v>539</v>
      </c>
      <c r="J462" s="412">
        <f t="shared" si="2"/>
        <v>43</v>
      </c>
      <c r="K462" s="53" t="s">
        <v>511</v>
      </c>
    </row>
    <row r="463" spans="1:11" x14ac:dyDescent="0.2">
      <c r="A463" s="831">
        <v>44</v>
      </c>
      <c r="B463" s="832"/>
      <c r="C463" s="1175"/>
      <c r="D463" s="412"/>
      <c r="E463" s="518"/>
      <c r="F463" s="397">
        <v>44</v>
      </c>
      <c r="G463" s="398" t="s">
        <v>283</v>
      </c>
      <c r="H463" s="399" t="s">
        <v>429</v>
      </c>
      <c r="I463" s="401" t="s">
        <v>399</v>
      </c>
      <c r="J463" s="412">
        <f t="shared" si="2"/>
        <v>44</v>
      </c>
    </row>
    <row r="464" spans="1:11" x14ac:dyDescent="0.2">
      <c r="A464" s="831">
        <v>45</v>
      </c>
      <c r="B464" s="832"/>
      <c r="C464" s="1175"/>
      <c r="D464" s="412"/>
      <c r="E464" s="518"/>
      <c r="F464" s="397">
        <v>45</v>
      </c>
      <c r="G464" s="398" t="s">
        <v>80</v>
      </c>
      <c r="H464" s="399" t="s">
        <v>429</v>
      </c>
      <c r="I464" s="401" t="s">
        <v>399</v>
      </c>
      <c r="J464" s="412">
        <f t="shared" si="2"/>
        <v>45</v>
      </c>
    </row>
    <row r="465" spans="1:11" x14ac:dyDescent="0.2">
      <c r="A465" s="831">
        <v>46</v>
      </c>
      <c r="B465" s="832"/>
      <c r="C465" s="1175"/>
      <c r="D465" s="412"/>
      <c r="E465" s="518"/>
      <c r="F465" s="397">
        <v>46</v>
      </c>
      <c r="G465" s="398" t="s">
        <v>81</v>
      </c>
      <c r="H465" s="399" t="s">
        <v>429</v>
      </c>
      <c r="I465" s="400" t="s">
        <v>535</v>
      </c>
      <c r="J465" s="412">
        <f t="shared" si="2"/>
        <v>46</v>
      </c>
    </row>
    <row r="466" spans="1:11" x14ac:dyDescent="0.2">
      <c r="A466" s="831">
        <v>47</v>
      </c>
      <c r="B466" s="832"/>
      <c r="C466" s="1175"/>
      <c r="D466" s="412"/>
      <c r="E466" s="518"/>
      <c r="F466" s="397">
        <v>47</v>
      </c>
      <c r="G466" s="398" t="s">
        <v>306</v>
      </c>
      <c r="H466" s="399" t="s">
        <v>429</v>
      </c>
      <c r="I466" s="400" t="s">
        <v>508</v>
      </c>
      <c r="J466" s="412">
        <f t="shared" si="2"/>
        <v>47</v>
      </c>
    </row>
    <row r="467" spans="1:11" x14ac:dyDescent="0.2">
      <c r="A467" s="831">
        <v>48</v>
      </c>
      <c r="B467" s="832"/>
      <c r="C467" s="1175"/>
      <c r="D467" s="412"/>
      <c r="E467" s="518"/>
      <c r="F467" s="397">
        <v>48</v>
      </c>
      <c r="G467" s="398" t="s">
        <v>307</v>
      </c>
      <c r="H467" s="399" t="s">
        <v>429</v>
      </c>
      <c r="I467" s="401" t="s">
        <v>399</v>
      </c>
      <c r="J467" s="412">
        <f t="shared" si="2"/>
        <v>48</v>
      </c>
    </row>
    <row r="468" spans="1:11" x14ac:dyDescent="0.2">
      <c r="A468" s="831">
        <v>49</v>
      </c>
      <c r="B468" s="832"/>
      <c r="C468" s="1175"/>
      <c r="D468" s="412"/>
      <c r="E468" s="518"/>
      <c r="F468" s="397">
        <v>49</v>
      </c>
      <c r="G468" s="398" t="s">
        <v>356</v>
      </c>
      <c r="H468" s="399" t="s">
        <v>429</v>
      </c>
      <c r="I468" s="400" t="s">
        <v>508</v>
      </c>
      <c r="J468" s="412">
        <f t="shared" si="2"/>
        <v>49</v>
      </c>
    </row>
    <row r="469" spans="1:11" x14ac:dyDescent="0.2">
      <c r="A469" s="831">
        <v>50</v>
      </c>
      <c r="B469" s="832"/>
      <c r="C469" s="1175"/>
      <c r="D469" s="412"/>
      <c r="E469" s="518"/>
      <c r="F469" s="397">
        <v>50</v>
      </c>
      <c r="G469" s="398" t="s">
        <v>316</v>
      </c>
      <c r="H469" s="399" t="s">
        <v>398</v>
      </c>
      <c r="I469" s="400" t="s">
        <v>539</v>
      </c>
      <c r="J469" s="412">
        <f t="shared" si="2"/>
        <v>50</v>
      </c>
      <c r="K469" s="53" t="s">
        <v>511</v>
      </c>
    </row>
    <row r="470" spans="1:11" x14ac:dyDescent="0.2">
      <c r="A470" s="831">
        <v>51</v>
      </c>
      <c r="B470" s="832"/>
      <c r="C470" s="1175"/>
      <c r="D470" s="412"/>
      <c r="E470" s="518"/>
      <c r="F470" s="397">
        <v>51</v>
      </c>
      <c r="G470" s="398" t="s">
        <v>353</v>
      </c>
      <c r="H470" s="399" t="s">
        <v>398</v>
      </c>
      <c r="I470" s="400" t="s">
        <v>430</v>
      </c>
      <c r="J470" s="412">
        <f t="shared" si="2"/>
        <v>51</v>
      </c>
      <c r="K470" s="53" t="s">
        <v>511</v>
      </c>
    </row>
    <row r="471" spans="1:11" x14ac:dyDescent="0.2">
      <c r="A471" s="831">
        <v>52</v>
      </c>
      <c r="B471" s="832"/>
      <c r="C471" s="1175"/>
      <c r="D471" s="412"/>
      <c r="E471" s="518"/>
      <c r="F471" s="406">
        <v>52</v>
      </c>
      <c r="G471" s="407" t="s">
        <v>354</v>
      </c>
      <c r="H471" s="399" t="s">
        <v>398</v>
      </c>
      <c r="I471" s="400" t="s">
        <v>520</v>
      </c>
      <c r="J471" s="412">
        <f t="shared" si="2"/>
        <v>52</v>
      </c>
      <c r="K471" s="53" t="s">
        <v>511</v>
      </c>
    </row>
    <row r="472" spans="1:11" x14ac:dyDescent="0.2">
      <c r="A472" s="831">
        <v>53</v>
      </c>
      <c r="B472" s="832"/>
      <c r="C472" s="1175"/>
      <c r="D472" s="412"/>
      <c r="E472" s="518"/>
      <c r="F472" s="101">
        <v>53</v>
      </c>
      <c r="J472" s="416"/>
    </row>
    <row r="473" spans="1:11" x14ac:dyDescent="0.2">
      <c r="A473" s="831">
        <v>54</v>
      </c>
      <c r="B473" s="832"/>
      <c r="C473" s="1175"/>
      <c r="D473" s="412"/>
      <c r="E473" s="518"/>
      <c r="F473" s="101">
        <v>54</v>
      </c>
      <c r="J473" s="416"/>
    </row>
    <row r="474" spans="1:11" x14ac:dyDescent="0.2">
      <c r="A474" s="831">
        <v>55</v>
      </c>
      <c r="B474" s="832"/>
      <c r="C474" s="1175"/>
      <c r="D474" s="412"/>
      <c r="E474" s="518"/>
      <c r="F474" s="101">
        <v>55</v>
      </c>
      <c r="J474" s="416"/>
    </row>
    <row r="475" spans="1:11" x14ac:dyDescent="0.2">
      <c r="A475" s="831">
        <v>56</v>
      </c>
      <c r="B475" s="832"/>
      <c r="C475" s="1175"/>
      <c r="D475" s="412"/>
      <c r="E475" s="518"/>
      <c r="F475" s="101">
        <v>56</v>
      </c>
      <c r="J475" s="416"/>
    </row>
    <row r="476" spans="1:11" x14ac:dyDescent="0.2">
      <c r="A476" s="831">
        <v>57</v>
      </c>
      <c r="B476" s="832"/>
      <c r="C476" s="1175"/>
      <c r="D476" s="412"/>
      <c r="E476" s="518"/>
      <c r="F476" s="101">
        <v>57</v>
      </c>
      <c r="J476" s="416"/>
    </row>
    <row r="477" spans="1:11" x14ac:dyDescent="0.2">
      <c r="A477" s="831">
        <v>58</v>
      </c>
      <c r="B477" s="832"/>
      <c r="C477" s="1175"/>
      <c r="D477" s="412"/>
      <c r="E477" s="518"/>
      <c r="F477" s="101">
        <v>58</v>
      </c>
      <c r="J477" s="416"/>
    </row>
    <row r="478" spans="1:11" x14ac:dyDescent="0.2">
      <c r="A478" s="831">
        <v>59</v>
      </c>
      <c r="B478" s="832"/>
      <c r="C478" s="1175"/>
      <c r="D478" s="412"/>
      <c r="E478" s="518"/>
      <c r="F478" s="101">
        <v>59</v>
      </c>
      <c r="J478" s="416"/>
    </row>
    <row r="479" spans="1:11" x14ac:dyDescent="0.2">
      <c r="A479" s="831">
        <v>60</v>
      </c>
      <c r="B479" s="832"/>
      <c r="C479" s="1175"/>
      <c r="D479" s="412"/>
      <c r="E479" s="518"/>
      <c r="F479" s="101">
        <v>60</v>
      </c>
      <c r="J479" s="416"/>
    </row>
    <row r="483" spans="1:11" x14ac:dyDescent="0.2">
      <c r="A483" s="101"/>
      <c r="D483" s="98"/>
      <c r="E483" s="206" t="s">
        <v>659</v>
      </c>
      <c r="F483" s="48"/>
      <c r="G483" s="48"/>
      <c r="H483" s="48"/>
      <c r="I483" s="48"/>
      <c r="J483" s="416"/>
      <c r="K483" s="48"/>
    </row>
    <row r="484" spans="1:11" x14ac:dyDescent="0.2">
      <c r="A484" s="101"/>
      <c r="D484" s="98"/>
      <c r="E484" s="517"/>
      <c r="F484" s="48"/>
      <c r="G484" s="48"/>
      <c r="H484" s="48"/>
      <c r="I484" s="48"/>
      <c r="J484" s="416"/>
      <c r="K484" s="48"/>
    </row>
    <row r="485" spans="1:11" x14ac:dyDescent="0.2">
      <c r="A485" s="1353" t="s">
        <v>448</v>
      </c>
      <c r="B485" s="1353"/>
      <c r="C485" s="1353"/>
      <c r="D485" s="98"/>
      <c r="E485" s="517"/>
      <c r="F485" s="48"/>
      <c r="G485" s="48"/>
      <c r="H485" s="48"/>
      <c r="I485" s="48"/>
      <c r="J485" s="416"/>
      <c r="K485" s="48"/>
    </row>
    <row r="486" spans="1:11" x14ac:dyDescent="0.2">
      <c r="A486" s="1062" t="s">
        <v>4</v>
      </c>
      <c r="B486" s="1160" t="s">
        <v>281</v>
      </c>
      <c r="C486" s="1161" t="s">
        <v>26</v>
      </c>
      <c r="D486" s="98"/>
      <c r="E486" s="517"/>
      <c r="F486" s="48"/>
      <c r="G486" s="48"/>
      <c r="H486" s="48"/>
      <c r="I486" s="48"/>
      <c r="J486" s="416"/>
      <c r="K486" s="48"/>
    </row>
    <row r="487" spans="1:11" x14ac:dyDescent="0.2">
      <c r="A487" s="101"/>
      <c r="C487" s="1159" t="s">
        <v>437</v>
      </c>
      <c r="D487" s="411"/>
      <c r="H487" s="408" t="s">
        <v>440</v>
      </c>
      <c r="J487" s="416"/>
    </row>
    <row r="488" spans="1:11" x14ac:dyDescent="0.2">
      <c r="A488" s="831" t="s">
        <v>18</v>
      </c>
      <c r="B488" s="832" t="s">
        <v>433</v>
      </c>
      <c r="C488" s="1175" t="s">
        <v>453</v>
      </c>
      <c r="D488" s="412">
        <v>1</v>
      </c>
      <c r="E488" s="518"/>
      <c r="F488" s="397" t="s">
        <v>18</v>
      </c>
      <c r="G488" s="398" t="s">
        <v>82</v>
      </c>
      <c r="H488" s="399" t="s">
        <v>398</v>
      </c>
      <c r="I488" s="400" t="s">
        <v>436</v>
      </c>
      <c r="J488" s="410">
        <v>1</v>
      </c>
    </row>
    <row r="489" spans="1:11" x14ac:dyDescent="0.2">
      <c r="A489" s="831" t="s">
        <v>33</v>
      </c>
      <c r="B489" s="832" t="s">
        <v>432</v>
      </c>
      <c r="C489" s="1175" t="s">
        <v>454</v>
      </c>
      <c r="D489" s="412">
        <f t="shared" ref="D489:D519" si="3">+D488+1</f>
        <v>2</v>
      </c>
      <c r="E489" s="518"/>
      <c r="F489" s="397" t="s">
        <v>33</v>
      </c>
      <c r="G489" s="398" t="s">
        <v>83</v>
      </c>
      <c r="H489" s="399" t="s">
        <v>398</v>
      </c>
      <c r="I489" s="400" t="s">
        <v>431</v>
      </c>
      <c r="J489" s="410">
        <f>+J488+1</f>
        <v>2</v>
      </c>
    </row>
    <row r="490" spans="1:11" x14ac:dyDescent="0.2">
      <c r="A490" s="831" t="s">
        <v>34</v>
      </c>
      <c r="B490" s="832" t="s">
        <v>434</v>
      </c>
      <c r="C490" s="1175" t="s">
        <v>455</v>
      </c>
      <c r="D490" s="412">
        <f t="shared" si="3"/>
        <v>3</v>
      </c>
      <c r="E490" s="518"/>
      <c r="F490" s="397" t="s">
        <v>34</v>
      </c>
      <c r="G490" s="398" t="s">
        <v>84</v>
      </c>
      <c r="H490" s="399" t="s">
        <v>429</v>
      </c>
      <c r="I490" s="400" t="s">
        <v>435</v>
      </c>
      <c r="J490" s="410">
        <f t="shared" ref="J490:J512" si="4">+J489+1</f>
        <v>3</v>
      </c>
    </row>
    <row r="491" spans="1:11" ht="51" x14ac:dyDescent="0.2">
      <c r="A491" s="831" t="s">
        <v>5</v>
      </c>
      <c r="B491" s="832" t="s">
        <v>519</v>
      </c>
      <c r="C491" s="1175" t="s">
        <v>451</v>
      </c>
      <c r="D491" s="412">
        <f t="shared" si="3"/>
        <v>4</v>
      </c>
      <c r="E491" s="518"/>
      <c r="F491" s="397" t="s">
        <v>5</v>
      </c>
      <c r="G491" s="398" t="s">
        <v>85</v>
      </c>
      <c r="H491" s="399" t="s">
        <v>398</v>
      </c>
      <c r="I491" s="400" t="s">
        <v>447</v>
      </c>
      <c r="J491" s="410">
        <f t="shared" si="4"/>
        <v>4</v>
      </c>
    </row>
    <row r="492" spans="1:11" ht="25.5" x14ac:dyDescent="0.2">
      <c r="A492" s="831" t="s">
        <v>35</v>
      </c>
      <c r="B492" s="832" t="s">
        <v>510</v>
      </c>
      <c r="C492" s="1175" t="s">
        <v>452</v>
      </c>
      <c r="D492" s="412">
        <f t="shared" si="3"/>
        <v>5</v>
      </c>
      <c r="E492" s="518"/>
      <c r="F492" s="402" t="s">
        <v>35</v>
      </c>
      <c r="G492" s="403" t="s">
        <v>86</v>
      </c>
      <c r="H492" s="399" t="s">
        <v>429</v>
      </c>
      <c r="I492" s="400" t="s">
        <v>447</v>
      </c>
      <c r="J492" s="410">
        <f t="shared" si="4"/>
        <v>5</v>
      </c>
      <c r="K492" s="409" t="s">
        <v>444</v>
      </c>
    </row>
    <row r="493" spans="1:11" ht="63.75" x14ac:dyDescent="0.2">
      <c r="A493" s="831" t="s">
        <v>36</v>
      </c>
      <c r="B493" s="832" t="s">
        <v>442</v>
      </c>
      <c r="C493" s="1175" t="s">
        <v>445</v>
      </c>
      <c r="D493" s="412">
        <f t="shared" si="3"/>
        <v>6</v>
      </c>
      <c r="E493" s="518"/>
      <c r="F493" s="397" t="s">
        <v>36</v>
      </c>
      <c r="G493" s="398" t="s">
        <v>87</v>
      </c>
      <c r="H493" s="399" t="s">
        <v>429</v>
      </c>
      <c r="I493" s="400" t="s">
        <v>441</v>
      </c>
      <c r="J493" s="410">
        <f t="shared" si="4"/>
        <v>6</v>
      </c>
    </row>
    <row r="494" spans="1:11" x14ac:dyDescent="0.2">
      <c r="A494" s="831" t="s">
        <v>10</v>
      </c>
      <c r="B494" s="660" t="s">
        <v>516</v>
      </c>
      <c r="C494" s="1176" t="s">
        <v>517</v>
      </c>
      <c r="D494" s="412">
        <f t="shared" si="3"/>
        <v>7</v>
      </c>
      <c r="E494" s="518"/>
      <c r="F494" s="397" t="s">
        <v>10</v>
      </c>
      <c r="G494" s="398" t="s">
        <v>88</v>
      </c>
      <c r="H494" s="399" t="s">
        <v>429</v>
      </c>
      <c r="I494" s="400" t="s">
        <v>441</v>
      </c>
      <c r="J494" s="410">
        <f t="shared" si="4"/>
        <v>7</v>
      </c>
    </row>
    <row r="495" spans="1:11" x14ac:dyDescent="0.2">
      <c r="A495" s="831" t="s">
        <v>14</v>
      </c>
      <c r="B495" s="660" t="s">
        <v>516</v>
      </c>
      <c r="C495" s="1176" t="s">
        <v>518</v>
      </c>
      <c r="D495" s="412">
        <f t="shared" si="3"/>
        <v>8</v>
      </c>
      <c r="E495" s="518"/>
      <c r="F495" s="397" t="s">
        <v>14</v>
      </c>
      <c r="G495" s="398" t="s">
        <v>89</v>
      </c>
      <c r="H495" s="399" t="s">
        <v>398</v>
      </c>
      <c r="I495" s="400" t="s">
        <v>439</v>
      </c>
      <c r="J495" s="410">
        <f t="shared" si="4"/>
        <v>8</v>
      </c>
    </row>
    <row r="496" spans="1:11" ht="51" x14ac:dyDescent="0.2">
      <c r="A496" s="831" t="s">
        <v>37</v>
      </c>
      <c r="B496" s="833" t="s">
        <v>557</v>
      </c>
      <c r="C496" s="1176" t="s">
        <v>554</v>
      </c>
      <c r="D496" s="412">
        <f t="shared" si="3"/>
        <v>9</v>
      </c>
      <c r="E496" s="518"/>
      <c r="F496" s="397" t="s">
        <v>37</v>
      </c>
      <c r="G496" s="398" t="s">
        <v>90</v>
      </c>
      <c r="H496" s="399" t="s">
        <v>429</v>
      </c>
      <c r="I496" s="417" t="s">
        <v>399</v>
      </c>
      <c r="J496" s="410">
        <f t="shared" si="4"/>
        <v>9</v>
      </c>
    </row>
    <row r="497" spans="1:11" ht="25.5" x14ac:dyDescent="0.2">
      <c r="A497" s="831" t="s">
        <v>6</v>
      </c>
      <c r="B497" s="833" t="s">
        <v>515</v>
      </c>
      <c r="C497" s="1176" t="s">
        <v>513</v>
      </c>
      <c r="D497" s="412">
        <f t="shared" si="3"/>
        <v>10</v>
      </c>
      <c r="E497" s="518"/>
      <c r="F497" s="404" t="s">
        <v>6</v>
      </c>
      <c r="G497" s="405" t="s">
        <v>91</v>
      </c>
      <c r="H497" s="399" t="s">
        <v>398</v>
      </c>
      <c r="I497" s="400" t="s">
        <v>435</v>
      </c>
      <c r="J497" s="410">
        <f t="shared" si="4"/>
        <v>10</v>
      </c>
    </row>
    <row r="498" spans="1:11" ht="25.5" x14ac:dyDescent="0.2">
      <c r="A498" s="831" t="s">
        <v>9</v>
      </c>
      <c r="B498" s="834" t="s">
        <v>514</v>
      </c>
      <c r="C498" s="1176" t="s">
        <v>456</v>
      </c>
      <c r="D498" s="412">
        <f t="shared" si="3"/>
        <v>11</v>
      </c>
      <c r="E498" s="518"/>
      <c r="F498" s="397" t="s">
        <v>9</v>
      </c>
      <c r="G498" s="398" t="s">
        <v>92</v>
      </c>
      <c r="H498" s="399" t="s">
        <v>399</v>
      </c>
      <c r="I498" s="417" t="s">
        <v>399</v>
      </c>
      <c r="J498" s="410">
        <f t="shared" si="4"/>
        <v>11</v>
      </c>
    </row>
    <row r="499" spans="1:11" x14ac:dyDescent="0.2">
      <c r="A499" s="831" t="s">
        <v>12</v>
      </c>
      <c r="B499" s="660" t="s">
        <v>553</v>
      </c>
      <c r="C499" s="1176"/>
      <c r="D499" s="412">
        <f t="shared" si="3"/>
        <v>12</v>
      </c>
      <c r="E499" s="518"/>
      <c r="F499" s="397" t="s">
        <v>12</v>
      </c>
      <c r="G499" s="398" t="s">
        <v>93</v>
      </c>
      <c r="H499" s="399" t="s">
        <v>398</v>
      </c>
      <c r="I499" s="400" t="s">
        <v>443</v>
      </c>
      <c r="J499" s="410">
        <f t="shared" si="4"/>
        <v>12</v>
      </c>
    </row>
    <row r="500" spans="1:11" x14ac:dyDescent="0.2">
      <c r="A500" s="831" t="s">
        <v>13</v>
      </c>
      <c r="B500" s="660" t="s">
        <v>746</v>
      </c>
      <c r="C500" s="1176" t="s">
        <v>747</v>
      </c>
      <c r="D500" s="412">
        <f t="shared" si="3"/>
        <v>13</v>
      </c>
      <c r="E500" s="518"/>
      <c r="F500" s="397" t="s">
        <v>13</v>
      </c>
      <c r="G500" s="398" t="s">
        <v>94</v>
      </c>
      <c r="H500" s="399" t="s">
        <v>398</v>
      </c>
      <c r="I500" s="400" t="s">
        <v>441</v>
      </c>
      <c r="J500" s="410">
        <f t="shared" si="4"/>
        <v>13</v>
      </c>
    </row>
    <row r="501" spans="1:11" x14ac:dyDescent="0.2">
      <c r="A501" s="831" t="s">
        <v>7</v>
      </c>
      <c r="B501" s="1001" t="s">
        <v>759</v>
      </c>
      <c r="C501" s="1158" t="s">
        <v>758</v>
      </c>
      <c r="D501" s="412">
        <f t="shared" si="3"/>
        <v>14</v>
      </c>
      <c r="E501" s="518"/>
      <c r="F501" s="397" t="s">
        <v>7</v>
      </c>
      <c r="G501" s="398" t="s">
        <v>95</v>
      </c>
      <c r="H501" s="399" t="s">
        <v>398</v>
      </c>
      <c r="I501" s="400" t="s">
        <v>441</v>
      </c>
      <c r="J501" s="410">
        <f t="shared" si="4"/>
        <v>14</v>
      </c>
    </row>
    <row r="502" spans="1:11" x14ac:dyDescent="0.2">
      <c r="A502" s="831" t="s">
        <v>8</v>
      </c>
      <c r="B502" s="1001" t="s">
        <v>760</v>
      </c>
      <c r="C502" s="1177" t="s">
        <v>761</v>
      </c>
      <c r="D502" s="412">
        <f t="shared" si="3"/>
        <v>15</v>
      </c>
      <c r="E502" s="518"/>
      <c r="F502" s="397" t="s">
        <v>8</v>
      </c>
      <c r="G502" s="398" t="s">
        <v>96</v>
      </c>
      <c r="H502" s="399" t="s">
        <v>398</v>
      </c>
      <c r="I502" s="400" t="s">
        <v>446</v>
      </c>
      <c r="J502" s="410">
        <f t="shared" si="4"/>
        <v>15</v>
      </c>
    </row>
    <row r="503" spans="1:11" x14ac:dyDescent="0.2">
      <c r="A503" s="831" t="s">
        <v>16</v>
      </c>
      <c r="B503" s="834" t="s">
        <v>840</v>
      </c>
      <c r="C503" s="1176" t="s">
        <v>842</v>
      </c>
      <c r="D503" s="412">
        <f t="shared" si="3"/>
        <v>16</v>
      </c>
      <c r="E503" s="518"/>
      <c r="F503" s="397" t="s">
        <v>16</v>
      </c>
      <c r="G503" s="398" t="s">
        <v>97</v>
      </c>
      <c r="H503" s="399" t="s">
        <v>429</v>
      </c>
      <c r="I503" s="400" t="s">
        <v>446</v>
      </c>
      <c r="J503" s="410">
        <f t="shared" si="4"/>
        <v>16</v>
      </c>
    </row>
    <row r="504" spans="1:11" x14ac:dyDescent="0.2">
      <c r="A504" s="831" t="s">
        <v>17</v>
      </c>
      <c r="B504" s="834" t="s">
        <v>840</v>
      </c>
      <c r="C504" s="1176" t="s">
        <v>844</v>
      </c>
      <c r="D504" s="412">
        <f t="shared" si="3"/>
        <v>17</v>
      </c>
      <c r="E504" s="518"/>
      <c r="F504" s="402" t="s">
        <v>17</v>
      </c>
      <c r="G504" s="403" t="s">
        <v>86</v>
      </c>
      <c r="H504" s="399" t="s">
        <v>429</v>
      </c>
      <c r="I504" s="400" t="s">
        <v>447</v>
      </c>
      <c r="J504" s="410">
        <f t="shared" si="4"/>
        <v>17</v>
      </c>
      <c r="K504" s="409" t="s">
        <v>444</v>
      </c>
    </row>
    <row r="505" spans="1:11" x14ac:dyDescent="0.2">
      <c r="A505" s="831" t="s">
        <v>38</v>
      </c>
      <c r="B505" s="834" t="s">
        <v>840</v>
      </c>
      <c r="C505" s="1176" t="s">
        <v>843</v>
      </c>
      <c r="D505" s="412">
        <f t="shared" si="3"/>
        <v>18</v>
      </c>
      <c r="E505" s="518"/>
      <c r="F505" s="397" t="s">
        <v>38</v>
      </c>
      <c r="G505" s="398" t="s">
        <v>98</v>
      </c>
      <c r="H505" s="399" t="s">
        <v>429</v>
      </c>
      <c r="I505" s="400" t="s">
        <v>439</v>
      </c>
      <c r="J505" s="410">
        <f t="shared" si="4"/>
        <v>18</v>
      </c>
    </row>
    <row r="506" spans="1:11" x14ac:dyDescent="0.2">
      <c r="A506" s="831" t="s">
        <v>11</v>
      </c>
      <c r="B506" s="834"/>
      <c r="C506" s="1176"/>
      <c r="D506" s="412">
        <f t="shared" si="3"/>
        <v>19</v>
      </c>
      <c r="E506" s="518"/>
      <c r="F506" s="397" t="s">
        <v>11</v>
      </c>
      <c r="G506" s="398" t="s">
        <v>99</v>
      </c>
      <c r="H506" s="399" t="s">
        <v>429</v>
      </c>
      <c r="I506" s="417" t="s">
        <v>399</v>
      </c>
      <c r="J506" s="410">
        <f t="shared" si="4"/>
        <v>19</v>
      </c>
    </row>
    <row r="507" spans="1:11" x14ac:dyDescent="0.2">
      <c r="A507" s="831" t="s">
        <v>39</v>
      </c>
      <c r="B507" s="834"/>
      <c r="C507" s="1176"/>
      <c r="D507" s="412">
        <f t="shared" si="3"/>
        <v>20</v>
      </c>
      <c r="E507" s="518"/>
      <c r="F507" s="397" t="s">
        <v>39</v>
      </c>
      <c r="G507" s="398" t="s">
        <v>100</v>
      </c>
      <c r="H507" s="399" t="s">
        <v>429</v>
      </c>
      <c r="I507" s="417" t="s">
        <v>399</v>
      </c>
      <c r="J507" s="410">
        <f t="shared" si="4"/>
        <v>20</v>
      </c>
    </row>
    <row r="508" spans="1:11" x14ac:dyDescent="0.2">
      <c r="A508" s="831" t="s">
        <v>15</v>
      </c>
      <c r="B508" s="834"/>
      <c r="C508" s="1176"/>
      <c r="D508" s="412">
        <f t="shared" si="3"/>
        <v>21</v>
      </c>
      <c r="E508" s="518"/>
      <c r="F508" s="397" t="s">
        <v>15</v>
      </c>
      <c r="G508" s="398" t="s">
        <v>264</v>
      </c>
      <c r="H508" s="399" t="s">
        <v>429</v>
      </c>
      <c r="I508" s="400" t="s">
        <v>447</v>
      </c>
      <c r="J508" s="410">
        <f t="shared" si="4"/>
        <v>21</v>
      </c>
    </row>
    <row r="509" spans="1:11" x14ac:dyDescent="0.2">
      <c r="A509" s="831" t="s">
        <v>40</v>
      </c>
      <c r="B509" s="834"/>
      <c r="C509" s="1176"/>
      <c r="D509" s="412">
        <f t="shared" si="3"/>
        <v>22</v>
      </c>
      <c r="E509" s="518"/>
      <c r="F509" s="397" t="s">
        <v>40</v>
      </c>
      <c r="G509" s="398" t="s">
        <v>301</v>
      </c>
      <c r="H509" s="399" t="s">
        <v>429</v>
      </c>
      <c r="I509" s="417" t="s">
        <v>399</v>
      </c>
      <c r="J509" s="410">
        <f t="shared" si="4"/>
        <v>22</v>
      </c>
    </row>
    <row r="510" spans="1:11" x14ac:dyDescent="0.2">
      <c r="A510" s="831" t="s">
        <v>41</v>
      </c>
      <c r="B510" s="834"/>
      <c r="C510" s="1176"/>
      <c r="D510" s="412">
        <f t="shared" si="3"/>
        <v>23</v>
      </c>
      <c r="E510" s="518"/>
      <c r="F510" s="397" t="s">
        <v>41</v>
      </c>
      <c r="G510" s="398" t="s">
        <v>341</v>
      </c>
      <c r="H510" s="399" t="s">
        <v>398</v>
      </c>
      <c r="I510" s="400" t="s">
        <v>447</v>
      </c>
      <c r="J510" s="410">
        <f t="shared" si="4"/>
        <v>23</v>
      </c>
      <c r="K510" s="53" t="s">
        <v>511</v>
      </c>
    </row>
    <row r="511" spans="1:11" x14ac:dyDescent="0.2">
      <c r="A511" s="831" t="s">
        <v>42</v>
      </c>
      <c r="B511" s="660"/>
      <c r="C511" s="1176"/>
      <c r="D511" s="412">
        <f t="shared" si="3"/>
        <v>24</v>
      </c>
      <c r="E511" s="518"/>
      <c r="F511" s="397" t="s">
        <v>42</v>
      </c>
      <c r="G511" s="398" t="s">
        <v>355</v>
      </c>
      <c r="H511" s="399" t="s">
        <v>398</v>
      </c>
      <c r="I511" s="400" t="s">
        <v>446</v>
      </c>
      <c r="J511" s="410">
        <f t="shared" si="4"/>
        <v>24</v>
      </c>
      <c r="K511" s="20"/>
    </row>
    <row r="512" spans="1:11" x14ac:dyDescent="0.2">
      <c r="A512" s="831" t="s">
        <v>43</v>
      </c>
      <c r="B512" s="832"/>
      <c r="C512" s="1175"/>
      <c r="D512" s="412">
        <f t="shared" si="3"/>
        <v>25</v>
      </c>
      <c r="E512" s="518"/>
      <c r="F512" s="397" t="s">
        <v>43</v>
      </c>
      <c r="G512" s="398" t="s">
        <v>357</v>
      </c>
      <c r="H512" s="399" t="s">
        <v>429</v>
      </c>
      <c r="I512" s="417" t="s">
        <v>399</v>
      </c>
      <c r="J512" s="410">
        <f t="shared" si="4"/>
        <v>25</v>
      </c>
    </row>
    <row r="513" spans="1:7" x14ac:dyDescent="0.2">
      <c r="A513" s="831" t="s">
        <v>44</v>
      </c>
      <c r="B513" s="832"/>
      <c r="C513" s="1175"/>
      <c r="D513" s="412">
        <f t="shared" si="3"/>
        <v>26</v>
      </c>
      <c r="E513" s="518"/>
    </row>
    <row r="514" spans="1:7" x14ac:dyDescent="0.2">
      <c r="A514" s="831" t="s">
        <v>381</v>
      </c>
      <c r="B514" s="832"/>
      <c r="C514" s="1175"/>
      <c r="D514" s="412">
        <f t="shared" si="3"/>
        <v>27</v>
      </c>
      <c r="E514" s="518"/>
    </row>
    <row r="515" spans="1:7" x14ac:dyDescent="0.2">
      <c r="A515" s="831" t="s">
        <v>382</v>
      </c>
      <c r="B515" s="832"/>
      <c r="C515" s="1175"/>
      <c r="D515" s="412">
        <f t="shared" si="3"/>
        <v>28</v>
      </c>
      <c r="E515" s="518"/>
    </row>
    <row r="516" spans="1:7" x14ac:dyDescent="0.2">
      <c r="A516" s="831" t="s">
        <v>383</v>
      </c>
      <c r="B516" s="832"/>
      <c r="C516" s="1175"/>
      <c r="D516" s="412">
        <f t="shared" si="3"/>
        <v>29</v>
      </c>
      <c r="E516" s="518"/>
    </row>
    <row r="517" spans="1:7" x14ac:dyDescent="0.2">
      <c r="A517" s="831" t="s">
        <v>384</v>
      </c>
      <c r="B517" s="835"/>
      <c r="C517" s="1175"/>
      <c r="D517" s="412">
        <f t="shared" si="3"/>
        <v>30</v>
      </c>
      <c r="E517" s="518"/>
    </row>
    <row r="518" spans="1:7" x14ac:dyDescent="0.2">
      <c r="A518" s="831" t="s">
        <v>385</v>
      </c>
      <c r="B518" s="832"/>
      <c r="C518" s="1175"/>
      <c r="D518" s="412">
        <f t="shared" si="3"/>
        <v>31</v>
      </c>
      <c r="E518" s="518"/>
    </row>
    <row r="519" spans="1:7" x14ac:dyDescent="0.2">
      <c r="A519" s="831" t="s">
        <v>386</v>
      </c>
      <c r="B519" s="832"/>
      <c r="C519" s="1175"/>
      <c r="D519" s="412">
        <f t="shared" si="3"/>
        <v>32</v>
      </c>
      <c r="E519" s="518"/>
    </row>
    <row r="520" spans="1:7" x14ac:dyDescent="0.2">
      <c r="A520" s="101"/>
      <c r="D520" s="411"/>
    </row>
    <row r="521" spans="1:7" x14ac:dyDescent="0.2">
      <c r="A521" s="1178"/>
      <c r="B521" s="840"/>
      <c r="C521" s="1179"/>
      <c r="D521" s="59"/>
      <c r="F521" s="190"/>
      <c r="G521" s="190"/>
    </row>
    <row r="522" spans="1:7" x14ac:dyDescent="0.2">
      <c r="A522" s="101"/>
    </row>
    <row r="523" spans="1:7" x14ac:dyDescent="0.2">
      <c r="A523" s="101"/>
    </row>
    <row r="524" spans="1:7" x14ac:dyDescent="0.2">
      <c r="A524" s="101"/>
    </row>
    <row r="525" spans="1:7" x14ac:dyDescent="0.2">
      <c r="A525" s="504"/>
      <c r="B525" s="389"/>
      <c r="C525" s="1180"/>
      <c r="D525" s="414"/>
      <c r="E525" s="519"/>
    </row>
    <row r="526" spans="1:7" x14ac:dyDescent="0.2">
      <c r="A526" s="1174" t="s">
        <v>363</v>
      </c>
      <c r="B526" s="1181"/>
      <c r="C526" s="1182"/>
      <c r="D526" s="414"/>
      <c r="E526" s="519"/>
    </row>
    <row r="527" spans="1:7" x14ac:dyDescent="0.2">
      <c r="A527" s="505"/>
      <c r="B527" s="505" t="s">
        <v>282</v>
      </c>
      <c r="C527" s="1161"/>
      <c r="D527" s="414"/>
      <c r="E527" s="519"/>
    </row>
    <row r="528" spans="1:7" x14ac:dyDescent="0.2">
      <c r="A528" s="101">
        <v>3</v>
      </c>
      <c r="B528" s="390" t="s">
        <v>114</v>
      </c>
      <c r="C528" s="1183"/>
      <c r="D528" s="415">
        <v>1</v>
      </c>
      <c r="E528" s="520"/>
      <c r="F528" s="99">
        <v>3</v>
      </c>
      <c r="G528" s="51">
        <f>+A528-F528</f>
        <v>0</v>
      </c>
    </row>
    <row r="529" spans="1:9" x14ac:dyDescent="0.2">
      <c r="A529" s="101">
        <v>5</v>
      </c>
      <c r="B529" s="390" t="s">
        <v>115</v>
      </c>
      <c r="C529" s="1183"/>
      <c r="D529" s="415">
        <f>+D528+1</f>
        <v>2</v>
      </c>
      <c r="E529" s="520"/>
      <c r="F529" s="99">
        <v>5</v>
      </c>
      <c r="G529" s="51">
        <f t="shared" ref="G529:G594" si="5">+A529-F529</f>
        <v>0</v>
      </c>
    </row>
    <row r="530" spans="1:9" x14ac:dyDescent="0.2">
      <c r="A530" s="101">
        <v>7</v>
      </c>
      <c r="B530" s="41" t="s">
        <v>116</v>
      </c>
      <c r="C530" s="1184"/>
      <c r="D530" s="415">
        <f t="shared" ref="D530:D593" si="6">+D529+1</f>
        <v>3</v>
      </c>
      <c r="E530" s="520"/>
      <c r="F530" s="99">
        <v>7</v>
      </c>
      <c r="G530" s="51">
        <f t="shared" si="5"/>
        <v>0</v>
      </c>
    </row>
    <row r="531" spans="1:9" ht="25.5" x14ac:dyDescent="0.2">
      <c r="A531" s="101">
        <v>13</v>
      </c>
      <c r="B531" s="41" t="s">
        <v>117</v>
      </c>
      <c r="C531" s="1184"/>
      <c r="D531" s="415">
        <f t="shared" si="6"/>
        <v>4</v>
      </c>
      <c r="E531" s="520"/>
      <c r="F531" s="99">
        <v>13</v>
      </c>
      <c r="G531" s="51">
        <f t="shared" si="5"/>
        <v>0</v>
      </c>
    </row>
    <row r="532" spans="1:9" x14ac:dyDescent="0.2">
      <c r="A532" s="101">
        <v>16</v>
      </c>
      <c r="B532" s="39" t="s">
        <v>118</v>
      </c>
      <c r="C532" s="1185"/>
      <c r="D532" s="415">
        <f t="shared" si="6"/>
        <v>5</v>
      </c>
      <c r="E532" s="520"/>
      <c r="F532" s="99">
        <v>16</v>
      </c>
      <c r="G532" s="51">
        <f t="shared" si="5"/>
        <v>0</v>
      </c>
    </row>
    <row r="533" spans="1:9" x14ac:dyDescent="0.2">
      <c r="A533" s="101">
        <v>22</v>
      </c>
      <c r="B533" s="39" t="s">
        <v>109</v>
      </c>
      <c r="C533" s="1185"/>
      <c r="D533" s="415">
        <f t="shared" si="6"/>
        <v>6</v>
      </c>
      <c r="E533" s="520"/>
      <c r="F533" s="99">
        <v>22</v>
      </c>
      <c r="G533" s="51">
        <f t="shared" si="5"/>
        <v>0</v>
      </c>
    </row>
    <row r="534" spans="1:9" x14ac:dyDescent="0.2">
      <c r="A534" s="101">
        <v>24</v>
      </c>
      <c r="B534" s="41" t="s">
        <v>119</v>
      </c>
      <c r="C534" s="1184"/>
      <c r="D534" s="415">
        <f t="shared" si="6"/>
        <v>7</v>
      </c>
      <c r="E534" s="520"/>
      <c r="F534" s="99">
        <v>24</v>
      </c>
      <c r="G534" s="51">
        <f t="shared" si="5"/>
        <v>0</v>
      </c>
    </row>
    <row r="535" spans="1:9" x14ac:dyDescent="0.2">
      <c r="A535" s="101">
        <v>26</v>
      </c>
      <c r="B535" s="39" t="s">
        <v>121</v>
      </c>
      <c r="C535" s="1185"/>
      <c r="D535" s="415">
        <f t="shared" si="6"/>
        <v>8</v>
      </c>
      <c r="E535" s="520"/>
      <c r="F535" s="99">
        <v>26</v>
      </c>
      <c r="G535" s="51">
        <f t="shared" si="5"/>
        <v>0</v>
      </c>
    </row>
    <row r="536" spans="1:9" x14ac:dyDescent="0.2">
      <c r="A536" s="101">
        <v>27</v>
      </c>
      <c r="B536" s="390" t="s">
        <v>122</v>
      </c>
      <c r="C536" s="1183"/>
      <c r="D536" s="415">
        <f t="shared" si="6"/>
        <v>9</v>
      </c>
      <c r="E536" s="520"/>
      <c r="F536" s="99">
        <v>27</v>
      </c>
      <c r="G536" s="51">
        <f t="shared" si="5"/>
        <v>0</v>
      </c>
    </row>
    <row r="537" spans="1:9" x14ac:dyDescent="0.2">
      <c r="A537" s="101">
        <v>33</v>
      </c>
      <c r="B537" s="127" t="s">
        <v>123</v>
      </c>
      <c r="D537" s="415">
        <f t="shared" si="6"/>
        <v>10</v>
      </c>
      <c r="E537" s="520"/>
      <c r="F537" s="99">
        <v>33</v>
      </c>
      <c r="G537" s="51">
        <f>+A537-F537</f>
        <v>0</v>
      </c>
    </row>
    <row r="538" spans="1:9" x14ac:dyDescent="0.2">
      <c r="A538" s="101">
        <v>34</v>
      </c>
      <c r="B538" s="41" t="s">
        <v>124</v>
      </c>
      <c r="C538" s="1184"/>
      <c r="D538" s="415">
        <f t="shared" si="6"/>
        <v>11</v>
      </c>
      <c r="E538" s="520"/>
      <c r="F538" s="99"/>
      <c r="H538" s="99"/>
      <c r="I538" s="51"/>
    </row>
    <row r="539" spans="1:9" ht="25.5" x14ac:dyDescent="0.2">
      <c r="A539" s="101">
        <v>36</v>
      </c>
      <c r="B539" s="41" t="s">
        <v>125</v>
      </c>
      <c r="C539" s="1184"/>
      <c r="D539" s="415">
        <f t="shared" si="6"/>
        <v>12</v>
      </c>
      <c r="E539" s="520"/>
      <c r="F539" s="99">
        <v>36</v>
      </c>
      <c r="G539" s="51">
        <f t="shared" si="5"/>
        <v>0</v>
      </c>
    </row>
    <row r="540" spans="1:9" x14ac:dyDescent="0.2">
      <c r="A540" s="101">
        <v>38</v>
      </c>
      <c r="B540" s="39" t="s">
        <v>126</v>
      </c>
      <c r="C540" s="1185"/>
      <c r="D540" s="415">
        <f t="shared" si="6"/>
        <v>13</v>
      </c>
      <c r="E540" s="520"/>
      <c r="F540" s="99"/>
      <c r="H540" s="99">
        <v>38</v>
      </c>
      <c r="I540" s="117" t="s">
        <v>369</v>
      </c>
    </row>
    <row r="541" spans="1:9" x14ac:dyDescent="0.2">
      <c r="A541" s="101">
        <v>39</v>
      </c>
      <c r="B541" s="390" t="s">
        <v>127</v>
      </c>
      <c r="C541" s="1183"/>
      <c r="D541" s="415">
        <f t="shared" si="6"/>
        <v>14</v>
      </c>
      <c r="E541" s="520"/>
      <c r="F541" s="99">
        <v>39</v>
      </c>
      <c r="G541" s="51">
        <f t="shared" si="5"/>
        <v>0</v>
      </c>
    </row>
    <row r="542" spans="1:9" x14ac:dyDescent="0.2">
      <c r="A542" s="101">
        <v>46</v>
      </c>
      <c r="B542" s="127" t="s">
        <v>128</v>
      </c>
      <c r="D542" s="415">
        <f t="shared" si="6"/>
        <v>15</v>
      </c>
      <c r="E542" s="520"/>
      <c r="F542" s="101" t="s">
        <v>423</v>
      </c>
    </row>
    <row r="543" spans="1:9" x14ac:dyDescent="0.2">
      <c r="A543" s="101">
        <v>54</v>
      </c>
      <c r="B543" s="390" t="s">
        <v>129</v>
      </c>
      <c r="C543" s="1183"/>
      <c r="D543" s="415">
        <f t="shared" si="6"/>
        <v>16</v>
      </c>
      <c r="E543" s="520"/>
      <c r="F543" s="99">
        <v>54</v>
      </c>
      <c r="G543" s="51">
        <f t="shared" si="5"/>
        <v>0</v>
      </c>
    </row>
    <row r="544" spans="1:9" x14ac:dyDescent="0.2">
      <c r="A544" s="101">
        <v>55</v>
      </c>
      <c r="B544" s="390" t="s">
        <v>130</v>
      </c>
      <c r="C544" s="1183"/>
      <c r="D544" s="415">
        <f t="shared" si="6"/>
        <v>17</v>
      </c>
      <c r="E544" s="520"/>
      <c r="F544" s="99">
        <v>55</v>
      </c>
      <c r="G544" s="51">
        <f t="shared" si="5"/>
        <v>0</v>
      </c>
    </row>
    <row r="545" spans="1:7" x14ac:dyDescent="0.2">
      <c r="A545" s="101">
        <v>57</v>
      </c>
      <c r="B545" s="390" t="s">
        <v>131</v>
      </c>
      <c r="C545" s="1183"/>
      <c r="D545" s="415">
        <f t="shared" si="6"/>
        <v>18</v>
      </c>
      <c r="E545" s="520"/>
      <c r="F545" s="99">
        <v>57</v>
      </c>
      <c r="G545" s="51">
        <f t="shared" si="5"/>
        <v>0</v>
      </c>
    </row>
    <row r="546" spans="1:7" x14ac:dyDescent="0.2">
      <c r="A546" s="101">
        <v>58</v>
      </c>
      <c r="B546" s="390" t="s">
        <v>132</v>
      </c>
      <c r="C546" s="1183"/>
      <c r="D546" s="415">
        <f t="shared" si="6"/>
        <v>19</v>
      </c>
      <c r="E546" s="520"/>
      <c r="F546" s="99">
        <v>58</v>
      </c>
      <c r="G546" s="51">
        <f t="shared" si="5"/>
        <v>0</v>
      </c>
    </row>
    <row r="547" spans="1:7" x14ac:dyDescent="0.2">
      <c r="A547" s="101">
        <v>64</v>
      </c>
      <c r="B547" s="390" t="s">
        <v>133</v>
      </c>
      <c r="C547" s="1183"/>
      <c r="D547" s="415">
        <f t="shared" si="6"/>
        <v>20</v>
      </c>
      <c r="E547" s="520"/>
      <c r="F547" s="99">
        <v>64</v>
      </c>
      <c r="G547" s="51">
        <f t="shared" si="5"/>
        <v>0</v>
      </c>
    </row>
    <row r="548" spans="1:7" x14ac:dyDescent="0.2">
      <c r="A548" s="101">
        <v>66</v>
      </c>
      <c r="B548" s="390" t="s">
        <v>134</v>
      </c>
      <c r="C548" s="1183"/>
      <c r="D548" s="415">
        <f t="shared" si="6"/>
        <v>21</v>
      </c>
      <c r="E548" s="520"/>
      <c r="F548" s="99">
        <v>66</v>
      </c>
      <c r="G548" s="51">
        <f t="shared" si="5"/>
        <v>0</v>
      </c>
    </row>
    <row r="549" spans="1:7" x14ac:dyDescent="0.2">
      <c r="A549" s="101">
        <v>80</v>
      </c>
      <c r="B549" s="390" t="s">
        <v>136</v>
      </c>
      <c r="C549" s="1183"/>
      <c r="D549" s="415">
        <f t="shared" si="6"/>
        <v>22</v>
      </c>
      <c r="E549" s="520"/>
      <c r="F549" s="99">
        <v>80</v>
      </c>
      <c r="G549" s="51">
        <f t="shared" si="5"/>
        <v>0</v>
      </c>
    </row>
    <row r="550" spans="1:7" x14ac:dyDescent="0.2">
      <c r="A550" s="101">
        <v>82</v>
      </c>
      <c r="B550" s="390" t="s">
        <v>137</v>
      </c>
      <c r="C550" s="1183"/>
      <c r="D550" s="415">
        <f t="shared" si="6"/>
        <v>23</v>
      </c>
      <c r="E550" s="520"/>
      <c r="F550" s="99">
        <v>82</v>
      </c>
      <c r="G550" s="51">
        <f t="shared" si="5"/>
        <v>0</v>
      </c>
    </row>
    <row r="551" spans="1:7" x14ac:dyDescent="0.2">
      <c r="A551" s="101">
        <v>89</v>
      </c>
      <c r="B551" s="390" t="s">
        <v>138</v>
      </c>
      <c r="C551" s="1183"/>
      <c r="D551" s="415">
        <f t="shared" si="6"/>
        <v>24</v>
      </c>
      <c r="E551" s="520"/>
      <c r="F551" s="99">
        <v>89</v>
      </c>
      <c r="G551" s="51">
        <f t="shared" si="5"/>
        <v>0</v>
      </c>
    </row>
    <row r="552" spans="1:7" x14ac:dyDescent="0.2">
      <c r="A552" s="101">
        <v>93</v>
      </c>
      <c r="B552" s="390" t="s">
        <v>139</v>
      </c>
      <c r="C552" s="1183"/>
      <c r="D552" s="415">
        <f t="shared" si="6"/>
        <v>25</v>
      </c>
      <c r="E552" s="520"/>
      <c r="F552" s="99">
        <v>93</v>
      </c>
      <c r="G552" s="51">
        <f t="shared" si="5"/>
        <v>0</v>
      </c>
    </row>
    <row r="553" spans="1:7" x14ac:dyDescent="0.2">
      <c r="A553" s="101">
        <v>94</v>
      </c>
      <c r="B553" s="390" t="s">
        <v>140</v>
      </c>
      <c r="C553" s="1183"/>
      <c r="D553" s="415">
        <f t="shared" si="6"/>
        <v>26</v>
      </c>
      <c r="E553" s="520"/>
      <c r="F553" s="99">
        <v>94</v>
      </c>
      <c r="G553" s="51">
        <f t="shared" si="5"/>
        <v>0</v>
      </c>
    </row>
    <row r="554" spans="1:7" x14ac:dyDescent="0.2">
      <c r="A554" s="101">
        <v>102</v>
      </c>
      <c r="B554" s="390" t="s">
        <v>141</v>
      </c>
      <c r="C554" s="1183"/>
      <c r="D554" s="415">
        <f t="shared" si="6"/>
        <v>27</v>
      </c>
      <c r="E554" s="520"/>
      <c r="F554" s="99">
        <v>102</v>
      </c>
      <c r="G554" s="51">
        <f t="shared" si="5"/>
        <v>0</v>
      </c>
    </row>
    <row r="555" spans="1:7" x14ac:dyDescent="0.2">
      <c r="A555" s="101">
        <v>103</v>
      </c>
      <c r="B555" s="390" t="s">
        <v>112</v>
      </c>
      <c r="C555" s="1183"/>
      <c r="D555" s="415">
        <f t="shared" si="6"/>
        <v>28</v>
      </c>
      <c r="E555" s="520"/>
      <c r="F555" s="99">
        <v>103</v>
      </c>
      <c r="G555" s="51">
        <f t="shared" si="5"/>
        <v>0</v>
      </c>
    </row>
    <row r="556" spans="1:7" x14ac:dyDescent="0.2">
      <c r="A556" s="101">
        <v>104</v>
      </c>
      <c r="B556" s="390" t="s">
        <v>142</v>
      </c>
      <c r="C556" s="1183"/>
      <c r="D556" s="415">
        <f t="shared" si="6"/>
        <v>29</v>
      </c>
      <c r="E556" s="520"/>
      <c r="F556" s="99">
        <v>104</v>
      </c>
      <c r="G556" s="51">
        <f t="shared" si="5"/>
        <v>0</v>
      </c>
    </row>
    <row r="557" spans="1:7" x14ac:dyDescent="0.2">
      <c r="A557" s="101">
        <v>105</v>
      </c>
      <c r="B557" s="390" t="s">
        <v>143</v>
      </c>
      <c r="C557" s="1183"/>
      <c r="D557" s="415">
        <f t="shared" si="6"/>
        <v>30</v>
      </c>
      <c r="E557" s="520"/>
      <c r="F557" s="99">
        <v>105</v>
      </c>
      <c r="G557" s="51">
        <f t="shared" si="5"/>
        <v>0</v>
      </c>
    </row>
    <row r="558" spans="1:7" x14ac:dyDescent="0.2">
      <c r="A558" s="101">
        <v>106</v>
      </c>
      <c r="B558" s="390" t="s">
        <v>144</v>
      </c>
      <c r="C558" s="1183"/>
      <c r="D558" s="415">
        <f t="shared" si="6"/>
        <v>31</v>
      </c>
      <c r="E558" s="520"/>
      <c r="F558" s="99">
        <v>106</v>
      </c>
      <c r="G558" s="51">
        <f t="shared" si="5"/>
        <v>0</v>
      </c>
    </row>
    <row r="559" spans="1:7" x14ac:dyDescent="0.2">
      <c r="A559" s="101">
        <v>107</v>
      </c>
      <c r="B559" s="390" t="s">
        <v>110</v>
      </c>
      <c r="C559" s="1183"/>
      <c r="D559" s="415">
        <f t="shared" si="6"/>
        <v>32</v>
      </c>
      <c r="E559" s="520"/>
      <c r="F559" s="99">
        <v>107</v>
      </c>
      <c r="G559" s="51">
        <f t="shared" si="5"/>
        <v>0</v>
      </c>
    </row>
    <row r="560" spans="1:7" x14ac:dyDescent="0.2">
      <c r="A560" s="101">
        <v>114</v>
      </c>
      <c r="B560" s="390" t="s">
        <v>145</v>
      </c>
      <c r="C560" s="1183"/>
      <c r="D560" s="415">
        <f t="shared" si="6"/>
        <v>33</v>
      </c>
      <c r="E560" s="520"/>
      <c r="F560" s="99">
        <v>114</v>
      </c>
      <c r="G560" s="51">
        <f t="shared" si="5"/>
        <v>0</v>
      </c>
    </row>
    <row r="561" spans="1:7" x14ac:dyDescent="0.2">
      <c r="A561" s="101">
        <v>117</v>
      </c>
      <c r="B561" s="390" t="s">
        <v>146</v>
      </c>
      <c r="C561" s="1183"/>
      <c r="D561" s="415">
        <f t="shared" si="6"/>
        <v>34</v>
      </c>
      <c r="E561" s="520"/>
      <c r="F561" s="99">
        <v>117</v>
      </c>
      <c r="G561" s="51">
        <f t="shared" si="5"/>
        <v>0</v>
      </c>
    </row>
    <row r="562" spans="1:7" x14ac:dyDescent="0.2">
      <c r="A562" s="101">
        <v>120</v>
      </c>
      <c r="B562" s="390" t="s">
        <v>147</v>
      </c>
      <c r="C562" s="1183"/>
      <c r="D562" s="415">
        <f t="shared" si="6"/>
        <v>35</v>
      </c>
      <c r="E562" s="520"/>
      <c r="F562" s="99">
        <v>120</v>
      </c>
      <c r="G562" s="51">
        <f t="shared" si="5"/>
        <v>0</v>
      </c>
    </row>
    <row r="563" spans="1:7" x14ac:dyDescent="0.2">
      <c r="A563" s="101">
        <v>125</v>
      </c>
      <c r="B563" s="390" t="s">
        <v>149</v>
      </c>
      <c r="C563" s="1183"/>
      <c r="D563" s="415">
        <f t="shared" si="6"/>
        <v>36</v>
      </c>
      <c r="E563" s="520"/>
      <c r="F563" s="99">
        <v>125</v>
      </c>
      <c r="G563" s="51">
        <f t="shared" si="5"/>
        <v>0</v>
      </c>
    </row>
    <row r="564" spans="1:7" x14ac:dyDescent="0.2">
      <c r="A564" s="101">
        <v>130</v>
      </c>
      <c r="B564" s="390" t="s">
        <v>150</v>
      </c>
      <c r="C564" s="1183"/>
      <c r="D564" s="415">
        <f t="shared" si="6"/>
        <v>37</v>
      </c>
      <c r="E564" s="520"/>
      <c r="F564" s="99">
        <v>130</v>
      </c>
      <c r="G564" s="51">
        <f t="shared" si="5"/>
        <v>0</v>
      </c>
    </row>
    <row r="565" spans="1:7" x14ac:dyDescent="0.2">
      <c r="A565" s="101">
        <v>131</v>
      </c>
      <c r="B565" s="390" t="s">
        <v>151</v>
      </c>
      <c r="C565" s="1183"/>
      <c r="D565" s="415">
        <f t="shared" si="6"/>
        <v>38</v>
      </c>
      <c r="E565" s="520"/>
      <c r="F565" s="99">
        <v>131</v>
      </c>
      <c r="G565" s="51">
        <f t="shared" si="5"/>
        <v>0</v>
      </c>
    </row>
    <row r="566" spans="1:7" x14ac:dyDescent="0.2">
      <c r="A566" s="101">
        <v>135</v>
      </c>
      <c r="B566" s="390" t="s">
        <v>152</v>
      </c>
      <c r="C566" s="1183"/>
      <c r="D566" s="415">
        <f t="shared" si="6"/>
        <v>39</v>
      </c>
      <c r="E566" s="520"/>
      <c r="F566" s="99">
        <v>135</v>
      </c>
      <c r="G566" s="51">
        <f t="shared" si="5"/>
        <v>0</v>
      </c>
    </row>
    <row r="567" spans="1:7" x14ac:dyDescent="0.2">
      <c r="A567" s="101">
        <v>141</v>
      </c>
      <c r="B567" s="390" t="s">
        <v>153</v>
      </c>
      <c r="C567" s="1183"/>
      <c r="D567" s="415">
        <f t="shared" si="6"/>
        <v>40</v>
      </c>
      <c r="E567" s="520"/>
      <c r="F567" s="99">
        <v>141</v>
      </c>
      <c r="G567" s="51">
        <f t="shared" si="5"/>
        <v>0</v>
      </c>
    </row>
    <row r="568" spans="1:7" x14ac:dyDescent="0.2">
      <c r="A568" s="101">
        <v>148</v>
      </c>
      <c r="B568" s="390" t="s">
        <v>154</v>
      </c>
      <c r="C568" s="1183"/>
      <c r="D568" s="415">
        <f t="shared" si="6"/>
        <v>41</v>
      </c>
      <c r="E568" s="520"/>
      <c r="F568" s="99">
        <v>148</v>
      </c>
      <c r="G568" s="51">
        <f t="shared" si="5"/>
        <v>0</v>
      </c>
    </row>
    <row r="569" spans="1:7" x14ac:dyDescent="0.2">
      <c r="A569" s="101">
        <v>153</v>
      </c>
      <c r="B569" s="390" t="s">
        <v>155</v>
      </c>
      <c r="C569" s="1183"/>
      <c r="D569" s="415">
        <f t="shared" si="6"/>
        <v>42</v>
      </c>
      <c r="E569" s="520"/>
      <c r="F569" s="99">
        <v>153</v>
      </c>
      <c r="G569" s="51">
        <f t="shared" si="5"/>
        <v>0</v>
      </c>
    </row>
    <row r="570" spans="1:7" x14ac:dyDescent="0.2">
      <c r="A570" s="101">
        <v>156</v>
      </c>
      <c r="B570" s="390" t="s">
        <v>156</v>
      </c>
      <c r="C570" s="1183"/>
      <c r="D570" s="415">
        <f t="shared" si="6"/>
        <v>43</v>
      </c>
      <c r="E570" s="520"/>
      <c r="F570" s="99">
        <v>156</v>
      </c>
      <c r="G570" s="51">
        <f t="shared" si="5"/>
        <v>0</v>
      </c>
    </row>
    <row r="571" spans="1:7" x14ac:dyDescent="0.2">
      <c r="A571" s="101">
        <v>162</v>
      </c>
      <c r="B571" s="390" t="s">
        <v>158</v>
      </c>
      <c r="C571" s="1183"/>
      <c r="D571" s="415">
        <f t="shared" si="6"/>
        <v>44</v>
      </c>
      <c r="E571" s="520"/>
      <c r="F571" s="99">
        <v>162</v>
      </c>
      <c r="G571" s="51">
        <f t="shared" si="5"/>
        <v>0</v>
      </c>
    </row>
    <row r="572" spans="1:7" x14ac:dyDescent="0.2">
      <c r="A572" s="101">
        <v>163</v>
      </c>
      <c r="B572" s="390" t="s">
        <v>159</v>
      </c>
      <c r="C572" s="1183"/>
      <c r="D572" s="415">
        <f t="shared" si="6"/>
        <v>45</v>
      </c>
      <c r="E572" s="520"/>
      <c r="F572" s="99">
        <v>163</v>
      </c>
      <c r="G572" s="51">
        <f t="shared" si="5"/>
        <v>0</v>
      </c>
    </row>
    <row r="573" spans="1:7" x14ac:dyDescent="0.2">
      <c r="A573" s="101">
        <v>170</v>
      </c>
      <c r="B573" s="390" t="s">
        <v>160</v>
      </c>
      <c r="C573" s="1183"/>
      <c r="D573" s="415">
        <f t="shared" si="6"/>
        <v>46</v>
      </c>
      <c r="E573" s="520"/>
      <c r="F573" s="99">
        <v>170</v>
      </c>
      <c r="G573" s="51">
        <f t="shared" si="5"/>
        <v>0</v>
      </c>
    </row>
    <row r="574" spans="1:7" x14ac:dyDescent="0.2">
      <c r="A574" s="101">
        <v>172</v>
      </c>
      <c r="B574" s="390" t="s">
        <v>161</v>
      </c>
      <c r="C574" s="1183"/>
      <c r="D574" s="415">
        <f t="shared" si="6"/>
        <v>47</v>
      </c>
      <c r="E574" s="520"/>
      <c r="F574" s="99">
        <v>172</v>
      </c>
      <c r="G574" s="51">
        <f t="shared" si="5"/>
        <v>0</v>
      </c>
    </row>
    <row r="575" spans="1:7" x14ac:dyDescent="0.2">
      <c r="A575" s="101">
        <v>178</v>
      </c>
      <c r="B575" s="390" t="s">
        <v>162</v>
      </c>
      <c r="C575" s="1183"/>
      <c r="D575" s="415">
        <f t="shared" si="6"/>
        <v>48</v>
      </c>
      <c r="E575" s="520"/>
      <c r="F575" s="99">
        <v>178</v>
      </c>
      <c r="G575" s="51">
        <f t="shared" si="5"/>
        <v>0</v>
      </c>
    </row>
    <row r="576" spans="1:7" x14ac:dyDescent="0.2">
      <c r="A576" s="101">
        <v>179</v>
      </c>
      <c r="B576" s="390" t="s">
        <v>163</v>
      </c>
      <c r="C576" s="1183"/>
      <c r="D576" s="415">
        <f t="shared" si="6"/>
        <v>49</v>
      </c>
      <c r="E576" s="520"/>
      <c r="F576" s="99">
        <v>179</v>
      </c>
      <c r="G576" s="51">
        <f t="shared" si="5"/>
        <v>0</v>
      </c>
    </row>
    <row r="577" spans="1:7" x14ac:dyDescent="0.2">
      <c r="A577" s="101">
        <v>181</v>
      </c>
      <c r="B577" s="390" t="s">
        <v>108</v>
      </c>
      <c r="C577" s="1183"/>
      <c r="D577" s="415">
        <f t="shared" si="6"/>
        <v>50</v>
      </c>
      <c r="E577" s="520"/>
      <c r="F577" s="99">
        <v>181</v>
      </c>
      <c r="G577" s="51">
        <f t="shared" si="5"/>
        <v>0</v>
      </c>
    </row>
    <row r="578" spans="1:7" x14ac:dyDescent="0.2">
      <c r="A578" s="101">
        <v>184</v>
      </c>
      <c r="B578" s="390" t="s">
        <v>164</v>
      </c>
      <c r="C578" s="1183"/>
      <c r="D578" s="415">
        <f t="shared" si="6"/>
        <v>51</v>
      </c>
      <c r="E578" s="520"/>
      <c r="F578" s="99">
        <v>184</v>
      </c>
      <c r="G578" s="51">
        <f t="shared" si="5"/>
        <v>0</v>
      </c>
    </row>
    <row r="579" spans="1:7" x14ac:dyDescent="0.2">
      <c r="A579" s="101">
        <v>186</v>
      </c>
      <c r="B579" s="390" t="s">
        <v>165</v>
      </c>
      <c r="C579" s="1183"/>
      <c r="D579" s="415">
        <f t="shared" si="6"/>
        <v>52</v>
      </c>
      <c r="E579" s="520"/>
      <c r="F579" s="99">
        <v>186</v>
      </c>
      <c r="G579" s="51">
        <f t="shared" si="5"/>
        <v>0</v>
      </c>
    </row>
    <row r="580" spans="1:7" x14ac:dyDescent="0.2">
      <c r="A580" s="101">
        <v>195</v>
      </c>
      <c r="B580" s="390" t="s">
        <v>166</v>
      </c>
      <c r="C580" s="1183"/>
      <c r="D580" s="415">
        <f t="shared" si="6"/>
        <v>53</v>
      </c>
      <c r="E580" s="520"/>
      <c r="F580" s="99">
        <v>195</v>
      </c>
      <c r="G580" s="51">
        <f t="shared" si="5"/>
        <v>0</v>
      </c>
    </row>
    <row r="581" spans="1:7" x14ac:dyDescent="0.2">
      <c r="A581" s="101">
        <v>196</v>
      </c>
      <c r="B581" s="390" t="s">
        <v>167</v>
      </c>
      <c r="C581" s="1183"/>
      <c r="D581" s="415">
        <f t="shared" si="6"/>
        <v>54</v>
      </c>
      <c r="E581" s="520"/>
      <c r="F581" s="99">
        <v>196</v>
      </c>
      <c r="G581" s="51">
        <f t="shared" si="5"/>
        <v>0</v>
      </c>
    </row>
    <row r="582" spans="1:7" x14ac:dyDescent="0.2">
      <c r="A582" s="101">
        <v>201</v>
      </c>
      <c r="B582" s="390" t="s">
        <v>168</v>
      </c>
      <c r="C582" s="1183"/>
      <c r="D582" s="415">
        <f t="shared" si="6"/>
        <v>55</v>
      </c>
      <c r="E582" s="520"/>
      <c r="F582" s="99">
        <v>201</v>
      </c>
      <c r="G582" s="51">
        <f t="shared" si="5"/>
        <v>0</v>
      </c>
    </row>
    <row r="583" spans="1:7" x14ac:dyDescent="0.2">
      <c r="A583" s="101">
        <v>205</v>
      </c>
      <c r="B583" s="390" t="s">
        <v>169</v>
      </c>
      <c r="C583" s="1183"/>
      <c r="D583" s="415">
        <f t="shared" si="6"/>
        <v>56</v>
      </c>
      <c r="E583" s="520"/>
      <c r="F583" s="99">
        <v>205</v>
      </c>
      <c r="G583" s="51">
        <f t="shared" si="5"/>
        <v>0</v>
      </c>
    </row>
    <row r="584" spans="1:7" x14ac:dyDescent="0.2">
      <c r="A584" s="101">
        <v>218</v>
      </c>
      <c r="B584" s="390" t="s">
        <v>269</v>
      </c>
      <c r="C584" s="1183"/>
      <c r="D584" s="415">
        <f t="shared" si="6"/>
        <v>57</v>
      </c>
      <c r="E584" s="520"/>
      <c r="F584" s="99">
        <v>218</v>
      </c>
      <c r="G584" s="51">
        <f t="shared" si="5"/>
        <v>0</v>
      </c>
    </row>
    <row r="585" spans="1:7" x14ac:dyDescent="0.2">
      <c r="A585" s="101">
        <v>224</v>
      </c>
      <c r="B585" s="390" t="s">
        <v>170</v>
      </c>
      <c r="C585" s="1183"/>
      <c r="D585" s="415">
        <f t="shared" si="6"/>
        <v>58</v>
      </c>
      <c r="E585" s="520"/>
      <c r="F585" s="99">
        <v>224</v>
      </c>
      <c r="G585" s="51">
        <f t="shared" si="5"/>
        <v>0</v>
      </c>
    </row>
    <row r="586" spans="1:7" x14ac:dyDescent="0.2">
      <c r="A586" s="101">
        <v>228</v>
      </c>
      <c r="B586" s="390" t="s">
        <v>171</v>
      </c>
      <c r="C586" s="1183"/>
      <c r="D586" s="415">
        <f t="shared" si="6"/>
        <v>59</v>
      </c>
      <c r="E586" s="520"/>
      <c r="F586" s="99">
        <v>228</v>
      </c>
      <c r="G586" s="51">
        <f t="shared" si="5"/>
        <v>0</v>
      </c>
    </row>
    <row r="587" spans="1:7" x14ac:dyDescent="0.2">
      <c r="A587" s="101">
        <v>229</v>
      </c>
      <c r="B587" s="390" t="s">
        <v>172</v>
      </c>
      <c r="C587" s="1183"/>
      <c r="D587" s="415">
        <f t="shared" si="6"/>
        <v>60</v>
      </c>
      <c r="E587" s="520"/>
      <c r="F587" s="99">
        <v>229</v>
      </c>
      <c r="G587" s="51">
        <f t="shared" si="5"/>
        <v>0</v>
      </c>
    </row>
    <row r="588" spans="1:7" x14ac:dyDescent="0.2">
      <c r="A588" s="101">
        <v>230</v>
      </c>
      <c r="B588" s="390" t="s">
        <v>173</v>
      </c>
      <c r="C588" s="1183"/>
      <c r="D588" s="415">
        <f t="shared" si="6"/>
        <v>61</v>
      </c>
      <c r="E588" s="520"/>
      <c r="F588" s="99">
        <v>230</v>
      </c>
      <c r="G588" s="51">
        <f t="shared" si="5"/>
        <v>0</v>
      </c>
    </row>
    <row r="589" spans="1:7" x14ac:dyDescent="0.2">
      <c r="A589" s="101">
        <v>233</v>
      </c>
      <c r="B589" s="390" t="s">
        <v>174</v>
      </c>
      <c r="C589" s="1183"/>
      <c r="D589" s="415">
        <f t="shared" si="6"/>
        <v>62</v>
      </c>
      <c r="E589" s="520"/>
      <c r="F589" s="99">
        <v>233</v>
      </c>
      <c r="G589" s="51">
        <f t="shared" si="5"/>
        <v>0</v>
      </c>
    </row>
    <row r="590" spans="1:7" x14ac:dyDescent="0.2">
      <c r="A590" s="101">
        <v>237</v>
      </c>
      <c r="B590" s="390" t="s">
        <v>175</v>
      </c>
      <c r="C590" s="1183"/>
      <c r="D590" s="415">
        <f t="shared" si="6"/>
        <v>63</v>
      </c>
      <c r="E590" s="520"/>
      <c r="F590" s="99">
        <v>237</v>
      </c>
      <c r="G590" s="51">
        <f t="shared" si="5"/>
        <v>0</v>
      </c>
    </row>
    <row r="591" spans="1:7" x14ac:dyDescent="0.2">
      <c r="A591" s="101">
        <v>244</v>
      </c>
      <c r="B591" s="390" t="s">
        <v>176</v>
      </c>
      <c r="C591" s="1183"/>
      <c r="D591" s="415">
        <f t="shared" si="6"/>
        <v>64</v>
      </c>
      <c r="E591" s="520"/>
      <c r="F591" s="99">
        <v>244</v>
      </c>
      <c r="G591" s="51">
        <f t="shared" si="5"/>
        <v>0</v>
      </c>
    </row>
    <row r="592" spans="1:7" x14ac:dyDescent="0.2">
      <c r="A592" s="101">
        <v>247</v>
      </c>
      <c r="B592" s="390" t="s">
        <v>177</v>
      </c>
      <c r="C592" s="1183"/>
      <c r="D592" s="415">
        <f t="shared" si="6"/>
        <v>65</v>
      </c>
      <c r="E592" s="520"/>
      <c r="F592" s="99">
        <v>247</v>
      </c>
      <c r="G592" s="51">
        <f t="shared" si="5"/>
        <v>0</v>
      </c>
    </row>
    <row r="593" spans="1:9" x14ac:dyDescent="0.2">
      <c r="A593" s="101">
        <v>256</v>
      </c>
      <c r="B593" s="390" t="s">
        <v>178</v>
      </c>
      <c r="C593" s="1183"/>
      <c r="D593" s="415">
        <f t="shared" si="6"/>
        <v>66</v>
      </c>
      <c r="E593" s="520"/>
      <c r="F593" s="99">
        <v>256</v>
      </c>
      <c r="G593" s="51">
        <f t="shared" si="5"/>
        <v>0</v>
      </c>
    </row>
    <row r="594" spans="1:9" x14ac:dyDescent="0.2">
      <c r="A594" s="101">
        <v>257</v>
      </c>
      <c r="B594" s="390" t="s">
        <v>179</v>
      </c>
      <c r="C594" s="1183"/>
      <c r="D594" s="415">
        <f t="shared" ref="D594" si="7">+D593+1</f>
        <v>67</v>
      </c>
      <c r="E594" s="520"/>
      <c r="F594" s="99">
        <v>257</v>
      </c>
      <c r="G594" s="51">
        <f t="shared" si="5"/>
        <v>0</v>
      </c>
    </row>
    <row r="595" spans="1:9" x14ac:dyDescent="0.2">
      <c r="A595" s="101">
        <v>261</v>
      </c>
      <c r="B595" s="127" t="s">
        <v>183</v>
      </c>
      <c r="D595" s="415">
        <f>+D594+1</f>
        <v>68</v>
      </c>
      <c r="E595" s="520"/>
      <c r="F595" s="99"/>
    </row>
    <row r="596" spans="1:9" x14ac:dyDescent="0.2">
      <c r="A596" s="101">
        <v>268</v>
      </c>
      <c r="B596" s="390" t="s">
        <v>180</v>
      </c>
      <c r="C596" s="1183"/>
      <c r="D596" s="415">
        <f>+D595+1</f>
        <v>69</v>
      </c>
      <c r="E596" s="520"/>
      <c r="F596" s="99">
        <v>268</v>
      </c>
      <c r="G596" s="51">
        <f t="shared" ref="G596:G603" si="8">+A596-F596</f>
        <v>0</v>
      </c>
      <c r="H596" s="99">
        <v>261</v>
      </c>
      <c r="I596" s="51" t="s">
        <v>183</v>
      </c>
    </row>
    <row r="597" spans="1:9" x14ac:dyDescent="0.2">
      <c r="A597" s="101">
        <v>274</v>
      </c>
      <c r="B597" s="127" t="s">
        <v>415</v>
      </c>
      <c r="D597" s="415">
        <f>+D596+1</f>
        <v>70</v>
      </c>
      <c r="E597" s="520"/>
      <c r="F597" s="53" t="s">
        <v>416</v>
      </c>
      <c r="H597" s="99"/>
      <c r="I597" s="51"/>
    </row>
    <row r="598" spans="1:9" x14ac:dyDescent="0.2">
      <c r="A598" s="101">
        <v>279</v>
      </c>
      <c r="B598" s="390" t="s">
        <v>181</v>
      </c>
      <c r="C598" s="1183"/>
      <c r="D598" s="415">
        <f t="shared" ref="D598:D603" si="9">+D597+1</f>
        <v>71</v>
      </c>
      <c r="E598" s="520"/>
      <c r="F598" s="99">
        <v>279</v>
      </c>
      <c r="G598" s="51">
        <f t="shared" si="8"/>
        <v>0</v>
      </c>
    </row>
    <row r="599" spans="1:9" x14ac:dyDescent="0.2">
      <c r="A599" s="101">
        <v>281</v>
      </c>
      <c r="B599" s="390" t="s">
        <v>182</v>
      </c>
      <c r="C599" s="1183"/>
      <c r="D599" s="415">
        <f t="shared" si="9"/>
        <v>72</v>
      </c>
      <c r="E599" s="520"/>
      <c r="F599" s="99">
        <v>281</v>
      </c>
      <c r="G599" s="51">
        <f t="shared" si="8"/>
        <v>0</v>
      </c>
    </row>
    <row r="600" spans="1:9" x14ac:dyDescent="0.2">
      <c r="A600" s="101">
        <v>304</v>
      </c>
      <c r="B600" s="390" t="s">
        <v>270</v>
      </c>
      <c r="C600" s="1183"/>
      <c r="D600" s="415">
        <f t="shared" si="9"/>
        <v>73</v>
      </c>
      <c r="E600" s="520"/>
      <c r="F600" s="99">
        <v>304</v>
      </c>
      <c r="G600" s="51">
        <f t="shared" si="8"/>
        <v>0</v>
      </c>
    </row>
    <row r="601" spans="1:9" x14ac:dyDescent="0.2">
      <c r="A601" s="101">
        <v>308</v>
      </c>
      <c r="B601" s="390" t="s">
        <v>271</v>
      </c>
      <c r="C601" s="1183"/>
      <c r="D601" s="415">
        <f t="shared" si="9"/>
        <v>74</v>
      </c>
      <c r="E601" s="520"/>
      <c r="F601" s="99">
        <v>308</v>
      </c>
      <c r="G601" s="51">
        <f t="shared" si="8"/>
        <v>0</v>
      </c>
    </row>
    <row r="602" spans="1:9" x14ac:dyDescent="0.2">
      <c r="A602" s="101">
        <v>309</v>
      </c>
      <c r="B602" s="390" t="s">
        <v>272</v>
      </c>
      <c r="C602" s="1183"/>
      <c r="D602" s="415">
        <f t="shared" si="9"/>
        <v>75</v>
      </c>
      <c r="E602" s="520"/>
      <c r="F602" s="99">
        <v>309</v>
      </c>
      <c r="G602" s="51">
        <f t="shared" si="8"/>
        <v>0</v>
      </c>
    </row>
    <row r="603" spans="1:9" x14ac:dyDescent="0.2">
      <c r="A603" s="101">
        <v>327</v>
      </c>
      <c r="B603" s="127" t="s">
        <v>333</v>
      </c>
      <c r="D603" s="415">
        <f t="shared" si="9"/>
        <v>76</v>
      </c>
      <c r="E603" s="520"/>
      <c r="F603" s="99">
        <v>327</v>
      </c>
      <c r="G603" s="51">
        <f t="shared" si="8"/>
        <v>0</v>
      </c>
    </row>
    <row r="604" spans="1:9" x14ac:dyDescent="0.2">
      <c r="A604" s="504"/>
      <c r="B604" s="389"/>
      <c r="C604" s="1180"/>
      <c r="D604" s="414"/>
      <c r="E604" s="519"/>
      <c r="F604" s="99"/>
    </row>
    <row r="605" spans="1:9" x14ac:dyDescent="0.2">
      <c r="A605" s="1352" t="s">
        <v>30</v>
      </c>
      <c r="B605" s="1352"/>
      <c r="C605" s="1161"/>
      <c r="D605" s="98"/>
      <c r="E605" s="517"/>
    </row>
    <row r="606" spans="1:9" x14ac:dyDescent="0.2">
      <c r="A606" s="101"/>
      <c r="D606" s="411"/>
    </row>
    <row r="607" spans="1:9" x14ac:dyDescent="0.2">
      <c r="A607" s="101">
        <v>3</v>
      </c>
      <c r="B607" s="127" t="s">
        <v>48</v>
      </c>
      <c r="D607" s="411"/>
      <c r="F607" s="99">
        <v>3</v>
      </c>
    </row>
    <row r="608" spans="1:9" x14ac:dyDescent="0.2">
      <c r="A608" s="101">
        <v>5</v>
      </c>
      <c r="B608" s="127" t="s">
        <v>50</v>
      </c>
      <c r="D608" s="411"/>
      <c r="F608" s="99">
        <v>5</v>
      </c>
    </row>
  </sheetData>
  <sortState xmlns:xlrd2="http://schemas.microsoft.com/office/spreadsheetml/2017/richdata2" ref="A11:C391">
    <sortCondition ref="A11:A391"/>
  </sortState>
  <mergeCells count="4">
    <mergeCell ref="A8:C8"/>
    <mergeCell ref="A417:C417"/>
    <mergeCell ref="A485:C485"/>
    <mergeCell ref="A605:B605"/>
  </mergeCells>
  <phoneticPr fontId="7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F1011"/>
  <sheetViews>
    <sheetView showGridLines="0" tabSelected="1" showOutlineSymbols="0" defaultGridColor="0" colorId="8" zoomScale="80" zoomScaleNormal="80" workbookViewId="0">
      <pane ySplit="10" topLeftCell="A11" activePane="bottomLeft" state="frozen"/>
      <selection pane="bottomLeft" activeCell="A11" sqref="A11"/>
    </sheetView>
  </sheetViews>
  <sheetFormatPr baseColWidth="10" defaultColWidth="9.6640625" defaultRowHeight="12.75" x14ac:dyDescent="0.2"/>
  <cols>
    <col min="1" max="1" width="12.77734375" style="68" customWidth="1"/>
    <col min="2" max="2" width="8.44140625" style="218" bestFit="1" customWidth="1"/>
    <col min="3" max="3" width="8.77734375" style="875" customWidth="1"/>
    <col min="4" max="5" width="40.77734375" style="251" customWidth="1"/>
    <col min="6" max="6" width="17.44140625" style="51" bestFit="1" customWidth="1"/>
    <col min="7" max="7" width="14" style="51" customWidth="1"/>
    <col min="8" max="8" width="50.77734375" style="127" customWidth="1"/>
    <col min="9" max="9" width="30.77734375" style="848" customWidth="1"/>
    <col min="10" max="10" width="1.6640625" style="51" customWidth="1"/>
    <col min="11" max="11" width="13.5546875" style="1" customWidth="1"/>
    <col min="12" max="16384" width="9.6640625" style="1"/>
  </cols>
  <sheetData>
    <row r="1" spans="1:188" ht="24.95" customHeight="1" x14ac:dyDescent="0.2">
      <c r="A1" s="225" t="str">
        <f>+Códigos!$A$1</f>
        <v>LIBRO DIARIO OFICINA</v>
      </c>
      <c r="B1" s="954"/>
      <c r="C1" s="869"/>
      <c r="D1" s="256"/>
      <c r="E1" s="843"/>
      <c r="F1" s="442" t="s">
        <v>549</v>
      </c>
      <c r="G1" s="880" t="s">
        <v>184</v>
      </c>
      <c r="H1" s="882" t="s">
        <v>550</v>
      </c>
      <c r="I1" s="836"/>
      <c r="J1" s="54"/>
    </row>
    <row r="2" spans="1:188" ht="15" customHeight="1" x14ac:dyDescent="0.2">
      <c r="A2" s="618" t="s">
        <v>387</v>
      </c>
      <c r="B2" s="954"/>
      <c r="C2" s="869"/>
      <c r="D2" s="256"/>
      <c r="E2" s="844"/>
      <c r="F2" s="171">
        <f>F956</f>
        <v>634239583</v>
      </c>
      <c r="G2" s="881">
        <f>G956</f>
        <v>634239583</v>
      </c>
      <c r="H2" s="883">
        <f>+F2-G2</f>
        <v>0</v>
      </c>
      <c r="I2" s="771"/>
      <c r="J2" s="54"/>
    </row>
    <row r="3" spans="1:188" ht="15" customHeight="1" x14ac:dyDescent="0.2">
      <c r="A3" s="66" t="str">
        <f>+Códigos!$A$3</f>
        <v>AÑO:</v>
      </c>
      <c r="B3" s="955">
        <v>2025</v>
      </c>
      <c r="C3" s="869"/>
      <c r="D3" s="256"/>
      <c r="H3" s="884"/>
      <c r="I3" s="771"/>
      <c r="J3" s="54"/>
    </row>
    <row r="4" spans="1:188" ht="15" customHeight="1" thickBot="1" x14ac:dyDescent="0.25">
      <c r="A4" s="291" t="s">
        <v>1</v>
      </c>
      <c r="B4" s="956"/>
      <c r="C4" s="869"/>
      <c r="D4" s="254">
        <v>45658</v>
      </c>
      <c r="E4" s="844"/>
      <c r="G4" s="55"/>
      <c r="H4" s="885" t="str">
        <f>IF(H2=0,"OK Saldos","ERROR EN LAS OPERACIONES Verificar formulas")</f>
        <v>OK Saldos</v>
      </c>
      <c r="I4" s="845"/>
      <c r="J4" s="54"/>
    </row>
    <row r="5" spans="1:188" ht="15" customHeight="1" x14ac:dyDescent="0.2">
      <c r="A5" s="291" t="s">
        <v>2</v>
      </c>
      <c r="B5" s="956"/>
      <c r="C5" s="869"/>
      <c r="D5" s="254">
        <v>46022</v>
      </c>
      <c r="E5" s="851"/>
      <c r="G5" s="55"/>
      <c r="H5" s="838"/>
      <c r="I5" s="845"/>
      <c r="J5" s="54"/>
    </row>
    <row r="6" spans="1:188" x14ac:dyDescent="0.2">
      <c r="A6" s="279"/>
      <c r="B6" s="957"/>
      <c r="C6" s="870"/>
      <c r="D6" s="292"/>
      <c r="E6" s="70"/>
      <c r="F6" s="99"/>
      <c r="G6" s="99"/>
      <c r="H6" s="839"/>
      <c r="I6" s="877"/>
      <c r="J6" s="265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264"/>
      <c r="BL6" s="264"/>
      <c r="BM6" s="264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4"/>
      <c r="BY6" s="264"/>
      <c r="BZ6" s="264"/>
      <c r="CA6" s="264"/>
      <c r="CB6" s="264"/>
      <c r="CC6" s="264"/>
      <c r="CD6" s="264"/>
      <c r="CE6" s="264"/>
      <c r="CF6" s="264"/>
      <c r="CG6" s="264"/>
      <c r="CH6" s="264"/>
      <c r="CI6" s="264"/>
      <c r="CJ6" s="264"/>
      <c r="CK6" s="264"/>
      <c r="CL6" s="264"/>
      <c r="CM6" s="264"/>
      <c r="CN6" s="264"/>
      <c r="CO6" s="264"/>
      <c r="CP6" s="264"/>
      <c r="CQ6" s="264"/>
      <c r="CR6" s="264"/>
      <c r="CS6" s="264"/>
      <c r="CT6" s="264"/>
      <c r="CU6" s="264"/>
      <c r="CV6" s="264"/>
      <c r="CW6" s="264"/>
      <c r="CX6" s="264"/>
      <c r="CY6" s="264"/>
      <c r="CZ6" s="264"/>
      <c r="DA6" s="264"/>
      <c r="DB6" s="264"/>
      <c r="DC6" s="264"/>
      <c r="DD6" s="264"/>
      <c r="DE6" s="264"/>
      <c r="DF6" s="264"/>
      <c r="DG6" s="264"/>
      <c r="DH6" s="264"/>
      <c r="DI6" s="264"/>
      <c r="DJ6" s="264"/>
      <c r="DK6" s="264"/>
      <c r="DL6" s="264"/>
      <c r="DM6" s="264"/>
      <c r="DN6" s="264"/>
      <c r="DO6" s="264"/>
      <c r="DP6" s="264"/>
      <c r="DQ6" s="264"/>
      <c r="DR6" s="264"/>
      <c r="DS6" s="264"/>
      <c r="DT6" s="264"/>
      <c r="DU6" s="264"/>
      <c r="DV6" s="264"/>
      <c r="DW6" s="264"/>
      <c r="DX6" s="264"/>
      <c r="DY6" s="264"/>
      <c r="DZ6" s="264"/>
      <c r="EA6" s="264"/>
      <c r="EB6" s="264"/>
      <c r="EC6" s="264"/>
      <c r="ED6" s="264"/>
      <c r="EE6" s="264"/>
      <c r="EF6" s="264"/>
      <c r="EG6" s="264"/>
      <c r="EH6" s="264"/>
      <c r="EI6" s="264"/>
      <c r="EJ6" s="264"/>
      <c r="EK6" s="264"/>
      <c r="EL6" s="264"/>
      <c r="EM6" s="264"/>
      <c r="EN6" s="264"/>
      <c r="EO6" s="264"/>
      <c r="EP6" s="264"/>
      <c r="EQ6" s="264"/>
      <c r="ER6" s="264"/>
      <c r="ES6" s="264"/>
      <c r="ET6" s="264"/>
      <c r="EU6" s="264"/>
      <c r="EV6" s="264"/>
      <c r="EW6" s="264"/>
      <c r="EX6" s="264"/>
      <c r="EY6" s="264"/>
      <c r="EZ6" s="264"/>
      <c r="FA6" s="264"/>
      <c r="FB6" s="264"/>
      <c r="FC6" s="264"/>
      <c r="FD6" s="264"/>
      <c r="FE6" s="264"/>
      <c r="FF6" s="264"/>
      <c r="FG6" s="264"/>
      <c r="FH6" s="264"/>
      <c r="FI6" s="264"/>
      <c r="FJ6" s="264"/>
      <c r="FK6" s="264"/>
      <c r="FL6" s="264"/>
      <c r="FM6" s="264"/>
      <c r="FN6" s="264"/>
      <c r="FO6" s="264"/>
      <c r="FP6" s="264"/>
      <c r="FQ6" s="264"/>
      <c r="FR6" s="264"/>
      <c r="FS6" s="264"/>
      <c r="FT6" s="264"/>
      <c r="FU6" s="264"/>
      <c r="FV6" s="264"/>
      <c r="FW6" s="264"/>
      <c r="FX6" s="264"/>
      <c r="FY6" s="264"/>
      <c r="FZ6" s="264"/>
      <c r="GA6" s="264"/>
      <c r="GB6" s="264"/>
      <c r="GC6" s="264"/>
      <c r="GD6" s="264"/>
      <c r="GE6" s="264"/>
      <c r="GF6" s="264"/>
    </row>
    <row r="7" spans="1:188" s="275" customFormat="1" ht="31.5" x14ac:dyDescent="0.2">
      <c r="A7" s="280" t="s">
        <v>3</v>
      </c>
      <c r="B7" s="513" t="s">
        <v>367</v>
      </c>
      <c r="C7" s="871" t="s">
        <v>377</v>
      </c>
      <c r="D7" s="270" t="s">
        <v>380</v>
      </c>
      <c r="E7" s="271" t="s">
        <v>579</v>
      </c>
      <c r="F7" s="764" t="s">
        <v>20</v>
      </c>
      <c r="G7" s="271" t="s">
        <v>184</v>
      </c>
      <c r="H7" s="348" t="s">
        <v>19</v>
      </c>
      <c r="I7" s="837" t="s">
        <v>732</v>
      </c>
      <c r="J7" s="273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274"/>
      <c r="AC7" s="274"/>
      <c r="AD7" s="274"/>
      <c r="AE7" s="274"/>
      <c r="AF7" s="274"/>
      <c r="AG7" s="274"/>
      <c r="AH7" s="274"/>
      <c r="AI7" s="274"/>
      <c r="AJ7" s="274"/>
      <c r="AK7" s="274"/>
      <c r="AL7" s="274"/>
      <c r="AM7" s="274"/>
      <c r="AN7" s="274"/>
      <c r="AO7" s="274"/>
      <c r="AP7" s="274"/>
      <c r="AQ7" s="274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274"/>
      <c r="BG7" s="274"/>
      <c r="BH7" s="274"/>
      <c r="BI7" s="274"/>
      <c r="BJ7" s="274"/>
      <c r="BK7" s="274"/>
      <c r="BL7" s="274"/>
      <c r="BM7" s="274"/>
      <c r="BN7" s="274"/>
      <c r="BO7" s="274"/>
      <c r="BP7" s="274"/>
      <c r="BQ7" s="274"/>
      <c r="BR7" s="274"/>
      <c r="BS7" s="274"/>
      <c r="BT7" s="274"/>
      <c r="BU7" s="274"/>
      <c r="BV7" s="274"/>
      <c r="BW7" s="274"/>
      <c r="BX7" s="274"/>
      <c r="BY7" s="274"/>
      <c r="BZ7" s="274"/>
      <c r="CA7" s="274"/>
      <c r="CB7" s="274"/>
      <c r="CC7" s="274"/>
      <c r="CD7" s="274"/>
      <c r="CE7" s="274"/>
      <c r="CF7" s="274"/>
      <c r="CG7" s="274"/>
      <c r="CH7" s="274"/>
      <c r="CI7" s="274"/>
      <c r="CJ7" s="274"/>
      <c r="CK7" s="274"/>
      <c r="CL7" s="274"/>
      <c r="CM7" s="274"/>
      <c r="CN7" s="274"/>
      <c r="CO7" s="274"/>
      <c r="CP7" s="274"/>
      <c r="CQ7" s="274"/>
      <c r="CR7" s="274"/>
      <c r="CS7" s="274"/>
      <c r="CT7" s="274"/>
      <c r="CU7" s="274"/>
      <c r="CV7" s="274"/>
      <c r="CW7" s="274"/>
      <c r="CX7" s="274"/>
      <c r="CY7" s="274"/>
      <c r="CZ7" s="274"/>
      <c r="DA7" s="274"/>
      <c r="DB7" s="274"/>
      <c r="DC7" s="274"/>
      <c r="DD7" s="274"/>
      <c r="DE7" s="274"/>
      <c r="DF7" s="274"/>
      <c r="DG7" s="274"/>
      <c r="DH7" s="274"/>
      <c r="DI7" s="274"/>
      <c r="DJ7" s="274"/>
      <c r="DK7" s="274"/>
      <c r="DL7" s="274"/>
      <c r="DM7" s="274"/>
      <c r="DN7" s="274"/>
      <c r="DO7" s="274"/>
      <c r="DP7" s="274"/>
      <c r="DQ7" s="274"/>
      <c r="DR7" s="274"/>
      <c r="DS7" s="274"/>
      <c r="DT7" s="274"/>
      <c r="DU7" s="274"/>
      <c r="DV7" s="274"/>
      <c r="DW7" s="274"/>
      <c r="DX7" s="274"/>
      <c r="DY7" s="274"/>
      <c r="DZ7" s="274"/>
      <c r="EA7" s="274"/>
      <c r="EB7" s="274"/>
      <c r="EC7" s="274"/>
      <c r="ED7" s="274"/>
      <c r="EE7" s="274"/>
      <c r="EF7" s="274"/>
      <c r="EG7" s="274"/>
      <c r="EH7" s="274"/>
      <c r="EI7" s="274"/>
      <c r="EJ7" s="274"/>
      <c r="EK7" s="274"/>
      <c r="EL7" s="274"/>
      <c r="EM7" s="274"/>
      <c r="EN7" s="274"/>
      <c r="EO7" s="274"/>
      <c r="EP7" s="274"/>
      <c r="EQ7" s="274"/>
      <c r="ER7" s="274"/>
      <c r="ES7" s="274"/>
      <c r="ET7" s="274"/>
      <c r="EU7" s="274"/>
      <c r="EV7" s="274"/>
      <c r="EW7" s="274"/>
      <c r="EX7" s="274"/>
      <c r="EY7" s="274"/>
      <c r="EZ7" s="274"/>
      <c r="FA7" s="274"/>
      <c r="FB7" s="274"/>
      <c r="FC7" s="274"/>
      <c r="FD7" s="274"/>
      <c r="FE7" s="274"/>
      <c r="FF7" s="274"/>
      <c r="FG7" s="274"/>
      <c r="FH7" s="274"/>
      <c r="FI7" s="274"/>
      <c r="FJ7" s="274"/>
      <c r="FK7" s="274"/>
      <c r="FL7" s="274"/>
      <c r="FM7" s="274"/>
      <c r="FN7" s="274"/>
      <c r="FO7" s="274"/>
      <c r="FP7" s="274"/>
      <c r="FQ7" s="274"/>
      <c r="FR7" s="274"/>
      <c r="FS7" s="274"/>
      <c r="FT7" s="274"/>
      <c r="FU7" s="274"/>
      <c r="FV7" s="274"/>
      <c r="FW7" s="274"/>
      <c r="FX7" s="274"/>
      <c r="FY7" s="274"/>
      <c r="FZ7" s="274"/>
      <c r="GA7" s="274"/>
      <c r="GB7" s="274"/>
      <c r="GC7" s="274"/>
      <c r="GD7" s="274"/>
      <c r="GE7" s="274"/>
      <c r="GF7" s="274"/>
    </row>
    <row r="8" spans="1:188" x14ac:dyDescent="0.2">
      <c r="A8" s="279"/>
      <c r="B8" s="957"/>
      <c r="C8" s="870"/>
      <c r="D8" s="292"/>
      <c r="E8" s="292"/>
      <c r="F8" s="99"/>
      <c r="G8" s="99"/>
      <c r="H8" s="839"/>
      <c r="I8" s="877"/>
      <c r="J8" s="265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4"/>
      <c r="AN8" s="264"/>
      <c r="AO8" s="264"/>
      <c r="AP8" s="264"/>
      <c r="AQ8" s="264"/>
      <c r="AR8" s="264"/>
      <c r="AS8" s="264"/>
      <c r="AT8" s="264"/>
      <c r="AU8" s="264"/>
      <c r="AV8" s="264"/>
      <c r="AW8" s="264"/>
      <c r="AX8" s="264"/>
      <c r="AY8" s="264"/>
      <c r="AZ8" s="264"/>
      <c r="BA8" s="264"/>
      <c r="BB8" s="264"/>
      <c r="BC8" s="264"/>
      <c r="BD8" s="264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4"/>
      <c r="BS8" s="264"/>
      <c r="BT8" s="264"/>
      <c r="BU8" s="264"/>
      <c r="BV8" s="264"/>
      <c r="BW8" s="264"/>
      <c r="BX8" s="264"/>
      <c r="BY8" s="264"/>
      <c r="BZ8" s="264"/>
      <c r="CA8" s="264"/>
      <c r="CB8" s="264"/>
      <c r="CC8" s="264"/>
      <c r="CD8" s="264"/>
      <c r="CE8" s="264"/>
      <c r="CF8" s="264"/>
      <c r="CG8" s="264"/>
      <c r="CH8" s="264"/>
      <c r="CI8" s="264"/>
      <c r="CJ8" s="264"/>
      <c r="CK8" s="264"/>
      <c r="CL8" s="264"/>
      <c r="CM8" s="264"/>
      <c r="CN8" s="264"/>
      <c r="CO8" s="264"/>
      <c r="CP8" s="264"/>
      <c r="CQ8" s="264"/>
      <c r="CR8" s="264"/>
      <c r="CS8" s="264"/>
      <c r="CT8" s="264"/>
      <c r="CU8" s="264"/>
      <c r="CV8" s="264"/>
      <c r="CW8" s="264"/>
      <c r="CX8" s="264"/>
      <c r="CY8" s="264"/>
      <c r="CZ8" s="264"/>
      <c r="DA8" s="264"/>
      <c r="DB8" s="264"/>
      <c r="DC8" s="264"/>
      <c r="DD8" s="264"/>
      <c r="DE8" s="264"/>
      <c r="DF8" s="264"/>
      <c r="DG8" s="264"/>
      <c r="DH8" s="264"/>
      <c r="DI8" s="264"/>
      <c r="DJ8" s="264"/>
      <c r="DK8" s="264"/>
      <c r="DL8" s="264"/>
      <c r="DM8" s="264"/>
      <c r="DN8" s="264"/>
      <c r="DO8" s="264"/>
      <c r="DP8" s="264"/>
      <c r="DQ8" s="264"/>
      <c r="DR8" s="264"/>
      <c r="DS8" s="264"/>
      <c r="DT8" s="264"/>
      <c r="DU8" s="264"/>
      <c r="DV8" s="264"/>
      <c r="DW8" s="264"/>
      <c r="DX8" s="264"/>
      <c r="DY8" s="264"/>
      <c r="DZ8" s="264"/>
      <c r="EA8" s="264"/>
      <c r="EB8" s="264"/>
      <c r="EC8" s="264"/>
      <c r="ED8" s="264"/>
      <c r="EE8" s="264"/>
      <c r="EF8" s="264"/>
      <c r="EG8" s="264"/>
      <c r="EH8" s="264"/>
      <c r="EI8" s="264"/>
      <c r="EJ8" s="264"/>
      <c r="EK8" s="264"/>
      <c r="EL8" s="264"/>
      <c r="EM8" s="264"/>
      <c r="EN8" s="264"/>
      <c r="EO8" s="264"/>
      <c r="EP8" s="264"/>
      <c r="EQ8" s="264"/>
      <c r="ER8" s="264"/>
      <c r="ES8" s="264"/>
      <c r="ET8" s="264"/>
      <c r="EU8" s="264"/>
      <c r="EV8" s="264"/>
      <c r="EW8" s="264"/>
      <c r="EX8" s="264"/>
      <c r="EY8" s="264"/>
      <c r="EZ8" s="264"/>
      <c r="FA8" s="264"/>
      <c r="FB8" s="264"/>
      <c r="FC8" s="264"/>
      <c r="FD8" s="264"/>
      <c r="FE8" s="264"/>
      <c r="FF8" s="264"/>
      <c r="FG8" s="264"/>
      <c r="FH8" s="264"/>
      <c r="FI8" s="264"/>
      <c r="FJ8" s="264"/>
      <c r="FK8" s="264"/>
      <c r="FL8" s="264"/>
      <c r="FM8" s="264"/>
      <c r="FN8" s="264"/>
      <c r="FO8" s="264"/>
      <c r="FP8" s="264"/>
      <c r="FQ8" s="264"/>
      <c r="FR8" s="264"/>
      <c r="FS8" s="264"/>
      <c r="FT8" s="264"/>
      <c r="FU8" s="264"/>
      <c r="FV8" s="264"/>
      <c r="FW8" s="264"/>
      <c r="FX8" s="264"/>
      <c r="FY8" s="264"/>
      <c r="FZ8" s="264"/>
      <c r="GA8" s="264"/>
      <c r="GB8" s="264"/>
      <c r="GC8" s="264"/>
      <c r="GD8" s="264"/>
      <c r="GE8" s="264"/>
      <c r="GF8" s="264"/>
    </row>
    <row r="9" spans="1:188" ht="5.0999999999999996" customHeight="1" x14ac:dyDescent="0.2">
      <c r="A9" s="281"/>
      <c r="B9" s="958"/>
      <c r="C9" s="872"/>
      <c r="D9" s="168"/>
      <c r="E9" s="168"/>
      <c r="F9" s="54"/>
      <c r="G9" s="54"/>
      <c r="H9" s="840"/>
      <c r="I9" s="847"/>
      <c r="J9" s="54"/>
    </row>
    <row r="10" spans="1:188" x14ac:dyDescent="0.2">
      <c r="A10" s="440">
        <f>+D4</f>
        <v>45658</v>
      </c>
      <c r="B10" s="957"/>
      <c r="C10" s="870"/>
      <c r="D10" s="169"/>
      <c r="E10" s="169"/>
      <c r="F10" s="252">
        <v>0</v>
      </c>
      <c r="G10" s="252">
        <f>F10</f>
        <v>0</v>
      </c>
      <c r="H10" s="841"/>
      <c r="I10" s="878"/>
      <c r="J10" s="54"/>
    </row>
    <row r="11" spans="1:188" x14ac:dyDescent="0.2">
      <c r="A11" s="1055"/>
      <c r="B11" s="1267"/>
      <c r="C11" s="1268"/>
      <c r="D11" s="1269"/>
      <c r="E11" s="1269"/>
      <c r="F11" s="934"/>
      <c r="G11" s="934"/>
      <c r="H11" s="1270"/>
      <c r="I11" s="561"/>
      <c r="J11" s="54"/>
    </row>
    <row r="12" spans="1:188" x14ac:dyDescent="0.2">
      <c r="A12" s="1234">
        <v>45659</v>
      </c>
      <c r="B12" s="1233" t="s">
        <v>37</v>
      </c>
      <c r="C12" s="1187">
        <v>5</v>
      </c>
      <c r="D12" s="1279" t="str">
        <f>_xlfn.XLOOKUP(B12,Códigos!$A$489:$A$522,Códigos!$B$489:$B$522,"Verificar",0)</f>
        <v>-Retiros y Traslados de Bancos</v>
      </c>
      <c r="E12" s="1279" t="str">
        <f>_xlfn.XLOOKUP(C12,Códigos!$A$11:$A$415,Códigos!$B$11:$B$415,"Verificar",0)</f>
        <v>NOMBRE 25</v>
      </c>
      <c r="F12" s="1239">
        <v>50000</v>
      </c>
      <c r="G12" s="1239">
        <f>+G11+F12</f>
        <v>50000</v>
      </c>
      <c r="H12" s="1049" t="s">
        <v>1036</v>
      </c>
      <c r="I12" s="127"/>
      <c r="J12" s="54"/>
    </row>
    <row r="13" spans="1:188" x14ac:dyDescent="0.2">
      <c r="A13" s="1234">
        <v>45660</v>
      </c>
      <c r="B13" s="1233" t="s">
        <v>37</v>
      </c>
      <c r="C13" s="1187">
        <v>5</v>
      </c>
      <c r="D13" s="1279" t="str">
        <f>_xlfn.XLOOKUP(B13,Códigos!$A$489:$A$522,Códigos!$B$489:$B$522,"Verificar",0)</f>
        <v>-Retiros y Traslados de Bancos</v>
      </c>
      <c r="E13" s="1279" t="str">
        <f>_xlfn.XLOOKUP(C13,Códigos!$A$11:$A$415,Códigos!$B$11:$B$415,"Verificar",0)</f>
        <v>NOMBRE 25</v>
      </c>
      <c r="F13" s="1239">
        <v>500000</v>
      </c>
      <c r="G13" s="989">
        <f t="shared" ref="G13:G76" si="0">+G12+F13</f>
        <v>550000</v>
      </c>
      <c r="H13" s="1049" t="s">
        <v>1037</v>
      </c>
      <c r="I13" s="127"/>
      <c r="J13" s="54"/>
    </row>
    <row r="14" spans="1:188" x14ac:dyDescent="0.2">
      <c r="A14" s="1234">
        <v>45660</v>
      </c>
      <c r="B14" s="1233" t="s">
        <v>34</v>
      </c>
      <c r="C14" s="1187">
        <v>182</v>
      </c>
      <c r="D14" s="1279" t="str">
        <f>_xlfn.XLOOKUP(B14,Códigos!$A$489:$A$522,Códigos!$B$489:$B$522,"Verificar",0)</f>
        <v>Recibido por: -Cuentas de cobro -DAFF</v>
      </c>
      <c r="E14" s="1279" t="str">
        <f>_xlfn.XLOOKUP(C14,Códigos!$A$11:$A$415,Códigos!$B$11:$B$415,"Verificar",0)</f>
        <v>NOMBRE 317</v>
      </c>
      <c r="F14" s="1239">
        <v>1800000</v>
      </c>
      <c r="G14" s="989">
        <f t="shared" si="0"/>
        <v>2350000</v>
      </c>
      <c r="H14" s="1049" t="s">
        <v>1139</v>
      </c>
      <c r="I14" s="127"/>
      <c r="J14" s="54"/>
    </row>
    <row r="15" spans="1:188" x14ac:dyDescent="0.2">
      <c r="A15" s="1234">
        <v>45666</v>
      </c>
      <c r="B15" s="1233" t="s">
        <v>37</v>
      </c>
      <c r="C15" s="1187">
        <v>5</v>
      </c>
      <c r="D15" s="1279" t="str">
        <f>_xlfn.XLOOKUP(B15,Códigos!$A$489:$A$522,Códigos!$B$489:$B$522,"Verificar",0)</f>
        <v>-Retiros y Traslados de Bancos</v>
      </c>
      <c r="E15" s="1279" t="str">
        <f>_xlfn.XLOOKUP(C15,Códigos!$A$11:$A$415,Códigos!$B$11:$B$415,"Verificar",0)</f>
        <v>NOMBRE 25</v>
      </c>
      <c r="F15" s="1239">
        <v>47500</v>
      </c>
      <c r="G15" s="989">
        <f t="shared" si="0"/>
        <v>2397500</v>
      </c>
      <c r="H15" s="1049" t="s">
        <v>1039</v>
      </c>
      <c r="I15" s="127"/>
      <c r="J15" s="54"/>
    </row>
    <row r="16" spans="1:188" x14ac:dyDescent="0.2">
      <c r="A16" s="1234">
        <v>45670</v>
      </c>
      <c r="B16" s="1233" t="s">
        <v>37</v>
      </c>
      <c r="C16" s="1187">
        <v>5</v>
      </c>
      <c r="D16" s="1279" t="str">
        <f>_xlfn.XLOOKUP(B16,Códigos!$A$489:$A$522,Códigos!$B$489:$B$522,"Verificar",0)</f>
        <v>-Retiros y Traslados de Bancos</v>
      </c>
      <c r="E16" s="1279" t="str">
        <f>_xlfn.XLOOKUP(C16,Códigos!$A$11:$A$415,Códigos!$B$11:$B$415,"Verificar",0)</f>
        <v>NOMBRE 25</v>
      </c>
      <c r="F16" s="1239">
        <v>125800</v>
      </c>
      <c r="G16" s="989">
        <f t="shared" si="0"/>
        <v>2523300</v>
      </c>
      <c r="H16" s="1049" t="s">
        <v>1040</v>
      </c>
      <c r="I16" s="127"/>
      <c r="J16" s="54"/>
    </row>
    <row r="17" spans="1:10" x14ac:dyDescent="0.2">
      <c r="A17" s="1234">
        <v>45671</v>
      </c>
      <c r="B17" s="1233" t="s">
        <v>37</v>
      </c>
      <c r="C17" s="1187">
        <v>5</v>
      </c>
      <c r="D17" s="1279" t="str">
        <f>_xlfn.XLOOKUP(B17,Códigos!$A$489:$A$522,Códigos!$B$489:$B$522,"Verificar",0)</f>
        <v>-Retiros y Traslados de Bancos</v>
      </c>
      <c r="E17" s="1279" t="str">
        <f>_xlfn.XLOOKUP(C17,Códigos!$A$11:$A$415,Códigos!$B$11:$B$415,"Verificar",0)</f>
        <v>NOMBRE 25</v>
      </c>
      <c r="F17" s="1239">
        <v>1000600</v>
      </c>
      <c r="G17" s="989">
        <f t="shared" si="0"/>
        <v>3523900</v>
      </c>
      <c r="H17" s="1052" t="s">
        <v>1041</v>
      </c>
      <c r="I17" s="127"/>
      <c r="J17" s="54"/>
    </row>
    <row r="18" spans="1:10" x14ac:dyDescent="0.2">
      <c r="A18" s="1234">
        <v>45671</v>
      </c>
      <c r="B18" s="1233" t="s">
        <v>37</v>
      </c>
      <c r="C18" s="1187">
        <v>5</v>
      </c>
      <c r="D18" s="1279" t="str">
        <f>_xlfn.XLOOKUP(B18,Códigos!$A$489:$A$522,Códigos!$B$489:$B$522,"Verificar",0)</f>
        <v>-Retiros y Traslados de Bancos</v>
      </c>
      <c r="E18" s="1279" t="str">
        <f>_xlfn.XLOOKUP(C18,Códigos!$A$11:$A$415,Códigos!$B$11:$B$415,"Verificar",0)</f>
        <v>NOMBRE 25</v>
      </c>
      <c r="F18" s="1239">
        <v>897800</v>
      </c>
      <c r="G18" s="989">
        <f t="shared" si="0"/>
        <v>4421700</v>
      </c>
      <c r="H18" s="1052" t="s">
        <v>1042</v>
      </c>
      <c r="I18" s="127"/>
      <c r="J18" s="54"/>
    </row>
    <row r="19" spans="1:10" x14ac:dyDescent="0.2">
      <c r="A19" s="1234">
        <v>45671</v>
      </c>
      <c r="B19" s="1233" t="s">
        <v>37</v>
      </c>
      <c r="C19" s="1187">
        <v>5</v>
      </c>
      <c r="D19" s="1279" t="str">
        <f>_xlfn.XLOOKUP(B19,Códigos!$A$489:$A$522,Códigos!$B$489:$B$522,"Verificar",0)</f>
        <v>-Retiros y Traslados de Bancos</v>
      </c>
      <c r="E19" s="1279" t="str">
        <f>_xlfn.XLOOKUP(C19,Códigos!$A$11:$A$415,Códigos!$B$11:$B$415,"Verificar",0)</f>
        <v>NOMBRE 25</v>
      </c>
      <c r="F19" s="1239">
        <v>350000</v>
      </c>
      <c r="G19" s="989">
        <f t="shared" si="0"/>
        <v>4771700</v>
      </c>
      <c r="H19" s="1274" t="s">
        <v>1043</v>
      </c>
      <c r="I19" s="127"/>
      <c r="J19" s="54"/>
    </row>
    <row r="20" spans="1:10" x14ac:dyDescent="0.2">
      <c r="A20" s="1234">
        <v>45671</v>
      </c>
      <c r="B20" s="1233" t="s">
        <v>37</v>
      </c>
      <c r="C20" s="1187">
        <v>5</v>
      </c>
      <c r="D20" s="1279" t="str">
        <f>_xlfn.XLOOKUP(B20,Códigos!$A$489:$A$522,Códigos!$B$489:$B$522,"Verificar",0)</f>
        <v>-Retiros y Traslados de Bancos</v>
      </c>
      <c r="E20" s="1279" t="str">
        <f>_xlfn.XLOOKUP(C20,Códigos!$A$11:$A$415,Códigos!$B$11:$B$415,"Verificar",0)</f>
        <v>NOMBRE 25</v>
      </c>
      <c r="F20" s="1239">
        <v>200000</v>
      </c>
      <c r="G20" s="989">
        <f t="shared" si="0"/>
        <v>4971700</v>
      </c>
      <c r="H20" s="1274" t="s">
        <v>1044</v>
      </c>
      <c r="I20" s="127"/>
      <c r="J20" s="54"/>
    </row>
    <row r="21" spans="1:10" x14ac:dyDescent="0.2">
      <c r="A21" s="1234">
        <v>45671</v>
      </c>
      <c r="B21" s="1233" t="s">
        <v>37</v>
      </c>
      <c r="C21" s="1187">
        <v>5</v>
      </c>
      <c r="D21" s="1279" t="str">
        <f>_xlfn.XLOOKUP(B21,Códigos!$A$489:$A$522,Códigos!$B$489:$B$522,"Verificar",0)</f>
        <v>-Retiros y Traslados de Bancos</v>
      </c>
      <c r="E21" s="1279" t="str">
        <f>_xlfn.XLOOKUP(C21,Códigos!$A$11:$A$415,Códigos!$B$11:$B$415,"Verificar",0)</f>
        <v>NOMBRE 25</v>
      </c>
      <c r="F21" s="1239">
        <v>89300</v>
      </c>
      <c r="G21" s="989">
        <f t="shared" si="0"/>
        <v>5061000</v>
      </c>
      <c r="H21" s="1050" t="s">
        <v>1066</v>
      </c>
      <c r="I21" s="127"/>
      <c r="J21" s="54"/>
    </row>
    <row r="22" spans="1:10" x14ac:dyDescent="0.2">
      <c r="A22" s="1234">
        <v>45671</v>
      </c>
      <c r="B22" s="1233" t="s">
        <v>37</v>
      </c>
      <c r="C22" s="1187">
        <v>5</v>
      </c>
      <c r="D22" s="1279" t="str">
        <f>_xlfn.XLOOKUP(B22,Códigos!$A$489:$A$522,Códigos!$B$489:$B$522,"Verificar",0)</f>
        <v>-Retiros y Traslados de Bancos</v>
      </c>
      <c r="E22" s="1279" t="str">
        <f>_xlfn.XLOOKUP(C22,Códigos!$A$11:$A$415,Códigos!$B$11:$B$415,"Verificar",0)</f>
        <v>NOMBRE 25</v>
      </c>
      <c r="F22" s="1239">
        <v>67800</v>
      </c>
      <c r="G22" s="989">
        <f t="shared" si="0"/>
        <v>5128800</v>
      </c>
      <c r="H22" s="1050" t="s">
        <v>1067</v>
      </c>
      <c r="I22" s="561"/>
      <c r="J22" s="54"/>
    </row>
    <row r="23" spans="1:10" x14ac:dyDescent="0.2">
      <c r="A23" s="1234">
        <v>45671</v>
      </c>
      <c r="B23" s="1233" t="s">
        <v>37</v>
      </c>
      <c r="C23" s="1187">
        <v>5</v>
      </c>
      <c r="D23" s="1279" t="str">
        <f>_xlfn.XLOOKUP(B23,Códigos!$A$489:$A$522,Códigos!$B$489:$B$522,"Verificar",0)</f>
        <v>-Retiros y Traslados de Bancos</v>
      </c>
      <c r="E23" s="1279" t="str">
        <f>_xlfn.XLOOKUP(C23,Códigos!$A$11:$A$415,Códigos!$B$11:$B$415,"Verificar",0)</f>
        <v>NOMBRE 25</v>
      </c>
      <c r="F23" s="1239">
        <f>1030000-F25-F24</f>
        <v>170000</v>
      </c>
      <c r="G23" s="989">
        <f t="shared" si="0"/>
        <v>5298800</v>
      </c>
      <c r="H23" s="1050" t="s">
        <v>1082</v>
      </c>
      <c r="I23" s="561"/>
      <c r="J23" s="54"/>
    </row>
    <row r="24" spans="1:10" x14ac:dyDescent="0.2">
      <c r="A24" s="1234">
        <v>45671</v>
      </c>
      <c r="B24" s="1233" t="s">
        <v>37</v>
      </c>
      <c r="C24" s="1187">
        <v>5</v>
      </c>
      <c r="D24" s="1279" t="str">
        <f>_xlfn.XLOOKUP(B24,Códigos!$A$489:$A$522,Códigos!$B$489:$B$522,"Verificar",0)</f>
        <v>-Retiros y Traslados de Bancos</v>
      </c>
      <c r="E24" s="1279" t="str">
        <f>_xlfn.XLOOKUP(C24,Códigos!$A$11:$A$415,Códigos!$B$11:$B$415,"Verificar",0)</f>
        <v>NOMBRE 25</v>
      </c>
      <c r="F24" s="1239">
        <v>200000</v>
      </c>
      <c r="G24" s="989">
        <f t="shared" si="0"/>
        <v>5498800</v>
      </c>
      <c r="H24" s="1050" t="s">
        <v>1083</v>
      </c>
      <c r="I24" s="561"/>
      <c r="J24" s="54"/>
    </row>
    <row r="25" spans="1:10" x14ac:dyDescent="0.2">
      <c r="A25" s="1234">
        <v>45671</v>
      </c>
      <c r="B25" s="1233" t="s">
        <v>37</v>
      </c>
      <c r="C25" s="1187">
        <v>5</v>
      </c>
      <c r="D25" s="1279" t="str">
        <f>_xlfn.XLOOKUP(B25,Códigos!$A$489:$A$522,Códigos!$B$489:$B$522,"Verificar",0)</f>
        <v>-Retiros y Traslados de Bancos</v>
      </c>
      <c r="E25" s="1279" t="str">
        <f>_xlfn.XLOOKUP(C25,Códigos!$A$11:$A$415,Códigos!$B$11:$B$415,"Verificar",0)</f>
        <v>NOMBRE 25</v>
      </c>
      <c r="F25" s="1239">
        <v>660000</v>
      </c>
      <c r="G25" s="989">
        <f t="shared" si="0"/>
        <v>6158800</v>
      </c>
      <c r="H25" s="997" t="s">
        <v>1084</v>
      </c>
      <c r="I25" s="561"/>
      <c r="J25" s="54"/>
    </row>
    <row r="26" spans="1:10" x14ac:dyDescent="0.2">
      <c r="A26" s="1234">
        <v>45671</v>
      </c>
      <c r="B26" s="1233" t="s">
        <v>18</v>
      </c>
      <c r="C26" s="1187">
        <v>25</v>
      </c>
      <c r="D26" s="1279" t="str">
        <f>_xlfn.XLOOKUP(B26,Códigos!$A$489:$A$522,Códigos!$B$489:$B$522,"Verificar",0)</f>
        <v>Recibido por: -FACTURAS -GTFF</v>
      </c>
      <c r="E26" s="1279" t="str">
        <f>_xlfn.XLOOKUP(C26,Códigos!$A$11:$A$415,Códigos!$B$11:$B$415,"Verificar",0)</f>
        <v>NOMBRE 178</v>
      </c>
      <c r="F26" s="1239">
        <v>5164600</v>
      </c>
      <c r="G26" s="989">
        <f t="shared" si="0"/>
        <v>11323400</v>
      </c>
      <c r="H26" s="1052" t="s">
        <v>1093</v>
      </c>
      <c r="I26" s="561"/>
      <c r="J26" s="54"/>
    </row>
    <row r="27" spans="1:10" x14ac:dyDescent="0.2">
      <c r="A27" s="1234">
        <v>45671</v>
      </c>
      <c r="B27" s="1233" t="s">
        <v>18</v>
      </c>
      <c r="C27" s="1187">
        <v>158</v>
      </c>
      <c r="D27" s="1279" t="str">
        <f>_xlfn.XLOOKUP(B27,Códigos!$A$489:$A$522,Códigos!$B$489:$B$522,"Verificar",0)</f>
        <v>Recibido por: -FACTURAS -GTFF</v>
      </c>
      <c r="E27" s="1279" t="str">
        <f>_xlfn.XLOOKUP(C27,Códigos!$A$11:$A$415,Códigos!$B$11:$B$415,"Verificar",0)</f>
        <v>NOMBRE 262</v>
      </c>
      <c r="F27" s="1239">
        <v>3308200</v>
      </c>
      <c r="G27" s="989">
        <f t="shared" si="0"/>
        <v>14631600</v>
      </c>
      <c r="H27" s="1052" t="s">
        <v>1094</v>
      </c>
      <c r="I27" s="561"/>
      <c r="J27" s="54"/>
    </row>
    <row r="28" spans="1:10" x14ac:dyDescent="0.2">
      <c r="A28" s="1234">
        <v>45671</v>
      </c>
      <c r="B28" s="1233" t="s">
        <v>18</v>
      </c>
      <c r="C28" s="1187">
        <v>296</v>
      </c>
      <c r="D28" s="1279" t="str">
        <f>_xlfn.XLOOKUP(B28,Códigos!$A$489:$A$522,Códigos!$B$489:$B$522,"Verificar",0)</f>
        <v>Recibido por: -FACTURAS -GTFF</v>
      </c>
      <c r="E28" s="1279" t="str">
        <f>_xlfn.XLOOKUP(C28,Códigos!$A$11:$A$415,Códigos!$B$11:$B$415,"Verificar",0)</f>
        <v>NOMBRE 300</v>
      </c>
      <c r="F28" s="1239">
        <v>1035300</v>
      </c>
      <c r="G28" s="989">
        <f t="shared" si="0"/>
        <v>15666900</v>
      </c>
      <c r="H28" s="1052" t="s">
        <v>1095</v>
      </c>
      <c r="I28" s="561"/>
      <c r="J28" s="54"/>
    </row>
    <row r="29" spans="1:10" x14ac:dyDescent="0.2">
      <c r="A29" s="1234">
        <v>45671</v>
      </c>
      <c r="B29" s="1233" t="s">
        <v>18</v>
      </c>
      <c r="C29" s="1187">
        <v>25</v>
      </c>
      <c r="D29" s="1279" t="str">
        <f>_xlfn.XLOOKUP(B29,Códigos!$A$489:$A$522,Códigos!$B$489:$B$522,"Verificar",0)</f>
        <v>Recibido por: -FACTURAS -GTFF</v>
      </c>
      <c r="E29" s="1279" t="str">
        <f>_xlfn.XLOOKUP(C29,Códigos!$A$11:$A$415,Códigos!$B$11:$B$415,"Verificar",0)</f>
        <v>NOMBRE 178</v>
      </c>
      <c r="F29" s="1239">
        <v>4611600</v>
      </c>
      <c r="G29" s="989">
        <f t="shared" si="0"/>
        <v>20278500</v>
      </c>
      <c r="H29" s="1052" t="s">
        <v>1096</v>
      </c>
      <c r="I29" s="561"/>
      <c r="J29" s="54"/>
    </row>
    <row r="30" spans="1:10" x14ac:dyDescent="0.2">
      <c r="A30" s="1234">
        <v>45671</v>
      </c>
      <c r="B30" s="1233" t="s">
        <v>18</v>
      </c>
      <c r="C30" s="1187">
        <v>158</v>
      </c>
      <c r="D30" s="1279" t="str">
        <f>_xlfn.XLOOKUP(B30,Códigos!$A$489:$A$522,Códigos!$B$489:$B$522,"Verificar",0)</f>
        <v>Recibido por: -FACTURAS -GTFF</v>
      </c>
      <c r="E30" s="1279" t="str">
        <f>_xlfn.XLOOKUP(C30,Códigos!$A$11:$A$415,Códigos!$B$11:$B$415,"Verificar",0)</f>
        <v>NOMBRE 262</v>
      </c>
      <c r="F30" s="1239">
        <v>3629500</v>
      </c>
      <c r="G30" s="989">
        <f t="shared" si="0"/>
        <v>23908000</v>
      </c>
      <c r="H30" s="1052" t="s">
        <v>1097</v>
      </c>
      <c r="I30" s="561"/>
      <c r="J30" s="54"/>
    </row>
    <row r="31" spans="1:10" x14ac:dyDescent="0.2">
      <c r="A31" s="1234">
        <v>45671</v>
      </c>
      <c r="B31" s="1233" t="s">
        <v>18</v>
      </c>
      <c r="C31" s="1187">
        <v>296</v>
      </c>
      <c r="D31" s="1279" t="str">
        <f>_xlfn.XLOOKUP(B31,Códigos!$A$489:$A$522,Códigos!$B$489:$B$522,"Verificar",0)</f>
        <v>Recibido por: -FACTURAS -GTFF</v>
      </c>
      <c r="E31" s="1279" t="str">
        <f>_xlfn.XLOOKUP(C31,Códigos!$A$11:$A$415,Códigos!$B$11:$B$415,"Verificar",0)</f>
        <v>NOMBRE 300</v>
      </c>
      <c r="F31" s="1239">
        <v>1130500</v>
      </c>
      <c r="G31" s="989">
        <f t="shared" si="0"/>
        <v>25038500</v>
      </c>
      <c r="H31" s="1052" t="s">
        <v>1098</v>
      </c>
      <c r="I31" s="561"/>
      <c r="J31" s="54"/>
    </row>
    <row r="32" spans="1:10" x14ac:dyDescent="0.2">
      <c r="A32" s="1234">
        <v>45671</v>
      </c>
      <c r="B32" s="1233" t="s">
        <v>37</v>
      </c>
      <c r="C32" s="1187">
        <v>3</v>
      </c>
      <c r="D32" s="1279" t="str">
        <f>_xlfn.XLOOKUP(B32,Códigos!$A$489:$A$522,Códigos!$B$489:$B$522,"Verificar",0)</f>
        <v>-Retiros y Traslados de Bancos</v>
      </c>
      <c r="E32" s="1279" t="str">
        <f>_xlfn.XLOOKUP(C32,Códigos!$A$11:$A$415,Códigos!$B$11:$B$415,"Verificar",0)</f>
        <v>NOMBRE 24</v>
      </c>
      <c r="F32" s="1239">
        <v>35000000</v>
      </c>
      <c r="G32" s="989">
        <f t="shared" si="0"/>
        <v>60038500</v>
      </c>
      <c r="H32" s="1052" t="s">
        <v>1292</v>
      </c>
      <c r="I32" s="561"/>
      <c r="J32" s="54"/>
    </row>
    <row r="33" spans="1:10" x14ac:dyDescent="0.2">
      <c r="A33" s="1234">
        <v>45672</v>
      </c>
      <c r="B33" s="1233" t="s">
        <v>34</v>
      </c>
      <c r="C33" s="1187">
        <v>133</v>
      </c>
      <c r="D33" s="1279" t="str">
        <f>_xlfn.XLOOKUP(B33,Códigos!$A$489:$A$522,Códigos!$B$489:$B$522,"Verificar",0)</f>
        <v>Recibido por: -Cuentas de cobro -DAFF</v>
      </c>
      <c r="E33" s="1279" t="str">
        <f>_xlfn.XLOOKUP(C33,Códigos!$A$11:$A$415,Códigos!$B$11:$B$415,"Verificar",0)</f>
        <v>NOMBRE 216</v>
      </c>
      <c r="F33" s="1239">
        <v>1160000</v>
      </c>
      <c r="G33" s="989">
        <f t="shared" si="0"/>
        <v>61198500</v>
      </c>
      <c r="H33" s="1049" t="s">
        <v>1099</v>
      </c>
      <c r="I33" s="561"/>
      <c r="J33" s="54"/>
    </row>
    <row r="34" spans="1:10" x14ac:dyDescent="0.2">
      <c r="A34" s="1234">
        <v>45672</v>
      </c>
      <c r="B34" s="1233" t="s">
        <v>37</v>
      </c>
      <c r="C34" s="1187">
        <v>3</v>
      </c>
      <c r="D34" s="1279" t="str">
        <f>_xlfn.XLOOKUP(B34,Códigos!$A$489:$A$522,Códigos!$B$489:$B$522,"Verificar",0)</f>
        <v>-Retiros y Traslados de Bancos</v>
      </c>
      <c r="E34" s="1279" t="str">
        <f>_xlfn.XLOOKUP(C34,Códigos!$A$11:$A$415,Códigos!$B$11:$B$415,"Verificar",0)</f>
        <v>NOMBRE 24</v>
      </c>
      <c r="F34" s="1239">
        <v>2000000</v>
      </c>
      <c r="G34" s="989">
        <f t="shared" si="0"/>
        <v>63198500</v>
      </c>
      <c r="H34" s="1049" t="s">
        <v>1038</v>
      </c>
      <c r="I34" s="561"/>
      <c r="J34" s="54"/>
    </row>
    <row r="35" spans="1:10" x14ac:dyDescent="0.2">
      <c r="A35" s="1232">
        <v>45673</v>
      </c>
      <c r="B35" s="1233" t="s">
        <v>37</v>
      </c>
      <c r="C35" s="1187">
        <v>5</v>
      </c>
      <c r="D35" s="1279" t="str">
        <f>_xlfn.XLOOKUP(B35,Códigos!$A$489:$A$522,Códigos!$B$489:$B$522,"Verificar",0)</f>
        <v>-Retiros y Traslados de Bancos</v>
      </c>
      <c r="E35" s="1279" t="str">
        <f>_xlfn.XLOOKUP(C35,Códigos!$A$11:$A$415,Códigos!$B$11:$B$415,"Verificar",0)</f>
        <v>NOMBRE 25</v>
      </c>
      <c r="F35" s="1239">
        <v>1026800</v>
      </c>
      <c r="G35" s="989">
        <f t="shared" si="0"/>
        <v>64225300</v>
      </c>
      <c r="H35" s="997" t="s">
        <v>1113</v>
      </c>
      <c r="I35" s="561"/>
      <c r="J35" s="54"/>
    </row>
    <row r="36" spans="1:10" x14ac:dyDescent="0.2">
      <c r="A36" s="1232">
        <v>45674</v>
      </c>
      <c r="B36" s="1233" t="s">
        <v>18</v>
      </c>
      <c r="C36" s="1187">
        <v>151</v>
      </c>
      <c r="D36" s="1279" t="str">
        <f>_xlfn.XLOOKUP(B36,Códigos!$A$489:$A$522,Códigos!$B$489:$B$522,"Verificar",0)</f>
        <v>Recibido por: -FACTURAS -GTFF</v>
      </c>
      <c r="E36" s="1279" t="str">
        <f>_xlfn.XLOOKUP(C36,Códigos!$A$11:$A$415,Códigos!$B$11:$B$415,"Verificar",0)</f>
        <v>NOMBRE 248</v>
      </c>
      <c r="F36" s="1239">
        <v>5000000</v>
      </c>
      <c r="G36" s="989">
        <f t="shared" si="0"/>
        <v>69225300</v>
      </c>
      <c r="H36" s="1052" t="s">
        <v>1080</v>
      </c>
      <c r="I36" s="561"/>
      <c r="J36" s="54"/>
    </row>
    <row r="37" spans="1:10" x14ac:dyDescent="0.2">
      <c r="A37" s="1232">
        <v>45674</v>
      </c>
      <c r="B37" s="1233" t="s">
        <v>37</v>
      </c>
      <c r="C37" s="1187">
        <v>5</v>
      </c>
      <c r="D37" s="1279" t="str">
        <f>_xlfn.XLOOKUP(B37,Códigos!$A$489:$A$522,Códigos!$B$489:$B$522,"Verificar",0)</f>
        <v>-Retiros y Traslados de Bancos</v>
      </c>
      <c r="E37" s="1279" t="str">
        <f>_xlfn.XLOOKUP(C37,Códigos!$A$11:$A$415,Códigos!$B$11:$B$415,"Verificar",0)</f>
        <v>NOMBRE 25</v>
      </c>
      <c r="F37" s="1239">
        <v>196400</v>
      </c>
      <c r="G37" s="989">
        <f t="shared" si="0"/>
        <v>69421700</v>
      </c>
      <c r="H37" s="1049" t="s">
        <v>1104</v>
      </c>
      <c r="I37" s="561"/>
      <c r="J37" s="54"/>
    </row>
    <row r="38" spans="1:10" x14ac:dyDescent="0.2">
      <c r="A38" s="1232">
        <v>45674</v>
      </c>
      <c r="B38" s="1233" t="s">
        <v>18</v>
      </c>
      <c r="C38" s="1187">
        <v>290</v>
      </c>
      <c r="D38" s="1279" t="str">
        <f>_xlfn.XLOOKUP(B38,Códigos!$A$489:$A$522,Códigos!$B$489:$B$522,"Verificar",0)</f>
        <v>Recibido por: -FACTURAS -GTFF</v>
      </c>
      <c r="E38" s="1279" t="str">
        <f>_xlfn.XLOOKUP(C38,Códigos!$A$11:$A$415,Códigos!$B$11:$B$415,"Verificar",0)</f>
        <v>NOMBRE 170</v>
      </c>
      <c r="F38" s="1239">
        <v>11983300</v>
      </c>
      <c r="G38" s="989">
        <f t="shared" si="0"/>
        <v>81405000</v>
      </c>
      <c r="H38" s="1052" t="s">
        <v>1173</v>
      </c>
      <c r="I38" s="561"/>
      <c r="J38" s="54"/>
    </row>
    <row r="39" spans="1:10" x14ac:dyDescent="0.2">
      <c r="A39" s="1234">
        <v>45677</v>
      </c>
      <c r="B39" s="1233" t="s">
        <v>37</v>
      </c>
      <c r="C39" s="1187">
        <v>5</v>
      </c>
      <c r="D39" s="1279" t="str">
        <f>_xlfn.XLOOKUP(B39,Códigos!$A$489:$A$522,Códigos!$B$489:$B$522,"Verificar",0)</f>
        <v>-Retiros y Traslados de Bancos</v>
      </c>
      <c r="E39" s="1279" t="str">
        <f>_xlfn.XLOOKUP(C39,Códigos!$A$11:$A$415,Códigos!$B$11:$B$415,"Verificar",0)</f>
        <v>NOMBRE 25</v>
      </c>
      <c r="F39" s="1239">
        <v>2000000</v>
      </c>
      <c r="G39" s="989">
        <f t="shared" si="0"/>
        <v>83405000</v>
      </c>
      <c r="H39" s="1049" t="s">
        <v>1038</v>
      </c>
      <c r="I39" s="561"/>
      <c r="J39" s="54"/>
    </row>
    <row r="40" spans="1:10" x14ac:dyDescent="0.2">
      <c r="A40" s="1234">
        <v>45677</v>
      </c>
      <c r="B40" s="1233" t="s">
        <v>37</v>
      </c>
      <c r="C40" s="1187">
        <v>5</v>
      </c>
      <c r="D40" s="1279" t="str">
        <f>_xlfn.XLOOKUP(B40,Códigos!$A$489:$A$522,Códigos!$B$489:$B$522,"Verificar",0)</f>
        <v>-Retiros y Traslados de Bancos</v>
      </c>
      <c r="E40" s="1279" t="str">
        <f>_xlfn.XLOOKUP(C40,Códigos!$A$11:$A$415,Códigos!$B$11:$B$415,"Verificar",0)</f>
        <v>NOMBRE 25</v>
      </c>
      <c r="F40" s="1239">
        <v>242500</v>
      </c>
      <c r="G40" s="989">
        <f t="shared" si="0"/>
        <v>83647500</v>
      </c>
      <c r="H40" s="1049" t="s">
        <v>1105</v>
      </c>
      <c r="I40" s="561"/>
      <c r="J40" s="54"/>
    </row>
    <row r="41" spans="1:10" x14ac:dyDescent="0.2">
      <c r="A41" s="1234">
        <v>45677</v>
      </c>
      <c r="B41" s="1233" t="s">
        <v>37</v>
      </c>
      <c r="C41" s="1187">
        <v>5</v>
      </c>
      <c r="D41" s="1279" t="str">
        <f>_xlfn.XLOOKUP(B41,Códigos!$A$489:$A$522,Códigos!$B$489:$B$522,"Verificar",0)</f>
        <v>-Retiros y Traslados de Bancos</v>
      </c>
      <c r="E41" s="1279" t="str">
        <f>_xlfn.XLOOKUP(C41,Códigos!$A$11:$A$415,Códigos!$B$11:$B$415,"Verificar",0)</f>
        <v>NOMBRE 25</v>
      </c>
      <c r="F41" s="1239">
        <v>303900</v>
      </c>
      <c r="G41" s="989">
        <f t="shared" si="0"/>
        <v>83951400</v>
      </c>
      <c r="H41" s="1049" t="s">
        <v>1106</v>
      </c>
      <c r="I41" s="561"/>
      <c r="J41" s="54"/>
    </row>
    <row r="42" spans="1:10" x14ac:dyDescent="0.2">
      <c r="A42" s="1234">
        <v>45678</v>
      </c>
      <c r="B42" s="1233" t="s">
        <v>37</v>
      </c>
      <c r="C42" s="1187">
        <v>5</v>
      </c>
      <c r="D42" s="1279" t="str">
        <f>_xlfn.XLOOKUP(B42,Códigos!$A$489:$A$522,Códigos!$B$489:$B$522,"Verificar",0)</f>
        <v>-Retiros y Traslados de Bancos</v>
      </c>
      <c r="E42" s="1279" t="str">
        <f>_xlfn.XLOOKUP(C42,Códigos!$A$11:$A$415,Códigos!$B$11:$B$415,"Verificar",0)</f>
        <v>NOMBRE 25</v>
      </c>
      <c r="F42" s="1239">
        <v>1185000</v>
      </c>
      <c r="G42" s="989">
        <f t="shared" si="0"/>
        <v>85136400</v>
      </c>
      <c r="H42" s="1049" t="s">
        <v>1107</v>
      </c>
      <c r="I42" s="561"/>
      <c r="J42" s="54"/>
    </row>
    <row r="43" spans="1:10" x14ac:dyDescent="0.2">
      <c r="A43" s="1234">
        <v>45678</v>
      </c>
      <c r="B43" s="1233" t="s">
        <v>35</v>
      </c>
      <c r="C43" s="1187">
        <v>101</v>
      </c>
      <c r="D43" s="1279" t="str">
        <f>_xlfn.XLOOKUP(B43,Códigos!$A$489:$A$522,Códigos!$B$489:$B$522,"Verificar",0)</f>
        <v>Ingresos Recibidos de terceros para pagos</v>
      </c>
      <c r="E43" s="1279" t="str">
        <f>_xlfn.XLOOKUP(C43,Códigos!$A$11:$A$415,Códigos!$B$11:$B$415,"Verificar",0)</f>
        <v>NOMBRE 126</v>
      </c>
      <c r="F43" s="1239">
        <v>1096000</v>
      </c>
      <c r="G43" s="989">
        <f t="shared" si="0"/>
        <v>86232400</v>
      </c>
      <c r="H43" s="1049" t="s">
        <v>1108</v>
      </c>
      <c r="I43" s="561"/>
      <c r="J43" s="54"/>
    </row>
    <row r="44" spans="1:10" x14ac:dyDescent="0.2">
      <c r="A44" s="1234">
        <v>45678</v>
      </c>
      <c r="B44" s="1233" t="s">
        <v>37</v>
      </c>
      <c r="C44" s="1187">
        <v>5</v>
      </c>
      <c r="D44" s="1279" t="str">
        <f>_xlfn.XLOOKUP(B44,Códigos!$A$489:$A$522,Códigos!$B$489:$B$522,"Verificar",0)</f>
        <v>-Retiros y Traslados de Bancos</v>
      </c>
      <c r="E44" s="1279" t="str">
        <f>_xlfn.XLOOKUP(C44,Códigos!$A$11:$A$415,Códigos!$B$11:$B$415,"Verificar",0)</f>
        <v>NOMBRE 25</v>
      </c>
      <c r="F44" s="1239">
        <v>1096000</v>
      </c>
      <c r="G44" s="989">
        <f t="shared" si="0"/>
        <v>87328400</v>
      </c>
      <c r="H44" s="1049" t="s">
        <v>1108</v>
      </c>
      <c r="I44" s="561"/>
      <c r="J44" s="54"/>
    </row>
    <row r="45" spans="1:10" x14ac:dyDescent="0.2">
      <c r="A45" s="1234">
        <v>45681</v>
      </c>
      <c r="B45" s="1233" t="s">
        <v>37</v>
      </c>
      <c r="C45" s="1187">
        <v>5</v>
      </c>
      <c r="D45" s="1279" t="str">
        <f>_xlfn.XLOOKUP(B45,Códigos!$A$489:$A$522,Códigos!$B$489:$B$522,"Verificar",0)</f>
        <v>-Retiros y Traslados de Bancos</v>
      </c>
      <c r="E45" s="1279" t="str">
        <f>_xlfn.XLOOKUP(C45,Códigos!$A$11:$A$415,Códigos!$B$11:$B$415,"Verificar",0)</f>
        <v>NOMBRE 25</v>
      </c>
      <c r="F45" s="1239">
        <v>220000</v>
      </c>
      <c r="G45" s="989">
        <f t="shared" si="0"/>
        <v>87548400</v>
      </c>
      <c r="H45" s="1050" t="s">
        <v>1083</v>
      </c>
      <c r="I45" s="561"/>
      <c r="J45" s="54"/>
    </row>
    <row r="46" spans="1:10" x14ac:dyDescent="0.2">
      <c r="A46" s="1234">
        <v>45681</v>
      </c>
      <c r="B46" s="1233" t="s">
        <v>37</v>
      </c>
      <c r="C46" s="1187">
        <v>5</v>
      </c>
      <c r="D46" s="1279" t="str">
        <f>_xlfn.XLOOKUP(B46,Códigos!$A$489:$A$522,Códigos!$B$489:$B$522,"Verificar",0)</f>
        <v>-Retiros y Traslados de Bancos</v>
      </c>
      <c r="E46" s="1279" t="str">
        <f>_xlfn.XLOOKUP(C46,Códigos!$A$11:$A$415,Códigos!$B$11:$B$415,"Verificar",0)</f>
        <v>NOMBRE 25</v>
      </c>
      <c r="F46" s="1239">
        <v>660000</v>
      </c>
      <c r="G46" s="989">
        <f t="shared" si="0"/>
        <v>88208400</v>
      </c>
      <c r="H46" s="997" t="s">
        <v>1111</v>
      </c>
      <c r="I46" s="561"/>
      <c r="J46" s="54"/>
    </row>
    <row r="47" spans="1:10" x14ac:dyDescent="0.2">
      <c r="A47" s="1234">
        <v>45681</v>
      </c>
      <c r="B47" s="1233" t="s">
        <v>37</v>
      </c>
      <c r="C47" s="1187">
        <v>5</v>
      </c>
      <c r="D47" s="1279" t="str">
        <f>_xlfn.XLOOKUP(B47,Códigos!$A$489:$A$522,Códigos!$B$489:$B$522,"Verificar",0)</f>
        <v>-Retiros y Traslados de Bancos</v>
      </c>
      <c r="E47" s="1279" t="str">
        <f>_xlfn.XLOOKUP(C47,Códigos!$A$11:$A$415,Códigos!$B$11:$B$415,"Verificar",0)</f>
        <v>NOMBRE 25</v>
      </c>
      <c r="F47" s="1239">
        <v>380000</v>
      </c>
      <c r="G47" s="989">
        <f t="shared" si="0"/>
        <v>88588400</v>
      </c>
      <c r="H47" s="1052" t="s">
        <v>1112</v>
      </c>
      <c r="I47" s="561"/>
      <c r="J47" s="54"/>
    </row>
    <row r="48" spans="1:10" x14ac:dyDescent="0.2">
      <c r="A48" s="1234">
        <v>45681</v>
      </c>
      <c r="B48" s="1233" t="s">
        <v>37</v>
      </c>
      <c r="C48" s="1187">
        <v>3</v>
      </c>
      <c r="D48" s="1279" t="str">
        <f>_xlfn.XLOOKUP(B48,Códigos!$A$489:$A$522,Códigos!$B$489:$B$522,"Verificar",0)</f>
        <v>-Retiros y Traslados de Bancos</v>
      </c>
      <c r="E48" s="1279" t="str">
        <f>_xlfn.XLOOKUP(C48,Códigos!$A$11:$A$415,Códigos!$B$11:$B$415,"Verificar",0)</f>
        <v>NOMBRE 24</v>
      </c>
      <c r="F48" s="1239">
        <v>2000000</v>
      </c>
      <c r="G48" s="989">
        <f t="shared" si="0"/>
        <v>90588400</v>
      </c>
      <c r="H48" s="1049" t="s">
        <v>1038</v>
      </c>
      <c r="I48" s="561"/>
      <c r="J48" s="54"/>
    </row>
    <row r="49" spans="1:10" x14ac:dyDescent="0.2">
      <c r="A49" s="1234">
        <v>45681</v>
      </c>
      <c r="B49" s="1233" t="s">
        <v>37</v>
      </c>
      <c r="C49" s="1187">
        <v>5</v>
      </c>
      <c r="D49" s="1279" t="str">
        <f>_xlfn.XLOOKUP(B49,Códigos!$A$489:$A$522,Códigos!$B$489:$B$522,"Verificar",0)</f>
        <v>-Retiros y Traslados de Bancos</v>
      </c>
      <c r="E49" s="1279" t="str">
        <f>_xlfn.XLOOKUP(C49,Códigos!$A$11:$A$415,Códigos!$B$11:$B$415,"Verificar",0)</f>
        <v>NOMBRE 25</v>
      </c>
      <c r="F49" s="1239">
        <v>100000</v>
      </c>
      <c r="G49" s="989">
        <f t="shared" si="0"/>
        <v>90688400</v>
      </c>
      <c r="H49" s="1049" t="s">
        <v>1114</v>
      </c>
      <c r="I49" s="561"/>
      <c r="J49" s="54"/>
    </row>
    <row r="50" spans="1:10" x14ac:dyDescent="0.2">
      <c r="A50" s="1234">
        <v>45681</v>
      </c>
      <c r="B50" s="1233" t="s">
        <v>10</v>
      </c>
      <c r="C50" s="1187">
        <v>262</v>
      </c>
      <c r="D50" s="1279" t="str">
        <f>_xlfn.XLOOKUP(B50,Códigos!$A$489:$A$522,Códigos!$B$489:$B$522,"Verificar",0)</f>
        <v>Recibido por: -Abono a préstamos por Nómina de:</v>
      </c>
      <c r="E50" s="1279" t="str">
        <f>_xlfn.XLOOKUP(C50,Códigos!$A$11:$A$415,Códigos!$B$11:$B$415,"Verificar",0)</f>
        <v>NOMBRE 95</v>
      </c>
      <c r="F50" s="1239">
        <v>100000</v>
      </c>
      <c r="G50" s="989">
        <f t="shared" si="0"/>
        <v>90788400</v>
      </c>
      <c r="H50" s="1049" t="s">
        <v>1114</v>
      </c>
      <c r="I50" s="561"/>
      <c r="J50" s="54"/>
    </row>
    <row r="51" spans="1:10" x14ac:dyDescent="0.2">
      <c r="A51" s="1234">
        <v>45684</v>
      </c>
      <c r="B51" s="1233" t="s">
        <v>34</v>
      </c>
      <c r="C51" s="1187">
        <v>116</v>
      </c>
      <c r="D51" s="1279" t="str">
        <f>_xlfn.XLOOKUP(B51,Códigos!$A$489:$A$522,Códigos!$B$489:$B$522,"Verificar",0)</f>
        <v>Recibido por: -Cuentas de cobro -DAFF</v>
      </c>
      <c r="E51" s="1279" t="str">
        <f>_xlfn.XLOOKUP(C51,Códigos!$A$11:$A$415,Códigos!$B$11:$B$415,"Verificar",0)</f>
        <v>NOMBRE 146</v>
      </c>
      <c r="F51" s="1239">
        <v>385000</v>
      </c>
      <c r="G51" s="989">
        <f t="shared" si="0"/>
        <v>91173400</v>
      </c>
      <c r="H51" s="1049" t="s">
        <v>1115</v>
      </c>
      <c r="I51" s="561"/>
      <c r="J51" s="54"/>
    </row>
    <row r="52" spans="1:10" x14ac:dyDescent="0.2">
      <c r="A52" s="1234">
        <v>45684</v>
      </c>
      <c r="B52" s="1233" t="s">
        <v>34</v>
      </c>
      <c r="C52" s="1187">
        <v>198</v>
      </c>
      <c r="D52" s="1279" t="str">
        <f>_xlfn.XLOOKUP(B52,Códigos!$A$489:$A$522,Códigos!$B$489:$B$522,"Verificar",0)</f>
        <v>Recibido por: -Cuentas de cobro -DAFF</v>
      </c>
      <c r="E52" s="1279" t="str">
        <f>_xlfn.XLOOKUP(C52,Códigos!$A$11:$A$415,Códigos!$B$11:$B$415,"Verificar",0)</f>
        <v>NOMBRE 336</v>
      </c>
      <c r="F52" s="1239">
        <v>385000</v>
      </c>
      <c r="G52" s="989">
        <f t="shared" si="0"/>
        <v>91558400</v>
      </c>
      <c r="H52" s="1049" t="s">
        <v>1116</v>
      </c>
      <c r="I52" s="561"/>
      <c r="J52" s="54"/>
    </row>
    <row r="53" spans="1:10" x14ac:dyDescent="0.2">
      <c r="A53" s="1234">
        <v>45684</v>
      </c>
      <c r="B53" s="1233" t="s">
        <v>36</v>
      </c>
      <c r="C53" s="1187">
        <v>252</v>
      </c>
      <c r="D53" s="1279" t="str">
        <f>_xlfn.XLOOKUP(B53,Códigos!$A$489:$A$522,Códigos!$B$489:$B$522,"Verificar",0)</f>
        <v>Recibido por: -Cuentas por Cobrar</v>
      </c>
      <c r="E53" s="1279" t="str">
        <f>_xlfn.XLOOKUP(C53,Códigos!$A$11:$A$415,Códigos!$B$11:$B$415,"Verificar",0)</f>
        <v>NOMBRE 219</v>
      </c>
      <c r="F53" s="1239">
        <v>380000</v>
      </c>
      <c r="G53" s="989">
        <f t="shared" si="0"/>
        <v>91938400</v>
      </c>
      <c r="H53" s="1049" t="s">
        <v>1118</v>
      </c>
      <c r="I53" s="561"/>
      <c r="J53" s="54"/>
    </row>
    <row r="54" spans="1:10" x14ac:dyDescent="0.2">
      <c r="A54" s="1234">
        <v>45685</v>
      </c>
      <c r="B54" s="1233" t="s">
        <v>10</v>
      </c>
      <c r="C54" s="1187">
        <v>262</v>
      </c>
      <c r="D54" s="1279" t="str">
        <f>_xlfn.XLOOKUP(B54,Códigos!$A$489:$A$522,Códigos!$B$489:$B$522,"Verificar",0)</f>
        <v>Recibido por: -Abono a préstamos por Nómina de:</v>
      </c>
      <c r="E54" s="1279" t="str">
        <f>_xlfn.XLOOKUP(C54,Códigos!$A$11:$A$415,Códigos!$B$11:$B$415,"Verificar",0)</f>
        <v>NOMBRE 95</v>
      </c>
      <c r="F54" s="1239">
        <v>44200</v>
      </c>
      <c r="G54" s="989">
        <f t="shared" si="0"/>
        <v>91982600</v>
      </c>
      <c r="H54" s="1050" t="s">
        <v>1123</v>
      </c>
      <c r="I54" s="561"/>
      <c r="J54" s="54"/>
    </row>
    <row r="55" spans="1:10" x14ac:dyDescent="0.2">
      <c r="A55" s="1234">
        <v>45685</v>
      </c>
      <c r="B55" s="1233" t="s">
        <v>37</v>
      </c>
      <c r="C55" s="1187">
        <v>5</v>
      </c>
      <c r="D55" s="1279" t="str">
        <f>_xlfn.XLOOKUP(B55,Códigos!$A$489:$A$522,Códigos!$B$489:$B$522,"Verificar",0)</f>
        <v>-Retiros y Traslados de Bancos</v>
      </c>
      <c r="E55" s="1279" t="str">
        <f>_xlfn.XLOOKUP(C55,Códigos!$A$11:$A$415,Códigos!$B$11:$B$415,"Verificar",0)</f>
        <v>NOMBRE 25</v>
      </c>
      <c r="F55" s="1239">
        <v>143700</v>
      </c>
      <c r="G55" s="989">
        <f t="shared" si="0"/>
        <v>92126300</v>
      </c>
      <c r="H55" s="1050" t="s">
        <v>1120</v>
      </c>
      <c r="I55" s="561"/>
      <c r="J55" s="54"/>
    </row>
    <row r="56" spans="1:10" x14ac:dyDescent="0.2">
      <c r="A56" s="1234">
        <v>45685</v>
      </c>
      <c r="B56" s="1233" t="s">
        <v>37</v>
      </c>
      <c r="C56" s="1187">
        <v>5</v>
      </c>
      <c r="D56" s="1279" t="str">
        <f>_xlfn.XLOOKUP(B56,Códigos!$A$489:$A$522,Códigos!$B$489:$B$522,"Verificar",0)</f>
        <v>-Retiros y Traslados de Bancos</v>
      </c>
      <c r="E56" s="1279" t="str">
        <f>_xlfn.XLOOKUP(C56,Códigos!$A$11:$A$415,Códigos!$B$11:$B$415,"Verificar",0)</f>
        <v>NOMBRE 25</v>
      </c>
      <c r="F56" s="1239">
        <v>52100</v>
      </c>
      <c r="G56" s="989">
        <f t="shared" si="0"/>
        <v>92178400</v>
      </c>
      <c r="H56" s="1050" t="s">
        <v>1121</v>
      </c>
      <c r="I56" s="561"/>
      <c r="J56" s="54"/>
    </row>
    <row r="57" spans="1:10" x14ac:dyDescent="0.2">
      <c r="A57" s="1234">
        <v>45685</v>
      </c>
      <c r="B57" s="1233" t="s">
        <v>37</v>
      </c>
      <c r="C57" s="1187">
        <v>5</v>
      </c>
      <c r="D57" s="1279" t="str">
        <f>_xlfn.XLOOKUP(B57,Códigos!$A$489:$A$522,Códigos!$B$489:$B$522,"Verificar",0)</f>
        <v>-Retiros y Traslados de Bancos</v>
      </c>
      <c r="E57" s="1279" t="str">
        <f>_xlfn.XLOOKUP(C57,Códigos!$A$11:$A$415,Códigos!$B$11:$B$415,"Verificar",0)</f>
        <v>NOMBRE 25</v>
      </c>
      <c r="F57" s="1239">
        <v>242300</v>
      </c>
      <c r="G57" s="989">
        <f t="shared" si="0"/>
        <v>92420700</v>
      </c>
      <c r="H57" s="1050" t="s">
        <v>1122</v>
      </c>
      <c r="I57" s="561"/>
      <c r="J57" s="54"/>
    </row>
    <row r="58" spans="1:10" x14ac:dyDescent="0.2">
      <c r="A58" s="1234">
        <v>45685</v>
      </c>
      <c r="B58" s="1233" t="s">
        <v>37</v>
      </c>
      <c r="C58" s="1187">
        <v>5</v>
      </c>
      <c r="D58" s="1279" t="str">
        <f>_xlfn.XLOOKUP(B58,Códigos!$A$489:$A$522,Códigos!$B$489:$B$522,"Verificar",0)</f>
        <v>-Retiros y Traslados de Bancos</v>
      </c>
      <c r="E58" s="1279" t="str">
        <f>_xlfn.XLOOKUP(C58,Códigos!$A$11:$A$415,Códigos!$B$11:$B$415,"Verificar",0)</f>
        <v>NOMBRE 25</v>
      </c>
      <c r="F58" s="1239">
        <v>44200</v>
      </c>
      <c r="G58" s="989">
        <f t="shared" si="0"/>
        <v>92464900</v>
      </c>
      <c r="H58" s="1050" t="s">
        <v>1123</v>
      </c>
      <c r="I58" s="561"/>
      <c r="J58" s="54"/>
    </row>
    <row r="59" spans="1:10" x14ac:dyDescent="0.2">
      <c r="A59" s="1234">
        <v>45686</v>
      </c>
      <c r="B59" s="1233" t="s">
        <v>36</v>
      </c>
      <c r="C59" s="1187">
        <v>359</v>
      </c>
      <c r="D59" s="1279" t="str">
        <f>_xlfn.XLOOKUP(B59,Códigos!$A$489:$A$522,Códigos!$B$489:$B$522,"Verificar",0)</f>
        <v>Recibido por: -Cuentas por Cobrar</v>
      </c>
      <c r="E59" s="1279" t="str">
        <f>_xlfn.XLOOKUP(C59,Códigos!$A$11:$A$415,Códigos!$B$11:$B$415,"Verificar",0)</f>
        <v>NOMBRE 232</v>
      </c>
      <c r="F59" s="1239">
        <v>300000</v>
      </c>
      <c r="G59" s="989">
        <f t="shared" si="0"/>
        <v>92764900</v>
      </c>
      <c r="H59" s="1050" t="s">
        <v>1138</v>
      </c>
      <c r="I59" s="561"/>
      <c r="J59" s="54"/>
    </row>
    <row r="60" spans="1:10" x14ac:dyDescent="0.2">
      <c r="A60" s="1232">
        <v>45688</v>
      </c>
      <c r="B60" s="1233" t="s">
        <v>37</v>
      </c>
      <c r="C60" s="1187">
        <v>5</v>
      </c>
      <c r="D60" s="1279" t="str">
        <f>_xlfn.XLOOKUP(B60,Códigos!$A$489:$A$522,Códigos!$B$489:$B$522,"Verificar",0)</f>
        <v>-Retiros y Traslados de Bancos</v>
      </c>
      <c r="E60" s="1279" t="str">
        <f>_xlfn.XLOOKUP(C60,Códigos!$A$11:$A$415,Códigos!$B$11:$B$415,"Verificar",0)</f>
        <v>NOMBRE 25</v>
      </c>
      <c r="F60" s="1239">
        <v>220000</v>
      </c>
      <c r="G60" s="989">
        <f t="shared" si="0"/>
        <v>92984900</v>
      </c>
      <c r="H60" s="1050" t="s">
        <v>1083</v>
      </c>
      <c r="I60" s="561"/>
      <c r="J60" s="54"/>
    </row>
    <row r="61" spans="1:10" x14ac:dyDescent="0.2">
      <c r="A61" s="1232">
        <v>45688</v>
      </c>
      <c r="B61" s="1233" t="s">
        <v>37</v>
      </c>
      <c r="C61" s="1187">
        <v>5</v>
      </c>
      <c r="D61" s="1279" t="str">
        <f>_xlfn.XLOOKUP(B61,Códigos!$A$489:$A$522,Códigos!$B$489:$B$522,"Verificar",0)</f>
        <v>-Retiros y Traslados de Bancos</v>
      </c>
      <c r="E61" s="1279" t="str">
        <f>_xlfn.XLOOKUP(C61,Códigos!$A$11:$A$415,Códigos!$B$11:$B$415,"Verificar",0)</f>
        <v>NOMBRE 25</v>
      </c>
      <c r="F61" s="1239">
        <v>610000</v>
      </c>
      <c r="G61" s="989">
        <f t="shared" si="0"/>
        <v>93594900</v>
      </c>
      <c r="H61" s="997" t="s">
        <v>1142</v>
      </c>
      <c r="I61" s="561"/>
      <c r="J61" s="54"/>
    </row>
    <row r="62" spans="1:10" x14ac:dyDescent="0.2">
      <c r="A62" s="1232">
        <v>45692</v>
      </c>
      <c r="B62" s="1233" t="s">
        <v>10</v>
      </c>
      <c r="C62" s="1187">
        <v>262</v>
      </c>
      <c r="D62" s="1279" t="str">
        <f>_xlfn.XLOOKUP(B62,Códigos!$A$489:$A$522,Códigos!$B$489:$B$522,"Verificar",0)</f>
        <v>Recibido por: -Abono a préstamos por Nómina de:</v>
      </c>
      <c r="E62" s="1279" t="str">
        <f>_xlfn.XLOOKUP(C62,Códigos!$A$11:$A$415,Códigos!$B$11:$B$415,"Verificar",0)</f>
        <v>NOMBRE 95</v>
      </c>
      <c r="F62" s="1239">
        <v>200000</v>
      </c>
      <c r="G62" s="989">
        <f t="shared" si="0"/>
        <v>93794900</v>
      </c>
      <c r="H62" s="1049" t="s">
        <v>1149</v>
      </c>
      <c r="I62" s="561"/>
      <c r="J62" s="54"/>
    </row>
    <row r="63" spans="1:10" x14ac:dyDescent="0.2">
      <c r="A63" s="1232">
        <v>45692</v>
      </c>
      <c r="B63" s="1233" t="s">
        <v>37</v>
      </c>
      <c r="C63" s="1187">
        <v>5</v>
      </c>
      <c r="D63" s="1279" t="str">
        <f>_xlfn.XLOOKUP(B63,Códigos!$A$489:$A$522,Códigos!$B$489:$B$522,"Verificar",0)</f>
        <v>-Retiros y Traslados de Bancos</v>
      </c>
      <c r="E63" s="1279" t="str">
        <f>_xlfn.XLOOKUP(C63,Códigos!$A$11:$A$415,Códigos!$B$11:$B$415,"Verificar",0)</f>
        <v>NOMBRE 25</v>
      </c>
      <c r="F63" s="1239">
        <v>1392400</v>
      </c>
      <c r="G63" s="989">
        <f t="shared" si="0"/>
        <v>95187300</v>
      </c>
      <c r="H63" s="1052" t="s">
        <v>1146</v>
      </c>
      <c r="I63" s="561"/>
      <c r="J63" s="54"/>
    </row>
    <row r="64" spans="1:10" x14ac:dyDescent="0.2">
      <c r="A64" s="1232">
        <v>45692</v>
      </c>
      <c r="B64" s="1233" t="s">
        <v>37</v>
      </c>
      <c r="C64" s="1187">
        <v>5</v>
      </c>
      <c r="D64" s="1279" t="str">
        <f>_xlfn.XLOOKUP(B64,Códigos!$A$489:$A$522,Códigos!$B$489:$B$522,"Verificar",0)</f>
        <v>-Retiros y Traslados de Bancos</v>
      </c>
      <c r="E64" s="1279" t="str">
        <f>_xlfn.XLOOKUP(C64,Códigos!$A$11:$A$415,Códigos!$B$11:$B$415,"Verificar",0)</f>
        <v>NOMBRE 25</v>
      </c>
      <c r="F64" s="1239">
        <v>940500</v>
      </c>
      <c r="G64" s="989">
        <f t="shared" si="0"/>
        <v>96127800</v>
      </c>
      <c r="H64" s="1052" t="s">
        <v>1147</v>
      </c>
      <c r="I64" s="561"/>
      <c r="J64" s="54"/>
    </row>
    <row r="65" spans="1:10" x14ac:dyDescent="0.2">
      <c r="A65" s="1232">
        <v>45692</v>
      </c>
      <c r="B65" s="1233" t="s">
        <v>37</v>
      </c>
      <c r="C65" s="1187">
        <v>5</v>
      </c>
      <c r="D65" s="1279" t="str">
        <f>_xlfn.XLOOKUP(B65,Códigos!$A$489:$A$522,Códigos!$B$489:$B$522,"Verificar",0)</f>
        <v>-Retiros y Traslados de Bancos</v>
      </c>
      <c r="E65" s="1279" t="str">
        <f>_xlfn.XLOOKUP(C65,Códigos!$A$11:$A$415,Códigos!$B$11:$B$415,"Verificar",0)</f>
        <v>NOMBRE 25</v>
      </c>
      <c r="F65" s="1239">
        <v>129900</v>
      </c>
      <c r="G65" s="989">
        <f t="shared" si="0"/>
        <v>96257700</v>
      </c>
      <c r="H65" s="1049" t="s">
        <v>1150</v>
      </c>
      <c r="I65" s="561"/>
      <c r="J65" s="54"/>
    </row>
    <row r="66" spans="1:10" x14ac:dyDescent="0.2">
      <c r="A66" s="1232">
        <v>45693</v>
      </c>
      <c r="B66" s="1233" t="s">
        <v>37</v>
      </c>
      <c r="C66" s="1187">
        <v>5</v>
      </c>
      <c r="D66" s="1279" t="str">
        <f>_xlfn.XLOOKUP(B66,Códigos!$A$489:$A$522,Códigos!$B$489:$B$522,"Verificar",0)</f>
        <v>-Retiros y Traslados de Bancos</v>
      </c>
      <c r="E66" s="1279" t="str">
        <f>_xlfn.XLOOKUP(C66,Códigos!$A$11:$A$415,Códigos!$B$11:$B$415,"Verificar",0)</f>
        <v>NOMBRE 25</v>
      </c>
      <c r="F66" s="1239">
        <v>2000000</v>
      </c>
      <c r="G66" s="989">
        <f t="shared" si="0"/>
        <v>98257700</v>
      </c>
      <c r="H66" s="1049" t="s">
        <v>1038</v>
      </c>
      <c r="I66" s="561"/>
      <c r="J66" s="54"/>
    </row>
    <row r="67" spans="1:10" x14ac:dyDescent="0.2">
      <c r="A67" s="1232">
        <v>45693</v>
      </c>
      <c r="B67" s="1233" t="s">
        <v>37</v>
      </c>
      <c r="C67" s="1187">
        <v>3</v>
      </c>
      <c r="D67" s="1279" t="str">
        <f>_xlfn.XLOOKUP(B67,Códigos!$A$489:$A$522,Códigos!$B$489:$B$522,"Verificar",0)</f>
        <v>-Retiros y Traslados de Bancos</v>
      </c>
      <c r="E67" s="1279" t="str">
        <f>_xlfn.XLOOKUP(C67,Códigos!$A$11:$A$415,Códigos!$B$11:$B$415,"Verificar",0)</f>
        <v>NOMBRE 24</v>
      </c>
      <c r="F67" s="1239">
        <v>59700</v>
      </c>
      <c r="G67" s="989">
        <f t="shared" si="0"/>
        <v>98317400</v>
      </c>
      <c r="H67" s="1049" t="s">
        <v>1039</v>
      </c>
      <c r="I67" s="561"/>
      <c r="J67" s="54"/>
    </row>
    <row r="68" spans="1:10" x14ac:dyDescent="0.2">
      <c r="A68" s="1232">
        <v>45693</v>
      </c>
      <c r="B68" s="1233" t="s">
        <v>37</v>
      </c>
      <c r="C68" s="1187">
        <v>5</v>
      </c>
      <c r="D68" s="1279" t="str">
        <f>_xlfn.XLOOKUP(B68,Códigos!$A$489:$A$522,Códigos!$B$489:$B$522,"Verificar",0)</f>
        <v>-Retiros y Traslados de Bancos</v>
      </c>
      <c r="E68" s="1279" t="str">
        <f>_xlfn.XLOOKUP(C68,Códigos!$A$11:$A$415,Códigos!$B$11:$B$415,"Verificar",0)</f>
        <v>NOMBRE 25</v>
      </c>
      <c r="F68" s="1239">
        <v>220000</v>
      </c>
      <c r="G68" s="989">
        <f t="shared" si="0"/>
        <v>98537400</v>
      </c>
      <c r="H68" s="1050" t="s">
        <v>1083</v>
      </c>
      <c r="I68" s="561"/>
      <c r="J68" s="54"/>
    </row>
    <row r="69" spans="1:10" x14ac:dyDescent="0.2">
      <c r="A69" s="1232">
        <v>45693</v>
      </c>
      <c r="B69" s="1233" t="s">
        <v>37</v>
      </c>
      <c r="C69" s="1187">
        <v>5</v>
      </c>
      <c r="D69" s="1279" t="str">
        <f>_xlfn.XLOOKUP(B69,Códigos!$A$489:$A$522,Códigos!$B$489:$B$522,"Verificar",0)</f>
        <v>-Retiros y Traslados de Bancos</v>
      </c>
      <c r="E69" s="1279" t="str">
        <f>_xlfn.XLOOKUP(C69,Códigos!$A$11:$A$415,Códigos!$B$11:$B$415,"Verificar",0)</f>
        <v>NOMBRE 25</v>
      </c>
      <c r="F69" s="1239">
        <v>660000</v>
      </c>
      <c r="G69" s="989">
        <f t="shared" si="0"/>
        <v>99197400</v>
      </c>
      <c r="H69" s="997" t="s">
        <v>1156</v>
      </c>
      <c r="I69" s="561"/>
      <c r="J69" s="54"/>
    </row>
    <row r="70" spans="1:10" x14ac:dyDescent="0.2">
      <c r="A70" s="1232">
        <v>45693</v>
      </c>
      <c r="B70" s="1233" t="s">
        <v>37</v>
      </c>
      <c r="C70" s="1187">
        <v>5</v>
      </c>
      <c r="D70" s="1279" t="str">
        <f>_xlfn.XLOOKUP(B70,Códigos!$A$489:$A$522,Códigos!$B$489:$B$522,"Verificar",0)</f>
        <v>-Retiros y Traslados de Bancos</v>
      </c>
      <c r="E70" s="1279" t="str">
        <f>_xlfn.XLOOKUP(C70,Códigos!$A$11:$A$415,Códigos!$B$11:$B$415,"Verificar",0)</f>
        <v>NOMBRE 25</v>
      </c>
      <c r="F70" s="1239">
        <v>1257200</v>
      </c>
      <c r="G70" s="989">
        <f t="shared" si="0"/>
        <v>100454600</v>
      </c>
      <c r="H70" s="1049" t="s">
        <v>1157</v>
      </c>
      <c r="I70" s="561"/>
      <c r="J70" s="54"/>
    </row>
    <row r="71" spans="1:10" x14ac:dyDescent="0.2">
      <c r="A71" s="1232">
        <v>45695</v>
      </c>
      <c r="B71" s="1233" t="s">
        <v>37</v>
      </c>
      <c r="C71" s="1187">
        <v>5</v>
      </c>
      <c r="D71" s="1279" t="str">
        <f>_xlfn.XLOOKUP(B71,Códigos!$A$489:$A$522,Códigos!$B$489:$B$522,"Verificar",0)</f>
        <v>-Retiros y Traslados de Bancos</v>
      </c>
      <c r="E71" s="1279" t="str">
        <f>_xlfn.XLOOKUP(C71,Códigos!$A$11:$A$415,Códigos!$B$11:$B$415,"Verificar",0)</f>
        <v>NOMBRE 25</v>
      </c>
      <c r="F71" s="1239">
        <v>2000000</v>
      </c>
      <c r="G71" s="989">
        <f t="shared" si="0"/>
        <v>102454600</v>
      </c>
      <c r="H71" s="1049" t="s">
        <v>1038</v>
      </c>
      <c r="I71" s="561"/>
      <c r="J71" s="54"/>
    </row>
    <row r="72" spans="1:10" x14ac:dyDescent="0.2">
      <c r="A72" s="1232">
        <v>45699</v>
      </c>
      <c r="B72" s="1233" t="s">
        <v>37</v>
      </c>
      <c r="C72" s="1187">
        <v>5</v>
      </c>
      <c r="D72" s="1279" t="str">
        <f>_xlfn.XLOOKUP(B72,Códigos!$A$489:$A$522,Códigos!$B$489:$B$522,"Verificar",0)</f>
        <v>-Retiros y Traslados de Bancos</v>
      </c>
      <c r="E72" s="1279" t="str">
        <f>_xlfn.XLOOKUP(C72,Códigos!$A$11:$A$415,Códigos!$B$11:$B$415,"Verificar",0)</f>
        <v>NOMBRE 25</v>
      </c>
      <c r="F72" s="1239">
        <v>53000</v>
      </c>
      <c r="G72" s="989">
        <f t="shared" si="0"/>
        <v>102507600</v>
      </c>
      <c r="H72" s="1049" t="s">
        <v>1161</v>
      </c>
      <c r="I72" s="561"/>
      <c r="J72" s="54"/>
    </row>
    <row r="73" spans="1:10" x14ac:dyDescent="0.2">
      <c r="A73" s="1232">
        <v>45700</v>
      </c>
      <c r="B73" s="1233" t="s">
        <v>37</v>
      </c>
      <c r="C73" s="1187">
        <v>5</v>
      </c>
      <c r="D73" s="1279" t="str">
        <f>_xlfn.XLOOKUP(B73,Códigos!$A$489:$A$522,Códigos!$B$489:$B$522,"Verificar",0)</f>
        <v>-Retiros y Traslados de Bancos</v>
      </c>
      <c r="E73" s="1279" t="str">
        <f>_xlfn.XLOOKUP(C73,Códigos!$A$11:$A$415,Códigos!$B$11:$B$415,"Verificar",0)</f>
        <v>NOMBRE 25</v>
      </c>
      <c r="F73" s="1239">
        <v>125500</v>
      </c>
      <c r="G73" s="989">
        <f t="shared" si="0"/>
        <v>102633100</v>
      </c>
      <c r="H73" s="1049" t="s">
        <v>1162</v>
      </c>
      <c r="I73" s="561"/>
      <c r="J73" s="54"/>
    </row>
    <row r="74" spans="1:10" x14ac:dyDescent="0.2">
      <c r="A74" s="1232">
        <v>45700</v>
      </c>
      <c r="B74" s="1233" t="s">
        <v>37</v>
      </c>
      <c r="C74" s="1187">
        <v>5</v>
      </c>
      <c r="D74" s="1279" t="str">
        <f>_xlfn.XLOOKUP(B74,Códigos!$A$489:$A$522,Códigos!$B$489:$B$522,"Verificar",0)</f>
        <v>-Retiros y Traslados de Bancos</v>
      </c>
      <c r="E74" s="1279" t="str">
        <f>_xlfn.XLOOKUP(C74,Códigos!$A$11:$A$415,Códigos!$B$11:$B$415,"Verificar",0)</f>
        <v>NOMBRE 25</v>
      </c>
      <c r="F74" s="1239">
        <v>106700</v>
      </c>
      <c r="G74" s="989">
        <f t="shared" si="0"/>
        <v>102739800</v>
      </c>
      <c r="H74" s="1050" t="s">
        <v>1066</v>
      </c>
      <c r="I74" s="561"/>
      <c r="J74" s="54"/>
    </row>
    <row r="75" spans="1:10" x14ac:dyDescent="0.2">
      <c r="A75" s="1232">
        <v>45700</v>
      </c>
      <c r="B75" s="1233" t="s">
        <v>37</v>
      </c>
      <c r="C75" s="1187">
        <v>5</v>
      </c>
      <c r="D75" s="1279" t="str">
        <f>_xlfn.XLOOKUP(B75,Códigos!$A$489:$A$522,Códigos!$B$489:$B$522,"Verificar",0)</f>
        <v>-Retiros y Traslados de Bancos</v>
      </c>
      <c r="E75" s="1279" t="str">
        <f>_xlfn.XLOOKUP(C75,Códigos!$A$11:$A$415,Códigos!$B$11:$B$415,"Verificar",0)</f>
        <v>NOMBRE 25</v>
      </c>
      <c r="F75" s="1239">
        <v>67800</v>
      </c>
      <c r="G75" s="989">
        <f t="shared" si="0"/>
        <v>102807600</v>
      </c>
      <c r="H75" s="1050" t="s">
        <v>1067</v>
      </c>
      <c r="I75" s="561"/>
      <c r="J75" s="54"/>
    </row>
    <row r="76" spans="1:10" x14ac:dyDescent="0.2">
      <c r="A76" s="1232">
        <v>45701</v>
      </c>
      <c r="B76" s="1233" t="s">
        <v>37</v>
      </c>
      <c r="C76" s="1187">
        <v>5</v>
      </c>
      <c r="D76" s="1279" t="str">
        <f>_xlfn.XLOOKUP(B76,Códigos!$A$489:$A$522,Códigos!$B$489:$B$522,"Verificar",0)</f>
        <v>-Retiros y Traslados de Bancos</v>
      </c>
      <c r="E76" s="1279" t="str">
        <f>_xlfn.XLOOKUP(C76,Códigos!$A$11:$A$415,Códigos!$B$11:$B$415,"Verificar",0)</f>
        <v>NOMBRE 25</v>
      </c>
      <c r="F76" s="1239">
        <v>220000</v>
      </c>
      <c r="G76" s="989">
        <f t="shared" si="0"/>
        <v>103027600</v>
      </c>
      <c r="H76" s="1050" t="s">
        <v>1083</v>
      </c>
      <c r="I76" s="561"/>
      <c r="J76" s="54"/>
    </row>
    <row r="77" spans="1:10" x14ac:dyDescent="0.2">
      <c r="A77" s="1232">
        <v>45701</v>
      </c>
      <c r="B77" s="1233" t="s">
        <v>37</v>
      </c>
      <c r="C77" s="1187">
        <v>5</v>
      </c>
      <c r="D77" s="1279" t="str">
        <f>_xlfn.XLOOKUP(B77,Códigos!$A$489:$A$522,Códigos!$B$489:$B$522,"Verificar",0)</f>
        <v>-Retiros y Traslados de Bancos</v>
      </c>
      <c r="E77" s="1279" t="str">
        <f>_xlfn.XLOOKUP(C77,Códigos!$A$11:$A$415,Códigos!$B$11:$B$415,"Verificar",0)</f>
        <v>NOMBRE 25</v>
      </c>
      <c r="F77" s="1239">
        <v>660000</v>
      </c>
      <c r="G77" s="989">
        <f t="shared" ref="G77:G142" si="1">+G76+F77</f>
        <v>103687600</v>
      </c>
      <c r="H77" s="997" t="s">
        <v>1163</v>
      </c>
      <c r="I77" s="561"/>
      <c r="J77" s="54"/>
    </row>
    <row r="78" spans="1:10" x14ac:dyDescent="0.2">
      <c r="A78" s="1232">
        <v>45701</v>
      </c>
      <c r="B78" s="1233" t="s">
        <v>37</v>
      </c>
      <c r="C78" s="1187">
        <v>5</v>
      </c>
      <c r="D78" s="1279" t="str">
        <f>_xlfn.XLOOKUP(B78,Códigos!$A$489:$A$522,Códigos!$B$489:$B$522,"Verificar",0)</f>
        <v>-Retiros y Traslados de Bancos</v>
      </c>
      <c r="E78" s="1279" t="str">
        <f>_xlfn.XLOOKUP(C78,Códigos!$A$11:$A$415,Códigos!$B$11:$B$415,"Verificar",0)</f>
        <v>NOMBRE 25</v>
      </c>
      <c r="F78" s="1239">
        <v>4402300</v>
      </c>
      <c r="G78" s="989">
        <f t="shared" si="1"/>
        <v>108089900</v>
      </c>
      <c r="H78" s="1049" t="s">
        <v>1169</v>
      </c>
      <c r="I78" s="561"/>
      <c r="J78" s="54"/>
    </row>
    <row r="79" spans="1:10" x14ac:dyDescent="0.2">
      <c r="A79" s="1232">
        <v>45702</v>
      </c>
      <c r="B79" s="1233" t="s">
        <v>37</v>
      </c>
      <c r="C79" s="1187">
        <v>5</v>
      </c>
      <c r="D79" s="1279" t="str">
        <f>_xlfn.XLOOKUP(B79,Códigos!$A$489:$A$522,Códigos!$B$489:$B$522,"Verificar",0)</f>
        <v>-Retiros y Traslados de Bancos</v>
      </c>
      <c r="E79" s="1279" t="str">
        <f>_xlfn.XLOOKUP(C79,Códigos!$A$11:$A$415,Códigos!$B$11:$B$415,"Verificar",0)</f>
        <v>NOMBRE 25</v>
      </c>
      <c r="F79" s="1239">
        <v>350000</v>
      </c>
      <c r="G79" s="989">
        <f t="shared" si="1"/>
        <v>108439900</v>
      </c>
      <c r="H79" s="1274" t="s">
        <v>1170</v>
      </c>
      <c r="I79" s="561"/>
      <c r="J79" s="54"/>
    </row>
    <row r="80" spans="1:10" x14ac:dyDescent="0.2">
      <c r="A80" s="1232">
        <v>45702</v>
      </c>
      <c r="B80" s="1233" t="s">
        <v>37</v>
      </c>
      <c r="C80" s="1187">
        <v>5</v>
      </c>
      <c r="D80" s="1279" t="str">
        <f>_xlfn.XLOOKUP(B80,Códigos!$A$489:$A$522,Códigos!$B$489:$B$522,"Verificar",0)</f>
        <v>-Retiros y Traslados de Bancos</v>
      </c>
      <c r="E80" s="1279" t="str">
        <f>_xlfn.XLOOKUP(C80,Códigos!$A$11:$A$415,Códigos!$B$11:$B$415,"Verificar",0)</f>
        <v>NOMBRE 25</v>
      </c>
      <c r="F80" s="1239">
        <v>200000</v>
      </c>
      <c r="G80" s="989">
        <f t="shared" si="1"/>
        <v>108639900</v>
      </c>
      <c r="H80" s="1274" t="s">
        <v>1171</v>
      </c>
      <c r="I80" s="561"/>
      <c r="J80" s="54"/>
    </row>
    <row r="81" spans="1:10" x14ac:dyDescent="0.2">
      <c r="A81" s="1232">
        <v>45702</v>
      </c>
      <c r="B81" s="1233" t="s">
        <v>37</v>
      </c>
      <c r="C81" s="1187">
        <v>5</v>
      </c>
      <c r="D81" s="1279" t="str">
        <f>_xlfn.XLOOKUP(B81,Códigos!$A$489:$A$522,Códigos!$B$489:$B$522,"Verificar",0)</f>
        <v>-Retiros y Traslados de Bancos</v>
      </c>
      <c r="E81" s="1279" t="str">
        <f>_xlfn.XLOOKUP(C81,Códigos!$A$11:$A$415,Códigos!$B$11:$B$415,"Verificar",0)</f>
        <v>NOMBRE 25</v>
      </c>
      <c r="F81" s="1239">
        <v>2000000</v>
      </c>
      <c r="G81" s="989">
        <f t="shared" si="1"/>
        <v>110639900</v>
      </c>
      <c r="H81" s="1049" t="s">
        <v>1038</v>
      </c>
      <c r="I81" s="561"/>
      <c r="J81" s="54"/>
    </row>
    <row r="82" spans="1:10" x14ac:dyDescent="0.2">
      <c r="A82" s="1232">
        <v>45702</v>
      </c>
      <c r="B82" s="1233" t="s">
        <v>37</v>
      </c>
      <c r="C82" s="1187">
        <v>5</v>
      </c>
      <c r="D82" s="1279" t="str">
        <f>_xlfn.XLOOKUP(B82,Códigos!$A$489:$A$522,Códigos!$B$489:$B$522,"Verificar",0)</f>
        <v>-Retiros y Traslados de Bancos</v>
      </c>
      <c r="E82" s="1279" t="str">
        <f>_xlfn.XLOOKUP(C82,Códigos!$A$11:$A$415,Códigos!$B$11:$B$415,"Verificar",0)</f>
        <v>NOMBRE 25</v>
      </c>
      <c r="F82" s="1239">
        <v>404400</v>
      </c>
      <c r="G82" s="989">
        <f t="shared" si="1"/>
        <v>111044300</v>
      </c>
      <c r="H82" s="1049" t="s">
        <v>1106</v>
      </c>
      <c r="I82" s="561"/>
      <c r="J82" s="54"/>
    </row>
    <row r="83" spans="1:10" x14ac:dyDescent="0.2">
      <c r="A83" s="1234">
        <v>45702</v>
      </c>
      <c r="B83" s="1233" t="s">
        <v>34</v>
      </c>
      <c r="C83" s="1187">
        <v>322</v>
      </c>
      <c r="D83" s="1279" t="str">
        <f>_xlfn.XLOOKUP(B83,Códigos!$A$489:$A$522,Códigos!$B$489:$B$522,"Verificar",0)</f>
        <v>Recibido por: -Cuentas de cobro -DAFF</v>
      </c>
      <c r="E83" s="1279" t="str">
        <f>_xlfn.XLOOKUP(C83,Códigos!$A$11:$A$415,Códigos!$B$11:$B$415,"Verificar",0)</f>
        <v>NOMBRE 37</v>
      </c>
      <c r="F83" s="1239">
        <v>320000</v>
      </c>
      <c r="G83" s="989">
        <f t="shared" si="1"/>
        <v>111364300</v>
      </c>
      <c r="H83" s="1049" t="s">
        <v>1174</v>
      </c>
      <c r="I83" s="561"/>
      <c r="J83" s="54"/>
    </row>
    <row r="84" spans="1:10" x14ac:dyDescent="0.2">
      <c r="A84" s="1234">
        <v>45702</v>
      </c>
      <c r="B84" s="1233" t="s">
        <v>34</v>
      </c>
      <c r="C84" s="1187">
        <v>242</v>
      </c>
      <c r="D84" s="1279" t="str">
        <f>_xlfn.XLOOKUP(B84,Códigos!$A$489:$A$522,Códigos!$B$489:$B$522,"Verificar",0)</f>
        <v>Recibido por: -Cuentas de cobro -DAFF</v>
      </c>
      <c r="E84" s="1279" t="str">
        <f>_xlfn.XLOOKUP(C84,Códigos!$A$11:$A$415,Códigos!$B$11:$B$415,"Verificar",0)</f>
        <v>NOMBRE 149</v>
      </c>
      <c r="F84" s="1239">
        <v>430000</v>
      </c>
      <c r="G84" s="989">
        <f t="shared" si="1"/>
        <v>111794300</v>
      </c>
      <c r="H84" s="1049" t="s">
        <v>1175</v>
      </c>
      <c r="I84" s="561"/>
      <c r="J84" s="54"/>
    </row>
    <row r="85" spans="1:10" x14ac:dyDescent="0.2">
      <c r="A85" s="1234">
        <v>45702</v>
      </c>
      <c r="B85" s="1233" t="s">
        <v>34</v>
      </c>
      <c r="C85" s="1187">
        <v>83</v>
      </c>
      <c r="D85" s="1279" t="str">
        <f>_xlfn.XLOOKUP(B85,Códigos!$A$489:$A$522,Códigos!$B$489:$B$522,"Verificar",0)</f>
        <v>Recibido por: -Cuentas de cobro -DAFF</v>
      </c>
      <c r="E85" s="1279" t="str">
        <f>_xlfn.XLOOKUP(C85,Códigos!$A$11:$A$415,Códigos!$B$11:$B$415,"Verificar",0)</f>
        <v>NOMBRE 82</v>
      </c>
      <c r="F85" s="1239">
        <v>620000</v>
      </c>
      <c r="G85" s="989">
        <f t="shared" si="1"/>
        <v>112414300</v>
      </c>
      <c r="H85" s="1049" t="s">
        <v>1176</v>
      </c>
      <c r="I85" s="561"/>
      <c r="J85" s="54"/>
    </row>
    <row r="86" spans="1:10" x14ac:dyDescent="0.2">
      <c r="A86" s="1234">
        <v>45704</v>
      </c>
      <c r="B86" s="1233" t="s">
        <v>37</v>
      </c>
      <c r="C86" s="1187">
        <v>5</v>
      </c>
      <c r="D86" s="1279" t="str">
        <f>_xlfn.XLOOKUP(B86,Códigos!$A$489:$A$522,Códigos!$B$489:$B$522,"Verificar",0)</f>
        <v>-Retiros y Traslados de Bancos</v>
      </c>
      <c r="E86" s="1279" t="str">
        <f>_xlfn.XLOOKUP(C86,Códigos!$A$11:$A$415,Códigos!$B$11:$B$415,"Verificar",0)</f>
        <v>NOMBRE 25</v>
      </c>
      <c r="F86" s="1239">
        <v>1026800</v>
      </c>
      <c r="G86" s="989">
        <f t="shared" si="1"/>
        <v>113441100</v>
      </c>
      <c r="H86" s="997" t="s">
        <v>1113</v>
      </c>
      <c r="I86" s="561"/>
      <c r="J86" s="54"/>
    </row>
    <row r="87" spans="1:10" x14ac:dyDescent="0.2">
      <c r="A87" s="1234">
        <v>45705</v>
      </c>
      <c r="B87" s="1233" t="s">
        <v>34</v>
      </c>
      <c r="C87" s="1187">
        <v>306</v>
      </c>
      <c r="D87" s="1279" t="str">
        <f>_xlfn.XLOOKUP(B87,Códigos!$A$489:$A$522,Códigos!$B$489:$B$522,"Verificar",0)</f>
        <v>Recibido por: -Cuentas de cobro -DAFF</v>
      </c>
      <c r="E87" s="1279" t="str">
        <f>_xlfn.XLOOKUP(C87,Códigos!$A$11:$A$415,Códigos!$B$11:$B$415,"Verificar",0)</f>
        <v>NOMBRE 33</v>
      </c>
      <c r="F87" s="1239">
        <v>330000</v>
      </c>
      <c r="G87" s="989">
        <f t="shared" si="1"/>
        <v>113771100</v>
      </c>
      <c r="H87" s="1049" t="s">
        <v>1177</v>
      </c>
      <c r="I87" s="561"/>
      <c r="J87" s="54"/>
    </row>
    <row r="88" spans="1:10" x14ac:dyDescent="0.2">
      <c r="A88" s="1234">
        <v>45706</v>
      </c>
      <c r="B88" s="1233" t="s">
        <v>37</v>
      </c>
      <c r="C88" s="1187">
        <v>5</v>
      </c>
      <c r="D88" s="1279" t="str">
        <f>_xlfn.XLOOKUP(B88,Códigos!$A$489:$A$522,Códigos!$B$489:$B$522,"Verificar",0)</f>
        <v>-Retiros y Traslados de Bancos</v>
      </c>
      <c r="E88" s="1279" t="str">
        <f>_xlfn.XLOOKUP(C88,Códigos!$A$11:$A$415,Códigos!$B$11:$B$415,"Verificar",0)</f>
        <v>NOMBRE 25</v>
      </c>
      <c r="F88" s="1239">
        <v>340000</v>
      </c>
      <c r="G88" s="989">
        <f t="shared" si="1"/>
        <v>114111100</v>
      </c>
      <c r="H88" s="1049" t="s">
        <v>1217</v>
      </c>
      <c r="I88" s="561"/>
      <c r="J88" s="54"/>
    </row>
    <row r="89" spans="1:10" x14ac:dyDescent="0.2">
      <c r="A89" s="1236">
        <v>45708</v>
      </c>
      <c r="B89" s="1233" t="s">
        <v>37</v>
      </c>
      <c r="C89" s="1187">
        <v>5</v>
      </c>
      <c r="D89" s="1279" t="str">
        <f>_xlfn.XLOOKUP(B89,Códigos!$A$489:$A$522,Códigos!$B$489:$B$522,"Verificar",0)</f>
        <v>-Retiros y Traslados de Bancos</v>
      </c>
      <c r="E89" s="1279" t="str">
        <f>_xlfn.XLOOKUP(C89,Códigos!$A$11:$A$415,Códigos!$B$11:$B$415,"Verificar",0)</f>
        <v>NOMBRE 25</v>
      </c>
      <c r="F89" s="1239">
        <v>2487900</v>
      </c>
      <c r="G89" s="989">
        <f t="shared" si="1"/>
        <v>116599000</v>
      </c>
      <c r="H89" s="1050" t="s">
        <v>1187</v>
      </c>
      <c r="I89" s="561"/>
      <c r="J89" s="54"/>
    </row>
    <row r="90" spans="1:10" x14ac:dyDescent="0.2">
      <c r="A90" s="1236">
        <v>45708</v>
      </c>
      <c r="B90" s="1233" t="s">
        <v>37</v>
      </c>
      <c r="C90" s="1187">
        <v>5</v>
      </c>
      <c r="D90" s="1279" t="str">
        <f>_xlfn.XLOOKUP(B90,Códigos!$A$489:$A$522,Códigos!$B$489:$B$522,"Verificar",0)</f>
        <v>-Retiros y Traslados de Bancos</v>
      </c>
      <c r="E90" s="1279" t="str">
        <f>_xlfn.XLOOKUP(C90,Códigos!$A$11:$A$415,Códigos!$B$11:$B$415,"Verificar",0)</f>
        <v>NOMBRE 25</v>
      </c>
      <c r="F90" s="1239">
        <v>117600</v>
      </c>
      <c r="G90" s="989">
        <f t="shared" si="1"/>
        <v>116716600</v>
      </c>
      <c r="H90" s="1049" t="s">
        <v>1188</v>
      </c>
      <c r="I90" s="561"/>
      <c r="J90" s="54"/>
    </row>
    <row r="91" spans="1:10" x14ac:dyDescent="0.2">
      <c r="A91" s="1236">
        <v>45708</v>
      </c>
      <c r="B91" s="1233" t="s">
        <v>37</v>
      </c>
      <c r="C91" s="1187">
        <v>5</v>
      </c>
      <c r="D91" s="1279" t="str">
        <f>_xlfn.XLOOKUP(B91,Códigos!$A$489:$A$522,Códigos!$B$489:$B$522,"Verificar",0)</f>
        <v>-Retiros y Traslados de Bancos</v>
      </c>
      <c r="E91" s="1279" t="str">
        <f>_xlfn.XLOOKUP(C91,Códigos!$A$11:$A$415,Códigos!$B$11:$B$415,"Verificar",0)</f>
        <v>NOMBRE 25</v>
      </c>
      <c r="F91" s="1239">
        <v>220000</v>
      </c>
      <c r="G91" s="989">
        <f t="shared" si="1"/>
        <v>116936600</v>
      </c>
      <c r="H91" s="1050" t="s">
        <v>1083</v>
      </c>
      <c r="I91" s="561"/>
      <c r="J91" s="54"/>
    </row>
    <row r="92" spans="1:10" x14ac:dyDescent="0.2">
      <c r="A92" s="1236">
        <v>45708</v>
      </c>
      <c r="B92" s="1233" t="s">
        <v>37</v>
      </c>
      <c r="C92" s="1187">
        <v>5</v>
      </c>
      <c r="D92" s="1279" t="str">
        <f>_xlfn.XLOOKUP(B92,Códigos!$A$489:$A$522,Códigos!$B$489:$B$522,"Verificar",0)</f>
        <v>-Retiros y Traslados de Bancos</v>
      </c>
      <c r="E92" s="1279" t="str">
        <f>_xlfn.XLOOKUP(C92,Códigos!$A$11:$A$415,Códigos!$B$11:$B$415,"Verificar",0)</f>
        <v>NOMBRE 25</v>
      </c>
      <c r="F92" s="1239">
        <v>660000</v>
      </c>
      <c r="G92" s="989">
        <f t="shared" si="1"/>
        <v>117596600</v>
      </c>
      <c r="H92" s="997" t="s">
        <v>1190</v>
      </c>
      <c r="I92" s="561"/>
      <c r="J92" s="54"/>
    </row>
    <row r="93" spans="1:10" x14ac:dyDescent="0.2">
      <c r="A93" s="1236">
        <v>45708</v>
      </c>
      <c r="B93" s="1233" t="s">
        <v>34</v>
      </c>
      <c r="C93" s="1187">
        <v>134</v>
      </c>
      <c r="D93" s="1279" t="str">
        <f>_xlfn.XLOOKUP(B93,Códigos!$A$489:$A$522,Códigos!$B$489:$B$522,"Verificar",0)</f>
        <v>Recibido por: -Cuentas de cobro -DAFF</v>
      </c>
      <c r="E93" s="1279" t="str">
        <f>_xlfn.XLOOKUP(C93,Códigos!$A$11:$A$415,Códigos!$B$11:$B$415,"Verificar",0)</f>
        <v>NOMBRE 217</v>
      </c>
      <c r="F93" s="1239">
        <v>1160000</v>
      </c>
      <c r="G93" s="989">
        <f t="shared" si="1"/>
        <v>118756600</v>
      </c>
      <c r="H93" s="1049" t="s">
        <v>1194</v>
      </c>
      <c r="I93" s="561"/>
      <c r="J93" s="54"/>
    </row>
    <row r="94" spans="1:10" x14ac:dyDescent="0.2">
      <c r="A94" s="1236">
        <v>45709</v>
      </c>
      <c r="B94" s="1233" t="s">
        <v>37</v>
      </c>
      <c r="C94" s="1187">
        <v>3</v>
      </c>
      <c r="D94" s="1279" t="str">
        <f>_xlfn.XLOOKUP(B94,Códigos!$A$489:$A$522,Códigos!$B$489:$B$522,"Verificar",0)</f>
        <v>-Retiros y Traslados de Bancos</v>
      </c>
      <c r="E94" s="1279" t="str">
        <f>_xlfn.XLOOKUP(C94,Códigos!$A$11:$A$415,Códigos!$B$11:$B$415,"Verificar",0)</f>
        <v>NOMBRE 24</v>
      </c>
      <c r="F94" s="1239">
        <v>2000000</v>
      </c>
      <c r="G94" s="989">
        <f t="shared" si="1"/>
        <v>120756600</v>
      </c>
      <c r="H94" s="1049" t="s">
        <v>1038</v>
      </c>
      <c r="I94" s="561"/>
      <c r="J94" s="54"/>
    </row>
    <row r="95" spans="1:10" x14ac:dyDescent="0.2">
      <c r="A95" s="1236">
        <v>45709</v>
      </c>
      <c r="B95" s="1233" t="s">
        <v>34</v>
      </c>
      <c r="C95" s="1187">
        <v>287</v>
      </c>
      <c r="D95" s="1279" t="str">
        <f>_xlfn.XLOOKUP(B95,Códigos!$A$489:$A$522,Códigos!$B$489:$B$522,"Verificar",0)</f>
        <v>Recibido por: -Cuentas de cobro -DAFF</v>
      </c>
      <c r="E95" s="1279" t="str">
        <f>_xlfn.XLOOKUP(C95,Códigos!$A$11:$A$415,Códigos!$B$11:$B$415,"Verificar",0)</f>
        <v>NOMBRE 109</v>
      </c>
      <c r="F95" s="1239">
        <v>150000</v>
      </c>
      <c r="G95" s="989">
        <f t="shared" si="1"/>
        <v>120906600</v>
      </c>
      <c r="H95" s="1049" t="s">
        <v>1198</v>
      </c>
      <c r="I95" s="561"/>
      <c r="J95" s="54"/>
    </row>
    <row r="96" spans="1:10" x14ac:dyDescent="0.2">
      <c r="A96" s="1236">
        <v>45713</v>
      </c>
      <c r="B96" s="1233" t="s">
        <v>37</v>
      </c>
      <c r="C96" s="1187">
        <v>5</v>
      </c>
      <c r="D96" s="1279" t="str">
        <f>_xlfn.XLOOKUP(B96,Códigos!$A$489:$A$522,Códigos!$B$489:$B$522,"Verificar",0)</f>
        <v>-Retiros y Traslados de Bancos</v>
      </c>
      <c r="E96" s="1279" t="str">
        <f>_xlfn.XLOOKUP(C96,Códigos!$A$11:$A$415,Códigos!$B$11:$B$415,"Verificar",0)</f>
        <v>NOMBRE 25</v>
      </c>
      <c r="F96" s="1239">
        <v>380000</v>
      </c>
      <c r="G96" s="989">
        <f t="shared" si="1"/>
        <v>121286600</v>
      </c>
      <c r="H96" s="1049" t="s">
        <v>1200</v>
      </c>
      <c r="I96" s="561"/>
      <c r="J96" s="54"/>
    </row>
    <row r="97" spans="1:10" x14ac:dyDescent="0.2">
      <c r="A97" s="1236">
        <v>45713</v>
      </c>
      <c r="B97" s="1233" t="s">
        <v>18</v>
      </c>
      <c r="C97" s="1187">
        <v>40</v>
      </c>
      <c r="D97" s="1279" t="str">
        <f>_xlfn.XLOOKUP(B97,Códigos!$A$489:$A$522,Códigos!$B$489:$B$522,"Verificar",0)</f>
        <v>Recibido por: -FACTURAS -GTFF</v>
      </c>
      <c r="E97" s="1279" t="str">
        <f>_xlfn.XLOOKUP(C97,Códigos!$A$11:$A$415,Códigos!$B$11:$B$415,"Verificar",0)</f>
        <v>NOMBRE 325</v>
      </c>
      <c r="F97" s="1239">
        <v>7819200</v>
      </c>
      <c r="G97" s="989">
        <f t="shared" si="1"/>
        <v>129105800</v>
      </c>
      <c r="H97" s="1052" t="s">
        <v>1204</v>
      </c>
      <c r="I97" s="561"/>
      <c r="J97" s="54"/>
    </row>
    <row r="98" spans="1:10" x14ac:dyDescent="0.2">
      <c r="A98" s="1236">
        <v>45713</v>
      </c>
      <c r="B98" s="1233" t="s">
        <v>37</v>
      </c>
      <c r="C98" s="1187">
        <v>5</v>
      </c>
      <c r="D98" s="1279" t="str">
        <f>_xlfn.XLOOKUP(B98,Códigos!$A$489:$A$522,Códigos!$B$489:$B$522,"Verificar",0)</f>
        <v>-Retiros y Traslados de Bancos</v>
      </c>
      <c r="E98" s="1279" t="str">
        <f>_xlfn.XLOOKUP(C98,Códigos!$A$11:$A$415,Códigos!$B$11:$B$415,"Verificar",0)</f>
        <v>NOMBRE 25</v>
      </c>
      <c r="F98" s="1239">
        <v>110600</v>
      </c>
      <c r="G98" s="989">
        <f t="shared" si="1"/>
        <v>129216400</v>
      </c>
      <c r="H98" s="1050" t="s">
        <v>1120</v>
      </c>
      <c r="I98" s="561"/>
      <c r="J98" s="54"/>
    </row>
    <row r="99" spans="1:10" x14ac:dyDescent="0.2">
      <c r="A99" s="1236">
        <v>45713</v>
      </c>
      <c r="B99" s="1233" t="s">
        <v>37</v>
      </c>
      <c r="C99" s="1187">
        <v>5</v>
      </c>
      <c r="D99" s="1279" t="str">
        <f>_xlfn.XLOOKUP(B99,Códigos!$A$489:$A$522,Códigos!$B$489:$B$522,"Verificar",0)</f>
        <v>-Retiros y Traslados de Bancos</v>
      </c>
      <c r="E99" s="1279" t="str">
        <f>_xlfn.XLOOKUP(C99,Códigos!$A$11:$A$415,Códigos!$B$11:$B$415,"Verificar",0)</f>
        <v>NOMBRE 25</v>
      </c>
      <c r="F99" s="1239">
        <v>35600</v>
      </c>
      <c r="G99" s="989">
        <f t="shared" si="1"/>
        <v>129252000</v>
      </c>
      <c r="H99" s="1050" t="s">
        <v>1121</v>
      </c>
      <c r="I99" s="561"/>
      <c r="J99" s="54"/>
    </row>
    <row r="100" spans="1:10" x14ac:dyDescent="0.2">
      <c r="A100" s="1236">
        <v>45713</v>
      </c>
      <c r="B100" s="1233" t="s">
        <v>37</v>
      </c>
      <c r="C100" s="1187">
        <v>5</v>
      </c>
      <c r="D100" s="1279" t="str">
        <f>_xlfn.XLOOKUP(B100,Códigos!$A$489:$A$522,Códigos!$B$489:$B$522,"Verificar",0)</f>
        <v>-Retiros y Traslados de Bancos</v>
      </c>
      <c r="E100" s="1279" t="str">
        <f>_xlfn.XLOOKUP(C100,Códigos!$A$11:$A$415,Códigos!$B$11:$B$415,"Verificar",0)</f>
        <v>NOMBRE 25</v>
      </c>
      <c r="F100" s="1239">
        <v>179900</v>
      </c>
      <c r="G100" s="989">
        <f t="shared" si="1"/>
        <v>129431900</v>
      </c>
      <c r="H100" s="1050" t="s">
        <v>1122</v>
      </c>
      <c r="I100" s="561"/>
      <c r="J100" s="54"/>
    </row>
    <row r="101" spans="1:10" x14ac:dyDescent="0.2">
      <c r="A101" s="1236">
        <v>45713</v>
      </c>
      <c r="B101" s="1233" t="s">
        <v>37</v>
      </c>
      <c r="C101" s="1187">
        <v>5</v>
      </c>
      <c r="D101" s="1279" t="str">
        <f>_xlfn.XLOOKUP(B101,Códigos!$A$489:$A$522,Códigos!$B$489:$B$522,"Verificar",0)</f>
        <v>-Retiros y Traslados de Bancos</v>
      </c>
      <c r="E101" s="1279" t="str">
        <f>_xlfn.XLOOKUP(C101,Códigos!$A$11:$A$415,Códigos!$B$11:$B$415,"Verificar",0)</f>
        <v>NOMBRE 25</v>
      </c>
      <c r="F101" s="1246">
        <v>15700</v>
      </c>
      <c r="G101" s="989">
        <f t="shared" si="1"/>
        <v>129447600</v>
      </c>
      <c r="H101" s="1050" t="s">
        <v>1123</v>
      </c>
      <c r="I101" s="561"/>
      <c r="J101" s="54"/>
    </row>
    <row r="102" spans="1:10" x14ac:dyDescent="0.2">
      <c r="A102" s="1236">
        <v>45714</v>
      </c>
      <c r="B102" s="1233" t="s">
        <v>37</v>
      </c>
      <c r="C102" s="1187">
        <v>5</v>
      </c>
      <c r="D102" s="1279" t="str">
        <f>_xlfn.XLOOKUP(B102,Códigos!$A$489:$A$522,Códigos!$B$489:$B$522,"Verificar",0)</f>
        <v>-Retiros y Traslados de Bancos</v>
      </c>
      <c r="E102" s="1279" t="str">
        <f>_xlfn.XLOOKUP(C102,Códigos!$A$11:$A$415,Códigos!$B$11:$B$415,"Verificar",0)</f>
        <v>NOMBRE 25</v>
      </c>
      <c r="F102" s="1239">
        <v>40800</v>
      </c>
      <c r="G102" s="989">
        <f t="shared" si="1"/>
        <v>129488400</v>
      </c>
      <c r="H102" s="1049" t="s">
        <v>1207</v>
      </c>
      <c r="I102" s="561"/>
      <c r="J102" s="54"/>
    </row>
    <row r="103" spans="1:10" x14ac:dyDescent="0.2">
      <c r="A103" s="1236">
        <v>45714</v>
      </c>
      <c r="B103" s="1233" t="s">
        <v>37</v>
      </c>
      <c r="C103" s="1187">
        <v>5</v>
      </c>
      <c r="D103" s="1279" t="str">
        <f>_xlfn.XLOOKUP(B103,Códigos!$A$489:$A$522,Códigos!$B$489:$B$522,"Verificar",0)</f>
        <v>-Retiros y Traslados de Bancos</v>
      </c>
      <c r="E103" s="1279" t="str">
        <f>_xlfn.XLOOKUP(C103,Códigos!$A$11:$A$415,Códigos!$B$11:$B$415,"Verificar",0)</f>
        <v>NOMBRE 25</v>
      </c>
      <c r="F103" s="1239">
        <v>113900</v>
      </c>
      <c r="G103" s="989">
        <f t="shared" si="1"/>
        <v>129602300</v>
      </c>
      <c r="H103" s="1049" t="s">
        <v>1207</v>
      </c>
      <c r="I103" s="561"/>
      <c r="J103" s="54"/>
    </row>
    <row r="104" spans="1:10" x14ac:dyDescent="0.2">
      <c r="A104" s="1236">
        <v>45715</v>
      </c>
      <c r="B104" s="1233" t="s">
        <v>37</v>
      </c>
      <c r="C104" s="1187">
        <v>5</v>
      </c>
      <c r="D104" s="1279" t="str">
        <f>_xlfn.XLOOKUP(B104,Códigos!$A$489:$A$522,Códigos!$B$489:$B$522,"Verificar",0)</f>
        <v>-Retiros y Traslados de Bancos</v>
      </c>
      <c r="E104" s="1279" t="str">
        <f>_xlfn.XLOOKUP(C104,Códigos!$A$11:$A$415,Códigos!$B$11:$B$415,"Verificar",0)</f>
        <v>NOMBRE 25</v>
      </c>
      <c r="F104" s="1239">
        <v>220000</v>
      </c>
      <c r="G104" s="989">
        <f t="shared" si="1"/>
        <v>129822300</v>
      </c>
      <c r="H104" s="1050" t="s">
        <v>1083</v>
      </c>
      <c r="I104" s="561"/>
      <c r="J104" s="54"/>
    </row>
    <row r="105" spans="1:10" x14ac:dyDescent="0.2">
      <c r="A105" s="1236">
        <v>45715</v>
      </c>
      <c r="B105" s="1233" t="s">
        <v>37</v>
      </c>
      <c r="C105" s="1187">
        <v>5</v>
      </c>
      <c r="D105" s="1279" t="str">
        <f>_xlfn.XLOOKUP(B105,Códigos!$A$489:$A$522,Códigos!$B$489:$B$522,"Verificar",0)</f>
        <v>-Retiros y Traslados de Bancos</v>
      </c>
      <c r="E105" s="1279" t="str">
        <f>_xlfn.XLOOKUP(C105,Códigos!$A$11:$A$415,Códigos!$B$11:$B$415,"Verificar",0)</f>
        <v>NOMBRE 25</v>
      </c>
      <c r="F105" s="1239">
        <v>655000</v>
      </c>
      <c r="G105" s="989">
        <f t="shared" si="1"/>
        <v>130477300</v>
      </c>
      <c r="H105" s="997" t="s">
        <v>1208</v>
      </c>
      <c r="I105" s="561"/>
      <c r="J105" s="54"/>
    </row>
    <row r="106" spans="1:10" x14ac:dyDescent="0.2">
      <c r="A106" s="1236">
        <v>45715</v>
      </c>
      <c r="B106" s="1233" t="s">
        <v>37</v>
      </c>
      <c r="C106" s="1187">
        <v>5</v>
      </c>
      <c r="D106" s="1279" t="str">
        <f>_xlfn.XLOOKUP(B106,Códigos!$A$489:$A$522,Códigos!$B$489:$B$522,"Verificar",0)</f>
        <v>-Retiros y Traslados de Bancos</v>
      </c>
      <c r="E106" s="1279" t="str">
        <f>_xlfn.XLOOKUP(C106,Códigos!$A$11:$A$415,Códigos!$B$11:$B$415,"Verificar",0)</f>
        <v>NOMBRE 25</v>
      </c>
      <c r="F106" s="1239">
        <v>2000000</v>
      </c>
      <c r="G106" s="989">
        <f t="shared" si="1"/>
        <v>132477300</v>
      </c>
      <c r="H106" s="1049" t="s">
        <v>1038</v>
      </c>
      <c r="I106" s="561"/>
      <c r="J106" s="54"/>
    </row>
    <row r="107" spans="1:10" x14ac:dyDescent="0.2">
      <c r="A107" s="1236">
        <v>45715</v>
      </c>
      <c r="B107" s="1233" t="s">
        <v>37</v>
      </c>
      <c r="C107" s="1187">
        <v>5</v>
      </c>
      <c r="D107" s="1279" t="str">
        <f>_xlfn.XLOOKUP(B107,Códigos!$A$489:$A$522,Códigos!$B$489:$B$522,"Verificar",0)</f>
        <v>-Retiros y Traslados de Bancos</v>
      </c>
      <c r="E107" s="1279" t="str">
        <f>_xlfn.XLOOKUP(C107,Códigos!$A$11:$A$415,Códigos!$B$11:$B$415,"Verificar",0)</f>
        <v>NOMBRE 25</v>
      </c>
      <c r="F107" s="1239">
        <v>53600</v>
      </c>
      <c r="G107" s="989">
        <f t="shared" si="1"/>
        <v>132530900</v>
      </c>
      <c r="H107" s="1049" t="s">
        <v>1211</v>
      </c>
      <c r="I107" s="561"/>
      <c r="J107" s="54"/>
    </row>
    <row r="108" spans="1:10" x14ac:dyDescent="0.2">
      <c r="A108" s="1236">
        <v>45716</v>
      </c>
      <c r="B108" s="1233" t="s">
        <v>37</v>
      </c>
      <c r="C108" s="1187">
        <v>5</v>
      </c>
      <c r="D108" s="1279" t="str">
        <f>_xlfn.XLOOKUP(B108,Códigos!$A$489:$A$522,Códigos!$B$489:$B$522,"Verificar",0)</f>
        <v>-Retiros y Traslados de Bancos</v>
      </c>
      <c r="E108" s="1279" t="str">
        <f>_xlfn.XLOOKUP(C108,Códigos!$A$11:$A$415,Códigos!$B$11:$B$415,"Verificar",0)</f>
        <v>NOMBRE 25</v>
      </c>
      <c r="F108" s="1239">
        <v>200000</v>
      </c>
      <c r="G108" s="989">
        <f t="shared" si="1"/>
        <v>132730900</v>
      </c>
      <c r="H108" s="1049" t="s">
        <v>1199</v>
      </c>
      <c r="I108" s="561"/>
      <c r="J108" s="54"/>
    </row>
    <row r="109" spans="1:10" x14ac:dyDescent="0.2">
      <c r="A109" s="1236">
        <v>45719</v>
      </c>
      <c r="B109" s="1233" t="s">
        <v>37</v>
      </c>
      <c r="C109" s="1187">
        <v>5</v>
      </c>
      <c r="D109" s="1279" t="str">
        <f>_xlfn.XLOOKUP(B109,Códigos!$A$489:$A$522,Códigos!$B$489:$B$522,"Verificar",0)</f>
        <v>-Retiros y Traslados de Bancos</v>
      </c>
      <c r="E109" s="1279" t="str">
        <f>_xlfn.XLOOKUP(C109,Códigos!$A$11:$A$415,Códigos!$B$11:$B$415,"Verificar",0)</f>
        <v>NOMBRE 25</v>
      </c>
      <c r="F109" s="1239">
        <v>1185000</v>
      </c>
      <c r="G109" s="989">
        <f t="shared" si="1"/>
        <v>133915900</v>
      </c>
      <c r="H109" s="1049" t="s">
        <v>1107</v>
      </c>
      <c r="I109" s="561"/>
      <c r="J109" s="54"/>
    </row>
    <row r="110" spans="1:10" x14ac:dyDescent="0.2">
      <c r="A110" s="1236">
        <v>45719</v>
      </c>
      <c r="B110" s="1233" t="s">
        <v>37</v>
      </c>
      <c r="C110" s="1187">
        <v>5</v>
      </c>
      <c r="D110" s="1279" t="str">
        <f>_xlfn.XLOOKUP(B110,Códigos!$A$489:$A$522,Códigos!$B$489:$B$522,"Verificar",0)</f>
        <v>-Retiros y Traslados de Bancos</v>
      </c>
      <c r="E110" s="1279" t="str">
        <f>_xlfn.XLOOKUP(C110,Códigos!$A$11:$A$415,Códigos!$B$11:$B$415,"Verificar",0)</f>
        <v>NOMBRE 25</v>
      </c>
      <c r="F110" s="1239">
        <v>300000</v>
      </c>
      <c r="G110" s="989">
        <f t="shared" si="1"/>
        <v>134215900</v>
      </c>
      <c r="H110" s="1049" t="s">
        <v>1114</v>
      </c>
      <c r="I110" s="561"/>
      <c r="J110" s="54"/>
    </row>
    <row r="111" spans="1:10" x14ac:dyDescent="0.2">
      <c r="A111" s="1236">
        <v>45719</v>
      </c>
      <c r="B111" s="1233" t="s">
        <v>37</v>
      </c>
      <c r="C111" s="1187">
        <v>5</v>
      </c>
      <c r="D111" s="1279" t="str">
        <f>_xlfn.XLOOKUP(B111,Códigos!$A$489:$A$522,Códigos!$B$489:$B$522,"Verificar",0)</f>
        <v>-Retiros y Traslados de Bancos</v>
      </c>
      <c r="E111" s="1279" t="str">
        <f>_xlfn.XLOOKUP(C111,Códigos!$A$11:$A$415,Códigos!$B$11:$B$415,"Verificar",0)</f>
        <v>NOMBRE 25</v>
      </c>
      <c r="F111" s="1239">
        <v>100000</v>
      </c>
      <c r="G111" s="989">
        <f t="shared" si="1"/>
        <v>134315900</v>
      </c>
      <c r="H111" s="1049" t="s">
        <v>1148</v>
      </c>
      <c r="I111" s="561"/>
      <c r="J111" s="54"/>
    </row>
    <row r="112" spans="1:10" x14ac:dyDescent="0.2">
      <c r="A112" s="1236">
        <v>45719</v>
      </c>
      <c r="B112" s="1233" t="s">
        <v>10</v>
      </c>
      <c r="C112" s="1187">
        <v>262</v>
      </c>
      <c r="D112" s="1279" t="str">
        <f>_xlfn.XLOOKUP(B112,Códigos!$A$489:$A$522,Códigos!$B$489:$B$522,"Verificar",0)</f>
        <v>Recibido por: -Abono a préstamos por Nómina de:</v>
      </c>
      <c r="E112" s="1279" t="str">
        <f>_xlfn.XLOOKUP(C112,Códigos!$A$11:$A$415,Códigos!$B$11:$B$415,"Verificar",0)</f>
        <v>NOMBRE 95</v>
      </c>
      <c r="F112" s="1239">
        <v>200000</v>
      </c>
      <c r="G112" s="989">
        <f t="shared" si="1"/>
        <v>134515900</v>
      </c>
      <c r="H112" s="1049" t="s">
        <v>1149</v>
      </c>
      <c r="I112" s="561"/>
      <c r="J112" s="54"/>
    </row>
    <row r="113" spans="1:10" x14ac:dyDescent="0.2">
      <c r="A113" s="1236">
        <v>45721</v>
      </c>
      <c r="B113" s="1233" t="s">
        <v>37</v>
      </c>
      <c r="C113" s="1187">
        <v>5</v>
      </c>
      <c r="D113" s="1279" t="str">
        <f>_xlfn.XLOOKUP(B113,Códigos!$A$489:$A$522,Códigos!$B$489:$B$522,"Verificar",0)</f>
        <v>-Retiros y Traslados de Bancos</v>
      </c>
      <c r="E113" s="1279" t="str">
        <f>_xlfn.XLOOKUP(C113,Códigos!$A$11:$A$415,Códigos!$B$11:$B$415,"Verificar",0)</f>
        <v>NOMBRE 25</v>
      </c>
      <c r="F113" s="1239">
        <v>80000</v>
      </c>
      <c r="G113" s="989">
        <f t="shared" si="1"/>
        <v>134595900</v>
      </c>
      <c r="H113" s="1049" t="s">
        <v>1218</v>
      </c>
      <c r="I113" s="561"/>
      <c r="J113" s="54"/>
    </row>
    <row r="114" spans="1:10" x14ac:dyDescent="0.2">
      <c r="A114" s="1236">
        <v>45721</v>
      </c>
      <c r="B114" s="1233" t="s">
        <v>37</v>
      </c>
      <c r="C114" s="1187">
        <v>5</v>
      </c>
      <c r="D114" s="1279" t="str">
        <f>_xlfn.XLOOKUP(B114,Códigos!$A$489:$A$522,Códigos!$B$489:$B$522,"Verificar",0)</f>
        <v>-Retiros y Traslados de Bancos</v>
      </c>
      <c r="E114" s="1279" t="str">
        <f>_xlfn.XLOOKUP(C114,Códigos!$A$11:$A$415,Códigos!$B$11:$B$415,"Verificar",0)</f>
        <v>NOMBRE 25</v>
      </c>
      <c r="F114" s="1239">
        <v>335000</v>
      </c>
      <c r="G114" s="989">
        <f t="shared" si="1"/>
        <v>134930900</v>
      </c>
      <c r="H114" s="1049" t="s">
        <v>1219</v>
      </c>
      <c r="I114" s="561"/>
      <c r="J114" s="54"/>
    </row>
    <row r="115" spans="1:10" x14ac:dyDescent="0.2">
      <c r="A115" s="1236">
        <v>45721</v>
      </c>
      <c r="B115" s="1233" t="s">
        <v>37</v>
      </c>
      <c r="C115" s="1187">
        <v>5</v>
      </c>
      <c r="D115" s="1279" t="str">
        <f>_xlfn.XLOOKUP(B115,Códigos!$A$489:$A$522,Códigos!$B$489:$B$522,"Verificar",0)</f>
        <v>-Retiros y Traslados de Bancos</v>
      </c>
      <c r="E115" s="1279" t="str">
        <f>_xlfn.XLOOKUP(C115,Códigos!$A$11:$A$415,Códigos!$B$11:$B$415,"Verificar",0)</f>
        <v>NOMBRE 25</v>
      </c>
      <c r="F115" s="1239">
        <v>129900</v>
      </c>
      <c r="G115" s="989">
        <f t="shared" si="1"/>
        <v>135060800</v>
      </c>
      <c r="H115" s="1052" t="s">
        <v>1220</v>
      </c>
      <c r="I115" s="561"/>
      <c r="J115" s="54"/>
    </row>
    <row r="116" spans="1:10" x14ac:dyDescent="0.2">
      <c r="A116" s="1236">
        <v>45721</v>
      </c>
      <c r="B116" s="1233" t="s">
        <v>37</v>
      </c>
      <c r="C116" s="1187">
        <v>5</v>
      </c>
      <c r="D116" s="1279" t="str">
        <f>_xlfn.XLOOKUP(B116,Códigos!$A$489:$A$522,Códigos!$B$489:$B$522,"Verificar",0)</f>
        <v>-Retiros y Traslados de Bancos</v>
      </c>
      <c r="E116" s="1279" t="str">
        <f>_xlfn.XLOOKUP(C116,Códigos!$A$11:$A$415,Códigos!$B$11:$B$415,"Verificar",0)</f>
        <v>NOMBRE 25</v>
      </c>
      <c r="F116" s="1239">
        <v>1392400</v>
      </c>
      <c r="G116" s="989">
        <f t="shared" si="1"/>
        <v>136453200</v>
      </c>
      <c r="H116" s="1052" t="s">
        <v>1224</v>
      </c>
      <c r="I116" s="561"/>
      <c r="J116" s="54"/>
    </row>
    <row r="117" spans="1:10" x14ac:dyDescent="0.2">
      <c r="A117" s="1236">
        <v>45721</v>
      </c>
      <c r="B117" s="1233" t="s">
        <v>37</v>
      </c>
      <c r="C117" s="1187">
        <v>5</v>
      </c>
      <c r="D117" s="1279" t="str">
        <f>_xlfn.XLOOKUP(B117,Códigos!$A$489:$A$522,Códigos!$B$489:$B$522,"Verificar",0)</f>
        <v>-Retiros y Traslados de Bancos</v>
      </c>
      <c r="E117" s="1279" t="str">
        <f>_xlfn.XLOOKUP(C117,Códigos!$A$11:$A$415,Códigos!$B$11:$B$415,"Verificar",0)</f>
        <v>NOMBRE 25</v>
      </c>
      <c r="F117" s="1239">
        <v>940500</v>
      </c>
      <c r="G117" s="989">
        <f t="shared" si="1"/>
        <v>137393700</v>
      </c>
      <c r="H117" s="1052" t="s">
        <v>1225</v>
      </c>
      <c r="I117" s="561"/>
      <c r="J117" s="54"/>
    </row>
    <row r="118" spans="1:10" x14ac:dyDescent="0.2">
      <c r="A118" s="1236">
        <v>45723</v>
      </c>
      <c r="B118" s="1233" t="s">
        <v>37</v>
      </c>
      <c r="C118" s="1187">
        <v>5</v>
      </c>
      <c r="D118" s="1279" t="str">
        <f>_xlfn.XLOOKUP(B118,Códigos!$A$489:$A$522,Códigos!$B$489:$B$522,"Verificar",0)</f>
        <v>-Retiros y Traslados de Bancos</v>
      </c>
      <c r="E118" s="1279" t="str">
        <f>_xlfn.XLOOKUP(C118,Códigos!$A$11:$A$415,Códigos!$B$11:$B$415,"Verificar",0)</f>
        <v>NOMBRE 25</v>
      </c>
      <c r="F118" s="1239">
        <v>220000</v>
      </c>
      <c r="G118" s="989">
        <f t="shared" si="1"/>
        <v>137613700</v>
      </c>
      <c r="H118" s="1050" t="s">
        <v>1083</v>
      </c>
      <c r="I118" s="561"/>
      <c r="J118" s="54"/>
    </row>
    <row r="119" spans="1:10" x14ac:dyDescent="0.2">
      <c r="A119" s="1236">
        <v>45723</v>
      </c>
      <c r="B119" s="1233" t="s">
        <v>37</v>
      </c>
      <c r="C119" s="1187">
        <v>5</v>
      </c>
      <c r="D119" s="1279" t="str">
        <f>_xlfn.XLOOKUP(B119,Códigos!$A$489:$A$522,Códigos!$B$489:$B$522,"Verificar",0)</f>
        <v>-Retiros y Traslados de Bancos</v>
      </c>
      <c r="E119" s="1279" t="str">
        <f>_xlfn.XLOOKUP(C119,Códigos!$A$11:$A$415,Códigos!$B$11:$B$415,"Verificar",0)</f>
        <v>NOMBRE 25</v>
      </c>
      <c r="F119" s="1239">
        <v>660000</v>
      </c>
      <c r="G119" s="989">
        <f t="shared" si="1"/>
        <v>138273700</v>
      </c>
      <c r="H119" s="997" t="s">
        <v>1222</v>
      </c>
      <c r="I119" s="561"/>
      <c r="J119" s="54"/>
    </row>
    <row r="120" spans="1:10" x14ac:dyDescent="0.2">
      <c r="A120" s="1236">
        <v>45723</v>
      </c>
      <c r="B120" s="1233" t="s">
        <v>37</v>
      </c>
      <c r="C120" s="1187">
        <v>3</v>
      </c>
      <c r="D120" s="1279" t="str">
        <f>_xlfn.XLOOKUP(B120,Códigos!$A$489:$A$522,Códigos!$B$489:$B$522,"Verificar",0)</f>
        <v>-Retiros y Traslados de Bancos</v>
      </c>
      <c r="E120" s="1279" t="str">
        <f>_xlfn.XLOOKUP(C120,Códigos!$A$11:$A$415,Códigos!$B$11:$B$415,"Verificar",0)</f>
        <v>NOMBRE 24</v>
      </c>
      <c r="F120" s="1239">
        <v>2000000</v>
      </c>
      <c r="G120" s="989">
        <f t="shared" si="1"/>
        <v>140273700</v>
      </c>
      <c r="H120" s="1049" t="s">
        <v>1038</v>
      </c>
      <c r="I120" s="561"/>
      <c r="J120" s="54"/>
    </row>
    <row r="121" spans="1:10" x14ac:dyDescent="0.2">
      <c r="A121" s="1236">
        <v>45726</v>
      </c>
      <c r="B121" s="1233" t="s">
        <v>37</v>
      </c>
      <c r="C121" s="1187">
        <v>5</v>
      </c>
      <c r="D121" s="1279" t="str">
        <f>_xlfn.XLOOKUP(B121,Códigos!$A$489:$A$522,Códigos!$B$489:$B$522,"Verificar",0)</f>
        <v>-Retiros y Traslados de Bancos</v>
      </c>
      <c r="E121" s="1279" t="str">
        <f>_xlfn.XLOOKUP(C121,Códigos!$A$11:$A$415,Códigos!$B$11:$B$415,"Verificar",0)</f>
        <v>NOMBRE 25</v>
      </c>
      <c r="F121" s="1239">
        <v>125500</v>
      </c>
      <c r="G121" s="989">
        <f t="shared" si="1"/>
        <v>140399200</v>
      </c>
      <c r="H121" s="1049" t="s">
        <v>1228</v>
      </c>
      <c r="I121" s="561"/>
      <c r="J121" s="54"/>
    </row>
    <row r="122" spans="1:10" x14ac:dyDescent="0.2">
      <c r="A122" s="1236">
        <v>45726</v>
      </c>
      <c r="B122" s="1233" t="s">
        <v>37</v>
      </c>
      <c r="C122" s="1187">
        <v>5</v>
      </c>
      <c r="D122" s="1279" t="str">
        <f>_xlfn.XLOOKUP(B122,Códigos!$A$489:$A$522,Códigos!$B$489:$B$522,"Verificar",0)</f>
        <v>-Retiros y Traslados de Bancos</v>
      </c>
      <c r="E122" s="1279" t="str">
        <f>_xlfn.XLOOKUP(C122,Códigos!$A$11:$A$415,Códigos!$B$11:$B$415,"Verificar",0)</f>
        <v>NOMBRE 25</v>
      </c>
      <c r="F122" s="1239">
        <v>46000</v>
      </c>
      <c r="G122" s="989">
        <f t="shared" si="1"/>
        <v>140445200</v>
      </c>
      <c r="H122" s="1049" t="s">
        <v>1229</v>
      </c>
      <c r="I122" s="561"/>
      <c r="J122" s="54"/>
    </row>
    <row r="123" spans="1:10" x14ac:dyDescent="0.2">
      <c r="A123" s="1236">
        <v>45728</v>
      </c>
      <c r="B123" s="1233" t="s">
        <v>37</v>
      </c>
      <c r="C123" s="1187">
        <v>5</v>
      </c>
      <c r="D123" s="1279" t="str">
        <f>_xlfn.XLOOKUP(B123,Códigos!$A$489:$A$522,Códigos!$B$489:$B$522,"Verificar",0)</f>
        <v>-Retiros y Traslados de Bancos</v>
      </c>
      <c r="E123" s="1279" t="str">
        <f>_xlfn.XLOOKUP(C123,Códigos!$A$11:$A$415,Códigos!$B$11:$B$415,"Verificar",0)</f>
        <v>NOMBRE 25</v>
      </c>
      <c r="F123" s="1239">
        <v>2000000</v>
      </c>
      <c r="G123" s="989">
        <f t="shared" si="1"/>
        <v>142445200</v>
      </c>
      <c r="H123" s="1049" t="s">
        <v>1038</v>
      </c>
      <c r="I123" s="561"/>
      <c r="J123" s="54"/>
    </row>
    <row r="124" spans="1:10" x14ac:dyDescent="0.2">
      <c r="A124" s="1236">
        <v>45728</v>
      </c>
      <c r="B124" s="1233" t="s">
        <v>36</v>
      </c>
      <c r="C124" s="1187">
        <v>250</v>
      </c>
      <c r="D124" s="1279" t="str">
        <f>_xlfn.XLOOKUP(B124,Códigos!$A$489:$A$522,Códigos!$B$489:$B$522,"Verificar",0)</f>
        <v>Recibido por: -Cuentas por Cobrar</v>
      </c>
      <c r="E124" s="1279" t="str">
        <f>_xlfn.XLOOKUP(C124,Códigos!$A$11:$A$415,Códigos!$B$11:$B$415,"Verificar",0)</f>
        <v>NOMBRE 75</v>
      </c>
      <c r="F124" s="1239">
        <v>300000</v>
      </c>
      <c r="G124" s="989">
        <f t="shared" si="1"/>
        <v>142745200</v>
      </c>
      <c r="H124" s="1049" t="s">
        <v>1233</v>
      </c>
      <c r="I124" s="561"/>
      <c r="J124" s="54"/>
    </row>
    <row r="125" spans="1:10" x14ac:dyDescent="0.2">
      <c r="A125" s="1236">
        <v>45728</v>
      </c>
      <c r="B125" s="1233" t="s">
        <v>37</v>
      </c>
      <c r="C125" s="1187">
        <v>5</v>
      </c>
      <c r="D125" s="1279" t="str">
        <f>_xlfn.XLOOKUP(B125,Códigos!$A$489:$A$522,Códigos!$B$489:$B$522,"Verificar",0)</f>
        <v>-Retiros y Traslados de Bancos</v>
      </c>
      <c r="E125" s="1279" t="str">
        <f>_xlfn.XLOOKUP(C125,Códigos!$A$11:$A$415,Códigos!$B$11:$B$415,"Verificar",0)</f>
        <v>NOMBRE 25</v>
      </c>
      <c r="F125" s="1239">
        <v>350000</v>
      </c>
      <c r="G125" s="989">
        <f t="shared" si="1"/>
        <v>143095200</v>
      </c>
      <c r="H125" s="1274" t="s">
        <v>1170</v>
      </c>
      <c r="I125" s="561"/>
      <c r="J125" s="54"/>
    </row>
    <row r="126" spans="1:10" x14ac:dyDescent="0.2">
      <c r="A126" s="1236">
        <v>45728</v>
      </c>
      <c r="B126" s="1233" t="s">
        <v>37</v>
      </c>
      <c r="C126" s="1187">
        <v>5</v>
      </c>
      <c r="D126" s="1279" t="str">
        <f>_xlfn.XLOOKUP(B126,Códigos!$A$489:$A$522,Códigos!$B$489:$B$522,"Verificar",0)</f>
        <v>-Retiros y Traslados de Bancos</v>
      </c>
      <c r="E126" s="1279" t="str">
        <f>_xlfn.XLOOKUP(C126,Códigos!$A$11:$A$415,Códigos!$B$11:$B$415,"Verificar",0)</f>
        <v>NOMBRE 25</v>
      </c>
      <c r="F126" s="1239">
        <v>200000</v>
      </c>
      <c r="G126" s="989">
        <f t="shared" si="1"/>
        <v>143295200</v>
      </c>
      <c r="H126" s="1274" t="s">
        <v>1171</v>
      </c>
      <c r="I126" s="561"/>
      <c r="J126" s="54"/>
    </row>
    <row r="127" spans="1:10" x14ac:dyDescent="0.2">
      <c r="A127" s="1237">
        <v>45729</v>
      </c>
      <c r="B127" s="1233" t="s">
        <v>37</v>
      </c>
      <c r="C127" s="1187">
        <v>5</v>
      </c>
      <c r="D127" s="1279" t="str">
        <f>_xlfn.XLOOKUP(B127,Códigos!$A$489:$A$522,Códigos!$B$489:$B$522,"Verificar",0)</f>
        <v>-Retiros y Traslados de Bancos</v>
      </c>
      <c r="E127" s="1279" t="str">
        <f>_xlfn.XLOOKUP(C127,Códigos!$A$11:$A$415,Códigos!$B$11:$B$415,"Verificar",0)</f>
        <v>NOMBRE 25</v>
      </c>
      <c r="F127" s="1239">
        <v>220000</v>
      </c>
      <c r="G127" s="989">
        <f t="shared" si="1"/>
        <v>143515200</v>
      </c>
      <c r="H127" s="1050" t="s">
        <v>1083</v>
      </c>
      <c r="I127" s="561"/>
      <c r="J127" s="54"/>
    </row>
    <row r="128" spans="1:10" x14ac:dyDescent="0.2">
      <c r="A128" s="1237">
        <v>45729</v>
      </c>
      <c r="B128" s="1233" t="s">
        <v>37</v>
      </c>
      <c r="C128" s="1187">
        <v>5</v>
      </c>
      <c r="D128" s="1279" t="str">
        <f>_xlfn.XLOOKUP(B128,Códigos!$A$489:$A$522,Códigos!$B$489:$B$522,"Verificar",0)</f>
        <v>-Retiros y Traslados de Bancos</v>
      </c>
      <c r="E128" s="1279" t="str">
        <f>_xlfn.XLOOKUP(C128,Códigos!$A$11:$A$415,Códigos!$B$11:$B$415,"Verificar",0)</f>
        <v>NOMBRE 25</v>
      </c>
      <c r="F128" s="1239">
        <v>660000</v>
      </c>
      <c r="G128" s="989">
        <f t="shared" si="1"/>
        <v>144175200</v>
      </c>
      <c r="H128" s="997" t="s">
        <v>1239</v>
      </c>
      <c r="I128" s="561"/>
      <c r="J128" s="54"/>
    </row>
    <row r="129" spans="1:10" x14ac:dyDescent="0.2">
      <c r="A129" s="1237">
        <v>45729</v>
      </c>
      <c r="B129" s="1233" t="s">
        <v>37</v>
      </c>
      <c r="C129" s="1187">
        <v>5</v>
      </c>
      <c r="D129" s="1279" t="str">
        <f>_xlfn.XLOOKUP(B129,Códigos!$A$489:$A$522,Códigos!$B$489:$B$522,"Verificar",0)</f>
        <v>-Retiros y Traslados de Bancos</v>
      </c>
      <c r="E129" s="1279" t="str">
        <f>_xlfn.XLOOKUP(C129,Códigos!$A$11:$A$415,Códigos!$B$11:$B$415,"Verificar",0)</f>
        <v>NOMBRE 25</v>
      </c>
      <c r="F129" s="1239">
        <v>87700</v>
      </c>
      <c r="G129" s="989">
        <f t="shared" si="1"/>
        <v>144262900</v>
      </c>
      <c r="H129" s="1050" t="s">
        <v>1066</v>
      </c>
      <c r="I129" s="561"/>
      <c r="J129" s="54"/>
    </row>
    <row r="130" spans="1:10" x14ac:dyDescent="0.2">
      <c r="A130" s="1237">
        <v>45729</v>
      </c>
      <c r="B130" s="1233" t="s">
        <v>37</v>
      </c>
      <c r="C130" s="1187">
        <v>5</v>
      </c>
      <c r="D130" s="1279" t="str">
        <f>_xlfn.XLOOKUP(B130,Códigos!$A$489:$A$522,Códigos!$B$489:$B$522,"Verificar",0)</f>
        <v>-Retiros y Traslados de Bancos</v>
      </c>
      <c r="E130" s="1279" t="str">
        <f>_xlfn.XLOOKUP(C130,Códigos!$A$11:$A$415,Códigos!$B$11:$B$415,"Verificar",0)</f>
        <v>NOMBRE 25</v>
      </c>
      <c r="F130" s="1239">
        <v>66500</v>
      </c>
      <c r="G130" s="989">
        <f t="shared" si="1"/>
        <v>144329400</v>
      </c>
      <c r="H130" s="1050" t="s">
        <v>1067</v>
      </c>
      <c r="I130" s="561"/>
      <c r="J130" s="54"/>
    </row>
    <row r="131" spans="1:10" x14ac:dyDescent="0.2">
      <c r="A131" s="1237">
        <v>45729</v>
      </c>
      <c r="B131" s="1233" t="s">
        <v>37</v>
      </c>
      <c r="C131" s="1187">
        <v>5</v>
      </c>
      <c r="D131" s="1279" t="str">
        <f>_xlfn.XLOOKUP(B131,Códigos!$A$489:$A$522,Códigos!$B$489:$B$522,"Verificar",0)</f>
        <v>-Retiros y Traslados de Bancos</v>
      </c>
      <c r="E131" s="1279" t="str">
        <f>_xlfn.XLOOKUP(C131,Códigos!$A$11:$A$415,Códigos!$B$11:$B$415,"Verificar",0)</f>
        <v>NOMBRE 25</v>
      </c>
      <c r="F131" s="1239">
        <v>136500</v>
      </c>
      <c r="G131" s="989">
        <f t="shared" si="1"/>
        <v>144465900</v>
      </c>
      <c r="H131" s="1049" t="s">
        <v>1106</v>
      </c>
      <c r="I131" s="561"/>
      <c r="J131" s="54"/>
    </row>
    <row r="132" spans="1:10" x14ac:dyDescent="0.2">
      <c r="A132" s="1237">
        <v>45729</v>
      </c>
      <c r="B132" s="1233" t="s">
        <v>37</v>
      </c>
      <c r="C132" s="1187">
        <v>5</v>
      </c>
      <c r="D132" s="1279" t="str">
        <f>_xlfn.XLOOKUP(B132,Códigos!$A$489:$A$522,Códigos!$B$489:$B$522,"Verificar",0)</f>
        <v>-Retiros y Traslados de Bancos</v>
      </c>
      <c r="E132" s="1279" t="str">
        <f>_xlfn.XLOOKUP(C132,Códigos!$A$11:$A$415,Códigos!$B$11:$B$415,"Verificar",0)</f>
        <v>NOMBRE 25</v>
      </c>
      <c r="F132" s="1239">
        <v>113000</v>
      </c>
      <c r="G132" s="989">
        <f t="shared" si="1"/>
        <v>144578900</v>
      </c>
      <c r="H132" s="1049" t="s">
        <v>1105</v>
      </c>
      <c r="I132" s="561"/>
      <c r="J132" s="54"/>
    </row>
    <row r="133" spans="1:10" x14ac:dyDescent="0.2">
      <c r="A133" s="1234">
        <v>45732</v>
      </c>
      <c r="B133" s="1233" t="s">
        <v>37</v>
      </c>
      <c r="C133" s="1187">
        <v>5</v>
      </c>
      <c r="D133" s="1279" t="str">
        <f>_xlfn.XLOOKUP(B133,Códigos!$A$489:$A$522,Códigos!$B$489:$B$522,"Verificar",0)</f>
        <v>-Retiros y Traslados de Bancos</v>
      </c>
      <c r="E133" s="1279" t="str">
        <f>_xlfn.XLOOKUP(C133,Códigos!$A$11:$A$415,Códigos!$B$11:$B$415,"Verificar",0)</f>
        <v>NOMBRE 25</v>
      </c>
      <c r="F133" s="1239">
        <v>1026800</v>
      </c>
      <c r="G133" s="989">
        <f t="shared" si="1"/>
        <v>145605700</v>
      </c>
      <c r="H133" s="997" t="s">
        <v>1113</v>
      </c>
      <c r="I133" s="561"/>
      <c r="J133" s="54"/>
    </row>
    <row r="134" spans="1:10" x14ac:dyDescent="0.2">
      <c r="A134" s="1237">
        <v>45734</v>
      </c>
      <c r="B134" s="1233" t="s">
        <v>37</v>
      </c>
      <c r="C134" s="1187">
        <v>5</v>
      </c>
      <c r="D134" s="1279" t="str">
        <f>_xlfn.XLOOKUP(B134,Códigos!$A$489:$A$522,Códigos!$B$489:$B$522,"Verificar",0)</f>
        <v>-Retiros y Traslados de Bancos</v>
      </c>
      <c r="E134" s="1279" t="str">
        <f>_xlfn.XLOOKUP(C134,Códigos!$A$11:$A$415,Códigos!$B$11:$B$415,"Verificar",0)</f>
        <v>NOMBRE 25</v>
      </c>
      <c r="F134" s="1239">
        <v>2000000</v>
      </c>
      <c r="G134" s="989">
        <f t="shared" si="1"/>
        <v>147605700</v>
      </c>
      <c r="H134" s="1049" t="s">
        <v>1038</v>
      </c>
      <c r="I134" s="561"/>
      <c r="J134" s="54"/>
    </row>
    <row r="135" spans="1:10" x14ac:dyDescent="0.2">
      <c r="A135" s="1237">
        <v>45734</v>
      </c>
      <c r="B135" s="1233" t="s">
        <v>37</v>
      </c>
      <c r="C135" s="1187">
        <v>5</v>
      </c>
      <c r="D135" s="1279" t="str">
        <f>_xlfn.XLOOKUP(B135,Códigos!$A$489:$A$522,Códigos!$B$489:$B$522,"Verificar",0)</f>
        <v>-Retiros y Traslados de Bancos</v>
      </c>
      <c r="E135" s="1279" t="str">
        <f>_xlfn.XLOOKUP(C135,Códigos!$A$11:$A$415,Códigos!$B$11:$B$415,"Verificar",0)</f>
        <v>NOMBRE 25</v>
      </c>
      <c r="F135" s="1239">
        <v>53700</v>
      </c>
      <c r="G135" s="989">
        <f t="shared" si="1"/>
        <v>147659400</v>
      </c>
      <c r="H135" s="1049" t="s">
        <v>1211</v>
      </c>
      <c r="I135" s="561"/>
      <c r="J135" s="54"/>
    </row>
    <row r="136" spans="1:10" x14ac:dyDescent="0.2">
      <c r="A136" s="1237">
        <v>45734</v>
      </c>
      <c r="B136" s="1233" t="s">
        <v>34</v>
      </c>
      <c r="C136" s="1187">
        <v>145</v>
      </c>
      <c r="D136" s="1279" t="str">
        <f>_xlfn.XLOOKUP(B136,Códigos!$A$489:$A$522,Códigos!$B$489:$B$522,"Verificar",0)</f>
        <v>Recibido por: -Cuentas de cobro -DAFF</v>
      </c>
      <c r="E136" s="1279" t="str">
        <f>_xlfn.XLOOKUP(C136,Códigos!$A$11:$A$415,Códigos!$B$11:$B$415,"Verificar",0)</f>
        <v>NOMBRE 238</v>
      </c>
      <c r="F136" s="1239">
        <v>3355000</v>
      </c>
      <c r="G136" s="989">
        <f t="shared" si="1"/>
        <v>151014400</v>
      </c>
      <c r="H136" s="1049" t="s">
        <v>1242</v>
      </c>
      <c r="I136" s="561"/>
      <c r="J136" s="54"/>
    </row>
    <row r="137" spans="1:10" x14ac:dyDescent="0.2">
      <c r="A137" s="1237">
        <v>45735</v>
      </c>
      <c r="B137" s="1233" t="s">
        <v>34</v>
      </c>
      <c r="C137" s="1187">
        <v>145</v>
      </c>
      <c r="D137" s="1279" t="str">
        <f>_xlfn.XLOOKUP(B137,Códigos!$A$489:$A$522,Códigos!$B$489:$B$522,"Verificar",0)</f>
        <v>Recibido por: -Cuentas de cobro -DAFF</v>
      </c>
      <c r="E137" s="1279" t="str">
        <f>_xlfn.XLOOKUP(C137,Códigos!$A$11:$A$415,Códigos!$B$11:$B$415,"Verificar",0)</f>
        <v>NOMBRE 238</v>
      </c>
      <c r="F137" s="1239">
        <v>3355000</v>
      </c>
      <c r="G137" s="989">
        <f t="shared" si="1"/>
        <v>154369400</v>
      </c>
      <c r="H137" s="1049" t="s">
        <v>1242</v>
      </c>
      <c r="I137" s="561"/>
      <c r="J137" s="54"/>
    </row>
    <row r="138" spans="1:10" x14ac:dyDescent="0.2">
      <c r="A138" s="1237">
        <v>45735</v>
      </c>
      <c r="B138" s="1233" t="s">
        <v>34</v>
      </c>
      <c r="C138" s="1187">
        <v>145</v>
      </c>
      <c r="D138" s="1279" t="str">
        <f>_xlfn.XLOOKUP(B138,Códigos!$A$489:$A$522,Códigos!$B$489:$B$522,"Verificar",0)</f>
        <v>Recibido por: -Cuentas de cobro -DAFF</v>
      </c>
      <c r="E138" s="1279" t="str">
        <f>_xlfn.XLOOKUP(C138,Códigos!$A$11:$A$415,Códigos!$B$11:$B$415,"Verificar",0)</f>
        <v>NOMBRE 238</v>
      </c>
      <c r="F138" s="1239">
        <v>3080000</v>
      </c>
      <c r="G138" s="989">
        <f t="shared" si="1"/>
        <v>157449400</v>
      </c>
      <c r="H138" s="1049" t="s">
        <v>1241</v>
      </c>
      <c r="I138" s="561"/>
      <c r="J138" s="54"/>
    </row>
    <row r="139" spans="1:10" ht="25.5" x14ac:dyDescent="0.2">
      <c r="A139" s="1237">
        <v>45735</v>
      </c>
      <c r="B139" s="1233" t="s">
        <v>37</v>
      </c>
      <c r="C139" s="1187">
        <v>5</v>
      </c>
      <c r="D139" s="1279" t="str">
        <f>_xlfn.XLOOKUP(B139,Códigos!$A$489:$A$522,Códigos!$B$489:$B$522,"Verificar",0)</f>
        <v>-Retiros y Traslados de Bancos</v>
      </c>
      <c r="E139" s="1279" t="str">
        <f>_xlfn.XLOOKUP(C139,Códigos!$A$11:$A$415,Códigos!$B$11:$B$415,"Verificar",0)</f>
        <v>NOMBRE 25</v>
      </c>
      <c r="F139" s="1239">
        <v>440000</v>
      </c>
      <c r="G139" s="989">
        <f t="shared" si="1"/>
        <v>157889400</v>
      </c>
      <c r="H139" s="1049" t="s">
        <v>1246</v>
      </c>
      <c r="I139" s="561"/>
      <c r="J139" s="54"/>
    </row>
    <row r="140" spans="1:10" x14ac:dyDescent="0.2">
      <c r="A140" s="1237">
        <v>45735</v>
      </c>
      <c r="B140" s="1233" t="s">
        <v>37</v>
      </c>
      <c r="C140" s="1187">
        <v>5</v>
      </c>
      <c r="D140" s="1279" t="str">
        <f>_xlfn.XLOOKUP(B140,Códigos!$A$489:$A$522,Códigos!$B$489:$B$522,"Verificar",0)</f>
        <v>-Retiros y Traslados de Bancos</v>
      </c>
      <c r="E140" s="1279" t="str">
        <f>_xlfn.XLOOKUP(C140,Códigos!$A$11:$A$415,Códigos!$B$11:$B$415,"Verificar",0)</f>
        <v>NOMBRE 25</v>
      </c>
      <c r="F140" s="1239">
        <v>680000</v>
      </c>
      <c r="G140" s="989">
        <f t="shared" si="1"/>
        <v>158569400</v>
      </c>
      <c r="H140" s="1049" t="s">
        <v>1247</v>
      </c>
      <c r="I140" s="561"/>
      <c r="J140" s="54"/>
    </row>
    <row r="141" spans="1:10" x14ac:dyDescent="0.2">
      <c r="A141" s="1237">
        <v>45736</v>
      </c>
      <c r="B141" s="1233" t="s">
        <v>37</v>
      </c>
      <c r="C141" s="1187">
        <v>3</v>
      </c>
      <c r="D141" s="1279" t="str">
        <f>_xlfn.XLOOKUP(B141,Códigos!$A$489:$A$522,Códigos!$B$489:$B$522,"Verificar",0)</f>
        <v>-Retiros y Traslados de Bancos</v>
      </c>
      <c r="E141" s="1279" t="str">
        <f>_xlfn.XLOOKUP(C141,Códigos!$A$11:$A$415,Códigos!$B$11:$B$415,"Verificar",0)</f>
        <v>NOMBRE 24</v>
      </c>
      <c r="F141" s="1239">
        <v>473700</v>
      </c>
      <c r="G141" s="989">
        <f t="shared" si="1"/>
        <v>159043100</v>
      </c>
      <c r="H141" s="1049" t="s">
        <v>1252</v>
      </c>
      <c r="I141" s="561"/>
      <c r="J141" s="54"/>
    </row>
    <row r="142" spans="1:10" x14ac:dyDescent="0.2">
      <c r="A142" s="1237">
        <v>45736</v>
      </c>
      <c r="B142" s="1233" t="s">
        <v>37</v>
      </c>
      <c r="C142" s="1187">
        <v>5</v>
      </c>
      <c r="D142" s="1279" t="str">
        <f>_xlfn.XLOOKUP(B142,Códigos!$A$489:$A$522,Códigos!$B$489:$B$522,"Verificar",0)</f>
        <v>-Retiros y Traslados de Bancos</v>
      </c>
      <c r="E142" s="1279" t="str">
        <f>_xlfn.XLOOKUP(C142,Códigos!$A$11:$A$415,Códigos!$B$11:$B$415,"Verificar",0)</f>
        <v>NOMBRE 25</v>
      </c>
      <c r="F142" s="1239">
        <v>220000</v>
      </c>
      <c r="G142" s="989">
        <f t="shared" si="1"/>
        <v>159263100</v>
      </c>
      <c r="H142" s="1050" t="s">
        <v>1083</v>
      </c>
      <c r="I142" s="561"/>
      <c r="J142" s="54"/>
    </row>
    <row r="143" spans="1:10" x14ac:dyDescent="0.2">
      <c r="A143" s="1237">
        <v>45736</v>
      </c>
      <c r="B143" s="1233" t="s">
        <v>37</v>
      </c>
      <c r="C143" s="1187">
        <v>5</v>
      </c>
      <c r="D143" s="1279" t="str">
        <f>_xlfn.XLOOKUP(B143,Códigos!$A$489:$A$522,Códigos!$B$489:$B$522,"Verificar",0)</f>
        <v>-Retiros y Traslados de Bancos</v>
      </c>
      <c r="E143" s="1279" t="str">
        <f>_xlfn.XLOOKUP(C143,Códigos!$A$11:$A$415,Códigos!$B$11:$B$415,"Verificar",0)</f>
        <v>NOMBRE 25</v>
      </c>
      <c r="F143" s="1239">
        <v>660000</v>
      </c>
      <c r="G143" s="989">
        <f t="shared" ref="G143:G206" si="2">+G142+F143</f>
        <v>159923100</v>
      </c>
      <c r="H143" s="997" t="s">
        <v>1256</v>
      </c>
      <c r="I143" s="561"/>
      <c r="J143" s="54"/>
    </row>
    <row r="144" spans="1:10" x14ac:dyDescent="0.2">
      <c r="A144" s="1237">
        <v>45741</v>
      </c>
      <c r="B144" s="1233" t="s">
        <v>37</v>
      </c>
      <c r="C144" s="1187">
        <v>3</v>
      </c>
      <c r="D144" s="1279" t="str">
        <f>_xlfn.XLOOKUP(B144,Códigos!$A$489:$A$522,Códigos!$B$489:$B$522,"Verificar",0)</f>
        <v>-Retiros y Traslados de Bancos</v>
      </c>
      <c r="E144" s="1279" t="str">
        <f>_xlfn.XLOOKUP(C144,Códigos!$A$11:$A$415,Códigos!$B$11:$B$415,"Verificar",0)</f>
        <v>NOMBRE 24</v>
      </c>
      <c r="F144" s="1239">
        <v>2000000</v>
      </c>
      <c r="G144" s="989">
        <f t="shared" si="2"/>
        <v>161923100</v>
      </c>
      <c r="H144" s="1049" t="s">
        <v>1038</v>
      </c>
      <c r="I144" s="561"/>
      <c r="J144" s="54"/>
    </row>
    <row r="145" spans="1:10" x14ac:dyDescent="0.2">
      <c r="A145" s="1237">
        <v>45741</v>
      </c>
      <c r="B145" s="1233" t="s">
        <v>37</v>
      </c>
      <c r="C145" s="1187">
        <v>5</v>
      </c>
      <c r="D145" s="1279" t="str">
        <f>_xlfn.XLOOKUP(B145,Códigos!$A$489:$A$522,Códigos!$B$489:$B$522,"Verificar",0)</f>
        <v>-Retiros y Traslados de Bancos</v>
      </c>
      <c r="E145" s="1279" t="str">
        <f>_xlfn.XLOOKUP(C145,Códigos!$A$11:$A$415,Códigos!$B$11:$B$415,"Verificar",0)</f>
        <v>NOMBRE 25</v>
      </c>
      <c r="F145" s="1239">
        <v>694100</v>
      </c>
      <c r="G145" s="989">
        <f t="shared" si="2"/>
        <v>162617200</v>
      </c>
      <c r="H145" s="1052" t="s">
        <v>1258</v>
      </c>
      <c r="I145" s="561"/>
      <c r="J145" s="54"/>
    </row>
    <row r="146" spans="1:10" x14ac:dyDescent="0.2">
      <c r="A146" s="1237">
        <v>45741</v>
      </c>
      <c r="B146" s="1233" t="s">
        <v>37</v>
      </c>
      <c r="C146" s="1187">
        <v>5</v>
      </c>
      <c r="D146" s="1279" t="str">
        <f>_xlfn.XLOOKUP(B146,Códigos!$A$489:$A$522,Códigos!$B$489:$B$522,"Verificar",0)</f>
        <v>-Retiros y Traslados de Bancos</v>
      </c>
      <c r="E146" s="1279" t="str">
        <f>_xlfn.XLOOKUP(C146,Códigos!$A$11:$A$415,Códigos!$B$11:$B$415,"Verificar",0)</f>
        <v>NOMBRE 25</v>
      </c>
      <c r="F146" s="1239">
        <v>2291100</v>
      </c>
      <c r="G146" s="989">
        <f t="shared" si="2"/>
        <v>164908300</v>
      </c>
      <c r="H146" s="1052" t="s">
        <v>1258</v>
      </c>
      <c r="I146" s="561"/>
      <c r="J146" s="54"/>
    </row>
    <row r="147" spans="1:10" x14ac:dyDescent="0.2">
      <c r="A147" s="1237">
        <v>45741</v>
      </c>
      <c r="B147" s="1233" t="s">
        <v>37</v>
      </c>
      <c r="C147" s="1187">
        <v>5</v>
      </c>
      <c r="D147" s="1279" t="str">
        <f>_xlfn.XLOOKUP(B147,Códigos!$A$489:$A$522,Códigos!$B$489:$B$522,"Verificar",0)</f>
        <v>-Retiros y Traslados de Bancos</v>
      </c>
      <c r="E147" s="1279" t="str">
        <f>_xlfn.XLOOKUP(C147,Códigos!$A$11:$A$415,Códigos!$B$11:$B$415,"Verificar",0)</f>
        <v>NOMBRE 25</v>
      </c>
      <c r="F147" s="1239">
        <v>5411100</v>
      </c>
      <c r="G147" s="989">
        <f t="shared" si="2"/>
        <v>170319400</v>
      </c>
      <c r="H147" s="1052" t="s">
        <v>1258</v>
      </c>
      <c r="I147" s="561"/>
      <c r="J147" s="54"/>
    </row>
    <row r="148" spans="1:10" x14ac:dyDescent="0.2">
      <c r="A148" s="1237">
        <v>45742</v>
      </c>
      <c r="B148" s="1233" t="s">
        <v>37</v>
      </c>
      <c r="C148" s="1187">
        <v>5</v>
      </c>
      <c r="D148" s="1279" t="str">
        <f>_xlfn.XLOOKUP(B148,Códigos!$A$489:$A$522,Códigos!$B$489:$B$522,"Verificar",0)</f>
        <v>-Retiros y Traslados de Bancos</v>
      </c>
      <c r="E148" s="1279" t="str">
        <f>_xlfn.XLOOKUP(C148,Códigos!$A$11:$A$415,Códigos!$B$11:$B$415,"Verificar",0)</f>
        <v>NOMBRE 25</v>
      </c>
      <c r="F148" s="1239">
        <v>220000</v>
      </c>
      <c r="G148" s="989">
        <f t="shared" si="2"/>
        <v>170539400</v>
      </c>
      <c r="H148" s="1050" t="s">
        <v>1083</v>
      </c>
      <c r="I148" s="561"/>
      <c r="J148" s="54"/>
    </row>
    <row r="149" spans="1:10" x14ac:dyDescent="0.2">
      <c r="A149" s="1237">
        <v>45742</v>
      </c>
      <c r="B149" s="1233" t="s">
        <v>37</v>
      </c>
      <c r="C149" s="1187">
        <v>5</v>
      </c>
      <c r="D149" s="1279" t="str">
        <f>_xlfn.XLOOKUP(B149,Códigos!$A$489:$A$522,Códigos!$B$489:$B$522,"Verificar",0)</f>
        <v>-Retiros y Traslados de Bancos</v>
      </c>
      <c r="E149" s="1279" t="str">
        <f>_xlfn.XLOOKUP(C149,Códigos!$A$11:$A$415,Códigos!$B$11:$B$415,"Verificar",0)</f>
        <v>NOMBRE 25</v>
      </c>
      <c r="F149" s="1239">
        <v>660000</v>
      </c>
      <c r="G149" s="989">
        <f t="shared" si="2"/>
        <v>171199400</v>
      </c>
      <c r="H149" s="997" t="s">
        <v>1264</v>
      </c>
      <c r="I149" s="561"/>
      <c r="J149" s="54"/>
    </row>
    <row r="150" spans="1:10" x14ac:dyDescent="0.2">
      <c r="A150" s="1237">
        <v>45742</v>
      </c>
      <c r="B150" s="1233" t="s">
        <v>37</v>
      </c>
      <c r="C150" s="1187">
        <v>5</v>
      </c>
      <c r="D150" s="1279" t="str">
        <f>_xlfn.XLOOKUP(B150,Códigos!$A$489:$A$522,Códigos!$B$489:$B$522,"Verificar",0)</f>
        <v>-Retiros y Traslados de Bancos</v>
      </c>
      <c r="E150" s="1279" t="str">
        <f>_xlfn.XLOOKUP(C150,Códigos!$A$11:$A$415,Códigos!$B$11:$B$415,"Verificar",0)</f>
        <v>NOMBRE 25</v>
      </c>
      <c r="F150" s="1239">
        <v>140300</v>
      </c>
      <c r="G150" s="989">
        <f t="shared" si="2"/>
        <v>171339700</v>
      </c>
      <c r="H150" s="1050" t="s">
        <v>1120</v>
      </c>
      <c r="I150" s="561"/>
      <c r="J150" s="54"/>
    </row>
    <row r="151" spans="1:10" x14ac:dyDescent="0.2">
      <c r="A151" s="1237">
        <v>45742</v>
      </c>
      <c r="B151" s="1233" t="s">
        <v>37</v>
      </c>
      <c r="C151" s="1187">
        <v>5</v>
      </c>
      <c r="D151" s="1279" t="str">
        <f>_xlfn.XLOOKUP(B151,Códigos!$A$489:$A$522,Códigos!$B$489:$B$522,"Verificar",0)</f>
        <v>-Retiros y Traslados de Bancos</v>
      </c>
      <c r="E151" s="1279" t="str">
        <f>_xlfn.XLOOKUP(C151,Códigos!$A$11:$A$415,Códigos!$B$11:$B$415,"Verificar",0)</f>
        <v>NOMBRE 25</v>
      </c>
      <c r="F151" s="1239">
        <v>57600</v>
      </c>
      <c r="G151" s="989">
        <f t="shared" si="2"/>
        <v>171397300</v>
      </c>
      <c r="H151" s="1050" t="s">
        <v>1121</v>
      </c>
      <c r="I151" s="561"/>
      <c r="J151" s="54"/>
    </row>
    <row r="152" spans="1:10" x14ac:dyDescent="0.2">
      <c r="A152" s="1237">
        <v>45742</v>
      </c>
      <c r="B152" s="1233" t="s">
        <v>37</v>
      </c>
      <c r="C152" s="1187">
        <v>5</v>
      </c>
      <c r="D152" s="1279" t="str">
        <f>_xlfn.XLOOKUP(B152,Códigos!$A$489:$A$522,Códigos!$B$489:$B$522,"Verificar",0)</f>
        <v>-Retiros y Traslados de Bancos</v>
      </c>
      <c r="E152" s="1279" t="str">
        <f>_xlfn.XLOOKUP(C152,Códigos!$A$11:$A$415,Códigos!$B$11:$B$415,"Verificar",0)</f>
        <v>NOMBRE 25</v>
      </c>
      <c r="F152" s="1239">
        <v>173800</v>
      </c>
      <c r="G152" s="989">
        <f t="shared" si="2"/>
        <v>171571100</v>
      </c>
      <c r="H152" s="1050" t="s">
        <v>1122</v>
      </c>
      <c r="I152" s="561"/>
      <c r="J152" s="54"/>
    </row>
    <row r="153" spans="1:10" x14ac:dyDescent="0.2">
      <c r="A153" s="1237">
        <v>45747</v>
      </c>
      <c r="B153" s="1233" t="s">
        <v>37</v>
      </c>
      <c r="C153" s="1187">
        <v>5</v>
      </c>
      <c r="D153" s="1279" t="str">
        <f>_xlfn.XLOOKUP(B153,Códigos!$A$489:$A$522,Códigos!$B$489:$B$522,"Verificar",0)</f>
        <v>-Retiros y Traslados de Bancos</v>
      </c>
      <c r="E153" s="1279" t="str">
        <f>_xlfn.XLOOKUP(C153,Códigos!$A$11:$A$415,Códigos!$B$11:$B$415,"Verificar",0)</f>
        <v>NOMBRE 25</v>
      </c>
      <c r="F153" s="1239">
        <v>91000</v>
      </c>
      <c r="G153" s="989">
        <f t="shared" si="2"/>
        <v>171662100</v>
      </c>
      <c r="H153" s="1052" t="s">
        <v>1258</v>
      </c>
      <c r="I153" s="561"/>
      <c r="J153" s="54"/>
    </row>
    <row r="154" spans="1:10" x14ac:dyDescent="0.2">
      <c r="A154" s="1237">
        <v>45750</v>
      </c>
      <c r="B154" s="1233" t="s">
        <v>37</v>
      </c>
      <c r="C154" s="1187">
        <v>5</v>
      </c>
      <c r="D154" s="1279" t="str">
        <f>_xlfn.XLOOKUP(B154,Códigos!$A$489:$A$522,Códigos!$B$489:$B$522,"Verificar",0)</f>
        <v>-Retiros y Traslados de Bancos</v>
      </c>
      <c r="E154" s="1279" t="str">
        <f>_xlfn.XLOOKUP(C154,Códigos!$A$11:$A$415,Códigos!$B$11:$B$415,"Verificar",0)</f>
        <v>NOMBRE 25</v>
      </c>
      <c r="F154" s="1239">
        <v>129900</v>
      </c>
      <c r="G154" s="989">
        <f t="shared" si="2"/>
        <v>171792000</v>
      </c>
      <c r="H154" s="1052" t="s">
        <v>1220</v>
      </c>
      <c r="I154" s="561"/>
      <c r="J154" s="54"/>
    </row>
    <row r="155" spans="1:10" x14ac:dyDescent="0.2">
      <c r="A155" s="1237">
        <v>45750</v>
      </c>
      <c r="B155" s="1233" t="s">
        <v>37</v>
      </c>
      <c r="C155" s="1187">
        <v>5</v>
      </c>
      <c r="D155" s="1279" t="str">
        <f>_xlfn.XLOOKUP(B155,Códigos!$A$489:$A$522,Códigos!$B$489:$B$522,"Verificar",0)</f>
        <v>-Retiros y Traslados de Bancos</v>
      </c>
      <c r="E155" s="1279" t="str">
        <f>_xlfn.XLOOKUP(C155,Códigos!$A$11:$A$415,Códigos!$B$11:$B$415,"Verificar",0)</f>
        <v>NOMBRE 25</v>
      </c>
      <c r="F155" s="1239">
        <v>1590900</v>
      </c>
      <c r="G155" s="989">
        <f t="shared" si="2"/>
        <v>173382900</v>
      </c>
      <c r="H155" s="1049" t="s">
        <v>1270</v>
      </c>
      <c r="I155" s="561"/>
      <c r="J155" s="54"/>
    </row>
    <row r="156" spans="1:10" x14ac:dyDescent="0.2">
      <c r="A156" s="1237">
        <v>45750</v>
      </c>
      <c r="B156" s="1233" t="s">
        <v>37</v>
      </c>
      <c r="C156" s="1187">
        <v>5</v>
      </c>
      <c r="D156" s="1279" t="str">
        <f>_xlfn.XLOOKUP(B156,Códigos!$A$489:$A$522,Códigos!$B$489:$B$522,"Verificar",0)</f>
        <v>-Retiros y Traslados de Bancos</v>
      </c>
      <c r="E156" s="1279" t="str">
        <f>_xlfn.XLOOKUP(C156,Códigos!$A$11:$A$415,Códigos!$B$11:$B$415,"Verificar",0)</f>
        <v>NOMBRE 25</v>
      </c>
      <c r="F156" s="1239">
        <v>100000</v>
      </c>
      <c r="G156" s="989">
        <f t="shared" si="2"/>
        <v>173482900</v>
      </c>
      <c r="H156" s="1049" t="s">
        <v>1114</v>
      </c>
      <c r="I156" s="561"/>
      <c r="J156" s="54"/>
    </row>
    <row r="157" spans="1:10" x14ac:dyDescent="0.2">
      <c r="A157" s="1237">
        <v>45750</v>
      </c>
      <c r="B157" s="1233" t="s">
        <v>37</v>
      </c>
      <c r="C157" s="1187">
        <v>5</v>
      </c>
      <c r="D157" s="1279" t="str">
        <f>_xlfn.XLOOKUP(B157,Códigos!$A$489:$A$522,Códigos!$B$489:$B$522,"Verificar",0)</f>
        <v>-Retiros y Traslados de Bancos</v>
      </c>
      <c r="E157" s="1279" t="str">
        <f>_xlfn.XLOOKUP(C157,Códigos!$A$11:$A$415,Códigos!$B$11:$B$415,"Verificar",0)</f>
        <v>NOMBRE 25</v>
      </c>
      <c r="F157" s="1239">
        <v>100000</v>
      </c>
      <c r="G157" s="989">
        <f t="shared" si="2"/>
        <v>173582900</v>
      </c>
      <c r="H157" s="1049" t="s">
        <v>1148</v>
      </c>
      <c r="I157" s="561"/>
      <c r="J157" s="54"/>
    </row>
    <row r="158" spans="1:10" x14ac:dyDescent="0.2">
      <c r="A158" s="1237">
        <v>45750</v>
      </c>
      <c r="B158" s="1233" t="s">
        <v>37</v>
      </c>
      <c r="C158" s="1187">
        <v>5</v>
      </c>
      <c r="D158" s="1279" t="str">
        <f>_xlfn.XLOOKUP(B158,Códigos!$A$489:$A$522,Códigos!$B$489:$B$522,"Verificar",0)</f>
        <v>-Retiros y Traslados de Bancos</v>
      </c>
      <c r="E158" s="1279" t="str">
        <f>_xlfn.XLOOKUP(C158,Códigos!$A$11:$A$415,Códigos!$B$11:$B$415,"Verificar",0)</f>
        <v>NOMBRE 25</v>
      </c>
      <c r="F158" s="1239">
        <v>500000</v>
      </c>
      <c r="G158" s="989">
        <f t="shared" si="2"/>
        <v>174082900</v>
      </c>
      <c r="H158" s="1049" t="s">
        <v>1271</v>
      </c>
      <c r="I158" s="561"/>
      <c r="J158" s="54"/>
    </row>
    <row r="159" spans="1:10" x14ac:dyDescent="0.2">
      <c r="A159" s="1237">
        <v>45750</v>
      </c>
      <c r="B159" s="1233" t="s">
        <v>10</v>
      </c>
      <c r="C159" s="1187">
        <v>262</v>
      </c>
      <c r="D159" s="1279" t="str">
        <f>_xlfn.XLOOKUP(B159,Códigos!$A$489:$A$522,Códigos!$B$489:$B$522,"Verificar",0)</f>
        <v>Recibido por: -Abono a préstamos por Nómina de:</v>
      </c>
      <c r="E159" s="1279" t="str">
        <f>_xlfn.XLOOKUP(C159,Códigos!$A$11:$A$415,Códigos!$B$11:$B$415,"Verificar",0)</f>
        <v>NOMBRE 95</v>
      </c>
      <c r="F159" s="1239">
        <v>200000</v>
      </c>
      <c r="G159" s="989">
        <f t="shared" si="2"/>
        <v>174282900</v>
      </c>
      <c r="H159" s="1049" t="s">
        <v>1149</v>
      </c>
      <c r="I159" s="561"/>
      <c r="J159" s="54"/>
    </row>
    <row r="160" spans="1:10" x14ac:dyDescent="0.2">
      <c r="A160" s="1237">
        <v>45750</v>
      </c>
      <c r="B160" s="1233" t="s">
        <v>37</v>
      </c>
      <c r="C160" s="1187">
        <v>5</v>
      </c>
      <c r="D160" s="1279" t="str">
        <f>_xlfn.XLOOKUP(B160,Códigos!$A$489:$A$522,Códigos!$B$489:$B$522,"Verificar",0)</f>
        <v>-Retiros y Traslados de Bancos</v>
      </c>
      <c r="E160" s="1279" t="str">
        <f>_xlfn.XLOOKUP(C160,Códigos!$A$11:$A$415,Códigos!$B$11:$B$415,"Verificar",0)</f>
        <v>NOMBRE 25</v>
      </c>
      <c r="F160" s="1239">
        <v>110000</v>
      </c>
      <c r="G160" s="989">
        <f t="shared" si="2"/>
        <v>174392900</v>
      </c>
      <c r="H160" s="1049" t="s">
        <v>1278</v>
      </c>
      <c r="I160" s="561"/>
      <c r="J160" s="54"/>
    </row>
    <row r="161" spans="1:10" x14ac:dyDescent="0.2">
      <c r="A161" s="1237">
        <v>45750</v>
      </c>
      <c r="B161" s="1233" t="s">
        <v>37</v>
      </c>
      <c r="C161" s="1187">
        <v>5</v>
      </c>
      <c r="D161" s="1279" t="str">
        <f>_xlfn.XLOOKUP(B161,Códigos!$A$489:$A$522,Códigos!$B$489:$B$522,"Verificar",0)</f>
        <v>-Retiros y Traslados de Bancos</v>
      </c>
      <c r="E161" s="1279" t="str">
        <f>_xlfn.XLOOKUP(C161,Códigos!$A$11:$A$415,Códigos!$B$11:$B$415,"Verificar",0)</f>
        <v>NOMBRE 25</v>
      </c>
      <c r="F161" s="1239">
        <v>1185000</v>
      </c>
      <c r="G161" s="989">
        <f t="shared" si="2"/>
        <v>175577900</v>
      </c>
      <c r="H161" s="1049" t="s">
        <v>1107</v>
      </c>
      <c r="I161" s="561"/>
      <c r="J161" s="54"/>
    </row>
    <row r="162" spans="1:10" x14ac:dyDescent="0.2">
      <c r="A162" s="1237">
        <v>45750</v>
      </c>
      <c r="B162" s="1233" t="s">
        <v>37</v>
      </c>
      <c r="C162" s="1187">
        <v>5</v>
      </c>
      <c r="D162" s="1279" t="str">
        <f>_xlfn.XLOOKUP(B162,Códigos!$A$489:$A$522,Códigos!$B$489:$B$522,"Verificar",0)</f>
        <v>-Retiros y Traslados de Bancos</v>
      </c>
      <c r="E162" s="1279" t="str">
        <f>_xlfn.XLOOKUP(C162,Códigos!$A$11:$A$415,Códigos!$B$11:$B$415,"Verificar",0)</f>
        <v>NOMBRE 25</v>
      </c>
      <c r="F162" s="1239">
        <v>220000</v>
      </c>
      <c r="G162" s="989">
        <f t="shared" si="2"/>
        <v>175797900</v>
      </c>
      <c r="H162" s="1050" t="s">
        <v>1083</v>
      </c>
      <c r="I162" s="561"/>
      <c r="J162" s="54"/>
    </row>
    <row r="163" spans="1:10" x14ac:dyDescent="0.2">
      <c r="A163" s="1237">
        <v>45750</v>
      </c>
      <c r="B163" s="1233" t="s">
        <v>37</v>
      </c>
      <c r="C163" s="1187">
        <v>5</v>
      </c>
      <c r="D163" s="1279" t="str">
        <f>_xlfn.XLOOKUP(B163,Códigos!$A$489:$A$522,Códigos!$B$489:$B$522,"Verificar",0)</f>
        <v>-Retiros y Traslados de Bancos</v>
      </c>
      <c r="E163" s="1279" t="str">
        <f>_xlfn.XLOOKUP(C163,Códigos!$A$11:$A$415,Códigos!$B$11:$B$415,"Verificar",0)</f>
        <v>NOMBRE 25</v>
      </c>
      <c r="F163" s="1239">
        <v>660000</v>
      </c>
      <c r="G163" s="989">
        <f t="shared" si="2"/>
        <v>176457900</v>
      </c>
      <c r="H163" s="997" t="s">
        <v>1280</v>
      </c>
      <c r="I163" s="561"/>
      <c r="J163" s="54"/>
    </row>
    <row r="164" spans="1:10" x14ac:dyDescent="0.2">
      <c r="A164" s="1237">
        <v>45751</v>
      </c>
      <c r="B164" s="1233" t="s">
        <v>37</v>
      </c>
      <c r="C164" s="1187">
        <v>3</v>
      </c>
      <c r="D164" s="1279" t="str">
        <f>_xlfn.XLOOKUP(B164,Códigos!$A$489:$A$522,Códigos!$B$489:$B$522,"Verificar",0)</f>
        <v>-Retiros y Traslados de Bancos</v>
      </c>
      <c r="E164" s="1279" t="str">
        <f>_xlfn.XLOOKUP(C164,Códigos!$A$11:$A$415,Códigos!$B$11:$B$415,"Verificar",0)</f>
        <v>NOMBRE 24</v>
      </c>
      <c r="F164" s="1239">
        <v>2000000</v>
      </c>
      <c r="G164" s="989">
        <f t="shared" si="2"/>
        <v>178457900</v>
      </c>
      <c r="H164" s="1049" t="s">
        <v>1038</v>
      </c>
      <c r="I164" s="561"/>
      <c r="J164" s="54"/>
    </row>
    <row r="165" spans="1:10" x14ac:dyDescent="0.2">
      <c r="A165" s="1237">
        <v>45751</v>
      </c>
      <c r="B165" s="1233" t="s">
        <v>37</v>
      </c>
      <c r="C165" s="1187">
        <v>5</v>
      </c>
      <c r="D165" s="1279" t="str">
        <f>_xlfn.XLOOKUP(B165,Códigos!$A$489:$A$522,Códigos!$B$489:$B$522,"Verificar",0)</f>
        <v>-Retiros y Traslados de Bancos</v>
      </c>
      <c r="E165" s="1279" t="str">
        <f>_xlfn.XLOOKUP(C165,Códigos!$A$11:$A$415,Códigos!$B$11:$B$415,"Verificar",0)</f>
        <v>NOMBRE 25</v>
      </c>
      <c r="F165" s="1239">
        <v>410000</v>
      </c>
      <c r="G165" s="989">
        <f t="shared" si="2"/>
        <v>178867900</v>
      </c>
      <c r="H165" s="1049" t="s">
        <v>1283</v>
      </c>
      <c r="I165" s="561"/>
      <c r="J165" s="54"/>
    </row>
    <row r="166" spans="1:10" x14ac:dyDescent="0.2">
      <c r="A166" s="1237">
        <v>45751</v>
      </c>
      <c r="B166" s="1233" t="s">
        <v>37</v>
      </c>
      <c r="C166" s="1187">
        <v>5</v>
      </c>
      <c r="D166" s="1279" t="str">
        <f>_xlfn.XLOOKUP(B166,Códigos!$A$489:$A$522,Códigos!$B$489:$B$522,"Verificar",0)</f>
        <v>-Retiros y Traslados de Bancos</v>
      </c>
      <c r="E166" s="1279" t="str">
        <f>_xlfn.XLOOKUP(C166,Códigos!$A$11:$A$415,Códigos!$B$11:$B$415,"Verificar",0)</f>
        <v>NOMBRE 25</v>
      </c>
      <c r="F166" s="1239">
        <v>800000</v>
      </c>
      <c r="G166" s="989">
        <f t="shared" si="2"/>
        <v>179667900</v>
      </c>
      <c r="H166" s="1050" t="s">
        <v>1284</v>
      </c>
      <c r="I166" s="561"/>
      <c r="J166" s="54"/>
    </row>
    <row r="167" spans="1:10" x14ac:dyDescent="0.2">
      <c r="A167" s="1237">
        <v>45751</v>
      </c>
      <c r="B167" s="1233" t="s">
        <v>37</v>
      </c>
      <c r="C167" s="1187">
        <v>5</v>
      </c>
      <c r="D167" s="1279" t="str">
        <f>_xlfn.XLOOKUP(B167,Códigos!$A$489:$A$522,Códigos!$B$489:$B$522,"Verificar",0)</f>
        <v>-Retiros y Traslados de Bancos</v>
      </c>
      <c r="E167" s="1279" t="str">
        <f>_xlfn.XLOOKUP(C167,Códigos!$A$11:$A$415,Códigos!$B$11:$B$415,"Verificar",0)</f>
        <v>NOMBRE 25</v>
      </c>
      <c r="F167" s="1239">
        <v>1036900</v>
      </c>
      <c r="G167" s="989">
        <f t="shared" si="2"/>
        <v>180704800</v>
      </c>
      <c r="H167" s="1049" t="s">
        <v>1285</v>
      </c>
      <c r="I167" s="561"/>
      <c r="J167" s="54"/>
    </row>
    <row r="168" spans="1:10" x14ac:dyDescent="0.2">
      <c r="A168" s="1236">
        <v>45754</v>
      </c>
      <c r="B168" s="1233" t="s">
        <v>37</v>
      </c>
      <c r="C168" s="1187">
        <v>3</v>
      </c>
      <c r="D168" s="1279" t="str">
        <f>_xlfn.XLOOKUP(B168,Códigos!$A$489:$A$522,Códigos!$B$489:$B$522,"Verificar",0)</f>
        <v>-Retiros y Traslados de Bancos</v>
      </c>
      <c r="E168" s="1279" t="str">
        <f>_xlfn.XLOOKUP(C168,Códigos!$A$11:$A$415,Códigos!$B$11:$B$415,"Verificar",0)</f>
        <v>NOMBRE 24</v>
      </c>
      <c r="F168" s="1239">
        <v>2000000</v>
      </c>
      <c r="G168" s="989">
        <f t="shared" si="2"/>
        <v>182704800</v>
      </c>
      <c r="H168" s="1049" t="s">
        <v>1038</v>
      </c>
      <c r="I168" s="561"/>
      <c r="J168" s="54"/>
    </row>
    <row r="169" spans="1:10" x14ac:dyDescent="0.2">
      <c r="A169" s="1236">
        <v>45754</v>
      </c>
      <c r="B169" s="1233" t="s">
        <v>37</v>
      </c>
      <c r="C169" s="1187">
        <v>5</v>
      </c>
      <c r="D169" s="1279" t="str">
        <f>_xlfn.XLOOKUP(B169,Códigos!$A$489:$A$522,Códigos!$B$489:$B$522,"Verificar",0)</f>
        <v>-Retiros y Traslados de Bancos</v>
      </c>
      <c r="E169" s="1279" t="str">
        <f>_xlfn.XLOOKUP(C169,Códigos!$A$11:$A$415,Códigos!$B$11:$B$415,"Verificar",0)</f>
        <v>NOMBRE 25</v>
      </c>
      <c r="F169" s="1239">
        <v>1392400</v>
      </c>
      <c r="G169" s="989">
        <f t="shared" si="2"/>
        <v>184097200</v>
      </c>
      <c r="H169" s="1052" t="s">
        <v>1224</v>
      </c>
      <c r="I169" s="561"/>
      <c r="J169" s="54"/>
    </row>
    <row r="170" spans="1:10" x14ac:dyDescent="0.2">
      <c r="A170" s="1236">
        <v>45754</v>
      </c>
      <c r="B170" s="1233" t="s">
        <v>37</v>
      </c>
      <c r="C170" s="1187">
        <v>5</v>
      </c>
      <c r="D170" s="1279" t="str">
        <f>_xlfn.XLOOKUP(B170,Códigos!$A$489:$A$522,Códigos!$B$489:$B$522,"Verificar",0)</f>
        <v>-Retiros y Traslados de Bancos</v>
      </c>
      <c r="E170" s="1279" t="str">
        <f>_xlfn.XLOOKUP(C170,Códigos!$A$11:$A$415,Códigos!$B$11:$B$415,"Verificar",0)</f>
        <v>NOMBRE 25</v>
      </c>
      <c r="F170" s="1239">
        <v>940500</v>
      </c>
      <c r="G170" s="989">
        <f t="shared" si="2"/>
        <v>185037700</v>
      </c>
      <c r="H170" s="1052" t="s">
        <v>1225</v>
      </c>
      <c r="I170" s="561"/>
      <c r="J170" s="54"/>
    </row>
    <row r="171" spans="1:10" x14ac:dyDescent="0.2">
      <c r="A171" s="1236">
        <v>45756</v>
      </c>
      <c r="B171" s="1233" t="s">
        <v>34</v>
      </c>
      <c r="C171" s="1187">
        <v>366</v>
      </c>
      <c r="D171" s="1279" t="str">
        <f>_xlfn.XLOOKUP(B171,Códigos!$A$489:$A$522,Códigos!$B$489:$B$522,"Verificar",0)</f>
        <v>Recibido por: -Cuentas de cobro -DAFF</v>
      </c>
      <c r="E171" s="1279" t="str">
        <f>_xlfn.XLOOKUP(C171,Códigos!$A$11:$A$415,Códigos!$B$11:$B$415,"Verificar",0)</f>
        <v>NOMBRE 367</v>
      </c>
      <c r="F171" s="1239">
        <v>7000000</v>
      </c>
      <c r="G171" s="989">
        <f t="shared" si="2"/>
        <v>192037700</v>
      </c>
      <c r="H171" s="1049" t="s">
        <v>1289</v>
      </c>
      <c r="I171" s="561"/>
      <c r="J171" s="54"/>
    </row>
    <row r="172" spans="1:10" x14ac:dyDescent="0.2">
      <c r="A172" s="1236">
        <v>45757</v>
      </c>
      <c r="B172" s="1233" t="s">
        <v>37</v>
      </c>
      <c r="C172" s="1187">
        <v>5</v>
      </c>
      <c r="D172" s="1279" t="str">
        <f>_xlfn.XLOOKUP(B172,Códigos!$A$489:$A$522,Códigos!$B$489:$B$522,"Verificar",0)</f>
        <v>-Retiros y Traslados de Bancos</v>
      </c>
      <c r="E172" s="1279" t="str">
        <f>_xlfn.XLOOKUP(C172,Códigos!$A$11:$A$415,Códigos!$B$11:$B$415,"Verificar",0)</f>
        <v>NOMBRE 25</v>
      </c>
      <c r="F172" s="1239">
        <v>220000</v>
      </c>
      <c r="G172" s="989">
        <f t="shared" si="2"/>
        <v>192257700</v>
      </c>
      <c r="H172" s="1050" t="s">
        <v>1083</v>
      </c>
      <c r="I172" s="561"/>
      <c r="J172" s="54"/>
    </row>
    <row r="173" spans="1:10" x14ac:dyDescent="0.2">
      <c r="A173" s="1236">
        <v>45757</v>
      </c>
      <c r="B173" s="1233" t="s">
        <v>37</v>
      </c>
      <c r="C173" s="1187">
        <v>5</v>
      </c>
      <c r="D173" s="1279" t="str">
        <f>_xlfn.XLOOKUP(B173,Códigos!$A$489:$A$522,Códigos!$B$489:$B$522,"Verificar",0)</f>
        <v>-Retiros y Traslados de Bancos</v>
      </c>
      <c r="E173" s="1279" t="str">
        <f>_xlfn.XLOOKUP(C173,Códigos!$A$11:$A$415,Códigos!$B$11:$B$415,"Verificar",0)</f>
        <v>NOMBRE 25</v>
      </c>
      <c r="F173" s="1239">
        <v>660000</v>
      </c>
      <c r="G173" s="989">
        <f t="shared" si="2"/>
        <v>192917700</v>
      </c>
      <c r="H173" s="997" t="s">
        <v>1291</v>
      </c>
      <c r="I173" s="561"/>
      <c r="J173" s="54"/>
    </row>
    <row r="174" spans="1:10" x14ac:dyDescent="0.2">
      <c r="A174" s="1236">
        <v>45758</v>
      </c>
      <c r="B174" s="1233" t="s">
        <v>37</v>
      </c>
      <c r="C174" s="1187">
        <v>5</v>
      </c>
      <c r="D174" s="1279" t="str">
        <f>_xlfn.XLOOKUP(B174,Códigos!$A$489:$A$522,Códigos!$B$489:$B$522,"Verificar",0)</f>
        <v>-Retiros y Traslados de Bancos</v>
      </c>
      <c r="E174" s="1279" t="str">
        <f>_xlfn.XLOOKUP(C174,Códigos!$A$11:$A$415,Códigos!$B$11:$B$415,"Verificar",0)</f>
        <v>NOMBRE 25</v>
      </c>
      <c r="F174" s="1239">
        <v>2000000</v>
      </c>
      <c r="G174" s="989">
        <f t="shared" si="2"/>
        <v>194917700</v>
      </c>
      <c r="H174" s="1049" t="s">
        <v>1038</v>
      </c>
      <c r="I174" s="561"/>
      <c r="J174" s="54"/>
    </row>
    <row r="175" spans="1:10" x14ac:dyDescent="0.2">
      <c r="A175" s="1236">
        <v>45761</v>
      </c>
      <c r="B175" s="1233" t="s">
        <v>37</v>
      </c>
      <c r="C175" s="1187">
        <v>5</v>
      </c>
      <c r="D175" s="1279" t="str">
        <f>_xlfn.XLOOKUP(B175,Códigos!$A$489:$A$522,Códigos!$B$489:$B$522,"Verificar",0)</f>
        <v>-Retiros y Traslados de Bancos</v>
      </c>
      <c r="E175" s="1279" t="str">
        <f>_xlfn.XLOOKUP(C175,Códigos!$A$11:$A$415,Códigos!$B$11:$B$415,"Verificar",0)</f>
        <v>NOMBRE 25</v>
      </c>
      <c r="F175" s="1239">
        <v>82300</v>
      </c>
      <c r="G175" s="989">
        <f t="shared" si="2"/>
        <v>195000000</v>
      </c>
      <c r="H175" s="1050" t="s">
        <v>1066</v>
      </c>
      <c r="I175" s="561"/>
      <c r="J175" s="54"/>
    </row>
    <row r="176" spans="1:10" x14ac:dyDescent="0.2">
      <c r="A176" s="1236">
        <v>45761</v>
      </c>
      <c r="B176" s="1233" t="s">
        <v>37</v>
      </c>
      <c r="C176" s="1187">
        <v>5</v>
      </c>
      <c r="D176" s="1279" t="str">
        <f>_xlfn.XLOOKUP(B176,Códigos!$A$489:$A$522,Códigos!$B$489:$B$522,"Verificar",0)</f>
        <v>-Retiros y Traslados de Bancos</v>
      </c>
      <c r="E176" s="1279" t="str">
        <f>_xlfn.XLOOKUP(C176,Códigos!$A$11:$A$415,Códigos!$B$11:$B$415,"Verificar",0)</f>
        <v>NOMBRE 25</v>
      </c>
      <c r="F176" s="1239">
        <v>66200</v>
      </c>
      <c r="G176" s="989">
        <f t="shared" si="2"/>
        <v>195066200</v>
      </c>
      <c r="H176" s="1050" t="s">
        <v>1067</v>
      </c>
      <c r="I176" s="561"/>
      <c r="J176" s="54"/>
    </row>
    <row r="177" spans="1:10" x14ac:dyDescent="0.2">
      <c r="A177" s="1236">
        <v>45761</v>
      </c>
      <c r="B177" s="1233" t="s">
        <v>37</v>
      </c>
      <c r="C177" s="1187">
        <v>5</v>
      </c>
      <c r="D177" s="1279" t="str">
        <f>_xlfn.XLOOKUP(B177,Códigos!$A$489:$A$522,Códigos!$B$489:$B$522,"Verificar",0)</f>
        <v>-Retiros y Traslados de Bancos</v>
      </c>
      <c r="E177" s="1279" t="str">
        <f>_xlfn.XLOOKUP(C177,Códigos!$A$11:$A$415,Códigos!$B$11:$B$415,"Verificar",0)</f>
        <v>NOMBRE 25</v>
      </c>
      <c r="F177" s="1239">
        <v>125500</v>
      </c>
      <c r="G177" s="989">
        <f t="shared" si="2"/>
        <v>195191700</v>
      </c>
      <c r="H177" s="1049" t="s">
        <v>1162</v>
      </c>
      <c r="I177" s="561"/>
      <c r="J177" s="54"/>
    </row>
    <row r="178" spans="1:10" x14ac:dyDescent="0.2">
      <c r="A178" s="1236">
        <v>45761</v>
      </c>
      <c r="B178" s="1233" t="s">
        <v>37</v>
      </c>
      <c r="C178" s="1187">
        <v>5</v>
      </c>
      <c r="D178" s="1279" t="str">
        <f>_xlfn.XLOOKUP(B178,Códigos!$A$489:$A$522,Códigos!$B$489:$B$522,"Verificar",0)</f>
        <v>-Retiros y Traslados de Bancos</v>
      </c>
      <c r="E178" s="1279" t="str">
        <f>_xlfn.XLOOKUP(C178,Códigos!$A$11:$A$415,Códigos!$B$11:$B$415,"Verificar",0)</f>
        <v>NOMBRE 25</v>
      </c>
      <c r="F178" s="1239">
        <v>136500</v>
      </c>
      <c r="G178" s="989">
        <f t="shared" si="2"/>
        <v>195328200</v>
      </c>
      <c r="H178" s="1049" t="s">
        <v>1106</v>
      </c>
      <c r="I178" s="561"/>
      <c r="J178" s="54"/>
    </row>
    <row r="179" spans="1:10" x14ac:dyDescent="0.2">
      <c r="A179" s="1236">
        <v>45761</v>
      </c>
      <c r="B179" s="1233" t="s">
        <v>37</v>
      </c>
      <c r="C179" s="1187">
        <v>5</v>
      </c>
      <c r="D179" s="1279" t="str">
        <f>_xlfn.XLOOKUP(B179,Códigos!$A$489:$A$522,Códigos!$B$489:$B$522,"Verificar",0)</f>
        <v>-Retiros y Traslados de Bancos</v>
      </c>
      <c r="E179" s="1279" t="str">
        <f>_xlfn.XLOOKUP(C179,Códigos!$A$11:$A$415,Códigos!$B$11:$B$415,"Verificar",0)</f>
        <v>NOMBRE 25</v>
      </c>
      <c r="F179" s="1239">
        <v>1900000</v>
      </c>
      <c r="G179" s="989">
        <f t="shared" si="2"/>
        <v>197228200</v>
      </c>
      <c r="H179" s="1049" t="s">
        <v>1295</v>
      </c>
      <c r="I179" s="561"/>
      <c r="J179" s="54"/>
    </row>
    <row r="180" spans="1:10" x14ac:dyDescent="0.2">
      <c r="A180" s="1236">
        <v>45761</v>
      </c>
      <c r="B180" s="1233" t="s">
        <v>37</v>
      </c>
      <c r="C180" s="1187">
        <v>5</v>
      </c>
      <c r="D180" s="1279" t="str">
        <f>_xlfn.XLOOKUP(B180,Códigos!$A$489:$A$522,Códigos!$B$489:$B$522,"Verificar",0)</f>
        <v>-Retiros y Traslados de Bancos</v>
      </c>
      <c r="E180" s="1279" t="str">
        <f>_xlfn.XLOOKUP(C180,Códigos!$A$11:$A$415,Códigos!$B$11:$B$415,"Verificar",0)</f>
        <v>NOMBRE 25</v>
      </c>
      <c r="F180" s="1239">
        <v>350000</v>
      </c>
      <c r="G180" s="989">
        <f t="shared" si="2"/>
        <v>197578200</v>
      </c>
      <c r="H180" s="1274" t="s">
        <v>1170</v>
      </c>
      <c r="I180" s="561"/>
      <c r="J180" s="54"/>
    </row>
    <row r="181" spans="1:10" x14ac:dyDescent="0.2">
      <c r="A181" s="1236">
        <v>45761</v>
      </c>
      <c r="B181" s="1233" t="s">
        <v>37</v>
      </c>
      <c r="C181" s="1187">
        <v>5</v>
      </c>
      <c r="D181" s="1279" t="str">
        <f>_xlfn.XLOOKUP(B181,Códigos!$A$489:$A$522,Códigos!$B$489:$B$522,"Verificar",0)</f>
        <v>-Retiros y Traslados de Bancos</v>
      </c>
      <c r="E181" s="1279" t="str">
        <f>_xlfn.XLOOKUP(C181,Códigos!$A$11:$A$415,Códigos!$B$11:$B$415,"Verificar",0)</f>
        <v>NOMBRE 25</v>
      </c>
      <c r="F181" s="1239">
        <v>200000</v>
      </c>
      <c r="G181" s="989">
        <f t="shared" si="2"/>
        <v>197778200</v>
      </c>
      <c r="H181" s="1274" t="s">
        <v>1171</v>
      </c>
      <c r="I181" s="561"/>
      <c r="J181" s="54"/>
    </row>
    <row r="182" spans="1:10" x14ac:dyDescent="0.2">
      <c r="A182" s="1236">
        <v>45761</v>
      </c>
      <c r="B182" s="1233" t="s">
        <v>37</v>
      </c>
      <c r="C182" s="1187">
        <v>5</v>
      </c>
      <c r="D182" s="1279" t="str">
        <f>_xlfn.XLOOKUP(B182,Códigos!$A$489:$A$522,Códigos!$B$489:$B$522,"Verificar",0)</f>
        <v>-Retiros y Traslados de Bancos</v>
      </c>
      <c r="E182" s="1279" t="str">
        <f>_xlfn.XLOOKUP(C182,Códigos!$A$11:$A$415,Códigos!$B$11:$B$415,"Verificar",0)</f>
        <v>NOMBRE 25</v>
      </c>
      <c r="F182" s="1239">
        <v>3260400</v>
      </c>
      <c r="G182" s="989">
        <f t="shared" si="2"/>
        <v>201038600</v>
      </c>
      <c r="H182" s="1049" t="s">
        <v>1305</v>
      </c>
      <c r="I182" s="561"/>
      <c r="J182" s="54"/>
    </row>
    <row r="183" spans="1:10" x14ac:dyDescent="0.2">
      <c r="A183" s="1236">
        <v>45763</v>
      </c>
      <c r="B183" s="1233" t="s">
        <v>37</v>
      </c>
      <c r="C183" s="1187">
        <v>5</v>
      </c>
      <c r="D183" s="1279" t="str">
        <f>_xlfn.XLOOKUP(B183,Códigos!$A$489:$A$522,Códigos!$B$489:$B$522,"Verificar",0)</f>
        <v>-Retiros y Traslados de Bancos</v>
      </c>
      <c r="E183" s="1279" t="str">
        <f>_xlfn.XLOOKUP(C183,Códigos!$A$11:$A$415,Códigos!$B$11:$B$415,"Verificar",0)</f>
        <v>NOMBRE 25</v>
      </c>
      <c r="F183" s="1239">
        <v>220000</v>
      </c>
      <c r="G183" s="989">
        <f t="shared" si="2"/>
        <v>201258600</v>
      </c>
      <c r="H183" s="1050" t="s">
        <v>1083</v>
      </c>
      <c r="I183" s="561"/>
      <c r="J183" s="54"/>
    </row>
    <row r="184" spans="1:10" x14ac:dyDescent="0.2">
      <c r="A184" s="1232">
        <v>45763</v>
      </c>
      <c r="B184" s="1233" t="s">
        <v>37</v>
      </c>
      <c r="C184" s="1187">
        <v>5</v>
      </c>
      <c r="D184" s="1279" t="str">
        <f>_xlfn.XLOOKUP(B184,Códigos!$A$489:$A$522,Códigos!$B$489:$B$522,"Verificar",0)</f>
        <v>-Retiros y Traslados de Bancos</v>
      </c>
      <c r="E184" s="1279" t="str">
        <f>_xlfn.XLOOKUP(C184,Códigos!$A$11:$A$415,Códigos!$B$11:$B$415,"Verificar",0)</f>
        <v>NOMBRE 25</v>
      </c>
      <c r="F184" s="1239">
        <v>1026800</v>
      </c>
      <c r="G184" s="989">
        <f t="shared" si="2"/>
        <v>202285400</v>
      </c>
      <c r="H184" s="997" t="s">
        <v>1113</v>
      </c>
      <c r="I184" s="561"/>
      <c r="J184" s="54"/>
    </row>
    <row r="185" spans="1:10" x14ac:dyDescent="0.2">
      <c r="A185" s="1236">
        <v>45763</v>
      </c>
      <c r="B185" s="1233" t="s">
        <v>37</v>
      </c>
      <c r="C185" s="1187">
        <v>5</v>
      </c>
      <c r="D185" s="1279" t="str">
        <f>_xlfn.XLOOKUP(B185,Códigos!$A$489:$A$522,Códigos!$B$489:$B$522,"Verificar",0)</f>
        <v>-Retiros y Traslados de Bancos</v>
      </c>
      <c r="E185" s="1279" t="str">
        <f>_xlfn.XLOOKUP(C185,Códigos!$A$11:$A$415,Códigos!$B$11:$B$415,"Verificar",0)</f>
        <v>NOMBRE 25</v>
      </c>
      <c r="F185" s="1239">
        <v>660000</v>
      </c>
      <c r="G185" s="989">
        <f t="shared" si="2"/>
        <v>202945400</v>
      </c>
      <c r="H185" s="997" t="s">
        <v>1307</v>
      </c>
      <c r="I185" s="561"/>
      <c r="J185" s="54"/>
    </row>
    <row r="186" spans="1:10" x14ac:dyDescent="0.2">
      <c r="A186" s="1236">
        <v>45763</v>
      </c>
      <c r="B186" s="1233" t="s">
        <v>37</v>
      </c>
      <c r="C186" s="1187">
        <v>5</v>
      </c>
      <c r="D186" s="1279" t="str">
        <f>_xlfn.XLOOKUP(B186,Códigos!$A$489:$A$522,Códigos!$B$489:$B$522,"Verificar",0)</f>
        <v>-Retiros y Traslados de Bancos</v>
      </c>
      <c r="E186" s="1279" t="str">
        <f>_xlfn.XLOOKUP(C186,Códigos!$A$11:$A$415,Códigos!$B$11:$B$415,"Verificar",0)</f>
        <v>NOMBRE 25</v>
      </c>
      <c r="F186" s="1239">
        <v>2000000</v>
      </c>
      <c r="G186" s="989">
        <f t="shared" si="2"/>
        <v>204945400</v>
      </c>
      <c r="H186" s="1049" t="s">
        <v>1038</v>
      </c>
      <c r="I186" s="561"/>
      <c r="J186" s="54"/>
    </row>
    <row r="187" spans="1:10" x14ac:dyDescent="0.2">
      <c r="A187" s="1234">
        <v>45769</v>
      </c>
      <c r="B187" s="1233" t="s">
        <v>37</v>
      </c>
      <c r="C187" s="1187">
        <v>5</v>
      </c>
      <c r="D187" s="1279" t="str">
        <f>_xlfn.XLOOKUP(B187,Códigos!$A$489:$A$522,Códigos!$B$489:$B$522,"Verificar",0)</f>
        <v>-Retiros y Traslados de Bancos</v>
      </c>
      <c r="E187" s="1279" t="str">
        <f>_xlfn.XLOOKUP(C187,Códigos!$A$11:$A$415,Códigos!$B$11:$B$415,"Verificar",0)</f>
        <v>NOMBRE 25</v>
      </c>
      <c r="F187" s="1239">
        <v>192000</v>
      </c>
      <c r="G187" s="989">
        <f t="shared" si="2"/>
        <v>205137400</v>
      </c>
      <c r="H187" s="1049" t="s">
        <v>1310</v>
      </c>
      <c r="I187" s="561"/>
      <c r="J187" s="54"/>
    </row>
    <row r="188" spans="1:10" x14ac:dyDescent="0.2">
      <c r="A188" s="1234">
        <v>45769</v>
      </c>
      <c r="B188" s="1233" t="s">
        <v>37</v>
      </c>
      <c r="C188" s="1187">
        <v>5</v>
      </c>
      <c r="D188" s="1279" t="str">
        <f>_xlfn.XLOOKUP(B188,Códigos!$A$489:$A$522,Códigos!$B$489:$B$522,"Verificar",0)</f>
        <v>-Retiros y Traslados de Bancos</v>
      </c>
      <c r="E188" s="1279" t="str">
        <f>_xlfn.XLOOKUP(C188,Códigos!$A$11:$A$415,Códigos!$B$11:$B$415,"Verificar",0)</f>
        <v>NOMBRE 25</v>
      </c>
      <c r="F188" s="1239">
        <v>11600</v>
      </c>
      <c r="G188" s="989">
        <f t="shared" si="2"/>
        <v>205149000</v>
      </c>
      <c r="H188" s="1049" t="s">
        <v>1311</v>
      </c>
      <c r="I188" s="561"/>
      <c r="J188" s="54"/>
    </row>
    <row r="189" spans="1:10" x14ac:dyDescent="0.2">
      <c r="A189" s="1234">
        <v>45769</v>
      </c>
      <c r="B189" s="1233" t="s">
        <v>37</v>
      </c>
      <c r="C189" s="1187">
        <v>5</v>
      </c>
      <c r="D189" s="1279" t="str">
        <f>_xlfn.XLOOKUP(B189,Códigos!$A$489:$A$522,Códigos!$B$489:$B$522,"Verificar",0)</f>
        <v>-Retiros y Traslados de Bancos</v>
      </c>
      <c r="E189" s="1279" t="str">
        <f>_xlfn.XLOOKUP(C189,Códigos!$A$11:$A$415,Códigos!$B$11:$B$415,"Verificar",0)</f>
        <v>NOMBRE 25</v>
      </c>
      <c r="F189" s="1239">
        <v>220000</v>
      </c>
      <c r="G189" s="989">
        <f t="shared" si="2"/>
        <v>205369000</v>
      </c>
      <c r="H189" s="1050" t="s">
        <v>1083</v>
      </c>
      <c r="I189" s="561"/>
      <c r="J189" s="54"/>
    </row>
    <row r="190" spans="1:10" x14ac:dyDescent="0.2">
      <c r="A190" s="1234">
        <v>45769</v>
      </c>
      <c r="B190" s="1233" t="s">
        <v>37</v>
      </c>
      <c r="C190" s="1187">
        <v>5</v>
      </c>
      <c r="D190" s="1279" t="str">
        <f>_xlfn.XLOOKUP(B190,Códigos!$A$489:$A$522,Códigos!$B$489:$B$522,"Verificar",0)</f>
        <v>-Retiros y Traslados de Bancos</v>
      </c>
      <c r="E190" s="1279" t="str">
        <f>_xlfn.XLOOKUP(C190,Códigos!$A$11:$A$415,Códigos!$B$11:$B$415,"Verificar",0)</f>
        <v>NOMBRE 25</v>
      </c>
      <c r="F190" s="1239">
        <v>660000</v>
      </c>
      <c r="G190" s="989">
        <f t="shared" si="2"/>
        <v>206029000</v>
      </c>
      <c r="H190" s="997" t="s">
        <v>1312</v>
      </c>
      <c r="I190" s="561"/>
      <c r="J190" s="54"/>
    </row>
    <row r="191" spans="1:10" x14ac:dyDescent="0.2">
      <c r="A191" s="1234">
        <v>45770</v>
      </c>
      <c r="B191" s="1233" t="s">
        <v>37</v>
      </c>
      <c r="C191" s="1187">
        <v>5</v>
      </c>
      <c r="D191" s="1279" t="str">
        <f>_xlfn.XLOOKUP(B191,Códigos!$A$489:$A$522,Códigos!$B$489:$B$522,"Verificar",0)</f>
        <v>-Retiros y Traslados de Bancos</v>
      </c>
      <c r="E191" s="1279" t="str">
        <f>_xlfn.XLOOKUP(C191,Códigos!$A$11:$A$415,Códigos!$B$11:$B$415,"Verificar",0)</f>
        <v>NOMBRE 25</v>
      </c>
      <c r="F191" s="1239">
        <v>227100</v>
      </c>
      <c r="G191" s="989">
        <f t="shared" si="2"/>
        <v>206256100</v>
      </c>
      <c r="H191" s="1049" t="s">
        <v>1313</v>
      </c>
      <c r="I191" s="561"/>
      <c r="J191" s="54"/>
    </row>
    <row r="192" spans="1:10" x14ac:dyDescent="0.2">
      <c r="A192" s="1234">
        <v>45770</v>
      </c>
      <c r="B192" s="1233" t="s">
        <v>37</v>
      </c>
      <c r="C192" s="1187">
        <v>5</v>
      </c>
      <c r="D192" s="1279" t="str">
        <f>_xlfn.XLOOKUP(B192,Códigos!$A$489:$A$522,Códigos!$B$489:$B$522,"Verificar",0)</f>
        <v>-Retiros y Traslados de Bancos</v>
      </c>
      <c r="E192" s="1279" t="str">
        <f>_xlfn.XLOOKUP(C192,Códigos!$A$11:$A$415,Códigos!$B$11:$B$415,"Verificar",0)</f>
        <v>NOMBRE 25</v>
      </c>
      <c r="F192" s="1239">
        <v>161400</v>
      </c>
      <c r="G192" s="989">
        <f t="shared" si="2"/>
        <v>206417500</v>
      </c>
      <c r="H192" s="1049" t="s">
        <v>1314</v>
      </c>
      <c r="I192" s="561"/>
      <c r="J192" s="54"/>
    </row>
    <row r="193" spans="1:10" x14ac:dyDescent="0.2">
      <c r="A193" s="1234">
        <v>45770</v>
      </c>
      <c r="B193" s="1233" t="s">
        <v>37</v>
      </c>
      <c r="C193" s="1187">
        <v>5</v>
      </c>
      <c r="D193" s="1279" t="str">
        <f>_xlfn.XLOOKUP(B193,Códigos!$A$489:$A$522,Códigos!$B$489:$B$522,"Verificar",0)</f>
        <v>-Retiros y Traslados de Bancos</v>
      </c>
      <c r="E193" s="1279" t="str">
        <f>_xlfn.XLOOKUP(C193,Códigos!$A$11:$A$415,Códigos!$B$11:$B$415,"Verificar",0)</f>
        <v>NOMBRE 25</v>
      </c>
      <c r="F193" s="1239">
        <v>2516800</v>
      </c>
      <c r="G193" s="989">
        <f t="shared" si="2"/>
        <v>208934300</v>
      </c>
      <c r="H193" s="1049" t="s">
        <v>1315</v>
      </c>
      <c r="I193" s="561"/>
      <c r="J193" s="54"/>
    </row>
    <row r="194" spans="1:10" x14ac:dyDescent="0.2">
      <c r="A194" s="1234">
        <v>45770</v>
      </c>
      <c r="B194" s="1233" t="s">
        <v>37</v>
      </c>
      <c r="C194" s="1187">
        <v>5</v>
      </c>
      <c r="D194" s="1279" t="str">
        <f>_xlfn.XLOOKUP(B194,Códigos!$A$489:$A$522,Códigos!$B$489:$B$522,"Verificar",0)</f>
        <v>-Retiros y Traslados de Bancos</v>
      </c>
      <c r="E194" s="1279" t="str">
        <f>_xlfn.XLOOKUP(C194,Códigos!$A$11:$A$415,Códigos!$B$11:$B$415,"Verificar",0)</f>
        <v>NOMBRE 25</v>
      </c>
      <c r="F194" s="1239">
        <v>600000</v>
      </c>
      <c r="G194" s="989">
        <f t="shared" si="2"/>
        <v>209534300</v>
      </c>
      <c r="H194" s="1049" t="s">
        <v>1316</v>
      </c>
      <c r="I194" s="561"/>
      <c r="J194" s="54"/>
    </row>
    <row r="195" spans="1:10" x14ac:dyDescent="0.2">
      <c r="A195" s="1234">
        <v>45771</v>
      </c>
      <c r="B195" s="1233" t="s">
        <v>37</v>
      </c>
      <c r="C195" s="1187">
        <v>5</v>
      </c>
      <c r="D195" s="1279" t="str">
        <f>_xlfn.XLOOKUP(B195,Códigos!$A$489:$A$522,Códigos!$B$489:$B$522,"Verificar",0)</f>
        <v>-Retiros y Traslados de Bancos</v>
      </c>
      <c r="E195" s="1279" t="str">
        <f>_xlfn.XLOOKUP(C195,Códigos!$A$11:$A$415,Códigos!$B$11:$B$415,"Verificar",0)</f>
        <v>NOMBRE 25</v>
      </c>
      <c r="F195" s="1239">
        <v>21958500</v>
      </c>
      <c r="G195" s="989">
        <f t="shared" si="2"/>
        <v>231492800</v>
      </c>
      <c r="H195" s="1049" t="s">
        <v>1107</v>
      </c>
      <c r="I195" s="561"/>
      <c r="J195" s="54"/>
    </row>
    <row r="196" spans="1:10" x14ac:dyDescent="0.2">
      <c r="A196" s="1234">
        <v>45772</v>
      </c>
      <c r="B196" s="1233" t="s">
        <v>37</v>
      </c>
      <c r="C196" s="1187">
        <v>5</v>
      </c>
      <c r="D196" s="1279" t="str">
        <f>_xlfn.XLOOKUP(B196,Códigos!$A$489:$A$522,Códigos!$B$489:$B$522,"Verificar",0)</f>
        <v>-Retiros y Traslados de Bancos</v>
      </c>
      <c r="E196" s="1279" t="str">
        <f>_xlfn.XLOOKUP(C196,Códigos!$A$11:$A$415,Códigos!$B$11:$B$415,"Verificar",0)</f>
        <v>NOMBRE 25</v>
      </c>
      <c r="F196" s="1239">
        <v>47100</v>
      </c>
      <c r="G196" s="989">
        <f t="shared" si="2"/>
        <v>231539900</v>
      </c>
      <c r="H196" s="1049" t="s">
        <v>1320</v>
      </c>
      <c r="I196" s="561"/>
      <c r="J196" s="54"/>
    </row>
    <row r="197" spans="1:10" x14ac:dyDescent="0.2">
      <c r="A197" s="1234">
        <v>45772</v>
      </c>
      <c r="B197" s="1233" t="s">
        <v>37</v>
      </c>
      <c r="C197" s="1187">
        <v>5</v>
      </c>
      <c r="D197" s="1279" t="str">
        <f>_xlfn.XLOOKUP(B197,Códigos!$A$489:$A$522,Códigos!$B$489:$B$522,"Verificar",0)</f>
        <v>-Retiros y Traslados de Bancos</v>
      </c>
      <c r="E197" s="1279" t="str">
        <f>_xlfn.XLOOKUP(C197,Códigos!$A$11:$A$415,Códigos!$B$11:$B$415,"Verificar",0)</f>
        <v>NOMBRE 25</v>
      </c>
      <c r="F197" s="1239">
        <v>2000000</v>
      </c>
      <c r="G197" s="989">
        <f t="shared" si="2"/>
        <v>233539900</v>
      </c>
      <c r="H197" s="1049" t="s">
        <v>1038</v>
      </c>
      <c r="I197" s="561"/>
      <c r="J197" s="54"/>
    </row>
    <row r="198" spans="1:10" x14ac:dyDescent="0.2">
      <c r="A198" s="1234">
        <v>45772</v>
      </c>
      <c r="B198" s="1233" t="s">
        <v>37</v>
      </c>
      <c r="C198" s="1187">
        <v>5</v>
      </c>
      <c r="D198" s="1279" t="str">
        <f>_xlfn.XLOOKUP(B198,Códigos!$A$489:$A$522,Códigos!$B$489:$B$522,"Verificar",0)</f>
        <v>-Retiros y Traslados de Bancos</v>
      </c>
      <c r="E198" s="1279" t="str">
        <f>_xlfn.XLOOKUP(C198,Códigos!$A$11:$A$415,Códigos!$B$11:$B$415,"Verificar",0)</f>
        <v>NOMBRE 25</v>
      </c>
      <c r="F198" s="1239">
        <v>500000</v>
      </c>
      <c r="G198" s="989">
        <f t="shared" si="2"/>
        <v>234039900</v>
      </c>
      <c r="H198" s="1274" t="s">
        <v>1171</v>
      </c>
      <c r="I198" s="561"/>
      <c r="J198" s="54"/>
    </row>
    <row r="199" spans="1:10" x14ac:dyDescent="0.2">
      <c r="A199" s="1236">
        <v>45775</v>
      </c>
      <c r="B199" s="1233" t="s">
        <v>37</v>
      </c>
      <c r="C199" s="1187">
        <v>5</v>
      </c>
      <c r="D199" s="1279" t="str">
        <f>_xlfn.XLOOKUP(B199,Códigos!$A$489:$A$522,Códigos!$B$489:$B$522,"Verificar",0)</f>
        <v>-Retiros y Traslados de Bancos</v>
      </c>
      <c r="E199" s="1279" t="str">
        <f>_xlfn.XLOOKUP(C199,Códigos!$A$11:$A$415,Códigos!$B$11:$B$415,"Verificar",0)</f>
        <v>NOMBRE 25</v>
      </c>
      <c r="F199" s="1239">
        <v>444500</v>
      </c>
      <c r="G199" s="989">
        <f t="shared" si="2"/>
        <v>234484400</v>
      </c>
      <c r="H199" s="1050" t="s">
        <v>1120</v>
      </c>
      <c r="I199" s="561"/>
      <c r="J199" s="54"/>
    </row>
    <row r="200" spans="1:10" x14ac:dyDescent="0.2">
      <c r="A200" s="1236">
        <v>45775</v>
      </c>
      <c r="B200" s="1233" t="s">
        <v>37</v>
      </c>
      <c r="C200" s="1187">
        <v>5</v>
      </c>
      <c r="D200" s="1279" t="str">
        <f>_xlfn.XLOOKUP(B200,Códigos!$A$489:$A$522,Códigos!$B$489:$B$522,"Verificar",0)</f>
        <v>-Retiros y Traslados de Bancos</v>
      </c>
      <c r="E200" s="1279" t="str">
        <f>_xlfn.XLOOKUP(C200,Códigos!$A$11:$A$415,Códigos!$B$11:$B$415,"Verificar",0)</f>
        <v>NOMBRE 25</v>
      </c>
      <c r="F200" s="1239">
        <v>56700</v>
      </c>
      <c r="G200" s="989">
        <f t="shared" si="2"/>
        <v>234541100</v>
      </c>
      <c r="H200" s="1050" t="s">
        <v>1121</v>
      </c>
      <c r="I200" s="561"/>
      <c r="J200" s="54"/>
    </row>
    <row r="201" spans="1:10" x14ac:dyDescent="0.2">
      <c r="A201" s="1236">
        <v>45775</v>
      </c>
      <c r="B201" s="1233" t="s">
        <v>37</v>
      </c>
      <c r="C201" s="1187">
        <v>5</v>
      </c>
      <c r="D201" s="1279" t="str">
        <f>_xlfn.XLOOKUP(B201,Códigos!$A$489:$A$522,Códigos!$B$489:$B$522,"Verificar",0)</f>
        <v>-Retiros y Traslados de Bancos</v>
      </c>
      <c r="E201" s="1279" t="str">
        <f>_xlfn.XLOOKUP(C201,Códigos!$A$11:$A$415,Códigos!$B$11:$B$415,"Verificar",0)</f>
        <v>NOMBRE 25</v>
      </c>
      <c r="F201" s="1239">
        <v>204700</v>
      </c>
      <c r="G201" s="989">
        <f t="shared" si="2"/>
        <v>234745800</v>
      </c>
      <c r="H201" s="1050" t="s">
        <v>1122</v>
      </c>
      <c r="I201" s="561"/>
      <c r="J201" s="54"/>
    </row>
    <row r="202" spans="1:10" x14ac:dyDescent="0.2">
      <c r="A202" s="1236">
        <v>45775</v>
      </c>
      <c r="B202" s="1233" t="s">
        <v>37</v>
      </c>
      <c r="C202" s="1187">
        <v>5</v>
      </c>
      <c r="D202" s="1279" t="str">
        <f>_xlfn.XLOOKUP(B202,Códigos!$A$489:$A$522,Códigos!$B$489:$B$522,"Verificar",0)</f>
        <v>-Retiros y Traslados de Bancos</v>
      </c>
      <c r="E202" s="1279" t="str">
        <f>_xlfn.XLOOKUP(C202,Códigos!$A$11:$A$415,Códigos!$B$11:$B$415,"Verificar",0)</f>
        <v>NOMBRE 25</v>
      </c>
      <c r="F202" s="1239">
        <v>600000</v>
      </c>
      <c r="G202" s="989">
        <f t="shared" si="2"/>
        <v>235345800</v>
      </c>
      <c r="H202" s="1049" t="s">
        <v>1330</v>
      </c>
      <c r="I202" s="561"/>
      <c r="J202" s="54"/>
    </row>
    <row r="203" spans="1:10" x14ac:dyDescent="0.2">
      <c r="A203" s="1236">
        <v>45777</v>
      </c>
      <c r="B203" s="1233" t="s">
        <v>37</v>
      </c>
      <c r="C203" s="1187">
        <v>5</v>
      </c>
      <c r="D203" s="1279" t="str">
        <f>_xlfn.XLOOKUP(B203,Códigos!$A$489:$A$522,Códigos!$B$489:$B$522,"Verificar",0)</f>
        <v>-Retiros y Traslados de Bancos</v>
      </c>
      <c r="E203" s="1279" t="str">
        <f>_xlfn.XLOOKUP(C203,Códigos!$A$11:$A$415,Códigos!$B$11:$B$415,"Verificar",0)</f>
        <v>NOMBRE 25</v>
      </c>
      <c r="F203" s="1239">
        <v>9716892</v>
      </c>
      <c r="G203" s="989">
        <f t="shared" si="2"/>
        <v>245062692</v>
      </c>
      <c r="H203" s="1049" t="s">
        <v>1343</v>
      </c>
      <c r="I203" s="159"/>
      <c r="J203" s="54"/>
    </row>
    <row r="204" spans="1:10" x14ac:dyDescent="0.2">
      <c r="A204" s="1236">
        <v>45777</v>
      </c>
      <c r="B204" s="1233" t="s">
        <v>37</v>
      </c>
      <c r="C204" s="1187">
        <v>5</v>
      </c>
      <c r="D204" s="1279" t="str">
        <f>_xlfn.XLOOKUP(B204,Códigos!$A$489:$A$522,Códigos!$B$489:$B$522,"Verificar",0)</f>
        <v>-Retiros y Traslados de Bancos</v>
      </c>
      <c r="E204" s="1279" t="str">
        <f>_xlfn.XLOOKUP(C204,Códigos!$A$11:$A$415,Códigos!$B$11:$B$415,"Verificar",0)</f>
        <v>NOMBRE 25</v>
      </c>
      <c r="F204" s="1239">
        <v>5000000</v>
      </c>
      <c r="G204" s="989">
        <f t="shared" si="2"/>
        <v>250062692</v>
      </c>
      <c r="H204" s="1049" t="s">
        <v>1344</v>
      </c>
      <c r="I204" s="159"/>
      <c r="J204" s="54"/>
    </row>
    <row r="205" spans="1:10" x14ac:dyDescent="0.2">
      <c r="A205" s="1236">
        <v>45777</v>
      </c>
      <c r="B205" s="1233" t="s">
        <v>37</v>
      </c>
      <c r="C205" s="1187">
        <v>5</v>
      </c>
      <c r="D205" s="1279" t="str">
        <f>_xlfn.XLOOKUP(B205,Códigos!$A$489:$A$522,Códigos!$B$489:$B$522,"Verificar",0)</f>
        <v>-Retiros y Traslados de Bancos</v>
      </c>
      <c r="E205" s="1279" t="str">
        <f>_xlfn.XLOOKUP(C205,Códigos!$A$11:$A$415,Códigos!$B$11:$B$415,"Verificar",0)</f>
        <v>NOMBRE 25</v>
      </c>
      <c r="F205" s="1239">
        <v>140000000</v>
      </c>
      <c r="G205" s="989">
        <f t="shared" si="2"/>
        <v>390062692</v>
      </c>
      <c r="H205" s="1052" t="s">
        <v>1345</v>
      </c>
      <c r="I205" s="159"/>
      <c r="J205" s="54"/>
    </row>
    <row r="206" spans="1:10" x14ac:dyDescent="0.2">
      <c r="A206" s="1236">
        <v>45777</v>
      </c>
      <c r="B206" s="1233" t="s">
        <v>37</v>
      </c>
      <c r="C206" s="1187">
        <v>5</v>
      </c>
      <c r="D206" s="1279" t="str">
        <f>_xlfn.XLOOKUP(B206,Códigos!$A$489:$A$522,Códigos!$B$489:$B$522,"Verificar",0)</f>
        <v>-Retiros y Traslados de Bancos</v>
      </c>
      <c r="E206" s="1279" t="str">
        <f>_xlfn.XLOOKUP(C206,Códigos!$A$11:$A$415,Códigos!$B$11:$B$415,"Verificar",0)</f>
        <v>NOMBRE 25</v>
      </c>
      <c r="F206" s="1239">
        <v>144902</v>
      </c>
      <c r="G206" s="989">
        <f t="shared" si="2"/>
        <v>390207594</v>
      </c>
      <c r="H206" s="1052" t="s">
        <v>1346</v>
      </c>
      <c r="I206" s="159"/>
      <c r="J206" s="54"/>
    </row>
    <row r="207" spans="1:10" x14ac:dyDescent="0.2">
      <c r="A207" s="1236">
        <v>45777</v>
      </c>
      <c r="B207" s="1233" t="s">
        <v>37</v>
      </c>
      <c r="C207" s="1187">
        <v>5</v>
      </c>
      <c r="D207" s="1279" t="str">
        <f>_xlfn.XLOOKUP(B207,Códigos!$A$489:$A$522,Códigos!$B$489:$B$522,"Verificar",0)</f>
        <v>-Retiros y Traslados de Bancos</v>
      </c>
      <c r="E207" s="1279" t="str">
        <f>_xlfn.XLOOKUP(C207,Códigos!$A$11:$A$415,Códigos!$B$11:$B$415,"Verificar",0)</f>
        <v>NOMBRE 25</v>
      </c>
      <c r="F207" s="1239">
        <v>220000</v>
      </c>
      <c r="G207" s="989">
        <f t="shared" ref="G207:G271" si="3">+G206+F207</f>
        <v>390427594</v>
      </c>
      <c r="H207" s="1050" t="s">
        <v>1083</v>
      </c>
      <c r="I207" s="159"/>
      <c r="J207" s="54"/>
    </row>
    <row r="208" spans="1:10" x14ac:dyDescent="0.2">
      <c r="A208" s="1236">
        <v>45777</v>
      </c>
      <c r="B208" s="1233" t="s">
        <v>37</v>
      </c>
      <c r="C208" s="1187">
        <v>5</v>
      </c>
      <c r="D208" s="1279" t="str">
        <f>_xlfn.XLOOKUP(B208,Códigos!$A$489:$A$522,Códigos!$B$489:$B$522,"Verificar",0)</f>
        <v>-Retiros y Traslados de Bancos</v>
      </c>
      <c r="E208" s="1279" t="str">
        <f>_xlfn.XLOOKUP(C208,Códigos!$A$11:$A$415,Códigos!$B$11:$B$415,"Verificar",0)</f>
        <v>NOMBRE 25</v>
      </c>
      <c r="F208" s="1239">
        <v>660000</v>
      </c>
      <c r="G208" s="989">
        <f t="shared" si="3"/>
        <v>391087594</v>
      </c>
      <c r="H208" s="997" t="s">
        <v>1312</v>
      </c>
      <c r="I208" s="561"/>
      <c r="J208" s="54"/>
    </row>
    <row r="209" spans="1:10" x14ac:dyDescent="0.2">
      <c r="A209" s="1236">
        <v>45779</v>
      </c>
      <c r="B209" s="1233" t="s">
        <v>37</v>
      </c>
      <c r="C209" s="1187">
        <v>5</v>
      </c>
      <c r="D209" s="1279" t="str">
        <f>_xlfn.XLOOKUP(B209,Códigos!$A$489:$A$522,Códigos!$B$489:$B$522,"Verificar",0)</f>
        <v>-Retiros y Traslados de Bancos</v>
      </c>
      <c r="E209" s="1279" t="str">
        <f>_xlfn.XLOOKUP(C209,Códigos!$A$11:$A$415,Códigos!$B$11:$B$415,"Verificar",0)</f>
        <v>NOMBRE 25</v>
      </c>
      <c r="F209" s="1239">
        <v>100000</v>
      </c>
      <c r="G209" s="989">
        <f t="shared" si="3"/>
        <v>391187594</v>
      </c>
      <c r="H209" s="1049" t="s">
        <v>1114</v>
      </c>
      <c r="I209" s="561"/>
      <c r="J209" s="54"/>
    </row>
    <row r="210" spans="1:10" x14ac:dyDescent="0.2">
      <c r="A210" s="1236">
        <v>45779</v>
      </c>
      <c r="B210" s="1233" t="s">
        <v>37</v>
      </c>
      <c r="C210" s="1187">
        <v>5</v>
      </c>
      <c r="D210" s="1279" t="str">
        <f>_xlfn.XLOOKUP(B210,Códigos!$A$489:$A$522,Códigos!$B$489:$B$522,"Verificar",0)</f>
        <v>-Retiros y Traslados de Bancos</v>
      </c>
      <c r="E210" s="1279" t="str">
        <f>_xlfn.XLOOKUP(C210,Códigos!$A$11:$A$415,Códigos!$B$11:$B$415,"Verificar",0)</f>
        <v>NOMBRE 25</v>
      </c>
      <c r="F210" s="1239">
        <v>100000</v>
      </c>
      <c r="G210" s="989">
        <f t="shared" si="3"/>
        <v>391287594</v>
      </c>
      <c r="H210" s="1049" t="s">
        <v>1148</v>
      </c>
      <c r="I210" s="561"/>
      <c r="J210" s="54"/>
    </row>
    <row r="211" spans="1:10" x14ac:dyDescent="0.2">
      <c r="A211" s="1236">
        <v>45779</v>
      </c>
      <c r="B211" s="1233" t="s">
        <v>37</v>
      </c>
      <c r="C211" s="1187">
        <v>5</v>
      </c>
      <c r="D211" s="1279" t="str">
        <f>_xlfn.XLOOKUP(B211,Códigos!$A$489:$A$522,Códigos!$B$489:$B$522,"Verificar",0)</f>
        <v>-Retiros y Traslados de Bancos</v>
      </c>
      <c r="E211" s="1279" t="str">
        <f>_xlfn.XLOOKUP(C211,Códigos!$A$11:$A$415,Códigos!$B$11:$B$415,"Verificar",0)</f>
        <v>NOMBRE 25</v>
      </c>
      <c r="F211" s="1239">
        <v>2000000</v>
      </c>
      <c r="G211" s="989">
        <f t="shared" si="3"/>
        <v>393287594</v>
      </c>
      <c r="H211" s="1049" t="s">
        <v>1038</v>
      </c>
      <c r="I211" s="561"/>
      <c r="J211" s="54"/>
    </row>
    <row r="212" spans="1:10" x14ac:dyDescent="0.2">
      <c r="A212" s="1236">
        <v>45779</v>
      </c>
      <c r="B212" s="1233" t="s">
        <v>10</v>
      </c>
      <c r="C212" s="1187">
        <v>262</v>
      </c>
      <c r="D212" s="1279" t="str">
        <f>_xlfn.XLOOKUP(B212,Códigos!$A$489:$A$522,Códigos!$B$489:$B$522,"Verificar",0)</f>
        <v>Recibido por: -Abono a préstamos por Nómina de:</v>
      </c>
      <c r="E212" s="1279" t="str">
        <f>_xlfn.XLOOKUP(C212,Códigos!$A$11:$A$415,Códigos!$B$11:$B$415,"Verificar",0)</f>
        <v>NOMBRE 95</v>
      </c>
      <c r="F212" s="1239">
        <v>200000</v>
      </c>
      <c r="G212" s="989">
        <f t="shared" si="3"/>
        <v>393487594</v>
      </c>
      <c r="H212" s="1049" t="s">
        <v>1149</v>
      </c>
      <c r="I212" s="561"/>
      <c r="J212" s="54"/>
    </row>
    <row r="213" spans="1:10" x14ac:dyDescent="0.2">
      <c r="A213" s="1236">
        <v>45782</v>
      </c>
      <c r="B213" s="1233" t="s">
        <v>37</v>
      </c>
      <c r="C213" s="1187">
        <v>5</v>
      </c>
      <c r="D213" s="1279" t="str">
        <f>_xlfn.XLOOKUP(B213,Códigos!$A$489:$A$522,Códigos!$B$489:$B$522,"Verificar",0)</f>
        <v>-Retiros y Traslados de Bancos</v>
      </c>
      <c r="E213" s="1279" t="str">
        <f>_xlfn.XLOOKUP(C213,Códigos!$A$11:$A$415,Códigos!$B$11:$B$415,"Verificar",0)</f>
        <v>NOMBRE 25</v>
      </c>
      <c r="F213" s="1239">
        <v>139900</v>
      </c>
      <c r="G213" s="989">
        <f t="shared" si="3"/>
        <v>393627494</v>
      </c>
      <c r="H213" s="1052" t="s">
        <v>1220</v>
      </c>
      <c r="I213" s="561"/>
      <c r="J213" s="54"/>
    </row>
    <row r="214" spans="1:10" x14ac:dyDescent="0.2">
      <c r="A214" s="1236">
        <v>45782</v>
      </c>
      <c r="B214" s="1233" t="s">
        <v>37</v>
      </c>
      <c r="C214" s="1187">
        <v>5</v>
      </c>
      <c r="D214" s="1279" t="str">
        <f>_xlfn.XLOOKUP(B214,Códigos!$A$489:$A$522,Códigos!$B$489:$B$522,"Verificar",0)</f>
        <v>-Retiros y Traslados de Bancos</v>
      </c>
      <c r="E214" s="1279" t="str">
        <f>_xlfn.XLOOKUP(C214,Códigos!$A$11:$A$415,Códigos!$B$11:$B$415,"Verificar",0)</f>
        <v>NOMBRE 25</v>
      </c>
      <c r="F214" s="1239">
        <v>1392400</v>
      </c>
      <c r="G214" s="989">
        <f t="shared" si="3"/>
        <v>395019894</v>
      </c>
      <c r="H214" s="1052" t="s">
        <v>1353</v>
      </c>
      <c r="I214" s="561"/>
      <c r="J214" s="54"/>
    </row>
    <row r="215" spans="1:10" x14ac:dyDescent="0.2">
      <c r="A215" s="1236">
        <v>45782</v>
      </c>
      <c r="B215" s="1233" t="s">
        <v>37</v>
      </c>
      <c r="C215" s="1187">
        <v>5</v>
      </c>
      <c r="D215" s="1279" t="str">
        <f>_xlfn.XLOOKUP(B215,Códigos!$A$489:$A$522,Códigos!$B$489:$B$522,"Verificar",0)</f>
        <v>-Retiros y Traslados de Bancos</v>
      </c>
      <c r="E215" s="1279" t="str">
        <f>_xlfn.XLOOKUP(C215,Códigos!$A$11:$A$415,Códigos!$B$11:$B$415,"Verificar",0)</f>
        <v>NOMBRE 25</v>
      </c>
      <c r="F215" s="1239">
        <v>940500</v>
      </c>
      <c r="G215" s="989">
        <f t="shared" si="3"/>
        <v>395960394</v>
      </c>
      <c r="H215" s="1052" t="s">
        <v>1354</v>
      </c>
      <c r="I215" s="561"/>
      <c r="J215" s="54"/>
    </row>
    <row r="216" spans="1:10" x14ac:dyDescent="0.2">
      <c r="A216" s="1236">
        <v>45783</v>
      </c>
      <c r="B216" s="1233" t="s">
        <v>37</v>
      </c>
      <c r="C216" s="1187">
        <v>5</v>
      </c>
      <c r="D216" s="1279" t="str">
        <f>_xlfn.XLOOKUP(B216,Códigos!$A$489:$A$522,Códigos!$B$489:$B$522,"Verificar",0)</f>
        <v>-Retiros y Traslados de Bancos</v>
      </c>
      <c r="E216" s="1279" t="str">
        <f>_xlfn.XLOOKUP(C216,Códigos!$A$11:$A$415,Códigos!$B$11:$B$415,"Verificar",0)</f>
        <v>NOMBRE 25</v>
      </c>
      <c r="F216" s="1239">
        <v>500000</v>
      </c>
      <c r="G216" s="989">
        <f t="shared" si="3"/>
        <v>396460394</v>
      </c>
      <c r="H216" s="1049" t="s">
        <v>1355</v>
      </c>
      <c r="I216" s="561"/>
      <c r="J216" s="54"/>
    </row>
    <row r="217" spans="1:10" x14ac:dyDescent="0.2">
      <c r="A217" s="1236">
        <v>45783</v>
      </c>
      <c r="B217" s="1233" t="s">
        <v>36</v>
      </c>
      <c r="C217" s="1187">
        <v>250</v>
      </c>
      <c r="D217" s="1279" t="str">
        <f>_xlfn.XLOOKUP(B217,Códigos!$A$489:$A$522,Códigos!$B$489:$B$522,"Verificar",0)</f>
        <v>Recibido por: -Cuentas por Cobrar</v>
      </c>
      <c r="E217" s="1279" t="str">
        <f>_xlfn.XLOOKUP(C217,Códigos!$A$11:$A$415,Códigos!$B$11:$B$415,"Verificar",0)</f>
        <v>NOMBRE 75</v>
      </c>
      <c r="F217" s="1239">
        <v>2000000</v>
      </c>
      <c r="G217" s="989">
        <f t="shared" si="3"/>
        <v>398460394</v>
      </c>
      <c r="H217" s="1049" t="s">
        <v>1357</v>
      </c>
      <c r="I217" s="561"/>
      <c r="J217" s="54"/>
    </row>
    <row r="218" spans="1:10" x14ac:dyDescent="0.2">
      <c r="A218" s="1236">
        <v>45784</v>
      </c>
      <c r="B218" s="1233" t="s">
        <v>37</v>
      </c>
      <c r="C218" s="1187">
        <v>5</v>
      </c>
      <c r="D218" s="1279" t="str">
        <f>_xlfn.XLOOKUP(B218,Códigos!$A$489:$A$522,Códigos!$B$489:$B$522,"Verificar",0)</f>
        <v>-Retiros y Traslados de Bancos</v>
      </c>
      <c r="E218" s="1279" t="str">
        <f>_xlfn.XLOOKUP(C218,Códigos!$A$11:$A$415,Códigos!$B$11:$B$415,"Verificar",0)</f>
        <v>NOMBRE 25</v>
      </c>
      <c r="F218" s="1239">
        <v>500000</v>
      </c>
      <c r="G218" s="989">
        <f t="shared" si="3"/>
        <v>398960394</v>
      </c>
      <c r="H218" s="1049" t="s">
        <v>1358</v>
      </c>
      <c r="I218" s="561"/>
      <c r="J218" s="54"/>
    </row>
    <row r="219" spans="1:10" x14ac:dyDescent="0.2">
      <c r="A219" s="1234">
        <v>45785</v>
      </c>
      <c r="B219" s="1233" t="s">
        <v>37</v>
      </c>
      <c r="C219" s="1187">
        <v>5</v>
      </c>
      <c r="D219" s="1279" t="str">
        <f>_xlfn.XLOOKUP(B219,Códigos!$A$489:$A$522,Códigos!$B$489:$B$522,"Verificar",0)</f>
        <v>-Retiros y Traslados de Bancos</v>
      </c>
      <c r="E219" s="1279" t="str">
        <f>_xlfn.XLOOKUP(C219,Códigos!$A$11:$A$415,Códigos!$B$11:$B$415,"Verificar",0)</f>
        <v>NOMBRE 25</v>
      </c>
      <c r="F219" s="1239">
        <v>220000</v>
      </c>
      <c r="G219" s="989">
        <f t="shared" si="3"/>
        <v>399180394</v>
      </c>
      <c r="H219" s="1050" t="s">
        <v>1083</v>
      </c>
      <c r="I219" s="561"/>
      <c r="J219" s="54"/>
    </row>
    <row r="220" spans="1:10" x14ac:dyDescent="0.2">
      <c r="A220" s="1234">
        <v>45785</v>
      </c>
      <c r="B220" s="1233" t="s">
        <v>37</v>
      </c>
      <c r="C220" s="1187">
        <v>5</v>
      </c>
      <c r="D220" s="1279" t="str">
        <f>_xlfn.XLOOKUP(B220,Códigos!$A$489:$A$522,Códigos!$B$489:$B$522,"Verificar",0)</f>
        <v>-Retiros y Traslados de Bancos</v>
      </c>
      <c r="E220" s="1279" t="str">
        <f>_xlfn.XLOOKUP(C220,Códigos!$A$11:$A$415,Códigos!$B$11:$B$415,"Verificar",0)</f>
        <v>NOMBRE 25</v>
      </c>
      <c r="F220" s="1239">
        <v>660000</v>
      </c>
      <c r="G220" s="989">
        <f t="shared" si="3"/>
        <v>399840394</v>
      </c>
      <c r="H220" s="997" t="s">
        <v>1363</v>
      </c>
      <c r="I220" s="561"/>
      <c r="J220" s="54"/>
    </row>
    <row r="221" spans="1:10" x14ac:dyDescent="0.2">
      <c r="A221" s="1234">
        <v>45785</v>
      </c>
      <c r="B221" s="1233" t="s">
        <v>37</v>
      </c>
      <c r="C221" s="1187">
        <v>3</v>
      </c>
      <c r="D221" s="1279" t="str">
        <f>_xlfn.XLOOKUP(B221,Códigos!$A$489:$A$522,Códigos!$B$489:$B$522,"Verificar",0)</f>
        <v>-Retiros y Traslados de Bancos</v>
      </c>
      <c r="E221" s="1279" t="str">
        <f>_xlfn.XLOOKUP(C221,Códigos!$A$11:$A$415,Códigos!$B$11:$B$415,"Verificar",0)</f>
        <v>NOMBRE 24</v>
      </c>
      <c r="F221" s="1239">
        <v>2000000</v>
      </c>
      <c r="G221" s="989">
        <f t="shared" si="3"/>
        <v>401840394</v>
      </c>
      <c r="H221" s="1049" t="s">
        <v>1038</v>
      </c>
      <c r="I221" s="561"/>
      <c r="J221" s="54"/>
    </row>
    <row r="222" spans="1:10" x14ac:dyDescent="0.2">
      <c r="A222" s="1236">
        <v>45790</v>
      </c>
      <c r="B222" s="1233" t="s">
        <v>37</v>
      </c>
      <c r="C222" s="1187">
        <v>5</v>
      </c>
      <c r="D222" s="1279" t="str">
        <f>_xlfn.XLOOKUP(B222,Códigos!$A$489:$A$522,Códigos!$B$489:$B$522,"Verificar",0)</f>
        <v>-Retiros y Traslados de Bancos</v>
      </c>
      <c r="E222" s="1279" t="str">
        <f>_xlfn.XLOOKUP(C222,Códigos!$A$11:$A$415,Códigos!$B$11:$B$415,"Verificar",0)</f>
        <v>NOMBRE 25</v>
      </c>
      <c r="F222" s="1239">
        <v>157600</v>
      </c>
      <c r="G222" s="989">
        <f t="shared" si="3"/>
        <v>401997994</v>
      </c>
      <c r="H222" s="1049" t="s">
        <v>1366</v>
      </c>
      <c r="I222" s="561"/>
      <c r="J222" s="54"/>
    </row>
    <row r="223" spans="1:10" x14ac:dyDescent="0.2">
      <c r="A223" s="1236">
        <v>45792</v>
      </c>
      <c r="B223" s="1233" t="s">
        <v>37</v>
      </c>
      <c r="C223" s="1187">
        <v>5</v>
      </c>
      <c r="D223" s="1279" t="str">
        <f>_xlfn.XLOOKUP(B223,Códigos!$A$489:$A$522,Códigos!$B$489:$B$522,"Verificar",0)</f>
        <v>-Retiros y Traslados de Bancos</v>
      </c>
      <c r="E223" s="1279" t="str">
        <f>_xlfn.XLOOKUP(C223,Códigos!$A$11:$A$415,Códigos!$B$11:$B$415,"Verificar",0)</f>
        <v>NOMBRE 25</v>
      </c>
      <c r="F223" s="1239">
        <v>136500</v>
      </c>
      <c r="G223" s="989">
        <f t="shared" si="3"/>
        <v>402134494</v>
      </c>
      <c r="H223" s="1049" t="s">
        <v>1106</v>
      </c>
      <c r="I223" s="561"/>
      <c r="J223" s="54"/>
    </row>
    <row r="224" spans="1:10" x14ac:dyDescent="0.2">
      <c r="A224" s="1236">
        <v>45792</v>
      </c>
      <c r="B224" s="1233" t="s">
        <v>37</v>
      </c>
      <c r="C224" s="1187">
        <v>5</v>
      </c>
      <c r="D224" s="1279" t="str">
        <f>_xlfn.XLOOKUP(B224,Códigos!$A$489:$A$522,Códigos!$B$489:$B$522,"Verificar",0)</f>
        <v>-Retiros y Traslados de Bancos</v>
      </c>
      <c r="E224" s="1279" t="str">
        <f>_xlfn.XLOOKUP(C224,Códigos!$A$11:$A$415,Códigos!$B$11:$B$415,"Verificar",0)</f>
        <v>NOMBRE 25</v>
      </c>
      <c r="F224" s="1239">
        <v>350000</v>
      </c>
      <c r="G224" s="989">
        <f t="shared" si="3"/>
        <v>402484494</v>
      </c>
      <c r="H224" s="1274" t="s">
        <v>1349</v>
      </c>
      <c r="I224" s="561"/>
      <c r="J224" s="54"/>
    </row>
    <row r="225" spans="1:10" x14ac:dyDescent="0.2">
      <c r="A225" s="1236">
        <v>45792</v>
      </c>
      <c r="B225" s="1233" t="s">
        <v>37</v>
      </c>
      <c r="C225" s="1187">
        <v>5</v>
      </c>
      <c r="D225" s="1279" t="str">
        <f>_xlfn.XLOOKUP(B225,Códigos!$A$489:$A$522,Códigos!$B$489:$B$522,"Verificar",0)</f>
        <v>-Retiros y Traslados de Bancos</v>
      </c>
      <c r="E225" s="1279" t="str">
        <f>_xlfn.XLOOKUP(C225,Códigos!$A$11:$A$415,Códigos!$B$11:$B$415,"Verificar",0)</f>
        <v>NOMBRE 25</v>
      </c>
      <c r="F225" s="1239">
        <v>200000</v>
      </c>
      <c r="G225" s="989">
        <f t="shared" si="3"/>
        <v>402684494</v>
      </c>
      <c r="H225" s="1274" t="s">
        <v>1350</v>
      </c>
      <c r="I225" s="561"/>
      <c r="J225" s="54"/>
    </row>
    <row r="226" spans="1:10" x14ac:dyDescent="0.2">
      <c r="A226" s="1236">
        <v>45792</v>
      </c>
      <c r="B226" s="1233" t="s">
        <v>36</v>
      </c>
      <c r="C226" s="1187">
        <v>250</v>
      </c>
      <c r="D226" s="1279" t="str">
        <f>_xlfn.XLOOKUP(B226,Códigos!$A$489:$A$522,Códigos!$B$489:$B$522,"Verificar",0)</f>
        <v>Recibido por: -Cuentas por Cobrar</v>
      </c>
      <c r="E226" s="1279" t="str">
        <f>_xlfn.XLOOKUP(C226,Códigos!$A$11:$A$415,Códigos!$B$11:$B$415,"Verificar",0)</f>
        <v>NOMBRE 75</v>
      </c>
      <c r="F226" s="1239">
        <v>1016800</v>
      </c>
      <c r="G226" s="989">
        <f t="shared" si="3"/>
        <v>403701294</v>
      </c>
      <c r="H226" s="1049" t="s">
        <v>1357</v>
      </c>
      <c r="I226" s="561"/>
      <c r="J226" s="54"/>
    </row>
    <row r="227" spans="1:10" x14ac:dyDescent="0.2">
      <c r="A227" s="1236">
        <v>45792</v>
      </c>
      <c r="B227" s="1233" t="s">
        <v>36</v>
      </c>
      <c r="C227" s="1187">
        <v>250</v>
      </c>
      <c r="D227" s="1279" t="str">
        <f>_xlfn.XLOOKUP(B227,Códigos!$A$489:$A$522,Códigos!$B$489:$B$522,"Verificar",0)</f>
        <v>Recibido por: -Cuentas por Cobrar</v>
      </c>
      <c r="E227" s="1279" t="str">
        <f>_xlfn.XLOOKUP(C227,Códigos!$A$11:$A$415,Códigos!$B$11:$B$415,"Verificar",0)</f>
        <v>NOMBRE 75</v>
      </c>
      <c r="F227" s="1239">
        <v>80000</v>
      </c>
      <c r="G227" s="989">
        <f t="shared" si="3"/>
        <v>403781294</v>
      </c>
      <c r="H227" s="1052" t="s">
        <v>1368</v>
      </c>
      <c r="I227" s="561"/>
      <c r="J227" s="54"/>
    </row>
    <row r="228" spans="1:10" x14ac:dyDescent="0.2">
      <c r="A228" s="1236">
        <v>45792</v>
      </c>
      <c r="B228" s="1233" t="s">
        <v>37</v>
      </c>
      <c r="C228" s="1187">
        <v>5</v>
      </c>
      <c r="D228" s="1279" t="str">
        <f>_xlfn.XLOOKUP(B228,Códigos!$A$489:$A$522,Códigos!$B$489:$B$522,"Verificar",0)</f>
        <v>-Retiros y Traslados de Bancos</v>
      </c>
      <c r="E228" s="1279" t="str">
        <f>_xlfn.XLOOKUP(C228,Códigos!$A$11:$A$415,Códigos!$B$11:$B$415,"Verificar",0)</f>
        <v>NOMBRE 25</v>
      </c>
      <c r="F228" s="1239">
        <v>220000</v>
      </c>
      <c r="G228" s="989">
        <f t="shared" si="3"/>
        <v>404001294</v>
      </c>
      <c r="H228" s="1050" t="s">
        <v>1083</v>
      </c>
      <c r="I228" s="561"/>
      <c r="J228" s="54"/>
    </row>
    <row r="229" spans="1:10" x14ac:dyDescent="0.2">
      <c r="A229" s="1236">
        <v>45792</v>
      </c>
      <c r="B229" s="1233" t="s">
        <v>37</v>
      </c>
      <c r="C229" s="1187">
        <v>5</v>
      </c>
      <c r="D229" s="1279" t="str">
        <f>_xlfn.XLOOKUP(B229,Códigos!$A$489:$A$522,Códigos!$B$489:$B$522,"Verificar",0)</f>
        <v>-Retiros y Traslados de Bancos</v>
      </c>
      <c r="E229" s="1279" t="str">
        <f>_xlfn.XLOOKUP(C229,Códigos!$A$11:$A$415,Códigos!$B$11:$B$415,"Verificar",0)</f>
        <v>NOMBRE 25</v>
      </c>
      <c r="F229" s="1239">
        <v>660000</v>
      </c>
      <c r="G229" s="989">
        <f t="shared" si="3"/>
        <v>404661294</v>
      </c>
      <c r="H229" s="997" t="s">
        <v>1369</v>
      </c>
      <c r="I229" s="561"/>
      <c r="J229" s="54"/>
    </row>
    <row r="230" spans="1:10" x14ac:dyDescent="0.2">
      <c r="A230" s="1236">
        <v>45792</v>
      </c>
      <c r="B230" s="1233" t="s">
        <v>37</v>
      </c>
      <c r="C230" s="1187">
        <v>5</v>
      </c>
      <c r="D230" s="1279" t="str">
        <f>_xlfn.XLOOKUP(B230,Códigos!$A$489:$A$522,Códigos!$B$489:$B$522,"Verificar",0)</f>
        <v>-Retiros y Traslados de Bancos</v>
      </c>
      <c r="E230" s="1279" t="str">
        <f>_xlfn.XLOOKUP(C230,Códigos!$A$11:$A$415,Códigos!$B$11:$B$415,"Verificar",0)</f>
        <v>NOMBRE 25</v>
      </c>
      <c r="F230" s="1239">
        <f>1320000-F229-F228-2000</f>
        <v>438000</v>
      </c>
      <c r="G230" s="989">
        <f t="shared" si="3"/>
        <v>405099294</v>
      </c>
      <c r="H230" s="1052" t="s">
        <v>1370</v>
      </c>
      <c r="I230" s="561"/>
      <c r="J230" s="54"/>
    </row>
    <row r="231" spans="1:10" x14ac:dyDescent="0.2">
      <c r="A231" s="1234">
        <v>45793</v>
      </c>
      <c r="B231" s="1233" t="s">
        <v>37</v>
      </c>
      <c r="C231" s="1187">
        <v>5</v>
      </c>
      <c r="D231" s="1279" t="str">
        <f>_xlfn.XLOOKUP(B231,Códigos!$A$489:$A$522,Códigos!$B$489:$B$522,"Verificar",0)</f>
        <v>-Retiros y Traslados de Bancos</v>
      </c>
      <c r="E231" s="1279" t="str">
        <f>_xlfn.XLOOKUP(C231,Códigos!$A$11:$A$415,Códigos!$B$11:$B$415,"Verificar",0)</f>
        <v>NOMBRE 25</v>
      </c>
      <c r="F231" s="1239">
        <v>2000000</v>
      </c>
      <c r="G231" s="989">
        <f t="shared" si="3"/>
        <v>407099294</v>
      </c>
      <c r="H231" s="1049" t="s">
        <v>1038</v>
      </c>
      <c r="I231" s="561"/>
      <c r="J231" s="54"/>
    </row>
    <row r="232" spans="1:10" x14ac:dyDescent="0.2">
      <c r="A232" s="1234">
        <v>45793</v>
      </c>
      <c r="B232" s="1233" t="s">
        <v>37</v>
      </c>
      <c r="C232" s="1187">
        <v>5</v>
      </c>
      <c r="D232" s="1279" t="str">
        <f>_xlfn.XLOOKUP(B232,Códigos!$A$489:$A$522,Códigos!$B$489:$B$522,"Verificar",0)</f>
        <v>-Retiros y Traslados de Bancos</v>
      </c>
      <c r="E232" s="1279" t="str">
        <f>_xlfn.XLOOKUP(C232,Códigos!$A$11:$A$415,Códigos!$B$11:$B$415,"Verificar",0)</f>
        <v>NOMBRE 25</v>
      </c>
      <c r="F232" s="1239">
        <v>1026800</v>
      </c>
      <c r="G232" s="989">
        <f t="shared" si="3"/>
        <v>408126094</v>
      </c>
      <c r="H232" s="997" t="s">
        <v>1113</v>
      </c>
      <c r="I232" s="561"/>
      <c r="J232" s="54"/>
    </row>
    <row r="233" spans="1:10" x14ac:dyDescent="0.2">
      <c r="A233" s="1234">
        <v>45797</v>
      </c>
      <c r="B233" s="1233" t="s">
        <v>37</v>
      </c>
      <c r="C233" s="1187">
        <v>5</v>
      </c>
      <c r="D233" s="1279" t="str">
        <f>_xlfn.XLOOKUP(B233,Códigos!$A$489:$A$522,Códigos!$B$489:$B$522,"Verificar",0)</f>
        <v>-Retiros y Traslados de Bancos</v>
      </c>
      <c r="E233" s="1279" t="str">
        <f>_xlfn.XLOOKUP(C233,Códigos!$A$11:$A$415,Códigos!$B$11:$B$415,"Verificar",0)</f>
        <v>NOMBRE 25</v>
      </c>
      <c r="F233" s="1239">
        <f>266130+383130</f>
        <v>649260</v>
      </c>
      <c r="G233" s="989">
        <f t="shared" si="3"/>
        <v>408775354</v>
      </c>
      <c r="H233" s="1049" t="s">
        <v>1107</v>
      </c>
      <c r="I233" s="561"/>
      <c r="J233" s="54"/>
    </row>
    <row r="234" spans="1:10" x14ac:dyDescent="0.2">
      <c r="A234" s="1234">
        <v>45799</v>
      </c>
      <c r="B234" s="1233" t="s">
        <v>37</v>
      </c>
      <c r="C234" s="1187">
        <v>5</v>
      </c>
      <c r="D234" s="1279" t="str">
        <f>_xlfn.XLOOKUP(B234,Códigos!$A$489:$A$522,Códigos!$B$489:$B$522,"Verificar",0)</f>
        <v>-Retiros y Traslados de Bancos</v>
      </c>
      <c r="E234" s="1279" t="str">
        <f>_xlfn.XLOOKUP(C234,Códigos!$A$11:$A$415,Códigos!$B$11:$B$415,"Verificar",0)</f>
        <v>NOMBRE 25</v>
      </c>
      <c r="F234" s="1239">
        <v>220000</v>
      </c>
      <c r="G234" s="989">
        <f t="shared" si="3"/>
        <v>408995354</v>
      </c>
      <c r="H234" s="1050" t="s">
        <v>1083</v>
      </c>
      <c r="I234" s="561"/>
      <c r="J234" s="54"/>
    </row>
    <row r="235" spans="1:10" x14ac:dyDescent="0.2">
      <c r="A235" s="1234">
        <v>45799</v>
      </c>
      <c r="B235" s="1233" t="s">
        <v>37</v>
      </c>
      <c r="C235" s="1187">
        <v>5</v>
      </c>
      <c r="D235" s="1279" t="str">
        <f>_xlfn.XLOOKUP(B235,Códigos!$A$489:$A$522,Códigos!$B$489:$B$522,"Verificar",0)</f>
        <v>-Retiros y Traslados de Bancos</v>
      </c>
      <c r="E235" s="1279" t="str">
        <f>_xlfn.XLOOKUP(C235,Códigos!$A$11:$A$415,Códigos!$B$11:$B$415,"Verificar",0)</f>
        <v>NOMBRE 25</v>
      </c>
      <c r="F235" s="1239">
        <v>660000</v>
      </c>
      <c r="G235" s="989">
        <f t="shared" si="3"/>
        <v>409655354</v>
      </c>
      <c r="H235" s="997" t="s">
        <v>1387</v>
      </c>
      <c r="I235" s="561"/>
      <c r="J235" s="54"/>
    </row>
    <row r="236" spans="1:10" x14ac:dyDescent="0.2">
      <c r="A236" s="1234">
        <v>45799</v>
      </c>
      <c r="B236" s="1233" t="s">
        <v>37</v>
      </c>
      <c r="C236" s="1187">
        <v>5</v>
      </c>
      <c r="D236" s="1279" t="str">
        <f>_xlfn.XLOOKUP(B236,Códigos!$A$489:$A$522,Códigos!$B$489:$B$522,"Verificar",0)</f>
        <v>-Retiros y Traslados de Bancos</v>
      </c>
      <c r="E236" s="1279" t="str">
        <f>_xlfn.XLOOKUP(C236,Códigos!$A$11:$A$415,Códigos!$B$11:$B$415,"Verificar",0)</f>
        <v>NOMBRE 25</v>
      </c>
      <c r="F236" s="1239">
        <v>2000000</v>
      </c>
      <c r="G236" s="989">
        <f t="shared" si="3"/>
        <v>411655354</v>
      </c>
      <c r="H236" s="1049" t="s">
        <v>1038</v>
      </c>
      <c r="I236" s="561"/>
      <c r="J236" s="54"/>
    </row>
    <row r="237" spans="1:10" x14ac:dyDescent="0.2">
      <c r="A237" s="1234">
        <v>45805</v>
      </c>
      <c r="B237" s="1233" t="s">
        <v>37</v>
      </c>
      <c r="C237" s="1187">
        <v>5</v>
      </c>
      <c r="D237" s="1279" t="str">
        <f>_xlfn.XLOOKUP(B237,Códigos!$A$489:$A$522,Códigos!$B$489:$B$522,"Verificar",0)</f>
        <v>-Retiros y Traslados de Bancos</v>
      </c>
      <c r="E237" s="1279" t="str">
        <f>_xlfn.XLOOKUP(C237,Códigos!$A$11:$A$415,Códigos!$B$11:$B$415,"Verificar",0)</f>
        <v>NOMBRE 25</v>
      </c>
      <c r="F237" s="1239">
        <v>2000000</v>
      </c>
      <c r="G237" s="989">
        <f t="shared" si="3"/>
        <v>413655354</v>
      </c>
      <c r="H237" s="1049" t="s">
        <v>1038</v>
      </c>
      <c r="I237" s="561"/>
      <c r="J237" s="54"/>
    </row>
    <row r="238" spans="1:10" x14ac:dyDescent="0.2">
      <c r="A238" s="1234">
        <v>45805</v>
      </c>
      <c r="B238" s="1233" t="s">
        <v>37</v>
      </c>
      <c r="C238" s="1187">
        <v>5</v>
      </c>
      <c r="D238" s="1279" t="str">
        <f>_xlfn.XLOOKUP(B238,Códigos!$A$489:$A$522,Códigos!$B$489:$B$522,"Verificar",0)</f>
        <v>-Retiros y Traslados de Bancos</v>
      </c>
      <c r="E238" s="1279" t="str">
        <f>_xlfn.XLOOKUP(C238,Códigos!$A$11:$A$415,Códigos!$B$11:$B$415,"Verificar",0)</f>
        <v>NOMBRE 25</v>
      </c>
      <c r="F238" s="1239">
        <v>220000</v>
      </c>
      <c r="G238" s="989">
        <f t="shared" si="3"/>
        <v>413875354</v>
      </c>
      <c r="H238" s="1050" t="s">
        <v>1083</v>
      </c>
      <c r="I238" s="561"/>
      <c r="J238" s="54"/>
    </row>
    <row r="239" spans="1:10" x14ac:dyDescent="0.2">
      <c r="A239" s="1234">
        <v>45805</v>
      </c>
      <c r="B239" s="1233" t="s">
        <v>37</v>
      </c>
      <c r="C239" s="1187">
        <v>5</v>
      </c>
      <c r="D239" s="1279" t="str">
        <f>_xlfn.XLOOKUP(B239,Códigos!$A$489:$A$522,Códigos!$B$489:$B$522,"Verificar",0)</f>
        <v>-Retiros y Traslados de Bancos</v>
      </c>
      <c r="E239" s="1279" t="str">
        <f>_xlfn.XLOOKUP(C239,Códigos!$A$11:$A$415,Códigos!$B$11:$B$415,"Verificar",0)</f>
        <v>NOMBRE 25</v>
      </c>
      <c r="F239" s="1239">
        <v>660000</v>
      </c>
      <c r="G239" s="989">
        <f t="shared" si="3"/>
        <v>414535354</v>
      </c>
      <c r="H239" s="997" t="s">
        <v>1387</v>
      </c>
      <c r="I239" s="561"/>
      <c r="J239" s="54"/>
    </row>
    <row r="240" spans="1:10" x14ac:dyDescent="0.2">
      <c r="A240" s="1234">
        <v>45805</v>
      </c>
      <c r="B240" s="1233" t="s">
        <v>37</v>
      </c>
      <c r="C240" s="1187">
        <v>5</v>
      </c>
      <c r="D240" s="1279" t="str">
        <f>_xlfn.XLOOKUP(B240,Códigos!$A$489:$A$522,Códigos!$B$489:$B$522,"Verificar",0)</f>
        <v>-Retiros y Traslados de Bancos</v>
      </c>
      <c r="E240" s="1279" t="str">
        <f>_xlfn.XLOOKUP(C240,Códigos!$A$11:$A$415,Códigos!$B$11:$B$415,"Verificar",0)</f>
        <v>NOMBRE 25</v>
      </c>
      <c r="F240" s="1239">
        <v>91000</v>
      </c>
      <c r="G240" s="989">
        <f t="shared" si="3"/>
        <v>414626354</v>
      </c>
      <c r="H240" s="1050" t="s">
        <v>1394</v>
      </c>
      <c r="I240" s="561"/>
      <c r="J240" s="54"/>
    </row>
    <row r="241" spans="1:10" x14ac:dyDescent="0.2">
      <c r="A241" s="1236">
        <v>45806</v>
      </c>
      <c r="B241" s="1233" t="s">
        <v>37</v>
      </c>
      <c r="C241" s="1187">
        <v>5</v>
      </c>
      <c r="D241" s="1279" t="str">
        <f>_xlfn.XLOOKUP(B241,Códigos!$A$489:$A$522,Códigos!$B$489:$B$522,"Verificar",0)</f>
        <v>-Retiros y Traslados de Bancos</v>
      </c>
      <c r="E241" s="1279" t="str">
        <f>_xlfn.XLOOKUP(C241,Códigos!$A$11:$A$415,Códigos!$B$11:$B$415,"Verificar",0)</f>
        <v>NOMBRE 25</v>
      </c>
      <c r="F241" s="1239">
        <v>440000</v>
      </c>
      <c r="G241" s="989">
        <f t="shared" si="3"/>
        <v>415066354</v>
      </c>
      <c r="H241" s="1050" t="s">
        <v>1083</v>
      </c>
      <c r="I241" s="561"/>
      <c r="J241" s="54"/>
    </row>
    <row r="242" spans="1:10" x14ac:dyDescent="0.2">
      <c r="A242" s="1236">
        <v>45806</v>
      </c>
      <c r="B242" s="1233" t="s">
        <v>37</v>
      </c>
      <c r="C242" s="1187">
        <v>5</v>
      </c>
      <c r="D242" s="1279" t="str">
        <f>_xlfn.XLOOKUP(B242,Códigos!$A$489:$A$522,Códigos!$B$489:$B$522,"Verificar",0)</f>
        <v>-Retiros y Traslados de Bancos</v>
      </c>
      <c r="E242" s="1279" t="str">
        <f>_xlfn.XLOOKUP(C242,Códigos!$A$11:$A$415,Códigos!$B$11:$B$415,"Verificar",0)</f>
        <v>NOMBRE 25</v>
      </c>
      <c r="F242" s="1239">
        <v>700000</v>
      </c>
      <c r="G242" s="989">
        <f t="shared" si="3"/>
        <v>415766354</v>
      </c>
      <c r="H242" s="997" t="s">
        <v>1399</v>
      </c>
      <c r="I242" s="561"/>
      <c r="J242" s="54"/>
    </row>
    <row r="243" spans="1:10" x14ac:dyDescent="0.2">
      <c r="A243" s="1236">
        <v>45806</v>
      </c>
      <c r="B243" s="1233" t="s">
        <v>37</v>
      </c>
      <c r="C243" s="1187">
        <v>5</v>
      </c>
      <c r="D243" s="1279" t="str">
        <f>_xlfn.XLOOKUP(B243,Códigos!$A$489:$A$522,Códigos!$B$489:$B$522,"Verificar",0)</f>
        <v>-Retiros y Traslados de Bancos</v>
      </c>
      <c r="E243" s="1279" t="str">
        <f>_xlfn.XLOOKUP(C243,Códigos!$A$11:$A$415,Códigos!$B$11:$B$415,"Verificar",0)</f>
        <v>NOMBRE 25</v>
      </c>
      <c r="F243" s="1239">
        <v>36700</v>
      </c>
      <c r="G243" s="989">
        <f t="shared" si="3"/>
        <v>415803054</v>
      </c>
      <c r="H243" s="1049" t="s">
        <v>1395</v>
      </c>
      <c r="I243" s="561"/>
      <c r="J243" s="54"/>
    </row>
    <row r="244" spans="1:10" x14ac:dyDescent="0.2">
      <c r="A244" s="1236">
        <v>45806</v>
      </c>
      <c r="B244" s="1233" t="s">
        <v>34</v>
      </c>
      <c r="C244" s="1187">
        <v>194</v>
      </c>
      <c r="D244" s="1279" t="str">
        <f>_xlfn.XLOOKUP(B244,Códigos!$A$489:$A$522,Códigos!$B$489:$B$522,"Verificar",0)</f>
        <v>Recibido por: -Cuentas de cobro -DAFF</v>
      </c>
      <c r="E244" s="1279" t="str">
        <f>_xlfn.XLOOKUP(C244,Códigos!$A$11:$A$415,Códigos!$B$11:$B$415,"Verificar",0)</f>
        <v>NOMBRE 333</v>
      </c>
      <c r="F244" s="1239">
        <v>450000</v>
      </c>
      <c r="G244" s="989">
        <f t="shared" si="3"/>
        <v>416253054</v>
      </c>
      <c r="H244" s="1049" t="s">
        <v>1396</v>
      </c>
      <c r="I244" s="561"/>
      <c r="J244" s="54"/>
    </row>
    <row r="245" spans="1:10" x14ac:dyDescent="0.2">
      <c r="A245" s="1236">
        <v>45807</v>
      </c>
      <c r="B245" s="1233" t="s">
        <v>37</v>
      </c>
      <c r="C245" s="1187">
        <v>5</v>
      </c>
      <c r="D245" s="1279" t="str">
        <f>_xlfn.XLOOKUP(B245,Códigos!$A$489:$A$522,Códigos!$B$489:$B$522,"Verificar",0)</f>
        <v>-Retiros y Traslados de Bancos</v>
      </c>
      <c r="E245" s="1279" t="str">
        <f>_xlfn.XLOOKUP(C245,Códigos!$A$11:$A$415,Códigos!$B$11:$B$415,"Verificar",0)</f>
        <v>NOMBRE 25</v>
      </c>
      <c r="F245" s="990">
        <v>220000</v>
      </c>
      <c r="G245" s="989">
        <f t="shared" si="3"/>
        <v>416473054</v>
      </c>
      <c r="H245" s="1050" t="s">
        <v>1083</v>
      </c>
      <c r="I245" s="561"/>
      <c r="J245" s="54"/>
    </row>
    <row r="246" spans="1:10" x14ac:dyDescent="0.2">
      <c r="A246" s="1236">
        <v>45807</v>
      </c>
      <c r="B246" s="1233" t="s">
        <v>37</v>
      </c>
      <c r="C246" s="1187">
        <v>5</v>
      </c>
      <c r="D246" s="1279" t="str">
        <f>_xlfn.XLOOKUP(B246,Códigos!$A$489:$A$522,Códigos!$B$489:$B$522,"Verificar",0)</f>
        <v>-Retiros y Traslados de Bancos</v>
      </c>
      <c r="E246" s="1279" t="str">
        <f>_xlfn.XLOOKUP(C246,Códigos!$A$11:$A$415,Códigos!$B$11:$B$415,"Verificar",0)</f>
        <v>NOMBRE 25</v>
      </c>
      <c r="F246" s="1280">
        <v>380000</v>
      </c>
      <c r="G246" s="989">
        <f t="shared" si="3"/>
        <v>416853054</v>
      </c>
      <c r="H246" s="997" t="s">
        <v>1398</v>
      </c>
      <c r="I246" s="561"/>
      <c r="J246" s="54"/>
    </row>
    <row r="247" spans="1:10" x14ac:dyDescent="0.2">
      <c r="A247" s="1236">
        <v>45807</v>
      </c>
      <c r="B247" s="1233" t="s">
        <v>37</v>
      </c>
      <c r="C247" s="1187">
        <v>5</v>
      </c>
      <c r="D247" s="1279" t="str">
        <f>_xlfn.XLOOKUP(B247,Códigos!$A$489:$A$522,Códigos!$B$489:$B$522,"Verificar",0)</f>
        <v>-Retiros y Traslados de Bancos</v>
      </c>
      <c r="E247" s="1279" t="str">
        <f>_xlfn.XLOOKUP(C247,Códigos!$A$11:$A$415,Códigos!$B$11:$B$415,"Verificar",0)</f>
        <v>NOMBRE 25</v>
      </c>
      <c r="F247" s="1239">
        <v>54000</v>
      </c>
      <c r="G247" s="989">
        <f t="shared" si="3"/>
        <v>416907054</v>
      </c>
      <c r="H247" s="1049" t="s">
        <v>1211</v>
      </c>
      <c r="I247" s="561"/>
      <c r="J247" s="54"/>
    </row>
    <row r="248" spans="1:10" x14ac:dyDescent="0.2">
      <c r="A248" s="1236">
        <v>45811</v>
      </c>
      <c r="B248" s="1233" t="s">
        <v>37</v>
      </c>
      <c r="C248" s="1187">
        <v>5</v>
      </c>
      <c r="D248" s="1279" t="str">
        <f>_xlfn.XLOOKUP(B248,Códigos!$A$489:$A$522,Códigos!$B$489:$B$522,"Verificar",0)</f>
        <v>-Retiros y Traslados de Bancos</v>
      </c>
      <c r="E248" s="1279" t="str">
        <f>_xlfn.XLOOKUP(C248,Códigos!$A$11:$A$415,Códigos!$B$11:$B$415,"Verificar",0)</f>
        <v>NOMBRE 25</v>
      </c>
      <c r="F248" s="1239">
        <v>200000</v>
      </c>
      <c r="G248" s="989">
        <f t="shared" si="3"/>
        <v>417107054</v>
      </c>
      <c r="H248" s="1049" t="s">
        <v>1114</v>
      </c>
      <c r="I248" s="561"/>
      <c r="J248" s="54"/>
    </row>
    <row r="249" spans="1:10" x14ac:dyDescent="0.2">
      <c r="A249" s="1236">
        <v>45811</v>
      </c>
      <c r="B249" s="1233" t="s">
        <v>37</v>
      </c>
      <c r="C249" s="1187">
        <v>5</v>
      </c>
      <c r="D249" s="1279" t="str">
        <f>_xlfn.XLOOKUP(B249,Códigos!$A$489:$A$522,Códigos!$B$489:$B$522,"Verificar",0)</f>
        <v>-Retiros y Traslados de Bancos</v>
      </c>
      <c r="E249" s="1279" t="str">
        <f>_xlfn.XLOOKUP(C249,Códigos!$A$11:$A$415,Códigos!$B$11:$B$415,"Verificar",0)</f>
        <v>NOMBRE 25</v>
      </c>
      <c r="F249" s="1239">
        <v>100000</v>
      </c>
      <c r="G249" s="989">
        <f t="shared" si="3"/>
        <v>417207054</v>
      </c>
      <c r="H249" s="1049" t="s">
        <v>1148</v>
      </c>
      <c r="I249" s="561"/>
      <c r="J249" s="54"/>
    </row>
    <row r="250" spans="1:10" x14ac:dyDescent="0.2">
      <c r="A250" s="1236">
        <v>45811</v>
      </c>
      <c r="B250" s="1233" t="s">
        <v>10</v>
      </c>
      <c r="C250" s="1187">
        <v>262</v>
      </c>
      <c r="D250" s="1279" t="str">
        <f>_xlfn.XLOOKUP(B250,Códigos!$A$489:$A$522,Códigos!$B$489:$B$522,"Verificar",0)</f>
        <v>Recibido por: -Abono a préstamos por Nómina de:</v>
      </c>
      <c r="E250" s="1279" t="str">
        <f>_xlfn.XLOOKUP(C250,Códigos!$A$11:$A$415,Códigos!$B$11:$B$415,"Verificar",0)</f>
        <v>NOMBRE 95</v>
      </c>
      <c r="F250" s="1239">
        <v>300000</v>
      </c>
      <c r="G250" s="989">
        <f t="shared" ref="G250:G258" si="4">+G249+F250</f>
        <v>417507054</v>
      </c>
      <c r="H250" s="1049" t="s">
        <v>1149</v>
      </c>
      <c r="I250" s="561"/>
      <c r="J250" s="54"/>
    </row>
    <row r="251" spans="1:10" x14ac:dyDescent="0.2">
      <c r="A251" s="1236">
        <v>45812</v>
      </c>
      <c r="B251" s="1233" t="s">
        <v>37</v>
      </c>
      <c r="C251" s="1187">
        <v>5</v>
      </c>
      <c r="D251" s="1279" t="str">
        <f>_xlfn.XLOOKUP(B251,Códigos!$A$489:$A$522,Códigos!$B$489:$B$522,"Verificar",0)</f>
        <v>-Retiros y Traslados de Bancos</v>
      </c>
      <c r="E251" s="1279" t="str">
        <f>_xlfn.XLOOKUP(C251,Códigos!$A$11:$A$415,Códigos!$B$11:$B$415,"Verificar",0)</f>
        <v>NOMBRE 25</v>
      </c>
      <c r="F251" s="1239">
        <v>2000000</v>
      </c>
      <c r="G251" s="989">
        <f t="shared" si="4"/>
        <v>419507054</v>
      </c>
      <c r="H251" s="1049" t="s">
        <v>1038</v>
      </c>
      <c r="I251" s="561"/>
      <c r="J251" s="54"/>
    </row>
    <row r="252" spans="1:10" x14ac:dyDescent="0.2">
      <c r="A252" s="1236">
        <v>45813</v>
      </c>
      <c r="B252" s="1233" t="s">
        <v>37</v>
      </c>
      <c r="C252" s="1187">
        <v>5</v>
      </c>
      <c r="D252" s="1279" t="str">
        <f>_xlfn.XLOOKUP(B252,Códigos!$A$489:$A$522,Códigos!$B$489:$B$522,"Verificar",0)</f>
        <v>-Retiros y Traslados de Bancos</v>
      </c>
      <c r="E252" s="1279" t="str">
        <f>_xlfn.XLOOKUP(C252,Códigos!$A$11:$A$415,Códigos!$B$11:$B$415,"Verificar",0)</f>
        <v>NOMBRE 25</v>
      </c>
      <c r="F252" s="1239">
        <v>220000</v>
      </c>
      <c r="G252" s="989">
        <f t="shared" si="4"/>
        <v>419727054</v>
      </c>
      <c r="H252" s="1050" t="s">
        <v>1083</v>
      </c>
      <c r="I252" s="561"/>
      <c r="J252" s="54"/>
    </row>
    <row r="253" spans="1:10" x14ac:dyDescent="0.2">
      <c r="A253" s="1236">
        <v>45813</v>
      </c>
      <c r="B253" s="1233" t="s">
        <v>37</v>
      </c>
      <c r="C253" s="1187">
        <v>5</v>
      </c>
      <c r="D253" s="1279" t="str">
        <f>_xlfn.XLOOKUP(B253,Códigos!$A$489:$A$522,Códigos!$B$489:$B$522,"Verificar",0)</f>
        <v>-Retiros y Traslados de Bancos</v>
      </c>
      <c r="E253" s="1279" t="str">
        <f>_xlfn.XLOOKUP(C253,Códigos!$A$11:$A$415,Códigos!$B$11:$B$415,"Verificar",0)</f>
        <v>NOMBRE 25</v>
      </c>
      <c r="F253" s="1239">
        <v>2175000</v>
      </c>
      <c r="G253" s="989">
        <f t="shared" si="4"/>
        <v>421902054</v>
      </c>
      <c r="H253" s="997" t="s">
        <v>1406</v>
      </c>
      <c r="I253" s="561"/>
      <c r="J253" s="54"/>
    </row>
    <row r="254" spans="1:10" x14ac:dyDescent="0.2">
      <c r="A254" s="1236">
        <v>45813</v>
      </c>
      <c r="B254" s="1233" t="s">
        <v>37</v>
      </c>
      <c r="C254" s="1187">
        <v>5</v>
      </c>
      <c r="D254" s="1279" t="str">
        <f>_xlfn.XLOOKUP(B254,Códigos!$A$489:$A$522,Códigos!$B$489:$B$522,"Verificar",0)</f>
        <v>-Retiros y Traslados de Bancos</v>
      </c>
      <c r="E254" s="1279" t="str">
        <f>_xlfn.XLOOKUP(C254,Códigos!$A$11:$A$415,Códigos!$B$11:$B$415,"Verificar",0)</f>
        <v>NOMBRE 25</v>
      </c>
      <c r="F254" s="990">
        <v>220000</v>
      </c>
      <c r="G254" s="989">
        <f t="shared" si="4"/>
        <v>422122054</v>
      </c>
      <c r="H254" s="1050" t="s">
        <v>1083</v>
      </c>
      <c r="I254" s="561"/>
      <c r="J254" s="54"/>
    </row>
    <row r="255" spans="1:10" x14ac:dyDescent="0.2">
      <c r="A255" s="1236">
        <v>45813</v>
      </c>
      <c r="B255" s="1233" t="s">
        <v>37</v>
      </c>
      <c r="C255" s="1187">
        <v>5</v>
      </c>
      <c r="D255" s="1279" t="str">
        <f>_xlfn.XLOOKUP(B255,Códigos!$A$489:$A$522,Códigos!$B$489:$B$522,"Verificar",0)</f>
        <v>-Retiros y Traslados de Bancos</v>
      </c>
      <c r="E255" s="1279" t="str">
        <f>_xlfn.XLOOKUP(C255,Códigos!$A$11:$A$415,Códigos!$B$11:$B$415,"Verificar",0)</f>
        <v>NOMBRE 25</v>
      </c>
      <c r="F255" s="1280">
        <v>380000</v>
      </c>
      <c r="G255" s="989">
        <f t="shared" si="4"/>
        <v>422502054</v>
      </c>
      <c r="H255" s="997" t="s">
        <v>1405</v>
      </c>
      <c r="I255" s="561"/>
      <c r="J255" s="54"/>
    </row>
    <row r="256" spans="1:10" x14ac:dyDescent="0.2">
      <c r="A256" s="1236">
        <v>45813</v>
      </c>
      <c r="B256" s="1233" t="s">
        <v>37</v>
      </c>
      <c r="C256" s="1187">
        <v>5</v>
      </c>
      <c r="D256" s="1279" t="str">
        <f>_xlfn.XLOOKUP(B256,Códigos!$A$489:$A$522,Códigos!$B$489:$B$522,"Verificar",0)</f>
        <v>-Retiros y Traslados de Bancos</v>
      </c>
      <c r="E256" s="1279" t="str">
        <f>_xlfn.XLOOKUP(C256,Códigos!$A$11:$A$415,Códigos!$B$11:$B$415,"Verificar",0)</f>
        <v>NOMBRE 25</v>
      </c>
      <c r="F256" s="1239">
        <v>1392400</v>
      </c>
      <c r="G256" s="989">
        <f t="shared" si="4"/>
        <v>423894454</v>
      </c>
      <c r="H256" s="1052" t="s">
        <v>1407</v>
      </c>
      <c r="I256" s="561"/>
      <c r="J256" s="54"/>
    </row>
    <row r="257" spans="1:10" x14ac:dyDescent="0.2">
      <c r="A257" s="1236">
        <v>45813</v>
      </c>
      <c r="B257" s="1233" t="s">
        <v>37</v>
      </c>
      <c r="C257" s="1187">
        <v>5</v>
      </c>
      <c r="D257" s="1279" t="str">
        <f>_xlfn.XLOOKUP(B257,Códigos!$A$489:$A$522,Códigos!$B$489:$B$522,"Verificar",0)</f>
        <v>-Retiros y Traslados de Bancos</v>
      </c>
      <c r="E257" s="1279" t="str">
        <f>_xlfn.XLOOKUP(C257,Códigos!$A$11:$A$415,Códigos!$B$11:$B$415,"Verificar",0)</f>
        <v>NOMBRE 25</v>
      </c>
      <c r="F257" s="1239">
        <v>940500</v>
      </c>
      <c r="G257" s="989">
        <f t="shared" si="4"/>
        <v>424834954</v>
      </c>
      <c r="H257" s="1052" t="s">
        <v>1408</v>
      </c>
      <c r="I257" s="561"/>
      <c r="J257" s="54"/>
    </row>
    <row r="258" spans="1:10" x14ac:dyDescent="0.2">
      <c r="A258" s="1236">
        <v>45813</v>
      </c>
      <c r="B258" s="1233" t="s">
        <v>37</v>
      </c>
      <c r="C258" s="1187">
        <v>5</v>
      </c>
      <c r="D258" s="1279" t="str">
        <f>_xlfn.XLOOKUP(B258,Códigos!$A$489:$A$522,Códigos!$B$489:$B$522,"Verificar",0)</f>
        <v>-Retiros y Traslados de Bancos</v>
      </c>
      <c r="E258" s="1279" t="str">
        <f>_xlfn.XLOOKUP(C258,Códigos!$A$11:$A$415,Códigos!$B$11:$B$415,"Verificar",0)</f>
        <v>NOMBRE 25</v>
      </c>
      <c r="F258" s="1239">
        <v>139900</v>
      </c>
      <c r="G258" s="989">
        <f t="shared" si="4"/>
        <v>424974854</v>
      </c>
      <c r="H258" s="1052" t="s">
        <v>1220</v>
      </c>
      <c r="I258" s="561"/>
      <c r="J258" s="54"/>
    </row>
    <row r="259" spans="1:10" x14ac:dyDescent="0.2">
      <c r="A259" s="1237">
        <v>45814</v>
      </c>
      <c r="B259" s="1233" t="s">
        <v>18</v>
      </c>
      <c r="C259" s="1187">
        <v>37</v>
      </c>
      <c r="D259" s="1279" t="str">
        <f>_xlfn.XLOOKUP(B259,Códigos!$A$489:$A$522,Códigos!$B$489:$B$522,"Verificar",0)</f>
        <v>Recibido por: -FACTURAS -GTFF</v>
      </c>
      <c r="E259" s="1279" t="str">
        <f>_xlfn.XLOOKUP(C259,Códigos!$A$11:$A$415,Códigos!$B$11:$B$415,"Verificar",0)</f>
        <v>NOMBRE 310</v>
      </c>
      <c r="F259" s="1239">
        <v>1933600</v>
      </c>
      <c r="G259" s="989">
        <f t="shared" si="3"/>
        <v>426908454</v>
      </c>
      <c r="H259" s="1052" t="s">
        <v>1410</v>
      </c>
      <c r="I259" s="561"/>
      <c r="J259" s="54"/>
    </row>
    <row r="260" spans="1:10" x14ac:dyDescent="0.2">
      <c r="A260" s="1237">
        <v>45814</v>
      </c>
      <c r="B260" s="1233" t="s">
        <v>34</v>
      </c>
      <c r="C260" s="1187">
        <v>273</v>
      </c>
      <c r="D260" s="1279" t="str">
        <f>_xlfn.XLOOKUP(B260,Códigos!$A$489:$A$522,Códigos!$B$489:$B$522,"Verificar",0)</f>
        <v>Recibido por: -Cuentas de cobro -DAFF</v>
      </c>
      <c r="E260" s="1279" t="str">
        <f>_xlfn.XLOOKUP(C260,Códigos!$A$11:$A$415,Códigos!$B$11:$B$415,"Verificar",0)</f>
        <v>NOMBRE 88</v>
      </c>
      <c r="F260" s="1239">
        <v>580000</v>
      </c>
      <c r="G260" s="989">
        <f t="shared" si="3"/>
        <v>427488454</v>
      </c>
      <c r="H260" s="1049" t="s">
        <v>1411</v>
      </c>
      <c r="I260" s="561"/>
      <c r="J260" s="54"/>
    </row>
    <row r="261" spans="1:10" x14ac:dyDescent="0.2">
      <c r="A261" s="1237">
        <v>45814</v>
      </c>
      <c r="B261" s="1233" t="s">
        <v>34</v>
      </c>
      <c r="C261" s="1187">
        <v>151</v>
      </c>
      <c r="D261" s="1279" t="str">
        <f>_xlfn.XLOOKUP(B261,Códigos!$A$489:$A$522,Códigos!$B$489:$B$522,"Verificar",0)</f>
        <v>Recibido por: -Cuentas de cobro -DAFF</v>
      </c>
      <c r="E261" s="1279" t="str">
        <f>_xlfn.XLOOKUP(C261,Códigos!$A$11:$A$415,Códigos!$B$11:$B$415,"Verificar",0)</f>
        <v>NOMBRE 248</v>
      </c>
      <c r="F261" s="1239">
        <v>1980000</v>
      </c>
      <c r="G261" s="989">
        <f t="shared" si="3"/>
        <v>429468454</v>
      </c>
      <c r="H261" s="1049" t="s">
        <v>1412</v>
      </c>
      <c r="I261" s="561"/>
      <c r="J261" s="54"/>
    </row>
    <row r="262" spans="1:10" x14ac:dyDescent="0.2">
      <c r="A262" s="1237">
        <v>45817</v>
      </c>
      <c r="B262" s="1233" t="s">
        <v>37</v>
      </c>
      <c r="C262" s="1187">
        <v>5</v>
      </c>
      <c r="D262" s="1279" t="str">
        <f>_xlfn.XLOOKUP(B262,Códigos!$A$489:$A$522,Códigos!$B$489:$B$522,"Verificar",0)</f>
        <v>-Retiros y Traslados de Bancos</v>
      </c>
      <c r="E262" s="1279" t="str">
        <f>_xlfn.XLOOKUP(C262,Códigos!$A$11:$A$415,Códigos!$B$11:$B$415,"Verificar",0)</f>
        <v>NOMBRE 25</v>
      </c>
      <c r="F262" s="1239">
        <v>65000000</v>
      </c>
      <c r="G262" s="989">
        <f t="shared" si="3"/>
        <v>494468454</v>
      </c>
      <c r="H262" s="1049" t="s">
        <v>1414</v>
      </c>
      <c r="I262" s="561"/>
      <c r="J262" s="54"/>
    </row>
    <row r="263" spans="1:10" x14ac:dyDescent="0.2">
      <c r="A263" s="1234">
        <v>45819</v>
      </c>
      <c r="B263" s="1233" t="s">
        <v>37</v>
      </c>
      <c r="C263" s="1187">
        <v>5</v>
      </c>
      <c r="D263" s="1279" t="str">
        <f>_xlfn.XLOOKUP(B263,Códigos!$A$489:$A$522,Códigos!$B$489:$B$522,"Verificar",0)</f>
        <v>-Retiros y Traslados de Bancos</v>
      </c>
      <c r="E263" s="1279" t="str">
        <f>_xlfn.XLOOKUP(C263,Códigos!$A$11:$A$415,Códigos!$B$11:$B$415,"Verificar",0)</f>
        <v>NOMBRE 25</v>
      </c>
      <c r="F263" s="1239">
        <v>3000000</v>
      </c>
      <c r="G263" s="989">
        <f t="shared" si="3"/>
        <v>497468454</v>
      </c>
      <c r="H263" s="1049" t="s">
        <v>1420</v>
      </c>
      <c r="I263" s="561"/>
      <c r="J263" s="54"/>
    </row>
    <row r="264" spans="1:10" x14ac:dyDescent="0.2">
      <c r="A264" s="1234">
        <v>45820</v>
      </c>
      <c r="B264" s="1233" t="s">
        <v>37</v>
      </c>
      <c r="C264" s="1187">
        <v>5</v>
      </c>
      <c r="D264" s="1279" t="str">
        <f>_xlfn.XLOOKUP(B264,Códigos!$A$489:$A$522,Códigos!$B$489:$B$522,"Verificar",0)</f>
        <v>-Retiros y Traslados de Bancos</v>
      </c>
      <c r="E264" s="1279" t="str">
        <f>_xlfn.XLOOKUP(C264,Códigos!$A$11:$A$415,Códigos!$B$11:$B$415,"Verificar",0)</f>
        <v>NOMBRE 25</v>
      </c>
      <c r="F264" s="1239">
        <v>350000</v>
      </c>
      <c r="G264" s="989">
        <f t="shared" si="3"/>
        <v>497818454</v>
      </c>
      <c r="H264" s="1274" t="s">
        <v>1422</v>
      </c>
      <c r="I264" s="561"/>
      <c r="J264" s="54"/>
    </row>
    <row r="265" spans="1:10" x14ac:dyDescent="0.2">
      <c r="A265" s="1234">
        <v>45820</v>
      </c>
      <c r="B265" s="1233" t="s">
        <v>37</v>
      </c>
      <c r="C265" s="1187">
        <v>5</v>
      </c>
      <c r="D265" s="1279" t="str">
        <f>_xlfn.XLOOKUP(B265,Códigos!$A$489:$A$522,Códigos!$B$489:$B$522,"Verificar",0)</f>
        <v>-Retiros y Traslados de Bancos</v>
      </c>
      <c r="E265" s="1279" t="str">
        <f>_xlfn.XLOOKUP(C265,Códigos!$A$11:$A$415,Códigos!$B$11:$B$415,"Verificar",0)</f>
        <v>NOMBRE 25</v>
      </c>
      <c r="F265" s="1239">
        <v>200000</v>
      </c>
      <c r="G265" s="989">
        <f t="shared" si="3"/>
        <v>498018454</v>
      </c>
      <c r="H265" s="1274" t="s">
        <v>1350</v>
      </c>
      <c r="I265" s="561"/>
      <c r="J265" s="54"/>
    </row>
    <row r="266" spans="1:10" x14ac:dyDescent="0.2">
      <c r="A266" s="1234">
        <v>45820</v>
      </c>
      <c r="B266" s="1233" t="s">
        <v>37</v>
      </c>
      <c r="C266" s="1187">
        <v>5</v>
      </c>
      <c r="D266" s="1279" t="str">
        <f>_xlfn.XLOOKUP(B266,Códigos!$A$489:$A$522,Códigos!$B$489:$B$522,"Verificar",0)</f>
        <v>-Retiros y Traslados de Bancos</v>
      </c>
      <c r="E266" s="1279" t="str">
        <f>_xlfn.XLOOKUP(C266,Códigos!$A$11:$A$415,Códigos!$B$11:$B$415,"Verificar",0)</f>
        <v>NOMBRE 25</v>
      </c>
      <c r="F266" s="1239">
        <v>220000</v>
      </c>
      <c r="G266" s="989">
        <f t="shared" si="3"/>
        <v>498238454</v>
      </c>
      <c r="H266" s="1050" t="s">
        <v>1083</v>
      </c>
      <c r="I266" s="561"/>
      <c r="J266" s="54"/>
    </row>
    <row r="267" spans="1:10" x14ac:dyDescent="0.2">
      <c r="A267" s="1234">
        <v>45820</v>
      </c>
      <c r="B267" s="1233" t="s">
        <v>37</v>
      </c>
      <c r="C267" s="1187">
        <v>5</v>
      </c>
      <c r="D267" s="1279" t="str">
        <f>_xlfn.XLOOKUP(B267,Códigos!$A$489:$A$522,Códigos!$B$489:$B$522,"Verificar",0)</f>
        <v>-Retiros y Traslados de Bancos</v>
      </c>
      <c r="E267" s="1279" t="str">
        <f>_xlfn.XLOOKUP(C267,Códigos!$A$11:$A$415,Códigos!$B$11:$B$415,"Verificar",0)</f>
        <v>NOMBRE 25</v>
      </c>
      <c r="F267" s="1239">
        <v>660000</v>
      </c>
      <c r="G267" s="989">
        <f t="shared" si="3"/>
        <v>498898454</v>
      </c>
      <c r="H267" s="997" t="s">
        <v>1423</v>
      </c>
      <c r="I267" s="561"/>
      <c r="J267" s="54"/>
    </row>
    <row r="268" spans="1:10" x14ac:dyDescent="0.2">
      <c r="A268" s="1234">
        <v>45821</v>
      </c>
      <c r="B268" s="1233" t="s">
        <v>37</v>
      </c>
      <c r="C268" s="1187">
        <v>5</v>
      </c>
      <c r="D268" s="1279" t="str">
        <f>_xlfn.XLOOKUP(B268,Códigos!$A$489:$A$522,Códigos!$B$489:$B$522,"Verificar",0)</f>
        <v>-Retiros y Traslados de Bancos</v>
      </c>
      <c r="E268" s="1279" t="str">
        <f>_xlfn.XLOOKUP(C268,Códigos!$A$11:$A$415,Códigos!$B$11:$B$415,"Verificar",0)</f>
        <v>NOMBRE 25</v>
      </c>
      <c r="F268" s="990">
        <v>220000</v>
      </c>
      <c r="G268" s="989">
        <f t="shared" si="3"/>
        <v>499118454</v>
      </c>
      <c r="H268" s="1050" t="s">
        <v>1083</v>
      </c>
      <c r="I268" s="561"/>
      <c r="J268" s="54"/>
    </row>
    <row r="269" spans="1:10" x14ac:dyDescent="0.2">
      <c r="A269" s="1234">
        <v>45821</v>
      </c>
      <c r="B269" s="1233" t="s">
        <v>37</v>
      </c>
      <c r="C269" s="1187">
        <v>5</v>
      </c>
      <c r="D269" s="1279" t="str">
        <f>_xlfn.XLOOKUP(B269,Códigos!$A$489:$A$522,Códigos!$B$489:$B$522,"Verificar",0)</f>
        <v>-Retiros y Traslados de Bancos</v>
      </c>
      <c r="E269" s="1279" t="str">
        <f>_xlfn.XLOOKUP(C269,Códigos!$A$11:$A$415,Códigos!$B$11:$B$415,"Verificar",0)</f>
        <v>NOMBRE 25</v>
      </c>
      <c r="F269" s="1280">
        <v>380000</v>
      </c>
      <c r="G269" s="989">
        <f t="shared" si="3"/>
        <v>499498454</v>
      </c>
      <c r="H269" s="997" t="s">
        <v>1424</v>
      </c>
      <c r="I269" s="561"/>
      <c r="J269" s="54"/>
    </row>
    <row r="270" spans="1:10" x14ac:dyDescent="0.2">
      <c r="A270" s="1234">
        <v>45821</v>
      </c>
      <c r="B270" s="1233" t="s">
        <v>37</v>
      </c>
      <c r="C270" s="1187">
        <v>5</v>
      </c>
      <c r="D270" s="1279" t="str">
        <f>_xlfn.XLOOKUP(B270,Códigos!$A$489:$A$522,Códigos!$B$489:$B$522,"Verificar",0)</f>
        <v>-Retiros y Traslados de Bancos</v>
      </c>
      <c r="E270" s="1279" t="str">
        <f>_xlfn.XLOOKUP(C270,Códigos!$A$11:$A$415,Códigos!$B$11:$B$415,"Verificar",0)</f>
        <v>NOMBRE 25</v>
      </c>
      <c r="F270" s="1239">
        <v>2000000</v>
      </c>
      <c r="G270" s="989">
        <f t="shared" si="3"/>
        <v>501498454</v>
      </c>
      <c r="H270" s="1049" t="s">
        <v>1038</v>
      </c>
      <c r="I270" s="561"/>
      <c r="J270" s="54"/>
    </row>
    <row r="271" spans="1:10" x14ac:dyDescent="0.2">
      <c r="A271" s="1234">
        <v>45821</v>
      </c>
      <c r="B271" s="1233" t="s">
        <v>37</v>
      </c>
      <c r="C271" s="1187">
        <v>5</v>
      </c>
      <c r="D271" s="1279" t="str">
        <f>_xlfn.XLOOKUP(B271,Códigos!$A$489:$A$522,Códigos!$B$489:$B$522,"Verificar",0)</f>
        <v>-Retiros y Traslados de Bancos</v>
      </c>
      <c r="E271" s="1279" t="str">
        <f>_xlfn.XLOOKUP(C271,Códigos!$A$11:$A$415,Códigos!$B$11:$B$415,"Verificar",0)</f>
        <v>NOMBRE 25</v>
      </c>
      <c r="F271" s="1239">
        <v>156400</v>
      </c>
      <c r="G271" s="989">
        <f t="shared" si="3"/>
        <v>501654854</v>
      </c>
      <c r="H271" s="1049" t="s">
        <v>1425</v>
      </c>
      <c r="I271" s="561"/>
      <c r="J271" s="54"/>
    </row>
    <row r="272" spans="1:10" x14ac:dyDescent="0.2">
      <c r="A272" s="1234">
        <v>45821</v>
      </c>
      <c r="B272" s="1233" t="s">
        <v>37</v>
      </c>
      <c r="C272" s="1187">
        <v>5</v>
      </c>
      <c r="D272" s="1279" t="str">
        <f>_xlfn.XLOOKUP(B272,Códigos!$A$489:$A$522,Códigos!$B$489:$B$522,"Verificar",0)</f>
        <v>-Retiros y Traslados de Bancos</v>
      </c>
      <c r="E272" s="1279" t="str">
        <f>_xlfn.XLOOKUP(C272,Códigos!$A$11:$A$415,Códigos!$B$11:$B$415,"Verificar",0)</f>
        <v>NOMBRE 25</v>
      </c>
      <c r="F272" s="1239">
        <v>200000</v>
      </c>
      <c r="G272" s="989">
        <f t="shared" ref="G272:G288" si="5">+G271+F272</f>
        <v>501854854</v>
      </c>
      <c r="H272" s="1049" t="s">
        <v>1426</v>
      </c>
      <c r="I272" s="561"/>
      <c r="J272" s="54"/>
    </row>
    <row r="273" spans="1:10" x14ac:dyDescent="0.2">
      <c r="A273" s="1237">
        <v>45824</v>
      </c>
      <c r="B273" s="1233" t="s">
        <v>37</v>
      </c>
      <c r="C273" s="1187">
        <v>5</v>
      </c>
      <c r="D273" s="1279" t="str">
        <f>_xlfn.XLOOKUP(B273,Códigos!$A$489:$A$522,Códigos!$B$489:$B$522,"Verificar",0)</f>
        <v>-Retiros y Traslados de Bancos</v>
      </c>
      <c r="E273" s="1279" t="str">
        <f>_xlfn.XLOOKUP(C273,Códigos!$A$11:$A$415,Códigos!$B$11:$B$415,"Verificar",0)</f>
        <v>NOMBRE 25</v>
      </c>
      <c r="F273" s="1239">
        <v>109300</v>
      </c>
      <c r="G273" s="989">
        <f t="shared" si="5"/>
        <v>501964154</v>
      </c>
      <c r="H273" s="1050" t="s">
        <v>1066</v>
      </c>
      <c r="I273" s="561"/>
      <c r="J273" s="54"/>
    </row>
    <row r="274" spans="1:10" x14ac:dyDescent="0.2">
      <c r="A274" s="1237">
        <v>45824</v>
      </c>
      <c r="B274" s="1233" t="s">
        <v>37</v>
      </c>
      <c r="C274" s="1187">
        <v>5</v>
      </c>
      <c r="D274" s="1279" t="str">
        <f>_xlfn.XLOOKUP(B274,Códigos!$A$489:$A$522,Códigos!$B$489:$B$522,"Verificar",0)</f>
        <v>-Retiros y Traslados de Bancos</v>
      </c>
      <c r="E274" s="1279" t="str">
        <f>_xlfn.XLOOKUP(C274,Códigos!$A$11:$A$415,Códigos!$B$11:$B$415,"Verificar",0)</f>
        <v>NOMBRE 25</v>
      </c>
      <c r="F274" s="1239">
        <v>68100</v>
      </c>
      <c r="G274" s="989">
        <f t="shared" si="5"/>
        <v>502032254</v>
      </c>
      <c r="H274" s="1050" t="s">
        <v>1067</v>
      </c>
      <c r="I274" s="561"/>
      <c r="J274" s="54"/>
    </row>
    <row r="275" spans="1:10" x14ac:dyDescent="0.2">
      <c r="A275" s="1237">
        <v>45824</v>
      </c>
      <c r="B275" s="1233" t="s">
        <v>37</v>
      </c>
      <c r="C275" s="1187">
        <v>5</v>
      </c>
      <c r="D275" s="1279" t="str">
        <f>_xlfn.XLOOKUP(B275,Códigos!$A$489:$A$522,Códigos!$B$489:$B$522,"Verificar",0)</f>
        <v>-Retiros y Traslados de Bancos</v>
      </c>
      <c r="E275" s="1279" t="str">
        <f>_xlfn.XLOOKUP(C275,Códigos!$A$11:$A$415,Códigos!$B$11:$B$415,"Verificar",0)</f>
        <v>NOMBRE 25</v>
      </c>
      <c r="F275" s="1239">
        <v>136700</v>
      </c>
      <c r="G275" s="989">
        <f t="shared" si="5"/>
        <v>502168954</v>
      </c>
      <c r="H275" s="1049" t="s">
        <v>1106</v>
      </c>
      <c r="I275" s="561"/>
      <c r="J275" s="54"/>
    </row>
    <row r="276" spans="1:10" x14ac:dyDescent="0.2">
      <c r="A276" s="1237">
        <v>45824</v>
      </c>
      <c r="B276" s="1233" t="s">
        <v>37</v>
      </c>
      <c r="C276" s="1187">
        <v>5</v>
      </c>
      <c r="D276" s="1279" t="str">
        <f>_xlfn.XLOOKUP(B276,Códigos!$A$489:$A$522,Códigos!$B$489:$B$522,"Verificar",0)</f>
        <v>-Retiros y Traslados de Bancos</v>
      </c>
      <c r="E276" s="1279" t="str">
        <f>_xlfn.XLOOKUP(C276,Códigos!$A$11:$A$415,Códigos!$B$11:$B$415,"Verificar",0)</f>
        <v>NOMBRE 25</v>
      </c>
      <c r="F276" s="1239">
        <v>226400</v>
      </c>
      <c r="G276" s="989">
        <f t="shared" si="5"/>
        <v>502395354</v>
      </c>
      <c r="H276" s="1049" t="s">
        <v>1428</v>
      </c>
      <c r="I276" s="561"/>
      <c r="J276" s="54"/>
    </row>
    <row r="277" spans="1:10" x14ac:dyDescent="0.2">
      <c r="A277" s="1234">
        <v>45824</v>
      </c>
      <c r="B277" s="1233" t="s">
        <v>37</v>
      </c>
      <c r="C277" s="1187">
        <v>5</v>
      </c>
      <c r="D277" s="1279" t="str">
        <f>_xlfn.XLOOKUP(B277,Códigos!$A$489:$A$522,Códigos!$B$489:$B$522,"Verificar",0)</f>
        <v>-Retiros y Traslados de Bancos</v>
      </c>
      <c r="E277" s="1279" t="str">
        <f>_xlfn.XLOOKUP(C277,Códigos!$A$11:$A$415,Códigos!$B$11:$B$415,"Verificar",0)</f>
        <v>NOMBRE 25</v>
      </c>
      <c r="F277" s="1239">
        <v>1026800</v>
      </c>
      <c r="G277" s="989">
        <f t="shared" si="5"/>
        <v>503422154</v>
      </c>
      <c r="H277" s="997" t="s">
        <v>1113</v>
      </c>
      <c r="I277" s="561"/>
      <c r="J277" s="54"/>
    </row>
    <row r="278" spans="1:10" x14ac:dyDescent="0.2">
      <c r="A278" s="1237">
        <v>45826</v>
      </c>
      <c r="B278" s="1233" t="s">
        <v>37</v>
      </c>
      <c r="C278" s="1187">
        <v>5</v>
      </c>
      <c r="D278" s="1279" t="str">
        <f>_xlfn.XLOOKUP(B278,Códigos!$A$489:$A$522,Códigos!$B$489:$B$522,"Verificar",0)</f>
        <v>-Retiros y Traslados de Bancos</v>
      </c>
      <c r="E278" s="1279" t="str">
        <f>_xlfn.XLOOKUP(C278,Códigos!$A$11:$A$415,Códigos!$B$11:$B$415,"Verificar",0)</f>
        <v>NOMBRE 25</v>
      </c>
      <c r="F278" s="1239">
        <v>2000000</v>
      </c>
      <c r="G278" s="989">
        <f t="shared" si="5"/>
        <v>505422154</v>
      </c>
      <c r="H278" s="1049" t="s">
        <v>1038</v>
      </c>
      <c r="I278" s="561"/>
      <c r="J278" s="54"/>
    </row>
    <row r="279" spans="1:10" x14ac:dyDescent="0.2">
      <c r="A279" s="1236">
        <v>45827</v>
      </c>
      <c r="B279" s="1233" t="s">
        <v>37</v>
      </c>
      <c r="C279" s="1187">
        <v>5</v>
      </c>
      <c r="D279" s="1279" t="str">
        <f>_xlfn.XLOOKUP(B279,Códigos!$A$489:$A$522,Códigos!$B$489:$B$522,"Verificar",0)</f>
        <v>-Retiros y Traslados de Bancos</v>
      </c>
      <c r="E279" s="1279" t="str">
        <f>_xlfn.XLOOKUP(C279,Códigos!$A$11:$A$415,Códigos!$B$11:$B$415,"Verificar",0)</f>
        <v>NOMBRE 25</v>
      </c>
      <c r="F279" s="1239">
        <v>220000</v>
      </c>
      <c r="G279" s="989">
        <f t="shared" si="5"/>
        <v>505642154</v>
      </c>
      <c r="H279" s="1050" t="s">
        <v>1083</v>
      </c>
      <c r="I279" s="561"/>
      <c r="J279" s="54"/>
    </row>
    <row r="280" spans="1:10" x14ac:dyDescent="0.2">
      <c r="A280" s="1236">
        <v>45827</v>
      </c>
      <c r="B280" s="1233" t="s">
        <v>37</v>
      </c>
      <c r="C280" s="1187">
        <v>5</v>
      </c>
      <c r="D280" s="1279" t="str">
        <f>_xlfn.XLOOKUP(B280,Códigos!$A$489:$A$522,Códigos!$B$489:$B$522,"Verificar",0)</f>
        <v>-Retiros y Traslados de Bancos</v>
      </c>
      <c r="E280" s="1279" t="str">
        <f>_xlfn.XLOOKUP(C280,Códigos!$A$11:$A$415,Códigos!$B$11:$B$415,"Verificar",0)</f>
        <v>NOMBRE 25</v>
      </c>
      <c r="F280" s="1239">
        <v>660000</v>
      </c>
      <c r="G280" s="989">
        <f t="shared" si="5"/>
        <v>506302154</v>
      </c>
      <c r="H280" s="997" t="s">
        <v>1439</v>
      </c>
      <c r="I280" s="561"/>
      <c r="J280" s="54"/>
    </row>
    <row r="281" spans="1:10" x14ac:dyDescent="0.2">
      <c r="A281" s="1236">
        <v>45827</v>
      </c>
      <c r="B281" s="1233" t="s">
        <v>37</v>
      </c>
      <c r="C281" s="1187">
        <v>5</v>
      </c>
      <c r="D281" s="1279" t="str">
        <f>_xlfn.XLOOKUP(B281,Códigos!$A$489:$A$522,Códigos!$B$489:$B$522,"Verificar",0)</f>
        <v>-Retiros y Traslados de Bancos</v>
      </c>
      <c r="E281" s="1279" t="str">
        <f>_xlfn.XLOOKUP(C281,Códigos!$A$11:$A$415,Códigos!$B$11:$B$415,"Verificar",0)</f>
        <v>NOMBRE 25</v>
      </c>
      <c r="F281" s="1239">
        <v>1920500</v>
      </c>
      <c r="G281" s="989">
        <f t="shared" si="5"/>
        <v>508222654</v>
      </c>
      <c r="H281" s="1049" t="s">
        <v>1441</v>
      </c>
      <c r="I281" s="561"/>
      <c r="J281" s="54"/>
    </row>
    <row r="282" spans="1:10" x14ac:dyDescent="0.2">
      <c r="A282" s="1236">
        <v>45828</v>
      </c>
      <c r="B282" s="1233" t="s">
        <v>37</v>
      </c>
      <c r="C282" s="1187">
        <v>5</v>
      </c>
      <c r="D282" s="1279" t="str">
        <f>_xlfn.XLOOKUP(B282,Códigos!$A$489:$A$522,Códigos!$B$489:$B$522,"Verificar",0)</f>
        <v>-Retiros y Traslados de Bancos</v>
      </c>
      <c r="E282" s="1279" t="str">
        <f>_xlfn.XLOOKUP(C282,Códigos!$A$11:$A$415,Códigos!$B$11:$B$415,"Verificar",0)</f>
        <v>NOMBRE 25</v>
      </c>
      <c r="F282" s="990">
        <v>220000</v>
      </c>
      <c r="G282" s="989">
        <f t="shared" si="5"/>
        <v>508442654</v>
      </c>
      <c r="H282" s="1050" t="s">
        <v>1083</v>
      </c>
      <c r="I282" s="561"/>
      <c r="J282" s="54"/>
    </row>
    <row r="283" spans="1:10" x14ac:dyDescent="0.2">
      <c r="A283" s="1236">
        <v>45828</v>
      </c>
      <c r="B283" s="1233" t="s">
        <v>37</v>
      </c>
      <c r="C283" s="1187">
        <v>5</v>
      </c>
      <c r="D283" s="1279" t="str">
        <f>_xlfn.XLOOKUP(B283,Códigos!$A$489:$A$522,Códigos!$B$489:$B$522,"Verificar",0)</f>
        <v>-Retiros y Traslados de Bancos</v>
      </c>
      <c r="E283" s="1279" t="str">
        <f>_xlfn.XLOOKUP(C283,Códigos!$A$11:$A$415,Códigos!$B$11:$B$415,"Verificar",0)</f>
        <v>NOMBRE 25</v>
      </c>
      <c r="F283" s="1280">
        <v>380000</v>
      </c>
      <c r="G283" s="989">
        <f t="shared" si="5"/>
        <v>508822654</v>
      </c>
      <c r="H283" s="997" t="s">
        <v>1442</v>
      </c>
      <c r="I283" s="561"/>
      <c r="J283" s="54"/>
    </row>
    <row r="284" spans="1:10" x14ac:dyDescent="0.2">
      <c r="A284" s="1236">
        <v>45832</v>
      </c>
      <c r="B284" s="1233" t="s">
        <v>37</v>
      </c>
      <c r="C284" s="1187">
        <v>5</v>
      </c>
      <c r="D284" s="1279" t="str">
        <f>_xlfn.XLOOKUP(B284,Códigos!$A$489:$A$522,Códigos!$B$489:$B$522,"Verificar",0)</f>
        <v>-Retiros y Traslados de Bancos</v>
      </c>
      <c r="E284" s="1279" t="str">
        <f>_xlfn.XLOOKUP(C284,Códigos!$A$11:$A$415,Códigos!$B$11:$B$415,"Verificar",0)</f>
        <v>NOMBRE 25</v>
      </c>
      <c r="F284" s="1239">
        <v>9165000</v>
      </c>
      <c r="G284" s="989">
        <f t="shared" si="5"/>
        <v>517987654</v>
      </c>
      <c r="H284" s="1049" t="s">
        <v>1476</v>
      </c>
      <c r="I284" s="561"/>
      <c r="J284" s="54"/>
    </row>
    <row r="285" spans="1:10" x14ac:dyDescent="0.2">
      <c r="A285" s="1236">
        <v>45835</v>
      </c>
      <c r="B285" s="1233" t="s">
        <v>37</v>
      </c>
      <c r="C285" s="1187">
        <v>5</v>
      </c>
      <c r="D285" s="1279" t="str">
        <f>_xlfn.XLOOKUP(B285,Códigos!$A$489:$A$522,Códigos!$B$489:$B$522,"Verificar",0)</f>
        <v>-Retiros y Traslados de Bancos</v>
      </c>
      <c r="E285" s="1279" t="str">
        <f>_xlfn.XLOOKUP(C285,Códigos!$A$11:$A$415,Códigos!$B$11:$B$415,"Verificar",0)</f>
        <v>NOMBRE 25</v>
      </c>
      <c r="F285" s="1239">
        <v>220000</v>
      </c>
      <c r="G285" s="989">
        <f t="shared" si="5"/>
        <v>518207654</v>
      </c>
      <c r="H285" s="1050" t="s">
        <v>1083</v>
      </c>
      <c r="I285" s="561"/>
      <c r="J285" s="54"/>
    </row>
    <row r="286" spans="1:10" x14ac:dyDescent="0.2">
      <c r="A286" s="1236">
        <v>45835</v>
      </c>
      <c r="B286" s="1233" t="s">
        <v>37</v>
      </c>
      <c r="C286" s="1187">
        <v>5</v>
      </c>
      <c r="D286" s="1279" t="str">
        <f>_xlfn.XLOOKUP(B286,Códigos!$A$489:$A$522,Códigos!$B$489:$B$522,"Verificar",0)</f>
        <v>-Retiros y Traslados de Bancos</v>
      </c>
      <c r="E286" s="1279" t="str">
        <f>_xlfn.XLOOKUP(C286,Códigos!$A$11:$A$415,Códigos!$B$11:$B$415,"Verificar",0)</f>
        <v>NOMBRE 25</v>
      </c>
      <c r="F286" s="1239">
        <v>660000</v>
      </c>
      <c r="G286" s="989">
        <f t="shared" si="5"/>
        <v>518867654</v>
      </c>
      <c r="H286" s="997" t="s">
        <v>1477</v>
      </c>
      <c r="I286" s="561"/>
      <c r="J286" s="54"/>
    </row>
    <row r="287" spans="1:10" x14ac:dyDescent="0.2">
      <c r="A287" s="1236">
        <v>45835</v>
      </c>
      <c r="B287" s="1233" t="s">
        <v>37</v>
      </c>
      <c r="C287" s="1187">
        <v>5</v>
      </c>
      <c r="D287" s="1279" t="str">
        <f>_xlfn.XLOOKUP(B287,Códigos!$A$489:$A$522,Códigos!$B$489:$B$522,"Verificar",0)</f>
        <v>-Retiros y Traslados de Bancos</v>
      </c>
      <c r="E287" s="1279" t="str">
        <f>_xlfn.XLOOKUP(C287,Códigos!$A$11:$A$415,Códigos!$B$11:$B$415,"Verificar",0)</f>
        <v>NOMBRE 25</v>
      </c>
      <c r="F287" s="990">
        <v>220000</v>
      </c>
      <c r="G287" s="989">
        <f t="shared" si="5"/>
        <v>519087654</v>
      </c>
      <c r="H287" s="1050" t="s">
        <v>1083</v>
      </c>
      <c r="I287" s="561"/>
      <c r="J287" s="54"/>
    </row>
    <row r="288" spans="1:10" x14ac:dyDescent="0.2">
      <c r="A288" s="1236">
        <v>45835</v>
      </c>
      <c r="B288" s="1233" t="s">
        <v>37</v>
      </c>
      <c r="C288" s="1187">
        <v>5</v>
      </c>
      <c r="D288" s="1279" t="str">
        <f>_xlfn.XLOOKUP(B288,Códigos!$A$489:$A$522,Códigos!$B$489:$B$522,"Verificar",0)</f>
        <v>-Retiros y Traslados de Bancos</v>
      </c>
      <c r="E288" s="1279" t="str">
        <f>_xlfn.XLOOKUP(C288,Códigos!$A$11:$A$415,Códigos!$B$11:$B$415,"Verificar",0)</f>
        <v>NOMBRE 25</v>
      </c>
      <c r="F288" s="1280">
        <v>380000</v>
      </c>
      <c r="G288" s="989">
        <f t="shared" si="5"/>
        <v>519467654</v>
      </c>
      <c r="H288" s="997" t="s">
        <v>1478</v>
      </c>
      <c r="I288" s="561"/>
      <c r="J288" s="54"/>
    </row>
    <row r="289" spans="1:10" x14ac:dyDescent="0.2">
      <c r="A289" s="1236">
        <v>45835</v>
      </c>
      <c r="B289" s="1233" t="s">
        <v>37</v>
      </c>
      <c r="C289" s="1187">
        <v>5</v>
      </c>
      <c r="D289" s="1279" t="str">
        <f>_xlfn.XLOOKUP(B289,Códigos!$A$489:$A$522,Códigos!$B$489:$B$522,"Verificar",0)</f>
        <v>-Retiros y Traslados de Bancos</v>
      </c>
      <c r="E289" s="1279" t="str">
        <f>_xlfn.XLOOKUP(C289,Códigos!$A$11:$A$415,Códigos!$B$11:$B$415,"Verificar",0)</f>
        <v>NOMBRE 25</v>
      </c>
      <c r="F289" s="1239">
        <v>332152</v>
      </c>
      <c r="G289" s="989">
        <f t="shared" ref="G289:G317" si="6">+G288+F289</f>
        <v>519799806</v>
      </c>
      <c r="H289" s="1049" t="s">
        <v>1479</v>
      </c>
      <c r="I289" s="561"/>
      <c r="J289" s="54"/>
    </row>
    <row r="290" spans="1:10" x14ac:dyDescent="0.2">
      <c r="A290" s="1236">
        <v>45836</v>
      </c>
      <c r="B290" s="1233" t="s">
        <v>37</v>
      </c>
      <c r="C290" s="1187">
        <v>5</v>
      </c>
      <c r="D290" s="1279" t="str">
        <f>_xlfn.XLOOKUP(B290,Códigos!$A$489:$A$522,Códigos!$B$489:$B$522,"Verificar",0)</f>
        <v>-Retiros y Traslados de Bancos</v>
      </c>
      <c r="E290" s="1279" t="str">
        <f>_xlfn.XLOOKUP(C290,Códigos!$A$11:$A$415,Códigos!$B$11:$B$415,"Verificar",0)</f>
        <v>NOMBRE 25</v>
      </c>
      <c r="F290" s="1239">
        <v>600000</v>
      </c>
      <c r="G290" s="989">
        <f t="shared" si="6"/>
        <v>520399806</v>
      </c>
      <c r="H290" s="1049" t="s">
        <v>1452</v>
      </c>
      <c r="I290" s="561"/>
      <c r="J290" s="54"/>
    </row>
    <row r="291" spans="1:10" x14ac:dyDescent="0.2">
      <c r="A291" s="1236">
        <v>45839</v>
      </c>
      <c r="B291" s="1233" t="s">
        <v>37</v>
      </c>
      <c r="C291" s="1187">
        <v>5</v>
      </c>
      <c r="D291" s="1279" t="str">
        <f>_xlfn.XLOOKUP(B291,Códigos!$A$489:$A$522,Códigos!$B$489:$B$522,"Verificar",0)</f>
        <v>-Retiros y Traslados de Bancos</v>
      </c>
      <c r="E291" s="1279" t="str">
        <f>_xlfn.XLOOKUP(C291,Códigos!$A$11:$A$415,Códigos!$B$11:$B$415,"Verificar",0)</f>
        <v>NOMBRE 25</v>
      </c>
      <c r="F291" s="1239">
        <v>139900</v>
      </c>
      <c r="G291" s="989">
        <f t="shared" ref="G291:G295" si="7">+G290+F291</f>
        <v>520539706</v>
      </c>
      <c r="H291" s="1049" t="s">
        <v>1481</v>
      </c>
      <c r="I291" s="561"/>
      <c r="J291" s="54"/>
    </row>
    <row r="292" spans="1:10" x14ac:dyDescent="0.2">
      <c r="A292" s="1236">
        <v>45839</v>
      </c>
      <c r="B292" s="1233" t="s">
        <v>37</v>
      </c>
      <c r="C292" s="1187">
        <v>5</v>
      </c>
      <c r="D292" s="1279" t="str">
        <f>_xlfn.XLOOKUP(B292,Códigos!$A$489:$A$522,Códigos!$B$489:$B$522,"Verificar",0)</f>
        <v>-Retiros y Traslados de Bancos</v>
      </c>
      <c r="E292" s="1279" t="str">
        <f>_xlfn.XLOOKUP(C292,Códigos!$A$11:$A$415,Códigos!$B$11:$B$415,"Verificar",0)</f>
        <v>NOMBRE 25</v>
      </c>
      <c r="F292" s="1239">
        <v>59275</v>
      </c>
      <c r="G292" s="989">
        <f t="shared" si="7"/>
        <v>520598981</v>
      </c>
      <c r="H292" s="1049" t="s">
        <v>1211</v>
      </c>
      <c r="I292" s="561"/>
      <c r="J292" s="54"/>
    </row>
    <row r="293" spans="1:10" x14ac:dyDescent="0.2">
      <c r="A293" s="1236">
        <v>45840</v>
      </c>
      <c r="B293" s="1233" t="s">
        <v>37</v>
      </c>
      <c r="C293" s="1187">
        <v>5</v>
      </c>
      <c r="D293" s="1279" t="str">
        <f>_xlfn.XLOOKUP(B293,Códigos!$A$489:$A$522,Códigos!$B$489:$B$522,"Verificar",0)</f>
        <v>-Retiros y Traslados de Bancos</v>
      </c>
      <c r="E293" s="1279" t="str">
        <f>_xlfn.XLOOKUP(C293,Códigos!$A$11:$A$415,Códigos!$B$11:$B$415,"Verificar",0)</f>
        <v>NOMBRE 25</v>
      </c>
      <c r="F293" s="1239">
        <v>45900</v>
      </c>
      <c r="G293" s="989">
        <f t="shared" si="7"/>
        <v>520644881</v>
      </c>
      <c r="H293" s="1049" t="s">
        <v>1482</v>
      </c>
      <c r="I293" s="561"/>
      <c r="J293" s="54"/>
    </row>
    <row r="294" spans="1:10" x14ac:dyDescent="0.2">
      <c r="A294" s="1236">
        <v>45840</v>
      </c>
      <c r="B294" s="1233" t="s">
        <v>37</v>
      </c>
      <c r="C294" s="1187">
        <v>5</v>
      </c>
      <c r="D294" s="1279" t="str">
        <f>_xlfn.XLOOKUP(B294,Códigos!$A$489:$A$522,Códigos!$B$489:$B$522,"Verificar",0)</f>
        <v>-Retiros y Traslados de Bancos</v>
      </c>
      <c r="E294" s="1279" t="str">
        <f>_xlfn.XLOOKUP(C294,Códigos!$A$11:$A$415,Códigos!$B$11:$B$415,"Verificar",0)</f>
        <v>NOMBRE 25</v>
      </c>
      <c r="F294" s="1239">
        <v>1392400</v>
      </c>
      <c r="G294" s="989">
        <f t="shared" si="7"/>
        <v>522037281</v>
      </c>
      <c r="H294" s="1052" t="s">
        <v>1407</v>
      </c>
      <c r="I294" s="561"/>
      <c r="J294" s="54"/>
    </row>
    <row r="295" spans="1:10" x14ac:dyDescent="0.2">
      <c r="A295" s="1236">
        <v>45840</v>
      </c>
      <c r="B295" s="1233" t="s">
        <v>37</v>
      </c>
      <c r="C295" s="1187">
        <v>5</v>
      </c>
      <c r="D295" s="1279" t="str">
        <f>_xlfn.XLOOKUP(B295,Códigos!$A$489:$A$522,Códigos!$B$489:$B$522,"Verificar",0)</f>
        <v>-Retiros y Traslados de Bancos</v>
      </c>
      <c r="E295" s="1279" t="str">
        <f>_xlfn.XLOOKUP(C295,Códigos!$A$11:$A$415,Códigos!$B$11:$B$415,"Verificar",0)</f>
        <v>NOMBRE 25</v>
      </c>
      <c r="F295" s="1239">
        <v>940500</v>
      </c>
      <c r="G295" s="989">
        <f t="shared" si="7"/>
        <v>522977781</v>
      </c>
      <c r="H295" s="1052" t="s">
        <v>1408</v>
      </c>
      <c r="I295" s="561"/>
      <c r="J295" s="54"/>
    </row>
    <row r="296" spans="1:10" x14ac:dyDescent="0.2">
      <c r="A296" s="1236">
        <v>45840</v>
      </c>
      <c r="B296" s="1233" t="s">
        <v>37</v>
      </c>
      <c r="C296" s="1187">
        <v>5</v>
      </c>
      <c r="D296" s="1279" t="str">
        <f>_xlfn.XLOOKUP(B296,Códigos!$A$489:$A$522,Códigos!$B$489:$B$522,"Verificar",0)</f>
        <v>-Retiros y Traslados de Bancos</v>
      </c>
      <c r="E296" s="1279" t="str">
        <f>_xlfn.XLOOKUP(C296,Códigos!$A$11:$A$415,Códigos!$B$11:$B$415,"Verificar",0)</f>
        <v>NOMBRE 25</v>
      </c>
      <c r="F296" s="1239">
        <v>1269300</v>
      </c>
      <c r="G296" s="989">
        <f t="shared" si="6"/>
        <v>524247081</v>
      </c>
      <c r="H296" s="1052" t="s">
        <v>1483</v>
      </c>
      <c r="I296" s="561"/>
      <c r="J296" s="54"/>
    </row>
    <row r="297" spans="1:10" x14ac:dyDescent="0.2">
      <c r="A297" s="1236">
        <v>45840</v>
      </c>
      <c r="B297" s="1233" t="s">
        <v>37</v>
      </c>
      <c r="C297" s="1187">
        <v>5</v>
      </c>
      <c r="D297" s="1279" t="str">
        <f>_xlfn.XLOOKUP(B297,Códigos!$A$489:$A$522,Códigos!$B$489:$B$522,"Verificar",0)</f>
        <v>-Retiros y Traslados de Bancos</v>
      </c>
      <c r="E297" s="1279" t="str">
        <f>_xlfn.XLOOKUP(C297,Códigos!$A$11:$A$415,Códigos!$B$11:$B$415,"Verificar",0)</f>
        <v>NOMBRE 25</v>
      </c>
      <c r="F297" s="1239">
        <v>220000</v>
      </c>
      <c r="G297" s="989">
        <f t="shared" si="6"/>
        <v>524467081</v>
      </c>
      <c r="H297" s="1050" t="s">
        <v>1083</v>
      </c>
      <c r="I297" s="561"/>
      <c r="J297" s="54"/>
    </row>
    <row r="298" spans="1:10" x14ac:dyDescent="0.2">
      <c r="A298" s="1236">
        <v>45840</v>
      </c>
      <c r="B298" s="1233" t="s">
        <v>37</v>
      </c>
      <c r="C298" s="1187">
        <v>5</v>
      </c>
      <c r="D298" s="1279" t="str">
        <f>_xlfn.XLOOKUP(B298,Códigos!$A$489:$A$522,Códigos!$B$489:$B$522,"Verificar",0)</f>
        <v>-Retiros y Traslados de Bancos</v>
      </c>
      <c r="E298" s="1279" t="str">
        <f>_xlfn.XLOOKUP(C298,Códigos!$A$11:$A$415,Códigos!$B$11:$B$415,"Verificar",0)</f>
        <v>NOMBRE 25</v>
      </c>
      <c r="F298" s="1239">
        <v>660000</v>
      </c>
      <c r="G298" s="989">
        <f t="shared" si="6"/>
        <v>525127081</v>
      </c>
      <c r="H298" s="997" t="s">
        <v>1477</v>
      </c>
      <c r="I298" s="561"/>
      <c r="J298" s="54"/>
    </row>
    <row r="299" spans="1:10" x14ac:dyDescent="0.2">
      <c r="A299" s="1236">
        <v>45840</v>
      </c>
      <c r="B299" s="1233" t="s">
        <v>37</v>
      </c>
      <c r="C299" s="1187">
        <v>5</v>
      </c>
      <c r="D299" s="1279" t="str">
        <f>_xlfn.XLOOKUP(B299,Códigos!$A$489:$A$522,Códigos!$B$489:$B$522,"Verificar",0)</f>
        <v>-Retiros y Traslados de Bancos</v>
      </c>
      <c r="E299" s="1279" t="str">
        <f>_xlfn.XLOOKUP(C299,Códigos!$A$11:$A$415,Códigos!$B$11:$B$415,"Verificar",0)</f>
        <v>NOMBRE 25</v>
      </c>
      <c r="F299" s="1239">
        <v>120000</v>
      </c>
      <c r="G299" s="989">
        <f t="shared" si="6"/>
        <v>525247081</v>
      </c>
      <c r="H299" s="1049" t="s">
        <v>1484</v>
      </c>
      <c r="I299" s="561"/>
      <c r="J299" s="54"/>
    </row>
    <row r="300" spans="1:10" x14ac:dyDescent="0.2">
      <c r="A300" s="1234">
        <v>45842</v>
      </c>
      <c r="B300" s="1233" t="s">
        <v>37</v>
      </c>
      <c r="C300" s="1187">
        <v>5</v>
      </c>
      <c r="D300" s="1279" t="str">
        <f>_xlfn.XLOOKUP(B300,Códigos!$A$489:$A$522,Códigos!$B$489:$B$522,"Verificar",0)</f>
        <v>-Retiros y Traslados de Bancos</v>
      </c>
      <c r="E300" s="1279" t="str">
        <f>_xlfn.XLOOKUP(C300,Códigos!$A$11:$A$415,Códigos!$B$11:$B$415,"Verificar",0)</f>
        <v>NOMBRE 25</v>
      </c>
      <c r="F300" s="1239">
        <v>71000</v>
      </c>
      <c r="G300" s="989">
        <f t="shared" si="6"/>
        <v>525318081</v>
      </c>
      <c r="H300" s="1049" t="s">
        <v>1476</v>
      </c>
      <c r="I300" s="561"/>
      <c r="J300" s="54"/>
    </row>
    <row r="301" spans="1:10" x14ac:dyDescent="0.2">
      <c r="A301" s="1234">
        <v>45842</v>
      </c>
      <c r="B301" s="1233" t="s">
        <v>37</v>
      </c>
      <c r="C301" s="1187">
        <v>5</v>
      </c>
      <c r="D301" s="1279" t="str">
        <f>_xlfn.XLOOKUP(B301,Códigos!$A$489:$A$522,Códigos!$B$489:$B$522,"Verificar",0)</f>
        <v>-Retiros y Traslados de Bancos</v>
      </c>
      <c r="E301" s="1279" t="str">
        <f>_xlfn.XLOOKUP(C301,Códigos!$A$11:$A$415,Códigos!$B$11:$B$415,"Verificar",0)</f>
        <v>NOMBRE 25</v>
      </c>
      <c r="F301" s="990">
        <v>220000</v>
      </c>
      <c r="G301" s="989">
        <f t="shared" si="6"/>
        <v>525538081</v>
      </c>
      <c r="H301" s="1050" t="s">
        <v>1083</v>
      </c>
      <c r="I301" s="561"/>
      <c r="J301" s="54"/>
    </row>
    <row r="302" spans="1:10" x14ac:dyDescent="0.2">
      <c r="A302" s="1234">
        <v>45842</v>
      </c>
      <c r="B302" s="1233" t="s">
        <v>37</v>
      </c>
      <c r="C302" s="1187">
        <v>5</v>
      </c>
      <c r="D302" s="1279" t="str">
        <f>_xlfn.XLOOKUP(B302,Códigos!$A$489:$A$522,Códigos!$B$489:$B$522,"Verificar",0)</f>
        <v>-Retiros y Traslados de Bancos</v>
      </c>
      <c r="E302" s="1279" t="str">
        <f>_xlfn.XLOOKUP(C302,Códigos!$A$11:$A$415,Códigos!$B$11:$B$415,"Verificar",0)</f>
        <v>NOMBRE 25</v>
      </c>
      <c r="F302" s="1280">
        <v>380000</v>
      </c>
      <c r="G302" s="989">
        <f t="shared" si="6"/>
        <v>525918081</v>
      </c>
      <c r="H302" s="997" t="s">
        <v>1485</v>
      </c>
      <c r="I302" s="561"/>
      <c r="J302" s="54"/>
    </row>
    <row r="303" spans="1:10" x14ac:dyDescent="0.2">
      <c r="A303" s="1234">
        <v>45843</v>
      </c>
      <c r="B303" s="1233" t="s">
        <v>37</v>
      </c>
      <c r="C303" s="1187">
        <v>5</v>
      </c>
      <c r="D303" s="1279" t="str">
        <f>_xlfn.XLOOKUP(B303,Códigos!$A$489:$A$522,Códigos!$B$489:$B$522,"Verificar",0)</f>
        <v>-Retiros y Traslados de Bancos</v>
      </c>
      <c r="E303" s="1279" t="str">
        <f>_xlfn.XLOOKUP(C303,Códigos!$A$11:$A$415,Códigos!$B$11:$B$415,"Verificar",0)</f>
        <v>NOMBRE 25</v>
      </c>
      <c r="F303" s="1239">
        <v>1000000</v>
      </c>
      <c r="G303" s="989">
        <f t="shared" si="6"/>
        <v>526918081</v>
      </c>
      <c r="H303" s="1049" t="s">
        <v>1038</v>
      </c>
      <c r="I303" s="561"/>
      <c r="J303" s="54"/>
    </row>
    <row r="304" spans="1:10" x14ac:dyDescent="0.2">
      <c r="A304" s="1234">
        <v>45843</v>
      </c>
      <c r="B304" s="1233" t="s">
        <v>37</v>
      </c>
      <c r="C304" s="1187">
        <v>5</v>
      </c>
      <c r="D304" s="1279" t="str">
        <f>_xlfn.XLOOKUP(B304,Códigos!$A$489:$A$522,Códigos!$B$489:$B$522,"Verificar",0)</f>
        <v>-Retiros y Traslados de Bancos</v>
      </c>
      <c r="E304" s="1279" t="str">
        <f>_xlfn.XLOOKUP(C304,Códigos!$A$11:$A$415,Códigos!$B$11:$B$415,"Verificar",0)</f>
        <v>NOMBRE 25</v>
      </c>
      <c r="F304" s="1239">
        <v>500000</v>
      </c>
      <c r="G304" s="989">
        <f t="shared" si="6"/>
        <v>527418081</v>
      </c>
      <c r="H304" s="1049" t="s">
        <v>1038</v>
      </c>
      <c r="I304" s="561"/>
      <c r="J304" s="54"/>
    </row>
    <row r="305" spans="1:10" x14ac:dyDescent="0.2">
      <c r="A305" s="1234">
        <v>45845</v>
      </c>
      <c r="B305" s="1233" t="s">
        <v>37</v>
      </c>
      <c r="C305" s="1187">
        <v>5</v>
      </c>
      <c r="D305" s="1279" t="str">
        <f>_xlfn.XLOOKUP(B305,Códigos!$A$489:$A$522,Códigos!$B$489:$B$522,"Verificar",0)</f>
        <v>-Retiros y Traslados de Bancos</v>
      </c>
      <c r="E305" s="1279" t="str">
        <f>_xlfn.XLOOKUP(C305,Códigos!$A$11:$A$415,Códigos!$B$11:$B$415,"Verificar",0)</f>
        <v>NOMBRE 25</v>
      </c>
      <c r="F305" s="1239">
        <v>459999</v>
      </c>
      <c r="G305" s="989">
        <f t="shared" si="6"/>
        <v>527878080</v>
      </c>
      <c r="H305" s="1050" t="s">
        <v>1493</v>
      </c>
      <c r="I305" s="561"/>
      <c r="J305" s="54"/>
    </row>
    <row r="306" spans="1:10" x14ac:dyDescent="0.2">
      <c r="A306" s="1236">
        <v>45847</v>
      </c>
      <c r="B306" s="1233" t="s">
        <v>37</v>
      </c>
      <c r="C306" s="1187">
        <v>5</v>
      </c>
      <c r="D306" s="1279" t="str">
        <f>_xlfn.XLOOKUP(B306,Códigos!$A$489:$A$522,Códigos!$B$489:$B$522,"Verificar",0)</f>
        <v>-Retiros y Traslados de Bancos</v>
      </c>
      <c r="E306" s="1279" t="str">
        <f>_xlfn.XLOOKUP(C306,Códigos!$A$11:$A$415,Códigos!$B$11:$B$415,"Verificar",0)</f>
        <v>NOMBRE 25</v>
      </c>
      <c r="F306" s="1239">
        <v>273790</v>
      </c>
      <c r="G306" s="989">
        <f t="shared" si="6"/>
        <v>528151870</v>
      </c>
      <c r="H306" s="1049" t="s">
        <v>1486</v>
      </c>
      <c r="I306" s="561"/>
      <c r="J306" s="54"/>
    </row>
    <row r="307" spans="1:10" x14ac:dyDescent="0.2">
      <c r="A307" s="1236">
        <v>45847</v>
      </c>
      <c r="B307" s="1233" t="s">
        <v>37</v>
      </c>
      <c r="C307" s="1187">
        <v>5</v>
      </c>
      <c r="D307" s="1279" t="str">
        <f>_xlfn.XLOOKUP(B307,Códigos!$A$489:$A$522,Códigos!$B$489:$B$522,"Verificar",0)</f>
        <v>-Retiros y Traslados de Bancos</v>
      </c>
      <c r="E307" s="1279" t="str">
        <f>_xlfn.XLOOKUP(C307,Códigos!$A$11:$A$415,Códigos!$B$11:$B$415,"Verificar",0)</f>
        <v>NOMBRE 25</v>
      </c>
      <c r="F307" s="1239">
        <v>400800</v>
      </c>
      <c r="G307" s="989">
        <f t="shared" si="6"/>
        <v>528552670</v>
      </c>
      <c r="H307" s="1049" t="s">
        <v>1476</v>
      </c>
      <c r="I307" s="561"/>
      <c r="J307" s="54"/>
    </row>
    <row r="308" spans="1:10" x14ac:dyDescent="0.2">
      <c r="A308" s="1236">
        <v>45848</v>
      </c>
      <c r="B308" s="1233" t="s">
        <v>37</v>
      </c>
      <c r="C308" s="1187">
        <v>5</v>
      </c>
      <c r="D308" s="1279" t="str">
        <f>_xlfn.XLOOKUP(B308,Códigos!$A$489:$A$522,Códigos!$B$489:$B$522,"Verificar",0)</f>
        <v>-Retiros y Traslados de Bancos</v>
      </c>
      <c r="E308" s="1279" t="str">
        <f>_xlfn.XLOOKUP(C308,Códigos!$A$11:$A$415,Códigos!$B$11:$B$415,"Verificar",0)</f>
        <v>NOMBRE 25</v>
      </c>
      <c r="F308" s="1239">
        <v>2000000</v>
      </c>
      <c r="G308" s="989">
        <f t="shared" si="6"/>
        <v>530552670</v>
      </c>
      <c r="H308" s="1049" t="s">
        <v>1038</v>
      </c>
      <c r="I308" s="561"/>
      <c r="J308" s="54"/>
    </row>
    <row r="309" spans="1:10" x14ac:dyDescent="0.2">
      <c r="A309" s="1236">
        <v>45848</v>
      </c>
      <c r="B309" s="1233" t="s">
        <v>37</v>
      </c>
      <c r="C309" s="1187">
        <v>5</v>
      </c>
      <c r="D309" s="1279" t="str">
        <f>_xlfn.XLOOKUP(B309,Códigos!$A$489:$A$522,Códigos!$B$489:$B$522,"Verificar",0)</f>
        <v>-Retiros y Traslados de Bancos</v>
      </c>
      <c r="E309" s="1279" t="str">
        <f>_xlfn.XLOOKUP(C309,Códigos!$A$11:$A$415,Códigos!$B$11:$B$415,"Verificar",0)</f>
        <v>NOMBRE 25</v>
      </c>
      <c r="F309" s="1239">
        <v>220000</v>
      </c>
      <c r="G309" s="989">
        <f t="shared" ref="G309:G315" si="8">+G308+F309</f>
        <v>530772670</v>
      </c>
      <c r="H309" s="1050" t="s">
        <v>1083</v>
      </c>
      <c r="I309" s="561"/>
      <c r="J309" s="54"/>
    </row>
    <row r="310" spans="1:10" x14ac:dyDescent="0.2">
      <c r="A310" s="1236">
        <v>45848</v>
      </c>
      <c r="B310" s="1233" t="s">
        <v>37</v>
      </c>
      <c r="C310" s="1187">
        <v>5</v>
      </c>
      <c r="D310" s="1279" t="str">
        <f>_xlfn.XLOOKUP(B310,Códigos!$A$489:$A$522,Códigos!$B$489:$B$522,"Verificar",0)</f>
        <v>-Retiros y Traslados de Bancos</v>
      </c>
      <c r="E310" s="1279" t="str">
        <f>_xlfn.XLOOKUP(C310,Códigos!$A$11:$A$415,Códigos!$B$11:$B$415,"Verificar",0)</f>
        <v>NOMBRE 25</v>
      </c>
      <c r="F310" s="1239">
        <v>660000</v>
      </c>
      <c r="G310" s="989">
        <f t="shared" si="8"/>
        <v>531432670</v>
      </c>
      <c r="H310" s="997" t="s">
        <v>1487</v>
      </c>
      <c r="I310" s="561"/>
      <c r="J310" s="54"/>
    </row>
    <row r="311" spans="1:10" x14ac:dyDescent="0.2">
      <c r="A311" s="1236">
        <v>45848</v>
      </c>
      <c r="B311" s="1233" t="s">
        <v>37</v>
      </c>
      <c r="C311" s="1187">
        <v>5</v>
      </c>
      <c r="D311" s="1279" t="str">
        <f>_xlfn.XLOOKUP(B311,Códigos!$A$489:$A$522,Códigos!$B$489:$B$522,"Verificar",0)</f>
        <v>-Retiros y Traslados de Bancos</v>
      </c>
      <c r="E311" s="1279" t="str">
        <f>_xlfn.XLOOKUP(C311,Códigos!$A$11:$A$415,Códigos!$B$11:$B$415,"Verificar",0)</f>
        <v>NOMBRE 25</v>
      </c>
      <c r="F311" s="990">
        <v>220000</v>
      </c>
      <c r="G311" s="989">
        <f t="shared" si="8"/>
        <v>531652670</v>
      </c>
      <c r="H311" s="1050" t="s">
        <v>1083</v>
      </c>
      <c r="I311" s="561"/>
      <c r="J311" s="54"/>
    </row>
    <row r="312" spans="1:10" x14ac:dyDescent="0.2">
      <c r="A312" s="1236">
        <v>45848</v>
      </c>
      <c r="B312" s="1233" t="s">
        <v>37</v>
      </c>
      <c r="C312" s="1187">
        <v>5</v>
      </c>
      <c r="D312" s="1279" t="str">
        <f>_xlfn.XLOOKUP(B312,Códigos!$A$489:$A$522,Códigos!$B$489:$B$522,"Verificar",0)</f>
        <v>-Retiros y Traslados de Bancos</v>
      </c>
      <c r="E312" s="1279" t="str">
        <f>_xlfn.XLOOKUP(C312,Códigos!$A$11:$A$415,Códigos!$B$11:$B$415,"Verificar",0)</f>
        <v>NOMBRE 25</v>
      </c>
      <c r="F312" s="1280">
        <v>380000</v>
      </c>
      <c r="G312" s="989">
        <f t="shared" si="8"/>
        <v>532032670</v>
      </c>
      <c r="H312" s="997" t="s">
        <v>1485</v>
      </c>
      <c r="I312" s="561"/>
      <c r="J312" s="54"/>
    </row>
    <row r="313" spans="1:10" x14ac:dyDescent="0.2">
      <c r="A313" s="1236">
        <v>45848</v>
      </c>
      <c r="B313" s="1233" t="s">
        <v>37</v>
      </c>
      <c r="C313" s="1187">
        <v>5</v>
      </c>
      <c r="D313" s="1279" t="str">
        <f>_xlfn.XLOOKUP(B313,Códigos!$A$489:$A$522,Códigos!$B$489:$B$522,"Verificar",0)</f>
        <v>-Retiros y Traslados de Bancos</v>
      </c>
      <c r="E313" s="1279" t="str">
        <f>_xlfn.XLOOKUP(C313,Códigos!$A$11:$A$415,Códigos!$B$11:$B$415,"Verificar",0)</f>
        <v>NOMBRE 25</v>
      </c>
      <c r="F313" s="1239">
        <v>136651</v>
      </c>
      <c r="G313" s="989">
        <f t="shared" si="8"/>
        <v>532169321</v>
      </c>
      <c r="H313" s="1049" t="s">
        <v>1488</v>
      </c>
      <c r="I313" s="561"/>
      <c r="J313" s="54"/>
    </row>
    <row r="314" spans="1:10" x14ac:dyDescent="0.2">
      <c r="A314" s="1236">
        <v>45848</v>
      </c>
      <c r="B314" s="1233" t="s">
        <v>37</v>
      </c>
      <c r="C314" s="1187">
        <v>5</v>
      </c>
      <c r="D314" s="1279" t="str">
        <f>_xlfn.XLOOKUP(B314,Códigos!$A$489:$A$522,Códigos!$B$489:$B$522,"Verificar",0)</f>
        <v>-Retiros y Traslados de Bancos</v>
      </c>
      <c r="E314" s="1279" t="str">
        <f>_xlfn.XLOOKUP(C314,Códigos!$A$11:$A$415,Códigos!$B$11:$B$415,"Verificar",0)</f>
        <v>NOMBRE 25</v>
      </c>
      <c r="F314" s="1239">
        <v>156816</v>
      </c>
      <c r="G314" s="989">
        <f t="shared" si="8"/>
        <v>532326137</v>
      </c>
      <c r="H314" s="1049" t="s">
        <v>1488</v>
      </c>
      <c r="I314" s="561"/>
      <c r="J314" s="54"/>
    </row>
    <row r="315" spans="1:10" x14ac:dyDescent="0.2">
      <c r="A315" s="1236">
        <v>45848</v>
      </c>
      <c r="B315" s="1233" t="s">
        <v>37</v>
      </c>
      <c r="C315" s="1187">
        <v>5</v>
      </c>
      <c r="D315" s="1279" t="str">
        <f>_xlfn.XLOOKUP(B315,Códigos!$A$489:$A$522,Códigos!$B$489:$B$522,"Verificar",0)</f>
        <v>-Retiros y Traslados de Bancos</v>
      </c>
      <c r="E315" s="1279" t="str">
        <f>_xlfn.XLOOKUP(C315,Códigos!$A$11:$A$415,Códigos!$B$11:$B$415,"Verificar",0)</f>
        <v>NOMBRE 25</v>
      </c>
      <c r="F315" s="1239">
        <v>163512</v>
      </c>
      <c r="G315" s="989">
        <f t="shared" si="8"/>
        <v>532489649</v>
      </c>
      <c r="H315" s="1049" t="s">
        <v>1489</v>
      </c>
      <c r="I315" s="561"/>
      <c r="J315" s="54"/>
    </row>
    <row r="316" spans="1:10" x14ac:dyDescent="0.2">
      <c r="A316" s="1236">
        <v>45848</v>
      </c>
      <c r="B316" s="1233" t="s">
        <v>37</v>
      </c>
      <c r="C316" s="1187">
        <v>5</v>
      </c>
      <c r="D316" s="1279" t="str">
        <f>_xlfn.XLOOKUP(B316,Códigos!$A$489:$A$522,Códigos!$B$489:$B$522,"Verificar",0)</f>
        <v>-Retiros y Traslados de Bancos</v>
      </c>
      <c r="E316" s="1279" t="str">
        <f>_xlfn.XLOOKUP(C316,Códigos!$A$11:$A$415,Códigos!$B$11:$B$415,"Verificar",0)</f>
        <v>NOMBRE 25</v>
      </c>
      <c r="F316" s="1239">
        <v>690800</v>
      </c>
      <c r="G316" s="989">
        <f t="shared" si="6"/>
        <v>533180449</v>
      </c>
      <c r="H316" s="1049" t="s">
        <v>1476</v>
      </c>
      <c r="I316" s="561"/>
      <c r="J316" s="54"/>
    </row>
    <row r="317" spans="1:10" x14ac:dyDescent="0.2">
      <c r="A317" s="1236">
        <v>45848</v>
      </c>
      <c r="B317" s="1233" t="s">
        <v>37</v>
      </c>
      <c r="C317" s="1187">
        <v>5</v>
      </c>
      <c r="D317" s="1279" t="str">
        <f>_xlfn.XLOOKUP(B317,Códigos!$A$489:$A$522,Códigos!$B$489:$B$522,"Verificar",0)</f>
        <v>-Retiros y Traslados de Bancos</v>
      </c>
      <c r="E317" s="1279" t="str">
        <f>_xlfn.XLOOKUP(C317,Códigos!$A$11:$A$415,Códigos!$B$11:$B$415,"Verificar",0)</f>
        <v>NOMBRE 25</v>
      </c>
      <c r="F317" s="1239">
        <v>70195</v>
      </c>
      <c r="G317" s="989">
        <f t="shared" si="6"/>
        <v>533250644</v>
      </c>
      <c r="H317" s="1049" t="s">
        <v>1492</v>
      </c>
      <c r="I317" s="561"/>
      <c r="J317" s="54"/>
    </row>
    <row r="318" spans="1:10" x14ac:dyDescent="0.2">
      <c r="A318" s="1236">
        <v>45848</v>
      </c>
      <c r="B318" s="1233" t="s">
        <v>37</v>
      </c>
      <c r="C318" s="1187">
        <v>5</v>
      </c>
      <c r="D318" s="1279" t="str">
        <f>_xlfn.XLOOKUP(B318,Códigos!$A$489:$A$522,Códigos!$B$489:$B$522,"Verificar",0)</f>
        <v>-Retiros y Traslados de Bancos</v>
      </c>
      <c r="E318" s="1279" t="str">
        <f>_xlfn.XLOOKUP(C318,Códigos!$A$11:$A$415,Códigos!$B$11:$B$415,"Verificar",0)</f>
        <v>NOMBRE 25</v>
      </c>
      <c r="F318" s="1239">
        <v>1960522</v>
      </c>
      <c r="G318" s="989">
        <f t="shared" ref="G318" si="9">+G317+F318</f>
        <v>535211166</v>
      </c>
      <c r="H318" s="1049" t="s">
        <v>1107</v>
      </c>
      <c r="I318" s="561"/>
      <c r="J318" s="54"/>
    </row>
    <row r="319" spans="1:10" x14ac:dyDescent="0.2">
      <c r="A319" s="1234">
        <v>45849</v>
      </c>
      <c r="B319" s="1233" t="s">
        <v>37</v>
      </c>
      <c r="C319" s="1187">
        <v>5</v>
      </c>
      <c r="D319" s="1279" t="str">
        <f>_xlfn.XLOOKUP(B319,Códigos!$A$489:$A$522,Códigos!$B$489:$B$522,"Verificar",0)</f>
        <v>-Retiros y Traslados de Bancos</v>
      </c>
      <c r="E319" s="1279" t="str">
        <f>_xlfn.XLOOKUP(C319,Códigos!$A$11:$A$415,Códigos!$B$11:$B$415,"Verificar",0)</f>
        <v>NOMBRE 25</v>
      </c>
      <c r="F319" s="1239">
        <v>350000</v>
      </c>
      <c r="G319" s="989">
        <f t="shared" ref="G319:G349" si="10">+G318+F319</f>
        <v>535561166</v>
      </c>
      <c r="H319" s="1274" t="s">
        <v>1422</v>
      </c>
      <c r="I319" s="561"/>
      <c r="J319" s="54"/>
    </row>
    <row r="320" spans="1:10" x14ac:dyDescent="0.2">
      <c r="A320" s="1234">
        <v>45849</v>
      </c>
      <c r="B320" s="1233" t="s">
        <v>37</v>
      </c>
      <c r="C320" s="1187">
        <v>5</v>
      </c>
      <c r="D320" s="1279" t="str">
        <f>_xlfn.XLOOKUP(B320,Códigos!$A$489:$A$522,Códigos!$B$489:$B$522,"Verificar",0)</f>
        <v>-Retiros y Traslados de Bancos</v>
      </c>
      <c r="E320" s="1279" t="str">
        <f>_xlfn.XLOOKUP(C320,Códigos!$A$11:$A$415,Códigos!$B$11:$B$415,"Verificar",0)</f>
        <v>NOMBRE 25</v>
      </c>
      <c r="F320" s="1239">
        <v>200000</v>
      </c>
      <c r="G320" s="989">
        <f t="shared" si="10"/>
        <v>535761166</v>
      </c>
      <c r="H320" s="1274" t="s">
        <v>1350</v>
      </c>
      <c r="I320" s="561"/>
      <c r="J320" s="54"/>
    </row>
    <row r="321" spans="1:10" x14ac:dyDescent="0.2">
      <c r="A321" s="1236">
        <v>45853</v>
      </c>
      <c r="B321" s="1233" t="s">
        <v>37</v>
      </c>
      <c r="C321" s="1187">
        <v>5</v>
      </c>
      <c r="D321" s="1279" t="str">
        <f>_xlfn.XLOOKUP(B321,Códigos!$A$489:$A$522,Códigos!$B$489:$B$522,"Verificar",0)</f>
        <v>-Retiros y Traslados de Bancos</v>
      </c>
      <c r="E321" s="1279" t="str">
        <f>_xlfn.XLOOKUP(C321,Códigos!$A$11:$A$415,Códigos!$B$11:$B$415,"Verificar",0)</f>
        <v>NOMBRE 25</v>
      </c>
      <c r="F321" s="1239">
        <v>300000</v>
      </c>
      <c r="G321" s="1239">
        <f t="shared" si="10"/>
        <v>536061166</v>
      </c>
      <c r="H321" s="1049" t="s">
        <v>1038</v>
      </c>
      <c r="I321" s="561"/>
      <c r="J321" s="54"/>
    </row>
    <row r="322" spans="1:10" x14ac:dyDescent="0.2">
      <c r="A322" s="1236">
        <v>45853</v>
      </c>
      <c r="B322" s="1233" t="s">
        <v>37</v>
      </c>
      <c r="C322" s="1187">
        <v>5</v>
      </c>
      <c r="D322" s="1279" t="str">
        <f>_xlfn.XLOOKUP(B322,Códigos!$A$489:$A$522,Códigos!$B$489:$B$522,"Verificar",0)</f>
        <v>-Retiros y Traslados de Bancos</v>
      </c>
      <c r="E322" s="1279" t="str">
        <f>_xlfn.XLOOKUP(C322,Códigos!$A$11:$A$415,Códigos!$B$11:$B$415,"Verificar",0)</f>
        <v>NOMBRE 25</v>
      </c>
      <c r="F322" s="1239">
        <v>490000</v>
      </c>
      <c r="G322" s="989">
        <f t="shared" si="10"/>
        <v>536551166</v>
      </c>
      <c r="H322" s="1052" t="s">
        <v>1494</v>
      </c>
      <c r="I322" s="561"/>
      <c r="J322" s="54"/>
    </row>
    <row r="323" spans="1:10" x14ac:dyDescent="0.2">
      <c r="A323" s="1236">
        <v>45854</v>
      </c>
      <c r="B323" s="1233" t="s">
        <v>37</v>
      </c>
      <c r="C323" s="1187">
        <v>5</v>
      </c>
      <c r="D323" s="1279" t="str">
        <f>_xlfn.XLOOKUP(B323,Códigos!$A$489:$A$522,Códigos!$B$489:$B$522,"Verificar",0)</f>
        <v>-Retiros y Traslados de Bancos</v>
      </c>
      <c r="E323" s="1279" t="str">
        <f>_xlfn.XLOOKUP(C323,Códigos!$A$11:$A$415,Códigos!$B$11:$B$415,"Verificar",0)</f>
        <v>NOMBRE 25</v>
      </c>
      <c r="F323" s="1239">
        <v>1000000</v>
      </c>
      <c r="G323" s="989">
        <f t="shared" si="10"/>
        <v>537551166</v>
      </c>
      <c r="H323" s="1049" t="s">
        <v>1038</v>
      </c>
      <c r="I323" s="561"/>
      <c r="J323" s="54"/>
    </row>
    <row r="324" spans="1:10" x14ac:dyDescent="0.2">
      <c r="A324" s="1232">
        <v>45855</v>
      </c>
      <c r="B324" s="1233" t="s">
        <v>37</v>
      </c>
      <c r="C324" s="1187">
        <v>5</v>
      </c>
      <c r="D324" s="1279" t="str">
        <f>_xlfn.XLOOKUP(B324,Códigos!$A$489:$A$522,Códigos!$B$489:$B$522,"Verificar",0)</f>
        <v>-Retiros y Traslados de Bancos</v>
      </c>
      <c r="E324" s="1279" t="str">
        <f>_xlfn.XLOOKUP(C324,Códigos!$A$11:$A$415,Códigos!$B$11:$B$415,"Verificar",0)</f>
        <v>NOMBRE 25</v>
      </c>
      <c r="F324" s="1239">
        <v>59125</v>
      </c>
      <c r="G324" s="989">
        <f t="shared" si="10"/>
        <v>537610291</v>
      </c>
      <c r="H324" s="1049" t="s">
        <v>1211</v>
      </c>
      <c r="I324" s="561"/>
      <c r="J324" s="54"/>
    </row>
    <row r="325" spans="1:10" x14ac:dyDescent="0.2">
      <c r="A325" s="1232">
        <v>45855</v>
      </c>
      <c r="B325" s="1233" t="s">
        <v>37</v>
      </c>
      <c r="C325" s="1187">
        <v>5</v>
      </c>
      <c r="D325" s="1279" t="str">
        <f>_xlfn.XLOOKUP(B325,Códigos!$A$489:$A$522,Códigos!$B$489:$B$522,"Verificar",0)</f>
        <v>-Retiros y Traslados de Bancos</v>
      </c>
      <c r="E325" s="1279" t="str">
        <f>_xlfn.XLOOKUP(C325,Códigos!$A$11:$A$415,Códigos!$B$11:$B$415,"Verificar",0)</f>
        <v>NOMBRE 25</v>
      </c>
      <c r="F325" s="990">
        <v>220000</v>
      </c>
      <c r="G325" s="989">
        <f t="shared" si="10"/>
        <v>537830291</v>
      </c>
      <c r="H325" s="1050" t="s">
        <v>1083</v>
      </c>
      <c r="I325" s="561"/>
      <c r="J325" s="54"/>
    </row>
    <row r="326" spans="1:10" x14ac:dyDescent="0.2">
      <c r="A326" s="1232">
        <v>45855</v>
      </c>
      <c r="B326" s="1233" t="s">
        <v>37</v>
      </c>
      <c r="C326" s="1187">
        <v>5</v>
      </c>
      <c r="D326" s="1279" t="str">
        <f>_xlfn.XLOOKUP(B326,Códigos!$A$489:$A$522,Códigos!$B$489:$B$522,"Verificar",0)</f>
        <v>-Retiros y Traslados de Bancos</v>
      </c>
      <c r="E326" s="1279" t="str">
        <f>_xlfn.XLOOKUP(C326,Códigos!$A$11:$A$415,Códigos!$B$11:$B$415,"Verificar",0)</f>
        <v>NOMBRE 25</v>
      </c>
      <c r="F326" s="1280">
        <v>380000</v>
      </c>
      <c r="G326" s="989">
        <f t="shared" si="10"/>
        <v>538210291</v>
      </c>
      <c r="H326" s="997" t="s">
        <v>1495</v>
      </c>
      <c r="I326" s="561"/>
      <c r="J326" s="54"/>
    </row>
    <row r="327" spans="1:10" x14ac:dyDescent="0.2">
      <c r="A327" s="1232">
        <v>45855</v>
      </c>
      <c r="B327" s="1233" t="s">
        <v>37</v>
      </c>
      <c r="C327" s="1187">
        <v>5</v>
      </c>
      <c r="D327" s="1279" t="str">
        <f>_xlfn.XLOOKUP(B327,Códigos!$A$489:$A$522,Códigos!$B$489:$B$522,"Verificar",0)</f>
        <v>-Retiros y Traslados de Bancos</v>
      </c>
      <c r="E327" s="1279" t="str">
        <f>_xlfn.XLOOKUP(C327,Códigos!$A$11:$A$415,Códigos!$B$11:$B$415,"Verificar",0)</f>
        <v>NOMBRE 25</v>
      </c>
      <c r="F327" s="1239">
        <v>22000</v>
      </c>
      <c r="G327" s="989">
        <f t="shared" si="10"/>
        <v>538232291</v>
      </c>
      <c r="H327" s="1049" t="s">
        <v>1496</v>
      </c>
      <c r="I327" s="561"/>
      <c r="J327" s="54"/>
    </row>
    <row r="328" spans="1:10" x14ac:dyDescent="0.2">
      <c r="A328" s="1232">
        <v>45855</v>
      </c>
      <c r="B328" s="1233" t="s">
        <v>37</v>
      </c>
      <c r="C328" s="1187">
        <v>5</v>
      </c>
      <c r="D328" s="1279" t="str">
        <f>_xlfn.XLOOKUP(B328,Códigos!$A$489:$A$522,Códigos!$B$489:$B$522,"Verificar",0)</f>
        <v>-Retiros y Traslados de Bancos</v>
      </c>
      <c r="E328" s="1279" t="str">
        <f>_xlfn.XLOOKUP(C328,Códigos!$A$11:$A$415,Códigos!$B$11:$B$415,"Verificar",0)</f>
        <v>NOMBRE 25</v>
      </c>
      <c r="F328" s="1239">
        <v>463796</v>
      </c>
      <c r="G328" s="1239">
        <f t="shared" si="10"/>
        <v>538696087</v>
      </c>
      <c r="H328" s="1049" t="s">
        <v>1497</v>
      </c>
      <c r="I328" s="561"/>
      <c r="J328" s="54"/>
    </row>
    <row r="329" spans="1:10" x14ac:dyDescent="0.2">
      <c r="A329" s="1232">
        <v>45855</v>
      </c>
      <c r="B329" s="1233" t="s">
        <v>37</v>
      </c>
      <c r="C329" s="1187">
        <v>5</v>
      </c>
      <c r="D329" s="1279" t="str">
        <f>_xlfn.XLOOKUP(B329,Códigos!$A$489:$A$522,Códigos!$B$489:$B$522,"Verificar",0)</f>
        <v>-Retiros y Traslados de Bancos</v>
      </c>
      <c r="E329" s="1279" t="str">
        <f>_xlfn.XLOOKUP(C329,Códigos!$A$11:$A$415,Códigos!$B$11:$B$415,"Verificar",0)</f>
        <v>NOMBRE 25</v>
      </c>
      <c r="F329" s="1239">
        <v>220000</v>
      </c>
      <c r="G329" s="989">
        <f t="shared" si="10"/>
        <v>538916087</v>
      </c>
      <c r="H329" s="1050" t="s">
        <v>1083</v>
      </c>
      <c r="I329" s="561"/>
      <c r="J329" s="54"/>
    </row>
    <row r="330" spans="1:10" x14ac:dyDescent="0.2">
      <c r="A330" s="1232">
        <v>45855</v>
      </c>
      <c r="B330" s="1233" t="s">
        <v>37</v>
      </c>
      <c r="C330" s="1187">
        <v>5</v>
      </c>
      <c r="D330" s="1279" t="str">
        <f>_xlfn.XLOOKUP(B330,Códigos!$A$489:$A$522,Códigos!$B$489:$B$522,"Verificar",0)</f>
        <v>-Retiros y Traslados de Bancos</v>
      </c>
      <c r="E330" s="1279" t="str">
        <f>_xlfn.XLOOKUP(C330,Códigos!$A$11:$A$415,Códigos!$B$11:$B$415,"Verificar",0)</f>
        <v>NOMBRE 25</v>
      </c>
      <c r="F330" s="1239">
        <v>660000</v>
      </c>
      <c r="G330" s="989">
        <f t="shared" si="10"/>
        <v>539576087</v>
      </c>
      <c r="H330" s="997" t="s">
        <v>1498</v>
      </c>
      <c r="I330" s="561"/>
      <c r="J330" s="54"/>
    </row>
    <row r="331" spans="1:10" x14ac:dyDescent="0.2">
      <c r="A331" s="1232">
        <v>45855</v>
      </c>
      <c r="B331" s="1233" t="s">
        <v>37</v>
      </c>
      <c r="C331" s="1187">
        <v>5</v>
      </c>
      <c r="D331" s="1279" t="str">
        <f>_xlfn.XLOOKUP(B331,Códigos!$A$489:$A$522,Códigos!$B$489:$B$522,"Verificar",0)</f>
        <v>-Retiros y Traslados de Bancos</v>
      </c>
      <c r="E331" s="1279" t="str">
        <f>_xlfn.XLOOKUP(C331,Códigos!$A$11:$A$415,Códigos!$B$11:$B$415,"Verificar",0)</f>
        <v>NOMBRE 25</v>
      </c>
      <c r="F331" s="1239">
        <v>180000</v>
      </c>
      <c r="G331" s="989">
        <f t="shared" si="10"/>
        <v>539756087</v>
      </c>
      <c r="H331" s="1049" t="s">
        <v>1499</v>
      </c>
      <c r="I331" s="561"/>
      <c r="J331" s="54"/>
    </row>
    <row r="332" spans="1:10" x14ac:dyDescent="0.2">
      <c r="A332" s="1232">
        <v>45855</v>
      </c>
      <c r="B332" s="1233" t="s">
        <v>37</v>
      </c>
      <c r="C332" s="1187">
        <v>5</v>
      </c>
      <c r="D332" s="1279" t="str">
        <f>_xlfn.XLOOKUP(B332,Códigos!$A$489:$A$522,Códigos!$B$489:$B$522,"Verificar",0)</f>
        <v>-Retiros y Traslados de Bancos</v>
      </c>
      <c r="E332" s="1279" t="str">
        <f>_xlfn.XLOOKUP(C332,Códigos!$A$11:$A$415,Códigos!$B$11:$B$415,"Verificar",0)</f>
        <v>NOMBRE 25</v>
      </c>
      <c r="F332" s="1239">
        <v>8500</v>
      </c>
      <c r="G332" s="1239">
        <f t="shared" si="10"/>
        <v>539764587</v>
      </c>
      <c r="H332" s="1052" t="s">
        <v>1500</v>
      </c>
      <c r="I332" s="561"/>
      <c r="J332" s="54"/>
    </row>
    <row r="333" spans="1:10" x14ac:dyDescent="0.2">
      <c r="A333" s="1232">
        <v>45856</v>
      </c>
      <c r="B333" s="1233" t="s">
        <v>37</v>
      </c>
      <c r="C333" s="1187">
        <v>5</v>
      </c>
      <c r="D333" s="1279" t="str">
        <f>_xlfn.XLOOKUP(B333,Códigos!$A$489:$A$522,Códigos!$B$489:$B$522,"Verificar",0)</f>
        <v>-Retiros y Traslados de Bancos</v>
      </c>
      <c r="E333" s="1279" t="str">
        <f>_xlfn.XLOOKUP(C333,Códigos!$A$11:$A$415,Códigos!$B$11:$B$415,"Verificar",0)</f>
        <v>NOMBRE 25</v>
      </c>
      <c r="F333" s="1239">
        <v>500000</v>
      </c>
      <c r="G333" s="1239">
        <f t="shared" ref="G333:G334" si="11">+G332+F333</f>
        <v>540264587</v>
      </c>
      <c r="H333" s="1049" t="s">
        <v>1038</v>
      </c>
      <c r="I333" s="561"/>
      <c r="J333" s="54"/>
    </row>
    <row r="334" spans="1:10" x14ac:dyDescent="0.2">
      <c r="A334" s="1232">
        <v>45861</v>
      </c>
      <c r="B334" s="1233" t="s">
        <v>37</v>
      </c>
      <c r="C334" s="1187">
        <v>5</v>
      </c>
      <c r="D334" s="1279" t="str">
        <f>_xlfn.XLOOKUP(B334,Códigos!$A$489:$A$522,Códigos!$B$489:$B$522,"Verificar",0)</f>
        <v>-Retiros y Traslados de Bancos</v>
      </c>
      <c r="E334" s="1279" t="str">
        <f>_xlfn.XLOOKUP(C334,Códigos!$A$11:$A$415,Códigos!$B$11:$B$415,"Verificar",0)</f>
        <v>NOMBRE 25</v>
      </c>
      <c r="F334" s="1239">
        <v>3843400</v>
      </c>
      <c r="G334" s="989">
        <f t="shared" si="11"/>
        <v>544107987</v>
      </c>
      <c r="H334" s="1049" t="s">
        <v>1252</v>
      </c>
      <c r="I334" s="561"/>
      <c r="J334" s="54"/>
    </row>
    <row r="335" spans="1:10" x14ac:dyDescent="0.2">
      <c r="A335" s="1232">
        <v>45861</v>
      </c>
      <c r="B335" s="1233" t="s">
        <v>37</v>
      </c>
      <c r="C335" s="1187">
        <v>5</v>
      </c>
      <c r="D335" s="1279" t="str">
        <f>_xlfn.XLOOKUP(B335,Códigos!$A$489:$A$522,Códigos!$B$489:$B$522,"Verificar",0)</f>
        <v>-Retiros y Traslados de Bancos</v>
      </c>
      <c r="E335" s="1279" t="str">
        <f>_xlfn.XLOOKUP(C335,Códigos!$A$11:$A$415,Códigos!$B$11:$B$415,"Verificar",0)</f>
        <v>NOMBRE 25</v>
      </c>
      <c r="F335" s="1239">
        <v>1000000</v>
      </c>
      <c r="G335" s="1239">
        <f t="shared" si="10"/>
        <v>545107987</v>
      </c>
      <c r="H335" s="1049" t="s">
        <v>1038</v>
      </c>
      <c r="I335" s="561"/>
      <c r="J335" s="54"/>
    </row>
    <row r="336" spans="1:10" x14ac:dyDescent="0.2">
      <c r="A336" s="1232">
        <v>45861</v>
      </c>
      <c r="B336" s="1233" t="s">
        <v>37</v>
      </c>
      <c r="C336" s="1187">
        <v>5</v>
      </c>
      <c r="D336" s="1279" t="str">
        <f>_xlfn.XLOOKUP(B336,Códigos!$A$489:$A$522,Códigos!$B$489:$B$522,"Verificar",0)</f>
        <v>-Retiros y Traslados de Bancos</v>
      </c>
      <c r="E336" s="1279" t="str">
        <f>_xlfn.XLOOKUP(C336,Códigos!$A$11:$A$415,Códigos!$B$11:$B$415,"Verificar",0)</f>
        <v>NOMBRE 25</v>
      </c>
      <c r="F336" s="1239">
        <v>220000</v>
      </c>
      <c r="G336" s="989">
        <f t="shared" si="10"/>
        <v>545327987</v>
      </c>
      <c r="H336" s="1050" t="s">
        <v>1083</v>
      </c>
      <c r="I336" s="561"/>
      <c r="J336" s="54"/>
    </row>
    <row r="337" spans="1:10" x14ac:dyDescent="0.2">
      <c r="A337" s="1232">
        <v>45861</v>
      </c>
      <c r="B337" s="1233" t="s">
        <v>37</v>
      </c>
      <c r="C337" s="1187">
        <v>5</v>
      </c>
      <c r="D337" s="1279" t="str">
        <f>_xlfn.XLOOKUP(B337,Códigos!$A$489:$A$522,Códigos!$B$489:$B$522,"Verificar",0)</f>
        <v>-Retiros y Traslados de Bancos</v>
      </c>
      <c r="E337" s="1279" t="str">
        <f>_xlfn.XLOOKUP(C337,Códigos!$A$11:$A$415,Códigos!$B$11:$B$415,"Verificar",0)</f>
        <v>NOMBRE 25</v>
      </c>
      <c r="F337" s="1239">
        <v>660000</v>
      </c>
      <c r="G337" s="989">
        <f t="shared" si="10"/>
        <v>545987987</v>
      </c>
      <c r="H337" s="997" t="s">
        <v>1503</v>
      </c>
      <c r="I337" s="561"/>
      <c r="J337" s="54"/>
    </row>
    <row r="338" spans="1:10" x14ac:dyDescent="0.2">
      <c r="A338" s="1236">
        <v>45863</v>
      </c>
      <c r="B338" s="1233" t="s">
        <v>37</v>
      </c>
      <c r="C338" s="1187">
        <v>5</v>
      </c>
      <c r="D338" s="1279" t="str">
        <f>_xlfn.XLOOKUP(B338,Códigos!$A$489:$A$522,Códigos!$B$489:$B$522,"Verificar",0)</f>
        <v>-Retiros y Traslados de Bancos</v>
      </c>
      <c r="E338" s="1279" t="str">
        <f>_xlfn.XLOOKUP(C338,Códigos!$A$11:$A$415,Códigos!$B$11:$B$415,"Verificar",0)</f>
        <v>NOMBRE 25</v>
      </c>
      <c r="F338" s="1239">
        <v>418450</v>
      </c>
      <c r="G338" s="989">
        <f t="shared" si="10"/>
        <v>546406437</v>
      </c>
      <c r="H338" s="998" t="s">
        <v>1317</v>
      </c>
      <c r="I338" s="561"/>
      <c r="J338" s="54"/>
    </row>
    <row r="339" spans="1:10" x14ac:dyDescent="0.2">
      <c r="A339" s="1236">
        <v>45863</v>
      </c>
      <c r="B339" s="1233" t="s">
        <v>37</v>
      </c>
      <c r="C339" s="1187">
        <v>5</v>
      </c>
      <c r="D339" s="1279" t="str">
        <f>_xlfn.XLOOKUP(B339,Códigos!$A$489:$A$522,Códigos!$B$489:$B$522,"Verificar",0)</f>
        <v>-Retiros y Traslados de Bancos</v>
      </c>
      <c r="E339" s="1279" t="str">
        <f>_xlfn.XLOOKUP(C339,Códigos!$A$11:$A$415,Códigos!$B$11:$B$415,"Verificar",0)</f>
        <v>NOMBRE 25</v>
      </c>
      <c r="F339" s="990">
        <v>220000</v>
      </c>
      <c r="G339" s="989">
        <f t="shared" si="10"/>
        <v>546626437</v>
      </c>
      <c r="H339" s="1050" t="s">
        <v>1083</v>
      </c>
      <c r="I339" s="561"/>
      <c r="J339" s="54"/>
    </row>
    <row r="340" spans="1:10" x14ac:dyDescent="0.2">
      <c r="A340" s="1236">
        <v>45863</v>
      </c>
      <c r="B340" s="1233" t="s">
        <v>37</v>
      </c>
      <c r="C340" s="1187">
        <v>5</v>
      </c>
      <c r="D340" s="1279" t="str">
        <f>_xlfn.XLOOKUP(B340,Códigos!$A$489:$A$522,Códigos!$B$489:$B$522,"Verificar",0)</f>
        <v>-Retiros y Traslados de Bancos</v>
      </c>
      <c r="E340" s="1279" t="str">
        <f>_xlfn.XLOOKUP(C340,Códigos!$A$11:$A$415,Códigos!$B$11:$B$415,"Verificar",0)</f>
        <v>NOMBRE 25</v>
      </c>
      <c r="F340" s="1280">
        <v>380000</v>
      </c>
      <c r="G340" s="989">
        <f t="shared" si="10"/>
        <v>547006437</v>
      </c>
      <c r="H340" s="997" t="s">
        <v>1504</v>
      </c>
      <c r="I340" s="561"/>
      <c r="J340" s="54"/>
    </row>
    <row r="341" spans="1:10" x14ac:dyDescent="0.2">
      <c r="A341" s="1236">
        <v>45863</v>
      </c>
      <c r="B341" s="1233" t="s">
        <v>37</v>
      </c>
      <c r="C341" s="1187">
        <v>5</v>
      </c>
      <c r="D341" s="1279" t="str">
        <f>_xlfn.XLOOKUP(B341,Códigos!$A$489:$A$522,Códigos!$B$489:$B$522,"Verificar",0)</f>
        <v>-Retiros y Traslados de Bancos</v>
      </c>
      <c r="E341" s="1279" t="str">
        <f>_xlfn.XLOOKUP(C341,Códigos!$A$11:$A$415,Códigos!$B$11:$B$415,"Verificar",0)</f>
        <v>NOMBRE 25</v>
      </c>
      <c r="F341" s="1239">
        <v>300000</v>
      </c>
      <c r="G341" s="989">
        <f t="shared" si="10"/>
        <v>547306437</v>
      </c>
      <c r="H341" s="1292" t="s">
        <v>1505</v>
      </c>
      <c r="I341" s="561"/>
      <c r="J341" s="54"/>
    </row>
    <row r="342" spans="1:10" x14ac:dyDescent="0.2">
      <c r="A342" s="1236">
        <v>45863</v>
      </c>
      <c r="B342" s="1233" t="s">
        <v>37</v>
      </c>
      <c r="C342" s="1187">
        <v>5</v>
      </c>
      <c r="D342" s="1279" t="str">
        <f>_xlfn.XLOOKUP(B342,Códigos!$A$489:$A$522,Códigos!$B$489:$B$522,"Verificar",0)</f>
        <v>-Retiros y Traslados de Bancos</v>
      </c>
      <c r="E342" s="1279" t="str">
        <f>_xlfn.XLOOKUP(C342,Códigos!$A$11:$A$415,Códigos!$B$11:$B$415,"Verificar",0)</f>
        <v>NOMBRE 25</v>
      </c>
      <c r="F342" s="1239">
        <v>1000000</v>
      </c>
      <c r="G342" s="989">
        <f t="shared" si="10"/>
        <v>548306437</v>
      </c>
      <c r="H342" s="1049" t="s">
        <v>1038</v>
      </c>
      <c r="I342" s="561"/>
      <c r="J342" s="54"/>
    </row>
    <row r="343" spans="1:10" x14ac:dyDescent="0.2">
      <c r="A343" s="1236">
        <v>45867</v>
      </c>
      <c r="B343" s="1233" t="s">
        <v>37</v>
      </c>
      <c r="C343" s="1187">
        <v>5</v>
      </c>
      <c r="D343" s="1279" t="str">
        <f>_xlfn.XLOOKUP(B343,Códigos!$A$489:$A$522,Códigos!$B$489:$B$522,"Verificar",0)</f>
        <v>-Retiros y Traslados de Bancos</v>
      </c>
      <c r="E343" s="1279" t="str">
        <f>_xlfn.XLOOKUP(C343,Códigos!$A$11:$A$415,Códigos!$B$11:$B$415,"Verificar",0)</f>
        <v>NOMBRE 25</v>
      </c>
      <c r="F343" s="1239">
        <v>500000</v>
      </c>
      <c r="G343" s="1239">
        <f t="shared" si="10"/>
        <v>548806437</v>
      </c>
      <c r="H343" s="1049" t="s">
        <v>1038</v>
      </c>
      <c r="I343" s="561"/>
      <c r="J343" s="54"/>
    </row>
    <row r="344" spans="1:10" x14ac:dyDescent="0.2">
      <c r="A344" s="1236">
        <v>45868</v>
      </c>
      <c r="B344" s="1233" t="s">
        <v>37</v>
      </c>
      <c r="C344" s="1187">
        <v>5</v>
      </c>
      <c r="D344" s="1279" t="str">
        <f>_xlfn.XLOOKUP(B344,Códigos!$A$489:$A$522,Códigos!$B$489:$B$522,"Verificar",0)</f>
        <v>-Retiros y Traslados de Bancos</v>
      </c>
      <c r="E344" s="1279" t="str">
        <f>_xlfn.XLOOKUP(C344,Códigos!$A$11:$A$415,Códigos!$B$11:$B$415,"Verificar",0)</f>
        <v>NOMBRE 25</v>
      </c>
      <c r="F344" s="1239">
        <v>220000</v>
      </c>
      <c r="G344" s="989">
        <f t="shared" si="10"/>
        <v>549026437</v>
      </c>
      <c r="H344" s="1050" t="s">
        <v>1083</v>
      </c>
      <c r="I344" s="561"/>
      <c r="J344" s="54"/>
    </row>
    <row r="345" spans="1:10" x14ac:dyDescent="0.2">
      <c r="A345" s="1236">
        <v>45868</v>
      </c>
      <c r="B345" s="1233" t="s">
        <v>37</v>
      </c>
      <c r="C345" s="1187">
        <v>5</v>
      </c>
      <c r="D345" s="1279" t="str">
        <f>_xlfn.XLOOKUP(B345,Códigos!$A$489:$A$522,Códigos!$B$489:$B$522,"Verificar",0)</f>
        <v>-Retiros y Traslados de Bancos</v>
      </c>
      <c r="E345" s="1279" t="str">
        <f>_xlfn.XLOOKUP(C345,Códigos!$A$11:$A$415,Códigos!$B$11:$B$415,"Verificar",0)</f>
        <v>NOMBRE 25</v>
      </c>
      <c r="F345" s="1239">
        <v>660000</v>
      </c>
      <c r="G345" s="989">
        <f t="shared" si="10"/>
        <v>549686437</v>
      </c>
      <c r="H345" s="997" t="s">
        <v>1507</v>
      </c>
      <c r="I345" s="561"/>
      <c r="J345" s="54"/>
    </row>
    <row r="346" spans="1:10" x14ac:dyDescent="0.2">
      <c r="A346" s="1236">
        <v>45868</v>
      </c>
      <c r="B346" s="1233" t="s">
        <v>37</v>
      </c>
      <c r="C346" s="1187">
        <v>5</v>
      </c>
      <c r="D346" s="1279" t="str">
        <f>_xlfn.XLOOKUP(B346,Códigos!$A$489:$A$522,Códigos!$B$489:$B$522,"Verificar",0)</f>
        <v>-Retiros y Traslados de Bancos</v>
      </c>
      <c r="E346" s="1279" t="str">
        <f>_xlfn.XLOOKUP(C346,Códigos!$A$11:$A$415,Códigos!$B$11:$B$415,"Verificar",0)</f>
        <v>NOMBRE 25</v>
      </c>
      <c r="F346" s="1239">
        <v>150000</v>
      </c>
      <c r="G346" s="989">
        <f t="shared" si="10"/>
        <v>549836437</v>
      </c>
      <c r="H346" s="1049" t="s">
        <v>1508</v>
      </c>
      <c r="I346" s="561"/>
      <c r="J346" s="54"/>
    </row>
    <row r="347" spans="1:10" x14ac:dyDescent="0.2">
      <c r="A347" s="1236">
        <v>45870</v>
      </c>
      <c r="B347" s="1233" t="s">
        <v>37</v>
      </c>
      <c r="C347" s="1187">
        <v>5</v>
      </c>
      <c r="D347" s="1279" t="str">
        <f>_xlfn.XLOOKUP(B347,Códigos!$A$489:$A$522,Códigos!$B$489:$B$522,"Verificar",0)</f>
        <v>-Retiros y Traslados de Bancos</v>
      </c>
      <c r="E347" s="1279" t="str">
        <f>_xlfn.XLOOKUP(C347,Códigos!$A$11:$A$415,Códigos!$B$11:$B$415,"Verificar",0)</f>
        <v>NOMBRE 25</v>
      </c>
      <c r="F347" s="1239">
        <v>2000000</v>
      </c>
      <c r="G347" s="1239">
        <f t="shared" si="10"/>
        <v>551836437</v>
      </c>
      <c r="H347" s="1049" t="s">
        <v>1038</v>
      </c>
      <c r="I347" s="561"/>
      <c r="J347" s="54"/>
    </row>
    <row r="348" spans="1:10" x14ac:dyDescent="0.2">
      <c r="A348" s="1236">
        <v>45870</v>
      </c>
      <c r="B348" s="1233" t="s">
        <v>37</v>
      </c>
      <c r="C348" s="1187">
        <v>5</v>
      </c>
      <c r="D348" s="1279" t="str">
        <f>_xlfn.XLOOKUP(B348,Códigos!$A$489:$A$522,Códigos!$B$489:$B$522,"Verificar",0)</f>
        <v>-Retiros y Traslados de Bancos</v>
      </c>
      <c r="E348" s="1279" t="str">
        <f>_xlfn.XLOOKUP(C348,Códigos!$A$11:$A$415,Códigos!$B$11:$B$415,"Verificar",0)</f>
        <v>NOMBRE 25</v>
      </c>
      <c r="F348" s="1239">
        <v>700000</v>
      </c>
      <c r="G348" s="1239">
        <f t="shared" si="10"/>
        <v>552536437</v>
      </c>
      <c r="H348" s="1049" t="s">
        <v>1514</v>
      </c>
      <c r="I348" s="561"/>
      <c r="J348" s="54"/>
    </row>
    <row r="349" spans="1:10" x14ac:dyDescent="0.2">
      <c r="A349" s="1236">
        <v>45870</v>
      </c>
      <c r="B349" s="1233" t="s">
        <v>37</v>
      </c>
      <c r="C349" s="1187">
        <v>5</v>
      </c>
      <c r="D349" s="1279" t="str">
        <f>_xlfn.XLOOKUP(B349,Códigos!$A$489:$A$522,Códigos!$B$489:$B$522,"Verificar",0)</f>
        <v>-Retiros y Traslados de Bancos</v>
      </c>
      <c r="E349" s="1279" t="str">
        <f>_xlfn.XLOOKUP(C349,Códigos!$A$11:$A$415,Códigos!$B$11:$B$415,"Verificar",0)</f>
        <v>NOMBRE 25</v>
      </c>
      <c r="F349" s="990">
        <v>220000</v>
      </c>
      <c r="G349" s="989">
        <f t="shared" si="10"/>
        <v>552756437</v>
      </c>
      <c r="H349" s="1050" t="s">
        <v>1083</v>
      </c>
      <c r="I349" s="561"/>
      <c r="J349" s="54"/>
    </row>
    <row r="350" spans="1:10" x14ac:dyDescent="0.2">
      <c r="A350" s="1236">
        <v>45871</v>
      </c>
      <c r="B350" s="1233" t="s">
        <v>37</v>
      </c>
      <c r="C350" s="1187">
        <v>5</v>
      </c>
      <c r="D350" s="1279" t="str">
        <f>_xlfn.XLOOKUP(B350,Códigos!$A$489:$A$522,Códigos!$B$489:$B$522,"Verificar",0)</f>
        <v>-Retiros y Traslados de Bancos</v>
      </c>
      <c r="E350" s="1279" t="str">
        <f>_xlfn.XLOOKUP(C350,Códigos!$A$11:$A$415,Códigos!$B$11:$B$415,"Verificar",0)</f>
        <v>NOMBRE 25</v>
      </c>
      <c r="F350" s="1239">
        <v>300000</v>
      </c>
      <c r="G350" s="1239">
        <f t="shared" ref="G350:G418" si="12">+G349+F350</f>
        <v>553056437</v>
      </c>
      <c r="H350" s="1049" t="s">
        <v>1038</v>
      </c>
      <c r="I350" s="561"/>
      <c r="J350" s="54"/>
    </row>
    <row r="351" spans="1:10" x14ac:dyDescent="0.2">
      <c r="A351" s="1236">
        <v>45871</v>
      </c>
      <c r="B351" s="1233" t="s">
        <v>37</v>
      </c>
      <c r="C351" s="1187">
        <v>5</v>
      </c>
      <c r="D351" s="1279" t="str">
        <f>_xlfn.XLOOKUP(B351,Códigos!$A$489:$A$522,Códigos!$B$489:$B$522,"Verificar",0)</f>
        <v>-Retiros y Traslados de Bancos</v>
      </c>
      <c r="E351" s="1279" t="str">
        <f>_xlfn.XLOOKUP(C351,Códigos!$A$11:$A$415,Códigos!$B$11:$B$415,"Verificar",0)</f>
        <v>NOMBRE 25</v>
      </c>
      <c r="F351" s="1239">
        <v>230000</v>
      </c>
      <c r="G351" s="989">
        <f t="shared" si="12"/>
        <v>553286437</v>
      </c>
      <c r="H351" s="1049" t="s">
        <v>1476</v>
      </c>
      <c r="I351" s="561"/>
      <c r="J351" s="54"/>
    </row>
    <row r="352" spans="1:10" x14ac:dyDescent="0.2">
      <c r="A352" s="1232">
        <v>45874</v>
      </c>
      <c r="B352" s="1233" t="s">
        <v>37</v>
      </c>
      <c r="C352" s="1187">
        <v>5</v>
      </c>
      <c r="D352" s="1279" t="str">
        <f>_xlfn.XLOOKUP(B352,Códigos!$A$489:$A$522,Códigos!$B$489:$B$522,"Verificar",0)</f>
        <v>-Retiros y Traslados de Bancos</v>
      </c>
      <c r="E352" s="1279" t="str">
        <f>_xlfn.XLOOKUP(C352,Códigos!$A$11:$A$415,Códigos!$B$11:$B$415,"Verificar",0)</f>
        <v>NOMBRE 25</v>
      </c>
      <c r="F352" s="1239">
        <v>46073</v>
      </c>
      <c r="G352" s="1239">
        <f t="shared" ref="G352:G353" si="13">+G351+F352</f>
        <v>553332510</v>
      </c>
      <c r="H352" s="1052" t="s">
        <v>1519</v>
      </c>
      <c r="I352" s="561"/>
      <c r="J352" s="54"/>
    </row>
    <row r="353" spans="1:10" x14ac:dyDescent="0.2">
      <c r="A353" s="1236">
        <v>45876</v>
      </c>
      <c r="B353" s="1233" t="s">
        <v>37</v>
      </c>
      <c r="C353" s="1187">
        <v>5</v>
      </c>
      <c r="D353" s="1279" t="str">
        <f>_xlfn.XLOOKUP(B353,Códigos!$A$489:$A$522,Códigos!$B$489:$B$522,"Verificar",0)</f>
        <v>-Retiros y Traslados de Bancos</v>
      </c>
      <c r="E353" s="1279" t="str">
        <f>_xlfn.XLOOKUP(C353,Códigos!$A$11:$A$415,Códigos!$B$11:$B$415,"Verificar",0)</f>
        <v>NOMBRE 25</v>
      </c>
      <c r="F353" s="1239">
        <v>2000000</v>
      </c>
      <c r="G353" s="1239">
        <f t="shared" si="13"/>
        <v>555332510</v>
      </c>
      <c r="H353" s="1049" t="s">
        <v>1517</v>
      </c>
      <c r="I353" s="561"/>
      <c r="J353" s="54"/>
    </row>
    <row r="354" spans="1:10" x14ac:dyDescent="0.2">
      <c r="A354" s="1236">
        <v>45876</v>
      </c>
      <c r="B354" s="1233" t="s">
        <v>37</v>
      </c>
      <c r="C354" s="1187">
        <v>5</v>
      </c>
      <c r="D354" s="1279" t="str">
        <f>_xlfn.XLOOKUP(B354,Códigos!$A$489:$A$522,Códigos!$B$489:$B$522,"Verificar",0)</f>
        <v>-Retiros y Traslados de Bancos</v>
      </c>
      <c r="E354" s="1279" t="str">
        <f>_xlfn.XLOOKUP(C354,Códigos!$A$11:$A$415,Códigos!$B$11:$B$415,"Verificar",0)</f>
        <v>NOMBRE 25</v>
      </c>
      <c r="F354" s="1239">
        <v>2000000</v>
      </c>
      <c r="G354" s="989">
        <f t="shared" si="12"/>
        <v>557332510</v>
      </c>
      <c r="H354" s="1049" t="s">
        <v>1038</v>
      </c>
      <c r="I354" s="561"/>
      <c r="J354" s="54"/>
    </row>
    <row r="355" spans="1:10" x14ac:dyDescent="0.2">
      <c r="A355" s="1236">
        <v>45876</v>
      </c>
      <c r="B355" s="1233" t="s">
        <v>37</v>
      </c>
      <c r="C355" s="1187">
        <v>5</v>
      </c>
      <c r="D355" s="1279" t="str">
        <f>_xlfn.XLOOKUP(B355,Códigos!$A$489:$A$522,Códigos!$B$489:$B$522,"Verificar",0)</f>
        <v>-Retiros y Traslados de Bancos</v>
      </c>
      <c r="E355" s="1279" t="str">
        <f>_xlfn.XLOOKUP(C355,Códigos!$A$11:$A$415,Códigos!$B$11:$B$415,"Verificar",0)</f>
        <v>NOMBRE 25</v>
      </c>
      <c r="F355" s="1239">
        <v>220000</v>
      </c>
      <c r="G355" s="989">
        <f t="shared" si="12"/>
        <v>557552510</v>
      </c>
      <c r="H355" s="1050" t="s">
        <v>1083</v>
      </c>
      <c r="I355" s="561"/>
      <c r="J355" s="54"/>
    </row>
    <row r="356" spans="1:10" x14ac:dyDescent="0.2">
      <c r="A356" s="1236">
        <v>45877</v>
      </c>
      <c r="B356" s="1233" t="s">
        <v>37</v>
      </c>
      <c r="C356" s="1187">
        <v>5</v>
      </c>
      <c r="D356" s="1279" t="str">
        <f>_xlfn.XLOOKUP(B356,Códigos!$A$489:$A$522,Códigos!$B$489:$B$522,"Verificar",0)</f>
        <v>-Retiros y Traslados de Bancos</v>
      </c>
      <c r="E356" s="1279" t="str">
        <f>_xlfn.XLOOKUP(C356,Códigos!$A$11:$A$415,Códigos!$B$11:$B$415,"Verificar",0)</f>
        <v>NOMBRE 25</v>
      </c>
      <c r="F356" s="1239">
        <v>660000</v>
      </c>
      <c r="G356" s="989">
        <f t="shared" si="12"/>
        <v>558212510</v>
      </c>
      <c r="H356" s="997" t="s">
        <v>1520</v>
      </c>
      <c r="I356" s="561"/>
      <c r="J356" s="54"/>
    </row>
    <row r="357" spans="1:10" x14ac:dyDescent="0.2">
      <c r="A357" s="1236">
        <v>45877</v>
      </c>
      <c r="B357" s="1233" t="s">
        <v>37</v>
      </c>
      <c r="C357" s="1187">
        <v>5</v>
      </c>
      <c r="D357" s="1279" t="str">
        <f>_xlfn.XLOOKUP(B357,Códigos!$A$489:$A$522,Códigos!$B$489:$B$522,"Verificar",0)</f>
        <v>-Retiros y Traslados de Bancos</v>
      </c>
      <c r="E357" s="1279" t="str">
        <f>_xlfn.XLOOKUP(C357,Códigos!$A$11:$A$415,Códigos!$B$11:$B$415,"Verificar",0)</f>
        <v>NOMBRE 25</v>
      </c>
      <c r="F357" s="990">
        <v>220000</v>
      </c>
      <c r="G357" s="989">
        <f t="shared" si="12"/>
        <v>558432510</v>
      </c>
      <c r="H357" s="1050" t="s">
        <v>1083</v>
      </c>
      <c r="I357" s="561"/>
      <c r="J357" s="54"/>
    </row>
    <row r="358" spans="1:10" x14ac:dyDescent="0.2">
      <c r="A358" s="1236">
        <v>45881</v>
      </c>
      <c r="B358" s="1233" t="s">
        <v>37</v>
      </c>
      <c r="C358" s="1187">
        <v>3</v>
      </c>
      <c r="D358" s="1279" t="str">
        <f>_xlfn.XLOOKUP(B358,Códigos!$A$489:$A$522,Códigos!$B$489:$B$522,"Verificar",0)</f>
        <v>-Retiros y Traslados de Bancos</v>
      </c>
      <c r="E358" s="1279" t="str">
        <f>_xlfn.XLOOKUP(C358,Códigos!$A$11:$A$415,Códigos!$B$11:$B$415,"Verificar",0)</f>
        <v>NOMBRE 24</v>
      </c>
      <c r="F358" s="1239">
        <v>630000</v>
      </c>
      <c r="G358" s="1239">
        <f t="shared" si="12"/>
        <v>559062510</v>
      </c>
      <c r="H358" s="1049" t="s">
        <v>1038</v>
      </c>
      <c r="I358" s="561"/>
      <c r="J358" s="54"/>
    </row>
    <row r="359" spans="1:10" x14ac:dyDescent="0.2">
      <c r="A359" s="1236">
        <v>45882</v>
      </c>
      <c r="B359" s="1233" t="s">
        <v>37</v>
      </c>
      <c r="C359" s="1187">
        <v>5</v>
      </c>
      <c r="D359" s="1279" t="str">
        <f>_xlfn.XLOOKUP(B359,Códigos!$A$489:$A$522,Códigos!$B$489:$B$522,"Verificar",0)</f>
        <v>-Retiros y Traslados de Bancos</v>
      </c>
      <c r="E359" s="1279" t="str">
        <f>_xlfn.XLOOKUP(C359,Códigos!$A$11:$A$415,Códigos!$B$11:$B$415,"Verificar",0)</f>
        <v>NOMBRE 25</v>
      </c>
      <c r="F359" s="1239">
        <v>1392400</v>
      </c>
      <c r="G359" s="989">
        <f t="shared" si="12"/>
        <v>560454910</v>
      </c>
      <c r="H359" s="1052" t="s">
        <v>1522</v>
      </c>
      <c r="I359" s="561"/>
      <c r="J359" s="54"/>
    </row>
    <row r="360" spans="1:10" x14ac:dyDescent="0.2">
      <c r="A360" s="1236">
        <v>45882</v>
      </c>
      <c r="B360" s="1233" t="s">
        <v>37</v>
      </c>
      <c r="C360" s="1187">
        <v>5</v>
      </c>
      <c r="D360" s="1279" t="str">
        <f>_xlfn.XLOOKUP(B360,Códigos!$A$489:$A$522,Códigos!$B$489:$B$522,"Verificar",0)</f>
        <v>-Retiros y Traslados de Bancos</v>
      </c>
      <c r="E360" s="1279" t="str">
        <f>_xlfn.XLOOKUP(C360,Códigos!$A$11:$A$415,Códigos!$B$11:$B$415,"Verificar",0)</f>
        <v>NOMBRE 25</v>
      </c>
      <c r="F360" s="1239">
        <v>940500</v>
      </c>
      <c r="G360" s="989">
        <f t="shared" si="12"/>
        <v>561395410</v>
      </c>
      <c r="H360" s="1052" t="s">
        <v>1523</v>
      </c>
      <c r="I360" s="561"/>
      <c r="J360" s="54"/>
    </row>
    <row r="361" spans="1:10" x14ac:dyDescent="0.2">
      <c r="A361" s="1236">
        <v>45882</v>
      </c>
      <c r="B361" s="1233" t="s">
        <v>34</v>
      </c>
      <c r="C361" s="1187">
        <v>49</v>
      </c>
      <c r="D361" s="1279" t="str">
        <f>_xlfn.XLOOKUP(B361,Códigos!$A$489:$A$522,Códigos!$B$489:$B$522,"Verificar",0)</f>
        <v>Recibido por: -Cuentas de cobro -DAFF</v>
      </c>
      <c r="E361" s="1279" t="str">
        <f>_xlfn.XLOOKUP(C361,Códigos!$A$11:$A$415,Códigos!$B$11:$B$415,"Verificar",0)</f>
        <v>NOMBRE 17</v>
      </c>
      <c r="F361" s="1239">
        <v>660000</v>
      </c>
      <c r="G361" s="1239">
        <f t="shared" si="12"/>
        <v>562055410</v>
      </c>
      <c r="H361" s="1049" t="s">
        <v>1526</v>
      </c>
      <c r="I361" s="561"/>
      <c r="J361" s="54"/>
    </row>
    <row r="362" spans="1:10" x14ac:dyDescent="0.2">
      <c r="A362" s="1236">
        <v>45882</v>
      </c>
      <c r="B362" s="1233" t="s">
        <v>37</v>
      </c>
      <c r="C362" s="1187">
        <v>5</v>
      </c>
      <c r="D362" s="1279" t="str">
        <f>_xlfn.XLOOKUP(B362,Códigos!$A$489:$A$522,Códigos!$B$489:$B$522,"Verificar",0)</f>
        <v>-Retiros y Traslados de Bancos</v>
      </c>
      <c r="E362" s="1279" t="str">
        <f>_xlfn.XLOOKUP(C362,Códigos!$A$11:$A$415,Códigos!$B$11:$B$415,"Verificar",0)</f>
        <v>NOMBRE 25</v>
      </c>
      <c r="F362" s="1239">
        <v>350000</v>
      </c>
      <c r="G362" s="989">
        <f t="shared" si="12"/>
        <v>562405410</v>
      </c>
      <c r="H362" s="1274" t="s">
        <v>1527</v>
      </c>
      <c r="I362" s="561"/>
      <c r="J362" s="54"/>
    </row>
    <row r="363" spans="1:10" x14ac:dyDescent="0.2">
      <c r="A363" s="1236">
        <v>45882</v>
      </c>
      <c r="B363" s="1233" t="s">
        <v>37</v>
      </c>
      <c r="C363" s="1187">
        <v>5</v>
      </c>
      <c r="D363" s="1279" t="str">
        <f>_xlfn.XLOOKUP(B363,Códigos!$A$489:$A$522,Códigos!$B$489:$B$522,"Verificar",0)</f>
        <v>-Retiros y Traslados de Bancos</v>
      </c>
      <c r="E363" s="1279" t="str">
        <f>_xlfn.XLOOKUP(C363,Códigos!$A$11:$A$415,Códigos!$B$11:$B$415,"Verificar",0)</f>
        <v>NOMBRE 25</v>
      </c>
      <c r="F363" s="1239">
        <v>200000</v>
      </c>
      <c r="G363" s="989">
        <f t="shared" si="12"/>
        <v>562605410</v>
      </c>
      <c r="H363" s="1274" t="s">
        <v>1528</v>
      </c>
      <c r="I363" s="561"/>
      <c r="J363" s="54"/>
    </row>
    <row r="364" spans="1:10" x14ac:dyDescent="0.2">
      <c r="A364" s="1236">
        <v>45882</v>
      </c>
      <c r="B364" s="1233" t="s">
        <v>37</v>
      </c>
      <c r="C364" s="1187">
        <v>5</v>
      </c>
      <c r="D364" s="1279" t="str">
        <f>_xlfn.XLOOKUP(B364,Códigos!$A$489:$A$522,Códigos!$B$489:$B$522,"Verificar",0)</f>
        <v>-Retiros y Traslados de Bancos</v>
      </c>
      <c r="E364" s="1279" t="str">
        <f>_xlfn.XLOOKUP(C364,Códigos!$A$11:$A$415,Códigos!$B$11:$B$415,"Verificar",0)</f>
        <v>NOMBRE 25</v>
      </c>
      <c r="F364" s="1239">
        <v>172200</v>
      </c>
      <c r="G364" s="989">
        <f t="shared" si="12"/>
        <v>562777610</v>
      </c>
      <c r="H364" s="1049" t="s">
        <v>1489</v>
      </c>
      <c r="I364" s="561"/>
      <c r="J364" s="54"/>
    </row>
    <row r="365" spans="1:10" x14ac:dyDescent="0.2">
      <c r="A365" s="1236">
        <v>45882</v>
      </c>
      <c r="B365" s="1233" t="s">
        <v>37</v>
      </c>
      <c r="C365" s="1187">
        <v>3</v>
      </c>
      <c r="D365" s="1279" t="str">
        <f>_xlfn.XLOOKUP(B365,Códigos!$A$489:$A$522,Códigos!$B$489:$B$522,"Verificar",0)</f>
        <v>-Retiros y Traslados de Bancos</v>
      </c>
      <c r="E365" s="1279" t="str">
        <f>_xlfn.XLOOKUP(C365,Códigos!$A$11:$A$415,Códigos!$B$11:$B$415,"Verificar",0)</f>
        <v>NOMBRE 24</v>
      </c>
      <c r="F365" s="1239">
        <v>326600</v>
      </c>
      <c r="G365" s="989">
        <f t="shared" si="12"/>
        <v>563104210</v>
      </c>
      <c r="H365" s="1052" t="s">
        <v>1529</v>
      </c>
      <c r="I365" s="561"/>
      <c r="J365" s="54"/>
    </row>
    <row r="366" spans="1:10" x14ac:dyDescent="0.2">
      <c r="A366" s="1236">
        <v>45884</v>
      </c>
      <c r="B366" s="1233" t="s">
        <v>37</v>
      </c>
      <c r="C366" s="1187">
        <v>5</v>
      </c>
      <c r="D366" s="1279" t="str">
        <f>_xlfn.XLOOKUP(B366,Códigos!$A$489:$A$522,Códigos!$B$489:$B$522,"Verificar",0)</f>
        <v>-Retiros y Traslados de Bancos</v>
      </c>
      <c r="E366" s="1279" t="str">
        <f>_xlfn.XLOOKUP(C366,Códigos!$A$11:$A$415,Códigos!$B$11:$B$415,"Verificar",0)</f>
        <v>NOMBRE 25</v>
      </c>
      <c r="F366" s="1239">
        <v>2000000</v>
      </c>
      <c r="G366" s="1239">
        <f t="shared" si="12"/>
        <v>565104210</v>
      </c>
      <c r="H366" s="1049" t="s">
        <v>1038</v>
      </c>
      <c r="I366" s="561"/>
      <c r="J366" s="54"/>
    </row>
    <row r="367" spans="1:10" x14ac:dyDescent="0.2">
      <c r="A367" s="1236">
        <v>45884</v>
      </c>
      <c r="B367" s="1233" t="s">
        <v>37</v>
      </c>
      <c r="C367" s="1187">
        <v>5</v>
      </c>
      <c r="D367" s="1279" t="str">
        <f>_xlfn.XLOOKUP(B367,Códigos!$A$489:$A$522,Códigos!$B$489:$B$522,"Verificar",0)</f>
        <v>-Retiros y Traslados de Bancos</v>
      </c>
      <c r="E367" s="1279" t="str">
        <f>_xlfn.XLOOKUP(C367,Códigos!$A$11:$A$415,Códigos!$B$11:$B$415,"Verificar",0)</f>
        <v>NOMBRE 25</v>
      </c>
      <c r="F367" s="1239">
        <v>220000</v>
      </c>
      <c r="G367" s="989">
        <f t="shared" si="12"/>
        <v>565324210</v>
      </c>
      <c r="H367" s="1050" t="s">
        <v>1083</v>
      </c>
      <c r="I367" s="561"/>
      <c r="J367" s="54"/>
    </row>
    <row r="368" spans="1:10" x14ac:dyDescent="0.2">
      <c r="A368" s="1236">
        <v>45884</v>
      </c>
      <c r="B368" s="1233" t="s">
        <v>37</v>
      </c>
      <c r="C368" s="1187">
        <v>5</v>
      </c>
      <c r="D368" s="1279" t="str">
        <f>_xlfn.XLOOKUP(B368,Códigos!$A$489:$A$522,Códigos!$B$489:$B$522,"Verificar",0)</f>
        <v>-Retiros y Traslados de Bancos</v>
      </c>
      <c r="E368" s="1279" t="str">
        <f>_xlfn.XLOOKUP(C368,Códigos!$A$11:$A$415,Códigos!$B$11:$B$415,"Verificar",0)</f>
        <v>NOMBRE 25</v>
      </c>
      <c r="F368" s="1239">
        <v>660000</v>
      </c>
      <c r="G368" s="989">
        <f t="shared" si="12"/>
        <v>565984210</v>
      </c>
      <c r="H368" s="997" t="s">
        <v>1533</v>
      </c>
      <c r="I368" s="561"/>
      <c r="J368" s="54"/>
    </row>
    <row r="369" spans="1:10" x14ac:dyDescent="0.2">
      <c r="A369" s="1236">
        <v>45884</v>
      </c>
      <c r="B369" s="1233" t="s">
        <v>37</v>
      </c>
      <c r="C369" s="1187">
        <v>5</v>
      </c>
      <c r="D369" s="1279" t="str">
        <f>_xlfn.XLOOKUP(B369,Códigos!$A$489:$A$522,Códigos!$B$489:$B$522,"Verificar",0)</f>
        <v>-Retiros y Traslados de Bancos</v>
      </c>
      <c r="E369" s="1279" t="str">
        <f>_xlfn.XLOOKUP(C369,Códigos!$A$11:$A$415,Códigos!$B$11:$B$415,"Verificar",0)</f>
        <v>NOMBRE 25</v>
      </c>
      <c r="F369" s="990">
        <v>220000</v>
      </c>
      <c r="G369" s="989">
        <f t="shared" si="12"/>
        <v>566204210</v>
      </c>
      <c r="H369" s="1050" t="s">
        <v>1083</v>
      </c>
      <c r="I369" s="561"/>
      <c r="J369" s="54"/>
    </row>
    <row r="370" spans="1:10" x14ac:dyDescent="0.2">
      <c r="A370" s="1236">
        <v>45884</v>
      </c>
      <c r="B370" s="1233" t="s">
        <v>37</v>
      </c>
      <c r="C370" s="1187">
        <v>5</v>
      </c>
      <c r="D370" s="1279" t="str">
        <f>_xlfn.XLOOKUP(B370,Códigos!$A$489:$A$522,Códigos!$B$489:$B$522,"Verificar",0)</f>
        <v>-Retiros y Traslados de Bancos</v>
      </c>
      <c r="E370" s="1279" t="str">
        <f>_xlfn.XLOOKUP(C370,Códigos!$A$11:$A$415,Códigos!$B$11:$B$415,"Verificar",0)</f>
        <v>NOMBRE 25</v>
      </c>
      <c r="F370" s="1280">
        <v>380000</v>
      </c>
      <c r="G370" s="989">
        <f t="shared" si="12"/>
        <v>566584210</v>
      </c>
      <c r="H370" s="997" t="s">
        <v>1534</v>
      </c>
      <c r="I370" s="561"/>
      <c r="J370" s="54"/>
    </row>
    <row r="371" spans="1:10" x14ac:dyDescent="0.2">
      <c r="A371" s="1236">
        <v>45884</v>
      </c>
      <c r="B371" s="1233" t="s">
        <v>37</v>
      </c>
      <c r="C371" s="1187">
        <v>5</v>
      </c>
      <c r="D371" s="1279" t="str">
        <f>_xlfn.XLOOKUP(B371,Códigos!$A$489:$A$522,Códigos!$B$489:$B$522,"Verificar",0)</f>
        <v>-Retiros y Traslados de Bancos</v>
      </c>
      <c r="E371" s="1279" t="str">
        <f>_xlfn.XLOOKUP(C371,Códigos!$A$11:$A$415,Códigos!$B$11:$B$415,"Verificar",0)</f>
        <v>NOMBRE 25</v>
      </c>
      <c r="F371" s="1239">
        <v>5000000</v>
      </c>
      <c r="G371" s="989">
        <f t="shared" si="12"/>
        <v>571584210</v>
      </c>
      <c r="H371" s="1049" t="s">
        <v>1535</v>
      </c>
      <c r="I371" s="561"/>
      <c r="J371" s="54"/>
    </row>
    <row r="372" spans="1:10" x14ac:dyDescent="0.2">
      <c r="A372" s="1236">
        <v>45889</v>
      </c>
      <c r="B372" s="1233" t="s">
        <v>37</v>
      </c>
      <c r="C372" s="1187">
        <v>5</v>
      </c>
      <c r="D372" s="1279" t="str">
        <f>_xlfn.XLOOKUP(B372,Códigos!$A$489:$A$522,Códigos!$B$489:$B$522,"Verificar",0)</f>
        <v>-Retiros y Traslados de Bancos</v>
      </c>
      <c r="E372" s="1279" t="str">
        <f>_xlfn.XLOOKUP(C372,Códigos!$A$11:$A$415,Códigos!$B$11:$B$415,"Verificar",0)</f>
        <v>NOMBRE 25</v>
      </c>
      <c r="F372" s="1239">
        <v>136500</v>
      </c>
      <c r="G372" s="989">
        <f t="shared" si="12"/>
        <v>571720710</v>
      </c>
      <c r="H372" s="1049" t="s">
        <v>1542</v>
      </c>
      <c r="I372" s="561"/>
      <c r="J372" s="54"/>
    </row>
    <row r="373" spans="1:10" x14ac:dyDescent="0.2">
      <c r="A373" s="1236">
        <v>45889</v>
      </c>
      <c r="B373" s="1233" t="s">
        <v>37</v>
      </c>
      <c r="C373" s="1187">
        <v>5</v>
      </c>
      <c r="D373" s="1279" t="str">
        <f>_xlfn.XLOOKUP(B373,Códigos!$A$489:$A$522,Códigos!$B$489:$B$522,"Verificar",0)</f>
        <v>-Retiros y Traslados de Bancos</v>
      </c>
      <c r="E373" s="1279" t="str">
        <f>_xlfn.XLOOKUP(C373,Códigos!$A$11:$A$415,Códigos!$B$11:$B$415,"Verificar",0)</f>
        <v>NOMBRE 25</v>
      </c>
      <c r="F373" s="1239">
        <v>64000</v>
      </c>
      <c r="G373" s="989">
        <f t="shared" si="12"/>
        <v>571784710</v>
      </c>
      <c r="H373" s="1049" t="s">
        <v>1536</v>
      </c>
      <c r="I373" s="561"/>
      <c r="J373" s="54"/>
    </row>
    <row r="374" spans="1:10" x14ac:dyDescent="0.2">
      <c r="A374" s="1236">
        <v>45891</v>
      </c>
      <c r="B374" s="1233" t="s">
        <v>37</v>
      </c>
      <c r="C374" s="1187">
        <v>5</v>
      </c>
      <c r="D374" s="1279" t="str">
        <f>_xlfn.XLOOKUP(B374,Códigos!$A$489:$A$522,Códigos!$B$489:$B$522,"Verificar",0)</f>
        <v>-Retiros y Traslados de Bancos</v>
      </c>
      <c r="E374" s="1279" t="str">
        <f>_xlfn.XLOOKUP(C374,Códigos!$A$11:$A$415,Códigos!$B$11:$B$415,"Verificar",0)</f>
        <v>NOMBRE 25</v>
      </c>
      <c r="F374" s="1239">
        <v>220000</v>
      </c>
      <c r="G374" s="989">
        <f t="shared" si="12"/>
        <v>572004710</v>
      </c>
      <c r="H374" s="1050" t="s">
        <v>1083</v>
      </c>
      <c r="I374" s="561"/>
      <c r="J374" s="54"/>
    </row>
    <row r="375" spans="1:10" x14ac:dyDescent="0.2">
      <c r="A375" s="1236">
        <v>45891</v>
      </c>
      <c r="B375" s="1233" t="s">
        <v>37</v>
      </c>
      <c r="C375" s="1187">
        <v>5</v>
      </c>
      <c r="D375" s="1279" t="str">
        <f>_xlfn.XLOOKUP(B375,Códigos!$A$489:$A$522,Códigos!$B$489:$B$522,"Verificar",0)</f>
        <v>-Retiros y Traslados de Bancos</v>
      </c>
      <c r="E375" s="1279" t="str">
        <f>_xlfn.XLOOKUP(C375,Códigos!$A$11:$A$415,Códigos!$B$11:$B$415,"Verificar",0)</f>
        <v>NOMBRE 25</v>
      </c>
      <c r="F375" s="1239">
        <v>660000</v>
      </c>
      <c r="G375" s="989">
        <f t="shared" si="12"/>
        <v>572664710</v>
      </c>
      <c r="H375" s="997" t="s">
        <v>1533</v>
      </c>
      <c r="I375" s="561"/>
      <c r="J375" s="54"/>
    </row>
    <row r="376" spans="1:10" x14ac:dyDescent="0.2">
      <c r="A376" s="1236">
        <v>45891</v>
      </c>
      <c r="B376" s="1233" t="s">
        <v>37</v>
      </c>
      <c r="C376" s="1187">
        <v>5</v>
      </c>
      <c r="D376" s="1279" t="str">
        <f>_xlfn.XLOOKUP(B376,Códigos!$A$489:$A$522,Códigos!$B$489:$B$522,"Verificar",0)</f>
        <v>-Retiros y Traslados de Bancos</v>
      </c>
      <c r="E376" s="1279" t="str">
        <f>_xlfn.XLOOKUP(C376,Códigos!$A$11:$A$415,Códigos!$B$11:$B$415,"Verificar",0)</f>
        <v>NOMBRE 25</v>
      </c>
      <c r="F376" s="990">
        <v>220000</v>
      </c>
      <c r="G376" s="989">
        <f t="shared" si="12"/>
        <v>572884710</v>
      </c>
      <c r="H376" s="1050" t="s">
        <v>1083</v>
      </c>
      <c r="I376" s="561"/>
      <c r="J376" s="54"/>
    </row>
    <row r="377" spans="1:10" x14ac:dyDescent="0.2">
      <c r="A377" s="1236">
        <v>45891</v>
      </c>
      <c r="B377" s="1233" t="s">
        <v>37</v>
      </c>
      <c r="C377" s="1187">
        <v>5</v>
      </c>
      <c r="D377" s="1279" t="str">
        <f>_xlfn.XLOOKUP(B377,Códigos!$A$489:$A$522,Códigos!$B$489:$B$522,"Verificar",0)</f>
        <v>-Retiros y Traslados de Bancos</v>
      </c>
      <c r="E377" s="1279" t="str">
        <f>_xlfn.XLOOKUP(C377,Códigos!$A$11:$A$415,Códigos!$B$11:$B$415,"Verificar",0)</f>
        <v>NOMBRE 25</v>
      </c>
      <c r="F377" s="1280">
        <v>380000</v>
      </c>
      <c r="G377" s="989">
        <f t="shared" si="12"/>
        <v>573264710</v>
      </c>
      <c r="H377" s="997" t="s">
        <v>1534</v>
      </c>
      <c r="I377" s="561"/>
      <c r="J377" s="54"/>
    </row>
    <row r="378" spans="1:10" x14ac:dyDescent="0.2">
      <c r="A378" s="1236">
        <v>45891</v>
      </c>
      <c r="B378" s="1233" t="s">
        <v>37</v>
      </c>
      <c r="C378" s="1187">
        <v>5</v>
      </c>
      <c r="D378" s="1279" t="str">
        <f>_xlfn.XLOOKUP(B378,Códigos!$A$489:$A$522,Códigos!$B$489:$B$522,"Verificar",0)</f>
        <v>-Retiros y Traslados de Bancos</v>
      </c>
      <c r="E378" s="1279" t="str">
        <f>_xlfn.XLOOKUP(C378,Códigos!$A$11:$A$415,Códigos!$B$11:$B$415,"Verificar",0)</f>
        <v>NOMBRE 25</v>
      </c>
      <c r="F378" s="1239">
        <v>2000000</v>
      </c>
      <c r="G378" s="1239">
        <f t="shared" ref="G378" si="14">+G377+F378</f>
        <v>575264710</v>
      </c>
      <c r="H378" s="1049" t="s">
        <v>1038</v>
      </c>
      <c r="I378" s="561"/>
      <c r="J378" s="54"/>
    </row>
    <row r="379" spans="1:10" x14ac:dyDescent="0.2">
      <c r="A379" s="1236">
        <v>45891</v>
      </c>
      <c r="B379" s="1233" t="s">
        <v>36</v>
      </c>
      <c r="C379" s="1187">
        <v>252</v>
      </c>
      <c r="D379" s="1279" t="str">
        <f>_xlfn.XLOOKUP(B379,Códigos!$A$489:$A$522,Códigos!$B$489:$B$522,"Verificar",0)</f>
        <v>Recibido por: -Cuentas por Cobrar</v>
      </c>
      <c r="E379" s="1279" t="str">
        <f>_xlfn.XLOOKUP(C379,Códigos!$A$11:$A$415,Códigos!$B$11:$B$415,"Verificar",0)</f>
        <v>NOMBRE 219</v>
      </c>
      <c r="F379" s="1239">
        <v>1000000</v>
      </c>
      <c r="G379" s="1239">
        <f t="shared" si="12"/>
        <v>576264710</v>
      </c>
      <c r="H379" s="1049" t="s">
        <v>1537</v>
      </c>
      <c r="I379" s="561"/>
      <c r="J379" s="54"/>
    </row>
    <row r="380" spans="1:10" x14ac:dyDescent="0.2">
      <c r="A380" s="1237">
        <v>45895</v>
      </c>
      <c r="B380" s="1233" t="s">
        <v>37</v>
      </c>
      <c r="C380" s="1187">
        <v>5</v>
      </c>
      <c r="D380" s="1279" t="str">
        <f>_xlfn.XLOOKUP(B380,Códigos!$A$489:$A$522,Códigos!$B$489:$B$522,"Verificar",0)</f>
        <v>-Retiros y Traslados de Bancos</v>
      </c>
      <c r="E380" s="1279" t="str">
        <f>_xlfn.XLOOKUP(C380,Códigos!$A$11:$A$415,Códigos!$B$11:$B$415,"Verificar",0)</f>
        <v>NOMBRE 25</v>
      </c>
      <c r="F380" s="1239">
        <v>408900</v>
      </c>
      <c r="G380" s="989">
        <f t="shared" si="12"/>
        <v>576673610</v>
      </c>
      <c r="H380" s="1049" t="s">
        <v>1497</v>
      </c>
      <c r="I380" s="561"/>
      <c r="J380" s="54"/>
    </row>
    <row r="381" spans="1:10" x14ac:dyDescent="0.2">
      <c r="A381" s="1237">
        <v>45895</v>
      </c>
      <c r="B381" s="1233" t="s">
        <v>37</v>
      </c>
      <c r="C381" s="1187">
        <v>5</v>
      </c>
      <c r="D381" s="1279" t="str">
        <f>_xlfn.XLOOKUP(B381,Códigos!$A$489:$A$522,Códigos!$B$489:$B$522,"Verificar",0)</f>
        <v>-Retiros y Traslados de Bancos</v>
      </c>
      <c r="E381" s="1279" t="str">
        <f>_xlfn.XLOOKUP(C381,Códigos!$A$11:$A$415,Códigos!$B$11:$B$415,"Verificar",0)</f>
        <v>NOMBRE 25</v>
      </c>
      <c r="F381" s="1239">
        <v>129700</v>
      </c>
      <c r="G381" s="989">
        <f t="shared" si="12"/>
        <v>576803310</v>
      </c>
      <c r="H381" s="1049" t="s">
        <v>1486</v>
      </c>
      <c r="I381" s="561"/>
      <c r="J381" s="54"/>
    </row>
    <row r="382" spans="1:10" x14ac:dyDescent="0.2">
      <c r="A382" s="1237">
        <v>45895</v>
      </c>
      <c r="B382" s="1233" t="s">
        <v>37</v>
      </c>
      <c r="C382" s="1187">
        <v>5</v>
      </c>
      <c r="D382" s="1279" t="str">
        <f>_xlfn.XLOOKUP(B382,Códigos!$A$489:$A$522,Códigos!$B$489:$B$522,"Verificar",0)</f>
        <v>-Retiros y Traslados de Bancos</v>
      </c>
      <c r="E382" s="1279" t="str">
        <f>_xlfn.XLOOKUP(C382,Códigos!$A$11:$A$415,Códigos!$B$11:$B$415,"Verificar",0)</f>
        <v>NOMBRE 25</v>
      </c>
      <c r="F382" s="1239">
        <v>200000</v>
      </c>
      <c r="G382" s="989">
        <f t="shared" si="12"/>
        <v>577003310</v>
      </c>
      <c r="H382" s="998" t="s">
        <v>1317</v>
      </c>
      <c r="I382" s="561"/>
      <c r="J382" s="54"/>
    </row>
    <row r="383" spans="1:10" x14ac:dyDescent="0.2">
      <c r="A383" s="1237">
        <v>45895</v>
      </c>
      <c r="B383" s="1233" t="s">
        <v>37</v>
      </c>
      <c r="C383" s="1187">
        <v>5</v>
      </c>
      <c r="D383" s="1279" t="str">
        <f>_xlfn.XLOOKUP(B383,Códigos!$A$489:$A$522,Códigos!$B$489:$B$522,"Verificar",0)</f>
        <v>-Retiros y Traslados de Bancos</v>
      </c>
      <c r="E383" s="1279" t="str">
        <f>_xlfn.XLOOKUP(C383,Códigos!$A$11:$A$415,Códigos!$B$11:$B$415,"Verificar",0)</f>
        <v>NOMBRE 25</v>
      </c>
      <c r="F383" s="1239">
        <v>1137653</v>
      </c>
      <c r="G383" s="989">
        <f t="shared" si="12"/>
        <v>578140963</v>
      </c>
      <c r="H383" s="1049" t="s">
        <v>1107</v>
      </c>
      <c r="I383" s="561"/>
      <c r="J383" s="54"/>
    </row>
    <row r="384" spans="1:10" x14ac:dyDescent="0.2">
      <c r="A384" s="1237">
        <v>45895</v>
      </c>
      <c r="B384" s="1233" t="s">
        <v>34</v>
      </c>
      <c r="C384" s="1187">
        <v>340</v>
      </c>
      <c r="D384" s="1279" t="str">
        <f>_xlfn.XLOOKUP(B384,Códigos!$A$489:$A$522,Códigos!$B$489:$B$522,"Verificar",0)</f>
        <v>Recibido por: -Cuentas de cobro -DAFF</v>
      </c>
      <c r="E384" s="1279" t="str">
        <f>_xlfn.XLOOKUP(C384,Códigos!$A$11:$A$415,Códigos!$B$11:$B$415,"Verificar",0)</f>
        <v>NOMBRE 72</v>
      </c>
      <c r="F384" s="1239">
        <v>200000</v>
      </c>
      <c r="G384" s="1239">
        <f t="shared" si="12"/>
        <v>578340963</v>
      </c>
      <c r="H384" s="1049" t="s">
        <v>1541</v>
      </c>
      <c r="I384" s="561"/>
      <c r="J384" s="54"/>
    </row>
    <row r="385" spans="1:10" x14ac:dyDescent="0.2">
      <c r="A385" s="1237">
        <v>45897</v>
      </c>
      <c r="B385" s="1233" t="s">
        <v>37</v>
      </c>
      <c r="C385" s="1187">
        <v>5</v>
      </c>
      <c r="D385" s="1279" t="str">
        <f>_xlfn.XLOOKUP(B385,Códigos!$A$489:$A$522,Códigos!$B$489:$B$522,"Verificar",0)</f>
        <v>-Retiros y Traslados de Bancos</v>
      </c>
      <c r="E385" s="1279" t="str">
        <f>_xlfn.XLOOKUP(C385,Códigos!$A$11:$A$415,Códigos!$B$11:$B$415,"Verificar",0)</f>
        <v>NOMBRE 25</v>
      </c>
      <c r="F385" s="1239">
        <v>220000</v>
      </c>
      <c r="G385" s="989">
        <f t="shared" si="12"/>
        <v>578560963</v>
      </c>
      <c r="H385" s="1050" t="s">
        <v>1083</v>
      </c>
      <c r="I385" s="561"/>
      <c r="J385" s="54"/>
    </row>
    <row r="386" spans="1:10" x14ac:dyDescent="0.2">
      <c r="A386" s="1237">
        <v>45897</v>
      </c>
      <c r="B386" s="1233" t="s">
        <v>37</v>
      </c>
      <c r="C386" s="1187">
        <v>5</v>
      </c>
      <c r="D386" s="1279" t="str">
        <f>_xlfn.XLOOKUP(B386,Códigos!$A$489:$A$522,Códigos!$B$489:$B$522,"Verificar",0)</f>
        <v>-Retiros y Traslados de Bancos</v>
      </c>
      <c r="E386" s="1279" t="str">
        <f>_xlfn.XLOOKUP(C386,Códigos!$A$11:$A$415,Códigos!$B$11:$B$415,"Verificar",0)</f>
        <v>NOMBRE 25</v>
      </c>
      <c r="F386" s="1239">
        <v>660000</v>
      </c>
      <c r="G386" s="989">
        <f t="shared" si="12"/>
        <v>579220963</v>
      </c>
      <c r="H386" s="997" t="s">
        <v>1546</v>
      </c>
      <c r="I386" s="561"/>
      <c r="J386" s="54"/>
    </row>
    <row r="387" spans="1:10" x14ac:dyDescent="0.2">
      <c r="A387" s="1237">
        <v>45897</v>
      </c>
      <c r="B387" s="1233" t="s">
        <v>37</v>
      </c>
      <c r="C387" s="1187">
        <v>5</v>
      </c>
      <c r="D387" s="1279" t="str">
        <f>_xlfn.XLOOKUP(B387,Códigos!$A$489:$A$522,Códigos!$B$489:$B$522,"Verificar",0)</f>
        <v>-Retiros y Traslados de Bancos</v>
      </c>
      <c r="E387" s="1279" t="str">
        <f>_xlfn.XLOOKUP(C387,Códigos!$A$11:$A$415,Códigos!$B$11:$B$415,"Verificar",0)</f>
        <v>NOMBRE 25</v>
      </c>
      <c r="F387" s="1239">
        <v>22000</v>
      </c>
      <c r="G387" s="989">
        <f t="shared" si="12"/>
        <v>579242963</v>
      </c>
      <c r="H387" s="1049" t="s">
        <v>1547</v>
      </c>
      <c r="I387" s="561"/>
      <c r="J387" s="54"/>
    </row>
    <row r="388" spans="1:10" x14ac:dyDescent="0.2">
      <c r="A388" s="1237">
        <v>45897</v>
      </c>
      <c r="B388" s="1233" t="s">
        <v>37</v>
      </c>
      <c r="C388" s="1187">
        <v>5</v>
      </c>
      <c r="D388" s="1279" t="str">
        <f>_xlfn.XLOOKUP(B388,Códigos!$A$489:$A$522,Códigos!$B$489:$B$522,"Verificar",0)</f>
        <v>-Retiros y Traslados de Bancos</v>
      </c>
      <c r="E388" s="1279" t="str">
        <f>_xlfn.XLOOKUP(C388,Códigos!$A$11:$A$415,Códigos!$B$11:$B$415,"Verificar",0)</f>
        <v>NOMBRE 25</v>
      </c>
      <c r="F388" s="1239">
        <v>2000000</v>
      </c>
      <c r="G388" s="989">
        <f t="shared" si="12"/>
        <v>581242963</v>
      </c>
      <c r="H388" s="1049" t="s">
        <v>1038</v>
      </c>
      <c r="I388" s="561"/>
      <c r="J388" s="54"/>
    </row>
    <row r="389" spans="1:10" x14ac:dyDescent="0.2">
      <c r="A389" s="1234">
        <v>45898</v>
      </c>
      <c r="B389" s="1233" t="s">
        <v>37</v>
      </c>
      <c r="C389" s="1187">
        <v>5</v>
      </c>
      <c r="D389" s="1279" t="str">
        <f>_xlfn.XLOOKUP(B389,Códigos!$A$489:$A$522,Códigos!$B$489:$B$522,"Verificar",0)</f>
        <v>-Retiros y Traslados de Bancos</v>
      </c>
      <c r="E389" s="1279" t="str">
        <f>_xlfn.XLOOKUP(C389,Códigos!$A$11:$A$415,Códigos!$B$11:$B$415,"Verificar",0)</f>
        <v>NOMBRE 25</v>
      </c>
      <c r="F389" s="990">
        <v>220000</v>
      </c>
      <c r="G389" s="989">
        <f t="shared" si="12"/>
        <v>581462963</v>
      </c>
      <c r="H389" s="1050" t="s">
        <v>1083</v>
      </c>
      <c r="I389" s="561"/>
      <c r="J389" s="54"/>
    </row>
    <row r="390" spans="1:10" x14ac:dyDescent="0.2">
      <c r="A390" s="1234">
        <v>45898</v>
      </c>
      <c r="B390" s="1233" t="s">
        <v>37</v>
      </c>
      <c r="C390" s="1187">
        <v>5</v>
      </c>
      <c r="D390" s="1279" t="str">
        <f>_xlfn.XLOOKUP(B390,Códigos!$A$489:$A$522,Códigos!$B$489:$B$522,"Verificar",0)</f>
        <v>-Retiros y Traslados de Bancos</v>
      </c>
      <c r="E390" s="1279" t="str">
        <f>_xlfn.XLOOKUP(C390,Códigos!$A$11:$A$415,Códigos!$B$11:$B$415,"Verificar",0)</f>
        <v>NOMBRE 25</v>
      </c>
      <c r="F390" s="1280">
        <v>380000</v>
      </c>
      <c r="G390" s="989">
        <f t="shared" si="12"/>
        <v>581842963</v>
      </c>
      <c r="H390" s="997" t="s">
        <v>1550</v>
      </c>
      <c r="I390" s="561"/>
      <c r="J390" s="54"/>
    </row>
    <row r="391" spans="1:10" x14ac:dyDescent="0.2">
      <c r="A391" s="1234">
        <v>45898</v>
      </c>
      <c r="B391" s="1233" t="s">
        <v>34</v>
      </c>
      <c r="C391" s="1187">
        <v>275</v>
      </c>
      <c r="D391" s="1279" t="str">
        <f>_xlfn.XLOOKUP(B391,Códigos!$A$489:$A$522,Códigos!$B$489:$B$522,"Verificar",0)</f>
        <v>Recibido por: -Cuentas de cobro -DAFF</v>
      </c>
      <c r="E391" s="1279" t="str">
        <f>_xlfn.XLOOKUP(C391,Códigos!$A$11:$A$415,Códigos!$B$11:$B$415,"Verificar",0)</f>
        <v>NOMBRE 155</v>
      </c>
      <c r="F391" s="1280">
        <v>580000</v>
      </c>
      <c r="G391" s="989">
        <f t="shared" si="12"/>
        <v>582422963</v>
      </c>
      <c r="H391" s="997" t="s">
        <v>1552</v>
      </c>
      <c r="I391" s="561"/>
      <c r="J391" s="54"/>
    </row>
    <row r="392" spans="1:10" x14ac:dyDescent="0.2">
      <c r="A392" s="1234">
        <v>45901</v>
      </c>
      <c r="B392" s="1233" t="s">
        <v>37</v>
      </c>
      <c r="C392" s="1187">
        <v>5</v>
      </c>
      <c r="D392" s="1279" t="str">
        <f>_xlfn.XLOOKUP(B392,Códigos!$A$489:$A$522,Códigos!$B$489:$B$522,"Verificar",0)</f>
        <v>-Retiros y Traslados de Bancos</v>
      </c>
      <c r="E392" s="1279" t="str">
        <f>_xlfn.XLOOKUP(C392,Códigos!$A$11:$A$415,Códigos!$B$11:$B$415,"Verificar",0)</f>
        <v>NOMBRE 25</v>
      </c>
      <c r="F392" s="1239">
        <v>46073</v>
      </c>
      <c r="G392" s="989">
        <f t="shared" si="12"/>
        <v>582469036</v>
      </c>
      <c r="H392" s="1049" t="s">
        <v>1518</v>
      </c>
      <c r="I392" s="561"/>
      <c r="J392" s="54"/>
    </row>
    <row r="393" spans="1:10" x14ac:dyDescent="0.2">
      <c r="A393" s="1234">
        <v>45902</v>
      </c>
      <c r="B393" s="1233" t="s">
        <v>37</v>
      </c>
      <c r="C393" s="1187">
        <v>5</v>
      </c>
      <c r="D393" s="1279" t="str">
        <f>_xlfn.XLOOKUP(B393,Códigos!$A$489:$A$522,Códigos!$B$489:$B$522,"Verificar",0)</f>
        <v>-Retiros y Traslados de Bancos</v>
      </c>
      <c r="E393" s="1279" t="str">
        <f>_xlfn.XLOOKUP(C393,Códigos!$A$11:$A$415,Códigos!$B$11:$B$415,"Verificar",0)</f>
        <v>NOMBRE 25</v>
      </c>
      <c r="F393" s="1239">
        <v>200000</v>
      </c>
      <c r="G393" s="989">
        <f t="shared" si="12"/>
        <v>582669036</v>
      </c>
      <c r="H393" s="1049" t="s">
        <v>1114</v>
      </c>
      <c r="I393" s="561"/>
      <c r="J393" s="54"/>
    </row>
    <row r="394" spans="1:10" x14ac:dyDescent="0.2">
      <c r="A394" s="1234">
        <v>45902</v>
      </c>
      <c r="B394" s="1233" t="s">
        <v>37</v>
      </c>
      <c r="C394" s="1187">
        <v>5</v>
      </c>
      <c r="D394" s="1279" t="str">
        <f>_xlfn.XLOOKUP(B394,Códigos!$A$489:$A$522,Códigos!$B$489:$B$522,"Verificar",0)</f>
        <v>-Retiros y Traslados de Bancos</v>
      </c>
      <c r="E394" s="1279" t="str">
        <f>_xlfn.XLOOKUP(C394,Códigos!$A$11:$A$415,Códigos!$B$11:$B$415,"Verificar",0)</f>
        <v>NOMBRE 25</v>
      </c>
      <c r="F394" s="1239">
        <v>100000</v>
      </c>
      <c r="G394" s="989">
        <f t="shared" si="12"/>
        <v>582769036</v>
      </c>
      <c r="H394" s="1049" t="s">
        <v>1148</v>
      </c>
      <c r="I394" s="561"/>
      <c r="J394" s="54"/>
    </row>
    <row r="395" spans="1:10" x14ac:dyDescent="0.2">
      <c r="A395" s="1234">
        <v>45902</v>
      </c>
      <c r="B395" s="1233" t="s">
        <v>10</v>
      </c>
      <c r="C395" s="1187">
        <v>262</v>
      </c>
      <c r="D395" s="1279" t="str">
        <f>_xlfn.XLOOKUP(B395,Códigos!$A$489:$A$522,Códigos!$B$489:$B$522,"Verificar",0)</f>
        <v>Recibido por: -Abono a préstamos por Nómina de:</v>
      </c>
      <c r="E395" s="1279" t="str">
        <f>_xlfn.XLOOKUP(C395,Códigos!$A$11:$A$415,Códigos!$B$11:$B$415,"Verificar",0)</f>
        <v>NOMBRE 95</v>
      </c>
      <c r="F395" s="1239">
        <v>300000</v>
      </c>
      <c r="G395" s="989">
        <f t="shared" si="12"/>
        <v>583069036</v>
      </c>
      <c r="H395" s="1049" t="s">
        <v>1149</v>
      </c>
      <c r="I395" s="561"/>
      <c r="J395" s="54"/>
    </row>
    <row r="396" spans="1:10" x14ac:dyDescent="0.2">
      <c r="A396" s="1234">
        <v>45903</v>
      </c>
      <c r="B396" s="1233" t="s">
        <v>37</v>
      </c>
      <c r="C396" s="1187">
        <v>5</v>
      </c>
      <c r="D396" s="1279" t="str">
        <f>_xlfn.XLOOKUP(B396,Códigos!$A$489:$A$522,Códigos!$B$489:$B$522,"Verificar",0)</f>
        <v>-Retiros y Traslados de Bancos</v>
      </c>
      <c r="E396" s="1279" t="str">
        <f>_xlfn.XLOOKUP(C396,Códigos!$A$11:$A$415,Códigos!$B$11:$B$415,"Verificar",0)</f>
        <v>NOMBRE 25</v>
      </c>
      <c r="F396" s="1239">
        <v>220000</v>
      </c>
      <c r="G396" s="989">
        <f t="shared" si="12"/>
        <v>583289036</v>
      </c>
      <c r="H396" s="1050" t="s">
        <v>1083</v>
      </c>
      <c r="I396" s="561"/>
      <c r="J396" s="54"/>
    </row>
    <row r="397" spans="1:10" x14ac:dyDescent="0.2">
      <c r="A397" s="1234">
        <v>45903</v>
      </c>
      <c r="B397" s="1233" t="s">
        <v>37</v>
      </c>
      <c r="C397" s="1187">
        <v>5</v>
      </c>
      <c r="D397" s="1279" t="str">
        <f>_xlfn.XLOOKUP(B397,Códigos!$A$489:$A$522,Códigos!$B$489:$B$522,"Verificar",0)</f>
        <v>-Retiros y Traslados de Bancos</v>
      </c>
      <c r="E397" s="1279" t="str">
        <f>_xlfn.XLOOKUP(C397,Códigos!$A$11:$A$415,Códigos!$B$11:$B$415,"Verificar",0)</f>
        <v>NOMBRE 25</v>
      </c>
      <c r="F397" s="1239">
        <v>660000</v>
      </c>
      <c r="G397" s="989">
        <f t="shared" si="12"/>
        <v>583949036</v>
      </c>
      <c r="H397" s="997" t="s">
        <v>1560</v>
      </c>
      <c r="I397" s="561"/>
      <c r="J397" s="54"/>
    </row>
    <row r="398" spans="1:10" x14ac:dyDescent="0.2">
      <c r="A398" s="1234">
        <v>45903</v>
      </c>
      <c r="B398" s="1233" t="s">
        <v>34</v>
      </c>
      <c r="C398" s="1187">
        <v>118</v>
      </c>
      <c r="D398" s="1279" t="str">
        <f>_xlfn.XLOOKUP(B398,Códigos!$A$489:$A$522,Códigos!$B$489:$B$522,"Verificar",0)</f>
        <v>Recibido por: -Cuentas de cobro -DAFF</v>
      </c>
      <c r="E398" s="1279" t="str">
        <f>_xlfn.XLOOKUP(C398,Códigos!$A$11:$A$415,Códigos!$B$11:$B$415,"Verificar",0)</f>
        <v>NOMBRE 154</v>
      </c>
      <c r="F398" s="1239">
        <v>330000</v>
      </c>
      <c r="G398" s="989">
        <f t="shared" si="12"/>
        <v>584279036</v>
      </c>
      <c r="H398" s="1049" t="s">
        <v>1605</v>
      </c>
      <c r="I398" s="561"/>
      <c r="J398" s="54"/>
    </row>
    <row r="399" spans="1:10" x14ac:dyDescent="0.2">
      <c r="A399" s="1234">
        <v>45903</v>
      </c>
      <c r="B399" s="1233" t="s">
        <v>37</v>
      </c>
      <c r="C399" s="1187">
        <v>5</v>
      </c>
      <c r="D399" s="1279" t="str">
        <f>_xlfn.XLOOKUP(B399,Códigos!$A$489:$A$522,Códigos!$B$489:$B$522,"Verificar",0)</f>
        <v>-Retiros y Traslados de Bancos</v>
      </c>
      <c r="E399" s="1279" t="str">
        <f>_xlfn.XLOOKUP(C399,Códigos!$A$11:$A$415,Códigos!$B$11:$B$415,"Verificar",0)</f>
        <v>NOMBRE 25</v>
      </c>
      <c r="F399" s="1239">
        <v>450000</v>
      </c>
      <c r="G399" s="989">
        <f t="shared" si="12"/>
        <v>584729036</v>
      </c>
      <c r="H399" s="1049" t="s">
        <v>1563</v>
      </c>
      <c r="I399" s="561"/>
      <c r="J399" s="54"/>
    </row>
    <row r="400" spans="1:10" x14ac:dyDescent="0.2">
      <c r="A400" s="1234">
        <v>45904</v>
      </c>
      <c r="B400" s="1233" t="s">
        <v>37</v>
      </c>
      <c r="C400" s="1187">
        <v>5</v>
      </c>
      <c r="D400" s="1279" t="str">
        <f>_xlfn.XLOOKUP(B400,Códigos!$A$489:$A$522,Códigos!$B$489:$B$522,"Verificar",0)</f>
        <v>-Retiros y Traslados de Bancos</v>
      </c>
      <c r="E400" s="1279" t="str">
        <f>_xlfn.XLOOKUP(C400,Códigos!$A$11:$A$415,Códigos!$B$11:$B$415,"Verificar",0)</f>
        <v>NOMBRE 25</v>
      </c>
      <c r="F400" s="1239">
        <v>1392400</v>
      </c>
      <c r="G400" s="989">
        <f t="shared" si="12"/>
        <v>586121436</v>
      </c>
      <c r="H400" s="1052" t="s">
        <v>1607</v>
      </c>
      <c r="I400" s="561"/>
      <c r="J400" s="54"/>
    </row>
    <row r="401" spans="1:10" x14ac:dyDescent="0.2">
      <c r="A401" s="1234">
        <v>45904</v>
      </c>
      <c r="B401" s="1233" t="s">
        <v>37</v>
      </c>
      <c r="C401" s="1187">
        <v>5</v>
      </c>
      <c r="D401" s="1279" t="str">
        <f>_xlfn.XLOOKUP(B401,Códigos!$A$489:$A$522,Códigos!$B$489:$B$522,"Verificar",0)</f>
        <v>-Retiros y Traslados de Bancos</v>
      </c>
      <c r="E401" s="1279" t="str">
        <f>_xlfn.XLOOKUP(C401,Códigos!$A$11:$A$415,Códigos!$B$11:$B$415,"Verificar",0)</f>
        <v>NOMBRE 25</v>
      </c>
      <c r="F401" s="1239">
        <v>940500</v>
      </c>
      <c r="G401" s="989">
        <f t="shared" si="12"/>
        <v>587061936</v>
      </c>
      <c r="H401" s="1052" t="s">
        <v>1608</v>
      </c>
      <c r="I401" s="561"/>
      <c r="J401" s="54"/>
    </row>
    <row r="402" spans="1:10" x14ac:dyDescent="0.2">
      <c r="A402" s="1234">
        <v>45905</v>
      </c>
      <c r="B402" s="1233" t="s">
        <v>37</v>
      </c>
      <c r="C402" s="1187">
        <v>5</v>
      </c>
      <c r="D402" s="1279" t="str">
        <f>_xlfn.XLOOKUP(B402,Códigos!$A$489:$A$522,Códigos!$B$489:$B$522,"Verificar",0)</f>
        <v>-Retiros y Traslados de Bancos</v>
      </c>
      <c r="E402" s="1279" t="str">
        <f>_xlfn.XLOOKUP(C402,Códigos!$A$11:$A$415,Códigos!$B$11:$B$415,"Verificar",0)</f>
        <v>NOMBRE 25</v>
      </c>
      <c r="F402" s="1239">
        <v>137300</v>
      </c>
      <c r="G402" s="989">
        <f t="shared" si="12"/>
        <v>587199236</v>
      </c>
      <c r="H402" s="1049" t="s">
        <v>1491</v>
      </c>
      <c r="I402" s="561"/>
      <c r="J402" s="54"/>
    </row>
    <row r="403" spans="1:10" x14ac:dyDescent="0.2">
      <c r="A403" s="1234">
        <v>45905</v>
      </c>
      <c r="B403" s="1233" t="s">
        <v>37</v>
      </c>
      <c r="C403" s="1187">
        <v>5</v>
      </c>
      <c r="D403" s="1279" t="str">
        <f>_xlfn.XLOOKUP(B403,Códigos!$A$489:$A$522,Códigos!$B$489:$B$522,"Verificar",0)</f>
        <v>-Retiros y Traslados de Bancos</v>
      </c>
      <c r="E403" s="1279" t="str">
        <f>_xlfn.XLOOKUP(C403,Códigos!$A$11:$A$415,Códigos!$B$11:$B$415,"Verificar",0)</f>
        <v>NOMBRE 25</v>
      </c>
      <c r="F403" s="1239">
        <v>100000</v>
      </c>
      <c r="G403" s="989">
        <f t="shared" si="12"/>
        <v>587299236</v>
      </c>
      <c r="H403" s="1049" t="s">
        <v>1564</v>
      </c>
      <c r="I403" s="561"/>
      <c r="J403" s="54"/>
    </row>
    <row r="404" spans="1:10" x14ac:dyDescent="0.2">
      <c r="A404" s="1234">
        <v>45905</v>
      </c>
      <c r="B404" s="1233" t="s">
        <v>37</v>
      </c>
      <c r="C404" s="1187">
        <v>5</v>
      </c>
      <c r="D404" s="1279" t="str">
        <f>_xlfn.XLOOKUP(B404,Códigos!$A$489:$A$522,Códigos!$B$489:$B$522,"Verificar",0)</f>
        <v>-Retiros y Traslados de Bancos</v>
      </c>
      <c r="E404" s="1279" t="str">
        <f>_xlfn.XLOOKUP(C404,Códigos!$A$11:$A$415,Códigos!$B$11:$B$415,"Verificar",0)</f>
        <v>NOMBRE 25</v>
      </c>
      <c r="F404" s="1246">
        <v>275200</v>
      </c>
      <c r="G404" s="989">
        <f t="shared" si="12"/>
        <v>587574436</v>
      </c>
      <c r="H404" s="1049" t="s">
        <v>1490</v>
      </c>
      <c r="I404" s="561"/>
      <c r="J404" s="54"/>
    </row>
    <row r="405" spans="1:10" x14ac:dyDescent="0.2">
      <c r="A405" s="1234">
        <v>45905</v>
      </c>
      <c r="B405" s="1233" t="s">
        <v>37</v>
      </c>
      <c r="C405" s="1187">
        <v>5</v>
      </c>
      <c r="D405" s="1279" t="str">
        <f>_xlfn.XLOOKUP(B405,Códigos!$A$489:$A$522,Códigos!$B$489:$B$522,"Verificar",0)</f>
        <v>-Retiros y Traslados de Bancos</v>
      </c>
      <c r="E405" s="1279" t="str">
        <f>_xlfn.XLOOKUP(C405,Códigos!$A$11:$A$415,Códigos!$B$11:$B$415,"Verificar",0)</f>
        <v>NOMBRE 25</v>
      </c>
      <c r="F405" s="1239">
        <v>220000</v>
      </c>
      <c r="G405" s="989">
        <f t="shared" si="12"/>
        <v>587794436</v>
      </c>
      <c r="H405" s="1050" t="s">
        <v>1083</v>
      </c>
      <c r="I405" s="561"/>
      <c r="J405" s="54"/>
    </row>
    <row r="406" spans="1:10" x14ac:dyDescent="0.2">
      <c r="A406" s="1234">
        <v>45905</v>
      </c>
      <c r="B406" s="1233" t="s">
        <v>36</v>
      </c>
      <c r="C406" s="1235">
        <v>338</v>
      </c>
      <c r="D406" s="1279" t="str">
        <f>_xlfn.XLOOKUP(B406,Códigos!$A$489:$A$522,Códigos!$B$489:$B$522,"Verificar",0)</f>
        <v>Recibido por: -Cuentas por Cobrar</v>
      </c>
      <c r="E406" s="1279" t="str">
        <f>_xlfn.XLOOKUP(C406,Códigos!$A$11:$A$415,Códigos!$B$11:$B$415,"Verificar",0)</f>
        <v>NOMBRE 69</v>
      </c>
      <c r="F406" s="1239">
        <v>5000000</v>
      </c>
      <c r="G406" s="989">
        <f t="shared" si="12"/>
        <v>592794436</v>
      </c>
      <c r="H406" s="1051" t="s">
        <v>1565</v>
      </c>
      <c r="I406" s="561"/>
      <c r="J406" s="54"/>
    </row>
    <row r="407" spans="1:10" x14ac:dyDescent="0.2">
      <c r="A407" s="1234">
        <v>45909</v>
      </c>
      <c r="B407" s="1233" t="s">
        <v>37</v>
      </c>
      <c r="C407" s="1187">
        <v>5</v>
      </c>
      <c r="D407" s="1279" t="str">
        <f>_xlfn.XLOOKUP(B407,Códigos!$A$489:$A$522,Códigos!$B$489:$B$522,"Verificar",0)</f>
        <v>-Retiros y Traslados de Bancos</v>
      </c>
      <c r="E407" s="1279" t="str">
        <f>_xlfn.XLOOKUP(C407,Códigos!$A$11:$A$415,Códigos!$B$11:$B$415,"Verificar",0)</f>
        <v>NOMBRE 25</v>
      </c>
      <c r="F407" s="1239">
        <v>220000</v>
      </c>
      <c r="G407" s="989">
        <f t="shared" si="12"/>
        <v>593014436</v>
      </c>
      <c r="H407" s="1050" t="s">
        <v>1083</v>
      </c>
      <c r="I407" s="561"/>
      <c r="J407" s="54"/>
    </row>
    <row r="408" spans="1:10" x14ac:dyDescent="0.2">
      <c r="A408" s="1234">
        <v>45909</v>
      </c>
      <c r="B408" s="1233" t="s">
        <v>37</v>
      </c>
      <c r="C408" s="1187">
        <v>5</v>
      </c>
      <c r="D408" s="1279" t="str">
        <f>_xlfn.XLOOKUP(B408,Códigos!$A$489:$A$522,Códigos!$B$489:$B$522,"Verificar",0)</f>
        <v>-Retiros y Traslados de Bancos</v>
      </c>
      <c r="E408" s="1279" t="str">
        <f>_xlfn.XLOOKUP(C408,Códigos!$A$11:$A$415,Códigos!$B$11:$B$415,"Verificar",0)</f>
        <v>NOMBRE 25</v>
      </c>
      <c r="F408" s="1239">
        <v>660000</v>
      </c>
      <c r="G408" s="989">
        <f t="shared" si="12"/>
        <v>593674436</v>
      </c>
      <c r="H408" s="997" t="s">
        <v>1566</v>
      </c>
      <c r="I408" s="561"/>
      <c r="J408" s="54"/>
    </row>
    <row r="409" spans="1:10" x14ac:dyDescent="0.2">
      <c r="A409" s="1234">
        <v>45910</v>
      </c>
      <c r="B409" s="1233" t="s">
        <v>37</v>
      </c>
      <c r="C409" s="1187">
        <v>5</v>
      </c>
      <c r="D409" s="1279" t="str">
        <f>_xlfn.XLOOKUP(B409,Códigos!$A$489:$A$522,Códigos!$B$489:$B$522,"Verificar",0)</f>
        <v>-Retiros y Traslados de Bancos</v>
      </c>
      <c r="E409" s="1279" t="str">
        <f>_xlfn.XLOOKUP(C409,Códigos!$A$11:$A$415,Códigos!$B$11:$B$415,"Verificar",0)</f>
        <v>NOMBRE 25</v>
      </c>
      <c r="F409" s="1239">
        <v>205600</v>
      </c>
      <c r="G409" s="989">
        <f t="shared" si="12"/>
        <v>593880036</v>
      </c>
      <c r="H409" s="1049" t="s">
        <v>1489</v>
      </c>
      <c r="I409" s="561"/>
      <c r="J409" s="54"/>
    </row>
    <row r="410" spans="1:10" x14ac:dyDescent="0.2">
      <c r="A410" s="1234">
        <v>45910</v>
      </c>
      <c r="B410" s="1233" t="s">
        <v>37</v>
      </c>
      <c r="C410" s="1187">
        <v>5</v>
      </c>
      <c r="D410" s="1279" t="str">
        <f>_xlfn.XLOOKUP(B410,Códigos!$A$489:$A$522,Códigos!$B$489:$B$522,"Verificar",0)</f>
        <v>-Retiros y Traslados de Bancos</v>
      </c>
      <c r="E410" s="1279" t="str">
        <f>_xlfn.XLOOKUP(C410,Códigos!$A$11:$A$415,Códigos!$B$11:$B$415,"Verificar",0)</f>
        <v>NOMBRE 25</v>
      </c>
      <c r="F410" s="1239">
        <v>88600</v>
      </c>
      <c r="G410" s="989">
        <f t="shared" si="12"/>
        <v>593968636</v>
      </c>
      <c r="H410" s="1049" t="s">
        <v>1567</v>
      </c>
      <c r="I410" s="561"/>
      <c r="J410" s="54"/>
    </row>
    <row r="411" spans="1:10" x14ac:dyDescent="0.2">
      <c r="A411" s="1234">
        <v>45912</v>
      </c>
      <c r="B411" s="1233" t="s">
        <v>37</v>
      </c>
      <c r="C411" s="1187">
        <v>5</v>
      </c>
      <c r="D411" s="1279" t="str">
        <f>_xlfn.XLOOKUP(B411,Códigos!$A$489:$A$522,Códigos!$B$489:$B$522,"Verificar",0)</f>
        <v>-Retiros y Traslados de Bancos</v>
      </c>
      <c r="E411" s="1279" t="str">
        <f>_xlfn.XLOOKUP(C411,Códigos!$A$11:$A$415,Códigos!$B$11:$B$415,"Verificar",0)</f>
        <v>NOMBRE 25</v>
      </c>
      <c r="F411" s="1239">
        <v>220000</v>
      </c>
      <c r="G411" s="989">
        <f t="shared" si="12"/>
        <v>594188636</v>
      </c>
      <c r="H411" s="1050" t="s">
        <v>1083</v>
      </c>
      <c r="I411" s="561"/>
      <c r="J411" s="54"/>
    </row>
    <row r="412" spans="1:10" x14ac:dyDescent="0.2">
      <c r="A412" s="1234">
        <v>45912</v>
      </c>
      <c r="B412" s="1233" t="s">
        <v>34</v>
      </c>
      <c r="C412" s="1187">
        <v>112</v>
      </c>
      <c r="D412" s="1279" t="str">
        <f>_xlfn.XLOOKUP(B412,Códigos!$A$489:$A$522,Códigos!$B$489:$B$522,"Verificar",0)</f>
        <v>Recibido por: -Cuentas de cobro -DAFF</v>
      </c>
      <c r="E412" s="1279" t="str">
        <f>_xlfn.XLOOKUP(C412,Códigos!$A$11:$A$415,Códigos!$B$11:$B$415,"Verificar",0)</f>
        <v>NOMBRE 141</v>
      </c>
      <c r="F412" s="1239">
        <v>410000</v>
      </c>
      <c r="G412" s="989">
        <f t="shared" si="12"/>
        <v>594598636</v>
      </c>
      <c r="H412" s="1049" t="s">
        <v>1634</v>
      </c>
      <c r="I412" s="561"/>
      <c r="J412" s="54"/>
    </row>
    <row r="413" spans="1:10" x14ac:dyDescent="0.2">
      <c r="A413" s="1234">
        <v>45913</v>
      </c>
      <c r="B413" s="1233" t="s">
        <v>34</v>
      </c>
      <c r="C413" s="1187">
        <v>343</v>
      </c>
      <c r="D413" s="1279" t="str">
        <f>_xlfn.XLOOKUP(B413,Códigos!$A$489:$A$522,Códigos!$B$489:$B$522,"Verificar",0)</f>
        <v>Recibido por: -Cuentas de cobro -DAFF</v>
      </c>
      <c r="E413" s="1279" t="str">
        <f>_xlfn.XLOOKUP(C413,Códigos!$A$11:$A$415,Códigos!$B$11:$B$415,"Verificar",0)</f>
        <v>NOMBRE 136</v>
      </c>
      <c r="F413" s="1239">
        <v>250000</v>
      </c>
      <c r="G413" s="989">
        <f t="shared" si="12"/>
        <v>594848636</v>
      </c>
      <c r="H413" s="1049" t="s">
        <v>1606</v>
      </c>
      <c r="I413" s="561"/>
      <c r="J413" s="54"/>
    </row>
    <row r="414" spans="1:10" x14ac:dyDescent="0.2">
      <c r="A414" s="1234">
        <v>45915</v>
      </c>
      <c r="B414" s="1233" t="s">
        <v>37</v>
      </c>
      <c r="C414" s="1187">
        <v>5</v>
      </c>
      <c r="D414" s="1279" t="str">
        <f>_xlfn.XLOOKUP(B414,Códigos!$A$489:$A$522,Códigos!$B$489:$B$522,"Verificar",0)</f>
        <v>-Retiros y Traslados de Bancos</v>
      </c>
      <c r="E414" s="1279" t="str">
        <f>_xlfn.XLOOKUP(C414,Códigos!$A$11:$A$415,Códigos!$B$11:$B$415,"Verificar",0)</f>
        <v>NOMBRE 25</v>
      </c>
      <c r="F414" s="1239">
        <v>350000</v>
      </c>
      <c r="G414" s="989">
        <f t="shared" si="12"/>
        <v>595198636</v>
      </c>
      <c r="H414" s="1274" t="s">
        <v>1527</v>
      </c>
      <c r="I414" s="561"/>
      <c r="J414" s="54"/>
    </row>
    <row r="415" spans="1:10" x14ac:dyDescent="0.2">
      <c r="A415" s="1234">
        <v>45915</v>
      </c>
      <c r="B415" s="1233" t="s">
        <v>37</v>
      </c>
      <c r="C415" s="1187">
        <v>5</v>
      </c>
      <c r="D415" s="1279" t="str">
        <f>_xlfn.XLOOKUP(B415,Códigos!$A$489:$A$522,Códigos!$B$489:$B$522,"Verificar",0)</f>
        <v>-Retiros y Traslados de Bancos</v>
      </c>
      <c r="E415" s="1279" t="str">
        <f>_xlfn.XLOOKUP(C415,Códigos!$A$11:$A$415,Códigos!$B$11:$B$415,"Verificar",0)</f>
        <v>NOMBRE 25</v>
      </c>
      <c r="F415" s="1239">
        <v>200000</v>
      </c>
      <c r="G415" s="989">
        <f t="shared" si="12"/>
        <v>595398636</v>
      </c>
      <c r="H415" s="1274" t="s">
        <v>1528</v>
      </c>
      <c r="I415" s="561"/>
      <c r="J415" s="54"/>
    </row>
    <row r="416" spans="1:10" x14ac:dyDescent="0.2">
      <c r="A416" s="1234">
        <v>45915</v>
      </c>
      <c r="B416" s="1233" t="s">
        <v>37</v>
      </c>
      <c r="C416" s="1187">
        <v>5</v>
      </c>
      <c r="D416" s="1279" t="str">
        <f>_xlfn.XLOOKUP(B416,Códigos!$A$489:$A$522,Códigos!$B$489:$B$522,"Verificar",0)</f>
        <v>-Retiros y Traslados de Bancos</v>
      </c>
      <c r="E416" s="1279" t="str">
        <f>_xlfn.XLOOKUP(C416,Códigos!$A$11:$A$415,Códigos!$B$11:$B$415,"Verificar",0)</f>
        <v>NOMBRE 25</v>
      </c>
      <c r="F416" s="1239">
        <v>64200</v>
      </c>
      <c r="G416" s="989">
        <f t="shared" si="12"/>
        <v>595462836</v>
      </c>
      <c r="H416" s="1049" t="s">
        <v>1536</v>
      </c>
      <c r="I416" s="561"/>
      <c r="J416" s="54"/>
    </row>
    <row r="417" spans="1:11" x14ac:dyDescent="0.2">
      <c r="A417" s="1234">
        <v>45917</v>
      </c>
      <c r="B417" s="1233" t="s">
        <v>37</v>
      </c>
      <c r="C417" s="1187">
        <v>5</v>
      </c>
      <c r="D417" s="1279" t="str">
        <f>_xlfn.XLOOKUP(B417,Códigos!$A$489:$A$522,Códigos!$B$489:$B$522,"Verificar",0)</f>
        <v>-Retiros y Traslados de Bancos</v>
      </c>
      <c r="E417" s="1279" t="str">
        <f>_xlfn.XLOOKUP(C417,Códigos!$A$11:$A$415,Códigos!$B$11:$B$415,"Verificar",0)</f>
        <v>NOMBRE 25</v>
      </c>
      <c r="F417" s="1239">
        <v>220000</v>
      </c>
      <c r="G417" s="989">
        <f t="shared" si="12"/>
        <v>595682836</v>
      </c>
      <c r="H417" s="1050" t="s">
        <v>1083</v>
      </c>
      <c r="I417" s="561"/>
      <c r="J417" s="54"/>
    </row>
    <row r="418" spans="1:11" x14ac:dyDescent="0.2">
      <c r="A418" s="1234">
        <v>45917</v>
      </c>
      <c r="B418" s="1233" t="s">
        <v>37</v>
      </c>
      <c r="C418" s="1187">
        <v>5</v>
      </c>
      <c r="D418" s="1279" t="str">
        <f>_xlfn.XLOOKUP(B418,Códigos!$A$489:$A$522,Códigos!$B$489:$B$522,"Verificar",0)</f>
        <v>-Retiros y Traslados de Bancos</v>
      </c>
      <c r="E418" s="1279" t="str">
        <f>_xlfn.XLOOKUP(C418,Códigos!$A$11:$A$415,Códigos!$B$11:$B$415,"Verificar",0)</f>
        <v>NOMBRE 25</v>
      </c>
      <c r="F418" s="1239">
        <v>660000</v>
      </c>
      <c r="G418" s="989">
        <f t="shared" si="12"/>
        <v>596342836</v>
      </c>
      <c r="H418" s="997" t="s">
        <v>1588</v>
      </c>
      <c r="I418" s="561"/>
      <c r="J418" s="54"/>
    </row>
    <row r="419" spans="1:11" x14ac:dyDescent="0.2">
      <c r="A419" s="1234">
        <v>45917</v>
      </c>
      <c r="B419" s="1233" t="s">
        <v>37</v>
      </c>
      <c r="C419" s="1187">
        <v>5</v>
      </c>
      <c r="D419" s="1279" t="str">
        <f>_xlfn.XLOOKUP(B419,Códigos!$A$489:$A$522,Códigos!$B$489:$B$522,"Verificar",0)</f>
        <v>-Retiros y Traslados de Bancos</v>
      </c>
      <c r="E419" s="1279" t="str">
        <f>_xlfn.XLOOKUP(C419,Códigos!$A$11:$A$415,Códigos!$B$11:$B$415,"Verificar",0)</f>
        <v>NOMBRE 25</v>
      </c>
      <c r="F419" s="1239">
        <v>500000</v>
      </c>
      <c r="G419" s="989">
        <f t="shared" ref="G419:G490" si="15">+G418+F419</f>
        <v>596842836</v>
      </c>
      <c r="H419" s="1052" t="s">
        <v>1283</v>
      </c>
      <c r="I419" s="561"/>
      <c r="J419" s="54"/>
    </row>
    <row r="420" spans="1:11" x14ac:dyDescent="0.2">
      <c r="A420" s="1236">
        <v>45918</v>
      </c>
      <c r="B420" s="1233" t="s">
        <v>37</v>
      </c>
      <c r="C420" s="1187">
        <v>5</v>
      </c>
      <c r="D420" s="1279" t="str">
        <f>_xlfn.XLOOKUP(B420,Códigos!$A$489:$A$522,Códigos!$B$489:$B$522,"Verificar",0)</f>
        <v>-Retiros y Traslados de Bancos</v>
      </c>
      <c r="E420" s="1279" t="str">
        <f>_xlfn.XLOOKUP(C420,Códigos!$A$11:$A$415,Códigos!$B$11:$B$415,"Verificar",0)</f>
        <v>NOMBRE 25</v>
      </c>
      <c r="F420" s="1239">
        <f>266130+383130+324720</f>
        <v>973980</v>
      </c>
      <c r="G420" s="989">
        <f t="shared" si="15"/>
        <v>597816816</v>
      </c>
      <c r="H420" s="1049" t="s">
        <v>1107</v>
      </c>
      <c r="I420" s="561"/>
      <c r="J420" s="54"/>
    </row>
    <row r="421" spans="1:11" x14ac:dyDescent="0.2">
      <c r="A421" s="1236">
        <v>45918</v>
      </c>
      <c r="B421" s="1233" t="s">
        <v>37</v>
      </c>
      <c r="C421" s="1187">
        <v>5</v>
      </c>
      <c r="D421" s="1279" t="str">
        <f>_xlfn.XLOOKUP(B421,Códigos!$A$489:$A$522,Códigos!$B$489:$B$522,"Verificar",0)</f>
        <v>-Retiros y Traslados de Bancos</v>
      </c>
      <c r="E421" s="1279" t="str">
        <f>_xlfn.XLOOKUP(C421,Códigos!$A$11:$A$415,Códigos!$B$11:$B$415,"Verificar",0)</f>
        <v>NOMBRE 25</v>
      </c>
      <c r="F421" s="1239">
        <f>65700+63980</f>
        <v>129680</v>
      </c>
      <c r="G421" s="989">
        <f t="shared" si="15"/>
        <v>597946496</v>
      </c>
      <c r="H421" s="997" t="s">
        <v>1117</v>
      </c>
      <c r="I421" s="561"/>
      <c r="J421" s="54"/>
    </row>
    <row r="422" spans="1:11" x14ac:dyDescent="0.2">
      <c r="A422" s="1236">
        <v>45918</v>
      </c>
      <c r="B422" s="1233" t="s">
        <v>37</v>
      </c>
      <c r="C422" s="1187">
        <v>5</v>
      </c>
      <c r="D422" s="1279" t="str">
        <f>_xlfn.XLOOKUP(B422,Códigos!$A$489:$A$522,Códigos!$B$489:$B$522,"Verificar",0)</f>
        <v>-Retiros y Traslados de Bancos</v>
      </c>
      <c r="E422" s="1279" t="str">
        <f>_xlfn.XLOOKUP(C422,Códigos!$A$11:$A$415,Códigos!$B$11:$B$415,"Verificar",0)</f>
        <v>NOMBRE 25</v>
      </c>
      <c r="F422" s="1239">
        <v>220000</v>
      </c>
      <c r="G422" s="989">
        <f t="shared" si="15"/>
        <v>598166496</v>
      </c>
      <c r="H422" s="1050" t="s">
        <v>1083</v>
      </c>
      <c r="I422" s="561"/>
      <c r="J422" s="54"/>
      <c r="K422" s="1">
        <f>22+80+880</f>
        <v>982</v>
      </c>
    </row>
    <row r="423" spans="1:11" x14ac:dyDescent="0.2">
      <c r="A423" s="1232">
        <v>45922</v>
      </c>
      <c r="B423" s="1233" t="s">
        <v>34</v>
      </c>
      <c r="C423" s="1187">
        <v>346</v>
      </c>
      <c r="D423" s="1279" t="str">
        <f>_xlfn.XLOOKUP(B423,Códigos!$A$489:$A$522,Códigos!$B$489:$B$522,"Verificar",0)</f>
        <v>Recibido por: -Cuentas de cobro -DAFF</v>
      </c>
      <c r="E423" s="1279" t="str">
        <f>_xlfn.XLOOKUP(C423,Códigos!$A$11:$A$415,Códigos!$B$11:$B$415,"Verificar",0)</f>
        <v>NOMBRE 2</v>
      </c>
      <c r="F423" s="1239">
        <v>160000</v>
      </c>
      <c r="G423" s="989">
        <f t="shared" si="15"/>
        <v>598326496</v>
      </c>
      <c r="H423" s="1049" t="s">
        <v>1635</v>
      </c>
      <c r="I423" s="561"/>
      <c r="J423" s="54"/>
    </row>
    <row r="424" spans="1:11" x14ac:dyDescent="0.2">
      <c r="A424" s="1236">
        <v>45923</v>
      </c>
      <c r="B424" s="1233" t="s">
        <v>37</v>
      </c>
      <c r="C424" s="1187">
        <v>5</v>
      </c>
      <c r="D424" s="1279" t="str">
        <f>_xlfn.XLOOKUP(B424,Códigos!$A$489:$A$522,Códigos!$B$489:$B$522,"Verificar",0)</f>
        <v>-Retiros y Traslados de Bancos</v>
      </c>
      <c r="E424" s="1279" t="str">
        <f>_xlfn.XLOOKUP(C424,Códigos!$A$11:$A$415,Códigos!$B$11:$B$415,"Verificar",0)</f>
        <v>NOMBRE 25</v>
      </c>
      <c r="F424" s="1239">
        <v>430200</v>
      </c>
      <c r="G424" s="989">
        <f t="shared" si="15"/>
        <v>598756696</v>
      </c>
      <c r="H424" s="1049" t="s">
        <v>1497</v>
      </c>
      <c r="I424" s="561"/>
      <c r="J424" s="54"/>
    </row>
    <row r="425" spans="1:11" x14ac:dyDescent="0.2">
      <c r="A425" s="1236">
        <v>45925</v>
      </c>
      <c r="B425" s="1233" t="s">
        <v>37</v>
      </c>
      <c r="C425" s="1187">
        <v>5</v>
      </c>
      <c r="D425" s="1279" t="str">
        <f>_xlfn.XLOOKUP(B425,Códigos!$A$489:$A$522,Códigos!$B$489:$B$522,"Verificar",0)</f>
        <v>-Retiros y Traslados de Bancos</v>
      </c>
      <c r="E425" s="1279" t="str">
        <f>_xlfn.XLOOKUP(C425,Códigos!$A$11:$A$415,Códigos!$B$11:$B$415,"Verificar",0)</f>
        <v>NOMBRE 25</v>
      </c>
      <c r="F425" s="1239">
        <v>22000</v>
      </c>
      <c r="G425" s="989">
        <f t="shared" si="15"/>
        <v>598778696</v>
      </c>
      <c r="H425" s="1049" t="s">
        <v>1591</v>
      </c>
      <c r="I425" s="561"/>
      <c r="J425" s="54"/>
    </row>
    <row r="426" spans="1:11" x14ac:dyDescent="0.2">
      <c r="A426" s="1236">
        <v>45925</v>
      </c>
      <c r="B426" s="1233" t="s">
        <v>37</v>
      </c>
      <c r="C426" s="1187">
        <v>5</v>
      </c>
      <c r="D426" s="1279" t="str">
        <f>_xlfn.XLOOKUP(B426,Códigos!$A$489:$A$522,Códigos!$B$489:$B$522,"Verificar",0)</f>
        <v>-Retiros y Traslados de Bancos</v>
      </c>
      <c r="E426" s="1279" t="str">
        <f>_xlfn.XLOOKUP(C426,Códigos!$A$11:$A$415,Códigos!$B$11:$B$415,"Verificar",0)</f>
        <v>NOMBRE 25</v>
      </c>
      <c r="F426" s="1239">
        <v>46073</v>
      </c>
      <c r="G426" s="989">
        <f t="shared" si="15"/>
        <v>598824769</v>
      </c>
      <c r="H426" s="1050" t="s">
        <v>1518</v>
      </c>
      <c r="I426" s="561"/>
      <c r="J426" s="54"/>
    </row>
    <row r="427" spans="1:11" x14ac:dyDescent="0.2">
      <c r="A427" s="1236">
        <v>45925</v>
      </c>
      <c r="B427" s="1233" t="s">
        <v>37</v>
      </c>
      <c r="C427" s="1187">
        <v>5</v>
      </c>
      <c r="D427" s="1279" t="str">
        <f>_xlfn.XLOOKUP(B427,Códigos!$A$489:$A$522,Códigos!$B$489:$B$522,"Verificar",0)</f>
        <v>-Retiros y Traslados de Bancos</v>
      </c>
      <c r="E427" s="1279" t="str">
        <f>_xlfn.XLOOKUP(C427,Códigos!$A$11:$A$415,Códigos!$B$11:$B$415,"Verificar",0)</f>
        <v>NOMBRE 25</v>
      </c>
      <c r="F427" s="1239">
        <v>220000</v>
      </c>
      <c r="G427" s="989">
        <f t="shared" si="15"/>
        <v>599044769</v>
      </c>
      <c r="H427" s="1050" t="s">
        <v>1083</v>
      </c>
      <c r="I427" s="561"/>
      <c r="J427" s="54"/>
    </row>
    <row r="428" spans="1:11" x14ac:dyDescent="0.2">
      <c r="A428" s="1236">
        <v>45925</v>
      </c>
      <c r="B428" s="1233" t="s">
        <v>37</v>
      </c>
      <c r="C428" s="1187">
        <v>5</v>
      </c>
      <c r="D428" s="1279" t="str">
        <f>_xlfn.XLOOKUP(B428,Códigos!$A$489:$A$522,Códigos!$B$489:$B$522,"Verificar",0)</f>
        <v>-Retiros y Traslados de Bancos</v>
      </c>
      <c r="E428" s="1279" t="str">
        <f>_xlfn.XLOOKUP(C428,Códigos!$A$11:$A$415,Códigos!$B$11:$B$415,"Verificar",0)</f>
        <v>NOMBRE 25</v>
      </c>
      <c r="F428" s="1239">
        <v>660000</v>
      </c>
      <c r="G428" s="989">
        <f t="shared" si="15"/>
        <v>599704769</v>
      </c>
      <c r="H428" s="997" t="s">
        <v>1592</v>
      </c>
      <c r="I428" s="561"/>
      <c r="J428" s="54"/>
    </row>
    <row r="429" spans="1:11" x14ac:dyDescent="0.2">
      <c r="A429" s="1236">
        <v>45926</v>
      </c>
      <c r="B429" s="1233" t="s">
        <v>37</v>
      </c>
      <c r="C429" s="1187">
        <v>5</v>
      </c>
      <c r="D429" s="1279" t="str">
        <f>_xlfn.XLOOKUP(B429,Códigos!$A$489:$A$522,Códigos!$B$489:$B$522,"Verificar",0)</f>
        <v>-Retiros y Traslados de Bancos</v>
      </c>
      <c r="E429" s="1279" t="str">
        <f>_xlfn.XLOOKUP(C429,Códigos!$A$11:$A$415,Códigos!$B$11:$B$415,"Verificar",0)</f>
        <v>NOMBRE 25</v>
      </c>
      <c r="F429" s="1239">
        <v>220000</v>
      </c>
      <c r="G429" s="989">
        <f t="shared" si="15"/>
        <v>599924769</v>
      </c>
      <c r="H429" s="1050" t="s">
        <v>1083</v>
      </c>
      <c r="I429" s="561"/>
      <c r="J429" s="54"/>
    </row>
    <row r="430" spans="1:11" x14ac:dyDescent="0.2">
      <c r="A430" s="1236">
        <v>45926</v>
      </c>
      <c r="B430" s="1233" t="s">
        <v>34</v>
      </c>
      <c r="C430" s="1187">
        <v>46</v>
      </c>
      <c r="D430" s="1279" t="str">
        <f>_xlfn.XLOOKUP(B430,Códigos!$A$489:$A$522,Códigos!$B$489:$B$522,"Verificar",0)</f>
        <v>Recibido por: -Cuentas de cobro -DAFF</v>
      </c>
      <c r="E430" s="1279" t="str">
        <f>_xlfn.XLOOKUP(C430,Códigos!$A$11:$A$415,Códigos!$B$11:$B$415,"Verificar",0)</f>
        <v>NOMBRE 116</v>
      </c>
      <c r="F430" s="1239">
        <v>400000</v>
      </c>
      <c r="G430" s="989">
        <f t="shared" si="15"/>
        <v>600324769</v>
      </c>
      <c r="H430" s="1049" t="s">
        <v>1636</v>
      </c>
      <c r="I430" s="561"/>
      <c r="J430" s="54"/>
    </row>
    <row r="431" spans="1:11" x14ac:dyDescent="0.2">
      <c r="A431" s="1236">
        <v>45930</v>
      </c>
      <c r="B431" s="1233" t="s">
        <v>37</v>
      </c>
      <c r="C431" s="1187">
        <v>5</v>
      </c>
      <c r="D431" s="1279" t="str">
        <f>_xlfn.XLOOKUP(B431,Códigos!$A$489:$A$522,Códigos!$B$489:$B$522,"Verificar",0)</f>
        <v>-Retiros y Traslados de Bancos</v>
      </c>
      <c r="E431" s="1279" t="str">
        <f>_xlfn.XLOOKUP(C431,Códigos!$A$11:$A$415,Códigos!$B$11:$B$415,"Verificar",0)</f>
        <v>NOMBRE 25</v>
      </c>
      <c r="F431" s="1239">
        <v>2000000</v>
      </c>
      <c r="G431" s="989">
        <f t="shared" si="15"/>
        <v>602324769</v>
      </c>
      <c r="H431" s="1049" t="s">
        <v>1038</v>
      </c>
      <c r="I431" s="561"/>
      <c r="J431" s="54"/>
    </row>
    <row r="432" spans="1:11" x14ac:dyDescent="0.2">
      <c r="A432" s="1236">
        <v>45932</v>
      </c>
      <c r="B432" s="1233" t="s">
        <v>37</v>
      </c>
      <c r="C432" s="1187">
        <v>5</v>
      </c>
      <c r="D432" s="1279" t="str">
        <f>_xlfn.XLOOKUP(B432,Códigos!$A$489:$A$522,Códigos!$B$489:$B$522,"Verificar",0)</f>
        <v>-Retiros y Traslados de Bancos</v>
      </c>
      <c r="E432" s="1279" t="str">
        <f>_xlfn.XLOOKUP(C432,Códigos!$A$11:$A$415,Códigos!$B$11:$B$415,"Verificar",0)</f>
        <v>NOMBRE 25</v>
      </c>
      <c r="F432" s="1239">
        <v>139900</v>
      </c>
      <c r="G432" s="989">
        <f t="shared" si="15"/>
        <v>602464669</v>
      </c>
      <c r="H432" s="1050" t="s">
        <v>1595</v>
      </c>
      <c r="I432" s="561"/>
      <c r="J432" s="54"/>
    </row>
    <row r="433" spans="1:10" x14ac:dyDescent="0.2">
      <c r="A433" s="1236">
        <v>45932</v>
      </c>
      <c r="B433" s="1233" t="s">
        <v>37</v>
      </c>
      <c r="C433" s="1187">
        <v>5</v>
      </c>
      <c r="D433" s="1279" t="str">
        <f>_xlfn.XLOOKUP(B433,Códigos!$A$489:$A$522,Códigos!$B$489:$B$522,"Verificar",0)</f>
        <v>-Retiros y Traslados de Bancos</v>
      </c>
      <c r="E433" s="1279" t="str">
        <f>_xlfn.XLOOKUP(C433,Códigos!$A$11:$A$415,Códigos!$B$11:$B$415,"Verificar",0)</f>
        <v>NOMBRE 25</v>
      </c>
      <c r="F433" s="1239">
        <v>220000</v>
      </c>
      <c r="G433" s="989">
        <f t="shared" si="15"/>
        <v>602684669</v>
      </c>
      <c r="H433" s="1050" t="s">
        <v>1083</v>
      </c>
      <c r="I433" s="561"/>
      <c r="J433" s="54"/>
    </row>
    <row r="434" spans="1:10" x14ac:dyDescent="0.2">
      <c r="A434" s="1236">
        <v>45932</v>
      </c>
      <c r="B434" s="1233" t="s">
        <v>37</v>
      </c>
      <c r="C434" s="1187">
        <v>5</v>
      </c>
      <c r="D434" s="1279" t="str">
        <f>_xlfn.XLOOKUP(B434,Códigos!$A$489:$A$522,Códigos!$B$489:$B$522,"Verificar",0)</f>
        <v>-Retiros y Traslados de Bancos</v>
      </c>
      <c r="E434" s="1279" t="str">
        <f>_xlfn.XLOOKUP(C434,Códigos!$A$11:$A$415,Códigos!$B$11:$B$415,"Verificar",0)</f>
        <v>NOMBRE 25</v>
      </c>
      <c r="F434" s="1239">
        <v>660000</v>
      </c>
      <c r="G434" s="989">
        <f t="shared" si="15"/>
        <v>603344669</v>
      </c>
      <c r="H434" s="997" t="s">
        <v>1596</v>
      </c>
      <c r="I434" s="561"/>
      <c r="J434" s="54"/>
    </row>
    <row r="435" spans="1:10" x14ac:dyDescent="0.2">
      <c r="A435" s="1236">
        <v>45932</v>
      </c>
      <c r="B435" s="1233" t="s">
        <v>37</v>
      </c>
      <c r="C435" s="1187">
        <v>5</v>
      </c>
      <c r="D435" s="1279" t="str">
        <f>_xlfn.XLOOKUP(B435,Códigos!$A$489:$A$522,Códigos!$B$489:$B$522,"Verificar",0)</f>
        <v>-Retiros y Traslados de Bancos</v>
      </c>
      <c r="E435" s="1279" t="str">
        <f>_xlfn.XLOOKUP(C435,Códigos!$A$11:$A$415,Códigos!$B$11:$B$415,"Verificar",0)</f>
        <v>NOMBRE 25</v>
      </c>
      <c r="F435" s="1239">
        <v>100000</v>
      </c>
      <c r="G435" s="989">
        <f t="shared" si="15"/>
        <v>603444669</v>
      </c>
      <c r="H435" s="1049" t="s">
        <v>1114</v>
      </c>
      <c r="I435" s="561"/>
      <c r="J435" s="54"/>
    </row>
    <row r="436" spans="1:10" x14ac:dyDescent="0.2">
      <c r="A436" s="1236">
        <v>45932</v>
      </c>
      <c r="B436" s="1233" t="s">
        <v>37</v>
      </c>
      <c r="C436" s="1187">
        <v>5</v>
      </c>
      <c r="D436" s="1279" t="str">
        <f>_xlfn.XLOOKUP(B436,Códigos!$A$489:$A$522,Códigos!$B$489:$B$522,"Verificar",0)</f>
        <v>-Retiros y Traslados de Bancos</v>
      </c>
      <c r="E436" s="1279" t="str">
        <f>_xlfn.XLOOKUP(C436,Códigos!$A$11:$A$415,Códigos!$B$11:$B$415,"Verificar",0)</f>
        <v>NOMBRE 25</v>
      </c>
      <c r="F436" s="1239">
        <v>100000</v>
      </c>
      <c r="G436" s="989">
        <f t="shared" si="15"/>
        <v>603544669</v>
      </c>
      <c r="H436" s="1049" t="s">
        <v>1148</v>
      </c>
      <c r="I436" s="561"/>
      <c r="J436" s="54"/>
    </row>
    <row r="437" spans="1:10" x14ac:dyDescent="0.2">
      <c r="A437" s="1236">
        <v>45932</v>
      </c>
      <c r="B437" s="1233" t="s">
        <v>10</v>
      </c>
      <c r="C437" s="1187">
        <v>262</v>
      </c>
      <c r="D437" s="1279" t="str">
        <f>_xlfn.XLOOKUP(B437,Códigos!$A$489:$A$522,Códigos!$B$489:$B$522,"Verificar",0)</f>
        <v>Recibido por: -Abono a préstamos por Nómina de:</v>
      </c>
      <c r="E437" s="1279" t="str">
        <f>_xlfn.XLOOKUP(C437,Códigos!$A$11:$A$415,Códigos!$B$11:$B$415,"Verificar",0)</f>
        <v>NOMBRE 95</v>
      </c>
      <c r="F437" s="1239">
        <v>200000</v>
      </c>
      <c r="G437" s="989">
        <f t="shared" si="15"/>
        <v>603744669</v>
      </c>
      <c r="H437" s="1049" t="s">
        <v>1149</v>
      </c>
      <c r="I437" s="561"/>
      <c r="J437" s="54"/>
    </row>
    <row r="438" spans="1:10" x14ac:dyDescent="0.2">
      <c r="A438" s="1236">
        <v>45933</v>
      </c>
      <c r="B438" s="1233" t="s">
        <v>37</v>
      </c>
      <c r="C438" s="1187">
        <v>5</v>
      </c>
      <c r="D438" s="1279" t="str">
        <f>_xlfn.XLOOKUP(B438,Códigos!$A$489:$A$522,Códigos!$B$489:$B$522,"Verificar",0)</f>
        <v>-Retiros y Traslados de Bancos</v>
      </c>
      <c r="E438" s="1279" t="str">
        <f>_xlfn.XLOOKUP(C438,Códigos!$A$11:$A$415,Códigos!$B$11:$B$415,"Verificar",0)</f>
        <v>NOMBRE 25</v>
      </c>
      <c r="F438" s="1239">
        <v>220000</v>
      </c>
      <c r="G438" s="989">
        <f t="shared" si="15"/>
        <v>603964669</v>
      </c>
      <c r="H438" s="1050" t="s">
        <v>1083</v>
      </c>
      <c r="I438" s="561"/>
      <c r="J438" s="54"/>
    </row>
    <row r="439" spans="1:10" x14ac:dyDescent="0.2">
      <c r="A439" s="1236">
        <v>45933</v>
      </c>
      <c r="B439" s="1233" t="s">
        <v>37</v>
      </c>
      <c r="C439" s="1187">
        <v>5</v>
      </c>
      <c r="D439" s="1279" t="str">
        <f>_xlfn.XLOOKUP(B439,Códigos!$A$489:$A$522,Códigos!$B$489:$B$522,"Verificar",0)</f>
        <v>-Retiros y Traslados de Bancos</v>
      </c>
      <c r="E439" s="1279" t="str">
        <f>_xlfn.XLOOKUP(C439,Códigos!$A$11:$A$415,Códigos!$B$11:$B$415,"Verificar",0)</f>
        <v>NOMBRE 25</v>
      </c>
      <c r="F439" s="1239">
        <v>2000000</v>
      </c>
      <c r="G439" s="989">
        <f t="shared" si="15"/>
        <v>605964669</v>
      </c>
      <c r="H439" s="1049" t="s">
        <v>1038</v>
      </c>
      <c r="I439" s="561"/>
      <c r="J439" s="54"/>
    </row>
    <row r="440" spans="1:10" x14ac:dyDescent="0.2">
      <c r="A440" s="1236">
        <v>45937</v>
      </c>
      <c r="B440" s="1233" t="s">
        <v>37</v>
      </c>
      <c r="C440" s="1187">
        <v>5</v>
      </c>
      <c r="D440" s="1279" t="str">
        <f>_xlfn.XLOOKUP(B440,Códigos!$A$489:$A$522,Códigos!$B$489:$B$522,"Verificar",0)</f>
        <v>-Retiros y Traslados de Bancos</v>
      </c>
      <c r="E440" s="1279" t="str">
        <f>_xlfn.XLOOKUP(C440,Códigos!$A$11:$A$415,Códigos!$B$11:$B$415,"Verificar",0)</f>
        <v>NOMBRE 25</v>
      </c>
      <c r="F440" s="1239">
        <v>1392400</v>
      </c>
      <c r="G440" s="989">
        <f t="shared" si="15"/>
        <v>607357069</v>
      </c>
      <c r="H440" s="1052" t="s">
        <v>1609</v>
      </c>
      <c r="I440" s="561"/>
      <c r="J440" s="54"/>
    </row>
    <row r="441" spans="1:10" x14ac:dyDescent="0.2">
      <c r="A441" s="1236">
        <v>45937</v>
      </c>
      <c r="B441" s="1233" t="s">
        <v>37</v>
      </c>
      <c r="C441" s="1187">
        <v>5</v>
      </c>
      <c r="D441" s="1279" t="str">
        <f>_xlfn.XLOOKUP(B441,Códigos!$A$489:$A$522,Códigos!$B$489:$B$522,"Verificar",0)</f>
        <v>-Retiros y Traslados de Bancos</v>
      </c>
      <c r="E441" s="1279" t="str">
        <f>_xlfn.XLOOKUP(C441,Códigos!$A$11:$A$415,Códigos!$B$11:$B$415,"Verificar",0)</f>
        <v>NOMBRE 25</v>
      </c>
      <c r="F441" s="1239">
        <v>940500</v>
      </c>
      <c r="G441" s="989">
        <f t="shared" si="15"/>
        <v>608297569</v>
      </c>
      <c r="H441" s="1052" t="s">
        <v>1610</v>
      </c>
      <c r="I441" s="561"/>
      <c r="J441" s="54"/>
    </row>
    <row r="442" spans="1:10" x14ac:dyDescent="0.2">
      <c r="A442" s="1236">
        <v>45937</v>
      </c>
      <c r="B442" s="1233" t="s">
        <v>34</v>
      </c>
      <c r="C442" s="1235">
        <v>367</v>
      </c>
      <c r="D442" s="1279" t="str">
        <f>_xlfn.XLOOKUP(B442,Códigos!$A$489:$A$522,Códigos!$B$489:$B$522,"Verificar",0)</f>
        <v>Recibido por: -Cuentas de cobro -DAFF</v>
      </c>
      <c r="E442" s="1279" t="str">
        <f>_xlfn.XLOOKUP(C442,Códigos!$A$11:$A$415,Códigos!$B$11:$B$415,"Verificar",0)</f>
        <v>NOMBRE 368</v>
      </c>
      <c r="F442" s="1239">
        <v>100000</v>
      </c>
      <c r="G442" s="989">
        <f t="shared" si="15"/>
        <v>608397569</v>
      </c>
      <c r="H442" s="1049" t="s">
        <v>1611</v>
      </c>
      <c r="I442" s="561"/>
      <c r="J442" s="54"/>
    </row>
    <row r="443" spans="1:10" x14ac:dyDescent="0.2">
      <c r="A443" s="1236">
        <v>45939</v>
      </c>
      <c r="B443" s="1233" t="s">
        <v>37</v>
      </c>
      <c r="C443" s="1187">
        <v>5</v>
      </c>
      <c r="D443" s="1279" t="str">
        <f>_xlfn.XLOOKUP(B443,Códigos!$A$489:$A$522,Códigos!$B$489:$B$522,"Verificar",0)</f>
        <v>-Retiros y Traslados de Bancos</v>
      </c>
      <c r="E443" s="1279" t="str">
        <f>_xlfn.XLOOKUP(C443,Códigos!$A$11:$A$415,Códigos!$B$11:$B$415,"Verificar",0)</f>
        <v>NOMBRE 25</v>
      </c>
      <c r="F443" s="1239">
        <v>107000</v>
      </c>
      <c r="G443" s="989">
        <f t="shared" si="15"/>
        <v>608504569</v>
      </c>
      <c r="H443" s="1049" t="s">
        <v>1612</v>
      </c>
      <c r="I443" s="561"/>
      <c r="J443" s="54"/>
    </row>
    <row r="444" spans="1:10" x14ac:dyDescent="0.2">
      <c r="A444" s="1236">
        <v>45939</v>
      </c>
      <c r="B444" s="1233" t="s">
        <v>37</v>
      </c>
      <c r="C444" s="1187">
        <v>5</v>
      </c>
      <c r="D444" s="1279" t="str">
        <f>_xlfn.XLOOKUP(B444,Códigos!$A$489:$A$522,Códigos!$B$489:$B$522,"Verificar",0)</f>
        <v>-Retiros y Traslados de Bancos</v>
      </c>
      <c r="E444" s="1279" t="str">
        <f>_xlfn.XLOOKUP(C444,Códigos!$A$11:$A$415,Códigos!$B$11:$B$415,"Verificar",0)</f>
        <v>NOMBRE 25</v>
      </c>
      <c r="F444" s="1239">
        <v>50000</v>
      </c>
      <c r="G444" s="989">
        <f t="shared" si="15"/>
        <v>608554569</v>
      </c>
      <c r="H444" s="1049" t="s">
        <v>1148</v>
      </c>
      <c r="I444" s="561"/>
      <c r="J444" s="54"/>
    </row>
    <row r="445" spans="1:10" x14ac:dyDescent="0.2">
      <c r="A445" s="1236">
        <v>45939</v>
      </c>
      <c r="B445" s="1233" t="s">
        <v>37</v>
      </c>
      <c r="C445" s="1187">
        <v>5</v>
      </c>
      <c r="D445" s="1279" t="str">
        <f>_xlfn.XLOOKUP(B445,Códigos!$A$489:$A$522,Códigos!$B$489:$B$522,"Verificar",0)</f>
        <v>-Retiros y Traslados de Bancos</v>
      </c>
      <c r="E445" s="1279" t="str">
        <f>_xlfn.XLOOKUP(C445,Códigos!$A$11:$A$415,Códigos!$B$11:$B$415,"Verificar",0)</f>
        <v>NOMBRE 25</v>
      </c>
      <c r="F445" s="1239">
        <v>271600</v>
      </c>
      <c r="G445" s="989">
        <f t="shared" si="15"/>
        <v>608826169</v>
      </c>
      <c r="H445" s="1049" t="s">
        <v>1490</v>
      </c>
      <c r="I445" s="561"/>
      <c r="J445" s="54"/>
    </row>
    <row r="446" spans="1:10" x14ac:dyDescent="0.2">
      <c r="A446" s="1236">
        <v>45939</v>
      </c>
      <c r="B446" s="1233" t="s">
        <v>37</v>
      </c>
      <c r="C446" s="1187">
        <v>5</v>
      </c>
      <c r="D446" s="1279" t="str">
        <f>_xlfn.XLOOKUP(B446,Códigos!$A$489:$A$522,Códigos!$B$489:$B$522,"Verificar",0)</f>
        <v>-Retiros y Traslados de Bancos</v>
      </c>
      <c r="E446" s="1279" t="str">
        <f>_xlfn.XLOOKUP(C446,Códigos!$A$11:$A$415,Códigos!$B$11:$B$415,"Verificar",0)</f>
        <v>NOMBRE 25</v>
      </c>
      <c r="F446" s="1239">
        <v>220000</v>
      </c>
      <c r="G446" s="989">
        <f t="shared" si="15"/>
        <v>609046169</v>
      </c>
      <c r="H446" s="1050" t="s">
        <v>1083</v>
      </c>
      <c r="I446" s="561"/>
      <c r="J446" s="54"/>
    </row>
    <row r="447" spans="1:10" x14ac:dyDescent="0.2">
      <c r="A447" s="1236">
        <v>45939</v>
      </c>
      <c r="B447" s="1233" t="s">
        <v>37</v>
      </c>
      <c r="C447" s="1187">
        <v>5</v>
      </c>
      <c r="D447" s="1279" t="str">
        <f>_xlfn.XLOOKUP(B447,Códigos!$A$489:$A$522,Códigos!$B$489:$B$522,"Verificar",0)</f>
        <v>-Retiros y Traslados de Bancos</v>
      </c>
      <c r="E447" s="1279" t="str">
        <f>_xlfn.XLOOKUP(C447,Códigos!$A$11:$A$415,Códigos!$B$11:$B$415,"Verificar",0)</f>
        <v>NOMBRE 25</v>
      </c>
      <c r="F447" s="1239">
        <v>220000</v>
      </c>
      <c r="G447" s="989">
        <f t="shared" si="15"/>
        <v>609266169</v>
      </c>
      <c r="H447" s="1050" t="s">
        <v>1083</v>
      </c>
      <c r="I447" s="561"/>
      <c r="J447" s="54"/>
    </row>
    <row r="448" spans="1:10" x14ac:dyDescent="0.2">
      <c r="A448" s="1236">
        <v>45939</v>
      </c>
      <c r="B448" s="1233" t="s">
        <v>37</v>
      </c>
      <c r="C448" s="1187">
        <v>5</v>
      </c>
      <c r="D448" s="1279" t="str">
        <f>_xlfn.XLOOKUP(B448,Códigos!$A$489:$A$522,Códigos!$B$489:$B$522,"Verificar",0)</f>
        <v>-Retiros y Traslados de Bancos</v>
      </c>
      <c r="E448" s="1279" t="str">
        <f>_xlfn.XLOOKUP(C448,Códigos!$A$11:$A$415,Códigos!$B$11:$B$415,"Verificar",0)</f>
        <v>NOMBRE 25</v>
      </c>
      <c r="F448" s="1239">
        <v>660000</v>
      </c>
      <c r="G448" s="989">
        <f t="shared" si="15"/>
        <v>609926169</v>
      </c>
      <c r="H448" s="997" t="s">
        <v>1623</v>
      </c>
      <c r="I448" s="561"/>
      <c r="J448" s="54"/>
    </row>
    <row r="449" spans="1:10" x14ac:dyDescent="0.2">
      <c r="A449" s="1236">
        <v>45940</v>
      </c>
      <c r="B449" s="1233" t="s">
        <v>37</v>
      </c>
      <c r="C449" s="1187">
        <v>5</v>
      </c>
      <c r="D449" s="1279" t="str">
        <f>_xlfn.XLOOKUP(B449,Códigos!$A$489:$A$522,Códigos!$B$489:$B$522,"Verificar",0)</f>
        <v>-Retiros y Traslados de Bancos</v>
      </c>
      <c r="E449" s="1279" t="str">
        <f>_xlfn.XLOOKUP(C449,Códigos!$A$11:$A$415,Códigos!$B$11:$B$415,"Verificar",0)</f>
        <v>NOMBRE 25</v>
      </c>
      <c r="F449" s="1239">
        <v>1000000</v>
      </c>
      <c r="G449" s="989">
        <f t="shared" si="15"/>
        <v>610926169</v>
      </c>
      <c r="H449" s="1049" t="s">
        <v>1038</v>
      </c>
      <c r="I449" s="561"/>
      <c r="J449" s="54"/>
    </row>
    <row r="450" spans="1:10" x14ac:dyDescent="0.2">
      <c r="A450" s="1232">
        <v>45945</v>
      </c>
      <c r="B450" s="1233" t="s">
        <v>34</v>
      </c>
      <c r="C450" s="1235">
        <v>306</v>
      </c>
      <c r="D450" s="1279" t="str">
        <f>_xlfn.XLOOKUP(B450,Códigos!$A$489:$A$522,Códigos!$B$489:$B$522,"Verificar",0)</f>
        <v>Recibido por: -Cuentas de cobro -DAFF</v>
      </c>
      <c r="E450" s="1279" t="str">
        <f>_xlfn.XLOOKUP(C450,Códigos!$A$11:$A$415,Códigos!$B$11:$B$415,"Verificar",0)</f>
        <v>NOMBRE 33</v>
      </c>
      <c r="F450" s="1239">
        <v>450000</v>
      </c>
      <c r="G450" s="989">
        <f t="shared" si="15"/>
        <v>611376169</v>
      </c>
      <c r="H450" s="1049" t="s">
        <v>1637</v>
      </c>
      <c r="I450" s="561"/>
      <c r="J450" s="54"/>
    </row>
    <row r="451" spans="1:10" x14ac:dyDescent="0.2">
      <c r="A451" s="1232">
        <v>45945</v>
      </c>
      <c r="B451" s="1233" t="s">
        <v>34</v>
      </c>
      <c r="C451" s="1235">
        <v>95</v>
      </c>
      <c r="D451" s="1279" t="str">
        <f>_xlfn.XLOOKUP(B451,Códigos!$A$489:$A$522,Códigos!$B$489:$B$522,"Verificar",0)</f>
        <v>Recibido por: -Cuentas de cobro -DAFF</v>
      </c>
      <c r="E451" s="1279" t="str">
        <f>_xlfn.XLOOKUP(C451,Códigos!$A$11:$A$415,Códigos!$B$11:$B$415,"Verificar",0)</f>
        <v>NOMBRE 111</v>
      </c>
      <c r="F451" s="1239">
        <v>3000000</v>
      </c>
      <c r="G451" s="989">
        <f t="shared" si="15"/>
        <v>614376169</v>
      </c>
      <c r="H451" s="1049" t="s">
        <v>1638</v>
      </c>
      <c r="I451" s="561"/>
      <c r="J451" s="54"/>
    </row>
    <row r="452" spans="1:10" x14ac:dyDescent="0.2">
      <c r="A452" s="1236">
        <v>45946</v>
      </c>
      <c r="B452" s="1233" t="s">
        <v>37</v>
      </c>
      <c r="C452" s="1187">
        <v>5</v>
      </c>
      <c r="D452" s="1279" t="str">
        <f>_xlfn.XLOOKUP(B452,Códigos!$A$489:$A$522,Códigos!$B$489:$B$522,"Verificar",0)</f>
        <v>-Retiros y Traslados de Bancos</v>
      </c>
      <c r="E452" s="1279" t="str">
        <f>_xlfn.XLOOKUP(C452,Códigos!$A$11:$A$415,Códigos!$B$11:$B$415,"Verificar",0)</f>
        <v>NOMBRE 25</v>
      </c>
      <c r="F452" s="1239">
        <v>174100</v>
      </c>
      <c r="G452" s="989">
        <f t="shared" si="15"/>
        <v>614550269</v>
      </c>
      <c r="H452" s="1049" t="s">
        <v>1489</v>
      </c>
      <c r="I452" s="561"/>
      <c r="J452" s="54"/>
    </row>
    <row r="453" spans="1:10" x14ac:dyDescent="0.2">
      <c r="A453" s="1236">
        <v>45946</v>
      </c>
      <c r="B453" s="1233" t="s">
        <v>37</v>
      </c>
      <c r="C453" s="1187">
        <v>3</v>
      </c>
      <c r="D453" s="1279" t="str">
        <f>_xlfn.XLOOKUP(B453,Códigos!$A$489:$A$522,Códigos!$B$489:$B$522,"Verificar",0)</f>
        <v>-Retiros y Traslados de Bancos</v>
      </c>
      <c r="E453" s="1279" t="str">
        <f>_xlfn.XLOOKUP(C453,Códigos!$A$11:$A$415,Códigos!$B$11:$B$415,"Verificar",0)</f>
        <v>NOMBRE 24</v>
      </c>
      <c r="F453" s="1239">
        <v>1112000</v>
      </c>
      <c r="G453" s="989">
        <f t="shared" si="15"/>
        <v>615662269</v>
      </c>
      <c r="H453" s="1049" t="s">
        <v>1628</v>
      </c>
      <c r="I453" s="561"/>
      <c r="J453" s="54"/>
    </row>
    <row r="454" spans="1:10" x14ac:dyDescent="0.2">
      <c r="A454" s="1236">
        <v>45946</v>
      </c>
      <c r="B454" s="1233" t="s">
        <v>37</v>
      </c>
      <c r="C454" s="1187">
        <v>3</v>
      </c>
      <c r="D454" s="1279" t="str">
        <f>_xlfn.XLOOKUP(B454,Códigos!$A$489:$A$522,Códigos!$B$489:$B$522,"Verificar",0)</f>
        <v>-Retiros y Traslados de Bancos</v>
      </c>
      <c r="E454" s="1279" t="str">
        <f>_xlfn.XLOOKUP(C454,Códigos!$A$11:$A$415,Códigos!$B$11:$B$415,"Verificar",0)</f>
        <v>NOMBRE 24</v>
      </c>
      <c r="F454" s="1239">
        <v>220000</v>
      </c>
      <c r="G454" s="989">
        <f t="shared" si="15"/>
        <v>615882269</v>
      </c>
      <c r="H454" s="1050" t="s">
        <v>1083</v>
      </c>
      <c r="I454" s="561"/>
      <c r="J454" s="54"/>
    </row>
    <row r="455" spans="1:10" x14ac:dyDescent="0.2">
      <c r="A455" s="1236">
        <v>45946</v>
      </c>
      <c r="B455" s="1233" t="s">
        <v>37</v>
      </c>
      <c r="C455" s="1187">
        <v>3</v>
      </c>
      <c r="D455" s="1279" t="str">
        <f>_xlfn.XLOOKUP(B455,Códigos!$A$489:$A$522,Códigos!$B$489:$B$522,"Verificar",0)</f>
        <v>-Retiros y Traslados de Bancos</v>
      </c>
      <c r="E455" s="1279" t="str">
        <f>_xlfn.XLOOKUP(C455,Códigos!$A$11:$A$415,Códigos!$B$11:$B$415,"Verificar",0)</f>
        <v>NOMBRE 24</v>
      </c>
      <c r="F455" s="1239">
        <v>660000</v>
      </c>
      <c r="G455" s="989">
        <f t="shared" si="15"/>
        <v>616542269</v>
      </c>
      <c r="H455" s="997" t="s">
        <v>1630</v>
      </c>
      <c r="I455" s="561"/>
      <c r="J455" s="54"/>
    </row>
    <row r="456" spans="1:10" x14ac:dyDescent="0.2">
      <c r="A456" s="1236">
        <v>45946</v>
      </c>
      <c r="B456" s="1233" t="s">
        <v>34</v>
      </c>
      <c r="C456" s="1235">
        <v>62</v>
      </c>
      <c r="D456" s="1279" t="str">
        <f>_xlfn.XLOOKUP(B456,Códigos!$A$489:$A$522,Códigos!$B$489:$B$522,"Verificar",0)</f>
        <v>Recibido por: -Cuentas de cobro -DAFF</v>
      </c>
      <c r="E456" s="1279" t="str">
        <f>_xlfn.XLOOKUP(C456,Códigos!$A$11:$A$415,Códigos!$B$11:$B$415,"Verificar",0)</f>
        <v>NOMBRE 42</v>
      </c>
      <c r="F456" s="1239">
        <v>1870000</v>
      </c>
      <c r="G456" s="989">
        <f t="shared" si="15"/>
        <v>618412269</v>
      </c>
      <c r="H456" s="1049" t="s">
        <v>1639</v>
      </c>
      <c r="I456" s="561"/>
      <c r="J456" s="54"/>
    </row>
    <row r="457" spans="1:10" x14ac:dyDescent="0.2">
      <c r="A457" s="1236">
        <v>45946</v>
      </c>
      <c r="B457" s="1233" t="s">
        <v>37</v>
      </c>
      <c r="C457" s="1187">
        <v>3</v>
      </c>
      <c r="D457" s="1279" t="str">
        <f>_xlfn.XLOOKUP(B457,Códigos!$A$489:$A$522,Códigos!$B$489:$B$522,"Verificar",0)</f>
        <v>-Retiros y Traslados de Bancos</v>
      </c>
      <c r="E457" s="1279" t="str">
        <f>_xlfn.XLOOKUP(C457,Códigos!$A$11:$A$415,Códigos!$B$11:$B$415,"Verificar",0)</f>
        <v>NOMBRE 24</v>
      </c>
      <c r="F457" s="1239">
        <v>650000</v>
      </c>
      <c r="G457" s="989">
        <f t="shared" si="15"/>
        <v>619062269</v>
      </c>
      <c r="H457" s="1049" t="s">
        <v>1629</v>
      </c>
      <c r="I457" s="561"/>
      <c r="J457" s="54"/>
    </row>
    <row r="458" spans="1:10" x14ac:dyDescent="0.2">
      <c r="A458" s="1236">
        <v>45946</v>
      </c>
      <c r="B458" s="1233" t="s">
        <v>37</v>
      </c>
      <c r="C458" s="1187">
        <v>3</v>
      </c>
      <c r="D458" s="1279" t="str">
        <f>_xlfn.XLOOKUP(B458,Códigos!$A$489:$A$522,Códigos!$B$489:$B$522,"Verificar",0)</f>
        <v>-Retiros y Traslados de Bancos</v>
      </c>
      <c r="E458" s="1279" t="str">
        <f>_xlfn.XLOOKUP(C458,Códigos!$A$11:$A$415,Códigos!$B$11:$B$415,"Verificar",0)</f>
        <v>NOMBRE 24</v>
      </c>
      <c r="F458" s="1239">
        <v>1000000</v>
      </c>
      <c r="G458" s="989">
        <f t="shared" si="15"/>
        <v>620062269</v>
      </c>
      <c r="H458" s="1049" t="s">
        <v>1038</v>
      </c>
      <c r="I458" s="561"/>
      <c r="J458" s="54"/>
    </row>
    <row r="459" spans="1:10" x14ac:dyDescent="0.2">
      <c r="A459" s="1236">
        <v>45947</v>
      </c>
      <c r="B459" s="1233" t="s">
        <v>37</v>
      </c>
      <c r="C459" s="1187">
        <v>5</v>
      </c>
      <c r="D459" s="1279" t="str">
        <f>_xlfn.XLOOKUP(B459,Códigos!$A$489:$A$522,Códigos!$B$489:$B$522,"Verificar",0)</f>
        <v>-Retiros y Traslados de Bancos</v>
      </c>
      <c r="E459" s="1279" t="str">
        <f>_xlfn.XLOOKUP(C459,Códigos!$A$11:$A$415,Códigos!$B$11:$B$415,"Verificar",0)</f>
        <v>NOMBRE 25</v>
      </c>
      <c r="F459" s="1239">
        <v>220000</v>
      </c>
      <c r="G459" s="989">
        <f t="shared" si="15"/>
        <v>620282269</v>
      </c>
      <c r="H459" s="1050" t="s">
        <v>1083</v>
      </c>
      <c r="I459" s="561"/>
      <c r="J459" s="54"/>
    </row>
    <row r="460" spans="1:10" x14ac:dyDescent="0.2">
      <c r="A460" s="1232">
        <v>45947</v>
      </c>
      <c r="B460" s="1233" t="s">
        <v>34</v>
      </c>
      <c r="C460" s="1235">
        <v>218</v>
      </c>
      <c r="D460" s="1279" t="str">
        <f>_xlfn.XLOOKUP(B460,Códigos!$A$489:$A$522,Códigos!$B$489:$B$522,"Verificar",0)</f>
        <v>Recibido por: -Cuentas de cobro -DAFF</v>
      </c>
      <c r="E460" s="1279" t="str">
        <f>_xlfn.XLOOKUP(C460,Códigos!$A$11:$A$415,Códigos!$B$11:$B$415,"Verificar",0)</f>
        <v>NOMBRE 32</v>
      </c>
      <c r="F460" s="1239">
        <v>250000</v>
      </c>
      <c r="G460" s="989">
        <f t="shared" si="15"/>
        <v>620532269</v>
      </c>
      <c r="H460" s="1049" t="s">
        <v>1640</v>
      </c>
      <c r="I460" s="561"/>
      <c r="J460" s="54"/>
    </row>
    <row r="461" spans="1:10" x14ac:dyDescent="0.2">
      <c r="A461" s="1232">
        <v>45948</v>
      </c>
      <c r="B461" s="1233" t="s">
        <v>34</v>
      </c>
      <c r="C461" s="1235">
        <v>48</v>
      </c>
      <c r="D461" s="1279" t="str">
        <f>_xlfn.XLOOKUP(B461,Códigos!$A$489:$A$522,Códigos!$B$489:$B$522,"Verificar",0)</f>
        <v>Recibido por: -Cuentas de cobro -DAFF</v>
      </c>
      <c r="E461" s="1279" t="str">
        <f>_xlfn.XLOOKUP(C461,Códigos!$A$11:$A$415,Códigos!$B$11:$B$415,"Verificar",0)</f>
        <v>NOMBRE 14</v>
      </c>
      <c r="F461" s="1239">
        <v>580000</v>
      </c>
      <c r="G461" s="989">
        <f t="shared" si="15"/>
        <v>621112269</v>
      </c>
      <c r="H461" s="1049" t="s">
        <v>1641</v>
      </c>
      <c r="I461" s="561"/>
      <c r="J461" s="54"/>
    </row>
    <row r="462" spans="1:10" x14ac:dyDescent="0.2">
      <c r="A462" s="1232">
        <v>45950</v>
      </c>
      <c r="B462" s="1233" t="s">
        <v>34</v>
      </c>
      <c r="C462" s="1235">
        <v>272</v>
      </c>
      <c r="D462" s="1279" t="str">
        <f>_xlfn.XLOOKUP(B462,Códigos!$A$489:$A$522,Códigos!$B$489:$B$522,"Verificar",0)</f>
        <v>Recibido por: -Cuentas de cobro -DAFF</v>
      </c>
      <c r="E462" s="1279" t="str">
        <f>_xlfn.XLOOKUP(C462,Códigos!$A$11:$A$415,Códigos!$B$11:$B$415,"Verificar",0)</f>
        <v>NOMBRE 81</v>
      </c>
      <c r="F462" s="1239">
        <v>350000</v>
      </c>
      <c r="G462" s="989">
        <f t="shared" si="15"/>
        <v>621462269</v>
      </c>
      <c r="H462" s="1049" t="s">
        <v>1642</v>
      </c>
      <c r="I462" s="561"/>
      <c r="J462" s="54"/>
    </row>
    <row r="463" spans="1:10" x14ac:dyDescent="0.2">
      <c r="A463" s="1237">
        <v>45951</v>
      </c>
      <c r="B463" s="1233" t="s">
        <v>37</v>
      </c>
      <c r="C463" s="1187">
        <v>5</v>
      </c>
      <c r="D463" s="1279" t="str">
        <f>_xlfn.XLOOKUP(B463,Códigos!$A$489:$A$522,Códigos!$B$489:$B$522,"Verificar",0)</f>
        <v>-Retiros y Traslados de Bancos</v>
      </c>
      <c r="E463" s="1279" t="str">
        <f>_xlfn.XLOOKUP(C463,Códigos!$A$11:$A$415,Códigos!$B$11:$B$415,"Verificar",0)</f>
        <v>NOMBRE 25</v>
      </c>
      <c r="F463" s="1343">
        <v>603000</v>
      </c>
      <c r="G463" s="989">
        <f t="shared" si="15"/>
        <v>622065269</v>
      </c>
      <c r="H463" s="1344" t="s">
        <v>1317</v>
      </c>
      <c r="I463" s="561"/>
      <c r="J463" s="54"/>
    </row>
    <row r="464" spans="1:10" x14ac:dyDescent="0.2">
      <c r="A464" s="1237">
        <v>45951</v>
      </c>
      <c r="B464" s="1233" t="s">
        <v>37</v>
      </c>
      <c r="C464" s="1187">
        <v>5</v>
      </c>
      <c r="D464" s="1279" t="str">
        <f>_xlfn.XLOOKUP(B464,Códigos!$A$489:$A$522,Códigos!$B$489:$B$522,"Verificar",0)</f>
        <v>-Retiros y Traslados de Bancos</v>
      </c>
      <c r="E464" s="1279" t="str">
        <f>_xlfn.XLOOKUP(C464,Códigos!$A$11:$A$415,Códigos!$B$11:$B$415,"Verificar",0)</f>
        <v>NOMBRE 25</v>
      </c>
      <c r="F464" s="1239">
        <f>295700+425700+360800</f>
        <v>1082200</v>
      </c>
      <c r="G464" s="989">
        <f t="shared" si="15"/>
        <v>623147469</v>
      </c>
      <c r="H464" s="1049" t="s">
        <v>1107</v>
      </c>
      <c r="I464" s="561"/>
      <c r="J464" s="54"/>
    </row>
    <row r="465" spans="1:10" x14ac:dyDescent="0.2">
      <c r="A465" s="1237">
        <v>45951</v>
      </c>
      <c r="B465" s="1233" t="s">
        <v>34</v>
      </c>
      <c r="C465" s="1235">
        <v>252</v>
      </c>
      <c r="D465" s="1279" t="str">
        <f>_xlfn.XLOOKUP(B465,Códigos!$A$489:$A$522,Códigos!$B$489:$B$522,"Verificar",0)</f>
        <v>Recibido por: -Cuentas de cobro -DAFF</v>
      </c>
      <c r="E465" s="1279" t="str">
        <f>_xlfn.XLOOKUP(C465,Códigos!$A$11:$A$415,Códigos!$B$11:$B$415,"Verificar",0)</f>
        <v>NOMBRE 219</v>
      </c>
      <c r="F465" s="1239">
        <v>160000</v>
      </c>
      <c r="G465" s="989">
        <f t="shared" si="15"/>
        <v>623307469</v>
      </c>
      <c r="H465" s="1049" t="s">
        <v>1646</v>
      </c>
      <c r="I465" s="561"/>
      <c r="J465" s="54"/>
    </row>
    <row r="466" spans="1:10" x14ac:dyDescent="0.2">
      <c r="A466" s="1237">
        <v>45952</v>
      </c>
      <c r="B466" s="1233" t="s">
        <v>37</v>
      </c>
      <c r="C466" s="1187">
        <v>5</v>
      </c>
      <c r="D466" s="1279" t="str">
        <f>_xlfn.XLOOKUP(B466,Códigos!$A$489:$A$522,Códigos!$B$489:$B$522,"Verificar",0)</f>
        <v>-Retiros y Traslados de Bancos</v>
      </c>
      <c r="E466" s="1279" t="str">
        <f>_xlfn.XLOOKUP(C466,Códigos!$A$11:$A$415,Códigos!$B$11:$B$415,"Verificar",0)</f>
        <v>NOMBRE 25</v>
      </c>
      <c r="F466" s="1239">
        <v>129700</v>
      </c>
      <c r="G466" s="989">
        <f t="shared" si="15"/>
        <v>623437169</v>
      </c>
      <c r="H466" s="1049" t="s">
        <v>1486</v>
      </c>
      <c r="I466" s="561"/>
      <c r="J466" s="54"/>
    </row>
    <row r="467" spans="1:10" x14ac:dyDescent="0.2">
      <c r="A467" s="1237">
        <v>45953</v>
      </c>
      <c r="B467" s="1233" t="s">
        <v>37</v>
      </c>
      <c r="C467" s="1187">
        <v>5</v>
      </c>
      <c r="D467" s="1279" t="str">
        <f>_xlfn.XLOOKUP(B467,Códigos!$A$489:$A$522,Códigos!$B$489:$B$522,"Verificar",0)</f>
        <v>-Retiros y Traslados de Bancos</v>
      </c>
      <c r="E467" s="1279" t="str">
        <f>_xlfn.XLOOKUP(C467,Códigos!$A$11:$A$415,Códigos!$B$11:$B$415,"Verificar",0)</f>
        <v>NOMBRE 25</v>
      </c>
      <c r="F467" s="1239">
        <v>464341</v>
      </c>
      <c r="G467" s="989">
        <f t="shared" si="15"/>
        <v>623901510</v>
      </c>
      <c r="H467" s="1049" t="s">
        <v>1497</v>
      </c>
      <c r="I467" s="561"/>
      <c r="J467" s="54"/>
    </row>
    <row r="468" spans="1:10" x14ac:dyDescent="0.2">
      <c r="A468" s="1237">
        <v>45953</v>
      </c>
      <c r="B468" s="1233" t="s">
        <v>37</v>
      </c>
      <c r="C468" s="1187">
        <v>5</v>
      </c>
      <c r="D468" s="1279" t="str">
        <f>_xlfn.XLOOKUP(B468,Códigos!$A$489:$A$522,Códigos!$B$489:$B$522,"Verificar",0)</f>
        <v>-Retiros y Traslados de Bancos</v>
      </c>
      <c r="E468" s="1279" t="str">
        <f>_xlfn.XLOOKUP(C468,Códigos!$A$11:$A$415,Códigos!$B$11:$B$415,"Verificar",0)</f>
        <v>NOMBRE 25</v>
      </c>
      <c r="F468" s="1239">
        <v>350000</v>
      </c>
      <c r="G468" s="989">
        <f t="shared" si="15"/>
        <v>624251510</v>
      </c>
      <c r="H468" s="1274" t="s">
        <v>1587</v>
      </c>
      <c r="I468" s="561"/>
      <c r="J468" s="54"/>
    </row>
    <row r="469" spans="1:10" x14ac:dyDescent="0.2">
      <c r="A469" s="1237">
        <v>45953</v>
      </c>
      <c r="B469" s="1233" t="s">
        <v>37</v>
      </c>
      <c r="C469" s="1187">
        <v>5</v>
      </c>
      <c r="D469" s="1279" t="str">
        <f>_xlfn.XLOOKUP(B469,Códigos!$A$489:$A$522,Códigos!$B$489:$B$522,"Verificar",0)</f>
        <v>-Retiros y Traslados de Bancos</v>
      </c>
      <c r="E469" s="1279" t="str">
        <f>_xlfn.XLOOKUP(C469,Códigos!$A$11:$A$415,Códigos!$B$11:$B$415,"Verificar",0)</f>
        <v>NOMBRE 25</v>
      </c>
      <c r="F469" s="1239">
        <v>200000</v>
      </c>
      <c r="G469" s="989">
        <f t="shared" si="15"/>
        <v>624451510</v>
      </c>
      <c r="H469" s="1274" t="s">
        <v>1528</v>
      </c>
      <c r="I469" s="561"/>
      <c r="J469" s="54"/>
    </row>
    <row r="470" spans="1:10" x14ac:dyDescent="0.2">
      <c r="A470" s="1237">
        <v>45953</v>
      </c>
      <c r="B470" s="1233" t="s">
        <v>37</v>
      </c>
      <c r="C470" s="1187">
        <v>3</v>
      </c>
      <c r="D470" s="1279" t="str">
        <f>_xlfn.XLOOKUP(B470,Códigos!$A$489:$A$522,Códigos!$B$489:$B$522,"Verificar",0)</f>
        <v>-Retiros y Traslados de Bancos</v>
      </c>
      <c r="E470" s="1279" t="str">
        <f>_xlfn.XLOOKUP(C470,Códigos!$A$11:$A$415,Códigos!$B$11:$B$415,"Verificar",0)</f>
        <v>NOMBRE 24</v>
      </c>
      <c r="F470" s="1239">
        <v>220000</v>
      </c>
      <c r="G470" s="989">
        <f t="shared" si="15"/>
        <v>624671510</v>
      </c>
      <c r="H470" s="1050" t="s">
        <v>1083</v>
      </c>
      <c r="I470" s="561"/>
      <c r="J470" s="54"/>
    </row>
    <row r="471" spans="1:10" x14ac:dyDescent="0.2">
      <c r="A471" s="1237">
        <v>45953</v>
      </c>
      <c r="B471" s="1233" t="s">
        <v>37</v>
      </c>
      <c r="C471" s="1187">
        <v>3</v>
      </c>
      <c r="D471" s="1279" t="str">
        <f>_xlfn.XLOOKUP(B471,Códigos!$A$489:$A$522,Códigos!$B$489:$B$522,"Verificar",0)</f>
        <v>-Retiros y Traslados de Bancos</v>
      </c>
      <c r="E471" s="1279" t="str">
        <f>_xlfn.XLOOKUP(C471,Códigos!$A$11:$A$415,Códigos!$B$11:$B$415,"Verificar",0)</f>
        <v>NOMBRE 24</v>
      </c>
      <c r="F471" s="1239">
        <v>530000</v>
      </c>
      <c r="G471" s="989">
        <f t="shared" si="15"/>
        <v>625201510</v>
      </c>
      <c r="H471" s="997" t="s">
        <v>1648</v>
      </c>
      <c r="I471" s="561"/>
      <c r="J471" s="54"/>
    </row>
    <row r="472" spans="1:10" x14ac:dyDescent="0.2">
      <c r="A472" s="1237">
        <v>45953</v>
      </c>
      <c r="B472" s="1233" t="s">
        <v>37</v>
      </c>
      <c r="C472" s="1187">
        <v>3</v>
      </c>
      <c r="D472" s="1279" t="str">
        <f>_xlfn.XLOOKUP(B472,Códigos!$A$489:$A$522,Códigos!$B$489:$B$522,"Verificar",0)</f>
        <v>-Retiros y Traslados de Bancos</v>
      </c>
      <c r="E472" s="1279" t="str">
        <f>_xlfn.XLOOKUP(C472,Códigos!$A$11:$A$415,Códigos!$B$11:$B$415,"Verificar",0)</f>
        <v>NOMBRE 24</v>
      </c>
      <c r="F472" s="1239">
        <v>22000</v>
      </c>
      <c r="G472" s="989">
        <f t="shared" si="15"/>
        <v>625223510</v>
      </c>
      <c r="H472" s="1049" t="s">
        <v>1591</v>
      </c>
      <c r="I472" s="561"/>
      <c r="J472" s="54"/>
    </row>
    <row r="473" spans="1:10" x14ac:dyDescent="0.2">
      <c r="A473" s="1237">
        <v>45953</v>
      </c>
      <c r="B473" s="1233" t="s">
        <v>34</v>
      </c>
      <c r="C473" s="1235">
        <v>89</v>
      </c>
      <c r="D473" s="1279" t="str">
        <f>_xlfn.XLOOKUP(B473,Códigos!$A$489:$A$522,Códigos!$B$489:$B$522,"Verificar",0)</f>
        <v>Recibido por: -Cuentas de cobro -DAFF</v>
      </c>
      <c r="E473" s="1279" t="str">
        <f>_xlfn.XLOOKUP(C473,Códigos!$A$11:$A$415,Códigos!$B$11:$B$415,"Verificar",0)</f>
        <v>NOMBRE 226</v>
      </c>
      <c r="F473" s="1239">
        <v>400000</v>
      </c>
      <c r="G473" s="989">
        <f t="shared" si="15"/>
        <v>625623510</v>
      </c>
      <c r="H473" s="1049" t="s">
        <v>1649</v>
      </c>
      <c r="I473" s="561"/>
      <c r="J473" s="54"/>
    </row>
    <row r="474" spans="1:10" x14ac:dyDescent="0.2">
      <c r="A474" s="1237">
        <v>45953</v>
      </c>
      <c r="B474" s="1233" t="s">
        <v>34</v>
      </c>
      <c r="C474" s="1235">
        <v>24</v>
      </c>
      <c r="D474" s="1279" t="str">
        <f>_xlfn.XLOOKUP(B474,Códigos!$A$489:$A$522,Códigos!$B$489:$B$522,"Verificar",0)</f>
        <v>Recibido por: -Cuentas de cobro -DAFF</v>
      </c>
      <c r="E474" s="1279" t="str">
        <f>_xlfn.XLOOKUP(C474,Códigos!$A$11:$A$415,Códigos!$B$11:$B$415,"Verificar",0)</f>
        <v>NOMBRE 132</v>
      </c>
      <c r="F474" s="1239">
        <v>470000</v>
      </c>
      <c r="G474" s="989">
        <f t="shared" ref="G474" si="16">+G473+F474</f>
        <v>626093510</v>
      </c>
      <c r="H474" s="1049" t="s">
        <v>1650</v>
      </c>
      <c r="I474" s="561"/>
      <c r="J474" s="54"/>
    </row>
    <row r="475" spans="1:10" x14ac:dyDescent="0.2">
      <c r="A475" s="1237">
        <v>45955</v>
      </c>
      <c r="B475" s="1233" t="s">
        <v>34</v>
      </c>
      <c r="C475" s="1235">
        <v>351</v>
      </c>
      <c r="D475" s="1279" t="str">
        <f>_xlfn.XLOOKUP(B475,Códigos!$A$489:$A$522,Códigos!$B$489:$B$522,"Verificar",0)</f>
        <v>Recibido por: -Cuentas de cobro -DAFF</v>
      </c>
      <c r="E475" s="1279" t="str">
        <f>_xlfn.XLOOKUP(C475,Códigos!$A$11:$A$415,Códigos!$B$11:$B$415,"Verificar",0)</f>
        <v>NOMBRE 198</v>
      </c>
      <c r="F475" s="1239">
        <v>890000</v>
      </c>
      <c r="G475" s="989">
        <f t="shared" ref="G475" si="17">+G474+F475</f>
        <v>626983510</v>
      </c>
      <c r="H475" s="1049" t="s">
        <v>1651</v>
      </c>
      <c r="I475" s="561"/>
      <c r="J475" s="54"/>
    </row>
    <row r="476" spans="1:10" x14ac:dyDescent="0.2">
      <c r="A476" s="1237">
        <v>45957</v>
      </c>
      <c r="B476" s="1233" t="s">
        <v>37</v>
      </c>
      <c r="C476" s="1187">
        <v>5</v>
      </c>
      <c r="D476" s="1279" t="str">
        <f>_xlfn.XLOOKUP(B476,Códigos!$A$489:$A$522,Códigos!$B$489:$B$522,"Verificar",0)</f>
        <v>-Retiros y Traslados de Bancos</v>
      </c>
      <c r="E476" s="1279" t="str">
        <f>_xlfn.XLOOKUP(C476,Códigos!$A$11:$A$415,Códigos!$B$11:$B$415,"Verificar",0)</f>
        <v>NOMBRE 25</v>
      </c>
      <c r="F476" s="1239">
        <v>220000</v>
      </c>
      <c r="G476" s="989">
        <f t="shared" ref="G476:G477" si="18">+G475+F476</f>
        <v>627203510</v>
      </c>
      <c r="H476" s="1050" t="s">
        <v>1083</v>
      </c>
      <c r="I476" s="561"/>
      <c r="J476" s="54"/>
    </row>
    <row r="477" spans="1:10" x14ac:dyDescent="0.2">
      <c r="A477" s="1237">
        <v>45957</v>
      </c>
      <c r="B477" s="1233" t="s">
        <v>34</v>
      </c>
      <c r="C477" s="1235">
        <v>77</v>
      </c>
      <c r="D477" s="1279" t="str">
        <f>_xlfn.XLOOKUP(B477,Códigos!$A$489:$A$522,Códigos!$B$489:$B$522,"Verificar",0)</f>
        <v>Recibido por: -Cuentas de cobro -DAFF</v>
      </c>
      <c r="E477" s="1279" t="str">
        <f>_xlfn.XLOOKUP(C477,Códigos!$A$11:$A$415,Códigos!$B$11:$B$415,"Verificar",0)</f>
        <v>NOMBRE 62</v>
      </c>
      <c r="F477" s="1239">
        <v>430000</v>
      </c>
      <c r="G477" s="989">
        <f t="shared" si="18"/>
        <v>627633510</v>
      </c>
      <c r="H477" s="1049" t="s">
        <v>1652</v>
      </c>
      <c r="I477" s="561"/>
      <c r="J477" s="54"/>
    </row>
    <row r="478" spans="1:10" x14ac:dyDescent="0.2">
      <c r="A478" s="1237">
        <v>45957</v>
      </c>
      <c r="B478" s="1233" t="s">
        <v>34</v>
      </c>
      <c r="C478" s="1235">
        <v>217</v>
      </c>
      <c r="D478" s="1279" t="str">
        <f>_xlfn.XLOOKUP(B478,Códigos!$A$489:$A$522,Códigos!$B$489:$B$522,"Verificar",0)</f>
        <v>Recibido por: -Cuentas de cobro -DAFF</v>
      </c>
      <c r="E478" s="1279" t="str">
        <f>_xlfn.XLOOKUP(C478,Códigos!$A$11:$A$415,Códigos!$B$11:$B$415,"Verificar",0)</f>
        <v>NOMBRE 5</v>
      </c>
      <c r="F478" s="1239">
        <v>330000</v>
      </c>
      <c r="G478" s="989">
        <f t="shared" si="15"/>
        <v>627963510</v>
      </c>
      <c r="H478" s="1049" t="s">
        <v>1653</v>
      </c>
      <c r="I478" s="561"/>
      <c r="J478" s="54"/>
    </row>
    <row r="479" spans="1:10" x14ac:dyDescent="0.2">
      <c r="A479" s="1237">
        <v>45957</v>
      </c>
      <c r="B479" s="1233" t="s">
        <v>37</v>
      </c>
      <c r="C479" s="1187">
        <v>5</v>
      </c>
      <c r="D479" s="1279" t="str">
        <f>_xlfn.XLOOKUP(B479,Códigos!$A$489:$A$522,Códigos!$B$489:$B$522,"Verificar",0)</f>
        <v>-Retiros y Traslados de Bancos</v>
      </c>
      <c r="E479" s="1279" t="str">
        <f>_xlfn.XLOOKUP(C479,Códigos!$A$11:$A$415,Códigos!$B$11:$B$415,"Verificar",0)</f>
        <v>NOMBRE 25</v>
      </c>
      <c r="F479" s="1239">
        <v>500000</v>
      </c>
      <c r="G479" s="989">
        <f t="shared" si="15"/>
        <v>628463510</v>
      </c>
      <c r="H479" s="1049" t="s">
        <v>1654</v>
      </c>
      <c r="I479" s="561"/>
      <c r="J479" s="54"/>
    </row>
    <row r="480" spans="1:10" x14ac:dyDescent="0.2">
      <c r="A480" s="1237">
        <v>45957</v>
      </c>
      <c r="B480" s="1233" t="s">
        <v>34</v>
      </c>
      <c r="C480" s="1187">
        <v>299</v>
      </c>
      <c r="D480" s="1279" t="str">
        <f>_xlfn.XLOOKUP(B480,Códigos!$A$489:$A$522,Códigos!$B$489:$B$522,"Verificar",0)</f>
        <v>Recibido por: -Cuentas de cobro -DAFF</v>
      </c>
      <c r="E480" s="1279" t="str">
        <f>_xlfn.XLOOKUP(C480,Códigos!$A$11:$A$415,Códigos!$B$11:$B$415,"Verificar",0)</f>
        <v>NOMBRE 76</v>
      </c>
      <c r="F480" s="1239">
        <v>640000</v>
      </c>
      <c r="G480" s="989">
        <f t="shared" si="15"/>
        <v>629103510</v>
      </c>
      <c r="H480" s="1049" t="s">
        <v>1671</v>
      </c>
      <c r="I480" s="561"/>
      <c r="J480" s="54"/>
    </row>
    <row r="481" spans="1:10" x14ac:dyDescent="0.2">
      <c r="A481" s="1237">
        <v>45957</v>
      </c>
      <c r="B481" s="1233" t="s">
        <v>37</v>
      </c>
      <c r="C481" s="1187">
        <v>3</v>
      </c>
      <c r="D481" s="1279" t="str">
        <f>_xlfn.XLOOKUP(B481,Códigos!$A$489:$A$522,Códigos!$B$489:$B$522,"Verificar",0)</f>
        <v>-Retiros y Traslados de Bancos</v>
      </c>
      <c r="E481" s="1279" t="str">
        <f>_xlfn.XLOOKUP(C481,Códigos!$A$11:$A$415,Códigos!$B$11:$B$415,"Verificar",0)</f>
        <v>NOMBRE 24</v>
      </c>
      <c r="F481" s="1239">
        <v>46073</v>
      </c>
      <c r="G481" s="989">
        <f t="shared" si="15"/>
        <v>629149583</v>
      </c>
      <c r="H481" s="1049" t="s">
        <v>1518</v>
      </c>
      <c r="I481" s="561"/>
      <c r="J481" s="54"/>
    </row>
    <row r="482" spans="1:10" x14ac:dyDescent="0.2">
      <c r="A482" s="1237">
        <v>45958</v>
      </c>
      <c r="B482" s="1233" t="s">
        <v>34</v>
      </c>
      <c r="C482" s="1235">
        <v>68</v>
      </c>
      <c r="D482" s="1279" t="str">
        <f>_xlfn.XLOOKUP(B482,Códigos!$A$489:$A$522,Códigos!$B$489:$B$522,"Verificar",0)</f>
        <v>Recibido por: -Cuentas de cobro -DAFF</v>
      </c>
      <c r="E482" s="1279" t="str">
        <f>_xlfn.XLOOKUP(C482,Códigos!$A$11:$A$415,Códigos!$B$11:$B$415,"Verificar",0)</f>
        <v>NOMBRE 47</v>
      </c>
      <c r="F482" s="1239">
        <v>470000</v>
      </c>
      <c r="G482" s="989">
        <f t="shared" si="15"/>
        <v>629619583</v>
      </c>
      <c r="H482" s="1049" t="s">
        <v>1672</v>
      </c>
      <c r="I482" s="561"/>
      <c r="J482" s="54"/>
    </row>
    <row r="483" spans="1:10" x14ac:dyDescent="0.2">
      <c r="A483" s="1237">
        <v>45958</v>
      </c>
      <c r="B483" s="1233" t="s">
        <v>34</v>
      </c>
      <c r="C483" s="1187">
        <v>242</v>
      </c>
      <c r="D483" s="1279" t="str">
        <f>_xlfn.XLOOKUP(B483,Códigos!$A$489:$A$522,Códigos!$B$489:$B$522,"Verificar",0)</f>
        <v>Recibido por: -Cuentas de cobro -DAFF</v>
      </c>
      <c r="E483" s="1279" t="str">
        <f>_xlfn.XLOOKUP(C483,Códigos!$A$11:$A$415,Códigos!$B$11:$B$415,"Verificar",0)</f>
        <v>NOMBRE 149</v>
      </c>
      <c r="F483" s="1239">
        <v>450000</v>
      </c>
      <c r="G483" s="989">
        <f t="shared" si="15"/>
        <v>630069583</v>
      </c>
      <c r="H483" s="1049" t="s">
        <v>1673</v>
      </c>
      <c r="I483" s="561"/>
      <c r="J483" s="54"/>
    </row>
    <row r="484" spans="1:10" x14ac:dyDescent="0.2">
      <c r="A484" s="1237">
        <v>45958</v>
      </c>
      <c r="B484" s="1233" t="s">
        <v>34</v>
      </c>
      <c r="C484" s="1187">
        <v>305</v>
      </c>
      <c r="D484" s="1279" t="str">
        <f>_xlfn.XLOOKUP(B484,Códigos!$A$489:$A$522,Códigos!$B$489:$B$522,"Verificar",0)</f>
        <v>Recibido por: -Cuentas de cobro -DAFF</v>
      </c>
      <c r="E484" s="1279" t="str">
        <f>_xlfn.XLOOKUP(C484,Códigos!$A$11:$A$415,Códigos!$B$11:$B$415,"Verificar",0)</f>
        <v>NOMBRE 137</v>
      </c>
      <c r="F484" s="1239">
        <v>370000</v>
      </c>
      <c r="G484" s="989">
        <f t="shared" si="15"/>
        <v>630439583</v>
      </c>
      <c r="H484" s="1049" t="s">
        <v>1674</v>
      </c>
      <c r="I484" s="561"/>
      <c r="J484" s="54"/>
    </row>
    <row r="485" spans="1:10" x14ac:dyDescent="0.2">
      <c r="A485" s="1234">
        <v>45959</v>
      </c>
      <c r="B485" s="1233" t="s">
        <v>37</v>
      </c>
      <c r="C485" s="1187">
        <v>3</v>
      </c>
      <c r="D485" s="1279" t="str">
        <f>_xlfn.XLOOKUP(B485,Códigos!$A$489:$A$522,Códigos!$B$489:$B$522,"Verificar",0)</f>
        <v>-Retiros y Traslados de Bancos</v>
      </c>
      <c r="E485" s="1279" t="str">
        <f>_xlfn.XLOOKUP(C485,Códigos!$A$11:$A$415,Códigos!$B$11:$B$415,"Verificar",0)</f>
        <v>NOMBRE 24</v>
      </c>
      <c r="F485" s="1239">
        <v>2000000</v>
      </c>
      <c r="G485" s="989">
        <f t="shared" si="15"/>
        <v>632439583</v>
      </c>
      <c r="H485" s="1049" t="s">
        <v>1038</v>
      </c>
      <c r="I485" s="561"/>
      <c r="J485" s="54"/>
    </row>
    <row r="486" spans="1:10" x14ac:dyDescent="0.2">
      <c r="A486" s="1234">
        <v>45959</v>
      </c>
      <c r="B486" s="1233" t="s">
        <v>34</v>
      </c>
      <c r="C486" s="1235">
        <v>61</v>
      </c>
      <c r="D486" s="1279" t="str">
        <f>_xlfn.XLOOKUP(B486,Códigos!$A$489:$A$522,Códigos!$B$489:$B$522,"Verificar",0)</f>
        <v>Recibido por: -Cuentas de cobro -DAFF</v>
      </c>
      <c r="E486" s="1279" t="str">
        <f>_xlfn.XLOOKUP(C486,Códigos!$A$11:$A$415,Códigos!$B$11:$B$415,"Verificar",0)</f>
        <v>NOMBRE 40</v>
      </c>
      <c r="F486" s="1239">
        <v>400000</v>
      </c>
      <c r="G486" s="989">
        <f t="shared" si="15"/>
        <v>632839583</v>
      </c>
      <c r="H486" s="1049" t="s">
        <v>1675</v>
      </c>
      <c r="I486" s="561"/>
      <c r="J486" s="54"/>
    </row>
    <row r="487" spans="1:10" x14ac:dyDescent="0.2">
      <c r="A487" s="1234">
        <v>45959</v>
      </c>
      <c r="B487" s="1233" t="s">
        <v>34</v>
      </c>
      <c r="C487" s="1235">
        <v>220</v>
      </c>
      <c r="D487" s="1279" t="str">
        <f>_xlfn.XLOOKUP(B487,Códigos!$A$489:$A$522,Códigos!$B$489:$B$522,"Verificar",0)</f>
        <v>Recibido por: -Cuentas de cobro -DAFF</v>
      </c>
      <c r="E487" s="1279" t="str">
        <f>_xlfn.XLOOKUP(C487,Códigos!$A$11:$A$415,Códigos!$B$11:$B$415,"Verificar",0)</f>
        <v>NOMBRE 347</v>
      </c>
      <c r="F487" s="1239">
        <v>500000</v>
      </c>
      <c r="G487" s="989">
        <f t="shared" si="15"/>
        <v>633339583</v>
      </c>
      <c r="H487" s="1049" t="s">
        <v>1676</v>
      </c>
      <c r="I487" s="561"/>
      <c r="J487" s="54"/>
    </row>
    <row r="488" spans="1:10" x14ac:dyDescent="0.2">
      <c r="A488" s="1234">
        <v>45959</v>
      </c>
      <c r="B488" s="1233" t="s">
        <v>34</v>
      </c>
      <c r="C488" s="1235">
        <v>295</v>
      </c>
      <c r="D488" s="1279" t="str">
        <f>_xlfn.XLOOKUP(B488,Códigos!$A$489:$A$522,Códigos!$B$489:$B$522,"Verificar",0)</f>
        <v>Recibido por: -Cuentas de cobro -DAFF</v>
      </c>
      <c r="E488" s="1279" t="str">
        <f>_xlfn.XLOOKUP(C488,Códigos!$A$11:$A$415,Códigos!$B$11:$B$415,"Verificar",0)</f>
        <v>NOMBRE 77</v>
      </c>
      <c r="F488" s="1239">
        <v>900000</v>
      </c>
      <c r="G488" s="989">
        <f t="shared" si="15"/>
        <v>634239583</v>
      </c>
      <c r="H488" s="1049" t="s">
        <v>1677</v>
      </c>
      <c r="I488" s="561"/>
      <c r="J488" s="54"/>
    </row>
    <row r="489" spans="1:10" x14ac:dyDescent="0.2">
      <c r="A489" s="1234">
        <v>45959</v>
      </c>
      <c r="B489" s="1233"/>
      <c r="C489" s="1235"/>
      <c r="D489" s="1279">
        <f>_xlfn.XLOOKUP(B489,Códigos!$A$489:$A$522,Códigos!$B$489:$B$522,"Verificar",0)</f>
        <v>0</v>
      </c>
      <c r="E489" s="1279">
        <f>_xlfn.XLOOKUP(C489,Códigos!$A$11:$A$415,Códigos!$B$11:$B$415,"Verificar",0)</f>
        <v>0</v>
      </c>
      <c r="F489" s="1239"/>
      <c r="G489" s="989">
        <f t="shared" si="15"/>
        <v>634239583</v>
      </c>
      <c r="H489" s="1049"/>
      <c r="I489" s="561"/>
      <c r="J489" s="54"/>
    </row>
    <row r="490" spans="1:10" x14ac:dyDescent="0.2">
      <c r="A490" s="1234">
        <v>45959</v>
      </c>
      <c r="B490" s="1233"/>
      <c r="C490" s="1187"/>
      <c r="D490" s="1279">
        <f>_xlfn.XLOOKUP(B490,Códigos!$A$489:$A$522,Códigos!$B$489:$B$522,"Verificar",0)</f>
        <v>0</v>
      </c>
      <c r="E490" s="1279">
        <f>_xlfn.XLOOKUP(C490,Códigos!$A$11:$A$415,Códigos!$B$11:$B$415,"Verificar",0)</f>
        <v>0</v>
      </c>
      <c r="F490" s="1239"/>
      <c r="G490" s="989">
        <f t="shared" si="15"/>
        <v>634239583</v>
      </c>
      <c r="H490" s="1049"/>
      <c r="I490" s="561"/>
      <c r="J490" s="54"/>
    </row>
    <row r="491" spans="1:10" x14ac:dyDescent="0.2">
      <c r="A491" s="1234"/>
      <c r="B491" s="1233"/>
      <c r="C491" s="1187"/>
      <c r="D491" s="1279">
        <f>_xlfn.XLOOKUP(B491,Códigos!$A$489:$A$522,Códigos!$B$489:$B$522,"Verificar",0)</f>
        <v>0</v>
      </c>
      <c r="E491" s="1279">
        <f>_xlfn.XLOOKUP(C491,Códigos!$A$11:$A$415,Códigos!$B$11:$B$415,"Verificar",0)</f>
        <v>0</v>
      </c>
      <c r="F491" s="1239"/>
      <c r="G491" s="989">
        <f t="shared" ref="G491" si="19">+G490+F491</f>
        <v>634239583</v>
      </c>
      <c r="H491" s="1049"/>
      <c r="I491" s="561"/>
      <c r="J491" s="54"/>
    </row>
    <row r="492" spans="1:10" x14ac:dyDescent="0.2">
      <c r="A492" s="1237"/>
      <c r="B492" s="1233"/>
      <c r="C492" s="1187"/>
      <c r="D492" s="1279">
        <f>_xlfn.XLOOKUP(B492,Códigos!$A$489:$A$522,Códigos!$B$489:$B$522,"Verificar",0)</f>
        <v>0</v>
      </c>
      <c r="E492" s="1279">
        <f>_xlfn.XLOOKUP(C492,Códigos!$A$11:$A$415,Códigos!$B$11:$B$415,"Verificar",0)</f>
        <v>0</v>
      </c>
      <c r="F492" s="1239"/>
      <c r="G492" s="1239">
        <f t="shared" ref="G492" si="20">+G491+F492</f>
        <v>634239583</v>
      </c>
      <c r="H492" s="1049"/>
      <c r="I492" s="561"/>
      <c r="J492" s="54"/>
    </row>
    <row r="493" spans="1:10" x14ac:dyDescent="0.2">
      <c r="A493" s="1237"/>
      <c r="B493" s="1233"/>
      <c r="C493" s="1187"/>
      <c r="D493" s="1279">
        <f>_xlfn.XLOOKUP(B493,Códigos!$A$489:$A$522,Códigos!$B$489:$B$522,"Verificar",0)</f>
        <v>0</v>
      </c>
      <c r="E493" s="1279">
        <f>_xlfn.XLOOKUP(C493,Códigos!$A$11:$A$415,Códigos!$B$11:$B$415,"Verificar",0)</f>
        <v>0</v>
      </c>
      <c r="F493" s="1239"/>
      <c r="G493" s="1239">
        <f t="shared" ref="G493:G557" si="21">+G492+F493</f>
        <v>634239583</v>
      </c>
      <c r="H493" s="1049"/>
      <c r="I493" s="561"/>
      <c r="J493" s="54"/>
    </row>
    <row r="494" spans="1:10" x14ac:dyDescent="0.2">
      <c r="A494" s="1237"/>
      <c r="B494" s="1233"/>
      <c r="C494" s="1235"/>
      <c r="D494" s="1279">
        <f>_xlfn.XLOOKUP(B494,Códigos!$A$489:$A$522,Códigos!$B$489:$B$522,"Verificar",0)</f>
        <v>0</v>
      </c>
      <c r="E494" s="1279">
        <f>_xlfn.XLOOKUP(C494,Códigos!$A$11:$A$415,Códigos!$B$11:$B$415,"Verificar",0)</f>
        <v>0</v>
      </c>
      <c r="F494" s="1239"/>
      <c r="G494" s="1239">
        <f t="shared" si="21"/>
        <v>634239583</v>
      </c>
      <c r="H494" s="1049"/>
      <c r="I494" s="561"/>
      <c r="J494" s="54"/>
    </row>
    <row r="495" spans="1:10" x14ac:dyDescent="0.2">
      <c r="A495" s="1237"/>
      <c r="B495" s="1233"/>
      <c r="C495" s="1235"/>
      <c r="D495" s="1279">
        <f>_xlfn.XLOOKUP(B495,Códigos!$A$489:$A$522,Códigos!$B$489:$B$522,"Verificar",0)</f>
        <v>0</v>
      </c>
      <c r="E495" s="1279">
        <f>_xlfn.XLOOKUP(C495,Códigos!$A$11:$A$415,Códigos!$B$11:$B$415,"Verificar",0)</f>
        <v>0</v>
      </c>
      <c r="F495" s="1239"/>
      <c r="G495" s="1239">
        <f t="shared" si="21"/>
        <v>634239583</v>
      </c>
      <c r="H495" s="1049"/>
      <c r="I495" s="561"/>
      <c r="J495" s="54"/>
    </row>
    <row r="496" spans="1:10" x14ac:dyDescent="0.2">
      <c r="A496" s="1237"/>
      <c r="B496" s="1233"/>
      <c r="C496" s="1235"/>
      <c r="D496" s="1279">
        <f>_xlfn.XLOOKUP(B496,Códigos!$A$489:$A$522,Códigos!$B$489:$B$522,"Verificar",0)</f>
        <v>0</v>
      </c>
      <c r="E496" s="1279">
        <f>_xlfn.XLOOKUP(C496,Códigos!$A$11:$A$415,Códigos!$B$11:$B$415,"Verificar",0)</f>
        <v>0</v>
      </c>
      <c r="F496" s="1239"/>
      <c r="G496" s="1239">
        <f t="shared" si="21"/>
        <v>634239583</v>
      </c>
      <c r="H496" s="1049"/>
      <c r="I496" s="561"/>
      <c r="J496" s="54"/>
    </row>
    <row r="497" spans="1:10" x14ac:dyDescent="0.2">
      <c r="A497" s="1237"/>
      <c r="B497" s="1233"/>
      <c r="C497" s="1187"/>
      <c r="D497" s="1279">
        <f>_xlfn.XLOOKUP(B497,Códigos!$A$489:$A$522,Códigos!$B$489:$B$522,"Verificar",0)</f>
        <v>0</v>
      </c>
      <c r="E497" s="1279">
        <f>_xlfn.XLOOKUP(C497,Códigos!$A$11:$A$415,Códigos!$B$11:$B$415,"Verificar",0)</f>
        <v>0</v>
      </c>
      <c r="F497" s="1239"/>
      <c r="G497" s="1239">
        <f t="shared" si="21"/>
        <v>634239583</v>
      </c>
      <c r="H497" s="1049"/>
      <c r="I497" s="561"/>
      <c r="J497" s="54"/>
    </row>
    <row r="498" spans="1:10" x14ac:dyDescent="0.2">
      <c r="A498" s="1237"/>
      <c r="B498" s="1233"/>
      <c r="C498" s="1187"/>
      <c r="D498" s="1279">
        <f>_xlfn.XLOOKUP(B498,Códigos!$A$489:$A$522,Códigos!$B$489:$B$522,"Verificar",0)</f>
        <v>0</v>
      </c>
      <c r="E498" s="1279">
        <f>_xlfn.XLOOKUP(C498,Códigos!$A$11:$A$415,Códigos!$B$11:$B$415,"Verificar",0)</f>
        <v>0</v>
      </c>
      <c r="F498" s="1239"/>
      <c r="G498" s="1239">
        <f t="shared" si="21"/>
        <v>634239583</v>
      </c>
      <c r="H498" s="1049"/>
      <c r="I498" s="561"/>
      <c r="J498" s="54"/>
    </row>
    <row r="499" spans="1:10" x14ac:dyDescent="0.2">
      <c r="A499" s="1236"/>
      <c r="B499" s="1233"/>
      <c r="C499" s="1187"/>
      <c r="D499" s="1279">
        <f>_xlfn.XLOOKUP(B499,Códigos!$A$489:$A$522,Códigos!$B$489:$B$522,"Verificar",0)</f>
        <v>0</v>
      </c>
      <c r="E499" s="1279">
        <f>_xlfn.XLOOKUP(C499,Códigos!$A$11:$A$415,Códigos!$B$11:$B$415,"Verificar",0)</f>
        <v>0</v>
      </c>
      <c r="F499" s="1239"/>
      <c r="G499" s="1239">
        <f t="shared" si="21"/>
        <v>634239583</v>
      </c>
      <c r="H499" s="1049"/>
      <c r="I499" s="561"/>
      <c r="J499" s="54"/>
    </row>
    <row r="500" spans="1:10" x14ac:dyDescent="0.2">
      <c r="A500" s="1236"/>
      <c r="B500" s="1233"/>
      <c r="C500" s="1187"/>
      <c r="D500" s="1279">
        <f>_xlfn.XLOOKUP(B500,Códigos!$A$489:$A$522,Códigos!$B$489:$B$522,"Verificar",0)</f>
        <v>0</v>
      </c>
      <c r="E500" s="1279">
        <f>_xlfn.XLOOKUP(C500,Códigos!$A$11:$A$415,Códigos!$B$11:$B$415,"Verificar",0)</f>
        <v>0</v>
      </c>
      <c r="F500" s="1239"/>
      <c r="G500" s="1239">
        <f t="shared" si="21"/>
        <v>634239583</v>
      </c>
      <c r="H500" s="1052"/>
      <c r="I500" s="561"/>
      <c r="J500" s="54"/>
    </row>
    <row r="501" spans="1:10" x14ac:dyDescent="0.2">
      <c r="A501" s="1236"/>
      <c r="B501" s="1233"/>
      <c r="C501" s="1187"/>
      <c r="D501" s="1279">
        <f>_xlfn.XLOOKUP(B501,Códigos!$A$489:$A$522,Códigos!$B$489:$B$522,"Verificar",0)</f>
        <v>0</v>
      </c>
      <c r="E501" s="1279">
        <f>_xlfn.XLOOKUP(C501,Códigos!$A$11:$A$415,Códigos!$B$11:$B$415,"Verificar",0)</f>
        <v>0</v>
      </c>
      <c r="F501" s="1239"/>
      <c r="G501" s="1239">
        <f t="shared" si="21"/>
        <v>634239583</v>
      </c>
      <c r="H501" s="1049"/>
      <c r="I501" s="561"/>
      <c r="J501" s="54"/>
    </row>
    <row r="502" spans="1:10" x14ac:dyDescent="0.2">
      <c r="A502" s="1236"/>
      <c r="B502" s="1233"/>
      <c r="C502" s="1187"/>
      <c r="D502" s="1279">
        <f>_xlfn.XLOOKUP(B502,Códigos!$A$489:$A$522,Códigos!$B$489:$B$522,"Verificar",0)</f>
        <v>0</v>
      </c>
      <c r="E502" s="1279">
        <f>_xlfn.XLOOKUP(C502,Códigos!$A$11:$A$415,Códigos!$B$11:$B$415,"Verificar",0)</f>
        <v>0</v>
      </c>
      <c r="F502" s="1239"/>
      <c r="G502" s="1239">
        <f t="shared" si="21"/>
        <v>634239583</v>
      </c>
      <c r="H502" s="1049"/>
      <c r="I502" s="561"/>
      <c r="J502" s="54"/>
    </row>
    <row r="503" spans="1:10" x14ac:dyDescent="0.2">
      <c r="A503" s="1236"/>
      <c r="B503" s="1233"/>
      <c r="C503" s="1187"/>
      <c r="D503" s="1279">
        <f>_xlfn.XLOOKUP(B503,Códigos!$A$489:$A$522,Códigos!$B$489:$B$522,"Verificar",0)</f>
        <v>0</v>
      </c>
      <c r="E503" s="1279">
        <f>_xlfn.XLOOKUP(C503,Códigos!$A$11:$A$415,Códigos!$B$11:$B$415,"Verificar",0)</f>
        <v>0</v>
      </c>
      <c r="F503" s="1239"/>
      <c r="G503" s="1239">
        <f t="shared" si="21"/>
        <v>634239583</v>
      </c>
      <c r="H503" s="1049"/>
      <c r="I503" s="561"/>
      <c r="J503" s="54"/>
    </row>
    <row r="504" spans="1:10" x14ac:dyDescent="0.2">
      <c r="A504" s="1236"/>
      <c r="B504" s="1233"/>
      <c r="C504" s="1187"/>
      <c r="D504" s="1279">
        <f>_xlfn.XLOOKUP(B504,Códigos!$A$489:$A$522,Códigos!$B$489:$B$522,"Verificar",0)</f>
        <v>0</v>
      </c>
      <c r="E504" s="1279">
        <f>_xlfn.XLOOKUP(C504,Códigos!$A$11:$A$415,Códigos!$B$11:$B$415,"Verificar",0)</f>
        <v>0</v>
      </c>
      <c r="F504" s="1239"/>
      <c r="G504" s="1239">
        <f t="shared" si="21"/>
        <v>634239583</v>
      </c>
      <c r="H504" s="1049"/>
      <c r="I504" s="561"/>
      <c r="J504" s="54"/>
    </row>
    <row r="505" spans="1:10" x14ac:dyDescent="0.2">
      <c r="A505" s="1236"/>
      <c r="B505" s="1233"/>
      <c r="C505" s="1187"/>
      <c r="D505" s="1279">
        <f>_xlfn.XLOOKUP(B505,Códigos!$A$489:$A$522,Códigos!$B$489:$B$522,"Verificar",0)</f>
        <v>0</v>
      </c>
      <c r="E505" s="1279">
        <f>_xlfn.XLOOKUP(C505,Códigos!$A$11:$A$415,Códigos!$B$11:$B$415,"Verificar",0)</f>
        <v>0</v>
      </c>
      <c r="F505" s="1239"/>
      <c r="G505" s="1239">
        <f t="shared" si="21"/>
        <v>634239583</v>
      </c>
      <c r="H505" s="1049"/>
      <c r="I505" s="561"/>
      <c r="J505" s="54"/>
    </row>
    <row r="506" spans="1:10" x14ac:dyDescent="0.2">
      <c r="A506" s="1236"/>
      <c r="B506" s="1233"/>
      <c r="C506" s="1187"/>
      <c r="D506" s="1279">
        <f>_xlfn.XLOOKUP(B506,Códigos!$A$489:$A$522,Códigos!$B$489:$B$522,"Verificar",0)</f>
        <v>0</v>
      </c>
      <c r="E506" s="1279">
        <f>_xlfn.XLOOKUP(C506,Códigos!$A$11:$A$415,Códigos!$B$11:$B$415,"Verificar",0)</f>
        <v>0</v>
      </c>
      <c r="F506" s="1239"/>
      <c r="G506" s="1239">
        <f t="shared" si="21"/>
        <v>634239583</v>
      </c>
      <c r="H506" s="1049"/>
      <c r="I506" s="561"/>
      <c r="J506" s="54"/>
    </row>
    <row r="507" spans="1:10" x14ac:dyDescent="0.2">
      <c r="A507" s="1236"/>
      <c r="B507" s="1233"/>
      <c r="C507" s="1187"/>
      <c r="D507" s="1279">
        <f>_xlfn.XLOOKUP(B507,Códigos!$A$489:$A$522,Códigos!$B$489:$B$522,"Verificar",0)</f>
        <v>0</v>
      </c>
      <c r="E507" s="1279">
        <f>_xlfn.XLOOKUP(C507,Códigos!$A$11:$A$415,Códigos!$B$11:$B$415,"Verificar",0)</f>
        <v>0</v>
      </c>
      <c r="F507" s="1239"/>
      <c r="G507" s="1239">
        <f t="shared" si="21"/>
        <v>634239583</v>
      </c>
      <c r="H507" s="1049"/>
      <c r="I507" s="561"/>
      <c r="J507" s="54"/>
    </row>
    <row r="508" spans="1:10" x14ac:dyDescent="0.2">
      <c r="A508" s="1236"/>
      <c r="B508" s="1233"/>
      <c r="C508" s="1235"/>
      <c r="D508" s="1279">
        <f>_xlfn.XLOOKUP(B508,Códigos!$A$489:$A$522,Códigos!$B$489:$B$522,"Verificar",0)</f>
        <v>0</v>
      </c>
      <c r="E508" s="1279">
        <f>_xlfn.XLOOKUP(C508,Códigos!$A$11:$A$415,Códigos!$B$11:$B$415,"Verificar",0)</f>
        <v>0</v>
      </c>
      <c r="F508" s="1239"/>
      <c r="G508" s="1239">
        <f t="shared" si="21"/>
        <v>634239583</v>
      </c>
      <c r="H508" s="1049"/>
      <c r="I508" s="561"/>
      <c r="J508" s="54"/>
    </row>
    <row r="509" spans="1:10" x14ac:dyDescent="0.2">
      <c r="A509" s="1236"/>
      <c r="B509" s="1233"/>
      <c r="C509" s="1235"/>
      <c r="D509" s="1279">
        <f>_xlfn.XLOOKUP(B509,Códigos!$A$489:$A$522,Códigos!$B$489:$B$522,"Verificar",0)</f>
        <v>0</v>
      </c>
      <c r="E509" s="1279">
        <f>_xlfn.XLOOKUP(C509,Códigos!$A$11:$A$415,Códigos!$B$11:$B$415,"Verificar",0)</f>
        <v>0</v>
      </c>
      <c r="F509" s="1239"/>
      <c r="G509" s="1239">
        <f t="shared" si="21"/>
        <v>634239583</v>
      </c>
      <c r="H509" s="1049"/>
      <c r="I509" s="561"/>
      <c r="J509" s="54"/>
    </row>
    <row r="510" spans="1:10" x14ac:dyDescent="0.2">
      <c r="A510" s="1236"/>
      <c r="B510" s="1233"/>
      <c r="C510" s="1235"/>
      <c r="D510" s="1279">
        <f>_xlfn.XLOOKUP(B510,Códigos!$A$489:$A$522,Códigos!$B$489:$B$522,"Verificar",0)</f>
        <v>0</v>
      </c>
      <c r="E510" s="1279">
        <f>_xlfn.XLOOKUP(C510,Códigos!$A$11:$A$415,Códigos!$B$11:$B$415,"Verificar",0)</f>
        <v>0</v>
      </c>
      <c r="F510" s="1239"/>
      <c r="G510" s="1239">
        <f t="shared" si="21"/>
        <v>634239583</v>
      </c>
      <c r="H510" s="1049"/>
      <c r="I510" s="561"/>
      <c r="J510" s="54"/>
    </row>
    <row r="511" spans="1:10" x14ac:dyDescent="0.2">
      <c r="A511" s="1236"/>
      <c r="B511" s="1233"/>
      <c r="C511" s="1235"/>
      <c r="D511" s="1279">
        <f>_xlfn.XLOOKUP(B511,Códigos!$A$489:$A$522,Códigos!$B$489:$B$522,"Verificar",0)</f>
        <v>0</v>
      </c>
      <c r="E511" s="1279">
        <f>_xlfn.XLOOKUP(C511,Códigos!$A$11:$A$415,Códigos!$B$11:$B$415,"Verificar",0)</f>
        <v>0</v>
      </c>
      <c r="F511" s="1239"/>
      <c r="G511" s="1239">
        <f t="shared" si="21"/>
        <v>634239583</v>
      </c>
      <c r="H511" s="1049"/>
      <c r="I511" s="561"/>
      <c r="J511" s="54"/>
    </row>
    <row r="512" spans="1:10" x14ac:dyDescent="0.2">
      <c r="A512" s="1236"/>
      <c r="B512" s="1233"/>
      <c r="C512" s="1187"/>
      <c r="D512" s="1279">
        <f>_xlfn.XLOOKUP(B512,Códigos!$A$489:$A$522,Códigos!$B$489:$B$522,"Verificar",0)</f>
        <v>0</v>
      </c>
      <c r="E512" s="1279">
        <f>_xlfn.XLOOKUP(C512,Códigos!$A$11:$A$415,Códigos!$B$11:$B$415,"Verificar",0)</f>
        <v>0</v>
      </c>
      <c r="F512" s="1239"/>
      <c r="G512" s="1239">
        <f t="shared" si="21"/>
        <v>634239583</v>
      </c>
      <c r="H512" s="1049"/>
      <c r="I512" s="561"/>
      <c r="J512" s="54"/>
    </row>
    <row r="513" spans="1:10" x14ac:dyDescent="0.2">
      <c r="A513" s="1236"/>
      <c r="B513" s="1233"/>
      <c r="C513" s="1187"/>
      <c r="D513" s="1279">
        <f>_xlfn.XLOOKUP(B513,Códigos!$A$489:$A$522,Códigos!$B$489:$B$522,"Verificar",0)</f>
        <v>0</v>
      </c>
      <c r="E513" s="1279">
        <f>_xlfn.XLOOKUP(C513,Códigos!$A$11:$A$415,Códigos!$B$11:$B$415,"Verificar",0)</f>
        <v>0</v>
      </c>
      <c r="F513" s="1239"/>
      <c r="G513" s="1239">
        <f t="shared" si="21"/>
        <v>634239583</v>
      </c>
      <c r="H513" s="1049"/>
      <c r="I513" s="561"/>
      <c r="J513" s="54"/>
    </row>
    <row r="514" spans="1:10" x14ac:dyDescent="0.2">
      <c r="A514" s="1236"/>
      <c r="B514" s="1233"/>
      <c r="C514" s="1235"/>
      <c r="D514" s="1279">
        <f>_xlfn.XLOOKUP(B514,Códigos!$A$489:$A$522,Códigos!$B$489:$B$522,"Verificar",0)</f>
        <v>0</v>
      </c>
      <c r="E514" s="1279">
        <f>_xlfn.XLOOKUP(C514,Códigos!$A$11:$A$415,Códigos!$B$11:$B$415,"Verificar",0)</f>
        <v>0</v>
      </c>
      <c r="F514" s="1239"/>
      <c r="G514" s="1239">
        <f t="shared" si="21"/>
        <v>634239583</v>
      </c>
      <c r="H514" s="1049"/>
      <c r="I514" s="561"/>
      <c r="J514" s="54"/>
    </row>
    <row r="515" spans="1:10" x14ac:dyDescent="0.2">
      <c r="A515" s="1236"/>
      <c r="B515" s="1233"/>
      <c r="C515" s="1235"/>
      <c r="D515" s="1279">
        <f>_xlfn.XLOOKUP(B515,Códigos!$A$489:$A$522,Códigos!$B$489:$B$522,"Verificar",0)</f>
        <v>0</v>
      </c>
      <c r="E515" s="1279">
        <f>_xlfn.XLOOKUP(C515,Códigos!$A$11:$A$415,Códigos!$B$11:$B$415,"Verificar",0)</f>
        <v>0</v>
      </c>
      <c r="F515" s="1239"/>
      <c r="G515" s="1239">
        <f t="shared" si="21"/>
        <v>634239583</v>
      </c>
      <c r="H515" s="1049"/>
      <c r="I515" s="561"/>
      <c r="J515" s="54"/>
    </row>
    <row r="516" spans="1:10" x14ac:dyDescent="0.2">
      <c r="A516" s="1236"/>
      <c r="B516" s="1233"/>
      <c r="C516" s="1235"/>
      <c r="D516" s="1279">
        <f>_xlfn.XLOOKUP(B516,Códigos!$A$489:$A$522,Códigos!$B$489:$B$522,"Verificar",0)</f>
        <v>0</v>
      </c>
      <c r="E516" s="1279">
        <f>_xlfn.XLOOKUP(C516,Códigos!$A$11:$A$415,Códigos!$B$11:$B$415,"Verificar",0)</f>
        <v>0</v>
      </c>
      <c r="F516" s="1239"/>
      <c r="G516" s="1239">
        <f t="shared" si="21"/>
        <v>634239583</v>
      </c>
      <c r="H516" s="1049"/>
      <c r="I516" s="561"/>
      <c r="J516" s="54"/>
    </row>
    <row r="517" spans="1:10" x14ac:dyDescent="0.2">
      <c r="A517" s="1236"/>
      <c r="B517" s="1233"/>
      <c r="C517" s="1235"/>
      <c r="D517" s="1279">
        <f>_xlfn.XLOOKUP(B517,Códigos!$A$489:$A$522,Códigos!$B$489:$B$522,"Verificar",0)</f>
        <v>0</v>
      </c>
      <c r="E517" s="1279">
        <f>_xlfn.XLOOKUP(C517,Códigos!$A$11:$A$415,Códigos!$B$11:$B$415,"Verificar",0)</f>
        <v>0</v>
      </c>
      <c r="F517" s="1239"/>
      <c r="G517" s="1239">
        <f t="shared" si="21"/>
        <v>634239583</v>
      </c>
      <c r="H517" s="1049"/>
      <c r="I517" s="561"/>
      <c r="J517" s="54"/>
    </row>
    <row r="518" spans="1:10" x14ac:dyDescent="0.2">
      <c r="A518" s="1236"/>
      <c r="B518" s="1233"/>
      <c r="C518" s="1187"/>
      <c r="D518" s="1279">
        <f>_xlfn.XLOOKUP(B518,Códigos!$A$489:$A$522,Códigos!$B$489:$B$522,"Verificar",0)</f>
        <v>0</v>
      </c>
      <c r="E518" s="1279">
        <f>_xlfn.XLOOKUP(C518,Códigos!$A$11:$A$415,Códigos!$B$11:$B$415,"Verificar",0)</f>
        <v>0</v>
      </c>
      <c r="F518" s="1239"/>
      <c r="G518" s="1239">
        <f t="shared" si="21"/>
        <v>634239583</v>
      </c>
      <c r="H518" s="1049"/>
      <c r="I518" s="561"/>
      <c r="J518" s="54"/>
    </row>
    <row r="519" spans="1:10" x14ac:dyDescent="0.2">
      <c r="A519" s="1236"/>
      <c r="B519" s="1233"/>
      <c r="C519" s="1235"/>
      <c r="D519" s="1279">
        <f>_xlfn.XLOOKUP(B519,Códigos!$A$489:$A$522,Códigos!$B$489:$B$522,"Verificar",0)</f>
        <v>0</v>
      </c>
      <c r="E519" s="1279">
        <f>_xlfn.XLOOKUP(C519,Códigos!$A$11:$A$415,Códigos!$B$11:$B$415,"Verificar",0)</f>
        <v>0</v>
      </c>
      <c r="F519" s="1239"/>
      <c r="G519" s="1239">
        <f t="shared" si="21"/>
        <v>634239583</v>
      </c>
      <c r="H519" s="1049"/>
      <c r="I519" s="561"/>
      <c r="J519" s="54"/>
    </row>
    <row r="520" spans="1:10" x14ac:dyDescent="0.2">
      <c r="A520" s="1236"/>
      <c r="B520" s="1233"/>
      <c r="C520" s="1235"/>
      <c r="D520" s="1279">
        <f>_xlfn.XLOOKUP(B520,Códigos!$A$489:$A$522,Códigos!$B$489:$B$522,"Verificar",0)</f>
        <v>0</v>
      </c>
      <c r="E520" s="1279">
        <f>_xlfn.XLOOKUP(C520,Códigos!$A$11:$A$415,Códigos!$B$11:$B$415,"Verificar",0)</f>
        <v>0</v>
      </c>
      <c r="F520" s="1239"/>
      <c r="G520" s="1239">
        <f t="shared" si="21"/>
        <v>634239583</v>
      </c>
      <c r="H520" s="1049"/>
      <c r="I520" s="561"/>
      <c r="J520" s="54"/>
    </row>
    <row r="521" spans="1:10" x14ac:dyDescent="0.2">
      <c r="A521" s="1236"/>
      <c r="B521" s="1233"/>
      <c r="C521" s="1235"/>
      <c r="D521" s="1279">
        <f>_xlfn.XLOOKUP(B521,Códigos!$A$489:$A$522,Códigos!$B$489:$B$522,"Verificar",0)</f>
        <v>0</v>
      </c>
      <c r="E521" s="1279">
        <f>_xlfn.XLOOKUP(C521,Códigos!$A$11:$A$415,Códigos!$B$11:$B$415,"Verificar",0)</f>
        <v>0</v>
      </c>
      <c r="F521" s="1239"/>
      <c r="G521" s="1239">
        <f t="shared" si="21"/>
        <v>634239583</v>
      </c>
      <c r="H521" s="1049"/>
      <c r="I521" s="561"/>
      <c r="J521" s="54"/>
    </row>
    <row r="522" spans="1:10" x14ac:dyDescent="0.2">
      <c r="A522" s="1236"/>
      <c r="B522" s="1233"/>
      <c r="C522" s="1235"/>
      <c r="D522" s="1279">
        <f>_xlfn.XLOOKUP(B522,Códigos!$A$489:$A$522,Códigos!$B$489:$B$522,"Verificar",0)</f>
        <v>0</v>
      </c>
      <c r="E522" s="1279">
        <f>_xlfn.XLOOKUP(C522,Códigos!$A$11:$A$415,Códigos!$B$11:$B$415,"Verificar",0)</f>
        <v>0</v>
      </c>
      <c r="F522" s="1239"/>
      <c r="G522" s="1239">
        <f t="shared" si="21"/>
        <v>634239583</v>
      </c>
      <c r="H522" s="1049"/>
      <c r="I522" s="561"/>
      <c r="J522" s="54"/>
    </row>
    <row r="523" spans="1:10" x14ac:dyDescent="0.2">
      <c r="A523" s="1236"/>
      <c r="B523" s="1233"/>
      <c r="C523" s="1235"/>
      <c r="D523" s="1279">
        <f>_xlfn.XLOOKUP(B523,Códigos!$A$489:$A$522,Códigos!$B$489:$B$522,"Verificar",0)</f>
        <v>0</v>
      </c>
      <c r="E523" s="1279">
        <f>_xlfn.XLOOKUP(C523,Códigos!$A$11:$A$415,Códigos!$B$11:$B$415,"Verificar",0)</f>
        <v>0</v>
      </c>
      <c r="F523" s="1239"/>
      <c r="G523" s="1239">
        <f t="shared" si="21"/>
        <v>634239583</v>
      </c>
      <c r="H523" s="1049"/>
      <c r="I523" s="561"/>
      <c r="J523" s="54"/>
    </row>
    <row r="524" spans="1:10" x14ac:dyDescent="0.2">
      <c r="A524" s="1236"/>
      <c r="B524" s="1233"/>
      <c r="C524" s="1235"/>
      <c r="D524" s="1279">
        <f>_xlfn.XLOOKUP(B524,Códigos!$A$489:$A$522,Códigos!$B$489:$B$522,"Verificar",0)</f>
        <v>0</v>
      </c>
      <c r="E524" s="1279">
        <f>_xlfn.XLOOKUP(C524,Códigos!$A$11:$A$415,Códigos!$B$11:$B$415,"Verificar",0)</f>
        <v>0</v>
      </c>
      <c r="F524" s="1239"/>
      <c r="G524" s="1239">
        <f t="shared" si="21"/>
        <v>634239583</v>
      </c>
      <c r="H524" s="1049"/>
      <c r="I524" s="561"/>
      <c r="J524" s="54"/>
    </row>
    <row r="525" spans="1:10" x14ac:dyDescent="0.2">
      <c r="A525" s="1236"/>
      <c r="B525" s="1233"/>
      <c r="C525" s="1235"/>
      <c r="D525" s="1279">
        <f>_xlfn.XLOOKUP(B525,Códigos!$A$489:$A$522,Códigos!$B$489:$B$522,"Verificar",0)</f>
        <v>0</v>
      </c>
      <c r="E525" s="1279">
        <f>_xlfn.XLOOKUP(C525,Códigos!$A$11:$A$415,Códigos!$B$11:$B$415,"Verificar",0)</f>
        <v>0</v>
      </c>
      <c r="F525" s="1239"/>
      <c r="G525" s="1239">
        <f t="shared" si="21"/>
        <v>634239583</v>
      </c>
      <c r="H525" s="1049"/>
      <c r="I525" s="561"/>
      <c r="J525" s="54"/>
    </row>
    <row r="526" spans="1:10" x14ac:dyDescent="0.2">
      <c r="A526" s="1236"/>
      <c r="B526" s="1233"/>
      <c r="C526" s="1235"/>
      <c r="D526" s="1279">
        <f>_xlfn.XLOOKUP(B526,Códigos!$A$489:$A$522,Códigos!$B$489:$B$522,"Verificar",0)</f>
        <v>0</v>
      </c>
      <c r="E526" s="1279">
        <f>_xlfn.XLOOKUP(C526,Códigos!$A$11:$A$415,Códigos!$B$11:$B$415,"Verificar",0)</f>
        <v>0</v>
      </c>
      <c r="F526" s="1239"/>
      <c r="G526" s="1239">
        <f t="shared" si="21"/>
        <v>634239583</v>
      </c>
      <c r="H526" s="1049"/>
      <c r="I526" s="561"/>
      <c r="J526" s="54"/>
    </row>
    <row r="527" spans="1:10" x14ac:dyDescent="0.2">
      <c r="A527" s="1236"/>
      <c r="B527" s="1233"/>
      <c r="C527" s="1235"/>
      <c r="D527" s="1279">
        <f>_xlfn.XLOOKUP(B527,Códigos!$A$489:$A$522,Códigos!$B$489:$B$522,"Verificar",0)</f>
        <v>0</v>
      </c>
      <c r="E527" s="1279">
        <f>_xlfn.XLOOKUP(C527,Códigos!$A$11:$A$415,Códigos!$B$11:$B$415,"Verificar",0)</f>
        <v>0</v>
      </c>
      <c r="F527" s="1239"/>
      <c r="G527" s="1239">
        <f t="shared" si="21"/>
        <v>634239583</v>
      </c>
      <c r="H527" s="1049"/>
      <c r="I527" s="561"/>
      <c r="J527" s="54"/>
    </row>
    <row r="528" spans="1:10" x14ac:dyDescent="0.2">
      <c r="A528" s="1236"/>
      <c r="B528" s="1233"/>
      <c r="C528" s="1235"/>
      <c r="D528" s="1279">
        <f>_xlfn.XLOOKUP(B528,Códigos!$A$489:$A$522,Códigos!$B$489:$B$522,"Verificar",0)</f>
        <v>0</v>
      </c>
      <c r="E528" s="1279">
        <f>_xlfn.XLOOKUP(C528,Códigos!$A$11:$A$415,Códigos!$B$11:$B$415,"Verificar",0)</f>
        <v>0</v>
      </c>
      <c r="F528" s="1239"/>
      <c r="G528" s="1239">
        <f t="shared" si="21"/>
        <v>634239583</v>
      </c>
      <c r="H528" s="1049"/>
      <c r="I528" s="561"/>
      <c r="J528" s="54"/>
    </row>
    <row r="529" spans="1:10" x14ac:dyDescent="0.2">
      <c r="A529" s="1236"/>
      <c r="B529" s="1233"/>
      <c r="C529" s="1235"/>
      <c r="D529" s="1279">
        <f>_xlfn.XLOOKUP(B529,Códigos!$A$489:$A$522,Códigos!$B$489:$B$522,"Verificar",0)</f>
        <v>0</v>
      </c>
      <c r="E529" s="1279">
        <f>_xlfn.XLOOKUP(C529,Códigos!$A$11:$A$415,Códigos!$B$11:$B$415,"Verificar",0)</f>
        <v>0</v>
      </c>
      <c r="F529" s="1239"/>
      <c r="G529" s="1239">
        <f t="shared" si="21"/>
        <v>634239583</v>
      </c>
      <c r="H529" s="1049"/>
      <c r="I529" s="561"/>
      <c r="J529" s="54"/>
    </row>
    <row r="530" spans="1:10" x14ac:dyDescent="0.2">
      <c r="A530" s="1236"/>
      <c r="B530" s="1233"/>
      <c r="C530" s="1187"/>
      <c r="D530" s="1279">
        <f>_xlfn.XLOOKUP(B530,Códigos!$A$489:$A$522,Códigos!$B$489:$B$522,"Verificar",0)</f>
        <v>0</v>
      </c>
      <c r="E530" s="1279">
        <f>_xlfn.XLOOKUP(C530,Códigos!$A$11:$A$415,Códigos!$B$11:$B$415,"Verificar",0)</f>
        <v>0</v>
      </c>
      <c r="F530" s="1239"/>
      <c r="G530" s="1239">
        <f t="shared" si="21"/>
        <v>634239583</v>
      </c>
      <c r="H530" s="1049"/>
      <c r="I530" s="561"/>
      <c r="J530" s="54"/>
    </row>
    <row r="531" spans="1:10" x14ac:dyDescent="0.2">
      <c r="A531" s="1236"/>
      <c r="B531" s="1233"/>
      <c r="C531" s="1187"/>
      <c r="D531" s="1279">
        <f>_xlfn.XLOOKUP(B531,Códigos!$A$489:$A$522,Códigos!$B$489:$B$522,"Verificar",0)</f>
        <v>0</v>
      </c>
      <c r="E531" s="1279">
        <f>_xlfn.XLOOKUP(C531,Códigos!$A$11:$A$415,Códigos!$B$11:$B$415,"Verificar",0)</f>
        <v>0</v>
      </c>
      <c r="F531" s="1239"/>
      <c r="G531" s="1239">
        <f t="shared" si="21"/>
        <v>634239583</v>
      </c>
      <c r="H531" s="1049"/>
      <c r="I531" s="561"/>
      <c r="J531" s="54"/>
    </row>
    <row r="532" spans="1:10" x14ac:dyDescent="0.2">
      <c r="A532" s="1236"/>
      <c r="B532" s="1233"/>
      <c r="C532" s="1235"/>
      <c r="D532" s="1279">
        <f>_xlfn.XLOOKUP(B532,Códigos!$A$489:$A$522,Códigos!$B$489:$B$522,"Verificar",0)</f>
        <v>0</v>
      </c>
      <c r="E532" s="1279">
        <f>_xlfn.XLOOKUP(C532,Códigos!$A$11:$A$415,Códigos!$B$11:$B$415,"Verificar",0)</f>
        <v>0</v>
      </c>
      <c r="F532" s="1239"/>
      <c r="G532" s="1239">
        <f t="shared" si="21"/>
        <v>634239583</v>
      </c>
      <c r="H532" s="1049"/>
      <c r="I532" s="561"/>
      <c r="J532" s="54"/>
    </row>
    <row r="533" spans="1:10" x14ac:dyDescent="0.2">
      <c r="A533" s="1236"/>
      <c r="B533" s="1233"/>
      <c r="C533" s="1235"/>
      <c r="D533" s="1279">
        <f>_xlfn.XLOOKUP(B533,Códigos!$A$489:$A$522,Códigos!$B$489:$B$522,"Verificar",0)</f>
        <v>0</v>
      </c>
      <c r="E533" s="1279">
        <f>_xlfn.XLOOKUP(C533,Códigos!$A$11:$A$415,Códigos!$B$11:$B$415,"Verificar",0)</f>
        <v>0</v>
      </c>
      <c r="F533" s="1239"/>
      <c r="G533" s="1239">
        <f t="shared" ref="G533" si="22">+G532+F533</f>
        <v>634239583</v>
      </c>
      <c r="H533" s="1049"/>
      <c r="I533" s="561"/>
      <c r="J533" s="54"/>
    </row>
    <row r="534" spans="1:10" x14ac:dyDescent="0.2">
      <c r="A534" s="1236"/>
      <c r="B534" s="1233"/>
      <c r="C534" s="1235"/>
      <c r="D534" s="1279">
        <f>_xlfn.XLOOKUP(B534,Códigos!$A$489:$A$522,Códigos!$B$489:$B$522,"Verificar",0)</f>
        <v>0</v>
      </c>
      <c r="E534" s="1279">
        <f>_xlfn.XLOOKUP(C534,Códigos!$A$11:$A$415,Códigos!$B$11:$B$415,"Verificar",0)</f>
        <v>0</v>
      </c>
      <c r="F534" s="1239"/>
      <c r="G534" s="1239">
        <f>+G532+F534</f>
        <v>634239583</v>
      </c>
      <c r="H534" s="1049"/>
      <c r="I534" s="561"/>
      <c r="J534" s="54"/>
    </row>
    <row r="535" spans="1:10" x14ac:dyDescent="0.2">
      <c r="A535" s="1236"/>
      <c r="B535" s="1233"/>
      <c r="C535" s="1235"/>
      <c r="D535" s="1279">
        <f>_xlfn.XLOOKUP(B535,Códigos!$A$489:$A$522,Códigos!$B$489:$B$522,"Verificar",0)</f>
        <v>0</v>
      </c>
      <c r="E535" s="1279">
        <f>_xlfn.XLOOKUP(C535,Códigos!$A$11:$A$415,Códigos!$B$11:$B$415,"Verificar",0)</f>
        <v>0</v>
      </c>
      <c r="F535" s="1239"/>
      <c r="G535" s="1239">
        <f t="shared" si="21"/>
        <v>634239583</v>
      </c>
      <c r="H535" s="1049"/>
      <c r="I535" s="561"/>
      <c r="J535" s="54"/>
    </row>
    <row r="536" spans="1:10" x14ac:dyDescent="0.2">
      <c r="A536" s="1236"/>
      <c r="B536" s="1233"/>
      <c r="C536" s="1235"/>
      <c r="D536" s="1279">
        <f>_xlfn.XLOOKUP(B536,Códigos!$A$489:$A$522,Códigos!$B$489:$B$522,"Verificar",0)</f>
        <v>0</v>
      </c>
      <c r="E536" s="1279">
        <f>_xlfn.XLOOKUP(C536,Códigos!$A$11:$A$415,Códigos!$B$11:$B$415,"Verificar",0)</f>
        <v>0</v>
      </c>
      <c r="F536" s="1239"/>
      <c r="G536" s="1239">
        <f t="shared" si="21"/>
        <v>634239583</v>
      </c>
      <c r="H536" s="1049"/>
      <c r="I536" s="561"/>
      <c r="J536" s="54"/>
    </row>
    <row r="537" spans="1:10" x14ac:dyDescent="0.2">
      <c r="A537" s="1236"/>
      <c r="B537" s="1233"/>
      <c r="C537" s="1235"/>
      <c r="D537" s="1279">
        <f>_xlfn.XLOOKUP(B537,Códigos!$A$489:$A$522,Códigos!$B$489:$B$522,"Verificar",0)</f>
        <v>0</v>
      </c>
      <c r="E537" s="1279">
        <f>_xlfn.XLOOKUP(C537,Códigos!$A$11:$A$415,Códigos!$B$11:$B$415,"Verificar",0)</f>
        <v>0</v>
      </c>
      <c r="F537" s="1239"/>
      <c r="G537" s="1239">
        <f t="shared" si="21"/>
        <v>634239583</v>
      </c>
      <c r="H537" s="1049"/>
      <c r="I537" s="561"/>
      <c r="J537" s="54"/>
    </row>
    <row r="538" spans="1:10" x14ac:dyDescent="0.2">
      <c r="A538" s="1236"/>
      <c r="B538" s="1233"/>
      <c r="C538" s="1235"/>
      <c r="D538" s="1279">
        <f>_xlfn.XLOOKUP(B538,Códigos!$A$489:$A$522,Códigos!$B$489:$B$522,"Verificar",0)</f>
        <v>0</v>
      </c>
      <c r="E538" s="1279">
        <f>_xlfn.XLOOKUP(C538,Códigos!$A$11:$A$415,Códigos!$B$11:$B$415,"Verificar",0)</f>
        <v>0</v>
      </c>
      <c r="F538" s="1239"/>
      <c r="G538" s="1239">
        <f t="shared" si="21"/>
        <v>634239583</v>
      </c>
      <c r="H538" s="1049"/>
      <c r="I538" s="561"/>
      <c r="J538" s="54"/>
    </row>
    <row r="539" spans="1:10" x14ac:dyDescent="0.2">
      <c r="A539" s="1236"/>
      <c r="B539" s="1233"/>
      <c r="C539" s="1235"/>
      <c r="D539" s="1279">
        <f>_xlfn.XLOOKUP(B539,Códigos!$A$489:$A$522,Códigos!$B$489:$B$522,"Verificar",0)</f>
        <v>0</v>
      </c>
      <c r="E539" s="1279">
        <f>_xlfn.XLOOKUP(C539,Códigos!$A$11:$A$415,Códigos!$B$11:$B$415,"Verificar",0)</f>
        <v>0</v>
      </c>
      <c r="F539" s="1239"/>
      <c r="G539" s="1239">
        <f t="shared" si="21"/>
        <v>634239583</v>
      </c>
      <c r="H539" s="1049"/>
      <c r="I539" s="561"/>
      <c r="J539" s="54"/>
    </row>
    <row r="540" spans="1:10" x14ac:dyDescent="0.2">
      <c r="A540" s="1236"/>
      <c r="B540" s="1233"/>
      <c r="C540" s="1235"/>
      <c r="D540" s="1279">
        <f>_xlfn.XLOOKUP(B540,Códigos!$A$489:$A$522,Códigos!$B$489:$B$522,"Verificar",0)</f>
        <v>0</v>
      </c>
      <c r="E540" s="1279">
        <f>_xlfn.XLOOKUP(C540,Códigos!$A$11:$A$415,Códigos!$B$11:$B$415,"Verificar",0)</f>
        <v>0</v>
      </c>
      <c r="F540" s="1239"/>
      <c r="G540" s="1239">
        <f t="shared" si="21"/>
        <v>634239583</v>
      </c>
      <c r="H540" s="1049"/>
      <c r="I540" s="561"/>
      <c r="J540" s="54"/>
    </row>
    <row r="541" spans="1:10" x14ac:dyDescent="0.2">
      <c r="A541" s="1236"/>
      <c r="B541" s="1233"/>
      <c r="C541" s="1235"/>
      <c r="D541" s="1279">
        <f>_xlfn.XLOOKUP(B541,Códigos!$A$489:$A$522,Códigos!$B$489:$B$522,"Verificar",0)</f>
        <v>0</v>
      </c>
      <c r="E541" s="1279">
        <f>_xlfn.XLOOKUP(C541,Códigos!$A$11:$A$415,Códigos!$B$11:$B$415,"Verificar",0)</f>
        <v>0</v>
      </c>
      <c r="F541" s="1239"/>
      <c r="G541" s="1239">
        <f t="shared" si="21"/>
        <v>634239583</v>
      </c>
      <c r="H541" s="1052"/>
      <c r="I541" s="561"/>
      <c r="J541" s="54"/>
    </row>
    <row r="542" spans="1:10" x14ac:dyDescent="0.2">
      <c r="A542" s="1236"/>
      <c r="B542" s="1233"/>
      <c r="C542" s="1235"/>
      <c r="D542" s="1279">
        <f>_xlfn.XLOOKUP(B542,Códigos!$A$489:$A$522,Códigos!$B$489:$B$522,"Verificar",0)</f>
        <v>0</v>
      </c>
      <c r="E542" s="1279">
        <f>_xlfn.XLOOKUP(C542,Códigos!$A$11:$A$415,Códigos!$B$11:$B$415,"Verificar",0)</f>
        <v>0</v>
      </c>
      <c r="F542" s="1239"/>
      <c r="G542" s="1239">
        <f t="shared" si="21"/>
        <v>634239583</v>
      </c>
      <c r="H542" s="1052"/>
      <c r="I542" s="561"/>
      <c r="J542" s="54"/>
    </row>
    <row r="543" spans="1:10" x14ac:dyDescent="0.2">
      <c r="A543" s="1236"/>
      <c r="B543" s="1233"/>
      <c r="C543" s="1235"/>
      <c r="D543" s="1279">
        <f>_xlfn.XLOOKUP(B543,Códigos!$A$489:$A$522,Códigos!$B$489:$B$522,"Verificar",0)</f>
        <v>0</v>
      </c>
      <c r="E543" s="1279">
        <f>_xlfn.XLOOKUP(C543,Códigos!$A$11:$A$415,Códigos!$B$11:$B$415,"Verificar",0)</f>
        <v>0</v>
      </c>
      <c r="F543" s="1239"/>
      <c r="G543" s="1239">
        <f t="shared" si="21"/>
        <v>634239583</v>
      </c>
      <c r="H543" s="1049"/>
      <c r="I543" s="561"/>
      <c r="J543" s="54"/>
    </row>
    <row r="544" spans="1:10" x14ac:dyDescent="0.2">
      <c r="A544" s="1236"/>
      <c r="B544" s="1233"/>
      <c r="C544" s="1235"/>
      <c r="D544" s="1279">
        <f>_xlfn.XLOOKUP(B544,Códigos!$A$489:$A$522,Códigos!$B$489:$B$522,"Verificar",0)</f>
        <v>0</v>
      </c>
      <c r="E544" s="1279">
        <f>_xlfn.XLOOKUP(C544,Códigos!$A$11:$A$415,Códigos!$B$11:$B$415,"Verificar",0)</f>
        <v>0</v>
      </c>
      <c r="F544" s="1239"/>
      <c r="G544" s="1239">
        <f t="shared" si="21"/>
        <v>634239583</v>
      </c>
      <c r="H544" s="1049"/>
      <c r="I544" s="561"/>
      <c r="J544" s="54"/>
    </row>
    <row r="545" spans="1:10" x14ac:dyDescent="0.2">
      <c r="A545" s="1236"/>
      <c r="B545" s="1233"/>
      <c r="C545" s="1235"/>
      <c r="D545" s="1279">
        <f>_xlfn.XLOOKUP(B545,Códigos!$A$489:$A$522,Códigos!$B$489:$B$522,"Verificar",0)</f>
        <v>0</v>
      </c>
      <c r="E545" s="1279">
        <f>_xlfn.XLOOKUP(C545,Códigos!$A$11:$A$415,Códigos!$B$11:$B$415,"Verificar",0)</f>
        <v>0</v>
      </c>
      <c r="F545" s="1239"/>
      <c r="G545" s="1239">
        <f t="shared" si="21"/>
        <v>634239583</v>
      </c>
      <c r="H545" s="1049"/>
      <c r="I545" s="561"/>
      <c r="J545" s="54"/>
    </row>
    <row r="546" spans="1:10" x14ac:dyDescent="0.2">
      <c r="A546" s="1236"/>
      <c r="B546" s="1233"/>
      <c r="C546" s="1235"/>
      <c r="D546" s="1279">
        <f>_xlfn.XLOOKUP(B546,Códigos!$A$489:$A$522,Códigos!$B$489:$B$522,"Verificar",0)</f>
        <v>0</v>
      </c>
      <c r="E546" s="1279">
        <f>_xlfn.XLOOKUP(C546,Códigos!$A$11:$A$415,Códigos!$B$11:$B$415,"Verificar",0)</f>
        <v>0</v>
      </c>
      <c r="F546" s="1239"/>
      <c r="G546" s="1239">
        <f t="shared" si="21"/>
        <v>634239583</v>
      </c>
      <c r="H546" s="1049"/>
      <c r="I546" s="561"/>
      <c r="J546" s="54"/>
    </row>
    <row r="547" spans="1:10" x14ac:dyDescent="0.2">
      <c r="A547" s="1236"/>
      <c r="B547" s="1233"/>
      <c r="C547" s="1235"/>
      <c r="D547" s="1279">
        <f>_xlfn.XLOOKUP(B547,Códigos!$A$489:$A$522,Códigos!$B$489:$B$522,"Verificar",0)</f>
        <v>0</v>
      </c>
      <c r="E547" s="1279">
        <f>_xlfn.XLOOKUP(C547,Códigos!$A$11:$A$415,Códigos!$B$11:$B$415,"Verificar",0)</f>
        <v>0</v>
      </c>
      <c r="F547" s="1239"/>
      <c r="G547" s="1239">
        <f t="shared" si="21"/>
        <v>634239583</v>
      </c>
      <c r="H547" s="1049"/>
      <c r="I547" s="561"/>
      <c r="J547" s="54"/>
    </row>
    <row r="548" spans="1:10" x14ac:dyDescent="0.2">
      <c r="A548" s="1236"/>
      <c r="B548" s="1233"/>
      <c r="C548" s="1235"/>
      <c r="D548" s="1279">
        <f>_xlfn.XLOOKUP(B548,Códigos!$A$489:$A$522,Códigos!$B$489:$B$522,"Verificar",0)</f>
        <v>0</v>
      </c>
      <c r="E548" s="1279">
        <f>_xlfn.XLOOKUP(C548,Códigos!$A$11:$A$415,Códigos!$B$11:$B$415,"Verificar",0)</f>
        <v>0</v>
      </c>
      <c r="F548" s="1239"/>
      <c r="G548" s="1239">
        <f t="shared" si="21"/>
        <v>634239583</v>
      </c>
      <c r="H548" s="1049"/>
      <c r="I548" s="561"/>
      <c r="J548" s="54"/>
    </row>
    <row r="549" spans="1:10" x14ac:dyDescent="0.2">
      <c r="A549" s="1236"/>
      <c r="B549" s="1233"/>
      <c r="C549" s="1235"/>
      <c r="D549" s="1279">
        <f>_xlfn.XLOOKUP(B549,Códigos!$A$489:$A$522,Códigos!$B$489:$B$522,"Verificar",0)</f>
        <v>0</v>
      </c>
      <c r="E549" s="1279">
        <f>_xlfn.XLOOKUP(C549,Códigos!$A$11:$A$415,Códigos!$B$11:$B$415,"Verificar",0)</f>
        <v>0</v>
      </c>
      <c r="F549" s="1239"/>
      <c r="G549" s="1239">
        <f t="shared" si="21"/>
        <v>634239583</v>
      </c>
      <c r="H549" s="1052"/>
      <c r="I549" s="561"/>
      <c r="J549" s="54"/>
    </row>
    <row r="550" spans="1:10" x14ac:dyDescent="0.2">
      <c r="A550" s="1236"/>
      <c r="B550" s="1233"/>
      <c r="C550" s="1235"/>
      <c r="D550" s="1279">
        <f>_xlfn.XLOOKUP(B550,Códigos!$A$489:$A$522,Códigos!$B$489:$B$522,"Verificar",0)</f>
        <v>0</v>
      </c>
      <c r="E550" s="1279">
        <f>_xlfn.XLOOKUP(C550,Códigos!$A$11:$A$415,Códigos!$B$11:$B$415,"Verificar",0)</f>
        <v>0</v>
      </c>
      <c r="F550" s="1239"/>
      <c r="G550" s="1239">
        <f t="shared" si="21"/>
        <v>634239583</v>
      </c>
      <c r="H550" s="1049"/>
      <c r="I550" s="561"/>
      <c r="J550" s="54"/>
    </row>
    <row r="551" spans="1:10" x14ac:dyDescent="0.2">
      <c r="A551" s="1236"/>
      <c r="B551" s="1233"/>
      <c r="C551" s="1235"/>
      <c r="D551" s="1279">
        <f>_xlfn.XLOOKUP(B551,Códigos!$A$489:$A$522,Códigos!$B$489:$B$522,"Verificar",0)</f>
        <v>0</v>
      </c>
      <c r="E551" s="1279">
        <f>_xlfn.XLOOKUP(C551,Códigos!$A$11:$A$415,Códigos!$B$11:$B$415,"Verificar",0)</f>
        <v>0</v>
      </c>
      <c r="F551" s="1239"/>
      <c r="G551" s="1239">
        <f t="shared" si="21"/>
        <v>634239583</v>
      </c>
      <c r="H551" s="1049"/>
      <c r="I551" s="561"/>
      <c r="J551" s="54"/>
    </row>
    <row r="552" spans="1:10" x14ac:dyDescent="0.2">
      <c r="A552" s="1236"/>
      <c r="B552" s="1233"/>
      <c r="C552" s="1235"/>
      <c r="D552" s="1279">
        <f>_xlfn.XLOOKUP(B552,Códigos!$A$489:$A$522,Códigos!$B$489:$B$522,"Verificar",0)</f>
        <v>0</v>
      </c>
      <c r="E552" s="1279">
        <f>_xlfn.XLOOKUP(C552,Códigos!$A$11:$A$415,Códigos!$B$11:$B$415,"Verificar",0)</f>
        <v>0</v>
      </c>
      <c r="F552" s="1239"/>
      <c r="G552" s="1239">
        <f t="shared" si="21"/>
        <v>634239583</v>
      </c>
      <c r="H552" s="1049"/>
      <c r="I552" s="561"/>
      <c r="J552" s="54"/>
    </row>
    <row r="553" spans="1:10" x14ac:dyDescent="0.2">
      <c r="A553" s="1236"/>
      <c r="B553" s="1233"/>
      <c r="C553" s="1187"/>
      <c r="D553" s="1279">
        <f>_xlfn.XLOOKUP(B553,Códigos!$A$489:$A$522,Códigos!$B$489:$B$522,"Verificar",0)</f>
        <v>0</v>
      </c>
      <c r="E553" s="1279">
        <f>_xlfn.XLOOKUP(C553,Códigos!$A$11:$A$415,Códigos!$B$11:$B$415,"Verificar",0)</f>
        <v>0</v>
      </c>
      <c r="F553" s="1239"/>
      <c r="G553" s="1239">
        <f t="shared" si="21"/>
        <v>634239583</v>
      </c>
      <c r="H553" s="1049"/>
      <c r="I553" s="561"/>
      <c r="J553" s="54"/>
    </row>
    <row r="554" spans="1:10" x14ac:dyDescent="0.2">
      <c r="A554" s="1236"/>
      <c r="B554" s="1233"/>
      <c r="C554" s="1235"/>
      <c r="D554" s="1279">
        <f>_xlfn.XLOOKUP(B554,Códigos!$A$489:$A$522,Códigos!$B$489:$B$522,"Verificar",0)</f>
        <v>0</v>
      </c>
      <c r="E554" s="1279">
        <f>_xlfn.XLOOKUP(C554,Códigos!$A$11:$A$415,Códigos!$B$11:$B$415,"Verificar",0)</f>
        <v>0</v>
      </c>
      <c r="F554" s="1239"/>
      <c r="G554" s="1239">
        <f t="shared" si="21"/>
        <v>634239583</v>
      </c>
      <c r="H554" s="1050"/>
      <c r="I554" s="561"/>
      <c r="J554" s="54"/>
    </row>
    <row r="555" spans="1:10" x14ac:dyDescent="0.2">
      <c r="A555" s="1236"/>
      <c r="B555" s="1233"/>
      <c r="C555" s="1235"/>
      <c r="D555" s="1279">
        <f>_xlfn.XLOOKUP(B555,Códigos!$A$489:$A$522,Códigos!$B$489:$B$522,"Verificar",0)</f>
        <v>0</v>
      </c>
      <c r="E555" s="1279">
        <f>_xlfn.XLOOKUP(C555,Códigos!$A$11:$A$415,Códigos!$B$11:$B$415,"Verificar",0)</f>
        <v>0</v>
      </c>
      <c r="F555" s="1239"/>
      <c r="G555" s="1239">
        <f t="shared" si="21"/>
        <v>634239583</v>
      </c>
      <c r="H555" s="1050"/>
      <c r="I555" s="561"/>
      <c r="J555" s="54"/>
    </row>
    <row r="556" spans="1:10" x14ac:dyDescent="0.2">
      <c r="A556" s="1236"/>
      <c r="B556" s="1233"/>
      <c r="C556" s="1187"/>
      <c r="D556" s="1279">
        <f>_xlfn.XLOOKUP(B556,Códigos!$A$489:$A$522,Códigos!$B$489:$B$522,"Verificar",0)</f>
        <v>0</v>
      </c>
      <c r="E556" s="1279">
        <f>_xlfn.XLOOKUP(C556,Códigos!$A$11:$A$415,Códigos!$B$11:$B$415,"Verificar",0)</f>
        <v>0</v>
      </c>
      <c r="F556" s="1239"/>
      <c r="G556" s="1239">
        <f t="shared" si="21"/>
        <v>634239583</v>
      </c>
      <c r="H556" s="1049"/>
      <c r="I556" s="561"/>
      <c r="J556" s="54"/>
    </row>
    <row r="557" spans="1:10" x14ac:dyDescent="0.2">
      <c r="A557" s="1236"/>
      <c r="B557" s="1233"/>
      <c r="C557" s="1187"/>
      <c r="D557" s="1279">
        <f>_xlfn.XLOOKUP(B557,Códigos!$A$489:$A$522,Códigos!$B$489:$B$522,"Verificar",0)</f>
        <v>0</v>
      </c>
      <c r="E557" s="1279">
        <f>_xlfn.XLOOKUP(C557,Códigos!$A$11:$A$415,Códigos!$B$11:$B$415,"Verificar",0)</f>
        <v>0</v>
      </c>
      <c r="F557" s="1239"/>
      <c r="G557" s="1239">
        <f t="shared" si="21"/>
        <v>634239583</v>
      </c>
      <c r="H557" s="1049"/>
      <c r="I557" s="561"/>
      <c r="J557" s="54"/>
    </row>
    <row r="558" spans="1:10" x14ac:dyDescent="0.2">
      <c r="A558" s="1236"/>
      <c r="B558" s="1233"/>
      <c r="C558" s="1187"/>
      <c r="D558" s="1279">
        <f>_xlfn.XLOOKUP(B558,Códigos!$A$489:$A$522,Códigos!$B$489:$B$522,"Verificar",0)</f>
        <v>0</v>
      </c>
      <c r="E558" s="1279">
        <f>_xlfn.XLOOKUP(C558,Códigos!$A$11:$A$415,Códigos!$B$11:$B$415,"Verificar",0)</f>
        <v>0</v>
      </c>
      <c r="F558" s="1239"/>
      <c r="G558" s="1239">
        <f t="shared" ref="G558:G616" si="23">+G557+F558</f>
        <v>634239583</v>
      </c>
      <c r="H558" s="1049"/>
      <c r="I558" s="561"/>
      <c r="J558" s="54"/>
    </row>
    <row r="559" spans="1:10" x14ac:dyDescent="0.2">
      <c r="A559" s="1236"/>
      <c r="B559" s="1233"/>
      <c r="C559" s="1187"/>
      <c r="D559" s="1279">
        <f>_xlfn.XLOOKUP(B559,Códigos!$A$489:$A$522,Códigos!$B$489:$B$522,"Verificar",0)</f>
        <v>0</v>
      </c>
      <c r="E559" s="1279">
        <f>_xlfn.XLOOKUP(C559,Códigos!$A$11:$A$415,Códigos!$B$11:$B$415,"Verificar",0)</f>
        <v>0</v>
      </c>
      <c r="F559" s="1239"/>
      <c r="G559" s="1239">
        <f t="shared" si="23"/>
        <v>634239583</v>
      </c>
      <c r="H559" s="1049"/>
      <c r="I559" s="561"/>
      <c r="J559" s="54"/>
    </row>
    <row r="560" spans="1:10" x14ac:dyDescent="0.2">
      <c r="A560" s="1236"/>
      <c r="B560" s="1233"/>
      <c r="C560" s="1187"/>
      <c r="D560" s="1279">
        <f>_xlfn.XLOOKUP(B560,Códigos!$A$489:$A$522,Códigos!$B$489:$B$522,"Verificar",0)</f>
        <v>0</v>
      </c>
      <c r="E560" s="1279">
        <f>_xlfn.XLOOKUP(C560,Códigos!$A$11:$A$415,Códigos!$B$11:$B$415,"Verificar",0)</f>
        <v>0</v>
      </c>
      <c r="F560" s="1239"/>
      <c r="G560" s="1239">
        <f t="shared" si="23"/>
        <v>634239583</v>
      </c>
      <c r="H560" s="1049"/>
      <c r="I560" s="561"/>
      <c r="J560" s="54"/>
    </row>
    <row r="561" spans="1:10" x14ac:dyDescent="0.2">
      <c r="A561" s="1236"/>
      <c r="B561" s="1233"/>
      <c r="C561" s="1187"/>
      <c r="D561" s="1279">
        <f>_xlfn.XLOOKUP(B561,Códigos!$A$489:$A$522,Códigos!$B$489:$B$522,"Verificar",0)</f>
        <v>0</v>
      </c>
      <c r="E561" s="1279">
        <f>_xlfn.XLOOKUP(C561,Códigos!$A$11:$A$415,Códigos!$B$11:$B$415,"Verificar",0)</f>
        <v>0</v>
      </c>
      <c r="F561" s="1239"/>
      <c r="G561" s="1239">
        <f t="shared" si="23"/>
        <v>634239583</v>
      </c>
      <c r="H561" s="1049"/>
      <c r="I561" s="561"/>
      <c r="J561" s="54"/>
    </row>
    <row r="562" spans="1:10" x14ac:dyDescent="0.2">
      <c r="A562" s="1236"/>
      <c r="B562" s="1233"/>
      <c r="C562" s="1187"/>
      <c r="D562" s="1279">
        <f>_xlfn.XLOOKUP(B562,Códigos!$A$489:$A$522,Códigos!$B$489:$B$522,"Verificar",0)</f>
        <v>0</v>
      </c>
      <c r="E562" s="1279">
        <f>_xlfn.XLOOKUP(C562,Códigos!$A$11:$A$415,Códigos!$B$11:$B$415,"Verificar",0)</f>
        <v>0</v>
      </c>
      <c r="F562" s="1239"/>
      <c r="G562" s="1239">
        <f t="shared" si="23"/>
        <v>634239583</v>
      </c>
      <c r="H562" s="1049"/>
      <c r="I562" s="561"/>
      <c r="J562" s="54"/>
    </row>
    <row r="563" spans="1:10" x14ac:dyDescent="0.2">
      <c r="A563" s="1236"/>
      <c r="B563" s="1233"/>
      <c r="C563" s="1235"/>
      <c r="D563" s="1279">
        <f>_xlfn.XLOOKUP(B563,Códigos!$A$489:$A$522,Códigos!$B$489:$B$522,"Verificar",0)</f>
        <v>0</v>
      </c>
      <c r="E563" s="1279">
        <f>_xlfn.XLOOKUP(C563,Códigos!$A$11:$A$415,Códigos!$B$11:$B$415,"Verificar",0)</f>
        <v>0</v>
      </c>
      <c r="F563" s="1239"/>
      <c r="G563" s="1239">
        <f>+G562+F563</f>
        <v>634239583</v>
      </c>
      <c r="H563" s="1049"/>
      <c r="I563" s="561"/>
      <c r="J563" s="54"/>
    </row>
    <row r="564" spans="1:10" x14ac:dyDescent="0.2">
      <c r="A564" s="1232"/>
      <c r="B564" s="1233"/>
      <c r="C564" s="1187"/>
      <c r="D564" s="1279">
        <f>_xlfn.XLOOKUP(B564,Códigos!$A$489:$A$522,Códigos!$B$489:$B$522,"Verificar",0)</f>
        <v>0</v>
      </c>
      <c r="E564" s="1279">
        <f>_xlfn.XLOOKUP(C564,Códigos!$A$11:$A$415,Códigos!$B$11:$B$415,"Verificar",0)</f>
        <v>0</v>
      </c>
      <c r="F564" s="1239"/>
      <c r="G564" s="1239">
        <f t="shared" ref="G564:G568" si="24">+G563+F564</f>
        <v>634239583</v>
      </c>
      <c r="H564" s="1049"/>
      <c r="I564" s="561"/>
      <c r="J564" s="54"/>
    </row>
    <row r="565" spans="1:10" x14ac:dyDescent="0.2">
      <c r="A565" s="1236"/>
      <c r="B565" s="1233"/>
      <c r="C565" s="1187"/>
      <c r="D565" s="1279">
        <f>_xlfn.XLOOKUP(B565,Códigos!$A$489:$A$522,Códigos!$B$489:$B$522,"Verificar",0)</f>
        <v>0</v>
      </c>
      <c r="E565" s="1279">
        <f>_xlfn.XLOOKUP(C565,Códigos!$A$11:$A$415,Códigos!$B$11:$B$415,"Verificar",0)</f>
        <v>0</v>
      </c>
      <c r="F565" s="1239"/>
      <c r="G565" s="1239">
        <f t="shared" si="24"/>
        <v>634239583</v>
      </c>
      <c r="H565" s="1049"/>
      <c r="I565" s="561"/>
      <c r="J565" s="54"/>
    </row>
    <row r="566" spans="1:10" x14ac:dyDescent="0.2">
      <c r="A566" s="1236"/>
      <c r="B566" s="1233"/>
      <c r="C566" s="1235"/>
      <c r="D566" s="1271"/>
      <c r="E566" s="1271"/>
      <c r="F566" s="1239"/>
      <c r="G566" s="1239">
        <f t="shared" si="24"/>
        <v>634239583</v>
      </c>
      <c r="H566" s="1049"/>
      <c r="I566" s="561"/>
      <c r="J566" s="54"/>
    </row>
    <row r="567" spans="1:10" ht="15" customHeight="1" x14ac:dyDescent="0.2">
      <c r="A567" s="1236"/>
      <c r="B567" s="1233"/>
      <c r="C567" s="1235"/>
      <c r="D567" s="1271"/>
      <c r="E567" s="1271"/>
      <c r="F567" s="1239"/>
      <c r="G567" s="1239">
        <f t="shared" si="24"/>
        <v>634239583</v>
      </c>
      <c r="H567" s="1049"/>
      <c r="I567" s="561"/>
      <c r="J567" s="54"/>
    </row>
    <row r="568" spans="1:10" x14ac:dyDescent="0.2">
      <c r="A568" s="1236"/>
      <c r="B568" s="1233"/>
      <c r="C568" s="1187"/>
      <c r="D568" s="1271"/>
      <c r="E568" s="1271"/>
      <c r="F568" s="1239"/>
      <c r="G568" s="1239">
        <f t="shared" si="24"/>
        <v>634239583</v>
      </c>
      <c r="H568" s="1049"/>
      <c r="I568" s="561"/>
      <c r="J568" s="54"/>
    </row>
    <row r="569" spans="1:10" x14ac:dyDescent="0.2">
      <c r="A569" s="1236"/>
      <c r="B569" s="1233"/>
      <c r="C569" s="1187"/>
      <c r="D569" s="1271"/>
      <c r="E569" s="1271"/>
      <c r="F569" s="1239"/>
      <c r="G569" s="1239">
        <f t="shared" si="23"/>
        <v>634239583</v>
      </c>
      <c r="H569" s="1049"/>
      <c r="I569" s="561"/>
      <c r="J569" s="54"/>
    </row>
    <row r="570" spans="1:10" x14ac:dyDescent="0.2">
      <c r="A570" s="1236"/>
      <c r="B570" s="1233"/>
      <c r="C570" s="1187"/>
      <c r="D570" s="1271"/>
      <c r="E570" s="1271"/>
      <c r="F570" s="1239"/>
      <c r="G570" s="1239">
        <f t="shared" ref="G570" si="25">+G569+F570</f>
        <v>634239583</v>
      </c>
      <c r="H570" s="1049"/>
      <c r="I570" s="561"/>
      <c r="J570" s="54"/>
    </row>
    <row r="571" spans="1:10" x14ac:dyDescent="0.2">
      <c r="A571" s="1236"/>
      <c r="B571" s="1233"/>
      <c r="C571" s="1187"/>
      <c r="D571" s="1271"/>
      <c r="E571" s="1271"/>
      <c r="F571" s="1239"/>
      <c r="G571" s="1239">
        <f t="shared" si="23"/>
        <v>634239583</v>
      </c>
      <c r="H571" s="1049"/>
      <c r="I571" s="561"/>
      <c r="J571" s="54"/>
    </row>
    <row r="572" spans="1:10" x14ac:dyDescent="0.2">
      <c r="A572" s="1236"/>
      <c r="B572" s="1233"/>
      <c r="C572" s="1235"/>
      <c r="D572" s="1271"/>
      <c r="E572" s="1271"/>
      <c r="F572" s="1239"/>
      <c r="G572" s="1239">
        <f t="shared" si="23"/>
        <v>634239583</v>
      </c>
      <c r="H572" s="1049"/>
      <c r="I572" s="561"/>
      <c r="J572" s="54"/>
    </row>
    <row r="573" spans="1:10" x14ac:dyDescent="0.2">
      <c r="A573" s="1236"/>
      <c r="B573" s="1233"/>
      <c r="C573" s="1235"/>
      <c r="D573" s="1271"/>
      <c r="E573" s="1271"/>
      <c r="F573" s="1239"/>
      <c r="G573" s="1239">
        <f t="shared" si="23"/>
        <v>634239583</v>
      </c>
      <c r="H573" s="1049"/>
      <c r="I573" s="561"/>
      <c r="J573" s="54"/>
    </row>
    <row r="574" spans="1:10" x14ac:dyDescent="0.2">
      <c r="A574" s="1236"/>
      <c r="B574" s="1233"/>
      <c r="C574" s="1235"/>
      <c r="D574" s="1271"/>
      <c r="E574" s="1271"/>
      <c r="F574" s="1239"/>
      <c r="G574" s="1239">
        <f t="shared" si="23"/>
        <v>634239583</v>
      </c>
      <c r="H574" s="1049"/>
      <c r="I574" s="561"/>
      <c r="J574" s="54"/>
    </row>
    <row r="575" spans="1:10" x14ac:dyDescent="0.2">
      <c r="A575" s="1236"/>
      <c r="B575" s="1233"/>
      <c r="C575" s="1187"/>
      <c r="D575" s="1271"/>
      <c r="E575" s="1271"/>
      <c r="F575" s="1239"/>
      <c r="G575" s="1239">
        <f t="shared" si="23"/>
        <v>634239583</v>
      </c>
      <c r="H575" s="1049"/>
      <c r="I575" s="561"/>
      <c r="J575" s="54"/>
    </row>
    <row r="576" spans="1:10" x14ac:dyDescent="0.2">
      <c r="A576" s="1236"/>
      <c r="B576" s="1233"/>
      <c r="C576" s="1187"/>
      <c r="D576" s="1271"/>
      <c r="E576" s="1271"/>
      <c r="F576" s="1239"/>
      <c r="G576" s="1239">
        <f t="shared" ref="G576" si="26">+G575+F576</f>
        <v>634239583</v>
      </c>
      <c r="H576" s="1049"/>
      <c r="I576" s="561"/>
      <c r="J576" s="54"/>
    </row>
    <row r="577" spans="1:10" x14ac:dyDescent="0.2">
      <c r="A577" s="1236"/>
      <c r="B577" s="1233"/>
      <c r="C577" s="1235"/>
      <c r="D577" s="1271"/>
      <c r="E577" s="1271"/>
      <c r="F577" s="1239"/>
      <c r="G577" s="1239">
        <f t="shared" si="23"/>
        <v>634239583</v>
      </c>
      <c r="H577" s="1049"/>
      <c r="I577" s="561"/>
      <c r="J577" s="54"/>
    </row>
    <row r="578" spans="1:10" x14ac:dyDescent="0.2">
      <c r="A578" s="1236"/>
      <c r="B578" s="1233"/>
      <c r="C578" s="1235"/>
      <c r="D578" s="1271"/>
      <c r="E578" s="1271"/>
      <c r="F578" s="1239"/>
      <c r="G578" s="1239">
        <f t="shared" si="23"/>
        <v>634239583</v>
      </c>
      <c r="H578" s="1049"/>
      <c r="I578" s="561"/>
      <c r="J578" s="54"/>
    </row>
    <row r="579" spans="1:10" x14ac:dyDescent="0.2">
      <c r="A579" s="1236"/>
      <c r="B579" s="1233"/>
      <c r="C579" s="1235"/>
      <c r="D579" s="1271"/>
      <c r="E579" s="1271"/>
      <c r="F579" s="1239"/>
      <c r="G579" s="1239">
        <f t="shared" si="23"/>
        <v>634239583</v>
      </c>
      <c r="H579" s="1049"/>
      <c r="I579" s="561"/>
      <c r="J579" s="54"/>
    </row>
    <row r="580" spans="1:10" x14ac:dyDescent="0.2">
      <c r="A580" s="1236"/>
      <c r="B580" s="1233"/>
      <c r="C580" s="1235"/>
      <c r="D580" s="1271"/>
      <c r="E580" s="1271"/>
      <c r="F580" s="1239"/>
      <c r="G580" s="1239">
        <f t="shared" si="23"/>
        <v>634239583</v>
      </c>
      <c r="H580" s="1049"/>
      <c r="I580" s="561"/>
      <c r="J580" s="54"/>
    </row>
    <row r="581" spans="1:10" x14ac:dyDescent="0.2">
      <c r="A581" s="1236"/>
      <c r="B581" s="1233"/>
      <c r="C581" s="1235"/>
      <c r="D581" s="1271"/>
      <c r="E581" s="1271"/>
      <c r="F581" s="1239"/>
      <c r="G581" s="1239">
        <f t="shared" si="23"/>
        <v>634239583</v>
      </c>
      <c r="H581" s="1049"/>
      <c r="I581" s="561"/>
      <c r="J581" s="54"/>
    </row>
    <row r="582" spans="1:10" x14ac:dyDescent="0.2">
      <c r="A582" s="1236"/>
      <c r="B582" s="1233"/>
      <c r="C582" s="1235"/>
      <c r="D582" s="1271"/>
      <c r="E582" s="1271"/>
      <c r="F582" s="1239"/>
      <c r="G582" s="1239">
        <f t="shared" si="23"/>
        <v>634239583</v>
      </c>
      <c r="H582" s="1049"/>
      <c r="I582" s="561"/>
      <c r="J582" s="54"/>
    </row>
    <row r="583" spans="1:10" x14ac:dyDescent="0.2">
      <c r="A583" s="1236"/>
      <c r="B583" s="1233"/>
      <c r="C583" s="1235"/>
      <c r="D583" s="1271"/>
      <c r="E583" s="1271"/>
      <c r="F583" s="1239"/>
      <c r="G583" s="1239">
        <f t="shared" si="23"/>
        <v>634239583</v>
      </c>
      <c r="H583" s="1049"/>
      <c r="I583" s="561"/>
      <c r="J583" s="54"/>
    </row>
    <row r="584" spans="1:10" x14ac:dyDescent="0.2">
      <c r="A584" s="1236"/>
      <c r="B584" s="1233"/>
      <c r="C584" s="1187"/>
      <c r="D584" s="1271"/>
      <c r="E584" s="1271"/>
      <c r="F584" s="1239"/>
      <c r="G584" s="1239">
        <f t="shared" si="23"/>
        <v>634239583</v>
      </c>
      <c r="H584" s="1049"/>
      <c r="I584" s="561"/>
      <c r="J584" s="54"/>
    </row>
    <row r="585" spans="1:10" x14ac:dyDescent="0.2">
      <c r="A585" s="1236"/>
      <c r="B585" s="1233"/>
      <c r="C585" s="1187"/>
      <c r="D585" s="1271"/>
      <c r="E585" s="1271"/>
      <c r="F585" s="1239"/>
      <c r="G585" s="1239">
        <f t="shared" si="23"/>
        <v>634239583</v>
      </c>
      <c r="H585" s="1049"/>
      <c r="I585" s="561"/>
      <c r="J585" s="54"/>
    </row>
    <row r="586" spans="1:10" x14ac:dyDescent="0.2">
      <c r="A586" s="1236"/>
      <c r="B586" s="1233"/>
      <c r="C586" s="1187"/>
      <c r="D586" s="1271"/>
      <c r="E586" s="1271"/>
      <c r="F586" s="1239"/>
      <c r="G586" s="1239">
        <f t="shared" si="23"/>
        <v>634239583</v>
      </c>
      <c r="H586" s="1052"/>
      <c r="I586" s="561"/>
      <c r="J586" s="54"/>
    </row>
    <row r="587" spans="1:10" x14ac:dyDescent="0.2">
      <c r="A587" s="1236"/>
      <c r="B587" s="1233"/>
      <c r="C587" s="1187"/>
      <c r="D587" s="1271"/>
      <c r="E587" s="1271"/>
      <c r="F587" s="1239"/>
      <c r="G587" s="1239">
        <f t="shared" si="23"/>
        <v>634239583</v>
      </c>
      <c r="H587" s="1049"/>
      <c r="I587" s="561"/>
      <c r="J587" s="54"/>
    </row>
    <row r="588" spans="1:10" x14ac:dyDescent="0.2">
      <c r="A588" s="1236"/>
      <c r="B588" s="1233"/>
      <c r="C588" s="1187"/>
      <c r="D588" s="1271"/>
      <c r="E588" s="1271"/>
      <c r="F588" s="1239"/>
      <c r="G588" s="1239">
        <f t="shared" si="23"/>
        <v>634239583</v>
      </c>
      <c r="H588" s="1049"/>
      <c r="I588" s="561"/>
      <c r="J588" s="54"/>
    </row>
    <row r="589" spans="1:10" x14ac:dyDescent="0.2">
      <c r="A589" s="1236"/>
      <c r="B589" s="1233"/>
      <c r="C589" s="1187"/>
      <c r="D589" s="1271"/>
      <c r="E589" s="1271"/>
      <c r="F589" s="1239"/>
      <c r="G589" s="1239">
        <f t="shared" si="23"/>
        <v>634239583</v>
      </c>
      <c r="H589" s="1049"/>
      <c r="I589" s="561"/>
      <c r="J589" s="54"/>
    </row>
    <row r="590" spans="1:10" x14ac:dyDescent="0.2">
      <c r="A590" s="1236"/>
      <c r="B590" s="1233"/>
      <c r="C590" s="1235"/>
      <c r="D590" s="1271"/>
      <c r="E590" s="1271"/>
      <c r="F590" s="1239"/>
      <c r="G590" s="1239">
        <f t="shared" si="23"/>
        <v>634239583</v>
      </c>
      <c r="H590" s="1049"/>
      <c r="I590" s="561"/>
      <c r="J590" s="54"/>
    </row>
    <row r="591" spans="1:10" x14ac:dyDescent="0.2">
      <c r="A591" s="1236"/>
      <c r="B591" s="1233"/>
      <c r="C591" s="1235"/>
      <c r="D591" s="1271"/>
      <c r="E591" s="1271"/>
      <c r="F591" s="1239"/>
      <c r="G591" s="1239">
        <f t="shared" si="23"/>
        <v>634239583</v>
      </c>
      <c r="H591" s="1049"/>
      <c r="I591" s="561"/>
      <c r="J591" s="54"/>
    </row>
    <row r="592" spans="1:10" x14ac:dyDescent="0.2">
      <c r="A592" s="1236"/>
      <c r="B592" s="1233"/>
      <c r="C592" s="1235"/>
      <c r="D592" s="1271"/>
      <c r="E592" s="1271"/>
      <c r="F592" s="1239"/>
      <c r="G592" s="1239">
        <f t="shared" si="23"/>
        <v>634239583</v>
      </c>
      <c r="H592" s="1049"/>
      <c r="I592" s="561"/>
      <c r="J592" s="54"/>
    </row>
    <row r="593" spans="1:10" x14ac:dyDescent="0.2">
      <c r="A593" s="1236"/>
      <c r="B593" s="1233"/>
      <c r="C593" s="1235"/>
      <c r="D593" s="1271"/>
      <c r="E593" s="1271"/>
      <c r="F593" s="1239"/>
      <c r="G593" s="1239">
        <f t="shared" si="23"/>
        <v>634239583</v>
      </c>
      <c r="H593" s="1049"/>
      <c r="I593" s="561"/>
      <c r="J593" s="54"/>
    </row>
    <row r="594" spans="1:10" x14ac:dyDescent="0.2">
      <c r="A594" s="1236"/>
      <c r="B594" s="1233"/>
      <c r="C594" s="1235"/>
      <c r="D594" s="1271"/>
      <c r="E594" s="1271"/>
      <c r="F594" s="1239"/>
      <c r="G594" s="1239">
        <f t="shared" si="23"/>
        <v>634239583</v>
      </c>
      <c r="H594" s="1049"/>
      <c r="I594" s="561"/>
      <c r="J594" s="54"/>
    </row>
    <row r="595" spans="1:10" x14ac:dyDescent="0.2">
      <c r="A595" s="1236"/>
      <c r="B595" s="1233"/>
      <c r="C595" s="1235"/>
      <c r="D595" s="1271"/>
      <c r="E595" s="1271"/>
      <c r="F595" s="1239"/>
      <c r="G595" s="1239">
        <f t="shared" si="23"/>
        <v>634239583</v>
      </c>
      <c r="H595" s="1049"/>
      <c r="I595" s="561"/>
      <c r="J595" s="54"/>
    </row>
    <row r="596" spans="1:10" x14ac:dyDescent="0.2">
      <c r="A596" s="1236"/>
      <c r="B596" s="1233"/>
      <c r="C596" s="1235"/>
      <c r="D596" s="1271"/>
      <c r="E596" s="1271"/>
      <c r="F596" s="1239"/>
      <c r="G596" s="1239">
        <f t="shared" si="23"/>
        <v>634239583</v>
      </c>
      <c r="H596" s="1049"/>
      <c r="I596" s="561"/>
      <c r="J596" s="54"/>
    </row>
    <row r="597" spans="1:10" x14ac:dyDescent="0.2">
      <c r="A597" s="1236"/>
      <c r="B597" s="1233"/>
      <c r="C597" s="1187"/>
      <c r="D597" s="1271"/>
      <c r="E597" s="1271"/>
      <c r="F597" s="1239"/>
      <c r="G597" s="1239">
        <f t="shared" si="23"/>
        <v>634239583</v>
      </c>
      <c r="H597" s="1049"/>
      <c r="I597" s="561"/>
      <c r="J597" s="54"/>
    </row>
    <row r="598" spans="1:10" x14ac:dyDescent="0.2">
      <c r="A598" s="1236"/>
      <c r="B598" s="1233"/>
      <c r="C598" s="1187"/>
      <c r="D598" s="1271"/>
      <c r="E598" s="1271"/>
      <c r="F598" s="1239"/>
      <c r="G598" s="1239">
        <f t="shared" si="23"/>
        <v>634239583</v>
      </c>
      <c r="H598" s="1049"/>
      <c r="I598" s="561"/>
      <c r="J598" s="54"/>
    </row>
    <row r="599" spans="1:10" x14ac:dyDescent="0.2">
      <c r="A599" s="1236"/>
      <c r="B599" s="1233"/>
      <c r="C599" s="1235"/>
      <c r="D599" s="1271"/>
      <c r="E599" s="1271"/>
      <c r="F599" s="1239"/>
      <c r="G599" s="1239">
        <f t="shared" si="23"/>
        <v>634239583</v>
      </c>
      <c r="H599" s="1049"/>
      <c r="I599" s="561"/>
      <c r="J599" s="54"/>
    </row>
    <row r="600" spans="1:10" x14ac:dyDescent="0.2">
      <c r="A600" s="1236"/>
      <c r="B600" s="1233"/>
      <c r="C600" s="1235"/>
      <c r="D600" s="1271"/>
      <c r="E600" s="1271"/>
      <c r="F600" s="1239"/>
      <c r="G600" s="1239">
        <f t="shared" si="23"/>
        <v>634239583</v>
      </c>
      <c r="H600" s="1049"/>
      <c r="I600" s="561"/>
      <c r="J600" s="54"/>
    </row>
    <row r="601" spans="1:10" x14ac:dyDescent="0.2">
      <c r="A601" s="1236"/>
      <c r="B601" s="1233"/>
      <c r="C601" s="1187"/>
      <c r="D601" s="1271"/>
      <c r="E601" s="1271"/>
      <c r="F601" s="1239"/>
      <c r="G601" s="1239">
        <f t="shared" si="23"/>
        <v>634239583</v>
      </c>
      <c r="H601" s="1049"/>
      <c r="I601" s="561"/>
      <c r="J601" s="54"/>
    </row>
    <row r="602" spans="1:10" x14ac:dyDescent="0.2">
      <c r="A602" s="1236"/>
      <c r="B602" s="1233"/>
      <c r="C602" s="1235"/>
      <c r="D602" s="1271"/>
      <c r="E602" s="1271"/>
      <c r="F602" s="1239"/>
      <c r="G602" s="1239">
        <f t="shared" si="23"/>
        <v>634239583</v>
      </c>
      <c r="H602" s="1049"/>
      <c r="I602" s="561"/>
      <c r="J602" s="54"/>
    </row>
    <row r="603" spans="1:10" x14ac:dyDescent="0.2">
      <c r="A603" s="1236"/>
      <c r="B603" s="1233"/>
      <c r="C603" s="1235"/>
      <c r="D603" s="1271"/>
      <c r="E603" s="1271"/>
      <c r="F603" s="1239"/>
      <c r="G603" s="1239">
        <f t="shared" si="23"/>
        <v>634239583</v>
      </c>
      <c r="H603" s="1049"/>
      <c r="I603" s="561"/>
      <c r="J603" s="54"/>
    </row>
    <row r="604" spans="1:10" x14ac:dyDescent="0.2">
      <c r="A604" s="1236"/>
      <c r="B604" s="1233"/>
      <c r="C604" s="1235"/>
      <c r="D604" s="1271"/>
      <c r="E604" s="1271"/>
      <c r="F604" s="1239"/>
      <c r="G604" s="1239">
        <f t="shared" si="23"/>
        <v>634239583</v>
      </c>
      <c r="H604" s="1049"/>
      <c r="I604" s="561"/>
      <c r="J604" s="54"/>
    </row>
    <row r="605" spans="1:10" x14ac:dyDescent="0.2">
      <c r="A605" s="1236"/>
      <c r="B605" s="1233"/>
      <c r="C605" s="1235"/>
      <c r="D605" s="1271"/>
      <c r="E605" s="1271"/>
      <c r="F605" s="1239"/>
      <c r="G605" s="1239">
        <f t="shared" si="23"/>
        <v>634239583</v>
      </c>
      <c r="H605" s="1049"/>
      <c r="I605" s="561"/>
      <c r="J605" s="54"/>
    </row>
    <row r="606" spans="1:10" x14ac:dyDescent="0.2">
      <c r="A606" s="1236"/>
      <c r="B606" s="1233"/>
      <c r="C606" s="1235"/>
      <c r="D606" s="1271"/>
      <c r="E606" s="1271"/>
      <c r="F606" s="1239"/>
      <c r="G606" s="1239">
        <f t="shared" si="23"/>
        <v>634239583</v>
      </c>
      <c r="H606" s="1049"/>
      <c r="I606" s="561"/>
      <c r="J606" s="54"/>
    </row>
    <row r="607" spans="1:10" x14ac:dyDescent="0.2">
      <c r="A607" s="1236"/>
      <c r="B607" s="1233"/>
      <c r="C607" s="1235"/>
      <c r="D607" s="1271"/>
      <c r="E607" s="1271"/>
      <c r="F607" s="1239"/>
      <c r="G607" s="1239">
        <f t="shared" si="23"/>
        <v>634239583</v>
      </c>
      <c r="H607" s="1049"/>
      <c r="I607" s="561"/>
      <c r="J607" s="54"/>
    </row>
    <row r="608" spans="1:10" x14ac:dyDescent="0.2">
      <c r="A608" s="1236"/>
      <c r="B608" s="1233"/>
      <c r="C608" s="1187"/>
      <c r="D608" s="1271"/>
      <c r="E608" s="1271"/>
      <c r="F608" s="1239"/>
      <c r="G608" s="1239">
        <f t="shared" si="23"/>
        <v>634239583</v>
      </c>
      <c r="H608" s="1049"/>
      <c r="I608" s="561"/>
      <c r="J608" s="54"/>
    </row>
    <row r="609" spans="1:10" x14ac:dyDescent="0.2">
      <c r="A609" s="1236"/>
      <c r="B609" s="1233"/>
      <c r="C609" s="1235"/>
      <c r="D609" s="1271"/>
      <c r="E609" s="1271"/>
      <c r="F609" s="1239"/>
      <c r="G609" s="1239">
        <f t="shared" si="23"/>
        <v>634239583</v>
      </c>
      <c r="H609" s="1049"/>
      <c r="I609" s="561"/>
      <c r="J609" s="54"/>
    </row>
    <row r="610" spans="1:10" x14ac:dyDescent="0.2">
      <c r="A610" s="1236"/>
      <c r="B610" s="1233"/>
      <c r="C610" s="1187"/>
      <c r="D610" s="1271"/>
      <c r="E610" s="1271"/>
      <c r="F610" s="1239"/>
      <c r="G610" s="1239">
        <f t="shared" si="23"/>
        <v>634239583</v>
      </c>
      <c r="H610" s="1049"/>
      <c r="I610" s="561"/>
      <c r="J610" s="54"/>
    </row>
    <row r="611" spans="1:10" x14ac:dyDescent="0.2">
      <c r="A611" s="1236"/>
      <c r="B611" s="1233"/>
      <c r="C611" s="1187"/>
      <c r="D611" s="1271"/>
      <c r="E611" s="1271"/>
      <c r="F611" s="1239"/>
      <c r="G611" s="1239">
        <f t="shared" si="23"/>
        <v>634239583</v>
      </c>
      <c r="H611" s="1049"/>
      <c r="I611" s="561"/>
      <c r="J611" s="54"/>
    </row>
    <row r="612" spans="1:10" x14ac:dyDescent="0.2">
      <c r="A612" s="1236"/>
      <c r="B612" s="1233"/>
      <c r="C612" s="1187"/>
      <c r="D612" s="1271"/>
      <c r="E612" s="1271"/>
      <c r="F612" s="1239"/>
      <c r="G612" s="1239">
        <f t="shared" si="23"/>
        <v>634239583</v>
      </c>
      <c r="H612" s="1049"/>
      <c r="I612" s="561"/>
      <c r="J612" s="54"/>
    </row>
    <row r="613" spans="1:10" x14ac:dyDescent="0.2">
      <c r="A613" s="1236"/>
      <c r="B613" s="1233"/>
      <c r="C613" s="1187"/>
      <c r="D613" s="1271"/>
      <c r="E613" s="1271"/>
      <c r="F613" s="1239"/>
      <c r="G613" s="1239">
        <f t="shared" si="23"/>
        <v>634239583</v>
      </c>
      <c r="H613" s="1049"/>
      <c r="I613" s="561"/>
      <c r="J613" s="54"/>
    </row>
    <row r="614" spans="1:10" x14ac:dyDescent="0.2">
      <c r="A614" s="1236"/>
      <c r="B614" s="1233"/>
      <c r="C614" s="1187"/>
      <c r="D614" s="1271"/>
      <c r="E614" s="1271"/>
      <c r="F614" s="1239"/>
      <c r="G614" s="1239">
        <f t="shared" si="23"/>
        <v>634239583</v>
      </c>
      <c r="H614" s="1049"/>
      <c r="I614" s="561"/>
      <c r="J614" s="54"/>
    </row>
    <row r="615" spans="1:10" x14ac:dyDescent="0.2">
      <c r="A615" s="1236"/>
      <c r="B615" s="1233"/>
      <c r="C615" s="1235"/>
      <c r="D615" s="1271"/>
      <c r="E615" s="1271"/>
      <c r="F615" s="1239"/>
      <c r="G615" s="1239">
        <f t="shared" si="23"/>
        <v>634239583</v>
      </c>
      <c r="H615" s="1049"/>
      <c r="I615" s="561"/>
      <c r="J615" s="54"/>
    </row>
    <row r="616" spans="1:10" x14ac:dyDescent="0.2">
      <c r="A616" s="1236"/>
      <c r="B616" s="1233"/>
      <c r="C616" s="1187"/>
      <c r="D616" s="1271"/>
      <c r="E616" s="1271"/>
      <c r="F616" s="1239"/>
      <c r="G616" s="1239">
        <f t="shared" si="23"/>
        <v>634239583</v>
      </c>
      <c r="H616" s="1049"/>
      <c r="I616" s="561"/>
      <c r="J616" s="54"/>
    </row>
    <row r="617" spans="1:10" x14ac:dyDescent="0.2">
      <c r="A617" s="1236"/>
      <c r="B617" s="1233"/>
      <c r="C617" s="1187"/>
      <c r="D617" s="1271"/>
      <c r="E617" s="1271"/>
      <c r="F617" s="1239"/>
      <c r="G617" s="1239">
        <f t="shared" ref="G617:G663" si="27">+G616+F617</f>
        <v>634239583</v>
      </c>
      <c r="H617" s="1051"/>
      <c r="I617" s="561"/>
      <c r="J617" s="54"/>
    </row>
    <row r="618" spans="1:10" x14ac:dyDescent="0.2">
      <c r="A618" s="1236"/>
      <c r="B618" s="1233"/>
      <c r="C618" s="1235"/>
      <c r="D618" s="1271"/>
      <c r="E618" s="1271"/>
      <c r="F618" s="1239"/>
      <c r="G618" s="1239">
        <f t="shared" si="27"/>
        <v>634239583</v>
      </c>
      <c r="H618" s="1049"/>
      <c r="I618" s="561"/>
      <c r="J618" s="54"/>
    </row>
    <row r="619" spans="1:10" x14ac:dyDescent="0.2">
      <c r="A619" s="1236"/>
      <c r="B619" s="1233"/>
      <c r="C619" s="1235"/>
      <c r="D619" s="1271"/>
      <c r="E619" s="1271"/>
      <c r="F619" s="1239"/>
      <c r="G619" s="1239">
        <f t="shared" si="27"/>
        <v>634239583</v>
      </c>
      <c r="H619" s="1049"/>
      <c r="I619" s="561"/>
      <c r="J619" s="54"/>
    </row>
    <row r="620" spans="1:10" x14ac:dyDescent="0.2">
      <c r="A620" s="1236"/>
      <c r="B620" s="1233"/>
      <c r="C620" s="1235"/>
      <c r="D620" s="1271"/>
      <c r="E620" s="1271"/>
      <c r="F620" s="1239"/>
      <c r="G620" s="1239">
        <f t="shared" si="27"/>
        <v>634239583</v>
      </c>
      <c r="H620" s="1049"/>
      <c r="I620" s="561"/>
      <c r="J620" s="54"/>
    </row>
    <row r="621" spans="1:10" x14ac:dyDescent="0.2">
      <c r="A621" s="1236"/>
      <c r="B621" s="1233"/>
      <c r="C621" s="1235"/>
      <c r="D621" s="1271"/>
      <c r="E621" s="1271"/>
      <c r="F621" s="1239"/>
      <c r="G621" s="1239">
        <f t="shared" si="27"/>
        <v>634239583</v>
      </c>
      <c r="H621" s="1049"/>
      <c r="I621" s="561"/>
      <c r="J621" s="54"/>
    </row>
    <row r="622" spans="1:10" x14ac:dyDescent="0.2">
      <c r="A622" s="1236"/>
      <c r="B622" s="1233"/>
      <c r="C622" s="1235"/>
      <c r="D622" s="1271"/>
      <c r="E622" s="1271"/>
      <c r="F622" s="1239"/>
      <c r="G622" s="1239">
        <f t="shared" si="27"/>
        <v>634239583</v>
      </c>
      <c r="H622" s="1049"/>
      <c r="I622" s="561"/>
      <c r="J622" s="54"/>
    </row>
    <row r="623" spans="1:10" x14ac:dyDescent="0.2">
      <c r="A623" s="1236"/>
      <c r="B623" s="1233"/>
      <c r="C623" s="1187"/>
      <c r="D623" s="1271"/>
      <c r="E623" s="1271"/>
      <c r="F623" s="1239"/>
      <c r="G623" s="1239">
        <f t="shared" si="27"/>
        <v>634239583</v>
      </c>
      <c r="H623" s="1049"/>
      <c r="I623" s="561"/>
      <c r="J623" s="54"/>
    </row>
    <row r="624" spans="1:10" x14ac:dyDescent="0.2">
      <c r="A624" s="1236"/>
      <c r="B624" s="1233"/>
      <c r="C624" s="1235"/>
      <c r="D624" s="1271"/>
      <c r="E624" s="1271"/>
      <c r="F624" s="1239"/>
      <c r="G624" s="1239">
        <f t="shared" si="27"/>
        <v>634239583</v>
      </c>
      <c r="H624" s="1049"/>
      <c r="I624" s="561"/>
      <c r="J624" s="54"/>
    </row>
    <row r="625" spans="1:10" x14ac:dyDescent="0.2">
      <c r="A625" s="1236"/>
      <c r="B625" s="1233"/>
      <c r="C625" s="1187"/>
      <c r="D625" s="1271"/>
      <c r="E625" s="1271"/>
      <c r="F625" s="1239"/>
      <c r="G625" s="1239">
        <f t="shared" si="27"/>
        <v>634239583</v>
      </c>
      <c r="H625" s="1049"/>
      <c r="I625" s="561"/>
      <c r="J625" s="54"/>
    </row>
    <row r="626" spans="1:10" x14ac:dyDescent="0.2">
      <c r="A626" s="1236"/>
      <c r="B626" s="1233"/>
      <c r="C626" s="1187"/>
      <c r="D626" s="1271"/>
      <c r="E626" s="1271"/>
      <c r="F626" s="1239"/>
      <c r="G626" s="1239">
        <f t="shared" si="27"/>
        <v>634239583</v>
      </c>
      <c r="H626" s="1049"/>
      <c r="I626" s="561"/>
      <c r="J626" s="54"/>
    </row>
    <row r="627" spans="1:10" x14ac:dyDescent="0.2">
      <c r="A627" s="1236"/>
      <c r="B627" s="1233"/>
      <c r="C627" s="1235"/>
      <c r="D627" s="1271"/>
      <c r="E627" s="1271"/>
      <c r="F627" s="1239"/>
      <c r="G627" s="1239">
        <f t="shared" si="27"/>
        <v>634239583</v>
      </c>
      <c r="H627" s="1049"/>
      <c r="I627" s="561"/>
      <c r="J627" s="54"/>
    </row>
    <row r="628" spans="1:10" x14ac:dyDescent="0.2">
      <c r="A628" s="1232"/>
      <c r="B628" s="1233"/>
      <c r="C628" s="1187"/>
      <c r="D628" s="1271"/>
      <c r="E628" s="1271"/>
      <c r="F628" s="1239"/>
      <c r="G628" s="1239">
        <f t="shared" si="27"/>
        <v>634239583</v>
      </c>
      <c r="H628" s="1049"/>
      <c r="I628" s="561"/>
      <c r="J628" s="54"/>
    </row>
    <row r="629" spans="1:10" x14ac:dyDescent="0.2">
      <c r="A629" s="1232"/>
      <c r="B629" s="1233"/>
      <c r="C629" s="1235"/>
      <c r="D629" s="1271"/>
      <c r="E629" s="1271"/>
      <c r="F629" s="1239"/>
      <c r="G629" s="1239">
        <f t="shared" si="27"/>
        <v>634239583</v>
      </c>
      <c r="H629" s="1049"/>
      <c r="I629" s="561"/>
      <c r="J629" s="54"/>
    </row>
    <row r="630" spans="1:10" x14ac:dyDescent="0.2">
      <c r="A630" s="1232"/>
      <c r="B630" s="1233"/>
      <c r="C630" s="1235"/>
      <c r="D630" s="1271"/>
      <c r="E630" s="1271"/>
      <c r="F630" s="1239"/>
      <c r="G630" s="1239">
        <f t="shared" si="27"/>
        <v>634239583</v>
      </c>
      <c r="H630" s="1049"/>
      <c r="I630" s="561"/>
      <c r="J630" s="54"/>
    </row>
    <row r="631" spans="1:10" x14ac:dyDescent="0.2">
      <c r="A631" s="1236"/>
      <c r="B631" s="1233"/>
      <c r="C631" s="1187"/>
      <c r="D631" s="1271"/>
      <c r="E631" s="1271"/>
      <c r="F631" s="1239"/>
      <c r="G631" s="1239">
        <f t="shared" si="27"/>
        <v>634239583</v>
      </c>
      <c r="H631" s="1050"/>
      <c r="I631" s="561"/>
      <c r="J631" s="54"/>
    </row>
    <row r="632" spans="1:10" x14ac:dyDescent="0.2">
      <c r="A632" s="1236"/>
      <c r="B632" s="1233"/>
      <c r="C632" s="1187"/>
      <c r="D632" s="1271"/>
      <c r="E632" s="1271"/>
      <c r="F632" s="1239"/>
      <c r="G632" s="1239">
        <f t="shared" si="27"/>
        <v>634239583</v>
      </c>
      <c r="H632" s="1050"/>
      <c r="I632" s="561"/>
      <c r="J632" s="54"/>
    </row>
    <row r="633" spans="1:10" x14ac:dyDescent="0.2">
      <c r="A633" s="1236"/>
      <c r="B633" s="1233"/>
      <c r="C633" s="1187"/>
      <c r="D633" s="1271"/>
      <c r="E633" s="1271"/>
      <c r="F633" s="1239"/>
      <c r="G633" s="1239">
        <f t="shared" si="27"/>
        <v>634239583</v>
      </c>
      <c r="H633" s="1049"/>
      <c r="I633" s="561"/>
      <c r="J633" s="54"/>
    </row>
    <row r="634" spans="1:10" x14ac:dyDescent="0.2">
      <c r="A634" s="1236"/>
      <c r="B634" s="1233"/>
      <c r="C634" s="1187"/>
      <c r="D634" s="1271"/>
      <c r="E634" s="1271"/>
      <c r="F634" s="1239"/>
      <c r="G634" s="1239">
        <f t="shared" si="27"/>
        <v>634239583</v>
      </c>
      <c r="H634" s="1049"/>
      <c r="I634" s="561"/>
      <c r="J634" s="54"/>
    </row>
    <row r="635" spans="1:10" x14ac:dyDescent="0.2">
      <c r="A635" s="1236"/>
      <c r="B635" s="1233"/>
      <c r="C635" s="1235"/>
      <c r="D635" s="1271"/>
      <c r="E635" s="1271"/>
      <c r="F635" s="1239"/>
      <c r="G635" s="1239">
        <f t="shared" si="27"/>
        <v>634239583</v>
      </c>
      <c r="H635" s="1049"/>
      <c r="I635" s="561"/>
      <c r="J635" s="54"/>
    </row>
    <row r="636" spans="1:10" x14ac:dyDescent="0.2">
      <c r="A636" s="1236"/>
      <c r="B636" s="1233"/>
      <c r="C636" s="1235"/>
      <c r="D636" s="1271"/>
      <c r="E636" s="1271"/>
      <c r="F636" s="1239"/>
      <c r="G636" s="1239">
        <f t="shared" si="27"/>
        <v>634239583</v>
      </c>
      <c r="H636" s="1049"/>
      <c r="I636" s="561"/>
      <c r="J636" s="54"/>
    </row>
    <row r="637" spans="1:10" x14ac:dyDescent="0.2">
      <c r="A637" s="1236"/>
      <c r="B637" s="1233"/>
      <c r="C637" s="1235"/>
      <c r="D637" s="1271"/>
      <c r="E637" s="1271"/>
      <c r="F637" s="1239"/>
      <c r="G637" s="1239">
        <f t="shared" si="27"/>
        <v>634239583</v>
      </c>
      <c r="H637" s="1049"/>
      <c r="I637" s="561"/>
      <c r="J637" s="54"/>
    </row>
    <row r="638" spans="1:10" x14ac:dyDescent="0.2">
      <c r="A638" s="1236"/>
      <c r="B638" s="1233"/>
      <c r="C638" s="1235"/>
      <c r="D638" s="1271"/>
      <c r="E638" s="1271"/>
      <c r="F638" s="1239"/>
      <c r="G638" s="1239">
        <f t="shared" si="27"/>
        <v>634239583</v>
      </c>
      <c r="H638" s="1049"/>
      <c r="I638" s="561"/>
      <c r="J638" s="54"/>
    </row>
    <row r="639" spans="1:10" x14ac:dyDescent="0.2">
      <c r="A639" s="1236"/>
      <c r="B639" s="1233"/>
      <c r="C639" s="1187"/>
      <c r="D639" s="1271"/>
      <c r="E639" s="1271"/>
      <c r="F639" s="1239"/>
      <c r="G639" s="1239">
        <f t="shared" si="27"/>
        <v>634239583</v>
      </c>
      <c r="H639" s="1049"/>
      <c r="I639" s="561"/>
      <c r="J639" s="54"/>
    </row>
    <row r="640" spans="1:10" x14ac:dyDescent="0.2">
      <c r="A640" s="1236"/>
      <c r="B640" s="1233"/>
      <c r="C640" s="1187"/>
      <c r="D640" s="1271"/>
      <c r="E640" s="1271"/>
      <c r="F640" s="1239"/>
      <c r="G640" s="1239">
        <f t="shared" si="27"/>
        <v>634239583</v>
      </c>
      <c r="H640" s="1049"/>
      <c r="I640" s="561"/>
      <c r="J640" s="54"/>
    </row>
    <row r="641" spans="1:10" x14ac:dyDescent="0.2">
      <c r="A641" s="1236"/>
      <c r="B641" s="1233"/>
      <c r="C641" s="1187"/>
      <c r="D641" s="1271"/>
      <c r="E641" s="1271"/>
      <c r="F641" s="1239"/>
      <c r="G641" s="1239">
        <f t="shared" si="27"/>
        <v>634239583</v>
      </c>
      <c r="H641" s="1049"/>
      <c r="I641" s="561"/>
      <c r="J641" s="54"/>
    </row>
    <row r="642" spans="1:10" x14ac:dyDescent="0.2">
      <c r="A642" s="1236"/>
      <c r="B642" s="1233"/>
      <c r="C642" s="1187"/>
      <c r="D642" s="1271"/>
      <c r="E642" s="1271"/>
      <c r="F642" s="1239"/>
      <c r="G642" s="1239">
        <f t="shared" si="27"/>
        <v>634239583</v>
      </c>
      <c r="H642" s="1049"/>
      <c r="I642" s="561"/>
      <c r="J642" s="54"/>
    </row>
    <row r="643" spans="1:10" x14ac:dyDescent="0.2">
      <c r="A643" s="1236"/>
      <c r="B643" s="1233"/>
      <c r="C643" s="1187"/>
      <c r="D643" s="1271"/>
      <c r="E643" s="1271"/>
      <c r="F643" s="1239"/>
      <c r="G643" s="1239">
        <f t="shared" si="27"/>
        <v>634239583</v>
      </c>
      <c r="H643" s="1049"/>
      <c r="I643" s="561"/>
      <c r="J643" s="54"/>
    </row>
    <row r="644" spans="1:10" x14ac:dyDescent="0.2">
      <c r="A644" s="1236"/>
      <c r="B644" s="1233"/>
      <c r="C644" s="1187"/>
      <c r="D644" s="1271"/>
      <c r="E644" s="1271"/>
      <c r="F644" s="1239"/>
      <c r="G644" s="1239">
        <f t="shared" si="27"/>
        <v>634239583</v>
      </c>
      <c r="H644" s="1052"/>
      <c r="I644" s="561"/>
      <c r="J644" s="54"/>
    </row>
    <row r="645" spans="1:10" x14ac:dyDescent="0.2">
      <c r="A645" s="1236"/>
      <c r="B645" s="1233"/>
      <c r="C645" s="1187"/>
      <c r="D645" s="1271"/>
      <c r="E645" s="1271"/>
      <c r="F645" s="1239"/>
      <c r="G645" s="1239">
        <f t="shared" si="27"/>
        <v>634239583</v>
      </c>
      <c r="H645" s="1052"/>
      <c r="I645" s="561"/>
      <c r="J645" s="54"/>
    </row>
    <row r="646" spans="1:10" x14ac:dyDescent="0.2">
      <c r="A646" s="1236"/>
      <c r="B646" s="1233"/>
      <c r="C646" s="1235"/>
      <c r="D646" s="1271"/>
      <c r="E646" s="1271"/>
      <c r="F646" s="1239"/>
      <c r="G646" s="1239">
        <f t="shared" si="27"/>
        <v>634239583</v>
      </c>
      <c r="H646" s="1049"/>
      <c r="I646" s="561"/>
      <c r="J646" s="54"/>
    </row>
    <row r="647" spans="1:10" x14ac:dyDescent="0.2">
      <c r="A647" s="1236"/>
      <c r="B647" s="1233"/>
      <c r="C647" s="1187"/>
      <c r="D647" s="1271"/>
      <c r="E647" s="1271"/>
      <c r="F647" s="1239"/>
      <c r="G647" s="1239">
        <f t="shared" si="27"/>
        <v>634239583</v>
      </c>
      <c r="H647" s="1049"/>
      <c r="I647" s="561"/>
      <c r="J647" s="54"/>
    </row>
    <row r="648" spans="1:10" x14ac:dyDescent="0.2">
      <c r="A648" s="1236"/>
      <c r="B648" s="1233"/>
      <c r="C648" s="1187"/>
      <c r="D648" s="1271"/>
      <c r="E648" s="1271"/>
      <c r="F648" s="1239"/>
      <c r="G648" s="1239">
        <f t="shared" si="27"/>
        <v>634239583</v>
      </c>
      <c r="H648" s="1049"/>
      <c r="I648" s="561"/>
      <c r="J648" s="54"/>
    </row>
    <row r="649" spans="1:10" x14ac:dyDescent="0.2">
      <c r="A649" s="1236"/>
      <c r="B649" s="1233"/>
      <c r="C649" s="1235"/>
      <c r="D649" s="1271"/>
      <c r="E649" s="1271"/>
      <c r="F649" s="1239"/>
      <c r="G649" s="1239">
        <f t="shared" si="27"/>
        <v>634239583</v>
      </c>
      <c r="H649" s="1049"/>
      <c r="I649" s="561"/>
      <c r="J649" s="54"/>
    </row>
    <row r="650" spans="1:10" x14ac:dyDescent="0.2">
      <c r="A650" s="1236"/>
      <c r="B650" s="1233"/>
      <c r="C650" s="1187"/>
      <c r="D650" s="1271"/>
      <c r="E650" s="1271"/>
      <c r="F650" s="1239"/>
      <c r="G650" s="1239">
        <f t="shared" si="27"/>
        <v>634239583</v>
      </c>
      <c r="H650" s="1049"/>
      <c r="I650" s="561"/>
      <c r="J650" s="54"/>
    </row>
    <row r="651" spans="1:10" x14ac:dyDescent="0.2">
      <c r="A651" s="1236"/>
      <c r="B651" s="1233"/>
      <c r="C651" s="1187"/>
      <c r="D651" s="1271"/>
      <c r="E651" s="1271"/>
      <c r="F651" s="1239"/>
      <c r="G651" s="1239">
        <f t="shared" si="27"/>
        <v>634239583</v>
      </c>
      <c r="H651" s="1049"/>
      <c r="I651" s="561"/>
      <c r="J651" s="54"/>
    </row>
    <row r="652" spans="1:10" x14ac:dyDescent="0.2">
      <c r="A652" s="1236"/>
      <c r="B652" s="1233"/>
      <c r="C652" s="1187"/>
      <c r="D652" s="1271"/>
      <c r="E652" s="1271"/>
      <c r="F652" s="1239"/>
      <c r="G652" s="1239">
        <f t="shared" si="27"/>
        <v>634239583</v>
      </c>
      <c r="H652" s="1051"/>
      <c r="I652" s="561"/>
      <c r="J652" s="54"/>
    </row>
    <row r="653" spans="1:10" x14ac:dyDescent="0.2">
      <c r="A653" s="1236"/>
      <c r="B653" s="1233"/>
      <c r="C653" s="1187"/>
      <c r="D653" s="1271"/>
      <c r="E653" s="1271"/>
      <c r="F653" s="1239"/>
      <c r="G653" s="1239">
        <f t="shared" si="27"/>
        <v>634239583</v>
      </c>
      <c r="H653" s="1051"/>
      <c r="I653" s="561"/>
      <c r="J653" s="54"/>
    </row>
    <row r="654" spans="1:10" x14ac:dyDescent="0.2">
      <c r="A654" s="1236"/>
      <c r="B654" s="1233"/>
      <c r="C654" s="1187"/>
      <c r="D654" s="1271"/>
      <c r="E654" s="1271"/>
      <c r="F654" s="1239"/>
      <c r="G654" s="1239">
        <f t="shared" si="27"/>
        <v>634239583</v>
      </c>
      <c r="H654" s="1049"/>
      <c r="I654" s="561"/>
      <c r="J654" s="54"/>
    </row>
    <row r="655" spans="1:10" x14ac:dyDescent="0.2">
      <c r="A655" s="1232"/>
      <c r="B655" s="1233"/>
      <c r="C655" s="1187"/>
      <c r="D655" s="1271"/>
      <c r="E655" s="1271"/>
      <c r="F655" s="1239"/>
      <c r="G655" s="1239">
        <f t="shared" si="27"/>
        <v>634239583</v>
      </c>
      <c r="H655" s="1049"/>
      <c r="I655" s="561"/>
      <c r="J655" s="54"/>
    </row>
    <row r="656" spans="1:10" x14ac:dyDescent="0.2">
      <c r="A656" s="1232"/>
      <c r="B656" s="1233"/>
      <c r="C656" s="1187"/>
      <c r="D656" s="1271"/>
      <c r="E656" s="1271"/>
      <c r="F656" s="1239"/>
      <c r="G656" s="1239">
        <f t="shared" si="27"/>
        <v>634239583</v>
      </c>
      <c r="H656" s="1049"/>
      <c r="I656" s="561"/>
      <c r="J656" s="54"/>
    </row>
    <row r="657" spans="1:10" x14ac:dyDescent="0.2">
      <c r="A657" s="1232"/>
      <c r="B657" s="1233"/>
      <c r="C657" s="1187"/>
      <c r="D657" s="1271"/>
      <c r="E657" s="1271"/>
      <c r="F657" s="1239"/>
      <c r="G657" s="1239">
        <f t="shared" si="27"/>
        <v>634239583</v>
      </c>
      <c r="H657" s="1049"/>
      <c r="I657" s="561"/>
      <c r="J657" s="54"/>
    </row>
    <row r="658" spans="1:10" x14ac:dyDescent="0.2">
      <c r="A658" s="1232"/>
      <c r="B658" s="1233"/>
      <c r="C658" s="1187"/>
      <c r="D658" s="1271"/>
      <c r="E658" s="1271"/>
      <c r="F658" s="1239"/>
      <c r="G658" s="1239">
        <f t="shared" si="27"/>
        <v>634239583</v>
      </c>
      <c r="H658" s="1049"/>
      <c r="I658" s="561"/>
      <c r="J658" s="54"/>
    </row>
    <row r="659" spans="1:10" x14ac:dyDescent="0.2">
      <c r="A659" s="1232"/>
      <c r="B659" s="1233"/>
      <c r="C659" s="1187"/>
      <c r="D659" s="1271"/>
      <c r="E659" s="1271"/>
      <c r="F659" s="1239"/>
      <c r="G659" s="1239">
        <f t="shared" si="27"/>
        <v>634239583</v>
      </c>
      <c r="H659" s="1049"/>
      <c r="I659" s="561"/>
      <c r="J659" s="54"/>
    </row>
    <row r="660" spans="1:10" x14ac:dyDescent="0.2">
      <c r="A660" s="1232"/>
      <c r="B660" s="1233"/>
      <c r="C660" s="1235"/>
      <c r="D660" s="1271"/>
      <c r="E660" s="1271"/>
      <c r="F660" s="1239"/>
      <c r="G660" s="1239">
        <f t="shared" si="27"/>
        <v>634239583</v>
      </c>
      <c r="H660" s="1052"/>
      <c r="I660" s="561"/>
      <c r="J660" s="54"/>
    </row>
    <row r="661" spans="1:10" x14ac:dyDescent="0.2">
      <c r="A661" s="1232"/>
      <c r="B661" s="1233"/>
      <c r="C661" s="1187"/>
      <c r="D661" s="1271"/>
      <c r="E661" s="1271"/>
      <c r="F661" s="1239"/>
      <c r="G661" s="1239">
        <f t="shared" si="27"/>
        <v>634239583</v>
      </c>
      <c r="H661" s="1049"/>
      <c r="I661" s="561"/>
      <c r="J661" s="54"/>
    </row>
    <row r="662" spans="1:10" x14ac:dyDescent="0.2">
      <c r="A662" s="1232"/>
      <c r="B662" s="1233"/>
      <c r="C662" s="1187"/>
      <c r="D662" s="1271"/>
      <c r="E662" s="1271"/>
      <c r="F662" s="1239"/>
      <c r="G662" s="1239">
        <f t="shared" si="27"/>
        <v>634239583</v>
      </c>
      <c r="H662" s="1049"/>
      <c r="I662" s="561"/>
      <c r="J662" s="54"/>
    </row>
    <row r="663" spans="1:10" x14ac:dyDescent="0.2">
      <c r="A663" s="1232"/>
      <c r="B663" s="1233"/>
      <c r="C663" s="1187"/>
      <c r="D663" s="1271"/>
      <c r="E663" s="1271"/>
      <c r="F663" s="1239"/>
      <c r="G663" s="1239">
        <f t="shared" si="27"/>
        <v>634239583</v>
      </c>
      <c r="H663" s="1049"/>
      <c r="I663" s="561"/>
      <c r="J663" s="54"/>
    </row>
    <row r="664" spans="1:10" x14ac:dyDescent="0.2">
      <c r="A664" s="1232"/>
      <c r="B664" s="1233"/>
      <c r="C664" s="1187"/>
      <c r="D664" s="1271"/>
      <c r="E664" s="1271"/>
      <c r="F664" s="1239"/>
      <c r="G664" s="1239">
        <f t="shared" ref="G664:G727" si="28">+G663+F664</f>
        <v>634239583</v>
      </c>
      <c r="H664" s="1049"/>
      <c r="I664" s="561"/>
      <c r="J664" s="54"/>
    </row>
    <row r="665" spans="1:10" x14ac:dyDescent="0.2">
      <c r="A665" s="1232"/>
      <c r="B665" s="1233"/>
      <c r="C665" s="1187"/>
      <c r="D665" s="1271"/>
      <c r="E665" s="1271"/>
      <c r="F665" s="1239"/>
      <c r="G665" s="1239">
        <f t="shared" si="28"/>
        <v>634239583</v>
      </c>
      <c r="H665" s="1049"/>
      <c r="I665" s="561"/>
      <c r="J665" s="54"/>
    </row>
    <row r="666" spans="1:10" x14ac:dyDescent="0.2">
      <c r="A666" s="1232"/>
      <c r="B666" s="1233"/>
      <c r="C666" s="1187"/>
      <c r="D666" s="1271"/>
      <c r="E666" s="1271"/>
      <c r="F666" s="1239"/>
      <c r="G666" s="1239">
        <f t="shared" si="28"/>
        <v>634239583</v>
      </c>
      <c r="H666" s="1052"/>
      <c r="I666" s="561"/>
      <c r="J666" s="54"/>
    </row>
    <row r="667" spans="1:10" x14ac:dyDescent="0.2">
      <c r="A667" s="1232"/>
      <c r="B667" s="1233"/>
      <c r="C667" s="1187"/>
      <c r="D667" s="1271"/>
      <c r="E667" s="1271"/>
      <c r="F667" s="1239"/>
      <c r="G667" s="1239">
        <f t="shared" si="28"/>
        <v>634239583</v>
      </c>
      <c r="H667" s="1049"/>
      <c r="I667" s="561"/>
      <c r="J667" s="54"/>
    </row>
    <row r="668" spans="1:10" x14ac:dyDescent="0.2">
      <c r="A668" s="1236"/>
      <c r="B668" s="1233"/>
      <c r="C668" s="1187"/>
      <c r="D668" s="1271"/>
      <c r="E668" s="1271"/>
      <c r="F668" s="1239"/>
      <c r="G668" s="1239">
        <f t="shared" si="28"/>
        <v>634239583</v>
      </c>
      <c r="H668" s="1049"/>
      <c r="I668" s="561"/>
      <c r="J668" s="54"/>
    </row>
    <row r="669" spans="1:10" x14ac:dyDescent="0.2">
      <c r="A669" s="1236"/>
      <c r="B669" s="1233"/>
      <c r="C669" s="1187"/>
      <c r="D669" s="1271"/>
      <c r="E669" s="1271"/>
      <c r="F669" s="1239"/>
      <c r="G669" s="1239">
        <f t="shared" si="28"/>
        <v>634239583</v>
      </c>
      <c r="H669" s="1049"/>
      <c r="I669" s="561"/>
      <c r="J669" s="54"/>
    </row>
    <row r="670" spans="1:10" x14ac:dyDescent="0.2">
      <c r="A670" s="1236"/>
      <c r="B670" s="1233"/>
      <c r="C670" s="1187"/>
      <c r="D670" s="1271"/>
      <c r="E670" s="1271"/>
      <c r="F670" s="1239"/>
      <c r="G670" s="1239">
        <f t="shared" si="28"/>
        <v>634239583</v>
      </c>
      <c r="H670" s="1052"/>
      <c r="I670" s="561"/>
      <c r="J670" s="54"/>
    </row>
    <row r="671" spans="1:10" x14ac:dyDescent="0.2">
      <c r="A671" s="1236"/>
      <c r="B671" s="1233"/>
      <c r="C671" s="1187"/>
      <c r="D671" s="1271"/>
      <c r="E671" s="1271"/>
      <c r="F671" s="1239"/>
      <c r="G671" s="1239">
        <f t="shared" si="28"/>
        <v>634239583</v>
      </c>
      <c r="H671" s="1049"/>
      <c r="I671" s="561"/>
      <c r="J671" s="54"/>
    </row>
    <row r="672" spans="1:10" x14ac:dyDescent="0.2">
      <c r="A672" s="1236"/>
      <c r="B672" s="1233"/>
      <c r="C672" s="1235"/>
      <c r="D672" s="1271"/>
      <c r="E672" s="1271"/>
      <c r="F672" s="1239"/>
      <c r="G672" s="1239">
        <f t="shared" si="28"/>
        <v>634239583</v>
      </c>
      <c r="H672" s="1049"/>
      <c r="I672" s="561"/>
      <c r="J672" s="54"/>
    </row>
    <row r="673" spans="1:10" x14ac:dyDescent="0.2">
      <c r="A673" s="1236"/>
      <c r="B673" s="1233"/>
      <c r="C673" s="1187"/>
      <c r="D673" s="1271"/>
      <c r="E673" s="1271"/>
      <c r="F673" s="1239"/>
      <c r="G673" s="1239">
        <f t="shared" si="28"/>
        <v>634239583</v>
      </c>
      <c r="H673" s="1049"/>
      <c r="I673" s="561"/>
      <c r="J673" s="54"/>
    </row>
    <row r="674" spans="1:10" x14ac:dyDescent="0.2">
      <c r="A674" s="1236"/>
      <c r="B674" s="1233"/>
      <c r="C674" s="1187"/>
      <c r="D674" s="1271"/>
      <c r="E674" s="1271"/>
      <c r="F674" s="1239"/>
      <c r="G674" s="1239">
        <f t="shared" si="28"/>
        <v>634239583</v>
      </c>
      <c r="H674" s="1049"/>
      <c r="I674" s="561"/>
      <c r="J674" s="54"/>
    </row>
    <row r="675" spans="1:10" x14ac:dyDescent="0.2">
      <c r="A675" s="1236"/>
      <c r="B675" s="1233"/>
      <c r="C675" s="1187"/>
      <c r="D675" s="1271"/>
      <c r="E675" s="1271"/>
      <c r="F675" s="1239"/>
      <c r="G675" s="1239">
        <f t="shared" si="28"/>
        <v>634239583</v>
      </c>
      <c r="H675" s="1049"/>
      <c r="I675" s="561"/>
      <c r="J675" s="54"/>
    </row>
    <row r="676" spans="1:10" x14ac:dyDescent="0.2">
      <c r="A676" s="1236"/>
      <c r="B676" s="1233"/>
      <c r="C676" s="1235"/>
      <c r="D676" s="1271"/>
      <c r="E676" s="1271"/>
      <c r="F676" s="1239"/>
      <c r="G676" s="1239">
        <f t="shared" si="28"/>
        <v>634239583</v>
      </c>
      <c r="H676" s="1049"/>
      <c r="I676" s="561"/>
      <c r="J676" s="54"/>
    </row>
    <row r="677" spans="1:10" x14ac:dyDescent="0.2">
      <c r="A677" s="1236"/>
      <c r="B677" s="1233"/>
      <c r="C677" s="1235"/>
      <c r="D677" s="1271"/>
      <c r="E677" s="1271"/>
      <c r="F677" s="1239"/>
      <c r="G677" s="1239">
        <f t="shared" si="28"/>
        <v>634239583</v>
      </c>
      <c r="H677" s="1049"/>
      <c r="I677" s="561"/>
      <c r="J677" s="54"/>
    </row>
    <row r="678" spans="1:10" x14ac:dyDescent="0.2">
      <c r="A678" s="1236"/>
      <c r="B678" s="1233"/>
      <c r="C678" s="1235"/>
      <c r="D678" s="1271"/>
      <c r="E678" s="1271"/>
      <c r="F678" s="1239"/>
      <c r="G678" s="1239">
        <f t="shared" si="28"/>
        <v>634239583</v>
      </c>
      <c r="H678" s="1049"/>
      <c r="I678" s="561"/>
      <c r="J678" s="54"/>
    </row>
    <row r="679" spans="1:10" x14ac:dyDescent="0.2">
      <c r="A679" s="1236"/>
      <c r="B679" s="1233"/>
      <c r="C679" s="1187"/>
      <c r="D679" s="1271"/>
      <c r="E679" s="1271"/>
      <c r="F679" s="1239"/>
      <c r="G679" s="1239">
        <f t="shared" si="28"/>
        <v>634239583</v>
      </c>
      <c r="H679" s="1049"/>
      <c r="I679" s="561"/>
      <c r="J679" s="54"/>
    </row>
    <row r="680" spans="1:10" x14ac:dyDescent="0.2">
      <c r="A680" s="1236"/>
      <c r="B680" s="1233"/>
      <c r="C680" s="1187"/>
      <c r="D680" s="1271"/>
      <c r="E680" s="1271"/>
      <c r="F680" s="1239"/>
      <c r="G680" s="1239">
        <f t="shared" si="28"/>
        <v>634239583</v>
      </c>
      <c r="H680" s="1049"/>
      <c r="I680" s="561"/>
      <c r="J680" s="54"/>
    </row>
    <row r="681" spans="1:10" x14ac:dyDescent="0.2">
      <c r="A681" s="1236"/>
      <c r="B681" s="1233"/>
      <c r="C681" s="1187"/>
      <c r="D681" s="1271"/>
      <c r="E681" s="1271"/>
      <c r="F681" s="1239"/>
      <c r="G681" s="1239">
        <f t="shared" si="28"/>
        <v>634239583</v>
      </c>
      <c r="H681" s="1049"/>
      <c r="I681" s="561"/>
      <c r="J681" s="54"/>
    </row>
    <row r="682" spans="1:10" x14ac:dyDescent="0.2">
      <c r="A682" s="1236"/>
      <c r="B682" s="1233"/>
      <c r="C682" s="1187"/>
      <c r="D682" s="1271"/>
      <c r="E682" s="1271"/>
      <c r="F682" s="1239"/>
      <c r="G682" s="1239">
        <f t="shared" si="28"/>
        <v>634239583</v>
      </c>
      <c r="H682" s="1049"/>
      <c r="I682" s="561"/>
      <c r="J682" s="54"/>
    </row>
    <row r="683" spans="1:10" x14ac:dyDescent="0.2">
      <c r="A683" s="1236"/>
      <c r="B683" s="1233"/>
      <c r="C683" s="1235"/>
      <c r="D683" s="1271"/>
      <c r="E683" s="1271"/>
      <c r="F683" s="1239"/>
      <c r="G683" s="1239">
        <f t="shared" si="28"/>
        <v>634239583</v>
      </c>
      <c r="H683" s="1049"/>
      <c r="I683" s="561"/>
      <c r="J683" s="54"/>
    </row>
    <row r="684" spans="1:10" x14ac:dyDescent="0.2">
      <c r="A684" s="1236"/>
      <c r="B684" s="1233"/>
      <c r="C684" s="1235"/>
      <c r="D684" s="1271"/>
      <c r="E684" s="1271"/>
      <c r="F684" s="1239"/>
      <c r="G684" s="1239">
        <f t="shared" si="28"/>
        <v>634239583</v>
      </c>
      <c r="H684" s="1049"/>
      <c r="I684" s="561"/>
      <c r="J684" s="54"/>
    </row>
    <row r="685" spans="1:10" x14ac:dyDescent="0.2">
      <c r="A685" s="1236"/>
      <c r="B685" s="1233"/>
      <c r="C685" s="1235"/>
      <c r="D685" s="1271">
        <f>_xlfn.XLOOKUP(B685,Códigos!$A$489:$A$522,Códigos!$B$489:$B$522,"Verificar",0)</f>
        <v>0</v>
      </c>
      <c r="E685" s="1271">
        <f>_xlfn.XLOOKUP(C685,Códigos!$A$11:$A$415,Códigos!$B$11:$B$415,"Verificar",0)</f>
        <v>0</v>
      </c>
      <c r="F685" s="1239"/>
      <c r="G685" s="1239">
        <f t="shared" si="28"/>
        <v>634239583</v>
      </c>
      <c r="H685" s="1051"/>
      <c r="I685" s="561"/>
      <c r="J685" s="54"/>
    </row>
    <row r="686" spans="1:10" x14ac:dyDescent="0.2">
      <c r="A686" s="1236"/>
      <c r="B686" s="1238"/>
      <c r="C686" s="1235"/>
      <c r="D686" s="1271">
        <f>_xlfn.XLOOKUP(B686,Códigos!$A$489:$A$522,Códigos!$B$489:$B$522,"Verificar",0)</f>
        <v>0</v>
      </c>
      <c r="E686" s="1271">
        <f>_xlfn.XLOOKUP(C686,Códigos!$A$11:$A$415,Códigos!$B$11:$B$415,"Verificar",0)</f>
        <v>0</v>
      </c>
      <c r="F686" s="1239"/>
      <c r="G686" s="1239">
        <f t="shared" si="28"/>
        <v>634239583</v>
      </c>
      <c r="H686" s="1051"/>
      <c r="I686" s="561"/>
      <c r="J686" s="54"/>
    </row>
    <row r="687" spans="1:10" x14ac:dyDescent="0.2">
      <c r="A687" s="1236"/>
      <c r="B687" s="1238"/>
      <c r="C687" s="1235"/>
      <c r="D687" s="1271">
        <f>_xlfn.XLOOKUP(B687,Códigos!$A$489:$A$522,Códigos!$B$489:$B$522,"Verificar",0)</f>
        <v>0</v>
      </c>
      <c r="E687" s="1271">
        <f>_xlfn.XLOOKUP(C687,Códigos!$A$11:$A$415,Códigos!$B$11:$B$415,"Verificar",0)</f>
        <v>0</v>
      </c>
      <c r="F687" s="1239"/>
      <c r="G687" s="1239">
        <f t="shared" si="28"/>
        <v>634239583</v>
      </c>
      <c r="H687" s="1051"/>
      <c r="I687" s="561"/>
      <c r="J687" s="54"/>
    </row>
    <row r="688" spans="1:10" x14ac:dyDescent="0.2">
      <c r="A688" s="1236"/>
      <c r="B688" s="1233"/>
      <c r="C688" s="1235"/>
      <c r="D688" s="1271">
        <f>_xlfn.XLOOKUP(B688,Códigos!$A$489:$A$522,Códigos!$B$489:$B$522,"Verificar",0)</f>
        <v>0</v>
      </c>
      <c r="E688" s="1271">
        <f>_xlfn.XLOOKUP(C688,Códigos!$A$11:$A$415,Códigos!$B$11:$B$415,"Verificar",0)</f>
        <v>0</v>
      </c>
      <c r="F688" s="1239"/>
      <c r="G688" s="1239">
        <f t="shared" si="28"/>
        <v>634239583</v>
      </c>
      <c r="H688" s="1049"/>
      <c r="I688" s="561"/>
      <c r="J688" s="54"/>
    </row>
    <row r="689" spans="1:10" x14ac:dyDescent="0.2">
      <c r="A689" s="1236"/>
      <c r="B689" s="1233"/>
      <c r="C689" s="1235"/>
      <c r="D689" s="1271">
        <f>_xlfn.XLOOKUP(B689,Códigos!$A$489:$A$522,Códigos!$B$489:$B$522,"Verificar",0)</f>
        <v>0</v>
      </c>
      <c r="E689" s="1271">
        <f>_xlfn.XLOOKUP(C689,Códigos!$A$11:$A$415,Códigos!$B$11:$B$415,"Verificar",0)</f>
        <v>0</v>
      </c>
      <c r="F689" s="1239"/>
      <c r="G689" s="1239">
        <f t="shared" si="28"/>
        <v>634239583</v>
      </c>
      <c r="H689" s="1049"/>
      <c r="I689" s="561"/>
      <c r="J689" s="54"/>
    </row>
    <row r="690" spans="1:10" x14ac:dyDescent="0.2">
      <c r="A690" s="1234"/>
      <c r="B690" s="1233"/>
      <c r="C690" s="1187"/>
      <c r="D690" s="1271">
        <f>_xlfn.XLOOKUP(B690,Códigos!$A$489:$A$522,Códigos!$B$489:$B$522,"Verificar",0)</f>
        <v>0</v>
      </c>
      <c r="E690" s="1271">
        <f>_xlfn.XLOOKUP(C690,Códigos!$A$11:$A$415,Códigos!$B$11:$B$415,"Verificar",0)</f>
        <v>0</v>
      </c>
      <c r="F690" s="1239"/>
      <c r="G690" s="1239">
        <f t="shared" si="28"/>
        <v>634239583</v>
      </c>
      <c r="H690" s="1049"/>
      <c r="I690" s="561"/>
      <c r="J690" s="54"/>
    </row>
    <row r="691" spans="1:10" x14ac:dyDescent="0.2">
      <c r="A691" s="1234"/>
      <c r="B691" s="1233"/>
      <c r="C691" s="1187"/>
      <c r="D691" s="1271">
        <f>_xlfn.XLOOKUP(B691,Códigos!$A$489:$A$522,Códigos!$B$489:$B$522,"Verificar",0)</f>
        <v>0</v>
      </c>
      <c r="E691" s="1271">
        <f>_xlfn.XLOOKUP(C691,Códigos!$A$11:$A$415,Códigos!$B$11:$B$415,"Verificar",0)</f>
        <v>0</v>
      </c>
      <c r="F691" s="1239"/>
      <c r="G691" s="1239">
        <f t="shared" si="28"/>
        <v>634239583</v>
      </c>
      <c r="H691" s="1049"/>
      <c r="I691" s="561"/>
      <c r="J691" s="54"/>
    </row>
    <row r="692" spans="1:10" x14ac:dyDescent="0.2">
      <c r="A692" s="1236"/>
      <c r="B692" s="1233"/>
      <c r="C692" s="1235"/>
      <c r="D692" s="1271">
        <f>_xlfn.XLOOKUP(B692,Códigos!$A$489:$A$522,Códigos!$B$489:$B$522,"Verificar",0)</f>
        <v>0</v>
      </c>
      <c r="E692" s="1271">
        <f>_xlfn.XLOOKUP(C692,Códigos!$A$11:$A$415,Códigos!$B$11:$B$415,"Verificar",0)</f>
        <v>0</v>
      </c>
      <c r="F692" s="1239"/>
      <c r="G692" s="1239">
        <f t="shared" si="28"/>
        <v>634239583</v>
      </c>
      <c r="H692" s="1052"/>
      <c r="I692" s="561"/>
      <c r="J692" s="54"/>
    </row>
    <row r="693" spans="1:10" x14ac:dyDescent="0.2">
      <c r="A693" s="1236"/>
      <c r="B693" s="1238"/>
      <c r="C693" s="1235"/>
      <c r="D693" s="1271">
        <f>_xlfn.XLOOKUP(B693,Códigos!$A$489:$A$522,Códigos!$B$489:$B$522,"Verificar",0)</f>
        <v>0</v>
      </c>
      <c r="E693" s="1271">
        <f>_xlfn.XLOOKUP(C693,Códigos!$A$11:$A$415,Códigos!$B$11:$B$415,"Verificar",0)</f>
        <v>0</v>
      </c>
      <c r="F693" s="1239"/>
      <c r="G693" s="1239">
        <f t="shared" si="28"/>
        <v>634239583</v>
      </c>
      <c r="H693" s="1051"/>
      <c r="I693" s="561"/>
      <c r="J693" s="54"/>
    </row>
    <row r="694" spans="1:10" x14ac:dyDescent="0.2">
      <c r="A694" s="1236"/>
      <c r="B694" s="1233"/>
      <c r="C694" s="1235"/>
      <c r="D694" s="1271">
        <f>_xlfn.XLOOKUP(B694,Códigos!$A$489:$A$522,Códigos!$B$489:$B$522,"Verificar",0)</f>
        <v>0</v>
      </c>
      <c r="E694" s="1271">
        <f>_xlfn.XLOOKUP(C694,Códigos!$A$11:$A$415,Códigos!$B$11:$B$415,"Verificar",0)</f>
        <v>0</v>
      </c>
      <c r="F694" s="1239"/>
      <c r="G694" s="1239">
        <f t="shared" si="28"/>
        <v>634239583</v>
      </c>
      <c r="H694" s="853"/>
      <c r="I694" s="561"/>
      <c r="J694" s="54"/>
    </row>
    <row r="695" spans="1:10" x14ac:dyDescent="0.2">
      <c r="A695" s="1236"/>
      <c r="B695" s="1233"/>
      <c r="C695" s="1235"/>
      <c r="D695" s="1271">
        <f>_xlfn.XLOOKUP(B695,Códigos!$A$489:$A$522,Códigos!$B$489:$B$522,"Verificar",0)</f>
        <v>0</v>
      </c>
      <c r="E695" s="1271">
        <f>_xlfn.XLOOKUP(C695,Códigos!$A$11:$A$415,Códigos!$B$11:$B$415,"Verificar",0)</f>
        <v>0</v>
      </c>
      <c r="F695" s="1239"/>
      <c r="G695" s="1239">
        <f t="shared" si="28"/>
        <v>634239583</v>
      </c>
      <c r="H695" s="1051"/>
      <c r="I695" s="561"/>
      <c r="J695" s="54"/>
    </row>
    <row r="696" spans="1:10" x14ac:dyDescent="0.2">
      <c r="A696" s="1236"/>
      <c r="B696" s="1233"/>
      <c r="C696" s="1235"/>
      <c r="D696" s="1271">
        <f>_xlfn.XLOOKUP(B696,Códigos!$A$489:$A$522,Códigos!$B$489:$B$522,"Verificar",0)</f>
        <v>0</v>
      </c>
      <c r="E696" s="1271">
        <f>_xlfn.XLOOKUP(C696,Códigos!$A$11:$A$415,Códigos!$B$11:$B$415,"Verificar",0)</f>
        <v>0</v>
      </c>
      <c r="F696" s="1239"/>
      <c r="G696" s="1239">
        <f t="shared" si="28"/>
        <v>634239583</v>
      </c>
      <c r="H696" s="1051"/>
      <c r="I696" s="561"/>
      <c r="J696" s="54"/>
    </row>
    <row r="697" spans="1:10" x14ac:dyDescent="0.2">
      <c r="A697" s="1236"/>
      <c r="B697" s="1233"/>
      <c r="C697" s="1235"/>
      <c r="D697" s="1271">
        <f>_xlfn.XLOOKUP(B697,Códigos!$A$489:$A$522,Códigos!$B$489:$B$522,"Verificar",0)</f>
        <v>0</v>
      </c>
      <c r="E697" s="1271">
        <f>_xlfn.XLOOKUP(C697,Códigos!$A$11:$A$415,Códigos!$B$11:$B$415,"Verificar",0)</f>
        <v>0</v>
      </c>
      <c r="F697" s="1239"/>
      <c r="G697" s="1239">
        <f t="shared" si="28"/>
        <v>634239583</v>
      </c>
      <c r="H697" s="1051"/>
      <c r="I697" s="561"/>
      <c r="J697" s="54"/>
    </row>
    <row r="698" spans="1:10" x14ac:dyDescent="0.2">
      <c r="A698" s="1236"/>
      <c r="B698" s="1233"/>
      <c r="C698" s="1235"/>
      <c r="D698" s="1271">
        <f>_xlfn.XLOOKUP(B698,Códigos!$A$489:$A$522,Códigos!$B$489:$B$522,"Verificar",0)</f>
        <v>0</v>
      </c>
      <c r="E698" s="1271">
        <f>_xlfn.XLOOKUP(C698,Códigos!$A$11:$A$415,Códigos!$B$11:$B$415,"Verificar",0)</f>
        <v>0</v>
      </c>
      <c r="F698" s="1239"/>
      <c r="G698" s="1239">
        <f t="shared" si="28"/>
        <v>634239583</v>
      </c>
      <c r="H698" s="1051"/>
      <c r="I698" s="561"/>
      <c r="J698" s="54"/>
    </row>
    <row r="699" spans="1:10" x14ac:dyDescent="0.2">
      <c r="A699" s="1236"/>
      <c r="B699" s="1238"/>
      <c r="C699" s="1235"/>
      <c r="D699" s="1271">
        <f>_xlfn.XLOOKUP(B699,Códigos!$A$489:$A$522,Códigos!$B$489:$B$522,"Verificar",0)</f>
        <v>0</v>
      </c>
      <c r="E699" s="1271">
        <f>_xlfn.XLOOKUP(C699,Códigos!$A$11:$A$415,Códigos!$B$11:$B$415,"Verificar",0)</f>
        <v>0</v>
      </c>
      <c r="F699" s="1239"/>
      <c r="G699" s="1239">
        <f t="shared" si="28"/>
        <v>634239583</v>
      </c>
      <c r="H699" s="1051"/>
      <c r="I699" s="561"/>
      <c r="J699" s="54"/>
    </row>
    <row r="700" spans="1:10" x14ac:dyDescent="0.2">
      <c r="A700" s="1236"/>
      <c r="B700" s="1238"/>
      <c r="C700" s="1235"/>
      <c r="D700" s="1271">
        <f>_xlfn.XLOOKUP(B700,Códigos!$A$489:$A$522,Códigos!$B$489:$B$522,"Verificar",0)</f>
        <v>0</v>
      </c>
      <c r="E700" s="1271">
        <f>_xlfn.XLOOKUP(C700,Códigos!$A$11:$A$415,Códigos!$B$11:$B$415,"Verificar",0)</f>
        <v>0</v>
      </c>
      <c r="F700" s="1239"/>
      <c r="G700" s="1239">
        <f t="shared" si="28"/>
        <v>634239583</v>
      </c>
      <c r="H700" s="1051"/>
      <c r="I700" s="561"/>
      <c r="J700" s="54"/>
    </row>
    <row r="701" spans="1:10" x14ac:dyDescent="0.2">
      <c r="A701" s="1236"/>
      <c r="B701" s="1238"/>
      <c r="C701" s="1235"/>
      <c r="D701" s="1271">
        <f>_xlfn.XLOOKUP(B701,Códigos!$A$489:$A$522,Códigos!$B$489:$B$522,"Verificar",0)</f>
        <v>0</v>
      </c>
      <c r="E701" s="1271">
        <f>_xlfn.XLOOKUP(C701,Códigos!$A$11:$A$415,Códigos!$B$11:$B$415,"Verificar",0)</f>
        <v>0</v>
      </c>
      <c r="F701" s="1239"/>
      <c r="G701" s="1239">
        <f t="shared" si="28"/>
        <v>634239583</v>
      </c>
      <c r="H701" s="1051"/>
      <c r="I701" s="561"/>
      <c r="J701" s="54"/>
    </row>
    <row r="702" spans="1:10" x14ac:dyDescent="0.2">
      <c r="A702" s="1236"/>
      <c r="B702" s="1238"/>
      <c r="C702" s="1235"/>
      <c r="D702" s="1271">
        <f>_xlfn.XLOOKUP(B702,Códigos!$A$489:$A$522,Códigos!$B$489:$B$522,"Verificar",0)</f>
        <v>0</v>
      </c>
      <c r="E702" s="1271">
        <f>_xlfn.XLOOKUP(C702,Códigos!$A$11:$A$415,Códigos!$B$11:$B$415,"Verificar",0)</f>
        <v>0</v>
      </c>
      <c r="F702" s="1239"/>
      <c r="G702" s="1239">
        <f t="shared" si="28"/>
        <v>634239583</v>
      </c>
      <c r="H702" s="1051"/>
      <c r="I702" s="561"/>
      <c r="J702" s="54"/>
    </row>
    <row r="703" spans="1:10" x14ac:dyDescent="0.2">
      <c r="A703" s="1236"/>
      <c r="B703" s="1238"/>
      <c r="C703" s="1235"/>
      <c r="D703" s="1271">
        <f>_xlfn.XLOOKUP(B703,Códigos!$A$489:$A$522,Códigos!$B$489:$B$522,"Verificar",0)</f>
        <v>0</v>
      </c>
      <c r="E703" s="1271">
        <f>_xlfn.XLOOKUP(C703,Códigos!$A$11:$A$415,Códigos!$B$11:$B$415,"Verificar",0)</f>
        <v>0</v>
      </c>
      <c r="F703" s="1239"/>
      <c r="G703" s="1239">
        <f t="shared" si="28"/>
        <v>634239583</v>
      </c>
      <c r="H703" s="1051"/>
      <c r="I703" s="561"/>
      <c r="J703" s="54"/>
    </row>
    <row r="704" spans="1:10" x14ac:dyDescent="0.2">
      <c r="A704" s="1236"/>
      <c r="B704" s="1238"/>
      <c r="C704" s="1235"/>
      <c r="D704" s="1271">
        <f>_xlfn.XLOOKUP(B704,Códigos!$A$489:$A$522,Códigos!$B$489:$B$522,"Verificar",0)</f>
        <v>0</v>
      </c>
      <c r="E704" s="1271">
        <f>_xlfn.XLOOKUP(C704,Códigos!$A$11:$A$415,Códigos!$B$11:$B$415,"Verificar",0)</f>
        <v>0</v>
      </c>
      <c r="F704" s="1239"/>
      <c r="G704" s="1239">
        <f t="shared" si="28"/>
        <v>634239583</v>
      </c>
      <c r="H704" s="1051"/>
      <c r="I704" s="561"/>
      <c r="J704" s="54"/>
    </row>
    <row r="705" spans="1:10" x14ac:dyDescent="0.2">
      <c r="A705" s="1236"/>
      <c r="B705" s="1238"/>
      <c r="C705" s="1235"/>
      <c r="D705" s="1271">
        <f>_xlfn.XLOOKUP(B705,Códigos!$A$489:$A$522,Códigos!$B$489:$B$522,"Verificar",0)</f>
        <v>0</v>
      </c>
      <c r="E705" s="1271">
        <f>_xlfn.XLOOKUP(C705,Códigos!$A$11:$A$415,Códigos!$B$11:$B$415,"Verificar",0)</f>
        <v>0</v>
      </c>
      <c r="F705" s="1239"/>
      <c r="G705" s="1239">
        <f t="shared" si="28"/>
        <v>634239583</v>
      </c>
      <c r="H705" s="1051"/>
      <c r="I705" s="561"/>
      <c r="J705" s="54"/>
    </row>
    <row r="706" spans="1:10" x14ac:dyDescent="0.2">
      <c r="A706" s="1236"/>
      <c r="B706" s="1238"/>
      <c r="C706" s="1235"/>
      <c r="D706" s="1271">
        <f>_xlfn.XLOOKUP(B706,Códigos!$A$489:$A$522,Códigos!$B$489:$B$522,"Verificar",0)</f>
        <v>0</v>
      </c>
      <c r="E706" s="1271">
        <f>_xlfn.XLOOKUP(C706,Códigos!$A$11:$A$415,Códigos!$B$11:$B$415,"Verificar",0)</f>
        <v>0</v>
      </c>
      <c r="F706" s="1239"/>
      <c r="G706" s="1239">
        <f t="shared" si="28"/>
        <v>634239583</v>
      </c>
      <c r="H706" s="1051"/>
      <c r="I706" s="561"/>
      <c r="J706" s="54"/>
    </row>
    <row r="707" spans="1:10" x14ac:dyDescent="0.2">
      <c r="A707" s="1236"/>
      <c r="B707" s="1238"/>
      <c r="C707" s="1235"/>
      <c r="D707" s="1271">
        <f>_xlfn.XLOOKUP(B707,Códigos!$A$489:$A$522,Códigos!$B$489:$B$522,"Verificar",0)</f>
        <v>0</v>
      </c>
      <c r="E707" s="1271">
        <f>_xlfn.XLOOKUP(C707,Códigos!$A$11:$A$415,Códigos!$B$11:$B$415,"Verificar",0)</f>
        <v>0</v>
      </c>
      <c r="F707" s="1239"/>
      <c r="G707" s="1239">
        <f t="shared" si="28"/>
        <v>634239583</v>
      </c>
      <c r="H707" s="1051"/>
      <c r="I707" s="561"/>
      <c r="J707" s="54"/>
    </row>
    <row r="708" spans="1:10" x14ac:dyDescent="0.2">
      <c r="A708" s="1236"/>
      <c r="B708" s="1238"/>
      <c r="C708" s="1235"/>
      <c r="D708" s="1271">
        <f>_xlfn.XLOOKUP(B708,Códigos!$A$489:$A$522,Códigos!$B$489:$B$522,"Verificar",0)</f>
        <v>0</v>
      </c>
      <c r="E708" s="1271">
        <f>_xlfn.XLOOKUP(C708,Códigos!$A$11:$A$415,Códigos!$B$11:$B$415,"Verificar",0)</f>
        <v>0</v>
      </c>
      <c r="F708" s="1239"/>
      <c r="G708" s="1239">
        <f t="shared" si="28"/>
        <v>634239583</v>
      </c>
      <c r="H708" s="1051"/>
      <c r="I708" s="561"/>
      <c r="J708" s="54"/>
    </row>
    <row r="709" spans="1:10" x14ac:dyDescent="0.2">
      <c r="A709" s="1236"/>
      <c r="B709" s="1238"/>
      <c r="C709" s="1235"/>
      <c r="D709" s="1271">
        <f>_xlfn.XLOOKUP(B709,Códigos!$A$489:$A$522,Códigos!$B$489:$B$522,"Verificar",0)</f>
        <v>0</v>
      </c>
      <c r="E709" s="1271">
        <f>_xlfn.XLOOKUP(C709,Códigos!$A$11:$A$415,Códigos!$B$11:$B$415,"Verificar",0)</f>
        <v>0</v>
      </c>
      <c r="F709" s="1239"/>
      <c r="G709" s="1239">
        <f t="shared" si="28"/>
        <v>634239583</v>
      </c>
      <c r="H709" s="1051"/>
      <c r="I709" s="561"/>
      <c r="J709" s="54"/>
    </row>
    <row r="710" spans="1:10" x14ac:dyDescent="0.2">
      <c r="A710" s="1236"/>
      <c r="B710" s="1238"/>
      <c r="C710" s="1235"/>
      <c r="D710" s="1271">
        <f>_xlfn.XLOOKUP(B710,Códigos!$A$489:$A$522,Códigos!$B$489:$B$522,"Verificar",0)</f>
        <v>0</v>
      </c>
      <c r="E710" s="1271">
        <f>_xlfn.XLOOKUP(C710,Códigos!$A$11:$A$415,Códigos!$B$11:$B$415,"Verificar",0)</f>
        <v>0</v>
      </c>
      <c r="F710" s="1239"/>
      <c r="G710" s="1239">
        <f t="shared" si="28"/>
        <v>634239583</v>
      </c>
      <c r="H710" s="1051"/>
      <c r="I710" s="561"/>
      <c r="J710" s="54"/>
    </row>
    <row r="711" spans="1:10" x14ac:dyDescent="0.2">
      <c r="A711" s="1236"/>
      <c r="B711" s="1238"/>
      <c r="C711" s="1235"/>
      <c r="D711" s="1271">
        <f>_xlfn.XLOOKUP(B711,Códigos!$A$489:$A$522,Códigos!$B$489:$B$522,"Verificar",0)</f>
        <v>0</v>
      </c>
      <c r="E711" s="1271">
        <f>_xlfn.XLOOKUP(C711,Códigos!$A$11:$A$415,Códigos!$B$11:$B$415,"Verificar",0)</f>
        <v>0</v>
      </c>
      <c r="F711" s="1239"/>
      <c r="G711" s="1239">
        <f t="shared" si="28"/>
        <v>634239583</v>
      </c>
      <c r="H711" s="1051"/>
      <c r="I711" s="561"/>
      <c r="J711" s="54"/>
    </row>
    <row r="712" spans="1:10" x14ac:dyDescent="0.2">
      <c r="A712" s="1232"/>
      <c r="B712" s="1233"/>
      <c r="C712" s="1235"/>
      <c r="D712" s="1271">
        <f>_xlfn.XLOOKUP(B712,Códigos!$A$489:$A$522,Códigos!$B$489:$B$522,"Verificar",0)</f>
        <v>0</v>
      </c>
      <c r="E712" s="1271">
        <f>_xlfn.XLOOKUP(C712,Códigos!$A$11:$A$415,Códigos!$B$11:$B$415,"Verificar",0)</f>
        <v>0</v>
      </c>
      <c r="F712" s="1239"/>
      <c r="G712" s="1239">
        <f t="shared" si="28"/>
        <v>634239583</v>
      </c>
      <c r="H712" s="1052"/>
      <c r="I712" s="561"/>
      <c r="J712" s="54"/>
    </row>
    <row r="713" spans="1:10" x14ac:dyDescent="0.2">
      <c r="A713" s="1232"/>
      <c r="B713" s="1233"/>
      <c r="C713" s="1235"/>
      <c r="D713" s="1271">
        <f>_xlfn.XLOOKUP(B713,Códigos!$A$489:$A$522,Códigos!$B$489:$B$522,"Verificar",0)</f>
        <v>0</v>
      </c>
      <c r="E713" s="1271">
        <f>_xlfn.XLOOKUP(C713,Códigos!$A$11:$A$415,Códigos!$B$11:$B$415,"Verificar",0)</f>
        <v>0</v>
      </c>
      <c r="F713" s="1239"/>
      <c r="G713" s="1239">
        <f t="shared" si="28"/>
        <v>634239583</v>
      </c>
      <c r="H713" s="1052"/>
      <c r="I713" s="561"/>
      <c r="J713" s="54"/>
    </row>
    <row r="714" spans="1:10" x14ac:dyDescent="0.2">
      <c r="A714" s="1236"/>
      <c r="B714" s="1233"/>
      <c r="C714" s="1235"/>
      <c r="D714" s="1271">
        <f>_xlfn.XLOOKUP(B714,Códigos!$A$489:$A$522,Códigos!$B$489:$B$522,"Verificar",0)</f>
        <v>0</v>
      </c>
      <c r="E714" s="1271">
        <f>_xlfn.XLOOKUP(C714,Códigos!$A$11:$A$415,Códigos!$B$11:$B$415,"Verificar",0)</f>
        <v>0</v>
      </c>
      <c r="F714" s="1239"/>
      <c r="G714" s="1239">
        <f t="shared" si="28"/>
        <v>634239583</v>
      </c>
      <c r="H714" s="1049"/>
      <c r="I714" s="561"/>
      <c r="J714" s="54"/>
    </row>
    <row r="715" spans="1:10" x14ac:dyDescent="0.2">
      <c r="A715" s="1236"/>
      <c r="B715" s="1238"/>
      <c r="C715" s="1235"/>
      <c r="D715" s="1271">
        <f>_xlfn.XLOOKUP(B715,Códigos!$A$489:$A$522,Códigos!$B$489:$B$522,"Verificar",0)</f>
        <v>0</v>
      </c>
      <c r="E715" s="1271">
        <f>_xlfn.XLOOKUP(C715,Códigos!$A$11:$A$415,Códigos!$B$11:$B$415,"Verificar",0)</f>
        <v>0</v>
      </c>
      <c r="F715" s="1239"/>
      <c r="G715" s="1239">
        <f t="shared" si="28"/>
        <v>634239583</v>
      </c>
      <c r="H715" s="1051"/>
      <c r="I715" s="561"/>
      <c r="J715" s="54"/>
    </row>
    <row r="716" spans="1:10" x14ac:dyDescent="0.2">
      <c r="A716" s="1236"/>
      <c r="B716" s="1238"/>
      <c r="C716" s="1235"/>
      <c r="D716" s="1271">
        <f>_xlfn.XLOOKUP(B716,Códigos!$A$489:$A$522,Códigos!$B$489:$B$522,"Verificar",0)</f>
        <v>0</v>
      </c>
      <c r="E716" s="1271">
        <f>_xlfn.XLOOKUP(C716,Códigos!$A$11:$A$415,Códigos!$B$11:$B$415,"Verificar",0)</f>
        <v>0</v>
      </c>
      <c r="F716" s="1239"/>
      <c r="G716" s="1239">
        <f t="shared" si="28"/>
        <v>634239583</v>
      </c>
      <c r="H716" s="1051"/>
      <c r="I716" s="561"/>
      <c r="J716" s="54"/>
    </row>
    <row r="717" spans="1:10" x14ac:dyDescent="0.2">
      <c r="A717" s="1236"/>
      <c r="B717" s="1238"/>
      <c r="C717" s="1235"/>
      <c r="D717" s="1271">
        <f>_xlfn.XLOOKUP(B717,Códigos!$A$489:$A$522,Códigos!$B$489:$B$522,"Verificar",0)</f>
        <v>0</v>
      </c>
      <c r="E717" s="1271">
        <f>_xlfn.XLOOKUP(C717,Códigos!$A$11:$A$415,Códigos!$B$11:$B$415,"Verificar",0)</f>
        <v>0</v>
      </c>
      <c r="F717" s="1239"/>
      <c r="G717" s="1239">
        <f t="shared" si="28"/>
        <v>634239583</v>
      </c>
      <c r="H717" s="1051"/>
      <c r="I717" s="561"/>
      <c r="J717" s="54"/>
    </row>
    <row r="718" spans="1:10" x14ac:dyDescent="0.2">
      <c r="A718" s="1236"/>
      <c r="B718" s="1238"/>
      <c r="C718" s="1235"/>
      <c r="D718" s="1271">
        <f>_xlfn.XLOOKUP(B718,Códigos!$A$489:$A$522,Códigos!$B$489:$B$522,"Verificar",0)</f>
        <v>0</v>
      </c>
      <c r="E718" s="1271">
        <f>_xlfn.XLOOKUP(C718,Códigos!$A$11:$A$415,Códigos!$B$11:$B$415,"Verificar",0)</f>
        <v>0</v>
      </c>
      <c r="F718" s="1239"/>
      <c r="G718" s="1239">
        <f t="shared" si="28"/>
        <v>634239583</v>
      </c>
      <c r="H718" s="1051"/>
      <c r="I718" s="561"/>
      <c r="J718" s="54"/>
    </row>
    <row r="719" spans="1:10" x14ac:dyDescent="0.2">
      <c r="A719" s="1236"/>
      <c r="B719" s="1238"/>
      <c r="C719" s="1235"/>
      <c r="D719" s="1271">
        <f>_xlfn.XLOOKUP(B719,Códigos!$A$489:$A$522,Códigos!$B$489:$B$522,"Verificar",0)</f>
        <v>0</v>
      </c>
      <c r="E719" s="1271">
        <f>_xlfn.XLOOKUP(C719,Códigos!$A$11:$A$415,Códigos!$B$11:$B$415,"Verificar",0)</f>
        <v>0</v>
      </c>
      <c r="F719" s="1239"/>
      <c r="G719" s="1239">
        <f t="shared" si="28"/>
        <v>634239583</v>
      </c>
      <c r="H719" s="1051"/>
      <c r="I719" s="561"/>
      <c r="J719" s="54"/>
    </row>
    <row r="720" spans="1:10" x14ac:dyDescent="0.2">
      <c r="A720" s="1236"/>
      <c r="B720" s="1238"/>
      <c r="C720" s="1235"/>
      <c r="D720" s="1271">
        <f>_xlfn.XLOOKUP(B720,Códigos!$A$489:$A$522,Códigos!$B$489:$B$522,"Verificar",0)</f>
        <v>0</v>
      </c>
      <c r="E720" s="1271">
        <f>_xlfn.XLOOKUP(C720,Códigos!$A$11:$A$415,Códigos!$B$11:$B$415,"Verificar",0)</f>
        <v>0</v>
      </c>
      <c r="F720" s="1239"/>
      <c r="G720" s="1239">
        <f t="shared" si="28"/>
        <v>634239583</v>
      </c>
      <c r="H720" s="1051"/>
      <c r="I720" s="561"/>
      <c r="J720" s="54"/>
    </row>
    <row r="721" spans="1:10" x14ac:dyDescent="0.2">
      <c r="A721" s="1236"/>
      <c r="B721" s="1238"/>
      <c r="C721" s="1235"/>
      <c r="D721" s="1271">
        <f>_xlfn.XLOOKUP(B721,Códigos!$A$489:$A$522,Códigos!$B$489:$B$522,"Verificar",0)</f>
        <v>0</v>
      </c>
      <c r="E721" s="1271">
        <f>_xlfn.XLOOKUP(C721,Códigos!$A$11:$A$415,Códigos!$B$11:$B$415,"Verificar",0)</f>
        <v>0</v>
      </c>
      <c r="F721" s="1239"/>
      <c r="G721" s="1239">
        <f t="shared" si="28"/>
        <v>634239583</v>
      </c>
      <c r="H721" s="1051"/>
      <c r="I721" s="561"/>
      <c r="J721" s="54"/>
    </row>
    <row r="722" spans="1:10" x14ac:dyDescent="0.2">
      <c r="A722" s="1236"/>
      <c r="B722" s="1238"/>
      <c r="C722" s="1235"/>
      <c r="D722" s="1271">
        <f>_xlfn.XLOOKUP(B722,Códigos!$A$489:$A$522,Códigos!$B$489:$B$522,"Verificar",0)</f>
        <v>0</v>
      </c>
      <c r="E722" s="1271">
        <f>_xlfn.XLOOKUP(C722,Códigos!$A$11:$A$415,Códigos!$B$11:$B$415,"Verificar",0)</f>
        <v>0</v>
      </c>
      <c r="F722" s="1239"/>
      <c r="G722" s="1239">
        <f t="shared" si="28"/>
        <v>634239583</v>
      </c>
      <c r="H722" s="1051"/>
      <c r="I722" s="561"/>
      <c r="J722" s="54"/>
    </row>
    <row r="723" spans="1:10" x14ac:dyDescent="0.2">
      <c r="A723" s="1236"/>
      <c r="B723" s="1238"/>
      <c r="C723" s="1235"/>
      <c r="D723" s="1271">
        <f>_xlfn.XLOOKUP(B723,Códigos!$A$489:$A$522,Códigos!$B$489:$B$522,"Verificar",0)</f>
        <v>0</v>
      </c>
      <c r="E723" s="1271">
        <f>_xlfn.XLOOKUP(C723,Códigos!$A$11:$A$415,Códigos!$B$11:$B$415,"Verificar",0)</f>
        <v>0</v>
      </c>
      <c r="F723" s="1239"/>
      <c r="G723" s="1239">
        <f t="shared" si="28"/>
        <v>634239583</v>
      </c>
      <c r="H723" s="1051"/>
      <c r="I723" s="561"/>
      <c r="J723" s="54"/>
    </row>
    <row r="724" spans="1:10" x14ac:dyDescent="0.2">
      <c r="A724" s="1236"/>
      <c r="B724" s="1233"/>
      <c r="C724" s="1235"/>
      <c r="D724" s="1271">
        <f>_xlfn.XLOOKUP(B724,Códigos!$A$489:$A$522,Códigos!$B$489:$B$522,"Verificar",0)</f>
        <v>0</v>
      </c>
      <c r="E724" s="1271">
        <f>_xlfn.XLOOKUP(C724,Códigos!$A$11:$A$415,Códigos!$B$11:$B$415,"Verificar",0)</f>
        <v>0</v>
      </c>
      <c r="F724" s="1239"/>
      <c r="G724" s="1239">
        <f t="shared" si="28"/>
        <v>634239583</v>
      </c>
      <c r="H724" s="1051"/>
      <c r="I724" s="561"/>
      <c r="J724" s="54"/>
    </row>
    <row r="725" spans="1:10" x14ac:dyDescent="0.2">
      <c r="A725" s="1236"/>
      <c r="B725" s="1233"/>
      <c r="C725" s="1235"/>
      <c r="D725" s="1271">
        <f>_xlfn.XLOOKUP(B725,Códigos!$A$489:$A$522,Códigos!$B$489:$B$522,"Verificar",0)</f>
        <v>0</v>
      </c>
      <c r="E725" s="1271">
        <f>_xlfn.XLOOKUP(C725,Códigos!$A$11:$A$415,Códigos!$B$11:$B$415,"Verificar",0)</f>
        <v>0</v>
      </c>
      <c r="F725" s="1239"/>
      <c r="G725" s="1239">
        <f t="shared" si="28"/>
        <v>634239583</v>
      </c>
      <c r="H725" s="1049"/>
      <c r="I725" s="561"/>
      <c r="J725" s="54"/>
    </row>
    <row r="726" spans="1:10" x14ac:dyDescent="0.2">
      <c r="A726" s="1236"/>
      <c r="B726" s="1238"/>
      <c r="C726" s="1235"/>
      <c r="D726" s="1271">
        <f>_xlfn.XLOOKUP(B726,Códigos!$A$489:$A$522,Códigos!$B$489:$B$522,"Verificar",0)</f>
        <v>0</v>
      </c>
      <c r="E726" s="1271">
        <f>_xlfn.XLOOKUP(C726,Códigos!$A$11:$A$415,Códigos!$B$11:$B$415,"Verificar",0)</f>
        <v>0</v>
      </c>
      <c r="F726" s="1239"/>
      <c r="G726" s="1239">
        <f t="shared" si="28"/>
        <v>634239583</v>
      </c>
      <c r="H726" s="1051"/>
      <c r="I726" s="561"/>
      <c r="J726" s="54"/>
    </row>
    <row r="727" spans="1:10" x14ac:dyDescent="0.2">
      <c r="A727" s="1236"/>
      <c r="B727" s="1238"/>
      <c r="C727" s="1235"/>
      <c r="D727" s="1271">
        <f>_xlfn.XLOOKUP(B727,Códigos!$A$489:$A$522,Códigos!$B$489:$B$522,"Verificar",0)</f>
        <v>0</v>
      </c>
      <c r="E727" s="1271">
        <f>_xlfn.XLOOKUP(C727,Códigos!$A$11:$A$415,Códigos!$B$11:$B$415,"Verificar",0)</f>
        <v>0</v>
      </c>
      <c r="F727" s="1239"/>
      <c r="G727" s="1239">
        <f t="shared" si="28"/>
        <v>634239583</v>
      </c>
      <c r="H727" s="1051"/>
      <c r="I727" s="561"/>
      <c r="J727" s="54"/>
    </row>
    <row r="728" spans="1:10" x14ac:dyDescent="0.2">
      <c r="A728" s="1236"/>
      <c r="B728" s="1238"/>
      <c r="C728" s="1235"/>
      <c r="D728" s="1271">
        <f>_xlfn.XLOOKUP(B728,Códigos!$A$489:$A$522,Códigos!$B$489:$B$522,"Verificar",0)</f>
        <v>0</v>
      </c>
      <c r="E728" s="1271">
        <f>_xlfn.XLOOKUP(C728,Códigos!$A$11:$A$415,Códigos!$B$11:$B$415,"Verificar",0)</f>
        <v>0</v>
      </c>
      <c r="F728" s="1239"/>
      <c r="G728" s="1239">
        <f t="shared" ref="G728:G791" si="29">+G727+F728</f>
        <v>634239583</v>
      </c>
      <c r="H728" s="1051"/>
      <c r="I728" s="561"/>
      <c r="J728" s="54"/>
    </row>
    <row r="729" spans="1:10" x14ac:dyDescent="0.2">
      <c r="A729" s="1236"/>
      <c r="B729" s="1233"/>
      <c r="C729" s="1235"/>
      <c r="D729" s="1271">
        <f>_xlfn.XLOOKUP(B729,Códigos!$A$489:$A$522,Códigos!$B$489:$B$522,"Verificar",0)</f>
        <v>0</v>
      </c>
      <c r="E729" s="1271">
        <f>_xlfn.XLOOKUP(C729,Códigos!$A$11:$A$415,Códigos!$B$11:$B$415,"Verificar",0)</f>
        <v>0</v>
      </c>
      <c r="F729" s="1239"/>
      <c r="G729" s="1239">
        <f t="shared" si="29"/>
        <v>634239583</v>
      </c>
      <c r="H729" s="1051"/>
      <c r="I729" s="561"/>
      <c r="J729" s="54"/>
    </row>
    <row r="730" spans="1:10" x14ac:dyDescent="0.2">
      <c r="A730" s="1236"/>
      <c r="B730" s="1238"/>
      <c r="C730" s="1235"/>
      <c r="D730" s="1271">
        <f>_xlfn.XLOOKUP(B730,Códigos!$A$489:$A$522,Códigos!$B$489:$B$522,"Verificar",0)</f>
        <v>0</v>
      </c>
      <c r="E730" s="1271">
        <f>_xlfn.XLOOKUP(C730,Códigos!$A$11:$A$415,Códigos!$B$11:$B$415,"Verificar",0)</f>
        <v>0</v>
      </c>
      <c r="F730" s="1239"/>
      <c r="G730" s="1239">
        <f t="shared" si="29"/>
        <v>634239583</v>
      </c>
      <c r="H730" s="1051"/>
      <c r="I730" s="561"/>
      <c r="J730" s="54"/>
    </row>
    <row r="731" spans="1:10" x14ac:dyDescent="0.2">
      <c r="A731" s="1236"/>
      <c r="B731" s="1238"/>
      <c r="C731" s="1235"/>
      <c r="D731" s="1271">
        <f>_xlfn.XLOOKUP(B731,Códigos!$A$489:$A$522,Códigos!$B$489:$B$522,"Verificar",0)</f>
        <v>0</v>
      </c>
      <c r="E731" s="1271">
        <f>_xlfn.XLOOKUP(C731,Códigos!$A$11:$A$415,Códigos!$B$11:$B$415,"Verificar",0)</f>
        <v>0</v>
      </c>
      <c r="F731" s="1239"/>
      <c r="G731" s="1239">
        <f t="shared" si="29"/>
        <v>634239583</v>
      </c>
      <c r="H731" s="1051"/>
      <c r="I731" s="561"/>
      <c r="J731" s="54"/>
    </row>
    <row r="732" spans="1:10" x14ac:dyDescent="0.2">
      <c r="A732" s="1236"/>
      <c r="B732" s="1233"/>
      <c r="C732" s="1235"/>
      <c r="D732" s="1271">
        <f>_xlfn.XLOOKUP(B732,Códigos!$A$489:$A$522,Códigos!$B$489:$B$522,"Verificar",0)</f>
        <v>0</v>
      </c>
      <c r="E732" s="1271">
        <f>_xlfn.XLOOKUP(C732,Códigos!$A$11:$A$415,Códigos!$B$11:$B$415,"Verificar",0)</f>
        <v>0</v>
      </c>
      <c r="F732" s="1239"/>
      <c r="G732" s="1239">
        <f t="shared" si="29"/>
        <v>634239583</v>
      </c>
      <c r="H732" s="853"/>
      <c r="I732" s="561"/>
      <c r="J732" s="54"/>
    </row>
    <row r="733" spans="1:10" x14ac:dyDescent="0.2">
      <c r="A733" s="1236"/>
      <c r="B733" s="1233"/>
      <c r="C733" s="1235"/>
      <c r="D733" s="1271">
        <f>_xlfn.XLOOKUP(B733,Códigos!$A$489:$A$522,Códigos!$B$489:$B$522,"Verificar",0)</f>
        <v>0</v>
      </c>
      <c r="E733" s="1271">
        <f>_xlfn.XLOOKUP(C733,Códigos!$A$11:$A$415,Códigos!$B$11:$B$415,"Verificar",0)</f>
        <v>0</v>
      </c>
      <c r="F733" s="1239"/>
      <c r="G733" s="1239">
        <f t="shared" si="29"/>
        <v>634239583</v>
      </c>
      <c r="H733" s="1051"/>
      <c r="I733" s="561"/>
      <c r="J733" s="54"/>
    </row>
    <row r="734" spans="1:10" x14ac:dyDescent="0.2">
      <c r="A734" s="1236"/>
      <c r="B734" s="1238"/>
      <c r="C734" s="1235"/>
      <c r="D734" s="1271">
        <f>_xlfn.XLOOKUP(B734,Códigos!$A$489:$A$522,Códigos!$B$489:$B$522,"Verificar",0)</f>
        <v>0</v>
      </c>
      <c r="E734" s="1271">
        <f>_xlfn.XLOOKUP(C734,Códigos!$A$11:$A$415,Códigos!$B$11:$B$415,"Verificar",0)</f>
        <v>0</v>
      </c>
      <c r="F734" s="1239"/>
      <c r="G734" s="1239">
        <f t="shared" si="29"/>
        <v>634239583</v>
      </c>
      <c r="H734" s="1051"/>
      <c r="I734" s="561"/>
      <c r="J734" s="54"/>
    </row>
    <row r="735" spans="1:10" x14ac:dyDescent="0.2">
      <c r="A735" s="1236"/>
      <c r="B735" s="1238"/>
      <c r="C735" s="1235"/>
      <c r="D735" s="1271">
        <f>_xlfn.XLOOKUP(B735,Códigos!$A$489:$A$522,Códigos!$B$489:$B$522,"Verificar",0)</f>
        <v>0</v>
      </c>
      <c r="E735" s="1271">
        <f>_xlfn.XLOOKUP(C735,Códigos!$A$11:$A$415,Códigos!$B$11:$B$415,"Verificar",0)</f>
        <v>0</v>
      </c>
      <c r="F735" s="1239"/>
      <c r="G735" s="1239">
        <f t="shared" si="29"/>
        <v>634239583</v>
      </c>
      <c r="H735" s="1051"/>
      <c r="I735" s="561"/>
      <c r="J735" s="54"/>
    </row>
    <row r="736" spans="1:10" x14ac:dyDescent="0.2">
      <c r="A736" s="1236"/>
      <c r="B736" s="1233"/>
      <c r="C736" s="1235"/>
      <c r="D736" s="1271">
        <f>_xlfn.XLOOKUP(B736,Códigos!$A$489:$A$522,Códigos!$B$489:$B$522,"Verificar",0)</f>
        <v>0</v>
      </c>
      <c r="E736" s="1271">
        <f>_xlfn.XLOOKUP(C736,Códigos!$A$11:$A$415,Códigos!$B$11:$B$415,"Verificar",0)</f>
        <v>0</v>
      </c>
      <c r="F736" s="1239"/>
      <c r="G736" s="1239">
        <f t="shared" si="29"/>
        <v>634239583</v>
      </c>
      <c r="H736" s="1051"/>
      <c r="I736" s="561"/>
      <c r="J736" s="54"/>
    </row>
    <row r="737" spans="1:10" x14ac:dyDescent="0.2">
      <c r="A737" s="1236"/>
      <c r="B737" s="1233"/>
      <c r="C737" s="1235"/>
      <c r="D737" s="1271">
        <f>_xlfn.XLOOKUP(B737,Códigos!$A$489:$A$522,Códigos!$B$489:$B$522,"Verificar",0)</f>
        <v>0</v>
      </c>
      <c r="E737" s="1271">
        <f>_xlfn.XLOOKUP(C737,Códigos!$A$11:$A$415,Códigos!$B$11:$B$415,"Verificar",0)</f>
        <v>0</v>
      </c>
      <c r="F737" s="1239"/>
      <c r="G737" s="1239">
        <f t="shared" si="29"/>
        <v>634239583</v>
      </c>
      <c r="H737" s="1051"/>
      <c r="I737" s="561"/>
      <c r="J737" s="54"/>
    </row>
    <row r="738" spans="1:10" x14ac:dyDescent="0.2">
      <c r="A738" s="1236"/>
      <c r="B738" s="1238"/>
      <c r="C738" s="1235"/>
      <c r="D738" s="1271">
        <f>_xlfn.XLOOKUP(B738,Códigos!$A$489:$A$522,Códigos!$B$489:$B$522,"Verificar",0)</f>
        <v>0</v>
      </c>
      <c r="E738" s="1271">
        <f>_xlfn.XLOOKUP(C738,Códigos!$A$11:$A$415,Códigos!$B$11:$B$415,"Verificar",0)</f>
        <v>0</v>
      </c>
      <c r="F738" s="1239"/>
      <c r="G738" s="1239">
        <f t="shared" si="29"/>
        <v>634239583</v>
      </c>
      <c r="H738" s="1051"/>
      <c r="I738" s="561"/>
      <c r="J738" s="54"/>
    </row>
    <row r="739" spans="1:10" x14ac:dyDescent="0.2">
      <c r="A739" s="1236"/>
      <c r="B739" s="1238"/>
      <c r="C739" s="1235"/>
      <c r="D739" s="1271">
        <f>_xlfn.XLOOKUP(B739,Códigos!$A$489:$A$522,Códigos!$B$489:$B$522,"Verificar",0)</f>
        <v>0</v>
      </c>
      <c r="E739" s="1271">
        <f>_xlfn.XLOOKUP(C739,Códigos!$A$11:$A$415,Códigos!$B$11:$B$415,"Verificar",0)</f>
        <v>0</v>
      </c>
      <c r="F739" s="1239">
        <v>0</v>
      </c>
      <c r="G739" s="1239">
        <f t="shared" si="29"/>
        <v>634239583</v>
      </c>
      <c r="H739" s="1051"/>
      <c r="I739" s="561"/>
      <c r="J739" s="54"/>
    </row>
    <row r="740" spans="1:10" x14ac:dyDescent="0.2">
      <c r="A740" s="1236"/>
      <c r="B740" s="1233"/>
      <c r="C740" s="1235"/>
      <c r="D740" s="1271">
        <f>_xlfn.XLOOKUP(B740,Códigos!$A$489:$A$522,Códigos!$B$489:$B$522,"Verificar",0)</f>
        <v>0</v>
      </c>
      <c r="E740" s="1271">
        <f>_xlfn.XLOOKUP(C740,Códigos!$A$11:$A$415,Códigos!$B$11:$B$415,"Verificar",0)</f>
        <v>0</v>
      </c>
      <c r="F740" s="1239">
        <v>0</v>
      </c>
      <c r="G740" s="1239">
        <f t="shared" si="29"/>
        <v>634239583</v>
      </c>
      <c r="H740" s="1052"/>
      <c r="I740" s="561"/>
      <c r="J740" s="54"/>
    </row>
    <row r="741" spans="1:10" x14ac:dyDescent="0.2">
      <c r="A741" s="1236"/>
      <c r="B741" s="1233"/>
      <c r="C741" s="1235"/>
      <c r="D741" s="1271">
        <f>_xlfn.XLOOKUP(B741,Códigos!$A$489:$A$522,Códigos!$B$489:$B$522,"Verificar",0)</f>
        <v>0</v>
      </c>
      <c r="E741" s="1271">
        <f>_xlfn.XLOOKUP(C741,Códigos!$A$11:$A$415,Códigos!$B$11:$B$415,"Verificar",0)</f>
        <v>0</v>
      </c>
      <c r="F741" s="1239">
        <v>0</v>
      </c>
      <c r="G741" s="1239">
        <f t="shared" si="29"/>
        <v>634239583</v>
      </c>
      <c r="H741" s="1051"/>
      <c r="I741" s="561"/>
      <c r="J741" s="54"/>
    </row>
    <row r="742" spans="1:10" x14ac:dyDescent="0.2">
      <c r="A742" s="1236"/>
      <c r="B742" s="1233"/>
      <c r="C742" s="1235"/>
      <c r="D742" s="1271">
        <f>_xlfn.XLOOKUP(B742,Códigos!$A$489:$A$522,Códigos!$B$489:$B$522,"Verificar",0)</f>
        <v>0</v>
      </c>
      <c r="E742" s="1271">
        <f>_xlfn.XLOOKUP(C742,Códigos!$A$11:$A$415,Códigos!$B$11:$B$415,"Verificar",0)</f>
        <v>0</v>
      </c>
      <c r="F742" s="1239">
        <v>0</v>
      </c>
      <c r="G742" s="1239">
        <f t="shared" si="29"/>
        <v>634239583</v>
      </c>
      <c r="H742" s="1052"/>
      <c r="I742" s="561"/>
      <c r="J742" s="54"/>
    </row>
    <row r="743" spans="1:10" x14ac:dyDescent="0.2">
      <c r="A743" s="1236"/>
      <c r="B743" s="1233"/>
      <c r="C743" s="1235"/>
      <c r="D743" s="1271">
        <f>_xlfn.XLOOKUP(B743,Códigos!$A$489:$A$522,Códigos!$B$489:$B$522,"Verificar",0)</f>
        <v>0</v>
      </c>
      <c r="E743" s="1271">
        <f>_xlfn.XLOOKUP(C743,Códigos!$A$11:$A$415,Códigos!$B$11:$B$415,"Verificar",0)</f>
        <v>0</v>
      </c>
      <c r="F743" s="1239">
        <v>0</v>
      </c>
      <c r="G743" s="1239">
        <f t="shared" si="29"/>
        <v>634239583</v>
      </c>
      <c r="H743" s="1052"/>
      <c r="I743" s="561"/>
      <c r="J743" s="54"/>
    </row>
    <row r="744" spans="1:10" x14ac:dyDescent="0.2">
      <c r="A744" s="1236"/>
      <c r="B744" s="1233"/>
      <c r="C744" s="1235"/>
      <c r="D744" s="1271">
        <f>_xlfn.XLOOKUP(B744,Códigos!$A$489:$A$522,Códigos!$B$489:$B$522,"Verificar",0)</f>
        <v>0</v>
      </c>
      <c r="E744" s="1271">
        <f>_xlfn.XLOOKUP(C744,Códigos!$A$11:$A$415,Códigos!$B$11:$B$415,"Verificar",0)</f>
        <v>0</v>
      </c>
      <c r="F744" s="1239">
        <v>0</v>
      </c>
      <c r="G744" s="1239">
        <f t="shared" si="29"/>
        <v>634239583</v>
      </c>
      <c r="H744" s="1051"/>
      <c r="I744" s="561"/>
      <c r="J744" s="54"/>
    </row>
    <row r="745" spans="1:10" x14ac:dyDescent="0.2">
      <c r="A745" s="1236"/>
      <c r="B745" s="1238"/>
      <c r="C745" s="1235"/>
      <c r="D745" s="1271">
        <f>_xlfn.XLOOKUP(B745,Códigos!$A$489:$A$522,Códigos!$B$489:$B$522,"Verificar",0)</f>
        <v>0</v>
      </c>
      <c r="E745" s="1271">
        <f>_xlfn.XLOOKUP(C745,Códigos!$A$11:$A$415,Códigos!$B$11:$B$415,"Verificar",0)</f>
        <v>0</v>
      </c>
      <c r="F745" s="1239">
        <v>0</v>
      </c>
      <c r="G745" s="1239">
        <f t="shared" si="29"/>
        <v>634239583</v>
      </c>
      <c r="H745" s="1051"/>
      <c r="I745" s="561"/>
      <c r="J745" s="54"/>
    </row>
    <row r="746" spans="1:10" x14ac:dyDescent="0.2">
      <c r="A746" s="1236"/>
      <c r="B746" s="1238"/>
      <c r="C746" s="1235"/>
      <c r="D746" s="1271">
        <f>_xlfn.XLOOKUP(B746,Códigos!$A$489:$A$522,Códigos!$B$489:$B$522,"Verificar",0)</f>
        <v>0</v>
      </c>
      <c r="E746" s="1271">
        <f>_xlfn.XLOOKUP(C746,Códigos!$A$11:$A$415,Códigos!$B$11:$B$415,"Verificar",0)</f>
        <v>0</v>
      </c>
      <c r="F746" s="1239">
        <v>0</v>
      </c>
      <c r="G746" s="1239">
        <f t="shared" si="29"/>
        <v>634239583</v>
      </c>
      <c r="H746" s="1051"/>
      <c r="I746" s="561"/>
      <c r="J746" s="54"/>
    </row>
    <row r="747" spans="1:10" x14ac:dyDescent="0.2">
      <c r="A747" s="1236"/>
      <c r="B747" s="1233"/>
      <c r="C747" s="1235"/>
      <c r="D747" s="1271">
        <f>_xlfn.XLOOKUP(B747,Códigos!$A$489:$A$522,Códigos!$B$489:$B$522,"Verificar",0)</f>
        <v>0</v>
      </c>
      <c r="E747" s="1271">
        <f>_xlfn.XLOOKUP(C747,Códigos!$A$11:$A$415,Códigos!$B$11:$B$415,"Verificar",0)</f>
        <v>0</v>
      </c>
      <c r="F747" s="1239">
        <v>0</v>
      </c>
      <c r="G747" s="1239">
        <f t="shared" si="29"/>
        <v>634239583</v>
      </c>
      <c r="H747" s="853"/>
      <c r="I747" s="561"/>
      <c r="J747" s="54"/>
    </row>
    <row r="748" spans="1:10" x14ac:dyDescent="0.2">
      <c r="A748" s="1236"/>
      <c r="B748" s="1233"/>
      <c r="C748" s="1235"/>
      <c r="D748" s="1271">
        <f>_xlfn.XLOOKUP(B748,Códigos!$A$489:$A$522,Códigos!$B$489:$B$522,"Verificar",0)</f>
        <v>0</v>
      </c>
      <c r="E748" s="1271">
        <f>_xlfn.XLOOKUP(C748,Códigos!$A$11:$A$415,Códigos!$B$11:$B$415,"Verificar",0)</f>
        <v>0</v>
      </c>
      <c r="F748" s="1239">
        <v>0</v>
      </c>
      <c r="G748" s="1239">
        <f t="shared" si="29"/>
        <v>634239583</v>
      </c>
      <c r="H748" s="1049"/>
      <c r="I748" s="561"/>
      <c r="J748" s="54"/>
    </row>
    <row r="749" spans="1:10" x14ac:dyDescent="0.2">
      <c r="A749" s="1236"/>
      <c r="B749" s="1233"/>
      <c r="C749" s="1235"/>
      <c r="D749" s="1271">
        <f>_xlfn.XLOOKUP(B749,Códigos!$A$489:$A$522,Códigos!$B$489:$B$522,"Verificar",0)</f>
        <v>0</v>
      </c>
      <c r="E749" s="1271">
        <f>_xlfn.XLOOKUP(C749,Códigos!$A$11:$A$415,Códigos!$B$11:$B$415,"Verificar",0)</f>
        <v>0</v>
      </c>
      <c r="F749" s="1239">
        <v>0</v>
      </c>
      <c r="G749" s="1239">
        <f t="shared" si="29"/>
        <v>634239583</v>
      </c>
      <c r="H749" s="1049"/>
      <c r="I749" s="561"/>
      <c r="J749" s="54"/>
    </row>
    <row r="750" spans="1:10" x14ac:dyDescent="0.2">
      <c r="A750" s="1236"/>
      <c r="B750" s="1233"/>
      <c r="C750" s="1235"/>
      <c r="D750" s="1271">
        <f>_xlfn.XLOOKUP(B750,Códigos!$A$489:$A$522,Códigos!$B$489:$B$522,"Verificar",0)</f>
        <v>0</v>
      </c>
      <c r="E750" s="1271">
        <f>_xlfn.XLOOKUP(C750,Códigos!$A$11:$A$415,Códigos!$B$11:$B$415,"Verificar",0)</f>
        <v>0</v>
      </c>
      <c r="F750" s="1239">
        <v>0</v>
      </c>
      <c r="G750" s="1239">
        <f t="shared" si="29"/>
        <v>634239583</v>
      </c>
      <c r="H750" s="1051"/>
      <c r="I750" s="561"/>
      <c r="J750" s="54"/>
    </row>
    <row r="751" spans="1:10" x14ac:dyDescent="0.2">
      <c r="A751" s="1236"/>
      <c r="B751" s="1238"/>
      <c r="C751" s="1235"/>
      <c r="D751" s="1271">
        <f>_xlfn.XLOOKUP(B751,Códigos!$A$489:$A$522,Códigos!$B$489:$B$522,"Verificar",0)</f>
        <v>0</v>
      </c>
      <c r="E751" s="1271">
        <f>_xlfn.XLOOKUP(C751,Códigos!$A$11:$A$415,Códigos!$B$11:$B$415,"Verificar",0)</f>
        <v>0</v>
      </c>
      <c r="F751" s="1239">
        <v>0</v>
      </c>
      <c r="G751" s="1239">
        <f t="shared" si="29"/>
        <v>634239583</v>
      </c>
      <c r="H751" s="853"/>
      <c r="I751" s="561"/>
      <c r="J751" s="54"/>
    </row>
    <row r="752" spans="1:10" x14ac:dyDescent="0.2">
      <c r="A752" s="1236"/>
      <c r="B752" s="1238"/>
      <c r="C752" s="1235"/>
      <c r="D752" s="1271">
        <f>_xlfn.XLOOKUP(B752,Códigos!$A$489:$A$522,Códigos!$B$489:$B$522,"Verificar",0)</f>
        <v>0</v>
      </c>
      <c r="E752" s="1271">
        <f>_xlfn.XLOOKUP(C752,Códigos!$A$11:$A$415,Códigos!$B$11:$B$415,"Verificar",0)</f>
        <v>0</v>
      </c>
      <c r="F752" s="1239">
        <v>0</v>
      </c>
      <c r="G752" s="1239">
        <f t="shared" si="29"/>
        <v>634239583</v>
      </c>
      <c r="H752" s="1051"/>
      <c r="I752" s="561"/>
      <c r="J752" s="54"/>
    </row>
    <row r="753" spans="1:10" x14ac:dyDescent="0.2">
      <c r="A753" s="1236"/>
      <c r="B753" s="1238"/>
      <c r="C753" s="1235"/>
      <c r="D753" s="1271">
        <f>_xlfn.XLOOKUP(B753,Códigos!$A$489:$A$522,Códigos!$B$489:$B$522,"Verificar",0)</f>
        <v>0</v>
      </c>
      <c r="E753" s="1271">
        <f>_xlfn.XLOOKUP(C753,Códigos!$A$11:$A$415,Códigos!$B$11:$B$415,"Verificar",0)</f>
        <v>0</v>
      </c>
      <c r="F753" s="1239">
        <v>0</v>
      </c>
      <c r="G753" s="1239">
        <f t="shared" si="29"/>
        <v>634239583</v>
      </c>
      <c r="H753" s="1051"/>
      <c r="I753" s="561"/>
      <c r="J753" s="54"/>
    </row>
    <row r="754" spans="1:10" x14ac:dyDescent="0.2">
      <c r="A754" s="1236"/>
      <c r="B754" s="1238"/>
      <c r="C754" s="1235"/>
      <c r="D754" s="1271">
        <f>_xlfn.XLOOKUP(B754,Códigos!$A$489:$A$522,Códigos!$B$489:$B$522,"Verificar",0)</f>
        <v>0</v>
      </c>
      <c r="E754" s="1271">
        <f>_xlfn.XLOOKUP(C754,Códigos!$A$11:$A$415,Códigos!$B$11:$B$415,"Verificar",0)</f>
        <v>0</v>
      </c>
      <c r="F754" s="1239">
        <v>0</v>
      </c>
      <c r="G754" s="1239">
        <f t="shared" si="29"/>
        <v>634239583</v>
      </c>
      <c r="H754" s="1051"/>
      <c r="I754" s="561"/>
      <c r="J754" s="54"/>
    </row>
    <row r="755" spans="1:10" x14ac:dyDescent="0.2">
      <c r="A755" s="1236"/>
      <c r="B755" s="1233"/>
      <c r="C755" s="1187"/>
      <c r="D755" s="1271">
        <f>_xlfn.XLOOKUP(B755,Códigos!$A$489:$A$522,Códigos!$B$489:$B$522,"Verificar",0)</f>
        <v>0</v>
      </c>
      <c r="E755" s="1271">
        <f>_xlfn.XLOOKUP(C755,Códigos!$A$11:$A$415,Códigos!$B$11:$B$415,"Verificar",0)</f>
        <v>0</v>
      </c>
      <c r="F755" s="1239">
        <v>0</v>
      </c>
      <c r="G755" s="1239">
        <f t="shared" si="29"/>
        <v>634239583</v>
      </c>
      <c r="H755" s="853"/>
      <c r="I755" s="561"/>
      <c r="J755" s="54"/>
    </row>
    <row r="756" spans="1:10" x14ac:dyDescent="0.2">
      <c r="A756" s="1236"/>
      <c r="B756" s="1238"/>
      <c r="C756" s="1235"/>
      <c r="D756" s="1271">
        <f>_xlfn.XLOOKUP(B756,Códigos!$A$489:$A$522,Códigos!$B$489:$B$522,"Verificar",0)</f>
        <v>0</v>
      </c>
      <c r="E756" s="1271">
        <f>_xlfn.XLOOKUP(C756,Códigos!$A$11:$A$415,Códigos!$B$11:$B$415,"Verificar",0)</f>
        <v>0</v>
      </c>
      <c r="F756" s="1239">
        <v>0</v>
      </c>
      <c r="G756" s="1239">
        <f t="shared" si="29"/>
        <v>634239583</v>
      </c>
      <c r="H756" s="1051"/>
      <c r="I756" s="561"/>
      <c r="J756" s="54"/>
    </row>
    <row r="757" spans="1:10" x14ac:dyDescent="0.2">
      <c r="A757" s="1236"/>
      <c r="B757" s="1238"/>
      <c r="C757" s="1235"/>
      <c r="D757" s="1271">
        <f>_xlfn.XLOOKUP(B757,Códigos!$A$489:$A$522,Códigos!$B$489:$B$522,"Verificar",0)</f>
        <v>0</v>
      </c>
      <c r="E757" s="1271">
        <f>_xlfn.XLOOKUP(C757,Códigos!$A$11:$A$415,Códigos!$B$11:$B$415,"Verificar",0)</f>
        <v>0</v>
      </c>
      <c r="F757" s="1239">
        <v>0</v>
      </c>
      <c r="G757" s="1239">
        <f t="shared" si="29"/>
        <v>634239583</v>
      </c>
      <c r="H757" s="1051"/>
      <c r="I757" s="561"/>
      <c r="J757" s="54"/>
    </row>
    <row r="758" spans="1:10" x14ac:dyDescent="0.2">
      <c r="A758" s="1236"/>
      <c r="B758" s="1238"/>
      <c r="C758" s="1235"/>
      <c r="D758" s="1271">
        <f>_xlfn.XLOOKUP(B758,Códigos!$A$489:$A$522,Códigos!$B$489:$B$522,"Verificar",0)</f>
        <v>0</v>
      </c>
      <c r="E758" s="1271">
        <f>_xlfn.XLOOKUP(C758,Códigos!$A$11:$A$415,Códigos!$B$11:$B$415,"Verificar",0)</f>
        <v>0</v>
      </c>
      <c r="F758" s="1239">
        <v>0</v>
      </c>
      <c r="G758" s="1239">
        <f t="shared" si="29"/>
        <v>634239583</v>
      </c>
      <c r="H758" s="1051"/>
      <c r="I758" s="561"/>
      <c r="J758" s="54"/>
    </row>
    <row r="759" spans="1:10" x14ac:dyDescent="0.2">
      <c r="A759" s="1236"/>
      <c r="B759" s="1233"/>
      <c r="C759" s="1235"/>
      <c r="D759" s="1271">
        <f>_xlfn.XLOOKUP(B759,Códigos!$A$489:$A$522,Códigos!$B$489:$B$522,"Verificar",0)</f>
        <v>0</v>
      </c>
      <c r="E759" s="1271">
        <f>_xlfn.XLOOKUP(C759,Códigos!$A$11:$A$415,Códigos!$B$11:$B$415,"Verificar",0)</f>
        <v>0</v>
      </c>
      <c r="F759" s="1239">
        <v>0</v>
      </c>
      <c r="G759" s="1239">
        <f t="shared" si="29"/>
        <v>634239583</v>
      </c>
      <c r="H759" s="1051"/>
      <c r="I759" s="561"/>
      <c r="J759" s="54"/>
    </row>
    <row r="760" spans="1:10" x14ac:dyDescent="0.2">
      <c r="A760" s="1236"/>
      <c r="B760" s="1233"/>
      <c r="C760" s="1235"/>
      <c r="D760" s="1271">
        <f>_xlfn.XLOOKUP(B760,Códigos!$A$489:$A$522,Códigos!$B$489:$B$522,"Verificar",0)</f>
        <v>0</v>
      </c>
      <c r="E760" s="1271">
        <f>_xlfn.XLOOKUP(C760,Códigos!$A$11:$A$415,Códigos!$B$11:$B$415,"Verificar",0)</f>
        <v>0</v>
      </c>
      <c r="F760" s="1239">
        <v>0</v>
      </c>
      <c r="G760" s="1239">
        <f t="shared" si="29"/>
        <v>634239583</v>
      </c>
      <c r="H760" s="1051"/>
      <c r="I760" s="561"/>
      <c r="J760" s="54"/>
    </row>
    <row r="761" spans="1:10" x14ac:dyDescent="0.2">
      <c r="A761" s="1236"/>
      <c r="B761" s="1238"/>
      <c r="C761" s="1235"/>
      <c r="D761" s="1271">
        <f>_xlfn.XLOOKUP(B761,Códigos!$A$489:$A$522,Códigos!$B$489:$B$522,"Verificar",0)</f>
        <v>0</v>
      </c>
      <c r="E761" s="1271">
        <f>_xlfn.XLOOKUP(C761,Códigos!$A$11:$A$415,Códigos!$B$11:$B$415,"Verificar",0)</f>
        <v>0</v>
      </c>
      <c r="F761" s="1239">
        <v>0</v>
      </c>
      <c r="G761" s="1239">
        <f t="shared" si="29"/>
        <v>634239583</v>
      </c>
      <c r="H761" s="1051"/>
      <c r="I761" s="561"/>
      <c r="J761" s="54"/>
    </row>
    <row r="762" spans="1:10" x14ac:dyDescent="0.2">
      <c r="A762" s="1236"/>
      <c r="B762" s="1233"/>
      <c r="C762" s="1235"/>
      <c r="D762" s="1271">
        <f>_xlfn.XLOOKUP(B762,Códigos!$A$489:$A$522,Códigos!$B$489:$B$522,"Verificar",0)</f>
        <v>0</v>
      </c>
      <c r="E762" s="1271">
        <f>_xlfn.XLOOKUP(C762,Códigos!$A$11:$A$415,Códigos!$B$11:$B$415,"Verificar",0)</f>
        <v>0</v>
      </c>
      <c r="F762" s="1239">
        <v>0</v>
      </c>
      <c r="G762" s="1239">
        <f t="shared" si="29"/>
        <v>634239583</v>
      </c>
      <c r="H762" s="1051"/>
      <c r="I762" s="561"/>
      <c r="J762" s="54"/>
    </row>
    <row r="763" spans="1:10" x14ac:dyDescent="0.2">
      <c r="A763" s="1236"/>
      <c r="B763" s="1238"/>
      <c r="C763" s="1235"/>
      <c r="D763" s="1271">
        <f>_xlfn.XLOOKUP(B763,Códigos!$A$489:$A$522,Códigos!$B$489:$B$522,"Verificar",0)</f>
        <v>0</v>
      </c>
      <c r="E763" s="1271">
        <f>_xlfn.XLOOKUP(C763,Códigos!$A$11:$A$415,Códigos!$B$11:$B$415,"Verificar",0)</f>
        <v>0</v>
      </c>
      <c r="F763" s="1239">
        <v>0</v>
      </c>
      <c r="G763" s="1239">
        <f t="shared" si="29"/>
        <v>634239583</v>
      </c>
      <c r="H763" s="1051"/>
      <c r="I763" s="561"/>
      <c r="J763" s="54"/>
    </row>
    <row r="764" spans="1:10" x14ac:dyDescent="0.2">
      <c r="A764" s="1236"/>
      <c r="B764" s="1238"/>
      <c r="C764" s="1235"/>
      <c r="D764" s="1271">
        <f>_xlfn.XLOOKUP(B764,Códigos!$A$489:$A$522,Códigos!$B$489:$B$522,"Verificar",0)</f>
        <v>0</v>
      </c>
      <c r="E764" s="1271">
        <f>_xlfn.XLOOKUP(C764,Códigos!$A$11:$A$415,Códigos!$B$11:$B$415,"Verificar",0)</f>
        <v>0</v>
      </c>
      <c r="F764" s="1239">
        <v>0</v>
      </c>
      <c r="G764" s="1239">
        <f t="shared" si="29"/>
        <v>634239583</v>
      </c>
      <c r="H764" s="1051"/>
      <c r="I764" s="561"/>
      <c r="J764" s="54"/>
    </row>
    <row r="765" spans="1:10" x14ac:dyDescent="0.2">
      <c r="A765" s="1236"/>
      <c r="B765" s="1238"/>
      <c r="C765" s="1235"/>
      <c r="D765" s="1271">
        <f>_xlfn.XLOOKUP(B765,Códigos!$A$489:$A$522,Códigos!$B$489:$B$522,"Verificar",0)</f>
        <v>0</v>
      </c>
      <c r="E765" s="1271">
        <f>_xlfn.XLOOKUP(C765,Códigos!$A$11:$A$415,Códigos!$B$11:$B$415,"Verificar",0)</f>
        <v>0</v>
      </c>
      <c r="F765" s="1239">
        <v>0</v>
      </c>
      <c r="G765" s="1239">
        <f t="shared" si="29"/>
        <v>634239583</v>
      </c>
      <c r="H765" s="1051"/>
      <c r="I765" s="561"/>
      <c r="J765" s="54"/>
    </row>
    <row r="766" spans="1:10" x14ac:dyDescent="0.2">
      <c r="A766" s="1236"/>
      <c r="B766" s="1238"/>
      <c r="C766" s="1235"/>
      <c r="D766" s="1271">
        <f>_xlfn.XLOOKUP(B766,Códigos!$A$489:$A$522,Códigos!$B$489:$B$522,"Verificar",0)</f>
        <v>0</v>
      </c>
      <c r="E766" s="1271">
        <f>_xlfn.XLOOKUP(C766,Códigos!$A$11:$A$415,Códigos!$B$11:$B$415,"Verificar",0)</f>
        <v>0</v>
      </c>
      <c r="F766" s="1239">
        <v>0</v>
      </c>
      <c r="G766" s="1239">
        <f t="shared" si="29"/>
        <v>634239583</v>
      </c>
      <c r="H766" s="1051"/>
      <c r="I766" s="561"/>
      <c r="J766" s="54"/>
    </row>
    <row r="767" spans="1:10" x14ac:dyDescent="0.2">
      <c r="A767" s="1236"/>
      <c r="B767" s="1238"/>
      <c r="C767" s="1235"/>
      <c r="D767" s="1271">
        <f>_xlfn.XLOOKUP(B767,Códigos!$A$489:$A$522,Códigos!$B$489:$B$522,"Verificar",0)</f>
        <v>0</v>
      </c>
      <c r="E767" s="1271">
        <f>_xlfn.XLOOKUP(C767,Códigos!$A$11:$A$415,Códigos!$B$11:$B$415,"Verificar",0)</f>
        <v>0</v>
      </c>
      <c r="F767" s="1239">
        <v>0</v>
      </c>
      <c r="G767" s="1239">
        <f t="shared" si="29"/>
        <v>634239583</v>
      </c>
      <c r="H767" s="1051"/>
      <c r="I767" s="561"/>
      <c r="J767" s="54"/>
    </row>
    <row r="768" spans="1:10" x14ac:dyDescent="0.2">
      <c r="A768" s="1236"/>
      <c r="B768" s="1238"/>
      <c r="C768" s="1235"/>
      <c r="D768" s="1271">
        <f>_xlfn.XLOOKUP(B768,Códigos!$A$489:$A$522,Códigos!$B$489:$B$522,"Verificar",0)</f>
        <v>0</v>
      </c>
      <c r="E768" s="1271">
        <f>_xlfn.XLOOKUP(C768,Códigos!$A$11:$A$415,Códigos!$B$11:$B$415,"Verificar",0)</f>
        <v>0</v>
      </c>
      <c r="F768" s="1239">
        <v>0</v>
      </c>
      <c r="G768" s="1239">
        <f t="shared" si="29"/>
        <v>634239583</v>
      </c>
      <c r="H768" s="1051"/>
      <c r="I768" s="561"/>
      <c r="J768" s="54"/>
    </row>
    <row r="769" spans="1:10" x14ac:dyDescent="0.2">
      <c r="A769" s="1236"/>
      <c r="B769" s="1238"/>
      <c r="C769" s="1235"/>
      <c r="D769" s="1271">
        <f>_xlfn.XLOOKUP(B769,Códigos!$A$489:$A$522,Códigos!$B$489:$B$522,"Verificar",0)</f>
        <v>0</v>
      </c>
      <c r="E769" s="1271">
        <f>_xlfn.XLOOKUP(C769,Códigos!$A$11:$A$415,Códigos!$B$11:$B$415,"Verificar",0)</f>
        <v>0</v>
      </c>
      <c r="F769" s="1239">
        <v>0</v>
      </c>
      <c r="G769" s="1239">
        <f t="shared" si="29"/>
        <v>634239583</v>
      </c>
      <c r="H769" s="1051"/>
      <c r="I769" s="561"/>
      <c r="J769" s="54"/>
    </row>
    <row r="770" spans="1:10" x14ac:dyDescent="0.2">
      <c r="A770" s="1236"/>
      <c r="B770" s="1238"/>
      <c r="C770" s="1235"/>
      <c r="D770" s="1271">
        <f>_xlfn.XLOOKUP(B770,Códigos!$A$489:$A$522,Códigos!$B$489:$B$522,"Verificar",0)</f>
        <v>0</v>
      </c>
      <c r="E770" s="1271">
        <f>_xlfn.XLOOKUP(C770,Códigos!$A$11:$A$415,Códigos!$B$11:$B$415,"Verificar",0)</f>
        <v>0</v>
      </c>
      <c r="F770" s="1239">
        <v>0</v>
      </c>
      <c r="G770" s="1239">
        <f t="shared" si="29"/>
        <v>634239583</v>
      </c>
      <c r="H770" s="1051"/>
      <c r="I770" s="561"/>
      <c r="J770" s="54"/>
    </row>
    <row r="771" spans="1:10" x14ac:dyDescent="0.2">
      <c r="A771" s="1236"/>
      <c r="B771" s="1238"/>
      <c r="C771" s="1235"/>
      <c r="D771" s="1271">
        <f>_xlfn.XLOOKUP(B771,Códigos!$A$489:$A$522,Códigos!$B$489:$B$522,"Verificar",0)</f>
        <v>0</v>
      </c>
      <c r="E771" s="1271">
        <f>_xlfn.XLOOKUP(C771,Códigos!$A$11:$A$415,Códigos!$B$11:$B$415,"Verificar",0)</f>
        <v>0</v>
      </c>
      <c r="F771" s="1239">
        <v>0</v>
      </c>
      <c r="G771" s="1239">
        <f t="shared" si="29"/>
        <v>634239583</v>
      </c>
      <c r="H771" s="1051"/>
      <c r="I771" s="561"/>
      <c r="J771" s="54"/>
    </row>
    <row r="772" spans="1:10" x14ac:dyDescent="0.2">
      <c r="A772" s="1236"/>
      <c r="B772" s="1238"/>
      <c r="C772" s="1235"/>
      <c r="D772" s="1271">
        <f>_xlfn.XLOOKUP(B772,Códigos!$A$489:$A$522,Códigos!$B$489:$B$522,"Verificar",0)</f>
        <v>0</v>
      </c>
      <c r="E772" s="1271">
        <f>_xlfn.XLOOKUP(C772,Códigos!$A$11:$A$415,Códigos!$B$11:$B$415,"Verificar",0)</f>
        <v>0</v>
      </c>
      <c r="F772" s="1239">
        <v>0</v>
      </c>
      <c r="G772" s="1239">
        <f t="shared" si="29"/>
        <v>634239583</v>
      </c>
      <c r="H772" s="1051"/>
      <c r="I772" s="561"/>
      <c r="J772" s="54"/>
    </row>
    <row r="773" spans="1:10" x14ac:dyDescent="0.2">
      <c r="A773" s="1236"/>
      <c r="B773" s="1238"/>
      <c r="C773" s="1235"/>
      <c r="D773" s="1271">
        <f>_xlfn.XLOOKUP(B773,Códigos!$A$489:$A$522,Códigos!$B$489:$B$522,"Verificar",0)</f>
        <v>0</v>
      </c>
      <c r="E773" s="1271">
        <f>_xlfn.XLOOKUP(C773,Códigos!$A$11:$A$415,Códigos!$B$11:$B$415,"Verificar",0)</f>
        <v>0</v>
      </c>
      <c r="F773" s="1239">
        <v>0</v>
      </c>
      <c r="G773" s="1239">
        <f t="shared" si="29"/>
        <v>634239583</v>
      </c>
      <c r="H773" s="1051"/>
      <c r="I773" s="561"/>
      <c r="J773" s="54"/>
    </row>
    <row r="774" spans="1:10" x14ac:dyDescent="0.2">
      <c r="A774" s="1236"/>
      <c r="B774" s="1238"/>
      <c r="C774" s="1235"/>
      <c r="D774" s="1271">
        <f>_xlfn.XLOOKUP(B774,Códigos!$A$489:$A$522,Códigos!$B$489:$B$522,"Verificar",0)</f>
        <v>0</v>
      </c>
      <c r="E774" s="1271">
        <f>_xlfn.XLOOKUP(C774,Códigos!$A$11:$A$415,Códigos!$B$11:$B$415,"Verificar",0)</f>
        <v>0</v>
      </c>
      <c r="F774" s="1239">
        <v>0</v>
      </c>
      <c r="G774" s="1239">
        <f t="shared" si="29"/>
        <v>634239583</v>
      </c>
      <c r="H774" s="1051"/>
      <c r="I774" s="561"/>
      <c r="J774" s="54"/>
    </row>
    <row r="775" spans="1:10" x14ac:dyDescent="0.2">
      <c r="A775" s="1236"/>
      <c r="B775" s="1238"/>
      <c r="C775" s="1235"/>
      <c r="D775" s="1271">
        <f>_xlfn.XLOOKUP(B775,Códigos!$A$489:$A$522,Códigos!$B$489:$B$522,"Verificar",0)</f>
        <v>0</v>
      </c>
      <c r="E775" s="1271">
        <f>_xlfn.XLOOKUP(C775,Códigos!$A$11:$A$415,Códigos!$B$11:$B$415,"Verificar",0)</f>
        <v>0</v>
      </c>
      <c r="F775" s="1239">
        <v>0</v>
      </c>
      <c r="G775" s="1239">
        <f t="shared" si="29"/>
        <v>634239583</v>
      </c>
      <c r="H775" s="1051"/>
      <c r="I775" s="561"/>
      <c r="J775" s="54"/>
    </row>
    <row r="776" spans="1:10" x14ac:dyDescent="0.2">
      <c r="A776" s="1236"/>
      <c r="B776" s="1238"/>
      <c r="C776" s="1235"/>
      <c r="D776" s="1271">
        <f>_xlfn.XLOOKUP(B776,Códigos!$A$489:$A$522,Códigos!$B$489:$B$522,"Verificar",0)</f>
        <v>0</v>
      </c>
      <c r="E776" s="1271">
        <f>_xlfn.XLOOKUP(C776,Códigos!$A$11:$A$415,Códigos!$B$11:$B$415,"Verificar",0)</f>
        <v>0</v>
      </c>
      <c r="F776" s="1239">
        <v>0</v>
      </c>
      <c r="G776" s="1239">
        <f t="shared" si="29"/>
        <v>634239583</v>
      </c>
      <c r="H776" s="1051"/>
      <c r="I776" s="561"/>
      <c r="J776" s="54"/>
    </row>
    <row r="777" spans="1:10" x14ac:dyDescent="0.2">
      <c r="A777" s="1236"/>
      <c r="B777" s="1238"/>
      <c r="C777" s="1235"/>
      <c r="D777" s="1271">
        <f>_xlfn.XLOOKUP(B777,Códigos!$A$489:$A$522,Códigos!$B$489:$B$522,"Verificar",0)</f>
        <v>0</v>
      </c>
      <c r="E777" s="1271">
        <f>_xlfn.XLOOKUP(C777,Códigos!$A$11:$A$415,Códigos!$B$11:$B$415,"Verificar",0)</f>
        <v>0</v>
      </c>
      <c r="F777" s="1239">
        <v>0</v>
      </c>
      <c r="G777" s="1239">
        <f t="shared" si="29"/>
        <v>634239583</v>
      </c>
      <c r="H777" s="1051"/>
      <c r="I777" s="561"/>
      <c r="J777" s="54"/>
    </row>
    <row r="778" spans="1:10" x14ac:dyDescent="0.2">
      <c r="A778" s="1236"/>
      <c r="B778" s="1238"/>
      <c r="C778" s="1235"/>
      <c r="D778" s="1271">
        <f>_xlfn.XLOOKUP(B778,Códigos!$A$489:$A$522,Códigos!$B$489:$B$522,"Verificar",0)</f>
        <v>0</v>
      </c>
      <c r="E778" s="1271">
        <f>_xlfn.XLOOKUP(C778,Códigos!$A$11:$A$415,Códigos!$B$11:$B$415,"Verificar",0)</f>
        <v>0</v>
      </c>
      <c r="F778" s="1239">
        <v>0</v>
      </c>
      <c r="G778" s="1239">
        <f t="shared" si="29"/>
        <v>634239583</v>
      </c>
      <c r="H778" s="1051"/>
      <c r="I778" s="561"/>
      <c r="J778" s="54"/>
    </row>
    <row r="779" spans="1:10" x14ac:dyDescent="0.2">
      <c r="A779" s="1236"/>
      <c r="B779" s="1238"/>
      <c r="C779" s="1235"/>
      <c r="D779" s="1271">
        <f>_xlfn.XLOOKUP(B779,Códigos!$A$489:$A$522,Códigos!$B$489:$B$522,"Verificar",0)</f>
        <v>0</v>
      </c>
      <c r="E779" s="1271">
        <f>_xlfn.XLOOKUP(C779,Códigos!$A$11:$A$415,Códigos!$B$11:$B$415,"Verificar",0)</f>
        <v>0</v>
      </c>
      <c r="F779" s="1239">
        <v>0</v>
      </c>
      <c r="G779" s="1239">
        <f t="shared" si="29"/>
        <v>634239583</v>
      </c>
      <c r="H779" s="1051"/>
      <c r="I779" s="561"/>
      <c r="J779" s="54"/>
    </row>
    <row r="780" spans="1:10" x14ac:dyDescent="0.2">
      <c r="A780" s="1236"/>
      <c r="B780" s="1238"/>
      <c r="C780" s="1235"/>
      <c r="D780" s="1271">
        <f>_xlfn.XLOOKUP(B780,Códigos!$A$489:$A$522,Códigos!$B$489:$B$522,"Verificar",0)</f>
        <v>0</v>
      </c>
      <c r="E780" s="1271">
        <f>_xlfn.XLOOKUP(C780,Códigos!$A$11:$A$415,Códigos!$B$11:$B$415,"Verificar",0)</f>
        <v>0</v>
      </c>
      <c r="F780" s="1239">
        <v>0</v>
      </c>
      <c r="G780" s="1239">
        <f t="shared" si="29"/>
        <v>634239583</v>
      </c>
      <c r="H780" s="1051"/>
      <c r="I780" s="561"/>
      <c r="J780" s="54"/>
    </row>
    <row r="781" spans="1:10" x14ac:dyDescent="0.2">
      <c r="A781" s="1236"/>
      <c r="B781" s="1238"/>
      <c r="C781" s="1235"/>
      <c r="D781" s="1271">
        <f>_xlfn.XLOOKUP(B781,Códigos!$A$489:$A$522,Códigos!$B$489:$B$522,"Verificar",0)</f>
        <v>0</v>
      </c>
      <c r="E781" s="1271">
        <f>_xlfn.XLOOKUP(C781,Códigos!$A$11:$A$415,Códigos!$B$11:$B$415,"Verificar",0)</f>
        <v>0</v>
      </c>
      <c r="F781" s="1239">
        <v>0</v>
      </c>
      <c r="G781" s="1239">
        <f t="shared" si="29"/>
        <v>634239583</v>
      </c>
      <c r="H781" s="1051"/>
      <c r="I781" s="561"/>
      <c r="J781" s="54"/>
    </row>
    <row r="782" spans="1:10" x14ac:dyDescent="0.2">
      <c r="A782" s="1236"/>
      <c r="B782" s="1238"/>
      <c r="C782" s="1235"/>
      <c r="D782" s="1271">
        <f>_xlfn.XLOOKUP(B782,Códigos!$A$489:$A$522,Códigos!$B$489:$B$522,"Verificar",0)</f>
        <v>0</v>
      </c>
      <c r="E782" s="1271">
        <f>_xlfn.XLOOKUP(C782,Códigos!$A$11:$A$415,Códigos!$B$11:$B$415,"Verificar",0)</f>
        <v>0</v>
      </c>
      <c r="F782" s="1239">
        <v>0</v>
      </c>
      <c r="G782" s="1239">
        <f t="shared" si="29"/>
        <v>634239583</v>
      </c>
      <c r="H782" s="1051"/>
      <c r="I782" s="561"/>
      <c r="J782" s="54"/>
    </row>
    <row r="783" spans="1:10" x14ac:dyDescent="0.2">
      <c r="A783" s="1236"/>
      <c r="B783" s="1238"/>
      <c r="C783" s="1235"/>
      <c r="D783" s="1271">
        <f>_xlfn.XLOOKUP(B783,Códigos!$A$489:$A$522,Códigos!$B$489:$B$522,"Verificar",0)</f>
        <v>0</v>
      </c>
      <c r="E783" s="1271">
        <f>_xlfn.XLOOKUP(C783,Códigos!$A$11:$A$415,Códigos!$B$11:$B$415,"Verificar",0)</f>
        <v>0</v>
      </c>
      <c r="F783" s="1239">
        <v>0</v>
      </c>
      <c r="G783" s="1239">
        <f t="shared" si="29"/>
        <v>634239583</v>
      </c>
      <c r="H783" s="1051"/>
      <c r="I783" s="561"/>
      <c r="J783" s="54"/>
    </row>
    <row r="784" spans="1:10" x14ac:dyDescent="0.2">
      <c r="A784" s="1236"/>
      <c r="B784" s="1238"/>
      <c r="C784" s="1235"/>
      <c r="D784" s="1271">
        <f>_xlfn.XLOOKUP(B784,Códigos!$A$489:$A$522,Códigos!$B$489:$B$522,"Verificar",0)</f>
        <v>0</v>
      </c>
      <c r="E784" s="1271">
        <f>_xlfn.XLOOKUP(C784,Códigos!$A$11:$A$415,Códigos!$B$11:$B$415,"Verificar",0)</f>
        <v>0</v>
      </c>
      <c r="F784" s="1239">
        <v>0</v>
      </c>
      <c r="G784" s="1239">
        <f t="shared" si="29"/>
        <v>634239583</v>
      </c>
      <c r="H784" s="1051"/>
      <c r="I784" s="561"/>
      <c r="J784" s="54"/>
    </row>
    <row r="785" spans="1:10" x14ac:dyDescent="0.2">
      <c r="A785" s="1236"/>
      <c r="B785" s="1238"/>
      <c r="C785" s="1235"/>
      <c r="D785" s="1271">
        <f>_xlfn.XLOOKUP(B785,Códigos!$A$489:$A$522,Códigos!$B$489:$B$522,"Verificar",0)</f>
        <v>0</v>
      </c>
      <c r="E785" s="1271">
        <f>_xlfn.XLOOKUP(C785,Códigos!$A$11:$A$415,Códigos!$B$11:$B$415,"Verificar",0)</f>
        <v>0</v>
      </c>
      <c r="F785" s="1239">
        <v>0</v>
      </c>
      <c r="G785" s="1239">
        <f t="shared" si="29"/>
        <v>634239583</v>
      </c>
      <c r="H785" s="1051"/>
      <c r="I785" s="561"/>
      <c r="J785" s="54"/>
    </row>
    <row r="786" spans="1:10" x14ac:dyDescent="0.2">
      <c r="A786" s="1236"/>
      <c r="B786" s="1238"/>
      <c r="C786" s="1235"/>
      <c r="D786" s="1271">
        <f>_xlfn.XLOOKUP(B786,Códigos!$A$489:$A$522,Códigos!$B$489:$B$522,"Verificar",0)</f>
        <v>0</v>
      </c>
      <c r="E786" s="1271">
        <f>_xlfn.XLOOKUP(C786,Códigos!$A$11:$A$415,Códigos!$B$11:$B$415,"Verificar",0)</f>
        <v>0</v>
      </c>
      <c r="F786" s="1239">
        <v>0</v>
      </c>
      <c r="G786" s="1239">
        <f t="shared" si="29"/>
        <v>634239583</v>
      </c>
      <c r="H786" s="1051"/>
      <c r="I786" s="561"/>
      <c r="J786" s="54"/>
    </row>
    <row r="787" spans="1:10" x14ac:dyDescent="0.2">
      <c r="A787" s="1236"/>
      <c r="B787" s="1238"/>
      <c r="C787" s="1235"/>
      <c r="D787" s="1271">
        <f>_xlfn.XLOOKUP(B787,Códigos!$A$489:$A$522,Códigos!$B$489:$B$522,"Verificar",0)</f>
        <v>0</v>
      </c>
      <c r="E787" s="1271">
        <f>_xlfn.XLOOKUP(C787,Códigos!$A$11:$A$415,Códigos!$B$11:$B$415,"Verificar",0)</f>
        <v>0</v>
      </c>
      <c r="F787" s="1272">
        <v>0</v>
      </c>
      <c r="G787" s="1239">
        <f t="shared" si="29"/>
        <v>634239583</v>
      </c>
      <c r="H787" s="1051"/>
      <c r="I787" s="561"/>
      <c r="J787" s="54"/>
    </row>
    <row r="788" spans="1:10" x14ac:dyDescent="0.2">
      <c r="A788" s="1236"/>
      <c r="B788" s="1238"/>
      <c r="C788" s="1235"/>
      <c r="D788" s="1271">
        <f>_xlfn.XLOOKUP(B788,Códigos!$A$489:$A$522,Códigos!$B$489:$B$522,"Verificar",0)</f>
        <v>0</v>
      </c>
      <c r="E788" s="1271">
        <f>_xlfn.XLOOKUP(C788,Códigos!$A$11:$A$415,Códigos!$B$11:$B$415,"Verificar",0)</f>
        <v>0</v>
      </c>
      <c r="F788" s="1272">
        <v>0</v>
      </c>
      <c r="G788" s="1239">
        <f t="shared" si="29"/>
        <v>634239583</v>
      </c>
      <c r="H788" s="1051"/>
      <c r="I788" s="561"/>
      <c r="J788" s="54"/>
    </row>
    <row r="789" spans="1:10" x14ac:dyDescent="0.2">
      <c r="A789" s="1236"/>
      <c r="B789" s="1238"/>
      <c r="C789" s="1235"/>
      <c r="D789" s="1271">
        <f>_xlfn.XLOOKUP(B789,Códigos!$A$489:$A$522,Códigos!$B$489:$B$522,"Verificar",0)</f>
        <v>0</v>
      </c>
      <c r="E789" s="1271">
        <f>_xlfn.XLOOKUP(C789,Códigos!$A$11:$A$415,Códigos!$B$11:$B$415,"Verificar",0)</f>
        <v>0</v>
      </c>
      <c r="F789" s="1272">
        <v>0</v>
      </c>
      <c r="G789" s="1239">
        <f t="shared" si="29"/>
        <v>634239583</v>
      </c>
      <c r="H789" s="1051"/>
      <c r="I789" s="561"/>
      <c r="J789" s="54"/>
    </row>
    <row r="790" spans="1:10" x14ac:dyDescent="0.2">
      <c r="A790" s="1236"/>
      <c r="B790" s="1238"/>
      <c r="C790" s="1235"/>
      <c r="D790" s="1271">
        <f>_xlfn.XLOOKUP(B790,Códigos!$A$489:$A$522,Códigos!$B$489:$B$522,"Verificar",0)</f>
        <v>0</v>
      </c>
      <c r="E790" s="1271">
        <f>_xlfn.XLOOKUP(C790,Códigos!$A$11:$A$415,Códigos!$B$11:$B$415,"Verificar",0)</f>
        <v>0</v>
      </c>
      <c r="F790" s="1272">
        <v>0</v>
      </c>
      <c r="G790" s="1239">
        <f t="shared" si="29"/>
        <v>634239583</v>
      </c>
      <c r="H790" s="1051"/>
      <c r="I790" s="561"/>
      <c r="J790" s="54"/>
    </row>
    <row r="791" spans="1:10" x14ac:dyDescent="0.2">
      <c r="A791" s="1236"/>
      <c r="B791" s="1238"/>
      <c r="C791" s="1235"/>
      <c r="D791" s="1271">
        <f>_xlfn.XLOOKUP(B791,Códigos!$A$489:$A$522,Códigos!$B$489:$B$522,"Verificar",0)</f>
        <v>0</v>
      </c>
      <c r="E791" s="1271">
        <f>_xlfn.XLOOKUP(C791,Códigos!$A$11:$A$415,Códigos!$B$11:$B$415,"Verificar",0)</f>
        <v>0</v>
      </c>
      <c r="F791" s="1272">
        <v>0</v>
      </c>
      <c r="G791" s="1239">
        <f t="shared" si="29"/>
        <v>634239583</v>
      </c>
      <c r="H791" s="1051"/>
      <c r="I791" s="561"/>
      <c r="J791" s="54"/>
    </row>
    <row r="792" spans="1:10" x14ac:dyDescent="0.2">
      <c r="A792" s="1236"/>
      <c r="B792" s="1238"/>
      <c r="C792" s="1235"/>
      <c r="D792" s="1271">
        <f>_xlfn.XLOOKUP(B792,Códigos!$A$489:$A$522,Códigos!$B$489:$B$522,"Verificar",0)</f>
        <v>0</v>
      </c>
      <c r="E792" s="1271">
        <f>_xlfn.XLOOKUP(C792,Códigos!$A$11:$A$415,Códigos!$B$11:$B$415,"Verificar",0)</f>
        <v>0</v>
      </c>
      <c r="F792" s="1272">
        <v>0</v>
      </c>
      <c r="G792" s="1239">
        <f t="shared" ref="G792:G855" si="30">+G791+F792</f>
        <v>634239583</v>
      </c>
      <c r="H792" s="1051"/>
      <c r="I792" s="561"/>
      <c r="J792" s="54"/>
    </row>
    <row r="793" spans="1:10" x14ac:dyDescent="0.2">
      <c r="A793" s="1236"/>
      <c r="B793" s="1238"/>
      <c r="C793" s="1235"/>
      <c r="D793" s="1271">
        <f>_xlfn.XLOOKUP(B793,Códigos!$A$489:$A$522,Códigos!$B$489:$B$522,"Verificar",0)</f>
        <v>0</v>
      </c>
      <c r="E793" s="1271">
        <f>_xlfn.XLOOKUP(C793,Códigos!$A$11:$A$415,Códigos!$B$11:$B$415,"Verificar",0)</f>
        <v>0</v>
      </c>
      <c r="F793" s="1272">
        <v>0</v>
      </c>
      <c r="G793" s="1239">
        <f t="shared" si="30"/>
        <v>634239583</v>
      </c>
      <c r="H793" s="1051"/>
      <c r="I793" s="561"/>
      <c r="J793" s="54"/>
    </row>
    <row r="794" spans="1:10" x14ac:dyDescent="0.2">
      <c r="A794" s="1236"/>
      <c r="B794" s="1238"/>
      <c r="C794" s="1235"/>
      <c r="D794" s="1271">
        <f>_xlfn.XLOOKUP(B794,Códigos!$A$489:$A$522,Códigos!$B$489:$B$522,"Verificar",0)</f>
        <v>0</v>
      </c>
      <c r="E794" s="1271">
        <f>_xlfn.XLOOKUP(C794,Códigos!$A$11:$A$415,Códigos!$B$11:$B$415,"Verificar",0)</f>
        <v>0</v>
      </c>
      <c r="F794" s="1272">
        <v>0</v>
      </c>
      <c r="G794" s="1239">
        <f t="shared" si="30"/>
        <v>634239583</v>
      </c>
      <c r="H794" s="1051"/>
      <c r="I794" s="561"/>
      <c r="J794" s="54"/>
    </row>
    <row r="795" spans="1:10" x14ac:dyDescent="0.2">
      <c r="A795" s="1236"/>
      <c r="B795" s="1238"/>
      <c r="C795" s="1235"/>
      <c r="D795" s="1271">
        <f>_xlfn.XLOOKUP(B795,Códigos!$A$489:$A$522,Códigos!$B$489:$B$522,"Verificar",0)</f>
        <v>0</v>
      </c>
      <c r="E795" s="1271">
        <f>_xlfn.XLOOKUP(C795,Códigos!$A$11:$A$415,Códigos!$B$11:$B$415,"Verificar",0)</f>
        <v>0</v>
      </c>
      <c r="F795" s="1272">
        <v>0</v>
      </c>
      <c r="G795" s="1239">
        <f t="shared" si="30"/>
        <v>634239583</v>
      </c>
      <c r="H795" s="1051"/>
      <c r="I795" s="561"/>
      <c r="J795" s="54"/>
    </row>
    <row r="796" spans="1:10" x14ac:dyDescent="0.2">
      <c r="A796" s="1236"/>
      <c r="B796" s="1238"/>
      <c r="C796" s="1235"/>
      <c r="D796" s="1271">
        <f>_xlfn.XLOOKUP(B796,Códigos!$A$489:$A$522,Códigos!$B$489:$B$522,"Verificar",0)</f>
        <v>0</v>
      </c>
      <c r="E796" s="1271">
        <f>_xlfn.XLOOKUP(C796,Códigos!$A$11:$A$415,Códigos!$B$11:$B$415,"Verificar",0)</f>
        <v>0</v>
      </c>
      <c r="F796" s="1272">
        <v>0</v>
      </c>
      <c r="G796" s="1239">
        <f t="shared" si="30"/>
        <v>634239583</v>
      </c>
      <c r="H796" s="1051"/>
      <c r="I796" s="561"/>
      <c r="J796" s="54"/>
    </row>
    <row r="797" spans="1:10" x14ac:dyDescent="0.2">
      <c r="A797" s="1236"/>
      <c r="B797" s="1238"/>
      <c r="C797" s="1235"/>
      <c r="D797" s="1271">
        <f>_xlfn.XLOOKUP(B797,Códigos!$A$489:$A$522,Códigos!$B$489:$B$522,"Verificar",0)</f>
        <v>0</v>
      </c>
      <c r="E797" s="1271">
        <f>_xlfn.XLOOKUP(C797,Códigos!$A$11:$A$415,Códigos!$B$11:$B$415,"Verificar",0)</f>
        <v>0</v>
      </c>
      <c r="F797" s="1272">
        <v>0</v>
      </c>
      <c r="G797" s="1239">
        <f t="shared" si="30"/>
        <v>634239583</v>
      </c>
      <c r="H797" s="1051"/>
      <c r="I797" s="561"/>
      <c r="J797" s="54"/>
    </row>
    <row r="798" spans="1:10" x14ac:dyDescent="0.2">
      <c r="A798" s="1236"/>
      <c r="B798" s="1238"/>
      <c r="C798" s="1235"/>
      <c r="D798" s="1271">
        <f>_xlfn.XLOOKUP(B798,Códigos!$A$489:$A$522,Códigos!$B$489:$B$522,"Verificar",0)</f>
        <v>0</v>
      </c>
      <c r="E798" s="1271">
        <f>_xlfn.XLOOKUP(C798,Códigos!$A$11:$A$415,Códigos!$B$11:$B$415,"Verificar",0)</f>
        <v>0</v>
      </c>
      <c r="F798" s="1272">
        <v>0</v>
      </c>
      <c r="G798" s="1239">
        <f t="shared" si="30"/>
        <v>634239583</v>
      </c>
      <c r="H798" s="1051"/>
      <c r="I798" s="561"/>
      <c r="J798" s="54"/>
    </row>
    <row r="799" spans="1:10" x14ac:dyDescent="0.2">
      <c r="A799" s="1236"/>
      <c r="B799" s="1238"/>
      <c r="C799" s="1235"/>
      <c r="D799" s="1271">
        <f>_xlfn.XLOOKUP(B799,Códigos!$A$489:$A$522,Códigos!$B$489:$B$522,"Verificar",0)</f>
        <v>0</v>
      </c>
      <c r="E799" s="1271">
        <f>_xlfn.XLOOKUP(C799,Códigos!$A$11:$A$415,Códigos!$B$11:$B$415,"Verificar",0)</f>
        <v>0</v>
      </c>
      <c r="F799" s="1272">
        <v>0</v>
      </c>
      <c r="G799" s="1239">
        <f t="shared" si="30"/>
        <v>634239583</v>
      </c>
      <c r="H799" s="1051"/>
      <c r="I799" s="561"/>
      <c r="J799" s="54"/>
    </row>
    <row r="800" spans="1:10" x14ac:dyDescent="0.2">
      <c r="A800" s="1236"/>
      <c r="B800" s="1238"/>
      <c r="C800" s="1235"/>
      <c r="D800" s="1271">
        <f>_xlfn.XLOOKUP(B800,Códigos!$A$489:$A$522,Códigos!$B$489:$B$522,"Verificar",0)</f>
        <v>0</v>
      </c>
      <c r="E800" s="1271">
        <f>_xlfn.XLOOKUP(C800,Códigos!$A$11:$A$415,Códigos!$B$11:$B$415,"Verificar",0)</f>
        <v>0</v>
      </c>
      <c r="F800" s="1272">
        <v>0</v>
      </c>
      <c r="G800" s="1239">
        <f t="shared" si="30"/>
        <v>634239583</v>
      </c>
      <c r="H800" s="1051"/>
      <c r="I800" s="561"/>
      <c r="J800" s="54"/>
    </row>
    <row r="801" spans="1:10" x14ac:dyDescent="0.2">
      <c r="A801" s="1236"/>
      <c r="B801" s="1238"/>
      <c r="C801" s="1235"/>
      <c r="D801" s="1271">
        <f>_xlfn.XLOOKUP(B801,Códigos!$A$489:$A$522,Códigos!$B$489:$B$522,"Verificar",0)</f>
        <v>0</v>
      </c>
      <c r="E801" s="1271">
        <f>_xlfn.XLOOKUP(C801,Códigos!$A$11:$A$415,Códigos!$B$11:$B$415,"Verificar",0)</f>
        <v>0</v>
      </c>
      <c r="F801" s="1272">
        <v>0</v>
      </c>
      <c r="G801" s="1239">
        <f t="shared" si="30"/>
        <v>634239583</v>
      </c>
      <c r="H801" s="1051"/>
      <c r="I801" s="561"/>
      <c r="J801" s="54"/>
    </row>
    <row r="802" spans="1:10" x14ac:dyDescent="0.2">
      <c r="A802" s="1236"/>
      <c r="B802" s="1238"/>
      <c r="C802" s="1235"/>
      <c r="D802" s="1271">
        <f>_xlfn.XLOOKUP(B802,Códigos!$A$489:$A$522,Códigos!$B$489:$B$522,"Verificar",0)</f>
        <v>0</v>
      </c>
      <c r="E802" s="1271">
        <f>_xlfn.XLOOKUP(C802,Códigos!$A$11:$A$415,Códigos!$B$11:$B$415,"Verificar",0)</f>
        <v>0</v>
      </c>
      <c r="F802" s="1272">
        <v>0</v>
      </c>
      <c r="G802" s="1239">
        <f t="shared" si="30"/>
        <v>634239583</v>
      </c>
      <c r="H802" s="1051"/>
      <c r="I802" s="561"/>
      <c r="J802" s="54"/>
    </row>
    <row r="803" spans="1:10" x14ac:dyDescent="0.2">
      <c r="A803" s="1236"/>
      <c r="B803" s="1238"/>
      <c r="C803" s="1235"/>
      <c r="D803" s="1271">
        <f>_xlfn.XLOOKUP(B803,Códigos!$A$489:$A$522,Códigos!$B$489:$B$522,"Verificar",0)</f>
        <v>0</v>
      </c>
      <c r="E803" s="1271">
        <f>_xlfn.XLOOKUP(C803,Códigos!$A$11:$A$415,Códigos!$B$11:$B$415,"Verificar",0)</f>
        <v>0</v>
      </c>
      <c r="F803" s="1272">
        <v>0</v>
      </c>
      <c r="G803" s="1239">
        <f t="shared" si="30"/>
        <v>634239583</v>
      </c>
      <c r="H803" s="1051"/>
      <c r="I803" s="561"/>
      <c r="J803" s="54"/>
    </row>
    <row r="804" spans="1:10" x14ac:dyDescent="0.2">
      <c r="A804" s="1236"/>
      <c r="B804" s="1238"/>
      <c r="C804" s="1235"/>
      <c r="D804" s="1271">
        <f>_xlfn.XLOOKUP(B804,Códigos!$A$489:$A$522,Códigos!$B$489:$B$522,"Verificar",0)</f>
        <v>0</v>
      </c>
      <c r="E804" s="1271">
        <f>_xlfn.XLOOKUP(C804,Códigos!$A$11:$A$415,Códigos!$B$11:$B$415,"Verificar",0)</f>
        <v>0</v>
      </c>
      <c r="F804" s="1272">
        <v>0</v>
      </c>
      <c r="G804" s="1239">
        <f t="shared" si="30"/>
        <v>634239583</v>
      </c>
      <c r="H804" s="1051"/>
      <c r="I804" s="561"/>
      <c r="J804" s="54"/>
    </row>
    <row r="805" spans="1:10" x14ac:dyDescent="0.2">
      <c r="A805" s="1236"/>
      <c r="B805" s="1238"/>
      <c r="C805" s="1235"/>
      <c r="D805" s="1271">
        <f>_xlfn.XLOOKUP(B805,Códigos!$A$489:$A$522,Códigos!$B$489:$B$522,"Verificar",0)</f>
        <v>0</v>
      </c>
      <c r="E805" s="1271">
        <f>_xlfn.XLOOKUP(C805,Códigos!$A$11:$A$415,Códigos!$B$11:$B$415,"Verificar",0)</f>
        <v>0</v>
      </c>
      <c r="F805" s="1272">
        <v>0</v>
      </c>
      <c r="G805" s="1239">
        <f t="shared" si="30"/>
        <v>634239583</v>
      </c>
      <c r="H805" s="1051"/>
      <c r="I805" s="561"/>
      <c r="J805" s="54"/>
    </row>
    <row r="806" spans="1:10" x14ac:dyDescent="0.2">
      <c r="A806" s="1236"/>
      <c r="B806" s="1238"/>
      <c r="C806" s="1235"/>
      <c r="D806" s="1271">
        <f>_xlfn.XLOOKUP(B806,Códigos!$A$489:$A$522,Códigos!$B$489:$B$522,"Verificar",0)</f>
        <v>0</v>
      </c>
      <c r="E806" s="1271">
        <f>_xlfn.XLOOKUP(C806,Códigos!$A$11:$A$415,Códigos!$B$11:$B$415,"Verificar",0)</f>
        <v>0</v>
      </c>
      <c r="F806" s="1272">
        <v>0</v>
      </c>
      <c r="G806" s="1239">
        <f t="shared" si="30"/>
        <v>634239583</v>
      </c>
      <c r="H806" s="1051"/>
      <c r="I806" s="561"/>
      <c r="J806" s="54"/>
    </row>
    <row r="807" spans="1:10" x14ac:dyDescent="0.2">
      <c r="A807" s="1236"/>
      <c r="B807" s="1238"/>
      <c r="C807" s="1235"/>
      <c r="D807" s="1271">
        <f>_xlfn.XLOOKUP(B807,Códigos!$A$489:$A$522,Códigos!$B$489:$B$522,"Verificar",0)</f>
        <v>0</v>
      </c>
      <c r="E807" s="1271">
        <f>_xlfn.XLOOKUP(C807,Códigos!$A$11:$A$415,Códigos!$B$11:$B$415,"Verificar",0)</f>
        <v>0</v>
      </c>
      <c r="F807" s="1272">
        <v>0</v>
      </c>
      <c r="G807" s="1239">
        <f t="shared" si="30"/>
        <v>634239583</v>
      </c>
      <c r="H807" s="1051"/>
      <c r="I807" s="561"/>
      <c r="J807" s="54"/>
    </row>
    <row r="808" spans="1:10" x14ac:dyDescent="0.2">
      <c r="A808" s="1236"/>
      <c r="B808" s="1238"/>
      <c r="C808" s="1235"/>
      <c r="D808" s="1271">
        <f>_xlfn.XLOOKUP(B808,Códigos!$A$489:$A$522,Códigos!$B$489:$B$522,"Verificar",0)</f>
        <v>0</v>
      </c>
      <c r="E808" s="1271">
        <f>_xlfn.XLOOKUP(C808,Códigos!$A$11:$A$415,Códigos!$B$11:$B$415,"Verificar",0)</f>
        <v>0</v>
      </c>
      <c r="F808" s="1272">
        <v>0</v>
      </c>
      <c r="G808" s="1239">
        <f t="shared" si="30"/>
        <v>634239583</v>
      </c>
      <c r="H808" s="1051"/>
      <c r="I808" s="561"/>
      <c r="J808" s="54"/>
    </row>
    <row r="809" spans="1:10" x14ac:dyDescent="0.2">
      <c r="A809" s="1236"/>
      <c r="B809" s="1238"/>
      <c r="C809" s="1235"/>
      <c r="D809" s="1271">
        <f>_xlfn.XLOOKUP(B809,Códigos!$A$489:$A$522,Códigos!$B$489:$B$522,"Verificar",0)</f>
        <v>0</v>
      </c>
      <c r="E809" s="1271">
        <f>_xlfn.XLOOKUP(C809,Códigos!$A$11:$A$415,Códigos!$B$11:$B$415,"Verificar",0)</f>
        <v>0</v>
      </c>
      <c r="F809" s="1272">
        <v>0</v>
      </c>
      <c r="G809" s="1239">
        <f t="shared" si="30"/>
        <v>634239583</v>
      </c>
      <c r="H809" s="1051"/>
      <c r="I809" s="561"/>
      <c r="J809" s="54"/>
    </row>
    <row r="810" spans="1:10" x14ac:dyDescent="0.2">
      <c r="A810" s="1236"/>
      <c r="B810" s="1238"/>
      <c r="C810" s="1235"/>
      <c r="D810" s="1271">
        <f>_xlfn.XLOOKUP(B810,Códigos!$A$489:$A$522,Códigos!$B$489:$B$522,"Verificar",0)</f>
        <v>0</v>
      </c>
      <c r="E810" s="1271">
        <f>_xlfn.XLOOKUP(C810,Códigos!$A$11:$A$415,Códigos!$B$11:$B$415,"Verificar",0)</f>
        <v>0</v>
      </c>
      <c r="F810" s="1272">
        <v>0</v>
      </c>
      <c r="G810" s="1239">
        <f t="shared" si="30"/>
        <v>634239583</v>
      </c>
      <c r="H810" s="1051"/>
      <c r="I810" s="561"/>
      <c r="J810" s="54"/>
    </row>
    <row r="811" spans="1:10" x14ac:dyDescent="0.2">
      <c r="A811" s="1236"/>
      <c r="B811" s="1238"/>
      <c r="C811" s="1235"/>
      <c r="D811" s="1271">
        <f>_xlfn.XLOOKUP(B811,Códigos!$A$489:$A$522,Códigos!$B$489:$B$522,"Verificar",0)</f>
        <v>0</v>
      </c>
      <c r="E811" s="1271">
        <f>_xlfn.XLOOKUP(C811,Códigos!$A$11:$A$415,Códigos!$B$11:$B$415,"Verificar",0)</f>
        <v>0</v>
      </c>
      <c r="F811" s="1272">
        <v>0</v>
      </c>
      <c r="G811" s="1239">
        <f t="shared" si="30"/>
        <v>634239583</v>
      </c>
      <c r="H811" s="1051"/>
      <c r="I811" s="561"/>
      <c r="J811" s="54"/>
    </row>
    <row r="812" spans="1:10" x14ac:dyDescent="0.2">
      <c r="A812" s="1236"/>
      <c r="B812" s="1238"/>
      <c r="C812" s="1235"/>
      <c r="D812" s="1271">
        <f>_xlfn.XLOOKUP(B812,Códigos!$A$489:$A$522,Códigos!$B$489:$B$522,"Verificar",0)</f>
        <v>0</v>
      </c>
      <c r="E812" s="1271">
        <f>_xlfn.XLOOKUP(C812,Códigos!$A$11:$A$415,Códigos!$B$11:$B$415,"Verificar",0)</f>
        <v>0</v>
      </c>
      <c r="F812" s="1272">
        <v>0</v>
      </c>
      <c r="G812" s="1239">
        <f t="shared" si="30"/>
        <v>634239583</v>
      </c>
      <c r="H812" s="1051"/>
      <c r="I812" s="561"/>
      <c r="J812" s="54"/>
    </row>
    <row r="813" spans="1:10" x14ac:dyDescent="0.2">
      <c r="A813" s="1236"/>
      <c r="B813" s="1238"/>
      <c r="C813" s="1235"/>
      <c r="D813" s="1271">
        <f>_xlfn.XLOOKUP(B813,Códigos!$A$489:$A$522,Códigos!$B$489:$B$522,"Verificar",0)</f>
        <v>0</v>
      </c>
      <c r="E813" s="1271">
        <f>_xlfn.XLOOKUP(C813,Códigos!$A$11:$A$415,Códigos!$B$11:$B$415,"Verificar",0)</f>
        <v>0</v>
      </c>
      <c r="F813" s="1272">
        <v>0</v>
      </c>
      <c r="G813" s="1239">
        <f t="shared" si="30"/>
        <v>634239583</v>
      </c>
      <c r="H813" s="1051"/>
      <c r="I813" s="561"/>
      <c r="J813" s="54"/>
    </row>
    <row r="814" spans="1:10" x14ac:dyDescent="0.2">
      <c r="A814" s="1236"/>
      <c r="B814" s="1238"/>
      <c r="C814" s="1235"/>
      <c r="D814" s="1271">
        <f>_xlfn.XLOOKUP(B814,Códigos!$A$489:$A$522,Códigos!$B$489:$B$522,"Verificar",0)</f>
        <v>0</v>
      </c>
      <c r="E814" s="1271">
        <f>_xlfn.XLOOKUP(C814,Códigos!$A$11:$A$415,Códigos!$B$11:$B$415,"Verificar",0)</f>
        <v>0</v>
      </c>
      <c r="F814" s="1272">
        <v>0</v>
      </c>
      <c r="G814" s="1239">
        <f t="shared" si="30"/>
        <v>634239583</v>
      </c>
      <c r="H814" s="1051"/>
      <c r="I814" s="561"/>
      <c r="J814" s="54"/>
    </row>
    <row r="815" spans="1:10" x14ac:dyDescent="0.2">
      <c r="A815" s="1236"/>
      <c r="B815" s="1238"/>
      <c r="C815" s="1235"/>
      <c r="D815" s="1271">
        <f>_xlfn.XLOOKUP(B815,Códigos!$A$489:$A$522,Códigos!$B$489:$B$522,"Verificar",0)</f>
        <v>0</v>
      </c>
      <c r="E815" s="1271">
        <f>_xlfn.XLOOKUP(C815,Códigos!$A$11:$A$415,Códigos!$B$11:$B$415,"Verificar",0)</f>
        <v>0</v>
      </c>
      <c r="F815" s="1272">
        <v>0</v>
      </c>
      <c r="G815" s="1239">
        <f t="shared" si="30"/>
        <v>634239583</v>
      </c>
      <c r="H815" s="1051"/>
      <c r="I815" s="561"/>
      <c r="J815" s="54"/>
    </row>
    <row r="816" spans="1:10" x14ac:dyDescent="0.2">
      <c r="A816" s="1236"/>
      <c r="B816" s="1238"/>
      <c r="C816" s="1235"/>
      <c r="D816" s="1271">
        <f>_xlfn.XLOOKUP(B816,Códigos!$A$489:$A$522,Códigos!$B$489:$B$522,"Verificar",0)</f>
        <v>0</v>
      </c>
      <c r="E816" s="1271">
        <f>_xlfn.XLOOKUP(C816,Códigos!$A$11:$A$415,Códigos!$B$11:$B$415,"Verificar",0)</f>
        <v>0</v>
      </c>
      <c r="F816" s="1272">
        <v>0</v>
      </c>
      <c r="G816" s="1239">
        <f t="shared" si="30"/>
        <v>634239583</v>
      </c>
      <c r="H816" s="1051"/>
      <c r="I816" s="561"/>
      <c r="J816" s="54"/>
    </row>
    <row r="817" spans="1:10" x14ac:dyDescent="0.2">
      <c r="A817" s="1236"/>
      <c r="B817" s="1238"/>
      <c r="C817" s="1235"/>
      <c r="D817" s="1271">
        <f>_xlfn.XLOOKUP(B817,Códigos!$A$489:$A$522,Códigos!$B$489:$B$522,"Verificar",0)</f>
        <v>0</v>
      </c>
      <c r="E817" s="1271">
        <f>_xlfn.XLOOKUP(C817,Códigos!$A$11:$A$415,Códigos!$B$11:$B$415,"Verificar",0)</f>
        <v>0</v>
      </c>
      <c r="F817" s="1272">
        <v>0</v>
      </c>
      <c r="G817" s="1239">
        <f t="shared" si="30"/>
        <v>634239583</v>
      </c>
      <c r="H817" s="1051"/>
      <c r="I817" s="561"/>
      <c r="J817" s="54"/>
    </row>
    <row r="818" spans="1:10" x14ac:dyDescent="0.2">
      <c r="A818" s="1236"/>
      <c r="B818" s="1238"/>
      <c r="C818" s="1235"/>
      <c r="D818" s="1271">
        <f>_xlfn.XLOOKUP(B818,Códigos!$A$489:$A$522,Códigos!$B$489:$B$522,"Verificar",0)</f>
        <v>0</v>
      </c>
      <c r="E818" s="1271">
        <f>_xlfn.XLOOKUP(C818,Códigos!$A$11:$A$415,Códigos!$B$11:$B$415,"Verificar",0)</f>
        <v>0</v>
      </c>
      <c r="F818" s="1272">
        <v>0</v>
      </c>
      <c r="G818" s="1239">
        <f t="shared" si="30"/>
        <v>634239583</v>
      </c>
      <c r="H818" s="1051"/>
      <c r="I818" s="561"/>
      <c r="J818" s="54"/>
    </row>
    <row r="819" spans="1:10" x14ac:dyDescent="0.2">
      <c r="A819" s="1236"/>
      <c r="B819" s="1238"/>
      <c r="C819" s="1235"/>
      <c r="D819" s="1271">
        <f>_xlfn.XLOOKUP(B819,Códigos!$A$489:$A$522,Códigos!$B$489:$B$522,"Verificar",0)</f>
        <v>0</v>
      </c>
      <c r="E819" s="1271">
        <f>_xlfn.XLOOKUP(C819,Códigos!$A$11:$A$415,Códigos!$B$11:$B$415,"Verificar",0)</f>
        <v>0</v>
      </c>
      <c r="F819" s="1272">
        <v>0</v>
      </c>
      <c r="G819" s="1239">
        <f t="shared" si="30"/>
        <v>634239583</v>
      </c>
      <c r="H819" s="1051"/>
      <c r="I819" s="561"/>
      <c r="J819" s="54"/>
    </row>
    <row r="820" spans="1:10" x14ac:dyDescent="0.2">
      <c r="A820" s="1236"/>
      <c r="B820" s="1238"/>
      <c r="C820" s="1235"/>
      <c r="D820" s="1271">
        <f>_xlfn.XLOOKUP(B820,Códigos!$A$489:$A$522,Códigos!$B$489:$B$522,"Verificar",0)</f>
        <v>0</v>
      </c>
      <c r="E820" s="1271">
        <f>_xlfn.XLOOKUP(C820,Códigos!$A$11:$A$415,Códigos!$B$11:$B$415,"Verificar",0)</f>
        <v>0</v>
      </c>
      <c r="F820" s="1272">
        <v>0</v>
      </c>
      <c r="G820" s="1239">
        <f t="shared" si="30"/>
        <v>634239583</v>
      </c>
      <c r="H820" s="1051"/>
      <c r="I820" s="561"/>
      <c r="J820" s="54"/>
    </row>
    <row r="821" spans="1:10" x14ac:dyDescent="0.2">
      <c r="A821" s="1236"/>
      <c r="B821" s="1238"/>
      <c r="C821" s="1235"/>
      <c r="D821" s="1271">
        <f>_xlfn.XLOOKUP(B821,Códigos!$A$489:$A$522,Códigos!$B$489:$B$522,"Verificar",0)</f>
        <v>0</v>
      </c>
      <c r="E821" s="1271">
        <f>_xlfn.XLOOKUP(C821,Códigos!$A$11:$A$415,Códigos!$B$11:$B$415,"Verificar",0)</f>
        <v>0</v>
      </c>
      <c r="F821" s="1272">
        <v>0</v>
      </c>
      <c r="G821" s="1239">
        <f t="shared" si="30"/>
        <v>634239583</v>
      </c>
      <c r="H821" s="1051"/>
      <c r="I821" s="561"/>
      <c r="J821" s="54"/>
    </row>
    <row r="822" spans="1:10" x14ac:dyDescent="0.2">
      <c r="A822" s="1236"/>
      <c r="B822" s="1238"/>
      <c r="C822" s="1235"/>
      <c r="D822" s="1271">
        <f>_xlfn.XLOOKUP(B822,Códigos!$A$489:$A$522,Códigos!$B$489:$B$522,"Verificar",0)</f>
        <v>0</v>
      </c>
      <c r="E822" s="1271">
        <f>_xlfn.XLOOKUP(C822,Códigos!$A$11:$A$415,Códigos!$B$11:$B$415,"Verificar",0)</f>
        <v>0</v>
      </c>
      <c r="F822" s="1272">
        <v>0</v>
      </c>
      <c r="G822" s="1239">
        <f t="shared" si="30"/>
        <v>634239583</v>
      </c>
      <c r="H822" s="1051"/>
      <c r="I822" s="561"/>
      <c r="J822" s="54"/>
    </row>
    <row r="823" spans="1:10" x14ac:dyDescent="0.2">
      <c r="A823" s="1236"/>
      <c r="B823" s="1238"/>
      <c r="C823" s="1235"/>
      <c r="D823" s="1271">
        <f>_xlfn.XLOOKUP(B823,Códigos!$A$489:$A$522,Códigos!$B$489:$B$522,"Verificar",0)</f>
        <v>0</v>
      </c>
      <c r="E823" s="1271">
        <f>_xlfn.XLOOKUP(C823,Códigos!$A$11:$A$415,Códigos!$B$11:$B$415,"Verificar",0)</f>
        <v>0</v>
      </c>
      <c r="F823" s="1272">
        <v>0</v>
      </c>
      <c r="G823" s="1239">
        <f t="shared" si="30"/>
        <v>634239583</v>
      </c>
      <c r="H823" s="1051"/>
      <c r="I823" s="561"/>
      <c r="J823" s="54"/>
    </row>
    <row r="824" spans="1:10" x14ac:dyDescent="0.2">
      <c r="A824" s="1236"/>
      <c r="B824" s="1238"/>
      <c r="C824" s="1235"/>
      <c r="D824" s="1271">
        <f>_xlfn.XLOOKUP(B824,Códigos!$A$489:$A$522,Códigos!$B$489:$B$522,"Verificar",0)</f>
        <v>0</v>
      </c>
      <c r="E824" s="1271">
        <f>_xlfn.XLOOKUP(C824,Códigos!$A$11:$A$415,Códigos!$B$11:$B$415,"Verificar",0)</f>
        <v>0</v>
      </c>
      <c r="F824" s="1272">
        <v>0</v>
      </c>
      <c r="G824" s="1239">
        <f t="shared" si="30"/>
        <v>634239583</v>
      </c>
      <c r="H824" s="1051"/>
      <c r="I824" s="561"/>
      <c r="J824" s="54"/>
    </row>
    <row r="825" spans="1:10" x14ac:dyDescent="0.2">
      <c r="A825" s="1236"/>
      <c r="B825" s="1238"/>
      <c r="C825" s="1235"/>
      <c r="D825" s="1271">
        <f>_xlfn.XLOOKUP(B825,Códigos!$A$489:$A$522,Códigos!$B$489:$B$522,"Verificar",0)</f>
        <v>0</v>
      </c>
      <c r="E825" s="1271">
        <f>_xlfn.XLOOKUP(C825,Códigos!$A$11:$A$415,Códigos!$B$11:$B$415,"Verificar",0)</f>
        <v>0</v>
      </c>
      <c r="F825" s="1272">
        <v>0</v>
      </c>
      <c r="G825" s="1239">
        <f t="shared" si="30"/>
        <v>634239583</v>
      </c>
      <c r="H825" s="1051"/>
      <c r="I825" s="561"/>
      <c r="J825" s="54"/>
    </row>
    <row r="826" spans="1:10" x14ac:dyDescent="0.2">
      <c r="A826" s="1236"/>
      <c r="B826" s="1238"/>
      <c r="C826" s="1235"/>
      <c r="D826" s="1271">
        <f>_xlfn.XLOOKUP(B826,Códigos!$A$489:$A$522,Códigos!$B$489:$B$522,"Verificar",0)</f>
        <v>0</v>
      </c>
      <c r="E826" s="1271">
        <f>_xlfn.XLOOKUP(C826,Códigos!$A$11:$A$415,Códigos!$B$11:$B$415,"Verificar",0)</f>
        <v>0</v>
      </c>
      <c r="F826" s="1272">
        <v>0</v>
      </c>
      <c r="G826" s="1239">
        <f t="shared" si="30"/>
        <v>634239583</v>
      </c>
      <c r="H826" s="1051"/>
      <c r="I826" s="561"/>
      <c r="J826" s="54"/>
    </row>
    <row r="827" spans="1:10" x14ac:dyDescent="0.2">
      <c r="A827" s="1236"/>
      <c r="B827" s="1238"/>
      <c r="C827" s="1235"/>
      <c r="D827" s="1271">
        <f>_xlfn.XLOOKUP(B827,Códigos!$A$489:$A$522,Códigos!$B$489:$B$522,"Verificar",0)</f>
        <v>0</v>
      </c>
      <c r="E827" s="1271">
        <f>_xlfn.XLOOKUP(C827,Códigos!$A$11:$A$415,Códigos!$B$11:$B$415,"Verificar",0)</f>
        <v>0</v>
      </c>
      <c r="F827" s="1272">
        <v>0</v>
      </c>
      <c r="G827" s="1239">
        <f t="shared" si="30"/>
        <v>634239583</v>
      </c>
      <c r="H827" s="1051"/>
      <c r="I827" s="561"/>
      <c r="J827" s="54"/>
    </row>
    <row r="828" spans="1:10" x14ac:dyDescent="0.2">
      <c r="A828" s="1236"/>
      <c r="B828" s="1238"/>
      <c r="C828" s="1235"/>
      <c r="D828" s="1271">
        <f>_xlfn.XLOOKUP(B828,Códigos!$A$489:$A$522,Códigos!$B$489:$B$522,"Verificar",0)</f>
        <v>0</v>
      </c>
      <c r="E828" s="1271">
        <f>_xlfn.XLOOKUP(C828,Códigos!$A$11:$A$415,Códigos!$B$11:$B$415,"Verificar",0)</f>
        <v>0</v>
      </c>
      <c r="F828" s="1272">
        <v>0</v>
      </c>
      <c r="G828" s="1239">
        <f t="shared" si="30"/>
        <v>634239583</v>
      </c>
      <c r="H828" s="1051"/>
      <c r="I828" s="561"/>
      <c r="J828" s="54"/>
    </row>
    <row r="829" spans="1:10" x14ac:dyDescent="0.2">
      <c r="A829" s="1236"/>
      <c r="B829" s="1238"/>
      <c r="C829" s="1235"/>
      <c r="D829" s="1271">
        <f>_xlfn.XLOOKUP(B829,Códigos!$A$489:$A$522,Códigos!$B$489:$B$522,"Verificar",0)</f>
        <v>0</v>
      </c>
      <c r="E829" s="1271">
        <f>_xlfn.XLOOKUP(C829,Códigos!$A$11:$A$415,Códigos!$B$11:$B$415,"Verificar",0)</f>
        <v>0</v>
      </c>
      <c r="F829" s="1272">
        <v>0</v>
      </c>
      <c r="G829" s="1239">
        <f t="shared" si="30"/>
        <v>634239583</v>
      </c>
      <c r="H829" s="1051"/>
      <c r="I829" s="561"/>
      <c r="J829" s="54"/>
    </row>
    <row r="830" spans="1:10" x14ac:dyDescent="0.2">
      <c r="A830" s="1236"/>
      <c r="B830" s="1238"/>
      <c r="C830" s="1235"/>
      <c r="D830" s="1271">
        <f>_xlfn.XLOOKUP(B830,Códigos!$A$489:$A$522,Códigos!$B$489:$B$522,"Verificar",0)</f>
        <v>0</v>
      </c>
      <c r="E830" s="1271">
        <f>_xlfn.XLOOKUP(C830,Códigos!$A$11:$A$415,Códigos!$B$11:$B$415,"Verificar",0)</f>
        <v>0</v>
      </c>
      <c r="F830" s="1272">
        <v>0</v>
      </c>
      <c r="G830" s="1239">
        <f t="shared" si="30"/>
        <v>634239583</v>
      </c>
      <c r="H830" s="1051"/>
      <c r="I830" s="561"/>
      <c r="J830" s="54"/>
    </row>
    <row r="831" spans="1:10" x14ac:dyDescent="0.2">
      <c r="A831" s="1236"/>
      <c r="B831" s="1238"/>
      <c r="C831" s="1235"/>
      <c r="D831" s="1271">
        <f>_xlfn.XLOOKUP(B831,Códigos!$A$489:$A$522,Códigos!$B$489:$B$522,"Verificar",0)</f>
        <v>0</v>
      </c>
      <c r="E831" s="1271">
        <f>_xlfn.XLOOKUP(C831,Códigos!$A$11:$A$415,Códigos!$B$11:$B$415,"Verificar",0)</f>
        <v>0</v>
      </c>
      <c r="F831" s="1272">
        <v>0</v>
      </c>
      <c r="G831" s="1239">
        <f t="shared" si="30"/>
        <v>634239583</v>
      </c>
      <c r="H831" s="1051"/>
      <c r="I831" s="561"/>
      <c r="J831" s="54"/>
    </row>
    <row r="832" spans="1:10" x14ac:dyDescent="0.2">
      <c r="A832" s="1236"/>
      <c r="B832" s="1238"/>
      <c r="C832" s="1235"/>
      <c r="D832" s="1271">
        <f>_xlfn.XLOOKUP(B832,Códigos!$A$489:$A$522,Códigos!$B$489:$B$522,"Verificar",0)</f>
        <v>0</v>
      </c>
      <c r="E832" s="1271">
        <f>_xlfn.XLOOKUP(C832,Códigos!$A$11:$A$415,Códigos!$B$11:$B$415,"Verificar",0)</f>
        <v>0</v>
      </c>
      <c r="F832" s="1272">
        <v>0</v>
      </c>
      <c r="G832" s="1239">
        <f t="shared" si="30"/>
        <v>634239583</v>
      </c>
      <c r="H832" s="1051"/>
      <c r="I832" s="561"/>
      <c r="J832" s="54"/>
    </row>
    <row r="833" spans="1:10" x14ac:dyDescent="0.2">
      <c r="A833" s="1236"/>
      <c r="B833" s="1238"/>
      <c r="C833" s="1235"/>
      <c r="D833" s="1271">
        <f>_xlfn.XLOOKUP(B833,Códigos!$A$489:$A$522,Códigos!$B$489:$B$522,"Verificar",0)</f>
        <v>0</v>
      </c>
      <c r="E833" s="1271">
        <f>_xlfn.XLOOKUP(C833,Códigos!$A$11:$A$415,Códigos!$B$11:$B$415,"Verificar",0)</f>
        <v>0</v>
      </c>
      <c r="F833" s="1272">
        <v>0</v>
      </c>
      <c r="G833" s="1239">
        <f t="shared" si="30"/>
        <v>634239583</v>
      </c>
      <c r="H833" s="1051"/>
      <c r="I833" s="561"/>
      <c r="J833" s="54"/>
    </row>
    <row r="834" spans="1:10" x14ac:dyDescent="0.2">
      <c r="A834" s="1236"/>
      <c r="B834" s="1238"/>
      <c r="C834" s="1235"/>
      <c r="D834" s="1271">
        <f>_xlfn.XLOOKUP(B834,Códigos!$A$489:$A$522,Códigos!$B$489:$B$522,"Verificar",0)</f>
        <v>0</v>
      </c>
      <c r="E834" s="1271">
        <f>_xlfn.XLOOKUP(C834,Códigos!$A$11:$A$415,Códigos!$B$11:$B$415,"Verificar",0)</f>
        <v>0</v>
      </c>
      <c r="F834" s="1272">
        <v>0</v>
      </c>
      <c r="G834" s="1239">
        <f t="shared" si="30"/>
        <v>634239583</v>
      </c>
      <c r="H834" s="1051"/>
      <c r="I834" s="561"/>
      <c r="J834" s="54"/>
    </row>
    <row r="835" spans="1:10" x14ac:dyDescent="0.2">
      <c r="A835" s="1236"/>
      <c r="B835" s="1238"/>
      <c r="C835" s="1235"/>
      <c r="D835" s="1271">
        <f>_xlfn.XLOOKUP(B835,Códigos!$A$489:$A$522,Códigos!$B$489:$B$522,"Verificar",0)</f>
        <v>0</v>
      </c>
      <c r="E835" s="1271">
        <f>_xlfn.XLOOKUP(C835,Códigos!$A$11:$A$415,Códigos!$B$11:$B$415,"Verificar",0)</f>
        <v>0</v>
      </c>
      <c r="F835" s="1272">
        <v>0</v>
      </c>
      <c r="G835" s="1239">
        <f t="shared" si="30"/>
        <v>634239583</v>
      </c>
      <c r="H835" s="1051"/>
      <c r="I835" s="561"/>
      <c r="J835" s="54"/>
    </row>
    <row r="836" spans="1:10" x14ac:dyDescent="0.2">
      <c r="A836" s="1236"/>
      <c r="B836" s="1238"/>
      <c r="C836" s="1235"/>
      <c r="D836" s="1271">
        <f>_xlfn.XLOOKUP(B836,Códigos!$A$489:$A$522,Códigos!$B$489:$B$522,"Verificar",0)</f>
        <v>0</v>
      </c>
      <c r="E836" s="1271">
        <f>_xlfn.XLOOKUP(C836,Códigos!$A$11:$A$415,Códigos!$B$11:$B$415,"Verificar",0)</f>
        <v>0</v>
      </c>
      <c r="F836" s="1272">
        <v>0</v>
      </c>
      <c r="G836" s="1239">
        <f t="shared" si="30"/>
        <v>634239583</v>
      </c>
      <c r="H836" s="1051"/>
      <c r="I836" s="561"/>
      <c r="J836" s="54"/>
    </row>
    <row r="837" spans="1:10" x14ac:dyDescent="0.2">
      <c r="A837" s="1236"/>
      <c r="B837" s="1238"/>
      <c r="C837" s="1235"/>
      <c r="D837" s="1271">
        <f>_xlfn.XLOOKUP(B837,Códigos!$A$489:$A$522,Códigos!$B$489:$B$522,"Verificar",0)</f>
        <v>0</v>
      </c>
      <c r="E837" s="1271">
        <f>_xlfn.XLOOKUP(C837,Códigos!$A$11:$A$415,Códigos!$B$11:$B$415,"Verificar",0)</f>
        <v>0</v>
      </c>
      <c r="F837" s="1272">
        <v>0</v>
      </c>
      <c r="G837" s="1239">
        <f t="shared" si="30"/>
        <v>634239583</v>
      </c>
      <c r="H837" s="1051"/>
      <c r="I837" s="561"/>
      <c r="J837" s="54"/>
    </row>
    <row r="838" spans="1:10" x14ac:dyDescent="0.2">
      <c r="A838" s="1236"/>
      <c r="B838" s="1238"/>
      <c r="C838" s="1235"/>
      <c r="D838" s="1271">
        <f>_xlfn.XLOOKUP(B838,Códigos!$A$489:$A$522,Códigos!$B$489:$B$522,"Verificar",0)</f>
        <v>0</v>
      </c>
      <c r="E838" s="1271">
        <f>_xlfn.XLOOKUP(C838,Códigos!$A$11:$A$415,Códigos!$B$11:$B$415,"Verificar",0)</f>
        <v>0</v>
      </c>
      <c r="F838" s="1272">
        <v>0</v>
      </c>
      <c r="G838" s="1239">
        <f t="shared" si="30"/>
        <v>634239583</v>
      </c>
      <c r="H838" s="1051"/>
      <c r="I838" s="561"/>
      <c r="J838" s="54"/>
    </row>
    <row r="839" spans="1:10" x14ac:dyDescent="0.2">
      <c r="A839" s="1236"/>
      <c r="B839" s="1238"/>
      <c r="C839" s="1235"/>
      <c r="D839" s="1271">
        <f>_xlfn.XLOOKUP(B839,Códigos!$A$489:$A$522,Códigos!$B$489:$B$522,"Verificar",0)</f>
        <v>0</v>
      </c>
      <c r="E839" s="1271">
        <f>_xlfn.XLOOKUP(C839,Códigos!$A$11:$A$415,Códigos!$B$11:$B$415,"Verificar",0)</f>
        <v>0</v>
      </c>
      <c r="F839" s="1272">
        <v>0</v>
      </c>
      <c r="G839" s="1239">
        <f t="shared" si="30"/>
        <v>634239583</v>
      </c>
      <c r="H839" s="1051"/>
      <c r="I839" s="561"/>
      <c r="J839" s="54"/>
    </row>
    <row r="840" spans="1:10" x14ac:dyDescent="0.2">
      <c r="A840" s="1236"/>
      <c r="B840" s="1238"/>
      <c r="C840" s="1235"/>
      <c r="D840" s="1271">
        <f>_xlfn.XLOOKUP(B840,Códigos!$A$489:$A$522,Códigos!$B$489:$B$522,"Verificar",0)</f>
        <v>0</v>
      </c>
      <c r="E840" s="1271">
        <f>_xlfn.XLOOKUP(C840,Códigos!$A$11:$A$415,Códigos!$B$11:$B$415,"Verificar",0)</f>
        <v>0</v>
      </c>
      <c r="F840" s="1272">
        <v>0</v>
      </c>
      <c r="G840" s="1239">
        <f t="shared" si="30"/>
        <v>634239583</v>
      </c>
      <c r="H840" s="1051"/>
      <c r="I840" s="561"/>
      <c r="J840" s="54"/>
    </row>
    <row r="841" spans="1:10" x14ac:dyDescent="0.2">
      <c r="A841" s="1236"/>
      <c r="B841" s="1238"/>
      <c r="C841" s="1235"/>
      <c r="D841" s="1271">
        <f>_xlfn.XLOOKUP(B841,Códigos!$A$489:$A$522,Códigos!$B$489:$B$522,"Verificar",0)</f>
        <v>0</v>
      </c>
      <c r="E841" s="1271">
        <f>_xlfn.XLOOKUP(C841,Códigos!$A$11:$A$415,Códigos!$B$11:$B$415,"Verificar",0)</f>
        <v>0</v>
      </c>
      <c r="F841" s="1272">
        <v>0</v>
      </c>
      <c r="G841" s="1239">
        <f t="shared" si="30"/>
        <v>634239583</v>
      </c>
      <c r="H841" s="1051"/>
      <c r="I841" s="561"/>
      <c r="J841" s="54"/>
    </row>
    <row r="842" spans="1:10" x14ac:dyDescent="0.2">
      <c r="A842" s="1236"/>
      <c r="B842" s="1238"/>
      <c r="C842" s="1235"/>
      <c r="D842" s="1271">
        <f>_xlfn.XLOOKUP(B842,Códigos!$A$489:$A$522,Códigos!$B$489:$B$522,"Verificar",0)</f>
        <v>0</v>
      </c>
      <c r="E842" s="1271">
        <f>_xlfn.XLOOKUP(C842,Códigos!$A$11:$A$415,Códigos!$B$11:$B$415,"Verificar",0)</f>
        <v>0</v>
      </c>
      <c r="F842" s="1272">
        <v>0</v>
      </c>
      <c r="G842" s="1239">
        <f t="shared" si="30"/>
        <v>634239583</v>
      </c>
      <c r="H842" s="1051"/>
      <c r="I842" s="561"/>
      <c r="J842" s="54"/>
    </row>
    <row r="843" spans="1:10" x14ac:dyDescent="0.2">
      <c r="A843" s="1236"/>
      <c r="B843" s="1238"/>
      <c r="C843" s="1235"/>
      <c r="D843" s="1271">
        <f>_xlfn.XLOOKUP(B843,Códigos!$A$489:$A$522,Códigos!$B$489:$B$522,"Verificar",0)</f>
        <v>0</v>
      </c>
      <c r="E843" s="1271">
        <f>_xlfn.XLOOKUP(C843,Códigos!$A$11:$A$415,Códigos!$B$11:$B$415,"Verificar",0)</f>
        <v>0</v>
      </c>
      <c r="F843" s="1272">
        <v>0</v>
      </c>
      <c r="G843" s="1239">
        <f t="shared" si="30"/>
        <v>634239583</v>
      </c>
      <c r="H843" s="1051"/>
      <c r="I843" s="561"/>
      <c r="J843" s="54"/>
    </row>
    <row r="844" spans="1:10" x14ac:dyDescent="0.2">
      <c r="A844" s="1236"/>
      <c r="B844" s="1238"/>
      <c r="C844" s="1235"/>
      <c r="D844" s="1271">
        <f>_xlfn.XLOOKUP(B844,Códigos!$A$489:$A$522,Códigos!$B$489:$B$522,"Verificar",0)</f>
        <v>0</v>
      </c>
      <c r="E844" s="1271">
        <f>_xlfn.XLOOKUP(C844,Códigos!$A$11:$A$415,Códigos!$B$11:$B$415,"Verificar",0)</f>
        <v>0</v>
      </c>
      <c r="F844" s="1272">
        <v>0</v>
      </c>
      <c r="G844" s="1239">
        <f t="shared" si="30"/>
        <v>634239583</v>
      </c>
      <c r="H844" s="1051"/>
      <c r="I844" s="561"/>
      <c r="J844" s="54"/>
    </row>
    <row r="845" spans="1:10" x14ac:dyDescent="0.2">
      <c r="A845" s="1236"/>
      <c r="B845" s="1238"/>
      <c r="C845" s="1235"/>
      <c r="D845" s="1271">
        <f>_xlfn.XLOOKUP(B845,Códigos!$A$489:$A$522,Códigos!$B$489:$B$522,"Verificar",0)</f>
        <v>0</v>
      </c>
      <c r="E845" s="1271">
        <f>_xlfn.XLOOKUP(C845,Códigos!$A$11:$A$415,Códigos!$B$11:$B$415,"Verificar",0)</f>
        <v>0</v>
      </c>
      <c r="F845" s="1272">
        <v>0</v>
      </c>
      <c r="G845" s="1239">
        <f t="shared" si="30"/>
        <v>634239583</v>
      </c>
      <c r="H845" s="1051"/>
      <c r="I845" s="561"/>
      <c r="J845" s="54"/>
    </row>
    <row r="846" spans="1:10" x14ac:dyDescent="0.2">
      <c r="A846" s="1236"/>
      <c r="B846" s="1238"/>
      <c r="C846" s="1235"/>
      <c r="D846" s="1271">
        <f>_xlfn.XLOOKUP(B846,Códigos!$A$489:$A$522,Códigos!$B$489:$B$522,"Verificar",0)</f>
        <v>0</v>
      </c>
      <c r="E846" s="1271">
        <f>_xlfn.XLOOKUP(C846,Códigos!$A$11:$A$415,Códigos!$B$11:$B$415,"Verificar",0)</f>
        <v>0</v>
      </c>
      <c r="F846" s="1272">
        <v>0</v>
      </c>
      <c r="G846" s="1239">
        <f t="shared" si="30"/>
        <v>634239583</v>
      </c>
      <c r="H846" s="1051"/>
      <c r="I846" s="561"/>
      <c r="J846" s="54"/>
    </row>
    <row r="847" spans="1:10" x14ac:dyDescent="0.2">
      <c r="A847" s="1236"/>
      <c r="B847" s="1238"/>
      <c r="C847" s="1235"/>
      <c r="D847" s="1271">
        <f>_xlfn.XLOOKUP(B847,Códigos!$A$489:$A$522,Códigos!$B$489:$B$522,"Verificar",0)</f>
        <v>0</v>
      </c>
      <c r="E847" s="1271">
        <f>_xlfn.XLOOKUP(C847,Códigos!$A$11:$A$415,Códigos!$B$11:$B$415,"Verificar",0)</f>
        <v>0</v>
      </c>
      <c r="F847" s="1272">
        <v>0</v>
      </c>
      <c r="G847" s="1239">
        <f t="shared" si="30"/>
        <v>634239583</v>
      </c>
      <c r="H847" s="1051"/>
      <c r="I847" s="561"/>
      <c r="J847" s="54"/>
    </row>
    <row r="848" spans="1:10" x14ac:dyDescent="0.2">
      <c r="A848" s="1236"/>
      <c r="B848" s="1238"/>
      <c r="C848" s="1235"/>
      <c r="D848" s="1271">
        <f>_xlfn.XLOOKUP(B848,Códigos!$A$489:$A$522,Códigos!$B$489:$B$522,"Verificar",0)</f>
        <v>0</v>
      </c>
      <c r="E848" s="1271">
        <f>_xlfn.XLOOKUP(C848,Códigos!$A$11:$A$415,Códigos!$B$11:$B$415,"Verificar",0)</f>
        <v>0</v>
      </c>
      <c r="F848" s="1272">
        <v>0</v>
      </c>
      <c r="G848" s="1239">
        <f t="shared" si="30"/>
        <v>634239583</v>
      </c>
      <c r="H848" s="1051"/>
      <c r="I848" s="561"/>
      <c r="J848" s="54"/>
    </row>
    <row r="849" spans="1:10" x14ac:dyDescent="0.2">
      <c r="A849" s="1236"/>
      <c r="B849" s="1238"/>
      <c r="C849" s="1235"/>
      <c r="D849" s="1271">
        <f>_xlfn.XLOOKUP(B849,Códigos!$A$489:$A$522,Códigos!$B$489:$B$522,"Verificar",0)</f>
        <v>0</v>
      </c>
      <c r="E849" s="1271">
        <f>_xlfn.XLOOKUP(C849,Códigos!$A$11:$A$415,Códigos!$B$11:$B$415,"Verificar",0)</f>
        <v>0</v>
      </c>
      <c r="F849" s="1272">
        <v>0</v>
      </c>
      <c r="G849" s="1239">
        <f t="shared" si="30"/>
        <v>634239583</v>
      </c>
      <c r="H849" s="1051"/>
      <c r="I849" s="561"/>
      <c r="J849" s="54"/>
    </row>
    <row r="850" spans="1:10" x14ac:dyDescent="0.2">
      <c r="A850" s="1236"/>
      <c r="B850" s="1238"/>
      <c r="C850" s="1235"/>
      <c r="D850" s="1271">
        <f>_xlfn.XLOOKUP(B850,Códigos!$A$489:$A$522,Códigos!$B$489:$B$522,"Verificar",0)</f>
        <v>0</v>
      </c>
      <c r="E850" s="1271">
        <f>_xlfn.XLOOKUP(C850,Códigos!$A$11:$A$415,Códigos!$B$11:$B$415,"Verificar",0)</f>
        <v>0</v>
      </c>
      <c r="F850" s="1272">
        <v>0</v>
      </c>
      <c r="G850" s="1239">
        <f t="shared" si="30"/>
        <v>634239583</v>
      </c>
      <c r="H850" s="1051"/>
      <c r="I850" s="561"/>
      <c r="J850" s="54"/>
    </row>
    <row r="851" spans="1:10" x14ac:dyDescent="0.2">
      <c r="A851" s="1236"/>
      <c r="B851" s="1238"/>
      <c r="C851" s="1235"/>
      <c r="D851" s="1271">
        <f>_xlfn.XLOOKUP(B851,Códigos!$A$489:$A$522,Códigos!$B$489:$B$522,"Verificar",0)</f>
        <v>0</v>
      </c>
      <c r="E851" s="1271">
        <f>_xlfn.XLOOKUP(C851,Códigos!$A$11:$A$415,Códigos!$B$11:$B$415,"Verificar",0)</f>
        <v>0</v>
      </c>
      <c r="F851" s="1272">
        <v>0</v>
      </c>
      <c r="G851" s="1239">
        <f t="shared" si="30"/>
        <v>634239583</v>
      </c>
      <c r="H851" s="1051"/>
      <c r="I851" s="561"/>
      <c r="J851" s="54"/>
    </row>
    <row r="852" spans="1:10" x14ac:dyDescent="0.2">
      <c r="A852" s="1236"/>
      <c r="B852" s="1238"/>
      <c r="C852" s="1235"/>
      <c r="D852" s="1271">
        <f>_xlfn.XLOOKUP(B852,Códigos!$A$489:$A$522,Códigos!$B$489:$B$522,"Verificar",0)</f>
        <v>0</v>
      </c>
      <c r="E852" s="1271">
        <f>_xlfn.XLOOKUP(C852,Códigos!$A$11:$A$415,Códigos!$B$11:$B$415,"Verificar",0)</f>
        <v>0</v>
      </c>
      <c r="F852" s="1272">
        <v>0</v>
      </c>
      <c r="G852" s="1239">
        <f t="shared" si="30"/>
        <v>634239583</v>
      </c>
      <c r="H852" s="1051"/>
      <c r="I852" s="561"/>
      <c r="J852" s="54"/>
    </row>
    <row r="853" spans="1:10" x14ac:dyDescent="0.2">
      <c r="A853" s="1236"/>
      <c r="B853" s="1238"/>
      <c r="C853" s="1235"/>
      <c r="D853" s="1271">
        <f>_xlfn.XLOOKUP(B853,Códigos!$A$489:$A$522,Códigos!$B$489:$B$522,"Verificar",0)</f>
        <v>0</v>
      </c>
      <c r="E853" s="1271">
        <f>_xlfn.XLOOKUP(C853,Códigos!$A$11:$A$415,Códigos!$B$11:$B$415,"Verificar",0)</f>
        <v>0</v>
      </c>
      <c r="F853" s="1272">
        <v>0</v>
      </c>
      <c r="G853" s="1239">
        <f t="shared" si="30"/>
        <v>634239583</v>
      </c>
      <c r="H853" s="1051"/>
      <c r="I853" s="561"/>
      <c r="J853" s="54"/>
    </row>
    <row r="854" spans="1:10" x14ac:dyDescent="0.2">
      <c r="A854" s="1236"/>
      <c r="B854" s="1238"/>
      <c r="C854" s="1235"/>
      <c r="D854" s="1271">
        <f>_xlfn.XLOOKUP(B854,Códigos!$A$489:$A$522,Códigos!$B$489:$B$522,"Verificar",0)</f>
        <v>0</v>
      </c>
      <c r="E854" s="1271">
        <f>_xlfn.XLOOKUP(C854,Códigos!$A$11:$A$415,Códigos!$B$11:$B$415,"Verificar",0)</f>
        <v>0</v>
      </c>
      <c r="F854" s="1272">
        <v>0</v>
      </c>
      <c r="G854" s="1239">
        <f t="shared" si="30"/>
        <v>634239583</v>
      </c>
      <c r="H854" s="1051"/>
      <c r="I854" s="561"/>
      <c r="J854" s="54"/>
    </row>
    <row r="855" spans="1:10" x14ac:dyDescent="0.2">
      <c r="A855" s="1236"/>
      <c r="B855" s="1238"/>
      <c r="C855" s="1235"/>
      <c r="D855" s="1271">
        <f>_xlfn.XLOOKUP(B855,Códigos!$A$489:$A$522,Códigos!$B$489:$B$522,"Verificar",0)</f>
        <v>0</v>
      </c>
      <c r="E855" s="1271">
        <f>_xlfn.XLOOKUP(C855,Códigos!$A$11:$A$415,Códigos!$B$11:$B$415,"Verificar",0)</f>
        <v>0</v>
      </c>
      <c r="F855" s="1272">
        <v>0</v>
      </c>
      <c r="G855" s="1239">
        <f t="shared" si="30"/>
        <v>634239583</v>
      </c>
      <c r="H855" s="1051"/>
      <c r="I855" s="561"/>
      <c r="J855" s="54"/>
    </row>
    <row r="856" spans="1:10" x14ac:dyDescent="0.2">
      <c r="A856" s="1236"/>
      <c r="B856" s="1238"/>
      <c r="C856" s="1235"/>
      <c r="D856" s="1271">
        <f>_xlfn.XLOOKUP(B856,Códigos!$A$489:$A$522,Códigos!$B$489:$B$522,"Verificar",0)</f>
        <v>0</v>
      </c>
      <c r="E856" s="1271">
        <f>_xlfn.XLOOKUP(C856,Códigos!$A$11:$A$415,Códigos!$B$11:$B$415,"Verificar",0)</f>
        <v>0</v>
      </c>
      <c r="F856" s="1272">
        <v>0</v>
      </c>
      <c r="G856" s="1239">
        <f t="shared" ref="G856:G919" si="31">+G855+F856</f>
        <v>634239583</v>
      </c>
      <c r="H856" s="1051"/>
      <c r="I856" s="561"/>
      <c r="J856" s="54"/>
    </row>
    <row r="857" spans="1:10" x14ac:dyDescent="0.2">
      <c r="A857" s="1236"/>
      <c r="B857" s="1238"/>
      <c r="C857" s="1235"/>
      <c r="D857" s="1271">
        <f>_xlfn.XLOOKUP(B857,Códigos!$A$489:$A$522,Códigos!$B$489:$B$522,"Verificar",0)</f>
        <v>0</v>
      </c>
      <c r="E857" s="1271">
        <f>_xlfn.XLOOKUP(C857,Códigos!$A$11:$A$415,Códigos!$B$11:$B$415,"Verificar",0)</f>
        <v>0</v>
      </c>
      <c r="F857" s="1272">
        <v>0</v>
      </c>
      <c r="G857" s="1239">
        <f t="shared" si="31"/>
        <v>634239583</v>
      </c>
      <c r="H857" s="1051"/>
      <c r="I857" s="561"/>
      <c r="J857" s="54"/>
    </row>
    <row r="858" spans="1:10" x14ac:dyDescent="0.2">
      <c r="A858" s="1236"/>
      <c r="B858" s="1238"/>
      <c r="C858" s="1235"/>
      <c r="D858" s="1271">
        <f>_xlfn.XLOOKUP(B858,Códigos!$A$489:$A$522,Códigos!$B$489:$B$522,"Verificar",0)</f>
        <v>0</v>
      </c>
      <c r="E858" s="1271">
        <f>_xlfn.XLOOKUP(C858,Códigos!$A$11:$A$415,Códigos!$B$11:$B$415,"Verificar",0)</f>
        <v>0</v>
      </c>
      <c r="F858" s="1272">
        <v>0</v>
      </c>
      <c r="G858" s="1239">
        <f t="shared" si="31"/>
        <v>634239583</v>
      </c>
      <c r="H858" s="1051"/>
      <c r="I858" s="561"/>
      <c r="J858" s="54"/>
    </row>
    <row r="859" spans="1:10" x14ac:dyDescent="0.2">
      <c r="A859" s="1236"/>
      <c r="B859" s="1238"/>
      <c r="C859" s="1235"/>
      <c r="D859" s="1271">
        <f>_xlfn.XLOOKUP(B859,Códigos!$A$489:$A$522,Códigos!$B$489:$B$522,"Verificar",0)</f>
        <v>0</v>
      </c>
      <c r="E859" s="1271">
        <f>_xlfn.XLOOKUP(C859,Códigos!$A$11:$A$415,Códigos!$B$11:$B$415,"Verificar",0)</f>
        <v>0</v>
      </c>
      <c r="F859" s="1272">
        <v>0</v>
      </c>
      <c r="G859" s="1239">
        <f t="shared" si="31"/>
        <v>634239583</v>
      </c>
      <c r="H859" s="1051"/>
      <c r="I859" s="561"/>
      <c r="J859" s="54"/>
    </row>
    <row r="860" spans="1:10" x14ac:dyDescent="0.2">
      <c r="A860" s="1236"/>
      <c r="B860" s="1238"/>
      <c r="C860" s="1235"/>
      <c r="D860" s="1271">
        <f>_xlfn.XLOOKUP(B860,Códigos!$A$489:$A$522,Códigos!$B$489:$B$522,"Verificar",0)</f>
        <v>0</v>
      </c>
      <c r="E860" s="1271">
        <f>_xlfn.XLOOKUP(C860,Códigos!$A$11:$A$415,Códigos!$B$11:$B$415,"Verificar",0)</f>
        <v>0</v>
      </c>
      <c r="F860" s="1272">
        <v>0</v>
      </c>
      <c r="G860" s="1239">
        <f t="shared" si="31"/>
        <v>634239583</v>
      </c>
      <c r="H860" s="1051"/>
      <c r="I860" s="561"/>
      <c r="J860" s="54"/>
    </row>
    <row r="861" spans="1:10" x14ac:dyDescent="0.2">
      <c r="A861" s="1236"/>
      <c r="B861" s="1238"/>
      <c r="C861" s="1235"/>
      <c r="D861" s="1271">
        <f>_xlfn.XLOOKUP(B861,Códigos!$A$489:$A$522,Códigos!$B$489:$B$522,"Verificar",0)</f>
        <v>0</v>
      </c>
      <c r="E861" s="1271">
        <f>_xlfn.XLOOKUP(C861,Códigos!$A$11:$A$415,Códigos!$B$11:$B$415,"Verificar",0)</f>
        <v>0</v>
      </c>
      <c r="F861" s="1272">
        <v>0</v>
      </c>
      <c r="G861" s="1239">
        <f t="shared" si="31"/>
        <v>634239583</v>
      </c>
      <c r="H861" s="1051"/>
      <c r="I861" s="561"/>
      <c r="J861" s="54"/>
    </row>
    <row r="862" spans="1:10" x14ac:dyDescent="0.2">
      <c r="A862" s="1236"/>
      <c r="B862" s="1238"/>
      <c r="C862" s="1235"/>
      <c r="D862" s="1271">
        <f>_xlfn.XLOOKUP(B862,Códigos!$A$489:$A$522,Códigos!$B$489:$B$522,"Verificar",0)</f>
        <v>0</v>
      </c>
      <c r="E862" s="1271">
        <f>_xlfn.XLOOKUP(C862,Códigos!$A$11:$A$415,Códigos!$B$11:$B$415,"Verificar",0)</f>
        <v>0</v>
      </c>
      <c r="F862" s="1272">
        <v>0</v>
      </c>
      <c r="G862" s="1239">
        <f t="shared" si="31"/>
        <v>634239583</v>
      </c>
      <c r="H862" s="1051"/>
      <c r="I862" s="561"/>
      <c r="J862" s="54"/>
    </row>
    <row r="863" spans="1:10" x14ac:dyDescent="0.2">
      <c r="A863" s="1236"/>
      <c r="B863" s="1238"/>
      <c r="C863" s="1235"/>
      <c r="D863" s="1271">
        <f>_xlfn.XLOOKUP(B863,Códigos!$A$489:$A$522,Códigos!$B$489:$B$522,"Verificar",0)</f>
        <v>0</v>
      </c>
      <c r="E863" s="1271">
        <f>_xlfn.XLOOKUP(C863,Códigos!$A$11:$A$415,Códigos!$B$11:$B$415,"Verificar",0)</f>
        <v>0</v>
      </c>
      <c r="F863" s="1272">
        <v>0</v>
      </c>
      <c r="G863" s="1239">
        <f t="shared" si="31"/>
        <v>634239583</v>
      </c>
      <c r="H863" s="1051"/>
      <c r="I863" s="561"/>
      <c r="J863" s="54"/>
    </row>
    <row r="864" spans="1:10" x14ac:dyDescent="0.2">
      <c r="A864" s="1236"/>
      <c r="B864" s="1238"/>
      <c r="C864" s="1235"/>
      <c r="D864" s="1271">
        <f>_xlfn.XLOOKUP(B864,Códigos!$A$489:$A$522,Códigos!$B$489:$B$522,"Verificar",0)</f>
        <v>0</v>
      </c>
      <c r="E864" s="1271">
        <f>_xlfn.XLOOKUP(C864,Códigos!$A$11:$A$415,Códigos!$B$11:$B$415,"Verificar",0)</f>
        <v>0</v>
      </c>
      <c r="F864" s="1272">
        <v>0</v>
      </c>
      <c r="G864" s="1239">
        <f t="shared" si="31"/>
        <v>634239583</v>
      </c>
      <c r="H864" s="1051"/>
      <c r="I864" s="561"/>
      <c r="J864" s="54"/>
    </row>
    <row r="865" spans="1:10" x14ac:dyDescent="0.2">
      <c r="A865" s="1236"/>
      <c r="B865" s="1238"/>
      <c r="C865" s="1235"/>
      <c r="D865" s="1271">
        <f>_xlfn.XLOOKUP(B865,Códigos!$A$489:$A$522,Códigos!$B$489:$B$522,"Verificar",0)</f>
        <v>0</v>
      </c>
      <c r="E865" s="1271">
        <f>_xlfn.XLOOKUP(C865,Códigos!$A$11:$A$415,Códigos!$B$11:$B$415,"Verificar",0)</f>
        <v>0</v>
      </c>
      <c r="F865" s="1272">
        <v>0</v>
      </c>
      <c r="G865" s="1239">
        <f t="shared" si="31"/>
        <v>634239583</v>
      </c>
      <c r="H865" s="1051"/>
      <c r="I865" s="561"/>
      <c r="J865" s="54"/>
    </row>
    <row r="866" spans="1:10" x14ac:dyDescent="0.2">
      <c r="A866" s="1236"/>
      <c r="B866" s="1238"/>
      <c r="C866" s="1235"/>
      <c r="D866" s="1271">
        <f>_xlfn.XLOOKUP(B866,Códigos!$A$489:$A$522,Códigos!$B$489:$B$522,"Verificar",0)</f>
        <v>0</v>
      </c>
      <c r="E866" s="1271">
        <f>_xlfn.XLOOKUP(C866,Códigos!$A$11:$A$415,Códigos!$B$11:$B$415,"Verificar",0)</f>
        <v>0</v>
      </c>
      <c r="F866" s="1272">
        <v>0</v>
      </c>
      <c r="G866" s="1239">
        <f t="shared" si="31"/>
        <v>634239583</v>
      </c>
      <c r="H866" s="1051"/>
      <c r="I866" s="561"/>
      <c r="J866" s="54"/>
    </row>
    <row r="867" spans="1:10" x14ac:dyDescent="0.2">
      <c r="A867" s="1236"/>
      <c r="B867" s="1238"/>
      <c r="C867" s="1235"/>
      <c r="D867" s="1271">
        <f>_xlfn.XLOOKUP(B867,Códigos!$A$489:$A$522,Códigos!$B$489:$B$522,"Verificar",0)</f>
        <v>0</v>
      </c>
      <c r="E867" s="1271">
        <f>_xlfn.XLOOKUP(C867,Códigos!$A$11:$A$415,Códigos!$B$11:$B$415,"Verificar",0)</f>
        <v>0</v>
      </c>
      <c r="F867" s="1272">
        <v>0</v>
      </c>
      <c r="G867" s="1239">
        <f t="shared" si="31"/>
        <v>634239583</v>
      </c>
      <c r="H867" s="1051"/>
      <c r="I867" s="561"/>
      <c r="J867" s="54"/>
    </row>
    <row r="868" spans="1:10" x14ac:dyDescent="0.2">
      <c r="A868" s="1236"/>
      <c r="B868" s="1238"/>
      <c r="C868" s="1235"/>
      <c r="D868" s="1271">
        <f>_xlfn.XLOOKUP(B868,Códigos!$A$489:$A$522,Códigos!$B$489:$B$522,"Verificar",0)</f>
        <v>0</v>
      </c>
      <c r="E868" s="1271">
        <f>_xlfn.XLOOKUP(C868,Códigos!$A$11:$A$415,Códigos!$B$11:$B$415,"Verificar",0)</f>
        <v>0</v>
      </c>
      <c r="F868" s="1272">
        <v>0</v>
      </c>
      <c r="G868" s="1239">
        <f t="shared" si="31"/>
        <v>634239583</v>
      </c>
      <c r="H868" s="1051"/>
      <c r="I868" s="561"/>
      <c r="J868" s="54"/>
    </row>
    <row r="869" spans="1:10" x14ac:dyDescent="0.2">
      <c r="A869" s="1236"/>
      <c r="B869" s="1238"/>
      <c r="C869" s="1235"/>
      <c r="D869" s="1271">
        <f>_xlfn.XLOOKUP(B869,Códigos!$A$489:$A$522,Códigos!$B$489:$B$522,"Verificar",0)</f>
        <v>0</v>
      </c>
      <c r="E869" s="1271">
        <f>_xlfn.XLOOKUP(C869,Códigos!$A$11:$A$415,Códigos!$B$11:$B$415,"Verificar",0)</f>
        <v>0</v>
      </c>
      <c r="F869" s="1272">
        <v>0</v>
      </c>
      <c r="G869" s="1239">
        <f t="shared" si="31"/>
        <v>634239583</v>
      </c>
      <c r="H869" s="1051"/>
      <c r="I869" s="561"/>
      <c r="J869" s="54"/>
    </row>
    <row r="870" spans="1:10" x14ac:dyDescent="0.2">
      <c r="A870" s="1236"/>
      <c r="B870" s="1238"/>
      <c r="C870" s="1235"/>
      <c r="D870" s="1271">
        <f>_xlfn.XLOOKUP(B870,Códigos!$A$489:$A$522,Códigos!$B$489:$B$522,"Verificar",0)</f>
        <v>0</v>
      </c>
      <c r="E870" s="1271">
        <f>_xlfn.XLOOKUP(C870,Códigos!$A$11:$A$415,Códigos!$B$11:$B$415,"Verificar",0)</f>
        <v>0</v>
      </c>
      <c r="F870" s="1272">
        <v>0</v>
      </c>
      <c r="G870" s="1239">
        <f t="shared" si="31"/>
        <v>634239583</v>
      </c>
      <c r="H870" s="1051"/>
      <c r="I870" s="561"/>
      <c r="J870" s="54"/>
    </row>
    <row r="871" spans="1:10" x14ac:dyDescent="0.2">
      <c r="A871" s="1236"/>
      <c r="B871" s="1238"/>
      <c r="C871" s="1235"/>
      <c r="D871" s="1271">
        <f>_xlfn.XLOOKUP(B871,Códigos!$A$489:$A$522,Códigos!$B$489:$B$522,"Verificar",0)</f>
        <v>0</v>
      </c>
      <c r="E871" s="1271">
        <f>_xlfn.XLOOKUP(C871,Códigos!$A$11:$A$415,Códigos!$B$11:$B$415,"Verificar",0)</f>
        <v>0</v>
      </c>
      <c r="F871" s="1272">
        <v>0</v>
      </c>
      <c r="G871" s="1239">
        <f t="shared" si="31"/>
        <v>634239583</v>
      </c>
      <c r="H871" s="1051"/>
      <c r="I871" s="561"/>
      <c r="J871" s="54"/>
    </row>
    <row r="872" spans="1:10" x14ac:dyDescent="0.2">
      <c r="A872" s="1236"/>
      <c r="B872" s="1238"/>
      <c r="C872" s="1235"/>
      <c r="D872" s="1271">
        <f>_xlfn.XLOOKUP(B872,Códigos!$A$489:$A$522,Códigos!$B$489:$B$522,"Verificar",0)</f>
        <v>0</v>
      </c>
      <c r="E872" s="1271">
        <f>_xlfn.XLOOKUP(C872,Códigos!$A$11:$A$415,Códigos!$B$11:$B$415,"Verificar",0)</f>
        <v>0</v>
      </c>
      <c r="F872" s="1272">
        <v>0</v>
      </c>
      <c r="G872" s="1239">
        <f t="shared" si="31"/>
        <v>634239583</v>
      </c>
      <c r="H872" s="1051"/>
      <c r="I872" s="561"/>
      <c r="J872" s="54"/>
    </row>
    <row r="873" spans="1:10" x14ac:dyDescent="0.2">
      <c r="A873" s="1236"/>
      <c r="B873" s="1238"/>
      <c r="C873" s="1235"/>
      <c r="D873" s="1271">
        <f>_xlfn.XLOOKUP(B873,Códigos!$A$489:$A$522,Códigos!$B$489:$B$522,"Verificar",0)</f>
        <v>0</v>
      </c>
      <c r="E873" s="1271">
        <f>_xlfn.XLOOKUP(C873,Códigos!$A$11:$A$415,Códigos!$B$11:$B$415,"Verificar",0)</f>
        <v>0</v>
      </c>
      <c r="F873" s="1272">
        <v>0</v>
      </c>
      <c r="G873" s="1239">
        <f t="shared" si="31"/>
        <v>634239583</v>
      </c>
      <c r="H873" s="1051"/>
      <c r="I873" s="561"/>
      <c r="J873" s="54"/>
    </row>
    <row r="874" spans="1:10" x14ac:dyDescent="0.2">
      <c r="A874" s="1236"/>
      <c r="B874" s="1238"/>
      <c r="C874" s="1235"/>
      <c r="D874" s="1271">
        <f>_xlfn.XLOOKUP(B874,Códigos!$A$489:$A$522,Códigos!$B$489:$B$522,"Verificar",0)</f>
        <v>0</v>
      </c>
      <c r="E874" s="1271">
        <f>_xlfn.XLOOKUP(C874,Códigos!$A$11:$A$415,Códigos!$B$11:$B$415,"Verificar",0)</f>
        <v>0</v>
      </c>
      <c r="F874" s="1272">
        <v>0</v>
      </c>
      <c r="G874" s="1239">
        <f t="shared" si="31"/>
        <v>634239583</v>
      </c>
      <c r="H874" s="1051"/>
      <c r="I874" s="561"/>
      <c r="J874" s="54"/>
    </row>
    <row r="875" spans="1:10" x14ac:dyDescent="0.2">
      <c r="A875" s="1236"/>
      <c r="B875" s="1238"/>
      <c r="C875" s="1235"/>
      <c r="D875" s="1271">
        <f>_xlfn.XLOOKUP(B875,Códigos!$A$489:$A$522,Códigos!$B$489:$B$522,"Verificar",0)</f>
        <v>0</v>
      </c>
      <c r="E875" s="1271">
        <f>_xlfn.XLOOKUP(C875,Códigos!$A$11:$A$415,Códigos!$B$11:$B$415,"Verificar",0)</f>
        <v>0</v>
      </c>
      <c r="F875" s="1272">
        <v>0</v>
      </c>
      <c r="G875" s="1239">
        <f t="shared" si="31"/>
        <v>634239583</v>
      </c>
      <c r="H875" s="1051"/>
      <c r="I875" s="561"/>
      <c r="J875" s="54"/>
    </row>
    <row r="876" spans="1:10" x14ac:dyDescent="0.2">
      <c r="A876" s="1236"/>
      <c r="B876" s="1238"/>
      <c r="C876" s="1235"/>
      <c r="D876" s="1271">
        <f>_xlfn.XLOOKUP(B876,Códigos!$A$489:$A$522,Códigos!$B$489:$B$522,"Verificar",0)</f>
        <v>0</v>
      </c>
      <c r="E876" s="1271">
        <f>_xlfn.XLOOKUP(C876,Códigos!$A$11:$A$415,Códigos!$B$11:$B$415,"Verificar",0)</f>
        <v>0</v>
      </c>
      <c r="F876" s="1272">
        <v>0</v>
      </c>
      <c r="G876" s="1239">
        <f t="shared" si="31"/>
        <v>634239583</v>
      </c>
      <c r="H876" s="1051"/>
      <c r="I876" s="561"/>
      <c r="J876" s="54"/>
    </row>
    <row r="877" spans="1:10" x14ac:dyDescent="0.2">
      <c r="A877" s="1236"/>
      <c r="B877" s="1238"/>
      <c r="C877" s="1235"/>
      <c r="D877" s="1271">
        <f>_xlfn.XLOOKUP(B877,Códigos!$A$489:$A$522,Códigos!$B$489:$B$522,"Verificar",0)</f>
        <v>0</v>
      </c>
      <c r="E877" s="1271">
        <f>_xlfn.XLOOKUP(C877,Códigos!$A$11:$A$415,Códigos!$B$11:$B$415,"Verificar",0)</f>
        <v>0</v>
      </c>
      <c r="F877" s="1272">
        <v>0</v>
      </c>
      <c r="G877" s="1239">
        <f t="shared" si="31"/>
        <v>634239583</v>
      </c>
      <c r="H877" s="1051"/>
      <c r="I877" s="561"/>
      <c r="J877" s="54"/>
    </row>
    <row r="878" spans="1:10" x14ac:dyDescent="0.2">
      <c r="A878" s="1236"/>
      <c r="B878" s="1238"/>
      <c r="C878" s="1235"/>
      <c r="D878" s="1271">
        <f>_xlfn.XLOOKUP(B878,Códigos!$A$489:$A$522,Códigos!$B$489:$B$522,"Verificar",0)</f>
        <v>0</v>
      </c>
      <c r="E878" s="1271">
        <f>_xlfn.XLOOKUP(C878,Códigos!$A$11:$A$415,Códigos!$B$11:$B$415,"Verificar",0)</f>
        <v>0</v>
      </c>
      <c r="F878" s="1272">
        <v>0</v>
      </c>
      <c r="G878" s="1239">
        <f t="shared" si="31"/>
        <v>634239583</v>
      </c>
      <c r="H878" s="1051"/>
      <c r="I878" s="561"/>
      <c r="J878" s="54"/>
    </row>
    <row r="879" spans="1:10" x14ac:dyDescent="0.2">
      <c r="A879" s="1236"/>
      <c r="B879" s="1238"/>
      <c r="C879" s="1235"/>
      <c r="D879" s="1271">
        <f>_xlfn.XLOOKUP(B879,Códigos!$A$489:$A$522,Códigos!$B$489:$B$522,"Verificar",0)</f>
        <v>0</v>
      </c>
      <c r="E879" s="1271">
        <f>_xlfn.XLOOKUP(C879,Códigos!$A$11:$A$415,Códigos!$B$11:$B$415,"Verificar",0)</f>
        <v>0</v>
      </c>
      <c r="F879" s="1272">
        <v>0</v>
      </c>
      <c r="G879" s="1239">
        <f t="shared" si="31"/>
        <v>634239583</v>
      </c>
      <c r="H879" s="1051"/>
      <c r="I879" s="561"/>
      <c r="J879" s="54"/>
    </row>
    <row r="880" spans="1:10" x14ac:dyDescent="0.2">
      <c r="A880" s="1236"/>
      <c r="B880" s="1238"/>
      <c r="C880" s="1235"/>
      <c r="D880" s="1271">
        <f>_xlfn.XLOOKUP(B880,Códigos!$A$489:$A$522,Códigos!$B$489:$B$522,"Verificar",0)</f>
        <v>0</v>
      </c>
      <c r="E880" s="1271">
        <f>_xlfn.XLOOKUP(C880,Códigos!$A$11:$A$415,Códigos!$B$11:$B$415,"Verificar",0)</f>
        <v>0</v>
      </c>
      <c r="F880" s="1272">
        <v>0</v>
      </c>
      <c r="G880" s="1239">
        <f t="shared" si="31"/>
        <v>634239583</v>
      </c>
      <c r="H880" s="1051"/>
      <c r="I880" s="561"/>
      <c r="J880" s="54"/>
    </row>
    <row r="881" spans="1:10" x14ac:dyDescent="0.2">
      <c r="A881" s="1236"/>
      <c r="B881" s="1238"/>
      <c r="C881" s="1235"/>
      <c r="D881" s="1271">
        <f>_xlfn.XLOOKUP(B881,Códigos!$A$489:$A$522,Códigos!$B$489:$B$522,"Verificar",0)</f>
        <v>0</v>
      </c>
      <c r="E881" s="1271">
        <f>_xlfn.XLOOKUP(C881,Códigos!$A$11:$A$415,Códigos!$B$11:$B$415,"Verificar",0)</f>
        <v>0</v>
      </c>
      <c r="F881" s="1272">
        <v>0</v>
      </c>
      <c r="G881" s="1239">
        <f t="shared" si="31"/>
        <v>634239583</v>
      </c>
      <c r="H881" s="1051"/>
      <c r="I881" s="561"/>
      <c r="J881" s="54"/>
    </row>
    <row r="882" spans="1:10" x14ac:dyDescent="0.2">
      <c r="A882" s="1236"/>
      <c r="B882" s="1238"/>
      <c r="C882" s="1235"/>
      <c r="D882" s="1271">
        <f>_xlfn.XLOOKUP(B882,Códigos!$A$489:$A$522,Códigos!$B$489:$B$522,"Verificar",0)</f>
        <v>0</v>
      </c>
      <c r="E882" s="1271">
        <f>_xlfn.XLOOKUP(C882,Códigos!$A$11:$A$415,Códigos!$B$11:$B$415,"Verificar",0)</f>
        <v>0</v>
      </c>
      <c r="F882" s="1272">
        <v>0</v>
      </c>
      <c r="G882" s="1239">
        <f t="shared" si="31"/>
        <v>634239583</v>
      </c>
      <c r="H882" s="1051"/>
      <c r="I882" s="561"/>
      <c r="J882" s="54"/>
    </row>
    <row r="883" spans="1:10" x14ac:dyDescent="0.2">
      <c r="A883" s="1236"/>
      <c r="B883" s="1238"/>
      <c r="C883" s="1235"/>
      <c r="D883" s="1271">
        <f>_xlfn.XLOOKUP(B883,Códigos!$A$489:$A$522,Códigos!$B$489:$B$522,"Verificar",0)</f>
        <v>0</v>
      </c>
      <c r="E883" s="1271">
        <f>_xlfn.XLOOKUP(C883,Códigos!$A$11:$A$415,Códigos!$B$11:$B$415,"Verificar",0)</f>
        <v>0</v>
      </c>
      <c r="F883" s="1272">
        <v>0</v>
      </c>
      <c r="G883" s="1239">
        <f t="shared" si="31"/>
        <v>634239583</v>
      </c>
      <c r="H883" s="1051"/>
      <c r="I883" s="561"/>
      <c r="J883" s="54"/>
    </row>
    <row r="884" spans="1:10" x14ac:dyDescent="0.2">
      <c r="A884" s="1236"/>
      <c r="B884" s="1238"/>
      <c r="C884" s="1235"/>
      <c r="D884" s="1271">
        <f>_xlfn.XLOOKUP(B884,Códigos!$A$489:$A$522,Códigos!$B$489:$B$522,"Verificar",0)</f>
        <v>0</v>
      </c>
      <c r="E884" s="1271">
        <f>_xlfn.XLOOKUP(C884,Códigos!$A$11:$A$415,Códigos!$B$11:$B$415,"Verificar",0)</f>
        <v>0</v>
      </c>
      <c r="F884" s="1272">
        <v>0</v>
      </c>
      <c r="G884" s="1239">
        <f t="shared" si="31"/>
        <v>634239583</v>
      </c>
      <c r="H884" s="1051"/>
      <c r="I884" s="561"/>
      <c r="J884" s="54"/>
    </row>
    <row r="885" spans="1:10" x14ac:dyDescent="0.2">
      <c r="A885" s="1236"/>
      <c r="B885" s="1238"/>
      <c r="C885" s="1235"/>
      <c r="D885" s="1271">
        <f>_xlfn.XLOOKUP(B885,Códigos!$A$489:$A$522,Códigos!$B$489:$B$522,"Verificar",0)</f>
        <v>0</v>
      </c>
      <c r="E885" s="1271">
        <f>_xlfn.XLOOKUP(C885,Códigos!$A$11:$A$415,Códigos!$B$11:$B$415,"Verificar",0)</f>
        <v>0</v>
      </c>
      <c r="F885" s="1272">
        <v>0</v>
      </c>
      <c r="G885" s="1239">
        <f t="shared" si="31"/>
        <v>634239583</v>
      </c>
      <c r="H885" s="1051"/>
      <c r="I885" s="561"/>
      <c r="J885" s="54"/>
    </row>
    <row r="886" spans="1:10" x14ac:dyDescent="0.2">
      <c r="A886" s="1236"/>
      <c r="B886" s="1238"/>
      <c r="C886" s="1235"/>
      <c r="D886" s="1271">
        <f>_xlfn.XLOOKUP(B886,Códigos!$A$489:$A$522,Códigos!$B$489:$B$522,"Verificar",0)</f>
        <v>0</v>
      </c>
      <c r="E886" s="1271">
        <f>_xlfn.XLOOKUP(C886,Códigos!$A$11:$A$415,Códigos!$B$11:$B$415,"Verificar",0)</f>
        <v>0</v>
      </c>
      <c r="F886" s="1272">
        <v>0</v>
      </c>
      <c r="G886" s="1239">
        <f t="shared" si="31"/>
        <v>634239583</v>
      </c>
      <c r="H886" s="1051"/>
      <c r="I886" s="561"/>
      <c r="J886" s="54"/>
    </row>
    <row r="887" spans="1:10" x14ac:dyDescent="0.2">
      <c r="A887" s="1236"/>
      <c r="B887" s="1238"/>
      <c r="C887" s="1235"/>
      <c r="D887" s="1271">
        <f>_xlfn.XLOOKUP(B887,Códigos!$A$489:$A$522,Códigos!$B$489:$B$522,"Verificar",0)</f>
        <v>0</v>
      </c>
      <c r="E887" s="1271">
        <f>_xlfn.XLOOKUP(C887,Códigos!$A$11:$A$415,Códigos!$B$11:$B$415,"Verificar",0)</f>
        <v>0</v>
      </c>
      <c r="F887" s="1272">
        <v>0</v>
      </c>
      <c r="G887" s="1239">
        <f t="shared" si="31"/>
        <v>634239583</v>
      </c>
      <c r="H887" s="1051"/>
      <c r="I887" s="561"/>
      <c r="J887" s="54"/>
    </row>
    <row r="888" spans="1:10" x14ac:dyDescent="0.2">
      <c r="A888" s="1236"/>
      <c r="B888" s="1238"/>
      <c r="C888" s="1235"/>
      <c r="D888" s="1271">
        <f>_xlfn.XLOOKUP(B888,Códigos!$A$489:$A$522,Códigos!$B$489:$B$522,"Verificar",0)</f>
        <v>0</v>
      </c>
      <c r="E888" s="1271">
        <f>_xlfn.XLOOKUP(C888,Códigos!$A$11:$A$415,Códigos!$B$11:$B$415,"Verificar",0)</f>
        <v>0</v>
      </c>
      <c r="F888" s="1272">
        <v>0</v>
      </c>
      <c r="G888" s="1239">
        <f t="shared" si="31"/>
        <v>634239583</v>
      </c>
      <c r="H888" s="1051"/>
      <c r="I888" s="561"/>
      <c r="J888" s="54"/>
    </row>
    <row r="889" spans="1:10" x14ac:dyDescent="0.2">
      <c r="A889" s="1236"/>
      <c r="B889" s="1238"/>
      <c r="C889" s="1235"/>
      <c r="D889" s="1271">
        <f>_xlfn.XLOOKUP(B889,Códigos!$A$489:$A$522,Códigos!$B$489:$B$522,"Verificar",0)</f>
        <v>0</v>
      </c>
      <c r="E889" s="1271">
        <f>_xlfn.XLOOKUP(C889,Códigos!$A$11:$A$415,Códigos!$B$11:$B$415,"Verificar",0)</f>
        <v>0</v>
      </c>
      <c r="F889" s="1272">
        <v>0</v>
      </c>
      <c r="G889" s="1239">
        <f t="shared" si="31"/>
        <v>634239583</v>
      </c>
      <c r="H889" s="1051"/>
      <c r="I889" s="561"/>
      <c r="J889" s="54"/>
    </row>
    <row r="890" spans="1:10" x14ac:dyDescent="0.2">
      <c r="A890" s="1236"/>
      <c r="B890" s="1238"/>
      <c r="C890" s="1235"/>
      <c r="D890" s="1271">
        <f>_xlfn.XLOOKUP(B890,Códigos!$A$489:$A$522,Códigos!$B$489:$B$522,"Verificar",0)</f>
        <v>0</v>
      </c>
      <c r="E890" s="1271">
        <f>_xlfn.XLOOKUP(C890,Códigos!$A$11:$A$415,Códigos!$B$11:$B$415,"Verificar",0)</f>
        <v>0</v>
      </c>
      <c r="F890" s="1272">
        <v>0</v>
      </c>
      <c r="G890" s="1239">
        <f t="shared" si="31"/>
        <v>634239583</v>
      </c>
      <c r="H890" s="1051"/>
      <c r="I890" s="561"/>
      <c r="J890" s="54"/>
    </row>
    <row r="891" spans="1:10" x14ac:dyDescent="0.2">
      <c r="A891" s="1236"/>
      <c r="B891" s="1238"/>
      <c r="C891" s="1235"/>
      <c r="D891" s="1271">
        <f>_xlfn.XLOOKUP(B891,Códigos!$A$489:$A$522,Códigos!$B$489:$B$522,"Verificar",0)</f>
        <v>0</v>
      </c>
      <c r="E891" s="1271">
        <f>_xlfn.XLOOKUP(C891,Códigos!$A$11:$A$415,Códigos!$B$11:$B$415,"Verificar",0)</f>
        <v>0</v>
      </c>
      <c r="F891" s="1272">
        <v>0</v>
      </c>
      <c r="G891" s="1239">
        <f t="shared" si="31"/>
        <v>634239583</v>
      </c>
      <c r="H891" s="1051"/>
      <c r="I891" s="561"/>
      <c r="J891" s="54"/>
    </row>
    <row r="892" spans="1:10" x14ac:dyDescent="0.2">
      <c r="A892" s="1236"/>
      <c r="B892" s="1238"/>
      <c r="C892" s="1235"/>
      <c r="D892" s="1271">
        <f>_xlfn.XLOOKUP(B892,Códigos!$A$489:$A$522,Códigos!$B$489:$B$522,"Verificar",0)</f>
        <v>0</v>
      </c>
      <c r="E892" s="1271">
        <f>_xlfn.XLOOKUP(C892,Códigos!$A$11:$A$415,Códigos!$B$11:$B$415,"Verificar",0)</f>
        <v>0</v>
      </c>
      <c r="F892" s="1272">
        <v>0</v>
      </c>
      <c r="G892" s="1239">
        <f t="shared" si="31"/>
        <v>634239583</v>
      </c>
      <c r="H892" s="1051"/>
      <c r="I892" s="561"/>
      <c r="J892" s="54"/>
    </row>
    <row r="893" spans="1:10" x14ac:dyDescent="0.2">
      <c r="A893" s="1236"/>
      <c r="B893" s="1238"/>
      <c r="C893" s="1235"/>
      <c r="D893" s="1271">
        <f>_xlfn.XLOOKUP(B893,Códigos!$A$489:$A$522,Códigos!$B$489:$B$522,"Verificar",0)</f>
        <v>0</v>
      </c>
      <c r="E893" s="1271">
        <f>_xlfn.XLOOKUP(C893,Códigos!$A$11:$A$415,Códigos!$B$11:$B$415,"Verificar",0)</f>
        <v>0</v>
      </c>
      <c r="F893" s="1272">
        <v>0</v>
      </c>
      <c r="G893" s="1239">
        <f t="shared" si="31"/>
        <v>634239583</v>
      </c>
      <c r="H893" s="1051"/>
      <c r="I893" s="561"/>
      <c r="J893" s="54"/>
    </row>
    <row r="894" spans="1:10" x14ac:dyDescent="0.2">
      <c r="A894" s="1236"/>
      <c r="B894" s="1238"/>
      <c r="C894" s="1235"/>
      <c r="D894" s="1271">
        <f>_xlfn.XLOOKUP(B894,Códigos!$A$489:$A$522,Códigos!$B$489:$B$522,"Verificar",0)</f>
        <v>0</v>
      </c>
      <c r="E894" s="1271">
        <f>_xlfn.XLOOKUP(C894,Códigos!$A$11:$A$415,Códigos!$B$11:$B$415,"Verificar",0)</f>
        <v>0</v>
      </c>
      <c r="F894" s="1272">
        <v>0</v>
      </c>
      <c r="G894" s="1239">
        <f t="shared" si="31"/>
        <v>634239583</v>
      </c>
      <c r="H894" s="1051"/>
      <c r="I894" s="561"/>
      <c r="J894" s="54"/>
    </row>
    <row r="895" spans="1:10" x14ac:dyDescent="0.2">
      <c r="A895" s="1236"/>
      <c r="B895" s="1238"/>
      <c r="C895" s="1235"/>
      <c r="D895" s="1271">
        <f>_xlfn.XLOOKUP(B895,Códigos!$A$489:$A$522,Códigos!$B$489:$B$522,"Verificar",0)</f>
        <v>0</v>
      </c>
      <c r="E895" s="1271">
        <f>_xlfn.XLOOKUP(C895,Códigos!$A$11:$A$415,Códigos!$B$11:$B$415,"Verificar",0)</f>
        <v>0</v>
      </c>
      <c r="F895" s="1272">
        <v>0</v>
      </c>
      <c r="G895" s="1239">
        <f t="shared" si="31"/>
        <v>634239583</v>
      </c>
      <c r="H895" s="1051"/>
      <c r="I895" s="561"/>
      <c r="J895" s="54"/>
    </row>
    <row r="896" spans="1:10" x14ac:dyDescent="0.2">
      <c r="A896" s="1236"/>
      <c r="B896" s="1238"/>
      <c r="C896" s="1235"/>
      <c r="D896" s="1271">
        <f>_xlfn.XLOOKUP(B896,Códigos!$A$489:$A$522,Códigos!$B$489:$B$522,"Verificar",0)</f>
        <v>0</v>
      </c>
      <c r="E896" s="1271">
        <f>_xlfn.XLOOKUP(C896,Códigos!$A$11:$A$415,Códigos!$B$11:$B$415,"Verificar",0)</f>
        <v>0</v>
      </c>
      <c r="F896" s="1272">
        <v>0</v>
      </c>
      <c r="G896" s="1239">
        <f t="shared" si="31"/>
        <v>634239583</v>
      </c>
      <c r="H896" s="1051"/>
      <c r="I896" s="561"/>
      <c r="J896" s="54"/>
    </row>
    <row r="897" spans="1:10" x14ac:dyDescent="0.2">
      <c r="A897" s="1236"/>
      <c r="B897" s="1238"/>
      <c r="C897" s="1235"/>
      <c r="D897" s="1271">
        <f>_xlfn.XLOOKUP(B897,Códigos!$A$489:$A$522,Códigos!$B$489:$B$522,"Verificar",0)</f>
        <v>0</v>
      </c>
      <c r="E897" s="1271">
        <f>_xlfn.XLOOKUP(C897,Códigos!$A$11:$A$415,Códigos!$B$11:$B$415,"Verificar",0)</f>
        <v>0</v>
      </c>
      <c r="F897" s="1272">
        <v>0</v>
      </c>
      <c r="G897" s="1239">
        <f t="shared" si="31"/>
        <v>634239583</v>
      </c>
      <c r="H897" s="1051"/>
      <c r="I897" s="561"/>
      <c r="J897" s="54"/>
    </row>
    <row r="898" spans="1:10" x14ac:dyDescent="0.2">
      <c r="A898" s="1236"/>
      <c r="B898" s="1238"/>
      <c r="C898" s="1235"/>
      <c r="D898" s="1271">
        <f>_xlfn.XLOOKUP(B898,Códigos!$A$489:$A$522,Códigos!$B$489:$B$522,"Verificar",0)</f>
        <v>0</v>
      </c>
      <c r="E898" s="1271">
        <f>_xlfn.XLOOKUP(C898,Códigos!$A$11:$A$415,Códigos!$B$11:$B$415,"Verificar",0)</f>
        <v>0</v>
      </c>
      <c r="F898" s="1272">
        <v>0</v>
      </c>
      <c r="G898" s="1239">
        <f t="shared" si="31"/>
        <v>634239583</v>
      </c>
      <c r="H898" s="1051"/>
      <c r="I898" s="561"/>
      <c r="J898" s="54"/>
    </row>
    <row r="899" spans="1:10" x14ac:dyDescent="0.2">
      <c r="A899" s="1236"/>
      <c r="B899" s="1238"/>
      <c r="C899" s="1235"/>
      <c r="D899" s="1271">
        <f>_xlfn.XLOOKUP(B899,Códigos!$A$489:$A$522,Códigos!$B$489:$B$522,"Verificar",0)</f>
        <v>0</v>
      </c>
      <c r="E899" s="1271">
        <f>_xlfn.XLOOKUP(C899,Códigos!$A$11:$A$415,Códigos!$B$11:$B$415,"Verificar",0)</f>
        <v>0</v>
      </c>
      <c r="F899" s="1272">
        <v>0</v>
      </c>
      <c r="G899" s="1239">
        <f t="shared" si="31"/>
        <v>634239583</v>
      </c>
      <c r="H899" s="1051"/>
      <c r="I899" s="561"/>
      <c r="J899" s="54"/>
    </row>
    <row r="900" spans="1:10" x14ac:dyDescent="0.2">
      <c r="A900" s="1236"/>
      <c r="B900" s="1238"/>
      <c r="C900" s="1235"/>
      <c r="D900" s="1271">
        <f>_xlfn.XLOOKUP(B900,Códigos!$A$489:$A$522,Códigos!$B$489:$B$522,"Verificar",0)</f>
        <v>0</v>
      </c>
      <c r="E900" s="1271">
        <f>_xlfn.XLOOKUP(C900,Códigos!$A$11:$A$415,Códigos!$B$11:$B$415,"Verificar",0)</f>
        <v>0</v>
      </c>
      <c r="F900" s="1272">
        <v>0</v>
      </c>
      <c r="G900" s="1239">
        <f t="shared" si="31"/>
        <v>634239583</v>
      </c>
      <c r="H900" s="1051"/>
      <c r="I900" s="561"/>
      <c r="J900" s="54"/>
    </row>
    <row r="901" spans="1:10" x14ac:dyDescent="0.2">
      <c r="A901" s="1236"/>
      <c r="B901" s="1238"/>
      <c r="C901" s="1235"/>
      <c r="D901" s="1271">
        <f>_xlfn.XLOOKUP(B901,Códigos!$A$489:$A$522,Códigos!$B$489:$B$522,"Verificar",0)</f>
        <v>0</v>
      </c>
      <c r="E901" s="1271">
        <f>_xlfn.XLOOKUP(C901,Códigos!$A$11:$A$415,Códigos!$B$11:$B$415,"Verificar",0)</f>
        <v>0</v>
      </c>
      <c r="F901" s="1272">
        <v>0</v>
      </c>
      <c r="G901" s="1239">
        <f t="shared" si="31"/>
        <v>634239583</v>
      </c>
      <c r="H901" s="1051"/>
      <c r="I901" s="561"/>
      <c r="J901" s="54"/>
    </row>
    <row r="902" spans="1:10" x14ac:dyDescent="0.2">
      <c r="A902" s="1236"/>
      <c r="B902" s="1238"/>
      <c r="C902" s="1235"/>
      <c r="D902" s="1271">
        <f>_xlfn.XLOOKUP(B902,Códigos!$A$489:$A$522,Códigos!$B$489:$B$522,"Verificar",0)</f>
        <v>0</v>
      </c>
      <c r="E902" s="1271">
        <f>_xlfn.XLOOKUP(C902,Códigos!$A$11:$A$415,Códigos!$B$11:$B$415,"Verificar",0)</f>
        <v>0</v>
      </c>
      <c r="F902" s="1272">
        <v>0</v>
      </c>
      <c r="G902" s="1239">
        <f t="shared" si="31"/>
        <v>634239583</v>
      </c>
      <c r="H902" s="1051"/>
      <c r="I902" s="561"/>
      <c r="J902" s="54"/>
    </row>
    <row r="903" spans="1:10" x14ac:dyDescent="0.2">
      <c r="A903" s="1236"/>
      <c r="B903" s="1238"/>
      <c r="C903" s="1235"/>
      <c r="D903" s="1271">
        <f>_xlfn.XLOOKUP(B903,Códigos!$A$489:$A$522,Códigos!$B$489:$B$522,"Verificar",0)</f>
        <v>0</v>
      </c>
      <c r="E903" s="1271">
        <f>_xlfn.XLOOKUP(C903,Códigos!$A$11:$A$415,Códigos!$B$11:$B$415,"Verificar",0)</f>
        <v>0</v>
      </c>
      <c r="F903" s="1272">
        <v>0</v>
      </c>
      <c r="G903" s="1239">
        <f t="shared" si="31"/>
        <v>634239583</v>
      </c>
      <c r="H903" s="1051"/>
      <c r="I903" s="561"/>
      <c r="J903" s="54"/>
    </row>
    <row r="904" spans="1:10" x14ac:dyDescent="0.2">
      <c r="A904" s="1236"/>
      <c r="B904" s="1238"/>
      <c r="C904" s="1235"/>
      <c r="D904" s="1271">
        <f>_xlfn.XLOOKUP(B904,Códigos!$A$489:$A$522,Códigos!$B$489:$B$522,"Verificar",0)</f>
        <v>0</v>
      </c>
      <c r="E904" s="1271">
        <f>_xlfn.XLOOKUP(C904,Códigos!$A$11:$A$415,Códigos!$B$11:$B$415,"Verificar",0)</f>
        <v>0</v>
      </c>
      <c r="F904" s="1272">
        <v>0</v>
      </c>
      <c r="G904" s="1239">
        <f t="shared" si="31"/>
        <v>634239583</v>
      </c>
      <c r="H904" s="1051"/>
      <c r="I904" s="561"/>
      <c r="J904" s="54"/>
    </row>
    <row r="905" spans="1:10" x14ac:dyDescent="0.2">
      <c r="A905" s="1236"/>
      <c r="B905" s="1238"/>
      <c r="C905" s="1235"/>
      <c r="D905" s="1271">
        <f>_xlfn.XLOOKUP(B905,Códigos!$A$489:$A$522,Códigos!$B$489:$B$522,"Verificar",0)</f>
        <v>0</v>
      </c>
      <c r="E905" s="1271">
        <f>_xlfn.XLOOKUP(C905,Códigos!$A$11:$A$415,Códigos!$B$11:$B$415,"Verificar",0)</f>
        <v>0</v>
      </c>
      <c r="F905" s="1272">
        <v>0</v>
      </c>
      <c r="G905" s="1239">
        <f t="shared" si="31"/>
        <v>634239583</v>
      </c>
      <c r="H905" s="1051"/>
      <c r="I905" s="561"/>
      <c r="J905" s="54"/>
    </row>
    <row r="906" spans="1:10" x14ac:dyDescent="0.2">
      <c r="A906" s="1236"/>
      <c r="B906" s="1238"/>
      <c r="C906" s="1235"/>
      <c r="D906" s="1271">
        <f>_xlfn.XLOOKUP(B906,Códigos!$A$489:$A$522,Códigos!$B$489:$B$522,"Verificar",0)</f>
        <v>0</v>
      </c>
      <c r="E906" s="1271">
        <f>_xlfn.XLOOKUP(C906,Códigos!$A$11:$A$415,Códigos!$B$11:$B$415,"Verificar",0)</f>
        <v>0</v>
      </c>
      <c r="F906" s="1272">
        <v>0</v>
      </c>
      <c r="G906" s="1239">
        <f t="shared" si="31"/>
        <v>634239583</v>
      </c>
      <c r="H906" s="1051"/>
      <c r="I906" s="561"/>
      <c r="J906" s="54"/>
    </row>
    <row r="907" spans="1:10" x14ac:dyDescent="0.2">
      <c r="A907" s="1236"/>
      <c r="B907" s="1238"/>
      <c r="C907" s="1235"/>
      <c r="D907" s="1271">
        <f>_xlfn.XLOOKUP(B907,Códigos!$A$489:$A$522,Códigos!$B$489:$B$522,"Verificar",0)</f>
        <v>0</v>
      </c>
      <c r="E907" s="1271">
        <f>_xlfn.XLOOKUP(C907,Códigos!$A$11:$A$415,Códigos!$B$11:$B$415,"Verificar",0)</f>
        <v>0</v>
      </c>
      <c r="F907" s="1272">
        <v>0</v>
      </c>
      <c r="G907" s="1239">
        <f t="shared" si="31"/>
        <v>634239583</v>
      </c>
      <c r="H907" s="1051"/>
      <c r="I907" s="561"/>
      <c r="J907" s="54"/>
    </row>
    <row r="908" spans="1:10" x14ac:dyDescent="0.2">
      <c r="A908" s="1236"/>
      <c r="B908" s="1238"/>
      <c r="C908" s="1235"/>
      <c r="D908" s="1271">
        <f>_xlfn.XLOOKUP(B908,Códigos!$A$489:$A$522,Códigos!$B$489:$B$522,"Verificar",0)</f>
        <v>0</v>
      </c>
      <c r="E908" s="1271">
        <f>_xlfn.XLOOKUP(C908,Códigos!$A$11:$A$415,Códigos!$B$11:$B$415,"Verificar",0)</f>
        <v>0</v>
      </c>
      <c r="F908" s="1272">
        <v>0</v>
      </c>
      <c r="G908" s="1239">
        <f t="shared" si="31"/>
        <v>634239583</v>
      </c>
      <c r="H908" s="1051"/>
      <c r="I908" s="561"/>
      <c r="J908" s="54"/>
    </row>
    <row r="909" spans="1:10" x14ac:dyDescent="0.2">
      <c r="A909" s="1236"/>
      <c r="B909" s="1238"/>
      <c r="C909" s="1235"/>
      <c r="D909" s="1271">
        <f>_xlfn.XLOOKUP(B909,Códigos!$A$489:$A$522,Códigos!$B$489:$B$522,"Verificar",0)</f>
        <v>0</v>
      </c>
      <c r="E909" s="1271">
        <f>_xlfn.XLOOKUP(C909,Códigos!$A$11:$A$415,Códigos!$B$11:$B$415,"Verificar",0)</f>
        <v>0</v>
      </c>
      <c r="F909" s="1272">
        <v>0</v>
      </c>
      <c r="G909" s="1239">
        <f t="shared" si="31"/>
        <v>634239583</v>
      </c>
      <c r="H909" s="1051"/>
      <c r="I909" s="561"/>
      <c r="J909" s="54"/>
    </row>
    <row r="910" spans="1:10" x14ac:dyDescent="0.2">
      <c r="A910" s="1236"/>
      <c r="B910" s="1238"/>
      <c r="C910" s="1235"/>
      <c r="D910" s="1271">
        <f>_xlfn.XLOOKUP(B910,Códigos!$A$489:$A$522,Códigos!$B$489:$B$522,"Verificar",0)</f>
        <v>0</v>
      </c>
      <c r="E910" s="1271">
        <f>_xlfn.XLOOKUP(C910,Códigos!$A$11:$A$415,Códigos!$B$11:$B$415,"Verificar",0)</f>
        <v>0</v>
      </c>
      <c r="F910" s="1272">
        <v>0</v>
      </c>
      <c r="G910" s="1239">
        <f t="shared" si="31"/>
        <v>634239583</v>
      </c>
      <c r="H910" s="1051"/>
      <c r="I910" s="561"/>
      <c r="J910" s="54"/>
    </row>
    <row r="911" spans="1:10" x14ac:dyDescent="0.2">
      <c r="A911" s="1236"/>
      <c r="B911" s="1238"/>
      <c r="C911" s="1235"/>
      <c r="D911" s="1271">
        <f>_xlfn.XLOOKUP(B911,Códigos!$A$489:$A$522,Códigos!$B$489:$B$522,"Verificar",0)</f>
        <v>0</v>
      </c>
      <c r="E911" s="1271">
        <f>_xlfn.XLOOKUP(C911,Códigos!$A$11:$A$415,Códigos!$B$11:$B$415,"Verificar",0)</f>
        <v>0</v>
      </c>
      <c r="F911" s="1272">
        <v>0</v>
      </c>
      <c r="G911" s="1239">
        <f t="shared" si="31"/>
        <v>634239583</v>
      </c>
      <c r="H911" s="1051"/>
      <c r="I911" s="561"/>
      <c r="J911" s="54"/>
    </row>
    <row r="912" spans="1:10" x14ac:dyDescent="0.2">
      <c r="A912" s="1236"/>
      <c r="B912" s="1238"/>
      <c r="C912" s="1235"/>
      <c r="D912" s="1271">
        <f>_xlfn.XLOOKUP(B912,Códigos!$A$489:$A$522,Códigos!$B$489:$B$522,"Verificar",0)</f>
        <v>0</v>
      </c>
      <c r="E912" s="1271">
        <f>_xlfn.XLOOKUP(C912,Códigos!$A$11:$A$415,Códigos!$B$11:$B$415,"Verificar",0)</f>
        <v>0</v>
      </c>
      <c r="F912" s="1272">
        <v>0</v>
      </c>
      <c r="G912" s="1239">
        <f t="shared" si="31"/>
        <v>634239583</v>
      </c>
      <c r="H912" s="1051"/>
      <c r="I912" s="561"/>
      <c r="J912" s="54"/>
    </row>
    <row r="913" spans="1:10" x14ac:dyDescent="0.2">
      <c r="A913" s="1236"/>
      <c r="B913" s="1238"/>
      <c r="C913" s="1235"/>
      <c r="D913" s="1271">
        <f>_xlfn.XLOOKUP(B913,Códigos!$A$489:$A$522,Códigos!$B$489:$B$522,"Verificar",0)</f>
        <v>0</v>
      </c>
      <c r="E913" s="1271">
        <f>_xlfn.XLOOKUP(C913,Códigos!$A$11:$A$415,Códigos!$B$11:$B$415,"Verificar",0)</f>
        <v>0</v>
      </c>
      <c r="F913" s="1272">
        <v>0</v>
      </c>
      <c r="G913" s="1239">
        <f t="shared" si="31"/>
        <v>634239583</v>
      </c>
      <c r="H913" s="1051"/>
      <c r="I913" s="561"/>
      <c r="J913" s="54"/>
    </row>
    <row r="914" spans="1:10" x14ac:dyDescent="0.2">
      <c r="A914" s="1236"/>
      <c r="B914" s="1238"/>
      <c r="C914" s="1235"/>
      <c r="D914" s="1271">
        <f>_xlfn.XLOOKUP(B914,Códigos!$A$489:$A$522,Códigos!$B$489:$B$522,"Verificar",0)</f>
        <v>0</v>
      </c>
      <c r="E914" s="1271">
        <f>_xlfn.XLOOKUP(C914,Códigos!$A$11:$A$415,Códigos!$B$11:$B$415,"Verificar",0)</f>
        <v>0</v>
      </c>
      <c r="F914" s="1272">
        <v>0</v>
      </c>
      <c r="G914" s="1239">
        <f t="shared" si="31"/>
        <v>634239583</v>
      </c>
      <c r="H914" s="1051"/>
      <c r="I914" s="561"/>
      <c r="J914" s="54"/>
    </row>
    <row r="915" spans="1:10" x14ac:dyDescent="0.2">
      <c r="A915" s="1236"/>
      <c r="B915" s="1238"/>
      <c r="C915" s="1235"/>
      <c r="D915" s="1271">
        <f>_xlfn.XLOOKUP(B915,Códigos!$A$489:$A$522,Códigos!$B$489:$B$522,"Verificar",0)</f>
        <v>0</v>
      </c>
      <c r="E915" s="1271">
        <f>_xlfn.XLOOKUP(C915,Códigos!$A$11:$A$415,Códigos!$B$11:$B$415,"Verificar",0)</f>
        <v>0</v>
      </c>
      <c r="F915" s="1272">
        <v>0</v>
      </c>
      <c r="G915" s="1239">
        <f t="shared" si="31"/>
        <v>634239583</v>
      </c>
      <c r="H915" s="1051"/>
      <c r="I915" s="561"/>
      <c r="J915" s="54"/>
    </row>
    <row r="916" spans="1:10" x14ac:dyDescent="0.2">
      <c r="A916" s="1236"/>
      <c r="B916" s="1238"/>
      <c r="C916" s="1235"/>
      <c r="D916" s="1271">
        <f>_xlfn.XLOOKUP(B916,Códigos!$A$489:$A$522,Códigos!$B$489:$B$522,"Verificar",0)</f>
        <v>0</v>
      </c>
      <c r="E916" s="1271">
        <f>_xlfn.XLOOKUP(C916,Códigos!$A$11:$A$415,Códigos!$B$11:$B$415,"Verificar",0)</f>
        <v>0</v>
      </c>
      <c r="F916" s="1272">
        <v>0</v>
      </c>
      <c r="G916" s="1239">
        <f t="shared" si="31"/>
        <v>634239583</v>
      </c>
      <c r="H916" s="1051"/>
      <c r="I916" s="561"/>
      <c r="J916" s="54"/>
    </row>
    <row r="917" spans="1:10" x14ac:dyDescent="0.2">
      <c r="A917" s="1236"/>
      <c r="B917" s="1238"/>
      <c r="C917" s="1235"/>
      <c r="D917" s="1271">
        <f>_xlfn.XLOOKUP(B917,Códigos!$A$489:$A$522,Códigos!$B$489:$B$522,"Verificar",0)</f>
        <v>0</v>
      </c>
      <c r="E917" s="1271">
        <f>_xlfn.XLOOKUP(C917,Códigos!$A$11:$A$415,Códigos!$B$11:$B$415,"Verificar",0)</f>
        <v>0</v>
      </c>
      <c r="F917" s="1272">
        <v>0</v>
      </c>
      <c r="G917" s="1239">
        <f t="shared" si="31"/>
        <v>634239583</v>
      </c>
      <c r="H917" s="1051"/>
      <c r="I917" s="561"/>
      <c r="J917" s="54"/>
    </row>
    <row r="918" spans="1:10" x14ac:dyDescent="0.2">
      <c r="A918" s="1236"/>
      <c r="B918" s="1238"/>
      <c r="C918" s="1235"/>
      <c r="D918" s="1271">
        <f>_xlfn.XLOOKUP(B918,Códigos!$A$489:$A$522,Códigos!$B$489:$B$522,"Verificar",0)</f>
        <v>0</v>
      </c>
      <c r="E918" s="1271">
        <f>_xlfn.XLOOKUP(C918,Códigos!$A$11:$A$415,Códigos!$B$11:$B$415,"Verificar",0)</f>
        <v>0</v>
      </c>
      <c r="F918" s="1272">
        <v>0</v>
      </c>
      <c r="G918" s="1239">
        <f t="shared" si="31"/>
        <v>634239583</v>
      </c>
      <c r="H918" s="1051"/>
      <c r="I918" s="561"/>
      <c r="J918" s="54"/>
    </row>
    <row r="919" spans="1:10" x14ac:dyDescent="0.2">
      <c r="A919" s="1236"/>
      <c r="B919" s="1238"/>
      <c r="C919" s="1235"/>
      <c r="D919" s="1271">
        <f>_xlfn.XLOOKUP(B919,Códigos!$A$489:$A$522,Códigos!$B$489:$B$522,"Verificar",0)</f>
        <v>0</v>
      </c>
      <c r="E919" s="1271">
        <f>_xlfn.XLOOKUP(C919,Códigos!$A$11:$A$415,Códigos!$B$11:$B$415,"Verificar",0)</f>
        <v>0</v>
      </c>
      <c r="F919" s="1272">
        <v>0</v>
      </c>
      <c r="G919" s="1239">
        <f t="shared" si="31"/>
        <v>634239583</v>
      </c>
      <c r="H919" s="1051"/>
      <c r="I919" s="561"/>
      <c r="J919" s="54"/>
    </row>
    <row r="920" spans="1:10" x14ac:dyDescent="0.2">
      <c r="A920" s="1236"/>
      <c r="B920" s="1238"/>
      <c r="C920" s="1235"/>
      <c r="D920" s="1271">
        <f>_xlfn.XLOOKUP(B920,Códigos!$A$489:$A$522,Códigos!$B$489:$B$522,"Verificar",0)</f>
        <v>0</v>
      </c>
      <c r="E920" s="1271">
        <f>_xlfn.XLOOKUP(C920,Códigos!$A$11:$A$415,Códigos!$B$11:$B$415,"Verificar",0)</f>
        <v>0</v>
      </c>
      <c r="F920" s="1272">
        <v>0</v>
      </c>
      <c r="G920" s="1239">
        <f t="shared" ref="G920:G952" si="32">+G919+F920</f>
        <v>634239583</v>
      </c>
      <c r="H920" s="1051"/>
      <c r="I920" s="561"/>
      <c r="J920" s="54"/>
    </row>
    <row r="921" spans="1:10" x14ac:dyDescent="0.2">
      <c r="A921" s="1236"/>
      <c r="B921" s="1238"/>
      <c r="C921" s="1235"/>
      <c r="D921" s="1271">
        <f>_xlfn.XLOOKUP(B921,Códigos!$A$489:$A$522,Códigos!$B$489:$B$522,"Verificar",0)</f>
        <v>0</v>
      </c>
      <c r="E921" s="1271">
        <f>_xlfn.XLOOKUP(C921,Códigos!$A$11:$A$415,Códigos!$B$11:$B$415,"Verificar",0)</f>
        <v>0</v>
      </c>
      <c r="F921" s="1272">
        <v>0</v>
      </c>
      <c r="G921" s="1239">
        <f t="shared" si="32"/>
        <v>634239583</v>
      </c>
      <c r="H921" s="1051"/>
      <c r="I921" s="561"/>
      <c r="J921" s="54"/>
    </row>
    <row r="922" spans="1:10" x14ac:dyDescent="0.2">
      <c r="A922" s="1236"/>
      <c r="B922" s="1238"/>
      <c r="C922" s="1235"/>
      <c r="D922" s="1271">
        <f>_xlfn.XLOOKUP(B922,Códigos!$A$489:$A$522,Códigos!$B$489:$B$522,"Verificar",0)</f>
        <v>0</v>
      </c>
      <c r="E922" s="1271">
        <f>_xlfn.XLOOKUP(C922,Códigos!$A$11:$A$415,Códigos!$B$11:$B$415,"Verificar",0)</f>
        <v>0</v>
      </c>
      <c r="F922" s="1272">
        <v>0</v>
      </c>
      <c r="G922" s="1239">
        <f t="shared" si="32"/>
        <v>634239583</v>
      </c>
      <c r="H922" s="1051"/>
      <c r="I922" s="561"/>
      <c r="J922" s="54"/>
    </row>
    <row r="923" spans="1:10" x14ac:dyDescent="0.2">
      <c r="A923" s="1236"/>
      <c r="B923" s="1238"/>
      <c r="C923" s="1235"/>
      <c r="D923" s="1271">
        <f>_xlfn.XLOOKUP(B923,Códigos!$A$489:$A$522,Códigos!$B$489:$B$522,"Verificar",0)</f>
        <v>0</v>
      </c>
      <c r="E923" s="1271">
        <f>_xlfn.XLOOKUP(C923,Códigos!$A$11:$A$415,Códigos!$B$11:$B$415,"Verificar",0)</f>
        <v>0</v>
      </c>
      <c r="F923" s="1272">
        <v>0</v>
      </c>
      <c r="G923" s="1239">
        <f t="shared" si="32"/>
        <v>634239583</v>
      </c>
      <c r="H923" s="1051"/>
      <c r="I923" s="561"/>
      <c r="J923" s="54"/>
    </row>
    <row r="924" spans="1:10" x14ac:dyDescent="0.2">
      <c r="A924" s="1236"/>
      <c r="B924" s="1238"/>
      <c r="C924" s="1235"/>
      <c r="D924" s="1271">
        <f>_xlfn.XLOOKUP(B924,Códigos!$A$489:$A$522,Códigos!$B$489:$B$522,"Verificar",0)</f>
        <v>0</v>
      </c>
      <c r="E924" s="1271">
        <f>_xlfn.XLOOKUP(C924,Códigos!$A$11:$A$415,Códigos!$B$11:$B$415,"Verificar",0)</f>
        <v>0</v>
      </c>
      <c r="F924" s="1272">
        <v>0</v>
      </c>
      <c r="G924" s="1239">
        <f t="shared" si="32"/>
        <v>634239583</v>
      </c>
      <c r="H924" s="1051"/>
      <c r="I924" s="561"/>
      <c r="J924" s="54"/>
    </row>
    <row r="925" spans="1:10" x14ac:dyDescent="0.2">
      <c r="A925" s="1236"/>
      <c r="B925" s="1238"/>
      <c r="C925" s="1235"/>
      <c r="D925" s="1271">
        <f>_xlfn.XLOOKUP(B925,Códigos!$A$489:$A$522,Códigos!$B$489:$B$522,"Verificar",0)</f>
        <v>0</v>
      </c>
      <c r="E925" s="1271">
        <f>_xlfn.XLOOKUP(C925,Códigos!$A$11:$A$415,Códigos!$B$11:$B$415,"Verificar",0)</f>
        <v>0</v>
      </c>
      <c r="F925" s="1272">
        <v>0</v>
      </c>
      <c r="G925" s="1239">
        <f t="shared" si="32"/>
        <v>634239583</v>
      </c>
      <c r="H925" s="1051"/>
      <c r="I925" s="561"/>
      <c r="J925" s="54"/>
    </row>
    <row r="926" spans="1:10" x14ac:dyDescent="0.2">
      <c r="A926" s="1236"/>
      <c r="B926" s="1238"/>
      <c r="C926" s="1235"/>
      <c r="D926" s="1271">
        <f>_xlfn.XLOOKUP(B926,Códigos!$A$489:$A$522,Códigos!$B$489:$B$522,"Verificar",0)</f>
        <v>0</v>
      </c>
      <c r="E926" s="1271">
        <f>_xlfn.XLOOKUP(C926,Códigos!$A$11:$A$415,Códigos!$B$11:$B$415,"Verificar",0)</f>
        <v>0</v>
      </c>
      <c r="F926" s="1272">
        <v>0</v>
      </c>
      <c r="G926" s="1239">
        <f t="shared" si="32"/>
        <v>634239583</v>
      </c>
      <c r="H926" s="1051"/>
      <c r="I926" s="561"/>
      <c r="J926" s="54"/>
    </row>
    <row r="927" spans="1:10" x14ac:dyDescent="0.2">
      <c r="A927" s="1236"/>
      <c r="B927" s="1238"/>
      <c r="C927" s="1235"/>
      <c r="D927" s="1271">
        <f>_xlfn.XLOOKUP(B927,Códigos!$A$489:$A$522,Códigos!$B$489:$B$522,"Verificar",0)</f>
        <v>0</v>
      </c>
      <c r="E927" s="1271">
        <f>_xlfn.XLOOKUP(C927,Códigos!$A$11:$A$415,Códigos!$B$11:$B$415,"Verificar",0)</f>
        <v>0</v>
      </c>
      <c r="F927" s="1272">
        <v>0</v>
      </c>
      <c r="G927" s="1239">
        <f t="shared" si="32"/>
        <v>634239583</v>
      </c>
      <c r="H927" s="1051"/>
      <c r="I927" s="561"/>
      <c r="J927" s="54"/>
    </row>
    <row r="928" spans="1:10" x14ac:dyDescent="0.2">
      <c r="A928" s="1236"/>
      <c r="B928" s="1238"/>
      <c r="C928" s="1235"/>
      <c r="D928" s="1271">
        <f>_xlfn.XLOOKUP(B928,Códigos!$A$489:$A$522,Códigos!$B$489:$B$522,"Verificar",0)</f>
        <v>0</v>
      </c>
      <c r="E928" s="1271">
        <f>_xlfn.XLOOKUP(C928,Códigos!$A$11:$A$415,Códigos!$B$11:$B$415,"Verificar",0)</f>
        <v>0</v>
      </c>
      <c r="F928" s="1272">
        <v>0</v>
      </c>
      <c r="G928" s="1239">
        <f t="shared" si="32"/>
        <v>634239583</v>
      </c>
      <c r="H928" s="1051"/>
      <c r="I928" s="561"/>
      <c r="J928" s="54"/>
    </row>
    <row r="929" spans="1:10" x14ac:dyDescent="0.2">
      <c r="A929" s="1236"/>
      <c r="B929" s="1238"/>
      <c r="C929" s="1235"/>
      <c r="D929" s="1271">
        <f>_xlfn.XLOOKUP(B929,Códigos!$A$489:$A$522,Códigos!$B$489:$B$522,"Verificar",0)</f>
        <v>0</v>
      </c>
      <c r="E929" s="1271">
        <f>_xlfn.XLOOKUP(C929,Códigos!$A$11:$A$415,Códigos!$B$11:$B$415,"Verificar",0)</f>
        <v>0</v>
      </c>
      <c r="F929" s="1272">
        <v>0</v>
      </c>
      <c r="G929" s="1239">
        <f t="shared" si="32"/>
        <v>634239583</v>
      </c>
      <c r="H929" s="1051"/>
      <c r="I929" s="561"/>
      <c r="J929" s="54"/>
    </row>
    <row r="930" spans="1:10" x14ac:dyDescent="0.2">
      <c r="A930" s="947"/>
      <c r="B930" s="960"/>
      <c r="C930" s="948"/>
      <c r="D930" s="949">
        <f>_xlfn.XLOOKUP(B930,Códigos!$A$489:$A$522,Códigos!$B$489:$B$522,"Verificar",0)</f>
        <v>0</v>
      </c>
      <c r="E930" s="949">
        <f>_xlfn.XLOOKUP(C930,Códigos!$A$11:$A$415,Códigos!$B$11:$B$415,"Verificar",0)</f>
        <v>0</v>
      </c>
      <c r="F930" s="950">
        <v>0</v>
      </c>
      <c r="G930" s="989">
        <f t="shared" si="32"/>
        <v>634239583</v>
      </c>
      <c r="H930" s="1051"/>
      <c r="I930" s="561"/>
      <c r="J930" s="54"/>
    </row>
    <row r="931" spans="1:10" x14ac:dyDescent="0.2">
      <c r="A931" s="947"/>
      <c r="B931" s="960"/>
      <c r="C931" s="948"/>
      <c r="D931" s="949">
        <f>_xlfn.XLOOKUP(B931,Códigos!$A$489:$A$522,Códigos!$B$489:$B$522,"Verificar",0)</f>
        <v>0</v>
      </c>
      <c r="E931" s="949">
        <f>_xlfn.XLOOKUP(C931,Códigos!$A$11:$A$415,Códigos!$B$11:$B$415,"Verificar",0)</f>
        <v>0</v>
      </c>
      <c r="F931" s="950">
        <v>0</v>
      </c>
      <c r="G931" s="989">
        <f t="shared" si="32"/>
        <v>634239583</v>
      </c>
      <c r="H931" s="1051"/>
      <c r="I931" s="561"/>
      <c r="J931" s="54"/>
    </row>
    <row r="932" spans="1:10" x14ac:dyDescent="0.2">
      <c r="A932" s="947"/>
      <c r="B932" s="960"/>
      <c r="C932" s="948"/>
      <c r="D932" s="949">
        <f>_xlfn.XLOOKUP(B932,Códigos!$A$489:$A$522,Códigos!$B$489:$B$522,"Verificar",0)</f>
        <v>0</v>
      </c>
      <c r="E932" s="949">
        <f>_xlfn.XLOOKUP(C932,Códigos!$A$11:$A$415,Códigos!$B$11:$B$415,"Verificar",0)</f>
        <v>0</v>
      </c>
      <c r="F932" s="950">
        <v>0</v>
      </c>
      <c r="G932" s="989">
        <f t="shared" si="32"/>
        <v>634239583</v>
      </c>
      <c r="H932" s="1051"/>
      <c r="I932" s="561"/>
      <c r="J932" s="54"/>
    </row>
    <row r="933" spans="1:10" x14ac:dyDescent="0.2">
      <c r="A933" s="947"/>
      <c r="B933" s="960"/>
      <c r="C933" s="948"/>
      <c r="D933" s="949">
        <f>_xlfn.XLOOKUP(B933,Códigos!$A$489:$A$522,Códigos!$B$489:$B$522,"Verificar",0)</f>
        <v>0</v>
      </c>
      <c r="E933" s="949">
        <f>_xlfn.XLOOKUP(C933,Códigos!$A$11:$A$415,Códigos!$B$11:$B$415,"Verificar",0)</f>
        <v>0</v>
      </c>
      <c r="F933" s="950">
        <v>0</v>
      </c>
      <c r="G933" s="989">
        <f t="shared" si="32"/>
        <v>634239583</v>
      </c>
      <c r="H933" s="1051"/>
      <c r="I933" s="561"/>
      <c r="J933" s="54"/>
    </row>
    <row r="934" spans="1:10" x14ac:dyDescent="0.2">
      <c r="A934" s="947"/>
      <c r="B934" s="960"/>
      <c r="C934" s="948"/>
      <c r="D934" s="949">
        <f>_xlfn.XLOOKUP(B934,Códigos!$A$489:$A$522,Códigos!$B$489:$B$522,"Verificar",0)</f>
        <v>0</v>
      </c>
      <c r="E934" s="949">
        <f>_xlfn.XLOOKUP(C934,Códigos!$A$11:$A$415,Códigos!$B$11:$B$415,"Verificar",0)</f>
        <v>0</v>
      </c>
      <c r="F934" s="950">
        <v>0</v>
      </c>
      <c r="G934" s="989">
        <f t="shared" si="32"/>
        <v>634239583</v>
      </c>
      <c r="H934" s="1051"/>
      <c r="I934" s="561"/>
      <c r="J934" s="54"/>
    </row>
    <row r="935" spans="1:10" x14ac:dyDescent="0.2">
      <c r="A935" s="947"/>
      <c r="B935" s="960"/>
      <c r="C935" s="948"/>
      <c r="D935" s="949">
        <f>_xlfn.XLOOKUP(B935,Códigos!$A$489:$A$522,Códigos!$B$489:$B$522,"Verificar",0)</f>
        <v>0</v>
      </c>
      <c r="E935" s="949">
        <f>_xlfn.XLOOKUP(C935,Códigos!$A$11:$A$415,Códigos!$B$11:$B$415,"Verificar",0)</f>
        <v>0</v>
      </c>
      <c r="F935" s="950">
        <v>0</v>
      </c>
      <c r="G935" s="989">
        <f t="shared" si="32"/>
        <v>634239583</v>
      </c>
      <c r="H935" s="1051"/>
      <c r="I935" s="561"/>
      <c r="J935" s="54"/>
    </row>
    <row r="936" spans="1:10" x14ac:dyDescent="0.2">
      <c r="A936" s="947"/>
      <c r="B936" s="960"/>
      <c r="C936" s="948"/>
      <c r="D936" s="876">
        <f>_xlfn.XLOOKUP(B936,Códigos!$A$489:$A$522,Códigos!$B$489:$B$522,"Verificar",0)</f>
        <v>0</v>
      </c>
      <c r="E936" s="876">
        <f>_xlfn.XLOOKUP(C936,Códigos!$A$11:$A$415,Códigos!$B$11:$B$415,"Verificar",0)</f>
        <v>0</v>
      </c>
      <c r="F936" s="950">
        <v>0</v>
      </c>
      <c r="G936" s="989">
        <f t="shared" si="32"/>
        <v>634239583</v>
      </c>
      <c r="H936" s="1051"/>
      <c r="I936" s="127"/>
      <c r="J936" s="54"/>
    </row>
    <row r="937" spans="1:10" x14ac:dyDescent="0.2">
      <c r="A937" s="947"/>
      <c r="B937" s="960"/>
      <c r="C937" s="948"/>
      <c r="D937" s="876">
        <f>_xlfn.XLOOKUP(B937,Códigos!$A$489:$A$522,Códigos!$B$489:$B$522,"Verificar",0)</f>
        <v>0</v>
      </c>
      <c r="E937" s="876">
        <f>_xlfn.XLOOKUP(C937,Códigos!$A$11:$A$415,Códigos!$B$11:$B$415,"Verificar",0)</f>
        <v>0</v>
      </c>
      <c r="F937" s="950">
        <v>0</v>
      </c>
      <c r="G937" s="989">
        <f t="shared" si="32"/>
        <v>634239583</v>
      </c>
      <c r="H937" s="951"/>
      <c r="I937" s="127"/>
      <c r="J937" s="54"/>
    </row>
    <row r="938" spans="1:10" x14ac:dyDescent="0.2">
      <c r="A938" s="947"/>
      <c r="B938" s="960"/>
      <c r="C938" s="948"/>
      <c r="D938" s="876">
        <f>_xlfn.XLOOKUP(B938,Códigos!$A$489:$A$522,Códigos!$B$489:$B$522,"Verificar",0)</f>
        <v>0</v>
      </c>
      <c r="E938" s="876">
        <f>_xlfn.XLOOKUP(C938,Códigos!$A$11:$A$415,Códigos!$B$11:$B$415,"Verificar",0)</f>
        <v>0</v>
      </c>
      <c r="F938" s="950">
        <v>0</v>
      </c>
      <c r="G938" s="989">
        <f t="shared" si="32"/>
        <v>634239583</v>
      </c>
      <c r="H938" s="951"/>
      <c r="I938" s="127"/>
      <c r="J938" s="54"/>
    </row>
    <row r="939" spans="1:10" x14ac:dyDescent="0.2">
      <c r="A939" s="947"/>
      <c r="B939" s="960"/>
      <c r="C939" s="948"/>
      <c r="D939" s="876">
        <f>_xlfn.XLOOKUP(B939,Códigos!$A$489:$A$522,Códigos!$B$489:$B$522,"Verificar",0)</f>
        <v>0</v>
      </c>
      <c r="E939" s="876">
        <f>_xlfn.XLOOKUP(C939,Códigos!$A$11:$A$415,Códigos!$B$11:$B$415,"Verificar",0)</f>
        <v>0</v>
      </c>
      <c r="F939" s="950">
        <v>0</v>
      </c>
      <c r="G939" s="989">
        <f t="shared" si="32"/>
        <v>634239583</v>
      </c>
      <c r="H939" s="951"/>
      <c r="I939" s="127"/>
      <c r="J939" s="54"/>
    </row>
    <row r="940" spans="1:10" x14ac:dyDescent="0.2">
      <c r="A940" s="947"/>
      <c r="B940" s="960"/>
      <c r="C940" s="948"/>
      <c r="D940" s="876">
        <f>_xlfn.XLOOKUP(B940,Códigos!$A$489:$A$522,Códigos!$B$489:$B$522,"Verificar",0)</f>
        <v>0</v>
      </c>
      <c r="E940" s="876">
        <f>_xlfn.XLOOKUP(C940,Códigos!$A$11:$A$415,Códigos!$B$11:$B$415,"Verificar",0)</f>
        <v>0</v>
      </c>
      <c r="F940" s="950">
        <v>0</v>
      </c>
      <c r="G940" s="989">
        <f t="shared" si="32"/>
        <v>634239583</v>
      </c>
      <c r="H940" s="951"/>
      <c r="I940" s="127"/>
      <c r="J940" s="54"/>
    </row>
    <row r="941" spans="1:10" x14ac:dyDescent="0.2">
      <c r="A941" s="947"/>
      <c r="B941" s="960"/>
      <c r="C941" s="948"/>
      <c r="D941" s="876">
        <f>_xlfn.XLOOKUP(B941,Códigos!$A$489:$A$522,Códigos!$B$489:$B$522,"Verificar",0)</f>
        <v>0</v>
      </c>
      <c r="E941" s="876">
        <f>_xlfn.XLOOKUP(C941,Códigos!$A$11:$A$415,Códigos!$B$11:$B$415,"Verificar",0)</f>
        <v>0</v>
      </c>
      <c r="F941" s="950">
        <v>0</v>
      </c>
      <c r="G941" s="989">
        <f t="shared" si="32"/>
        <v>634239583</v>
      </c>
      <c r="H941" s="951"/>
      <c r="I941" s="127"/>
      <c r="J941" s="54"/>
    </row>
    <row r="942" spans="1:10" x14ac:dyDescent="0.2">
      <c r="A942" s="947"/>
      <c r="B942" s="960"/>
      <c r="C942" s="948"/>
      <c r="D942" s="876">
        <f>_xlfn.XLOOKUP(B942,Códigos!$A$489:$A$522,Códigos!$B$489:$B$522,"Verificar",0)</f>
        <v>0</v>
      </c>
      <c r="E942" s="876">
        <f>_xlfn.XLOOKUP(C942,Códigos!$A$11:$A$415,Códigos!$B$11:$B$415,"Verificar",0)</f>
        <v>0</v>
      </c>
      <c r="F942" s="950">
        <v>0</v>
      </c>
      <c r="G942" s="989">
        <f t="shared" si="32"/>
        <v>634239583</v>
      </c>
      <c r="H942" s="951"/>
      <c r="I942" s="127"/>
      <c r="J942" s="54"/>
    </row>
    <row r="943" spans="1:10" x14ac:dyDescent="0.2">
      <c r="A943" s="947"/>
      <c r="B943" s="960"/>
      <c r="C943" s="948"/>
      <c r="D943" s="876">
        <f>_xlfn.XLOOKUP(B943,Códigos!$A$489:$A$522,Códigos!$B$489:$B$522,"Verificar",0)</f>
        <v>0</v>
      </c>
      <c r="E943" s="876">
        <f>_xlfn.XLOOKUP(C943,Códigos!$A$11:$A$415,Códigos!$B$11:$B$415,"Verificar",0)</f>
        <v>0</v>
      </c>
      <c r="F943" s="950">
        <v>0</v>
      </c>
      <c r="G943" s="989">
        <f t="shared" si="32"/>
        <v>634239583</v>
      </c>
      <c r="H943" s="951"/>
      <c r="I943" s="127"/>
      <c r="J943" s="54"/>
    </row>
    <row r="944" spans="1:10" x14ac:dyDescent="0.2">
      <c r="A944" s="947"/>
      <c r="B944" s="960"/>
      <c r="C944" s="948"/>
      <c r="D944" s="876">
        <f>_xlfn.XLOOKUP(B944,Códigos!$A$489:$A$522,Códigos!$B$489:$B$522,"Verificar",0)</f>
        <v>0</v>
      </c>
      <c r="E944" s="876">
        <f>_xlfn.XLOOKUP(C944,Códigos!$A$11:$A$415,Códigos!$B$11:$B$415,"Verificar",0)</f>
        <v>0</v>
      </c>
      <c r="F944" s="950">
        <v>0</v>
      </c>
      <c r="G944" s="989">
        <f t="shared" si="32"/>
        <v>634239583</v>
      </c>
      <c r="H944" s="951"/>
      <c r="I944" s="127"/>
      <c r="J944" s="54"/>
    </row>
    <row r="945" spans="1:10" x14ac:dyDescent="0.2">
      <c r="A945" s="947"/>
      <c r="B945" s="960"/>
      <c r="C945" s="948"/>
      <c r="D945" s="876">
        <f>_xlfn.XLOOKUP(B945,Códigos!$A$489:$A$522,Códigos!$B$489:$B$522,"Verificar",0)</f>
        <v>0</v>
      </c>
      <c r="E945" s="876">
        <f>_xlfn.XLOOKUP(C945,Códigos!$A$11:$A$415,Códigos!$B$11:$B$415,"Verificar",0)</f>
        <v>0</v>
      </c>
      <c r="F945" s="950">
        <v>0</v>
      </c>
      <c r="G945" s="989">
        <f t="shared" si="32"/>
        <v>634239583</v>
      </c>
      <c r="H945" s="951"/>
      <c r="I945" s="127"/>
      <c r="J945" s="54"/>
    </row>
    <row r="946" spans="1:10" x14ac:dyDescent="0.2">
      <c r="A946" s="947"/>
      <c r="B946" s="960"/>
      <c r="C946" s="948"/>
      <c r="D946" s="876">
        <f>_xlfn.XLOOKUP(B946,Códigos!$A$489:$A$522,Códigos!$B$489:$B$522,"Verificar",0)</f>
        <v>0</v>
      </c>
      <c r="E946" s="876">
        <f>_xlfn.XLOOKUP(C946,Códigos!$A$11:$A$415,Códigos!$B$11:$B$415,"Verificar",0)</f>
        <v>0</v>
      </c>
      <c r="F946" s="950">
        <v>0</v>
      </c>
      <c r="G946" s="989">
        <f t="shared" si="32"/>
        <v>634239583</v>
      </c>
      <c r="H946" s="951"/>
      <c r="I946" s="127"/>
      <c r="J946" s="54"/>
    </row>
    <row r="947" spans="1:10" x14ac:dyDescent="0.2">
      <c r="A947" s="947"/>
      <c r="B947" s="960"/>
      <c r="C947" s="948"/>
      <c r="D947" s="876">
        <f>_xlfn.XLOOKUP(B947,Códigos!$A$489:$A$522,Códigos!$B$489:$B$522,"Verificar",0)</f>
        <v>0</v>
      </c>
      <c r="E947" s="876">
        <f>_xlfn.XLOOKUP(C947,Códigos!$A$11:$A$415,Códigos!$B$11:$B$415,"Verificar",0)</f>
        <v>0</v>
      </c>
      <c r="F947" s="950">
        <v>0</v>
      </c>
      <c r="G947" s="989">
        <f t="shared" si="32"/>
        <v>634239583</v>
      </c>
      <c r="H947" s="951"/>
      <c r="I947" s="127"/>
      <c r="J947" s="54"/>
    </row>
    <row r="948" spans="1:10" x14ac:dyDescent="0.2">
      <c r="A948" s="947"/>
      <c r="B948" s="960"/>
      <c r="C948" s="948"/>
      <c r="D948" s="876">
        <f>_xlfn.XLOOKUP(B948,Códigos!$A$489:$A$522,Códigos!$B$489:$B$522,"Verificar",0)</f>
        <v>0</v>
      </c>
      <c r="E948" s="876">
        <f>_xlfn.XLOOKUP(C948,Códigos!$A$11:$A$415,Códigos!$B$11:$B$415,"Verificar",0)</f>
        <v>0</v>
      </c>
      <c r="F948" s="950">
        <v>0</v>
      </c>
      <c r="G948" s="989">
        <f t="shared" si="32"/>
        <v>634239583</v>
      </c>
      <c r="H948" s="951"/>
      <c r="I948" s="127"/>
      <c r="J948" s="54"/>
    </row>
    <row r="949" spans="1:10" x14ac:dyDescent="0.2">
      <c r="A949" s="947"/>
      <c r="B949" s="960"/>
      <c r="C949" s="948"/>
      <c r="D949" s="876">
        <f>_xlfn.XLOOKUP(B949,Códigos!$A$489:$A$522,Códigos!$B$489:$B$522,"Verificar",0)</f>
        <v>0</v>
      </c>
      <c r="E949" s="876">
        <f>_xlfn.XLOOKUP(C949,Códigos!$A$11:$A$415,Códigos!$B$11:$B$415,"Verificar",0)</f>
        <v>0</v>
      </c>
      <c r="F949" s="950">
        <v>0</v>
      </c>
      <c r="G949" s="989">
        <f t="shared" si="32"/>
        <v>634239583</v>
      </c>
      <c r="H949" s="951"/>
      <c r="I949" s="127"/>
      <c r="J949" s="54"/>
    </row>
    <row r="950" spans="1:10" x14ac:dyDescent="0.2">
      <c r="A950" s="947"/>
      <c r="B950" s="960"/>
      <c r="C950" s="948"/>
      <c r="D950" s="876">
        <f>_xlfn.XLOOKUP(B950,Códigos!$A$489:$A$522,Códigos!$B$489:$B$522,"Verificar",0)</f>
        <v>0</v>
      </c>
      <c r="E950" s="876">
        <f>_xlfn.XLOOKUP(C950,Códigos!$A$11:$A$415,Códigos!$B$11:$B$415,"Verificar",0)</f>
        <v>0</v>
      </c>
      <c r="F950" s="950">
        <v>0</v>
      </c>
      <c r="G950" s="989">
        <f t="shared" si="32"/>
        <v>634239583</v>
      </c>
      <c r="H950" s="951"/>
      <c r="I950" s="127"/>
      <c r="J950" s="54"/>
    </row>
    <row r="951" spans="1:10" x14ac:dyDescent="0.2">
      <c r="A951" s="947"/>
      <c r="B951" s="960"/>
      <c r="C951" s="948"/>
      <c r="D951" s="876">
        <f>_xlfn.XLOOKUP(B951,Códigos!$A$489:$A$522,Códigos!$B$489:$B$522,"Verificar",0)</f>
        <v>0</v>
      </c>
      <c r="E951" s="876">
        <f>_xlfn.XLOOKUP(C951,Códigos!$A$11:$A$415,Códigos!$B$11:$B$415,"Verificar",0)</f>
        <v>0</v>
      </c>
      <c r="F951" s="950">
        <v>0</v>
      </c>
      <c r="G951" s="989">
        <f t="shared" si="32"/>
        <v>634239583</v>
      </c>
      <c r="H951" s="951"/>
      <c r="I951" s="127"/>
      <c r="J951" s="54"/>
    </row>
    <row r="952" spans="1:10" x14ac:dyDescent="0.2">
      <c r="A952" s="947"/>
      <c r="B952" s="960"/>
      <c r="C952" s="948"/>
      <c r="D952" s="876">
        <f>_xlfn.XLOOKUP(B952,Códigos!$A$489:$A$522,Códigos!$B$489:$B$522,"Verificar",0)</f>
        <v>0</v>
      </c>
      <c r="E952" s="876">
        <f>_xlfn.XLOOKUP(C952,Códigos!$A$11:$A$415,Códigos!$B$11:$B$415,"Verificar",0)</f>
        <v>0</v>
      </c>
      <c r="F952" s="865">
        <v>0</v>
      </c>
      <c r="G952" s="989">
        <f t="shared" si="32"/>
        <v>634239583</v>
      </c>
      <c r="H952" s="866"/>
      <c r="I952" s="127"/>
      <c r="J952" s="54"/>
    </row>
    <row r="953" spans="1:10" x14ac:dyDescent="0.2">
      <c r="A953" s="279"/>
      <c r="B953" s="957"/>
      <c r="C953" s="870"/>
      <c r="D953" s="257"/>
      <c r="E953" s="257"/>
      <c r="J953" s="54"/>
    </row>
    <row r="954" spans="1:10" x14ac:dyDescent="0.2">
      <c r="A954" s="161"/>
      <c r="B954" s="959"/>
      <c r="C954" s="873"/>
      <c r="D954" s="168"/>
      <c r="E954" s="168"/>
      <c r="F954" s="54"/>
      <c r="G954" s="54"/>
      <c r="H954" s="840"/>
      <c r="I954" s="847"/>
      <c r="J954" s="54"/>
    </row>
    <row r="955" spans="1:10" x14ac:dyDescent="0.2">
      <c r="A955" s="166" t="str">
        <f>+A1</f>
        <v>LIBRO DIARIO OFICINA</v>
      </c>
      <c r="B955" s="957"/>
      <c r="C955" s="870"/>
      <c r="J955" s="54"/>
    </row>
    <row r="956" spans="1:10" s="31" customFormat="1" x14ac:dyDescent="0.2">
      <c r="A956" s="225" t="str">
        <f>+A2</f>
        <v>MOVIMIENTO DE INGRESOS A CAJA DIARIO</v>
      </c>
      <c r="B956" s="957"/>
      <c r="C956" s="874"/>
      <c r="D956" s="194"/>
      <c r="E956" s="194"/>
      <c r="F956" s="53">
        <f>SUM(F6:F953)</f>
        <v>634239583</v>
      </c>
      <c r="G956" s="238">
        <f>+G952</f>
        <v>634239583</v>
      </c>
      <c r="H956" s="842"/>
      <c r="I956" s="842"/>
      <c r="J956" s="300"/>
    </row>
    <row r="957" spans="1:10" x14ac:dyDescent="0.2">
      <c r="A957" s="279"/>
      <c r="B957" s="957"/>
      <c r="C957" s="870"/>
      <c r="J957" s="54"/>
    </row>
    <row r="958" spans="1:10" ht="5.0999999999999996" customHeight="1" x14ac:dyDescent="0.2">
      <c r="A958" s="290"/>
      <c r="B958" s="959"/>
      <c r="C958" s="873"/>
      <c r="D958" s="168"/>
      <c r="E958" s="168"/>
      <c r="F958" s="253"/>
      <c r="G958" s="54"/>
      <c r="H958" s="840"/>
      <c r="I958" s="847"/>
      <c r="J958" s="54"/>
    </row>
    <row r="959" spans="1:10" x14ac:dyDescent="0.2">
      <c r="A959" s="166"/>
      <c r="B959" s="957"/>
      <c r="C959" s="870"/>
      <c r="H959" s="390"/>
      <c r="I959" s="879"/>
      <c r="J959" s="1"/>
    </row>
    <row r="960" spans="1:10" x14ac:dyDescent="0.2">
      <c r="A960" s="166"/>
      <c r="B960" s="957"/>
      <c r="C960" s="870"/>
      <c r="H960" s="390"/>
      <c r="I960" s="879"/>
      <c r="J960" s="1"/>
    </row>
    <row r="961" spans="1:10" x14ac:dyDescent="0.2">
      <c r="A961" s="166"/>
      <c r="B961" s="957"/>
      <c r="C961" s="870"/>
      <c r="H961" s="390"/>
      <c r="I961" s="879"/>
      <c r="J961" s="1"/>
    </row>
    <row r="962" spans="1:10" x14ac:dyDescent="0.2">
      <c r="A962" s="166"/>
      <c r="B962" s="957"/>
      <c r="C962" s="870"/>
      <c r="H962" s="390"/>
      <c r="I962" s="879"/>
      <c r="J962" s="1"/>
    </row>
    <row r="963" spans="1:10" x14ac:dyDescent="0.2">
      <c r="A963" s="166"/>
      <c r="B963" s="957"/>
      <c r="C963" s="870"/>
    </row>
    <row r="964" spans="1:10" x14ac:dyDescent="0.2">
      <c r="A964" s="166"/>
      <c r="B964" s="957"/>
      <c r="C964" s="870"/>
    </row>
    <row r="965" spans="1:10" x14ac:dyDescent="0.2">
      <c r="A965" s="166"/>
      <c r="B965" s="957"/>
      <c r="C965" s="870"/>
    </row>
    <row r="966" spans="1:10" x14ac:dyDescent="0.2">
      <c r="A966" s="166"/>
      <c r="B966" s="957"/>
      <c r="C966" s="870"/>
    </row>
    <row r="967" spans="1:10" x14ac:dyDescent="0.2">
      <c r="A967" s="166"/>
      <c r="B967" s="957"/>
      <c r="C967" s="870"/>
    </row>
    <row r="968" spans="1:10" x14ac:dyDescent="0.2">
      <c r="A968" s="166"/>
      <c r="B968" s="957"/>
      <c r="C968" s="870"/>
    </row>
    <row r="969" spans="1:10" x14ac:dyDescent="0.2">
      <c r="A969" s="166"/>
      <c r="B969" s="957"/>
      <c r="C969" s="870"/>
    </row>
    <row r="970" spans="1:10" x14ac:dyDescent="0.2">
      <c r="A970" s="166"/>
      <c r="B970" s="957"/>
      <c r="C970" s="870"/>
    </row>
    <row r="971" spans="1:10" x14ac:dyDescent="0.2">
      <c r="A971" s="166"/>
      <c r="B971" s="957"/>
      <c r="C971" s="870"/>
    </row>
    <row r="972" spans="1:10" x14ac:dyDescent="0.2">
      <c r="A972" s="166"/>
      <c r="B972" s="957"/>
      <c r="C972" s="870"/>
    </row>
    <row r="973" spans="1:10" x14ac:dyDescent="0.2">
      <c r="A973" s="166"/>
      <c r="B973" s="957"/>
      <c r="C973" s="870"/>
    </row>
    <row r="974" spans="1:10" x14ac:dyDescent="0.2">
      <c r="A974" s="166"/>
      <c r="B974" s="957"/>
      <c r="C974" s="870"/>
    </row>
    <row r="975" spans="1:10" x14ac:dyDescent="0.2">
      <c r="A975" s="166"/>
      <c r="B975" s="957"/>
      <c r="C975" s="870"/>
    </row>
    <row r="976" spans="1:10" x14ac:dyDescent="0.2">
      <c r="A976" s="166"/>
      <c r="B976" s="957"/>
      <c r="C976" s="870"/>
    </row>
    <row r="977" spans="1:3" x14ac:dyDescent="0.2">
      <c r="A977" s="166"/>
      <c r="B977" s="957"/>
      <c r="C977" s="870"/>
    </row>
    <row r="978" spans="1:3" x14ac:dyDescent="0.2">
      <c r="A978" s="166"/>
      <c r="B978" s="957"/>
      <c r="C978" s="870"/>
    </row>
    <row r="979" spans="1:3" x14ac:dyDescent="0.2">
      <c r="A979" s="166"/>
      <c r="B979" s="957"/>
      <c r="C979" s="870"/>
    </row>
    <row r="980" spans="1:3" x14ac:dyDescent="0.2">
      <c r="A980" s="166"/>
      <c r="B980" s="957"/>
      <c r="C980" s="870"/>
    </row>
    <row r="981" spans="1:3" x14ac:dyDescent="0.2">
      <c r="A981" s="166"/>
      <c r="B981" s="957"/>
      <c r="C981" s="870"/>
    </row>
    <row r="982" spans="1:3" x14ac:dyDescent="0.2">
      <c r="A982" s="166"/>
      <c r="B982" s="957"/>
      <c r="C982" s="870"/>
    </row>
    <row r="983" spans="1:3" x14ac:dyDescent="0.2">
      <c r="A983" s="166"/>
      <c r="B983" s="957"/>
      <c r="C983" s="870"/>
    </row>
    <row r="984" spans="1:3" x14ac:dyDescent="0.2">
      <c r="A984" s="166"/>
      <c r="B984" s="957"/>
      <c r="C984" s="870"/>
    </row>
    <row r="985" spans="1:3" x14ac:dyDescent="0.2">
      <c r="A985" s="166"/>
      <c r="B985" s="957"/>
      <c r="C985" s="870"/>
    </row>
    <row r="986" spans="1:3" x14ac:dyDescent="0.2">
      <c r="A986" s="166"/>
      <c r="B986" s="957"/>
      <c r="C986" s="870"/>
    </row>
    <row r="987" spans="1:3" x14ac:dyDescent="0.2">
      <c r="A987" s="166"/>
      <c r="B987" s="957"/>
      <c r="C987" s="870"/>
    </row>
    <row r="988" spans="1:3" x14ac:dyDescent="0.2">
      <c r="A988" s="166"/>
      <c r="B988" s="957"/>
      <c r="C988" s="870"/>
    </row>
    <row r="989" spans="1:3" x14ac:dyDescent="0.2">
      <c r="A989" s="166"/>
      <c r="B989" s="957"/>
      <c r="C989" s="870"/>
    </row>
    <row r="990" spans="1:3" x14ac:dyDescent="0.2">
      <c r="A990" s="166"/>
      <c r="B990" s="957"/>
      <c r="C990" s="870"/>
    </row>
    <row r="991" spans="1:3" x14ac:dyDescent="0.2">
      <c r="A991" s="166"/>
      <c r="B991" s="957"/>
      <c r="C991" s="870"/>
    </row>
    <row r="992" spans="1:3" x14ac:dyDescent="0.2">
      <c r="A992" s="166"/>
      <c r="B992" s="957"/>
      <c r="C992" s="870"/>
    </row>
    <row r="993" spans="1:3" x14ac:dyDescent="0.2">
      <c r="A993" s="166"/>
      <c r="B993" s="957"/>
      <c r="C993" s="870"/>
    </row>
    <row r="994" spans="1:3" x14ac:dyDescent="0.2">
      <c r="A994" s="166"/>
      <c r="B994" s="957"/>
      <c r="C994" s="870"/>
    </row>
    <row r="995" spans="1:3" x14ac:dyDescent="0.2">
      <c r="A995" s="166"/>
      <c r="B995" s="957"/>
      <c r="C995" s="870"/>
    </row>
    <row r="996" spans="1:3" x14ac:dyDescent="0.2">
      <c r="A996" s="166"/>
      <c r="B996" s="957"/>
      <c r="C996" s="870"/>
    </row>
    <row r="997" spans="1:3" x14ac:dyDescent="0.2">
      <c r="A997" s="166"/>
      <c r="B997" s="957"/>
      <c r="C997" s="870"/>
    </row>
    <row r="998" spans="1:3" x14ac:dyDescent="0.2">
      <c r="A998" s="166"/>
      <c r="B998" s="957"/>
      <c r="C998" s="870"/>
    </row>
    <row r="999" spans="1:3" x14ac:dyDescent="0.2">
      <c r="A999" s="166"/>
      <c r="B999" s="957"/>
      <c r="C999" s="870"/>
    </row>
    <row r="1000" spans="1:3" x14ac:dyDescent="0.2">
      <c r="A1000" s="166"/>
      <c r="B1000" s="957"/>
      <c r="C1000" s="870"/>
    </row>
    <row r="1001" spans="1:3" x14ac:dyDescent="0.2">
      <c r="A1001" s="166"/>
      <c r="B1001" s="957"/>
      <c r="C1001" s="870"/>
    </row>
    <row r="1002" spans="1:3" x14ac:dyDescent="0.2">
      <c r="A1002" s="166"/>
      <c r="B1002" s="957"/>
      <c r="C1002" s="870"/>
    </row>
    <row r="1003" spans="1:3" x14ac:dyDescent="0.2">
      <c r="A1003" s="166"/>
      <c r="B1003" s="957"/>
      <c r="C1003" s="870"/>
    </row>
    <row r="1004" spans="1:3" x14ac:dyDescent="0.2">
      <c r="A1004" s="166"/>
      <c r="B1004" s="957"/>
      <c r="C1004" s="870"/>
    </row>
    <row r="1005" spans="1:3" x14ac:dyDescent="0.2">
      <c r="A1005" s="166"/>
      <c r="B1005" s="957"/>
      <c r="C1005" s="870"/>
    </row>
    <row r="1006" spans="1:3" x14ac:dyDescent="0.2">
      <c r="A1006" s="166"/>
      <c r="B1006" s="957"/>
      <c r="C1006" s="870"/>
    </row>
    <row r="1007" spans="1:3" x14ac:dyDescent="0.2">
      <c r="A1007" s="166"/>
      <c r="B1007" s="957"/>
      <c r="C1007" s="870"/>
    </row>
    <row r="1008" spans="1:3" x14ac:dyDescent="0.2">
      <c r="A1008" s="166"/>
      <c r="B1008" s="957"/>
      <c r="C1008" s="870"/>
    </row>
    <row r="1009" spans="1:3" x14ac:dyDescent="0.2">
      <c r="A1009" s="166"/>
      <c r="B1009" s="957"/>
      <c r="C1009" s="870"/>
    </row>
    <row r="1010" spans="1:3" x14ac:dyDescent="0.2">
      <c r="A1010" s="166"/>
      <c r="B1010" s="957"/>
      <c r="C1010" s="870"/>
    </row>
    <row r="1011" spans="1:3" x14ac:dyDescent="0.2">
      <c r="A1011" s="166"/>
      <c r="B1011" s="957"/>
      <c r="C1011" s="870"/>
    </row>
  </sheetData>
  <autoFilter ref="A10:I952" xr:uid="{AC7751E1-9C42-496E-B0AD-1D37624DAA80}"/>
  <sortState xmlns:xlrd2="http://schemas.microsoft.com/office/spreadsheetml/2017/richdata2" ref="A563:H565">
    <sortCondition ref="A563:A565"/>
  </sortState>
  <printOptions horizontalCentered="1"/>
  <pageMargins left="0.15748031496062992" right="0.27559055118110237" top="0.39370078740157483" bottom="0.59055118110236227" header="0" footer="0"/>
  <pageSetup scale="1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D2270"/>
  <sheetViews>
    <sheetView showGridLines="0" showOutlineSymbols="0" defaultGridColor="0" colorId="8" zoomScale="90" zoomScaleNormal="90" workbookViewId="0">
      <pane ySplit="10" topLeftCell="A504" activePane="bottomLeft" state="frozen"/>
      <selection pane="bottomLeft" activeCell="E238" sqref="E238:G251"/>
    </sheetView>
  </sheetViews>
  <sheetFormatPr baseColWidth="10" defaultColWidth="9.6640625" defaultRowHeight="12.75" x14ac:dyDescent="0.2"/>
  <cols>
    <col min="1" max="1" width="12.77734375" style="174" customWidth="1"/>
    <col min="2" max="2" width="7.6640625" style="252" customWidth="1"/>
    <col min="3" max="3" width="8.77734375" style="128" customWidth="1"/>
    <col min="4" max="5" width="40.77734375" style="251" customWidth="1"/>
    <col min="6" max="6" width="10.109375" style="1281" customWidth="1"/>
    <col min="7" max="7" width="14.77734375" style="51" bestFit="1" customWidth="1"/>
    <col min="8" max="8" width="13" style="51" bestFit="1" customWidth="1"/>
    <col min="9" max="9" width="52" style="1" customWidth="1"/>
    <col min="10" max="10" width="30.77734375" style="848" customWidth="1"/>
    <col min="11" max="11" width="1.6640625" style="1" customWidth="1"/>
    <col min="12" max="12" width="27.109375" style="51" customWidth="1"/>
    <col min="13" max="212" width="9.6640625" style="1" customWidth="1"/>
    <col min="213" max="16384" width="9.6640625" style="1"/>
  </cols>
  <sheetData>
    <row r="1" spans="1:212" ht="24.95" customHeight="1" x14ac:dyDescent="0.2">
      <c r="A1" s="225" t="str">
        <f>+Códigos!$A$1</f>
        <v>LIBRO DIARIO OFICINA</v>
      </c>
      <c r="B1" s="333"/>
      <c r="C1" s="277"/>
      <c r="D1" s="256"/>
      <c r="E1" s="843"/>
      <c r="G1" s="442" t="s">
        <v>691</v>
      </c>
      <c r="H1" s="880" t="s">
        <v>184</v>
      </c>
      <c r="I1" s="882" t="s">
        <v>550</v>
      </c>
      <c r="J1" s="836"/>
      <c r="K1" s="19"/>
      <c r="L1" s="1"/>
    </row>
    <row r="2" spans="1:212" ht="15" customHeight="1" thickBot="1" x14ac:dyDescent="0.25">
      <c r="A2" s="773" t="s">
        <v>388</v>
      </c>
      <c r="B2" s="333"/>
      <c r="C2" s="277"/>
      <c r="D2" s="256"/>
      <c r="E2" s="844"/>
      <c r="F2" s="1282"/>
      <c r="G2" s="171">
        <f>+G2253</f>
        <v>633732083</v>
      </c>
      <c r="H2" s="881">
        <f>+H2253</f>
        <v>633732083</v>
      </c>
      <c r="I2" s="886">
        <f>+G2-H2</f>
        <v>0</v>
      </c>
      <c r="J2" s="771"/>
      <c r="K2" s="19"/>
      <c r="L2" s="1"/>
    </row>
    <row r="3" spans="1:212" ht="15" customHeight="1" thickBot="1" x14ac:dyDescent="0.25">
      <c r="A3" s="66" t="str">
        <f>+Códigos!$A$3</f>
        <v>AÑO:</v>
      </c>
      <c r="B3" s="258">
        <v>2025</v>
      </c>
      <c r="C3" s="277"/>
      <c r="D3" s="256"/>
      <c r="G3" s="97"/>
      <c r="H3" s="97"/>
      <c r="I3" s="945"/>
      <c r="J3" s="771"/>
      <c r="K3" s="19"/>
      <c r="L3" s="1"/>
    </row>
    <row r="4" spans="1:212" ht="15.75" thickBot="1" x14ac:dyDescent="0.25">
      <c r="A4" s="172" t="s">
        <v>1</v>
      </c>
      <c r="B4" s="100"/>
      <c r="C4" s="164"/>
      <c r="D4" s="254">
        <f>+'INGRESOS A CAJA'!D4</f>
        <v>45658</v>
      </c>
      <c r="E4" s="844"/>
      <c r="F4" s="1282"/>
      <c r="G4" s="97"/>
      <c r="H4" s="97"/>
      <c r="I4" s="885" t="str">
        <f>IF(I2=0,"OK Saldos","ERROR EN LAS OPERACIONES Verificar formulas")</f>
        <v>OK Saldos</v>
      </c>
      <c r="J4" s="845"/>
      <c r="K4" s="19"/>
      <c r="L4" s="1"/>
    </row>
    <row r="5" spans="1:212" x14ac:dyDescent="0.2">
      <c r="A5" s="172" t="s">
        <v>2</v>
      </c>
      <c r="B5" s="100"/>
      <c r="C5" s="164"/>
      <c r="D5" s="254">
        <f>+'INGRESOS A CAJA'!D5</f>
        <v>46022</v>
      </c>
      <c r="E5" s="851"/>
      <c r="F5" s="1282"/>
      <c r="G5" s="97"/>
      <c r="H5" s="97"/>
      <c r="I5" s="174"/>
      <c r="J5" s="845"/>
      <c r="K5" s="19"/>
    </row>
    <row r="6" spans="1:212" s="24" customFormat="1" ht="17.25" customHeight="1" x14ac:dyDescent="0.2">
      <c r="A6" s="7"/>
      <c r="B6" s="961"/>
      <c r="C6" s="295"/>
      <c r="D6" s="167"/>
      <c r="E6" s="70"/>
      <c r="F6" s="1283"/>
      <c r="G6" s="48"/>
      <c r="H6" s="48"/>
      <c r="I6" s="262"/>
      <c r="J6" s="463"/>
      <c r="K6" s="263"/>
      <c r="L6" s="48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2"/>
      <c r="BF6" s="262"/>
      <c r="BG6" s="262"/>
      <c r="BH6" s="262"/>
      <c r="BI6" s="262"/>
      <c r="BJ6" s="262"/>
      <c r="BK6" s="262"/>
      <c r="BL6" s="262"/>
      <c r="BM6" s="262"/>
      <c r="BN6" s="262"/>
      <c r="BO6" s="262"/>
      <c r="BP6" s="262"/>
      <c r="BQ6" s="262"/>
      <c r="BR6" s="262"/>
      <c r="BS6" s="262"/>
      <c r="BT6" s="262"/>
      <c r="BU6" s="262"/>
      <c r="BV6" s="262"/>
      <c r="BW6" s="262"/>
      <c r="BX6" s="262"/>
      <c r="BY6" s="262"/>
      <c r="BZ6" s="262"/>
      <c r="CA6" s="262"/>
      <c r="CB6" s="262"/>
      <c r="CC6" s="262"/>
      <c r="CD6" s="262"/>
      <c r="CE6" s="262"/>
      <c r="CF6" s="262"/>
      <c r="CG6" s="262"/>
      <c r="CH6" s="262"/>
      <c r="CI6" s="262"/>
      <c r="CJ6" s="262"/>
      <c r="CK6" s="262"/>
      <c r="CL6" s="262"/>
      <c r="CM6" s="262"/>
      <c r="CN6" s="262"/>
      <c r="CO6" s="262"/>
      <c r="CP6" s="262"/>
      <c r="CQ6" s="262"/>
      <c r="CR6" s="262"/>
      <c r="CS6" s="262"/>
      <c r="CT6" s="262"/>
      <c r="CU6" s="262"/>
      <c r="CV6" s="262"/>
      <c r="CW6" s="262"/>
      <c r="CX6" s="262"/>
      <c r="CY6" s="262"/>
      <c r="CZ6" s="262"/>
      <c r="DA6" s="262"/>
      <c r="DB6" s="262"/>
      <c r="DC6" s="262"/>
      <c r="DD6" s="262"/>
      <c r="DE6" s="262"/>
      <c r="DF6" s="262"/>
      <c r="DG6" s="262"/>
      <c r="DH6" s="262"/>
      <c r="DI6" s="262"/>
      <c r="DJ6" s="262"/>
      <c r="DK6" s="262"/>
      <c r="DL6" s="262"/>
      <c r="DM6" s="262"/>
      <c r="DN6" s="262"/>
      <c r="DO6" s="262"/>
      <c r="DP6" s="262"/>
      <c r="DQ6" s="262"/>
      <c r="DR6" s="262"/>
      <c r="DS6" s="262"/>
      <c r="DT6" s="262"/>
      <c r="DU6" s="262"/>
      <c r="DV6" s="262"/>
      <c r="DW6" s="262"/>
      <c r="DX6" s="262"/>
      <c r="DY6" s="262"/>
      <c r="DZ6" s="262"/>
      <c r="EA6" s="262"/>
      <c r="EB6" s="262"/>
      <c r="EC6" s="262"/>
      <c r="ED6" s="262"/>
      <c r="EE6" s="262"/>
      <c r="EF6" s="262"/>
      <c r="EG6" s="262"/>
      <c r="EH6" s="262"/>
      <c r="EI6" s="262"/>
      <c r="EJ6" s="262"/>
      <c r="EK6" s="262"/>
      <c r="EL6" s="262"/>
      <c r="EM6" s="262"/>
      <c r="EN6" s="262"/>
      <c r="EO6" s="262"/>
      <c r="EP6" s="262"/>
      <c r="EQ6" s="262"/>
      <c r="ER6" s="262"/>
      <c r="ES6" s="262"/>
      <c r="ET6" s="262"/>
      <c r="EU6" s="262"/>
      <c r="EV6" s="262"/>
      <c r="EW6" s="262"/>
      <c r="EX6" s="262"/>
      <c r="EY6" s="262"/>
      <c r="EZ6" s="262"/>
      <c r="FA6" s="262"/>
      <c r="FB6" s="262"/>
      <c r="FC6" s="262"/>
      <c r="FD6" s="262"/>
      <c r="FE6" s="262"/>
      <c r="FF6" s="262"/>
      <c r="FG6" s="262"/>
      <c r="FH6" s="262"/>
      <c r="FI6" s="262"/>
      <c r="FJ6" s="262"/>
      <c r="FK6" s="262"/>
      <c r="FL6" s="262"/>
      <c r="FM6" s="262"/>
      <c r="FN6" s="262"/>
      <c r="FO6" s="262"/>
      <c r="FP6" s="262"/>
      <c r="FQ6" s="262"/>
      <c r="FR6" s="262"/>
      <c r="FS6" s="262"/>
      <c r="FT6" s="262"/>
      <c r="FU6" s="262"/>
      <c r="FV6" s="262"/>
      <c r="FW6" s="262"/>
      <c r="FX6" s="262"/>
      <c r="FY6" s="262"/>
      <c r="FZ6" s="262"/>
      <c r="GA6" s="262"/>
      <c r="GB6" s="262"/>
      <c r="GC6" s="262"/>
      <c r="GD6" s="262"/>
      <c r="GE6" s="262"/>
      <c r="GF6" s="262"/>
      <c r="GG6" s="262"/>
      <c r="GH6" s="262"/>
      <c r="GI6" s="262"/>
      <c r="GJ6" s="262"/>
      <c r="GK6" s="262"/>
      <c r="GL6" s="262"/>
      <c r="GM6" s="262"/>
      <c r="GN6" s="262"/>
      <c r="GO6" s="262"/>
      <c r="GP6" s="262"/>
      <c r="GQ6" s="262"/>
      <c r="GR6" s="262"/>
      <c r="GS6" s="262"/>
      <c r="GT6" s="262"/>
      <c r="GU6" s="262"/>
      <c r="GV6" s="262"/>
      <c r="GW6" s="262"/>
      <c r="GX6" s="262"/>
      <c r="GY6" s="262"/>
      <c r="GZ6" s="262"/>
      <c r="HA6" s="262"/>
      <c r="HB6" s="262"/>
      <c r="HC6" s="262"/>
      <c r="HD6" s="262"/>
    </row>
    <row r="7" spans="1:212" s="269" customFormat="1" ht="31.5" x14ac:dyDescent="0.2">
      <c r="A7" s="280" t="s">
        <v>3</v>
      </c>
      <c r="B7" s="246" t="s">
        <v>366</v>
      </c>
      <c r="C7" s="271" t="s">
        <v>377</v>
      </c>
      <c r="D7" s="270" t="s">
        <v>378</v>
      </c>
      <c r="E7" s="271" t="s">
        <v>579</v>
      </c>
      <c r="F7" s="1284" t="s">
        <v>1102</v>
      </c>
      <c r="G7" s="271" t="s">
        <v>25</v>
      </c>
      <c r="H7" s="271" t="s">
        <v>184</v>
      </c>
      <c r="I7" s="348" t="s">
        <v>26</v>
      </c>
      <c r="J7" s="846" t="s">
        <v>732</v>
      </c>
      <c r="K7" s="267"/>
      <c r="L7" s="463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8"/>
      <c r="BJ7" s="268"/>
      <c r="BK7" s="268"/>
      <c r="BL7" s="268"/>
      <c r="BM7" s="268"/>
      <c r="BN7" s="268"/>
      <c r="BO7" s="268"/>
      <c r="BP7" s="268"/>
      <c r="BQ7" s="268"/>
      <c r="BR7" s="268"/>
      <c r="BS7" s="268"/>
      <c r="BT7" s="268"/>
      <c r="BU7" s="268"/>
      <c r="BV7" s="268"/>
      <c r="BW7" s="268"/>
      <c r="BX7" s="268"/>
      <c r="BY7" s="268"/>
      <c r="BZ7" s="268"/>
      <c r="CA7" s="268"/>
      <c r="CB7" s="268"/>
      <c r="CC7" s="268"/>
      <c r="CD7" s="268"/>
      <c r="CE7" s="268"/>
      <c r="CF7" s="268"/>
      <c r="CG7" s="268"/>
      <c r="CH7" s="268"/>
      <c r="CI7" s="268"/>
      <c r="CJ7" s="268"/>
      <c r="CK7" s="268"/>
      <c r="CL7" s="268"/>
      <c r="CM7" s="268"/>
      <c r="CN7" s="268"/>
      <c r="CO7" s="268"/>
      <c r="CP7" s="268"/>
      <c r="CQ7" s="268"/>
      <c r="CR7" s="268"/>
      <c r="CS7" s="268"/>
      <c r="CT7" s="268"/>
      <c r="CU7" s="268"/>
      <c r="CV7" s="268"/>
      <c r="CW7" s="268"/>
      <c r="CX7" s="268"/>
      <c r="CY7" s="268"/>
      <c r="CZ7" s="268"/>
      <c r="DA7" s="268"/>
      <c r="DB7" s="268"/>
      <c r="DC7" s="268"/>
      <c r="DD7" s="268"/>
      <c r="DE7" s="268"/>
      <c r="DF7" s="268"/>
      <c r="DG7" s="268"/>
      <c r="DH7" s="268"/>
      <c r="DI7" s="268"/>
      <c r="DJ7" s="268"/>
      <c r="DK7" s="268"/>
      <c r="DL7" s="268"/>
      <c r="DM7" s="268"/>
      <c r="DN7" s="268"/>
      <c r="DO7" s="268"/>
      <c r="DP7" s="268"/>
      <c r="DQ7" s="268"/>
      <c r="DR7" s="268"/>
      <c r="DS7" s="268"/>
      <c r="DT7" s="268"/>
      <c r="DU7" s="268"/>
      <c r="DV7" s="268"/>
      <c r="DW7" s="268"/>
      <c r="DX7" s="268"/>
      <c r="DY7" s="268"/>
      <c r="DZ7" s="268"/>
      <c r="EA7" s="268"/>
      <c r="EB7" s="268"/>
      <c r="EC7" s="268"/>
      <c r="ED7" s="268"/>
      <c r="EE7" s="268"/>
      <c r="EF7" s="268"/>
      <c r="EG7" s="268"/>
      <c r="EH7" s="268"/>
      <c r="EI7" s="268"/>
      <c r="EJ7" s="268"/>
      <c r="EK7" s="268"/>
      <c r="EL7" s="268"/>
      <c r="EM7" s="268"/>
      <c r="EN7" s="268"/>
      <c r="EO7" s="268"/>
      <c r="EP7" s="268"/>
      <c r="EQ7" s="268"/>
      <c r="ER7" s="268"/>
      <c r="ES7" s="268"/>
      <c r="ET7" s="268"/>
      <c r="EU7" s="268"/>
      <c r="EV7" s="268"/>
      <c r="EW7" s="268"/>
      <c r="EX7" s="268"/>
      <c r="EY7" s="268"/>
      <c r="EZ7" s="268"/>
      <c r="FA7" s="268"/>
      <c r="FB7" s="268"/>
      <c r="FC7" s="268"/>
      <c r="FD7" s="268"/>
      <c r="FE7" s="268"/>
      <c r="FF7" s="268"/>
      <c r="FG7" s="268"/>
      <c r="FH7" s="268"/>
      <c r="FI7" s="268"/>
      <c r="FJ7" s="268"/>
      <c r="FK7" s="268"/>
      <c r="FL7" s="268"/>
      <c r="FM7" s="268"/>
      <c r="FN7" s="268"/>
      <c r="FO7" s="268"/>
      <c r="FP7" s="268"/>
      <c r="FQ7" s="268"/>
      <c r="FR7" s="268"/>
      <c r="FS7" s="268"/>
      <c r="FT7" s="268"/>
      <c r="FU7" s="268"/>
      <c r="FV7" s="268"/>
      <c r="FW7" s="268"/>
      <c r="FX7" s="268"/>
      <c r="FY7" s="268"/>
      <c r="FZ7" s="268"/>
      <c r="GA7" s="268"/>
      <c r="GB7" s="268"/>
      <c r="GC7" s="268"/>
      <c r="GD7" s="268"/>
      <c r="GE7" s="268"/>
      <c r="GF7" s="268"/>
      <c r="GG7" s="268"/>
      <c r="GH7" s="268"/>
      <c r="GI7" s="268"/>
      <c r="GJ7" s="268"/>
      <c r="GK7" s="268"/>
      <c r="GL7" s="268"/>
      <c r="GM7" s="268"/>
      <c r="GN7" s="268"/>
      <c r="GO7" s="268"/>
      <c r="GP7" s="268"/>
      <c r="GQ7" s="268"/>
      <c r="GR7" s="268"/>
      <c r="GS7" s="268"/>
      <c r="GT7" s="268"/>
      <c r="GU7" s="268"/>
      <c r="GV7" s="268"/>
      <c r="GW7" s="268"/>
      <c r="GX7" s="268"/>
      <c r="GY7" s="268"/>
      <c r="GZ7" s="268"/>
      <c r="HA7" s="268"/>
      <c r="HB7" s="268"/>
      <c r="HC7" s="268"/>
      <c r="HD7" s="268"/>
    </row>
    <row r="8" spans="1:212" s="24" customFormat="1" x14ac:dyDescent="0.2">
      <c r="A8" s="7"/>
      <c r="B8" s="961"/>
      <c r="C8" s="295"/>
      <c r="D8" s="167"/>
      <c r="E8" s="100"/>
      <c r="F8" s="1283"/>
      <c r="G8" s="48"/>
      <c r="H8" s="48"/>
      <c r="I8" s="262"/>
      <c r="J8" s="463"/>
      <c r="K8" s="263"/>
      <c r="L8" s="206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2"/>
      <c r="BD8" s="262"/>
      <c r="BE8" s="262"/>
      <c r="BF8" s="262"/>
      <c r="BG8" s="262"/>
      <c r="BH8" s="262"/>
      <c r="BI8" s="262"/>
      <c r="BJ8" s="262"/>
      <c r="BK8" s="262"/>
      <c r="BL8" s="262"/>
      <c r="BM8" s="262"/>
      <c r="BN8" s="262"/>
      <c r="BO8" s="262"/>
      <c r="BP8" s="262"/>
      <c r="BQ8" s="262"/>
      <c r="BR8" s="262"/>
      <c r="BS8" s="262"/>
      <c r="BT8" s="262"/>
      <c r="BU8" s="262"/>
      <c r="BV8" s="262"/>
      <c r="BW8" s="262"/>
      <c r="BX8" s="262"/>
      <c r="BY8" s="262"/>
      <c r="BZ8" s="262"/>
      <c r="CA8" s="262"/>
      <c r="CB8" s="262"/>
      <c r="CC8" s="262"/>
      <c r="CD8" s="262"/>
      <c r="CE8" s="262"/>
      <c r="CF8" s="262"/>
      <c r="CG8" s="262"/>
      <c r="CH8" s="262"/>
      <c r="CI8" s="262"/>
      <c r="CJ8" s="262"/>
      <c r="CK8" s="26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262"/>
      <c r="CZ8" s="262"/>
      <c r="DA8" s="262"/>
      <c r="DB8" s="262"/>
      <c r="DC8" s="262"/>
      <c r="DD8" s="262"/>
      <c r="DE8" s="262"/>
      <c r="DF8" s="262"/>
      <c r="DG8" s="262"/>
      <c r="DH8" s="262"/>
      <c r="DI8" s="262"/>
      <c r="DJ8" s="262"/>
      <c r="DK8" s="262"/>
      <c r="DL8" s="262"/>
      <c r="DM8" s="262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262"/>
      <c r="DZ8" s="262"/>
      <c r="EA8" s="262"/>
      <c r="EB8" s="262"/>
      <c r="EC8" s="262"/>
      <c r="ED8" s="262"/>
      <c r="EE8" s="262"/>
      <c r="EF8" s="262"/>
      <c r="EG8" s="262"/>
      <c r="EH8" s="262"/>
      <c r="EI8" s="262"/>
      <c r="EJ8" s="262"/>
      <c r="EK8" s="262"/>
      <c r="EL8" s="262"/>
      <c r="EM8" s="262"/>
      <c r="EN8" s="262"/>
      <c r="EO8" s="262"/>
      <c r="EP8" s="262"/>
      <c r="EQ8" s="262"/>
      <c r="ER8" s="262"/>
      <c r="ES8" s="262"/>
      <c r="ET8" s="262"/>
      <c r="EU8" s="262"/>
      <c r="EV8" s="262"/>
      <c r="EW8" s="262"/>
      <c r="EX8" s="262"/>
      <c r="EY8" s="262"/>
      <c r="EZ8" s="262"/>
      <c r="FA8" s="262"/>
      <c r="FB8" s="262"/>
      <c r="FC8" s="262"/>
      <c r="FD8" s="262"/>
      <c r="FE8" s="262"/>
      <c r="FF8" s="262"/>
      <c r="FG8" s="262"/>
      <c r="FH8" s="262"/>
      <c r="FI8" s="262"/>
      <c r="FJ8" s="262"/>
      <c r="FK8" s="262"/>
      <c r="FL8" s="262"/>
      <c r="FM8" s="262"/>
      <c r="FN8" s="262"/>
      <c r="FO8" s="262"/>
      <c r="FP8" s="262"/>
      <c r="FQ8" s="262"/>
      <c r="FR8" s="262"/>
      <c r="FS8" s="262"/>
      <c r="FT8" s="262"/>
      <c r="FU8" s="262"/>
      <c r="FV8" s="262"/>
      <c r="FW8" s="262"/>
      <c r="FX8" s="262"/>
      <c r="FY8" s="262"/>
      <c r="FZ8" s="262"/>
      <c r="GA8" s="262"/>
      <c r="GB8" s="262"/>
      <c r="GC8" s="262"/>
      <c r="GD8" s="262"/>
      <c r="GE8" s="262"/>
      <c r="GF8" s="262"/>
      <c r="GG8" s="262"/>
      <c r="GH8" s="262"/>
      <c r="GI8" s="262"/>
      <c r="GJ8" s="262"/>
      <c r="GK8" s="262"/>
      <c r="GL8" s="262"/>
      <c r="GM8" s="262"/>
      <c r="GN8" s="262"/>
      <c r="GO8" s="262"/>
      <c r="GP8" s="262"/>
      <c r="GQ8" s="262"/>
      <c r="GR8" s="262"/>
      <c r="GS8" s="262"/>
      <c r="GT8" s="262"/>
      <c r="GU8" s="262"/>
      <c r="GV8" s="262"/>
      <c r="GW8" s="262"/>
      <c r="GX8" s="262"/>
      <c r="GY8" s="262"/>
      <c r="GZ8" s="262"/>
      <c r="HA8" s="262"/>
      <c r="HB8" s="262"/>
      <c r="HC8" s="262"/>
      <c r="HD8" s="262"/>
    </row>
    <row r="9" spans="1:212" ht="5.0999999999999996" customHeight="1" x14ac:dyDescent="0.2">
      <c r="A9" s="9"/>
      <c r="B9" s="336"/>
      <c r="C9" s="283"/>
      <c r="D9" s="168"/>
      <c r="E9" s="168"/>
      <c r="F9" s="1285"/>
      <c r="G9" s="54"/>
      <c r="H9" s="54"/>
      <c r="I9" s="3"/>
      <c r="J9" s="847"/>
      <c r="K9" s="19"/>
    </row>
    <row r="10" spans="1:212" x14ac:dyDescent="0.2">
      <c r="A10" s="12"/>
      <c r="B10" s="100"/>
      <c r="C10" s="164"/>
      <c r="D10" s="169"/>
      <c r="E10" s="169"/>
      <c r="F10" s="957"/>
      <c r="K10" s="19"/>
    </row>
    <row r="11" spans="1:212" x14ac:dyDescent="0.2">
      <c r="C11" s="165"/>
      <c r="K11" s="19"/>
    </row>
    <row r="12" spans="1:212" x14ac:dyDescent="0.2">
      <c r="A12" s="1234">
        <v>45659</v>
      </c>
      <c r="B12" s="1241">
        <v>37</v>
      </c>
      <c r="C12" s="1187">
        <v>359</v>
      </c>
      <c r="D12" s="443" t="str">
        <f>_xlfn.XLOOKUP(B12,Códigos!$A$421:$A$483,Códigos!$B$421:$B$483,"Verificar",0)</f>
        <v>Gastos Barbosa</v>
      </c>
      <c r="E12" s="444" t="str">
        <f>_xlfn.XLOOKUP(C12,Códigos!$A$11:$A$415,Códigos!$B$11:$B$415,"Verificar",0)</f>
        <v>NOMBRE 232</v>
      </c>
      <c r="F12" s="1288" t="s">
        <v>1103</v>
      </c>
      <c r="G12" s="1239">
        <v>50000</v>
      </c>
      <c r="H12" s="1239">
        <f>+H11+G12</f>
        <v>50000</v>
      </c>
      <c r="I12" s="1049" t="s">
        <v>1036</v>
      </c>
      <c r="K12" s="19"/>
    </row>
    <row r="13" spans="1:212" x14ac:dyDescent="0.2">
      <c r="A13" s="1234">
        <v>45660</v>
      </c>
      <c r="B13" s="1241">
        <v>22</v>
      </c>
      <c r="C13" s="1187">
        <v>359</v>
      </c>
      <c r="D13" s="443" t="str">
        <f>_xlfn.XLOOKUP(B13,Códigos!$A$421:$A$483,Códigos!$B$421:$B$483,"Verificar",0)</f>
        <v>Compra de: -Equipos, dotaciones y repuestos para oficina</v>
      </c>
      <c r="E13" s="444" t="str">
        <f>_xlfn.XLOOKUP(C13,Códigos!$A$11:$A$415,Códigos!$B$11:$B$415,"Verificar",0)</f>
        <v>NOMBRE 232</v>
      </c>
      <c r="F13" s="1288" t="s">
        <v>407</v>
      </c>
      <c r="G13" s="1239">
        <v>500000</v>
      </c>
      <c r="H13" s="989">
        <f t="shared" ref="H13:H76" si="0">+H12+G13</f>
        <v>550000</v>
      </c>
      <c r="I13" s="1049" t="s">
        <v>1037</v>
      </c>
      <c r="K13" s="19"/>
    </row>
    <row r="14" spans="1:212" x14ac:dyDescent="0.2">
      <c r="A14" s="1234">
        <v>45660</v>
      </c>
      <c r="B14" s="1241">
        <v>33</v>
      </c>
      <c r="C14" s="1187">
        <v>3</v>
      </c>
      <c r="D14" s="443" t="str">
        <f>_xlfn.XLOOKUP(B14,Códigos!$A$421:$A$483,Códigos!$B$421:$B$483,"Verificar",0)</f>
        <v>AJUSTE POR -Consignación - Traslado a Bancos</v>
      </c>
      <c r="E14" s="444" t="str">
        <f>_xlfn.XLOOKUP(C14,Códigos!$A$11:$A$415,Códigos!$B$11:$B$415,"Verificar",0)</f>
        <v>NOMBRE 24</v>
      </c>
      <c r="F14" s="1288"/>
      <c r="G14" s="1239">
        <v>1800000</v>
      </c>
      <c r="H14" s="989">
        <f t="shared" si="0"/>
        <v>2350000</v>
      </c>
      <c r="I14" s="1049" t="s">
        <v>1139</v>
      </c>
      <c r="K14" s="19"/>
    </row>
    <row r="15" spans="1:212" x14ac:dyDescent="0.2">
      <c r="A15" s="1234">
        <v>45666</v>
      </c>
      <c r="B15" s="1000">
        <v>12</v>
      </c>
      <c r="C15" s="996">
        <v>359</v>
      </c>
      <c r="D15" s="443" t="str">
        <f>_xlfn.XLOOKUP(B15,Códigos!$A$421:$A$483,Códigos!$B$421:$B$483,"Verificar",0)</f>
        <v>Pagos de: -Celulares</v>
      </c>
      <c r="E15" s="444" t="str">
        <f>_xlfn.XLOOKUP(C15,Códigos!$A$11:$A$415,Códigos!$B$11:$B$415,"Verificar",0)</f>
        <v>NOMBRE 232</v>
      </c>
      <c r="F15" s="1288" t="s">
        <v>1103</v>
      </c>
      <c r="G15" s="1239">
        <v>47500</v>
      </c>
      <c r="H15" s="989">
        <f t="shared" si="0"/>
        <v>2397500</v>
      </c>
      <c r="I15" s="1049" t="s">
        <v>1039</v>
      </c>
      <c r="K15" s="19"/>
    </row>
    <row r="16" spans="1:212" x14ac:dyDescent="0.2">
      <c r="A16" s="1234">
        <v>45670</v>
      </c>
      <c r="B16" s="1000">
        <v>10</v>
      </c>
      <c r="C16" s="996">
        <v>359</v>
      </c>
      <c r="D16" s="443" t="str">
        <f>_xlfn.XLOOKUP(B16,Códigos!$A$421:$A$483,Códigos!$B$421:$B$483,"Verificar",0)</f>
        <v>Pagos de: -Servicios públicos -NIÑAS-</v>
      </c>
      <c r="E16" s="444" t="str">
        <f>_xlfn.XLOOKUP(C16,Códigos!$A$11:$A$415,Códigos!$B$11:$B$415,"Verificar",0)</f>
        <v>NOMBRE 232</v>
      </c>
      <c r="F16" s="1288" t="s">
        <v>1103</v>
      </c>
      <c r="G16" s="1239">
        <v>125800</v>
      </c>
      <c r="H16" s="989">
        <f t="shared" si="0"/>
        <v>2523300</v>
      </c>
      <c r="I16" s="1049" t="s">
        <v>1040</v>
      </c>
      <c r="K16" s="19"/>
    </row>
    <row r="17" spans="1:11" x14ac:dyDescent="0.2">
      <c r="A17" s="1234">
        <v>45671</v>
      </c>
      <c r="B17" s="1277">
        <v>7</v>
      </c>
      <c r="C17" s="1278">
        <v>359</v>
      </c>
      <c r="D17" s="443" t="str">
        <f>_xlfn.XLOOKUP(B17,Códigos!$A$421:$A$483,Códigos!$B$421:$B$483,"Verificar",0)</f>
        <v>Pagos de: -Seguridad Social</v>
      </c>
      <c r="E17" s="444" t="str">
        <f>_xlfn.XLOOKUP(C17,Códigos!$A$11:$A$415,Códigos!$B$11:$B$415,"Verificar",0)</f>
        <v>NOMBRE 232</v>
      </c>
      <c r="F17" s="1288" t="s">
        <v>407</v>
      </c>
      <c r="G17" s="1239">
        <v>1000600</v>
      </c>
      <c r="H17" s="989">
        <f t="shared" si="0"/>
        <v>3523900</v>
      </c>
      <c r="I17" s="1052" t="s">
        <v>1041</v>
      </c>
      <c r="K17" s="19"/>
    </row>
    <row r="18" spans="1:11" x14ac:dyDescent="0.2">
      <c r="A18" s="1234">
        <v>45671</v>
      </c>
      <c r="B18" s="1277">
        <v>7</v>
      </c>
      <c r="C18" s="1278">
        <v>359</v>
      </c>
      <c r="D18" s="443" t="str">
        <f>_xlfn.XLOOKUP(B18,Códigos!$A$421:$A$483,Códigos!$B$421:$B$483,"Verificar",0)</f>
        <v>Pagos de: -Seguridad Social</v>
      </c>
      <c r="E18" s="444" t="str">
        <f>_xlfn.XLOOKUP(C18,Códigos!$A$11:$A$415,Códigos!$B$11:$B$415,"Verificar",0)</f>
        <v>NOMBRE 232</v>
      </c>
      <c r="F18" s="1288" t="s">
        <v>407</v>
      </c>
      <c r="G18" s="1239">
        <v>897800</v>
      </c>
      <c r="H18" s="989">
        <f t="shared" si="0"/>
        <v>4421700</v>
      </c>
      <c r="I18" s="1052" t="s">
        <v>1042</v>
      </c>
      <c r="K18" s="19"/>
    </row>
    <row r="19" spans="1:11" x14ac:dyDescent="0.2">
      <c r="A19" s="1234">
        <v>45671</v>
      </c>
      <c r="B19" s="1275">
        <v>39</v>
      </c>
      <c r="C19" s="1276">
        <v>362</v>
      </c>
      <c r="D19" s="443" t="str">
        <f>_xlfn.XLOOKUP(B19,Códigos!$A$421:$A$483,Códigos!$B$421:$B$483,"Verificar",0)</f>
        <v>Pago intereses préstamo Juliana</v>
      </c>
      <c r="E19" s="444" t="str">
        <f>_xlfn.XLOOKUP(C19,Códigos!$A$11:$A$415,Códigos!$B$11:$B$415,"Verificar",0)</f>
        <v>NOMBRE 97</v>
      </c>
      <c r="F19" s="1288" t="s">
        <v>407</v>
      </c>
      <c r="G19" s="1239">
        <v>350000</v>
      </c>
      <c r="H19" s="989">
        <f t="shared" si="0"/>
        <v>4771700</v>
      </c>
      <c r="I19" s="1274" t="s">
        <v>1043</v>
      </c>
      <c r="K19" s="19"/>
    </row>
    <row r="20" spans="1:11" x14ac:dyDescent="0.2">
      <c r="A20" s="1234">
        <v>45671</v>
      </c>
      <c r="B20" s="1275">
        <v>21</v>
      </c>
      <c r="C20" s="1276">
        <v>362</v>
      </c>
      <c r="D20" s="443" t="str">
        <f>_xlfn.XLOOKUP(B20,Códigos!$A$421:$A$483,Códigos!$B$421:$B$483,"Verificar",0)</f>
        <v>Pagos de: -Cuentas por Pagar a:</v>
      </c>
      <c r="E20" s="444" t="str">
        <f>_xlfn.XLOOKUP(C20,Códigos!$A$11:$A$415,Códigos!$B$11:$B$415,"Verificar",0)</f>
        <v>NOMBRE 97</v>
      </c>
      <c r="F20" s="1288" t="s">
        <v>407</v>
      </c>
      <c r="G20" s="1239">
        <v>200000</v>
      </c>
      <c r="H20" s="989">
        <f t="shared" si="0"/>
        <v>4971700</v>
      </c>
      <c r="I20" s="1274" t="s">
        <v>1044</v>
      </c>
      <c r="K20" s="19"/>
    </row>
    <row r="21" spans="1:11" x14ac:dyDescent="0.2">
      <c r="A21" s="1234">
        <v>45671</v>
      </c>
      <c r="B21" s="1000">
        <v>9</v>
      </c>
      <c r="C21" s="1187">
        <v>359</v>
      </c>
      <c r="D21" s="443" t="str">
        <f>_xlfn.XLOOKUP(B21,Códigos!$A$421:$A$483,Códigos!$B$421:$B$483,"Verificar",0)</f>
        <v>Pagos de: -Servicios públicos -OFICINA-</v>
      </c>
      <c r="E21" s="444" t="str">
        <f>_xlfn.XLOOKUP(C21,Códigos!$A$11:$A$415,Códigos!$B$11:$B$415,"Verificar",0)</f>
        <v>NOMBRE 232</v>
      </c>
      <c r="F21" s="1288" t="s">
        <v>407</v>
      </c>
      <c r="G21" s="1239">
        <v>89300</v>
      </c>
      <c r="H21" s="989">
        <f t="shared" si="0"/>
        <v>5061000</v>
      </c>
      <c r="I21" s="1050" t="s">
        <v>1066</v>
      </c>
      <c r="K21" s="19"/>
    </row>
    <row r="22" spans="1:11" x14ac:dyDescent="0.2">
      <c r="A22" s="1234">
        <v>45671</v>
      </c>
      <c r="B22" s="1000">
        <v>9</v>
      </c>
      <c r="C22" s="1187">
        <v>359</v>
      </c>
      <c r="D22" s="443" t="str">
        <f>_xlfn.XLOOKUP(B22,Códigos!$A$421:$A$483,Códigos!$B$421:$B$483,"Verificar",0)</f>
        <v>Pagos de: -Servicios públicos -OFICINA-</v>
      </c>
      <c r="E22" s="444" t="str">
        <f>_xlfn.XLOOKUP(C22,Códigos!$A$11:$A$415,Códigos!$B$11:$B$415,"Verificar",0)</f>
        <v>NOMBRE 232</v>
      </c>
      <c r="F22" s="1288" t="s">
        <v>407</v>
      </c>
      <c r="G22" s="1239">
        <v>67800</v>
      </c>
      <c r="H22" s="989">
        <f t="shared" si="0"/>
        <v>5128800</v>
      </c>
      <c r="I22" s="1050" t="s">
        <v>1067</v>
      </c>
      <c r="K22" s="19"/>
    </row>
    <row r="23" spans="1:11" x14ac:dyDescent="0.2">
      <c r="A23" s="1234">
        <v>45671</v>
      </c>
      <c r="B23" s="1000">
        <v>8</v>
      </c>
      <c r="C23" s="1187">
        <v>357</v>
      </c>
      <c r="D23" s="443" t="str">
        <f>_xlfn.XLOOKUP(B23,Códigos!$A$421:$A$483,Códigos!$B$421:$B$483,"Verificar",0)</f>
        <v>Pagos de: -Cuota para alimentos y Manuntención</v>
      </c>
      <c r="E23" s="444" t="str">
        <f>_xlfn.XLOOKUP(C23,Códigos!$A$11:$A$415,Códigos!$B$11:$B$415,"Verificar",0)</f>
        <v>NOMBRE 107</v>
      </c>
      <c r="F23" s="1288" t="s">
        <v>1103</v>
      </c>
      <c r="G23" s="1239">
        <f>1030000-G25-G24</f>
        <v>150000</v>
      </c>
      <c r="H23" s="989">
        <f t="shared" si="0"/>
        <v>5278800</v>
      </c>
      <c r="I23" s="1050" t="s">
        <v>1082</v>
      </c>
      <c r="K23" s="19"/>
    </row>
    <row r="24" spans="1:11" x14ac:dyDescent="0.2">
      <c r="A24" s="1234">
        <v>45671</v>
      </c>
      <c r="B24" s="1000">
        <v>8</v>
      </c>
      <c r="C24" s="1187">
        <v>357</v>
      </c>
      <c r="D24" s="443" t="str">
        <f>_xlfn.XLOOKUP(B24,Códigos!$A$421:$A$483,Códigos!$B$421:$B$483,"Verificar",0)</f>
        <v>Pagos de: -Cuota para alimentos y Manuntención</v>
      </c>
      <c r="E24" s="444" t="str">
        <f>_xlfn.XLOOKUP(C24,Códigos!$A$11:$A$415,Códigos!$B$11:$B$415,"Verificar",0)</f>
        <v>NOMBRE 107</v>
      </c>
      <c r="F24" s="1288" t="s">
        <v>1103</v>
      </c>
      <c r="G24" s="1239">
        <v>220000</v>
      </c>
      <c r="H24" s="989">
        <f t="shared" si="0"/>
        <v>5498800</v>
      </c>
      <c r="I24" s="1050" t="s">
        <v>1083</v>
      </c>
      <c r="K24" s="19"/>
    </row>
    <row r="25" spans="1:11" x14ac:dyDescent="0.2">
      <c r="A25" s="1234">
        <v>45671</v>
      </c>
      <c r="B25" s="1000">
        <v>2</v>
      </c>
      <c r="C25" s="1187">
        <v>353</v>
      </c>
      <c r="D25" s="443" t="str">
        <f>_xlfn.XLOOKUP(B25,Códigos!$A$421:$A$483,Códigos!$B$421:$B$483,"Verificar",0)</f>
        <v>Pago de Salarios a:</v>
      </c>
      <c r="E25" s="444" t="str">
        <f>_xlfn.XLOOKUP(C25,Códigos!$A$11:$A$415,Códigos!$B$11:$B$415,"Verificar",0)</f>
        <v>NOMBRE 31</v>
      </c>
      <c r="F25" s="1288" t="s">
        <v>407</v>
      </c>
      <c r="G25" s="1239">
        <v>660000</v>
      </c>
      <c r="H25" s="989">
        <f t="shared" si="0"/>
        <v>6158800</v>
      </c>
      <c r="I25" s="997" t="s">
        <v>1109</v>
      </c>
      <c r="K25" s="19"/>
    </row>
    <row r="26" spans="1:11" x14ac:dyDescent="0.2">
      <c r="A26" s="1234">
        <v>45671</v>
      </c>
      <c r="B26" s="1241">
        <v>33</v>
      </c>
      <c r="C26" s="1187">
        <v>5</v>
      </c>
      <c r="D26" s="443" t="str">
        <f>_xlfn.XLOOKUP(B26,Códigos!$A$421:$A$483,Códigos!$B$421:$B$483,"Verificar",0)</f>
        <v>AJUSTE POR -Consignación - Traslado a Bancos</v>
      </c>
      <c r="E26" s="444" t="str">
        <f>_xlfn.XLOOKUP(C26,Códigos!$A$11:$A$415,Códigos!$B$11:$B$415,"Verificar",0)</f>
        <v>NOMBRE 25</v>
      </c>
      <c r="F26" s="1288"/>
      <c r="G26" s="1239">
        <v>5164600</v>
      </c>
      <c r="H26" s="989">
        <f t="shared" si="0"/>
        <v>11323400</v>
      </c>
      <c r="I26" s="1052" t="s">
        <v>1093</v>
      </c>
      <c r="K26" s="19"/>
    </row>
    <row r="27" spans="1:11" x14ac:dyDescent="0.2">
      <c r="A27" s="1234">
        <v>45671</v>
      </c>
      <c r="B27" s="1241">
        <v>33</v>
      </c>
      <c r="C27" s="1187">
        <v>5</v>
      </c>
      <c r="D27" s="443" t="str">
        <f>_xlfn.XLOOKUP(B27,Códigos!$A$421:$A$483,Códigos!$B$421:$B$483,"Verificar",0)</f>
        <v>AJUSTE POR -Consignación - Traslado a Bancos</v>
      </c>
      <c r="E27" s="444" t="str">
        <f>_xlfn.XLOOKUP(C27,Códigos!$A$11:$A$415,Códigos!$B$11:$B$415,"Verificar",0)</f>
        <v>NOMBRE 25</v>
      </c>
      <c r="F27" s="1288"/>
      <c r="G27" s="1239">
        <v>3308200</v>
      </c>
      <c r="H27" s="989">
        <f t="shared" si="0"/>
        <v>14631600</v>
      </c>
      <c r="I27" s="1052" t="s">
        <v>1094</v>
      </c>
      <c r="K27" s="19"/>
    </row>
    <row r="28" spans="1:11" x14ac:dyDescent="0.2">
      <c r="A28" s="1234">
        <v>45671</v>
      </c>
      <c r="B28" s="1241">
        <v>33</v>
      </c>
      <c r="C28" s="1187">
        <v>5</v>
      </c>
      <c r="D28" s="443" t="str">
        <f>_xlfn.XLOOKUP(B28,Códigos!$A$421:$A$483,Códigos!$B$421:$B$483,"Verificar",0)</f>
        <v>AJUSTE POR -Consignación - Traslado a Bancos</v>
      </c>
      <c r="E28" s="444" t="str">
        <f>_xlfn.XLOOKUP(C28,Códigos!$A$11:$A$415,Códigos!$B$11:$B$415,"Verificar",0)</f>
        <v>NOMBRE 25</v>
      </c>
      <c r="F28" s="1288"/>
      <c r="G28" s="1239">
        <v>1035300</v>
      </c>
      <c r="H28" s="989">
        <f t="shared" si="0"/>
        <v>15666900</v>
      </c>
      <c r="I28" s="1052" t="s">
        <v>1095</v>
      </c>
      <c r="K28" s="19"/>
    </row>
    <row r="29" spans="1:11" x14ac:dyDescent="0.2">
      <c r="A29" s="1234">
        <v>45671</v>
      </c>
      <c r="B29" s="1241">
        <v>33</v>
      </c>
      <c r="C29" s="1187">
        <v>3</v>
      </c>
      <c r="D29" s="443" t="str">
        <f>_xlfn.XLOOKUP(B29,Códigos!$A$421:$A$483,Códigos!$B$421:$B$483,"Verificar",0)</f>
        <v>AJUSTE POR -Consignación - Traslado a Bancos</v>
      </c>
      <c r="E29" s="444" t="str">
        <f>_xlfn.XLOOKUP(C29,Códigos!$A$11:$A$415,Códigos!$B$11:$B$415,"Verificar",0)</f>
        <v>NOMBRE 24</v>
      </c>
      <c r="F29" s="1288"/>
      <c r="G29" s="1239">
        <v>35000000</v>
      </c>
      <c r="H29" s="989">
        <f t="shared" si="0"/>
        <v>50666900</v>
      </c>
      <c r="I29" s="1052" t="s">
        <v>1292</v>
      </c>
      <c r="K29" s="19"/>
    </row>
    <row r="30" spans="1:11" x14ac:dyDescent="0.2">
      <c r="A30" s="1234">
        <v>45671</v>
      </c>
      <c r="B30" s="1241">
        <v>33</v>
      </c>
      <c r="C30" s="1187">
        <v>5</v>
      </c>
      <c r="D30" s="443" t="str">
        <f>_xlfn.XLOOKUP(B30,Códigos!$A$421:$A$483,Códigos!$B$421:$B$483,"Verificar",0)</f>
        <v>AJUSTE POR -Consignación - Traslado a Bancos</v>
      </c>
      <c r="E30" s="444" t="str">
        <f>_xlfn.XLOOKUP(C30,Códigos!$A$11:$A$415,Códigos!$B$11:$B$415,"Verificar",0)</f>
        <v>NOMBRE 25</v>
      </c>
      <c r="F30" s="1288"/>
      <c r="G30" s="1239">
        <v>4611600</v>
      </c>
      <c r="H30" s="989">
        <f t="shared" si="0"/>
        <v>55278500</v>
      </c>
      <c r="I30" s="1052" t="s">
        <v>1096</v>
      </c>
      <c r="K30" s="19"/>
    </row>
    <row r="31" spans="1:11" x14ac:dyDescent="0.2">
      <c r="A31" s="1234">
        <v>45671</v>
      </c>
      <c r="B31" s="1241">
        <v>33</v>
      </c>
      <c r="C31" s="1187">
        <v>5</v>
      </c>
      <c r="D31" s="443" t="str">
        <f>_xlfn.XLOOKUP(B31,Códigos!$A$421:$A$483,Códigos!$B$421:$B$483,"Verificar",0)</f>
        <v>AJUSTE POR -Consignación - Traslado a Bancos</v>
      </c>
      <c r="E31" s="444" t="str">
        <f>_xlfn.XLOOKUP(C31,Códigos!$A$11:$A$415,Códigos!$B$11:$B$415,"Verificar",0)</f>
        <v>NOMBRE 25</v>
      </c>
      <c r="F31" s="1288"/>
      <c r="G31" s="1239">
        <v>3629500</v>
      </c>
      <c r="H31" s="989">
        <f t="shared" si="0"/>
        <v>58908000</v>
      </c>
      <c r="I31" s="1052" t="s">
        <v>1097</v>
      </c>
      <c r="K31" s="19"/>
    </row>
    <row r="32" spans="1:11" x14ac:dyDescent="0.2">
      <c r="A32" s="1234">
        <v>45671</v>
      </c>
      <c r="B32" s="1241">
        <v>33</v>
      </c>
      <c r="C32" s="1187">
        <v>5</v>
      </c>
      <c r="D32" s="443" t="str">
        <f>_xlfn.XLOOKUP(B32,Códigos!$A$421:$A$483,Códigos!$B$421:$B$483,"Verificar",0)</f>
        <v>AJUSTE POR -Consignación - Traslado a Bancos</v>
      </c>
      <c r="E32" s="444" t="str">
        <f>_xlfn.XLOOKUP(C32,Códigos!$A$11:$A$415,Códigos!$B$11:$B$415,"Verificar",0)</f>
        <v>NOMBRE 25</v>
      </c>
      <c r="F32" s="1288"/>
      <c r="G32" s="1239">
        <v>1130500</v>
      </c>
      <c r="H32" s="989">
        <f t="shared" si="0"/>
        <v>60038500</v>
      </c>
      <c r="I32" s="1052" t="s">
        <v>1098</v>
      </c>
      <c r="K32" s="19"/>
    </row>
    <row r="33" spans="1:11" x14ac:dyDescent="0.2">
      <c r="A33" s="1234">
        <v>45672</v>
      </c>
      <c r="B33" s="1241">
        <v>27</v>
      </c>
      <c r="C33" s="1187">
        <v>359</v>
      </c>
      <c r="D33" s="443" t="str">
        <f>_xlfn.XLOOKUP(B33,Códigos!$A$421:$A$483,Códigos!$B$421:$B$483,"Verificar",0)</f>
        <v>Compra de: -Restaurante y cafetería</v>
      </c>
      <c r="E33" s="444" t="str">
        <f>_xlfn.XLOOKUP(C33,Códigos!$A$11:$A$415,Códigos!$B$11:$B$415,"Verificar",0)</f>
        <v>NOMBRE 232</v>
      </c>
      <c r="F33" s="1288" t="s">
        <v>407</v>
      </c>
      <c r="G33" s="1239">
        <v>400000</v>
      </c>
      <c r="H33" s="989">
        <f t="shared" si="0"/>
        <v>60438500</v>
      </c>
      <c r="I33" s="1292" t="s">
        <v>1155</v>
      </c>
      <c r="K33" s="19"/>
    </row>
    <row r="34" spans="1:11" x14ac:dyDescent="0.2">
      <c r="A34" s="1234">
        <v>45672</v>
      </c>
      <c r="B34" s="1241">
        <v>33</v>
      </c>
      <c r="C34" s="1187">
        <v>3</v>
      </c>
      <c r="D34" s="443" t="str">
        <f>_xlfn.XLOOKUP(B34,Códigos!$A$421:$A$483,Códigos!$B$421:$B$483,"Verificar",0)</f>
        <v>AJUSTE POR -Consignación - Traslado a Bancos</v>
      </c>
      <c r="E34" s="444" t="str">
        <f>_xlfn.XLOOKUP(C34,Códigos!$A$11:$A$415,Códigos!$B$11:$B$415,"Verificar",0)</f>
        <v>NOMBRE 24</v>
      </c>
      <c r="F34" s="1288"/>
      <c r="G34" s="1239">
        <v>1160000</v>
      </c>
      <c r="H34" s="989">
        <f t="shared" si="0"/>
        <v>61598500</v>
      </c>
      <c r="I34" s="1049" t="s">
        <v>1099</v>
      </c>
      <c r="K34" s="19"/>
    </row>
    <row r="35" spans="1:11" x14ac:dyDescent="0.2">
      <c r="A35" s="1234">
        <v>45672</v>
      </c>
      <c r="B35" s="1241">
        <v>1</v>
      </c>
      <c r="C35" s="1187">
        <v>355</v>
      </c>
      <c r="D35" s="443" t="str">
        <f>_xlfn.XLOOKUP(B35,Códigos!$A$421:$A$483,Códigos!$B$421:$B$483,"Verificar",0)</f>
        <v>Gastos personales</v>
      </c>
      <c r="E35" s="444" t="str">
        <f>_xlfn.XLOOKUP(C35,Códigos!$A$11:$A$415,Códigos!$B$11:$B$415,"Verificar",0)</f>
        <v>NOMBRE 96</v>
      </c>
      <c r="F35" s="1288" t="s">
        <v>1103</v>
      </c>
      <c r="G35" s="1239">
        <v>200000</v>
      </c>
      <c r="H35" s="989">
        <f t="shared" si="0"/>
        <v>61798500</v>
      </c>
      <c r="I35" s="1052" t="s">
        <v>1045</v>
      </c>
      <c r="K35" s="19"/>
    </row>
    <row r="36" spans="1:11" x14ac:dyDescent="0.2">
      <c r="A36" s="1234">
        <v>45672</v>
      </c>
      <c r="B36" s="1241">
        <v>23</v>
      </c>
      <c r="C36" s="1187">
        <v>359</v>
      </c>
      <c r="D36" s="443" t="str">
        <f>_xlfn.XLOOKUP(B36,Códigos!$A$421:$A$483,Códigos!$B$421:$B$483,"Verificar",0)</f>
        <v>Compra de: -Útiles de aseo</v>
      </c>
      <c r="E36" s="444" t="str">
        <f>_xlfn.XLOOKUP(C36,Códigos!$A$11:$A$415,Códigos!$B$11:$B$415,"Verificar",0)</f>
        <v>NOMBRE 232</v>
      </c>
      <c r="F36" s="1288" t="s">
        <v>407</v>
      </c>
      <c r="G36" s="1239">
        <v>80000</v>
      </c>
      <c r="H36" s="989">
        <f t="shared" si="0"/>
        <v>61878500</v>
      </c>
      <c r="I36" s="1052" t="s">
        <v>1046</v>
      </c>
      <c r="K36" s="19"/>
    </row>
    <row r="37" spans="1:11" x14ac:dyDescent="0.2">
      <c r="A37" s="1234">
        <v>45673</v>
      </c>
      <c r="B37" s="1187">
        <v>8</v>
      </c>
      <c r="C37" s="1187">
        <v>359</v>
      </c>
      <c r="D37" s="443" t="str">
        <f>_xlfn.XLOOKUP(B37,Códigos!$A$421:$A$483,Códigos!$B$421:$B$483,"Verificar",0)</f>
        <v>Pagos de: -Cuota para alimentos y Manuntención</v>
      </c>
      <c r="E37" s="444" t="str">
        <f>_xlfn.XLOOKUP(C37,Códigos!$A$11:$A$415,Códigos!$B$11:$B$415,"Verificar",0)</f>
        <v>NOMBRE 232</v>
      </c>
      <c r="F37" s="1288" t="s">
        <v>407</v>
      </c>
      <c r="G37" s="1239">
        <v>198000</v>
      </c>
      <c r="H37" s="989">
        <f t="shared" si="0"/>
        <v>62076500</v>
      </c>
      <c r="I37" s="998" t="s">
        <v>1047</v>
      </c>
      <c r="K37" s="19"/>
    </row>
    <row r="38" spans="1:11" x14ac:dyDescent="0.2">
      <c r="A38" s="1234">
        <v>45673</v>
      </c>
      <c r="B38" s="1241">
        <v>1</v>
      </c>
      <c r="C38" s="1187">
        <v>359</v>
      </c>
      <c r="D38" s="443" t="str">
        <f>_xlfn.XLOOKUP(B38,Códigos!$A$421:$A$483,Códigos!$B$421:$B$483,"Verificar",0)</f>
        <v>Gastos personales</v>
      </c>
      <c r="E38" s="444" t="str">
        <f>_xlfn.XLOOKUP(C38,Códigos!$A$11:$A$415,Códigos!$B$11:$B$415,"Verificar",0)</f>
        <v>NOMBRE 232</v>
      </c>
      <c r="F38" s="1288" t="s">
        <v>407</v>
      </c>
      <c r="G38" s="1239">
        <v>690000</v>
      </c>
      <c r="H38" s="989">
        <f t="shared" si="0"/>
        <v>62766500</v>
      </c>
      <c r="I38" s="1049" t="s">
        <v>1048</v>
      </c>
      <c r="K38" s="19"/>
    </row>
    <row r="39" spans="1:11" x14ac:dyDescent="0.2">
      <c r="A39" s="1234">
        <v>45673</v>
      </c>
      <c r="B39" s="1241">
        <v>33</v>
      </c>
      <c r="C39" s="1187">
        <v>3</v>
      </c>
      <c r="D39" s="443" t="str">
        <f>_xlfn.XLOOKUP(B39,Códigos!$A$421:$A$483,Códigos!$B$421:$B$483,"Verificar",0)</f>
        <v>AJUSTE POR -Consignación - Traslado a Bancos</v>
      </c>
      <c r="E39" s="444" t="str">
        <f>_xlfn.XLOOKUP(C39,Códigos!$A$11:$A$415,Códigos!$B$11:$B$415,"Verificar",0)</f>
        <v>NOMBRE 24</v>
      </c>
      <c r="F39" s="1288" t="s">
        <v>407</v>
      </c>
      <c r="G39" s="1239">
        <v>50000</v>
      </c>
      <c r="H39" s="989">
        <f t="shared" si="0"/>
        <v>62816500</v>
      </c>
      <c r="I39" s="1049" t="s">
        <v>1049</v>
      </c>
      <c r="K39" s="19"/>
    </row>
    <row r="40" spans="1:11" x14ac:dyDescent="0.2">
      <c r="A40" s="1234">
        <v>45673</v>
      </c>
      <c r="B40" s="1000">
        <v>43</v>
      </c>
      <c r="C40" s="996">
        <v>359</v>
      </c>
      <c r="D40" s="443" t="str">
        <f>_xlfn.XLOOKUP(B40,Códigos!$A$421:$A$483,Códigos!$B$421:$B$483,"Verificar",0)</f>
        <v>Pago Hipotecario BANCOLOMBIA</v>
      </c>
      <c r="E40" s="444" t="str">
        <f>_xlfn.XLOOKUP(C40,Códigos!$A$11:$A$415,Códigos!$B$11:$B$415,"Verificar",0)</f>
        <v>NOMBRE 232</v>
      </c>
      <c r="F40" s="1288" t="s">
        <v>407</v>
      </c>
      <c r="G40" s="1239">
        <v>1026800</v>
      </c>
      <c r="H40" s="989">
        <f t="shared" si="0"/>
        <v>63843300</v>
      </c>
      <c r="I40" s="997" t="s">
        <v>1113</v>
      </c>
      <c r="K40" s="19"/>
    </row>
    <row r="41" spans="1:11" x14ac:dyDescent="0.2">
      <c r="A41" s="1234">
        <v>45674</v>
      </c>
      <c r="B41" s="1241">
        <v>27</v>
      </c>
      <c r="C41" s="1187">
        <v>359</v>
      </c>
      <c r="D41" s="443" t="str">
        <f>_xlfn.XLOOKUP(B41,Códigos!$A$421:$A$483,Códigos!$B$421:$B$483,"Verificar",0)</f>
        <v>Compra de: -Restaurante y cafetería</v>
      </c>
      <c r="E41" s="444" t="str">
        <f>_xlfn.XLOOKUP(C41,Códigos!$A$11:$A$415,Códigos!$B$11:$B$415,"Verificar",0)</f>
        <v>NOMBRE 232</v>
      </c>
      <c r="F41" s="1288" t="s">
        <v>407</v>
      </c>
      <c r="G41" s="1239">
        <v>38000</v>
      </c>
      <c r="H41" s="989">
        <f t="shared" si="0"/>
        <v>63881300</v>
      </c>
      <c r="I41" s="1052" t="s">
        <v>1078</v>
      </c>
      <c r="K41" s="19"/>
    </row>
    <row r="42" spans="1:11" x14ac:dyDescent="0.2">
      <c r="A42" s="1234">
        <v>45674</v>
      </c>
      <c r="B42" s="1241">
        <v>27</v>
      </c>
      <c r="C42" s="1187">
        <v>359</v>
      </c>
      <c r="D42" s="443" t="str">
        <f>_xlfn.XLOOKUP(B42,Códigos!$A$421:$A$483,Códigos!$B$421:$B$483,"Verificar",0)</f>
        <v>Compra de: -Restaurante y cafetería</v>
      </c>
      <c r="E42" s="444" t="str">
        <f>_xlfn.XLOOKUP(C42,Códigos!$A$11:$A$415,Códigos!$B$11:$B$415,"Verificar",0)</f>
        <v>NOMBRE 232</v>
      </c>
      <c r="F42" s="1288" t="s">
        <v>407</v>
      </c>
      <c r="G42" s="1239">
        <v>88000</v>
      </c>
      <c r="H42" s="989">
        <f t="shared" si="0"/>
        <v>63969300</v>
      </c>
      <c r="I42" s="1052" t="s">
        <v>1100</v>
      </c>
      <c r="K42" s="19"/>
    </row>
    <row r="43" spans="1:11" x14ac:dyDescent="0.2">
      <c r="A43" s="1234">
        <v>45674</v>
      </c>
      <c r="B43" s="1241">
        <v>33</v>
      </c>
      <c r="C43" s="1187">
        <v>5</v>
      </c>
      <c r="D43" s="443" t="str">
        <f>_xlfn.XLOOKUP(B43,Códigos!$A$421:$A$483,Códigos!$B$421:$B$483,"Verificar",0)</f>
        <v>AJUSTE POR -Consignación - Traslado a Bancos</v>
      </c>
      <c r="E43" s="444" t="str">
        <f>_xlfn.XLOOKUP(C43,Códigos!$A$11:$A$415,Códigos!$B$11:$B$415,"Verificar",0)</f>
        <v>NOMBRE 25</v>
      </c>
      <c r="F43" s="1288"/>
      <c r="G43" s="1239">
        <v>11983300</v>
      </c>
      <c r="H43" s="989">
        <f t="shared" si="0"/>
        <v>75952600</v>
      </c>
      <c r="I43" s="1052" t="s">
        <v>1173</v>
      </c>
      <c r="K43" s="19"/>
    </row>
    <row r="44" spans="1:11" x14ac:dyDescent="0.2">
      <c r="A44" s="1234">
        <v>45674</v>
      </c>
      <c r="B44" s="1241">
        <v>33</v>
      </c>
      <c r="C44" s="1187">
        <v>5</v>
      </c>
      <c r="D44" s="443" t="str">
        <f>_xlfn.XLOOKUP(B44,Códigos!$A$421:$A$483,Códigos!$B$421:$B$483,"Verificar",0)</f>
        <v>AJUSTE POR -Consignación - Traslado a Bancos</v>
      </c>
      <c r="E44" s="444" t="str">
        <f>_xlfn.XLOOKUP(C44,Códigos!$A$11:$A$415,Códigos!$B$11:$B$415,"Verificar",0)</f>
        <v>NOMBRE 25</v>
      </c>
      <c r="F44" s="1288"/>
      <c r="G44" s="1239">
        <v>5000000</v>
      </c>
      <c r="H44" s="989">
        <f t="shared" si="0"/>
        <v>80952600</v>
      </c>
      <c r="I44" s="1052" t="s">
        <v>1080</v>
      </c>
      <c r="K44" s="19"/>
    </row>
    <row r="45" spans="1:11" x14ac:dyDescent="0.2">
      <c r="A45" s="1234">
        <v>45674</v>
      </c>
      <c r="B45" s="1000">
        <v>8</v>
      </c>
      <c r="C45" s="996">
        <v>356</v>
      </c>
      <c r="D45" s="443" t="str">
        <f>_xlfn.XLOOKUP(B45,Códigos!$A$421:$A$483,Códigos!$B$421:$B$483,"Verificar",0)</f>
        <v>Pagos de: -Cuota para alimentos y Manuntención</v>
      </c>
      <c r="E45" s="444" t="str">
        <f>_xlfn.XLOOKUP(C45,Códigos!$A$11:$A$415,Códigos!$B$11:$B$415,"Verificar",0)</f>
        <v>NOMBRE 108</v>
      </c>
      <c r="F45" s="1288" t="s">
        <v>1103</v>
      </c>
      <c r="G45" s="990">
        <v>220000</v>
      </c>
      <c r="H45" s="989">
        <f t="shared" si="0"/>
        <v>81172600</v>
      </c>
      <c r="I45" s="997" t="s">
        <v>1081</v>
      </c>
      <c r="K45" s="19"/>
    </row>
    <row r="46" spans="1:11" x14ac:dyDescent="0.2">
      <c r="A46" s="1234">
        <v>45674</v>
      </c>
      <c r="B46" s="1000">
        <v>8</v>
      </c>
      <c r="C46" s="996">
        <v>358</v>
      </c>
      <c r="D46" s="443" t="str">
        <f>_xlfn.XLOOKUP(B46,Códigos!$A$421:$A$483,Códigos!$B$421:$B$483,"Verificar",0)</f>
        <v>Pagos de: -Cuota para alimentos y Manuntención</v>
      </c>
      <c r="E46" s="444" t="str">
        <f>_xlfn.XLOOKUP(C46,Códigos!$A$11:$A$415,Códigos!$B$11:$B$415,"Verificar",0)</f>
        <v>NOMBRE 338</v>
      </c>
      <c r="F46" s="1288" t="s">
        <v>1103</v>
      </c>
      <c r="G46" s="1280">
        <v>380000</v>
      </c>
      <c r="H46" s="989">
        <f t="shared" si="0"/>
        <v>81552600</v>
      </c>
      <c r="I46" s="997" t="s">
        <v>1084</v>
      </c>
      <c r="K46" s="19"/>
    </row>
    <row r="47" spans="1:11" x14ac:dyDescent="0.2">
      <c r="A47" s="1234">
        <v>45674</v>
      </c>
      <c r="B47" s="1000">
        <v>2</v>
      </c>
      <c r="C47" s="996">
        <v>262</v>
      </c>
      <c r="D47" s="443" t="str">
        <f>_xlfn.XLOOKUP(B47,Códigos!$A$421:$A$483,Códigos!$B$421:$B$483,"Verificar",0)</f>
        <v>Pago de Salarios a:</v>
      </c>
      <c r="E47" s="444" t="str">
        <f>_xlfn.XLOOKUP(C47,Códigos!$A$11:$A$415,Códigos!$B$11:$B$415,"Verificar",0)</f>
        <v>NOMBRE 95</v>
      </c>
      <c r="F47" s="1288" t="s">
        <v>407</v>
      </c>
      <c r="G47" s="1239">
        <v>660000</v>
      </c>
      <c r="H47" s="989">
        <f t="shared" si="0"/>
        <v>82212600</v>
      </c>
      <c r="I47" s="997" t="s">
        <v>1109</v>
      </c>
      <c r="K47" s="19"/>
    </row>
    <row r="48" spans="1:11" x14ac:dyDescent="0.2">
      <c r="A48" s="1234">
        <v>45674</v>
      </c>
      <c r="B48" s="1241">
        <v>1</v>
      </c>
      <c r="C48" s="1187">
        <v>355</v>
      </c>
      <c r="D48" s="443" t="str">
        <f>_xlfn.XLOOKUP(B48,Códigos!$A$421:$A$483,Códigos!$B$421:$B$483,"Verificar",0)</f>
        <v>Gastos personales</v>
      </c>
      <c r="E48" s="444" t="str">
        <f>_xlfn.XLOOKUP(C48,Códigos!$A$11:$A$415,Códigos!$B$11:$B$415,"Verificar",0)</f>
        <v>NOMBRE 96</v>
      </c>
      <c r="F48" s="1288" t="s">
        <v>1103</v>
      </c>
      <c r="G48" s="1239">
        <v>500000</v>
      </c>
      <c r="H48" s="989">
        <f t="shared" si="0"/>
        <v>82712600</v>
      </c>
      <c r="I48" s="1052" t="s">
        <v>1101</v>
      </c>
      <c r="K48" s="19"/>
    </row>
    <row r="49" spans="1:11" x14ac:dyDescent="0.2">
      <c r="A49" s="1234">
        <v>45674</v>
      </c>
      <c r="B49" s="1241">
        <v>25</v>
      </c>
      <c r="C49" s="1187">
        <v>359</v>
      </c>
      <c r="D49" s="443" t="str">
        <f>_xlfn.XLOOKUP(B49,Códigos!$A$421:$A$483,Códigos!$B$421:$B$483,"Verificar",0)</f>
        <v>Compra de: -Manuales, Libros y formularios</v>
      </c>
      <c r="E49" s="444" t="str">
        <f>_xlfn.XLOOKUP(C49,Códigos!$A$11:$A$415,Códigos!$B$11:$B$415,"Verificar",0)</f>
        <v>NOMBRE 232</v>
      </c>
      <c r="F49" s="1288" t="s">
        <v>407</v>
      </c>
      <c r="G49" s="1239">
        <v>196400</v>
      </c>
      <c r="H49" s="989">
        <f t="shared" si="0"/>
        <v>82909000</v>
      </c>
      <c r="I49" s="1049" t="s">
        <v>1104</v>
      </c>
      <c r="J49" s="946"/>
      <c r="K49" s="19"/>
    </row>
    <row r="50" spans="1:11" x14ac:dyDescent="0.2">
      <c r="A50" s="1234">
        <v>45677</v>
      </c>
      <c r="B50" s="1000">
        <v>9</v>
      </c>
      <c r="C50" s="996">
        <v>359</v>
      </c>
      <c r="D50" s="443" t="str">
        <f>_xlfn.XLOOKUP(B50,Códigos!$A$421:$A$483,Códigos!$B$421:$B$483,"Verificar",0)</f>
        <v>Pagos de: -Servicios públicos -OFICINA-</v>
      </c>
      <c r="E50" s="444" t="str">
        <f>_xlfn.XLOOKUP(C50,Códigos!$A$11:$A$415,Códigos!$B$11:$B$415,"Verificar",0)</f>
        <v>NOMBRE 232</v>
      </c>
      <c r="F50" s="1288" t="s">
        <v>407</v>
      </c>
      <c r="G50" s="1239">
        <v>242500</v>
      </c>
      <c r="H50" s="989">
        <f t="shared" si="0"/>
        <v>83151500</v>
      </c>
      <c r="I50" s="1049" t="s">
        <v>1105</v>
      </c>
      <c r="K50" s="19"/>
    </row>
    <row r="51" spans="1:11" x14ac:dyDescent="0.2">
      <c r="A51" s="1234">
        <v>45677</v>
      </c>
      <c r="B51" s="1000">
        <v>9</v>
      </c>
      <c r="C51" s="996">
        <v>359</v>
      </c>
      <c r="D51" s="443" t="str">
        <f>_xlfn.XLOOKUP(B51,Códigos!$A$421:$A$483,Códigos!$B$421:$B$483,"Verificar",0)</f>
        <v>Pagos de: -Servicios públicos -OFICINA-</v>
      </c>
      <c r="E51" s="444" t="str">
        <f>_xlfn.XLOOKUP(C51,Códigos!$A$11:$A$415,Códigos!$B$11:$B$415,"Verificar",0)</f>
        <v>NOMBRE 232</v>
      </c>
      <c r="F51" s="1288" t="s">
        <v>407</v>
      </c>
      <c r="G51" s="1239">
        <v>303900</v>
      </c>
      <c r="H51" s="989">
        <f t="shared" si="0"/>
        <v>83455400</v>
      </c>
      <c r="I51" s="1049" t="s">
        <v>1106</v>
      </c>
      <c r="K51" s="19"/>
    </row>
    <row r="52" spans="1:11" x14ac:dyDescent="0.2">
      <c r="A52" s="1234">
        <v>21</v>
      </c>
      <c r="B52" s="1291">
        <v>28</v>
      </c>
      <c r="C52" s="1291">
        <v>249</v>
      </c>
      <c r="D52" s="443" t="str">
        <f>_xlfn.XLOOKUP(B52,Códigos!$A$421:$A$483,Códigos!$B$421:$B$483,"Verificar",0)</f>
        <v>Préstamos a:</v>
      </c>
      <c r="E52" s="444" t="str">
        <f>_xlfn.XLOOKUP(C52,Códigos!$A$11:$A$415,Códigos!$B$11:$B$415,"Verificar",0)</f>
        <v>NOMBRE 220</v>
      </c>
      <c r="F52" s="1288" t="s">
        <v>407</v>
      </c>
      <c r="G52" s="1239">
        <v>1185000</v>
      </c>
      <c r="H52" s="989">
        <f t="shared" si="0"/>
        <v>84640400</v>
      </c>
      <c r="I52" s="1049" t="s">
        <v>1107</v>
      </c>
      <c r="K52" s="19"/>
    </row>
    <row r="53" spans="1:11" x14ac:dyDescent="0.2">
      <c r="A53" s="1234">
        <v>21</v>
      </c>
      <c r="B53" s="1241">
        <v>33</v>
      </c>
      <c r="C53" s="1187">
        <v>5</v>
      </c>
      <c r="D53" s="443" t="str">
        <f>_xlfn.XLOOKUP(B53,Códigos!$A$421:$A$483,Códigos!$B$421:$B$483,"Verificar",0)</f>
        <v>AJUSTE POR -Consignación - Traslado a Bancos</v>
      </c>
      <c r="E53" s="444" t="str">
        <f>_xlfn.XLOOKUP(C53,Códigos!$A$11:$A$415,Códigos!$B$11:$B$415,"Verificar",0)</f>
        <v>NOMBRE 25</v>
      </c>
      <c r="F53" s="1288" t="s">
        <v>407</v>
      </c>
      <c r="G53" s="1239">
        <v>1096000</v>
      </c>
      <c r="H53" s="989">
        <f t="shared" si="0"/>
        <v>85736400</v>
      </c>
      <c r="I53" s="1049" t="s">
        <v>1108</v>
      </c>
      <c r="K53" s="19"/>
    </row>
    <row r="54" spans="1:11" x14ac:dyDescent="0.2">
      <c r="A54" s="1234">
        <v>21</v>
      </c>
      <c r="B54" s="1241">
        <v>29</v>
      </c>
      <c r="C54" s="1187">
        <v>101</v>
      </c>
      <c r="D54" s="443" t="str">
        <f>_xlfn.XLOOKUP(B54,Códigos!$A$421:$A$483,Códigos!$B$421:$B$483,"Verificar",0)</f>
        <v>Egresos por Cuenta de Terceros -Pagos impuestos-</v>
      </c>
      <c r="E54" s="444" t="str">
        <f>_xlfn.XLOOKUP(C54,Códigos!$A$11:$A$415,Códigos!$B$11:$B$415,"Verificar",0)</f>
        <v>NOMBRE 126</v>
      </c>
      <c r="F54" s="1288" t="s">
        <v>407</v>
      </c>
      <c r="G54" s="1239">
        <v>1096000</v>
      </c>
      <c r="H54" s="989">
        <f t="shared" si="0"/>
        <v>86832400</v>
      </c>
      <c r="I54" s="1049" t="s">
        <v>1108</v>
      </c>
      <c r="K54" s="19"/>
    </row>
    <row r="55" spans="1:11" x14ac:dyDescent="0.2">
      <c r="A55" s="1234">
        <v>45681</v>
      </c>
      <c r="B55" s="1000">
        <v>8</v>
      </c>
      <c r="C55" s="1187">
        <v>357</v>
      </c>
      <c r="D55" s="443" t="str">
        <f>_xlfn.XLOOKUP(B55,Códigos!$A$421:$A$483,Códigos!$B$421:$B$483,"Verificar",0)</f>
        <v>Pagos de: -Cuota para alimentos y Manuntención</v>
      </c>
      <c r="E55" s="444" t="str">
        <f>_xlfn.XLOOKUP(C55,Códigos!$A$11:$A$415,Códigos!$B$11:$B$415,"Verificar",0)</f>
        <v>NOMBRE 107</v>
      </c>
      <c r="F55" s="1288" t="s">
        <v>1103</v>
      </c>
      <c r="G55" s="1239">
        <v>220000</v>
      </c>
      <c r="H55" s="989">
        <f t="shared" si="0"/>
        <v>87052400</v>
      </c>
      <c r="I55" s="1050" t="s">
        <v>1083</v>
      </c>
      <c r="K55" s="19"/>
    </row>
    <row r="56" spans="1:11" x14ac:dyDescent="0.2">
      <c r="A56" s="1234">
        <v>45681</v>
      </c>
      <c r="B56" s="1000">
        <v>2</v>
      </c>
      <c r="C56" s="1187">
        <v>353</v>
      </c>
      <c r="D56" s="443" t="str">
        <f>_xlfn.XLOOKUP(B56,Códigos!$A$421:$A$483,Códigos!$B$421:$B$483,"Verificar",0)</f>
        <v>Pago de Salarios a:</v>
      </c>
      <c r="E56" s="444" t="str">
        <f>_xlfn.XLOOKUP(C56,Códigos!$A$11:$A$415,Códigos!$B$11:$B$415,"Verificar",0)</f>
        <v>NOMBRE 31</v>
      </c>
      <c r="F56" s="1288" t="s">
        <v>407</v>
      </c>
      <c r="G56" s="1239">
        <v>660000</v>
      </c>
      <c r="H56" s="989">
        <f t="shared" si="0"/>
        <v>87712400</v>
      </c>
      <c r="I56" s="997" t="s">
        <v>1111</v>
      </c>
      <c r="K56" s="19"/>
    </row>
    <row r="57" spans="1:11" x14ac:dyDescent="0.2">
      <c r="A57" s="1234">
        <v>45681</v>
      </c>
      <c r="B57" s="1000">
        <v>8</v>
      </c>
      <c r="C57" s="996">
        <v>356</v>
      </c>
      <c r="D57" s="443" t="str">
        <f>_xlfn.XLOOKUP(B57,Códigos!$A$421:$A$483,Códigos!$B$421:$B$483,"Verificar",0)</f>
        <v>Pagos de: -Cuota para alimentos y Manuntención</v>
      </c>
      <c r="E57" s="444" t="str">
        <f>_xlfn.XLOOKUP(C57,Códigos!$A$11:$A$415,Códigos!$B$11:$B$415,"Verificar",0)</f>
        <v>NOMBRE 108</v>
      </c>
      <c r="F57" s="1288" t="s">
        <v>1103</v>
      </c>
      <c r="G57" s="990">
        <v>220000</v>
      </c>
      <c r="H57" s="989">
        <f t="shared" si="0"/>
        <v>87932400</v>
      </c>
      <c r="I57" s="997" t="s">
        <v>1081</v>
      </c>
      <c r="K57" s="19"/>
    </row>
    <row r="58" spans="1:11" x14ac:dyDescent="0.2">
      <c r="A58" s="1234">
        <v>45681</v>
      </c>
      <c r="B58" s="1000">
        <v>8</v>
      </c>
      <c r="C58" s="996">
        <v>358</v>
      </c>
      <c r="D58" s="443" t="str">
        <f>_xlfn.XLOOKUP(B58,Códigos!$A$421:$A$483,Códigos!$B$421:$B$483,"Verificar",0)</f>
        <v>Pagos de: -Cuota para alimentos y Manuntención</v>
      </c>
      <c r="E58" s="444" t="str">
        <f>_xlfn.XLOOKUP(C58,Códigos!$A$11:$A$415,Códigos!$B$11:$B$415,"Verificar",0)</f>
        <v>NOMBRE 338</v>
      </c>
      <c r="F58" s="1288" t="s">
        <v>1103</v>
      </c>
      <c r="G58" s="1280">
        <v>380000</v>
      </c>
      <c r="H58" s="989">
        <f t="shared" si="0"/>
        <v>88312400</v>
      </c>
      <c r="I58" s="997" t="s">
        <v>1110</v>
      </c>
      <c r="K58" s="19"/>
    </row>
    <row r="59" spans="1:11" x14ac:dyDescent="0.2">
      <c r="A59" s="1234">
        <v>45681</v>
      </c>
      <c r="B59" s="1000">
        <v>2</v>
      </c>
      <c r="C59" s="996">
        <v>262</v>
      </c>
      <c r="D59" s="443" t="str">
        <f>_xlfn.XLOOKUP(B59,Códigos!$A$421:$A$483,Códigos!$B$421:$B$483,"Verificar",0)</f>
        <v>Pago de Salarios a:</v>
      </c>
      <c r="E59" s="444" t="str">
        <f>_xlfn.XLOOKUP(C59,Códigos!$A$11:$A$415,Códigos!$B$11:$B$415,"Verificar",0)</f>
        <v>NOMBRE 95</v>
      </c>
      <c r="F59" s="1288" t="s">
        <v>407</v>
      </c>
      <c r="G59" s="1239">
        <v>660000</v>
      </c>
      <c r="H59" s="989">
        <f t="shared" si="0"/>
        <v>88972400</v>
      </c>
      <c r="I59" s="997" t="s">
        <v>1111</v>
      </c>
      <c r="K59" s="19"/>
    </row>
    <row r="60" spans="1:11" x14ac:dyDescent="0.2">
      <c r="A60" s="1234">
        <v>45681</v>
      </c>
      <c r="B60" s="1241">
        <v>8</v>
      </c>
      <c r="C60" s="1187">
        <v>355</v>
      </c>
      <c r="D60" s="443" t="str">
        <f>_xlfn.XLOOKUP(B60,Códigos!$A$421:$A$483,Códigos!$B$421:$B$483,"Verificar",0)</f>
        <v>Pagos de: -Cuota para alimentos y Manuntención</v>
      </c>
      <c r="E60" s="444" t="str">
        <f>_xlfn.XLOOKUP(C60,Códigos!$A$11:$A$415,Códigos!$B$11:$B$415,"Verificar",0)</f>
        <v>NOMBRE 96</v>
      </c>
      <c r="F60" s="1288" t="s">
        <v>1103</v>
      </c>
      <c r="G60" s="1239">
        <v>380000</v>
      </c>
      <c r="H60" s="989">
        <f t="shared" si="0"/>
        <v>89352400</v>
      </c>
      <c r="I60" s="1052" t="s">
        <v>1112</v>
      </c>
      <c r="K60" s="19"/>
    </row>
    <row r="61" spans="1:11" x14ac:dyDescent="0.2">
      <c r="A61" s="1234">
        <v>45681</v>
      </c>
      <c r="B61" s="1241">
        <v>5</v>
      </c>
      <c r="C61" s="1187">
        <v>262</v>
      </c>
      <c r="D61" s="443" t="str">
        <f>_xlfn.XLOOKUP(B61,Códigos!$A$421:$A$483,Códigos!$B$421:$B$483,"Verificar",0)</f>
        <v>Préstamos por Nómina a:</v>
      </c>
      <c r="E61" s="444" t="str">
        <f>_xlfn.XLOOKUP(C61,Códigos!$A$11:$A$415,Códigos!$B$11:$B$415,"Verificar",0)</f>
        <v>NOMBRE 95</v>
      </c>
      <c r="F61" s="1288" t="s">
        <v>407</v>
      </c>
      <c r="G61" s="1239">
        <v>100000</v>
      </c>
      <c r="H61" s="989">
        <f t="shared" si="0"/>
        <v>89452400</v>
      </c>
      <c r="I61" s="1049" t="s">
        <v>1114</v>
      </c>
      <c r="K61" s="19"/>
    </row>
    <row r="62" spans="1:11" x14ac:dyDescent="0.2">
      <c r="A62" s="1234">
        <v>45684</v>
      </c>
      <c r="B62" s="1291">
        <v>28</v>
      </c>
      <c r="C62" s="1291">
        <v>249</v>
      </c>
      <c r="D62" s="443" t="str">
        <f>_xlfn.XLOOKUP(B62,Códigos!$A$421:$A$483,Códigos!$B$421:$B$483,"Verificar",0)</f>
        <v>Préstamos a:</v>
      </c>
      <c r="E62" s="444" t="str">
        <f>_xlfn.XLOOKUP(C62,Códigos!$A$11:$A$415,Códigos!$B$11:$B$415,"Verificar",0)</f>
        <v>NOMBRE 220</v>
      </c>
      <c r="F62" s="1288" t="s">
        <v>407</v>
      </c>
      <c r="G62" s="1239">
        <v>130000</v>
      </c>
      <c r="H62" s="989">
        <f t="shared" si="0"/>
        <v>89582400</v>
      </c>
      <c r="I62" s="997" t="s">
        <v>1117</v>
      </c>
      <c r="K62" s="19"/>
    </row>
    <row r="63" spans="1:11" x14ac:dyDescent="0.2">
      <c r="A63" s="1234">
        <v>45684</v>
      </c>
      <c r="B63" s="1240">
        <v>22</v>
      </c>
      <c r="C63" s="1187">
        <v>359</v>
      </c>
      <c r="D63" s="443" t="str">
        <f>_xlfn.XLOOKUP(B63,Códigos!$A$421:$A$483,Códigos!$B$421:$B$483,"Verificar",0)</f>
        <v>Compra de: -Equipos, dotaciones y repuestos para oficina</v>
      </c>
      <c r="E63" s="444" t="str">
        <f>_xlfn.XLOOKUP(C63,Códigos!$A$11:$A$415,Códigos!$B$11:$B$415,"Verificar",0)</f>
        <v>NOMBRE 232</v>
      </c>
      <c r="F63" s="1288" t="s">
        <v>407</v>
      </c>
      <c r="G63" s="1239">
        <f>800000+380000</f>
        <v>1180000</v>
      </c>
      <c r="H63" s="989">
        <f t="shared" si="0"/>
        <v>90762400</v>
      </c>
      <c r="I63" s="1049" t="s">
        <v>1119</v>
      </c>
      <c r="K63" s="19"/>
    </row>
    <row r="64" spans="1:11" x14ac:dyDescent="0.2">
      <c r="A64" s="1234">
        <v>45685</v>
      </c>
      <c r="B64" s="1000">
        <v>9</v>
      </c>
      <c r="C64" s="1187">
        <v>359</v>
      </c>
      <c r="D64" s="443" t="str">
        <f>_xlfn.XLOOKUP(B64,Códigos!$A$421:$A$483,Códigos!$B$421:$B$483,"Verificar",0)</f>
        <v>Pagos de: -Servicios públicos -OFICINA-</v>
      </c>
      <c r="E64" s="444" t="str">
        <f>_xlfn.XLOOKUP(C64,Códigos!$A$11:$A$415,Códigos!$B$11:$B$415,"Verificar",0)</f>
        <v>NOMBRE 232</v>
      </c>
      <c r="F64" s="1288" t="s">
        <v>407</v>
      </c>
      <c r="G64" s="1239">
        <v>143700</v>
      </c>
      <c r="H64" s="989">
        <f t="shared" si="0"/>
        <v>90906100</v>
      </c>
      <c r="I64" s="1050" t="s">
        <v>1120</v>
      </c>
      <c r="K64" s="19"/>
    </row>
    <row r="65" spans="1:11" x14ac:dyDescent="0.2">
      <c r="A65" s="1234">
        <v>45685</v>
      </c>
      <c r="B65" s="1291">
        <v>28</v>
      </c>
      <c r="C65" s="1291">
        <v>249</v>
      </c>
      <c r="D65" s="443" t="str">
        <f>_xlfn.XLOOKUP(B65,Códigos!$A$421:$A$483,Códigos!$B$421:$B$483,"Verificar",0)</f>
        <v>Préstamos a:</v>
      </c>
      <c r="E65" s="444" t="str">
        <f>_xlfn.XLOOKUP(C65,Códigos!$A$11:$A$415,Códigos!$B$11:$B$415,"Verificar",0)</f>
        <v>NOMBRE 220</v>
      </c>
      <c r="F65" s="1288" t="s">
        <v>407</v>
      </c>
      <c r="G65" s="1239">
        <v>52100</v>
      </c>
      <c r="H65" s="989">
        <f t="shared" si="0"/>
        <v>90958200</v>
      </c>
      <c r="I65" s="1050" t="s">
        <v>1121</v>
      </c>
      <c r="K65" s="19"/>
    </row>
    <row r="66" spans="1:11" x14ac:dyDescent="0.2">
      <c r="A66" s="1234">
        <v>45685</v>
      </c>
      <c r="B66" s="1000">
        <v>9</v>
      </c>
      <c r="C66" s="1187">
        <v>359</v>
      </c>
      <c r="D66" s="443" t="str">
        <f>_xlfn.XLOOKUP(B66,Códigos!$A$421:$A$483,Códigos!$B$421:$B$483,"Verificar",0)</f>
        <v>Pagos de: -Servicios públicos -OFICINA-</v>
      </c>
      <c r="E66" s="444" t="str">
        <f>_xlfn.XLOOKUP(C66,Códigos!$A$11:$A$415,Códigos!$B$11:$B$415,"Verificar",0)</f>
        <v>NOMBRE 232</v>
      </c>
      <c r="F66" s="1288" t="s">
        <v>407</v>
      </c>
      <c r="G66" s="1239">
        <v>242300</v>
      </c>
      <c r="H66" s="989">
        <f t="shared" si="0"/>
        <v>91200500</v>
      </c>
      <c r="I66" s="1050" t="s">
        <v>1122</v>
      </c>
      <c r="K66" s="19"/>
    </row>
    <row r="67" spans="1:11" x14ac:dyDescent="0.2">
      <c r="A67" s="1234">
        <v>45685</v>
      </c>
      <c r="B67" s="1241">
        <v>5</v>
      </c>
      <c r="C67" s="1187">
        <v>262</v>
      </c>
      <c r="D67" s="443" t="str">
        <f>_xlfn.XLOOKUP(B67,Códigos!$A$421:$A$483,Códigos!$B$421:$B$483,"Verificar",0)</f>
        <v>Préstamos por Nómina a:</v>
      </c>
      <c r="E67" s="444" t="str">
        <f>_xlfn.XLOOKUP(C67,Códigos!$A$11:$A$415,Códigos!$B$11:$B$415,"Verificar",0)</f>
        <v>NOMBRE 95</v>
      </c>
      <c r="F67" s="1288"/>
      <c r="G67" s="1239">
        <v>44200</v>
      </c>
      <c r="H67" s="989">
        <f t="shared" si="0"/>
        <v>91244700</v>
      </c>
      <c r="I67" s="1050" t="s">
        <v>1123</v>
      </c>
      <c r="K67" s="19"/>
    </row>
    <row r="68" spans="1:11" x14ac:dyDescent="0.2">
      <c r="A68" s="1234">
        <v>45685</v>
      </c>
      <c r="B68" s="1241">
        <v>1</v>
      </c>
      <c r="C68" s="1187">
        <v>355</v>
      </c>
      <c r="D68" s="443" t="str">
        <f>_xlfn.XLOOKUP(B68,Códigos!$A$421:$A$483,Códigos!$B$421:$B$483,"Verificar",0)</f>
        <v>Gastos personales</v>
      </c>
      <c r="E68" s="444" t="str">
        <f>_xlfn.XLOOKUP(C68,Códigos!$A$11:$A$415,Códigos!$B$11:$B$415,"Verificar",0)</f>
        <v>NOMBRE 96</v>
      </c>
      <c r="F68" s="1288" t="s">
        <v>407</v>
      </c>
      <c r="G68" s="1239">
        <v>400000</v>
      </c>
      <c r="H68" s="989">
        <f t="shared" si="0"/>
        <v>91644700</v>
      </c>
      <c r="I68" s="1052" t="s">
        <v>1101</v>
      </c>
      <c r="K68" s="19"/>
    </row>
    <row r="69" spans="1:11" x14ac:dyDescent="0.2">
      <c r="A69" s="1234">
        <v>45687</v>
      </c>
      <c r="B69" s="1241">
        <v>5</v>
      </c>
      <c r="C69" s="1187">
        <v>262</v>
      </c>
      <c r="D69" s="443" t="str">
        <f>_xlfn.XLOOKUP(B69,Códigos!$A$421:$A$483,Códigos!$B$421:$B$483,"Verificar",0)</f>
        <v>Préstamos por Nómina a:</v>
      </c>
      <c r="E69" s="444" t="str">
        <f>_xlfn.XLOOKUP(C69,Códigos!$A$11:$A$415,Códigos!$B$11:$B$415,"Verificar",0)</f>
        <v>NOMBRE 95</v>
      </c>
      <c r="F69" s="1288"/>
      <c r="G69" s="1239">
        <v>200000</v>
      </c>
      <c r="H69" s="989">
        <f t="shared" si="0"/>
        <v>91844700</v>
      </c>
      <c r="I69" s="1049" t="s">
        <v>1141</v>
      </c>
      <c r="K69" s="19"/>
    </row>
    <row r="70" spans="1:11" x14ac:dyDescent="0.2">
      <c r="A70" s="1234">
        <v>45688</v>
      </c>
      <c r="B70" s="1000">
        <v>8</v>
      </c>
      <c r="C70" s="1187">
        <v>357</v>
      </c>
      <c r="D70" s="443" t="str">
        <f>_xlfn.XLOOKUP(B70,Códigos!$A$421:$A$483,Códigos!$B$421:$B$483,"Verificar",0)</f>
        <v>Pagos de: -Cuota para alimentos y Manuntención</v>
      </c>
      <c r="E70" s="444" t="str">
        <f>_xlfn.XLOOKUP(C70,Códigos!$A$11:$A$415,Códigos!$B$11:$B$415,"Verificar",0)</f>
        <v>NOMBRE 107</v>
      </c>
      <c r="F70" s="1288" t="s">
        <v>1103</v>
      </c>
      <c r="G70" s="1239">
        <v>220000</v>
      </c>
      <c r="H70" s="989">
        <f t="shared" si="0"/>
        <v>92064700</v>
      </c>
      <c r="I70" s="1050" t="s">
        <v>1083</v>
      </c>
      <c r="K70" s="19"/>
    </row>
    <row r="71" spans="1:11" x14ac:dyDescent="0.2">
      <c r="A71" s="1234">
        <v>45688</v>
      </c>
      <c r="B71" s="1000">
        <v>2</v>
      </c>
      <c r="C71" s="1187">
        <v>353</v>
      </c>
      <c r="D71" s="443" t="str">
        <f>_xlfn.XLOOKUP(B71,Códigos!$A$421:$A$483,Códigos!$B$421:$B$483,"Verificar",0)</f>
        <v>Pago de Salarios a:</v>
      </c>
      <c r="E71" s="444" t="str">
        <f>_xlfn.XLOOKUP(C71,Códigos!$A$11:$A$415,Códigos!$B$11:$B$415,"Verificar",0)</f>
        <v>NOMBRE 31</v>
      </c>
      <c r="F71" s="1288" t="s">
        <v>407</v>
      </c>
      <c r="G71" s="1239">
        <v>660000</v>
      </c>
      <c r="H71" s="989">
        <f t="shared" si="0"/>
        <v>92724700</v>
      </c>
      <c r="I71" s="997" t="s">
        <v>1142</v>
      </c>
      <c r="K71" s="19"/>
    </row>
    <row r="72" spans="1:11" x14ac:dyDescent="0.2">
      <c r="A72" s="1234">
        <v>45688</v>
      </c>
      <c r="B72" s="1000">
        <v>8</v>
      </c>
      <c r="C72" s="996">
        <v>356</v>
      </c>
      <c r="D72" s="443" t="str">
        <f>_xlfn.XLOOKUP(B72,Códigos!$A$421:$A$483,Códigos!$B$421:$B$483,"Verificar",0)</f>
        <v>Pagos de: -Cuota para alimentos y Manuntención</v>
      </c>
      <c r="E72" s="444" t="str">
        <f>_xlfn.XLOOKUP(C72,Códigos!$A$11:$A$415,Códigos!$B$11:$B$415,"Verificar",0)</f>
        <v>NOMBRE 108</v>
      </c>
      <c r="F72" s="1288" t="s">
        <v>1103</v>
      </c>
      <c r="G72" s="990">
        <v>220000</v>
      </c>
      <c r="H72" s="989">
        <f t="shared" si="0"/>
        <v>92944700</v>
      </c>
      <c r="I72" s="1050" t="s">
        <v>1083</v>
      </c>
      <c r="K72" s="19"/>
    </row>
    <row r="73" spans="1:11" x14ac:dyDescent="0.2">
      <c r="A73" s="1234">
        <v>45688</v>
      </c>
      <c r="B73" s="1000">
        <v>8</v>
      </c>
      <c r="C73" s="996">
        <v>358</v>
      </c>
      <c r="D73" s="443" t="str">
        <f>_xlfn.XLOOKUP(B73,Códigos!$A$421:$A$483,Códigos!$B$421:$B$483,"Verificar",0)</f>
        <v>Pagos de: -Cuota para alimentos y Manuntención</v>
      </c>
      <c r="E73" s="444" t="str">
        <f>_xlfn.XLOOKUP(C73,Códigos!$A$11:$A$415,Códigos!$B$11:$B$415,"Verificar",0)</f>
        <v>NOMBRE 338</v>
      </c>
      <c r="F73" s="1288" t="s">
        <v>1103</v>
      </c>
      <c r="G73" s="1280">
        <v>380000</v>
      </c>
      <c r="H73" s="989">
        <f t="shared" si="0"/>
        <v>93324700</v>
      </c>
      <c r="I73" s="997" t="s">
        <v>1143</v>
      </c>
      <c r="K73" s="19"/>
    </row>
    <row r="74" spans="1:11" x14ac:dyDescent="0.2">
      <c r="A74" s="1234">
        <v>45688</v>
      </c>
      <c r="B74" s="1000">
        <v>2</v>
      </c>
      <c r="C74" s="996">
        <v>262</v>
      </c>
      <c r="D74" s="443" t="str">
        <f>_xlfn.XLOOKUP(B74,Códigos!$A$421:$A$483,Códigos!$B$421:$B$483,"Verificar",0)</f>
        <v>Pago de Salarios a:</v>
      </c>
      <c r="E74" s="444" t="str">
        <f>_xlfn.XLOOKUP(C74,Códigos!$A$11:$A$415,Códigos!$B$11:$B$415,"Verificar",0)</f>
        <v>NOMBRE 95</v>
      </c>
      <c r="F74" s="1288" t="s">
        <v>407</v>
      </c>
      <c r="G74" s="1239">
        <v>660000</v>
      </c>
      <c r="H74" s="989">
        <f t="shared" si="0"/>
        <v>93984700</v>
      </c>
      <c r="I74" s="997" t="s">
        <v>1142</v>
      </c>
      <c r="K74" s="19"/>
    </row>
    <row r="75" spans="1:11" x14ac:dyDescent="0.2">
      <c r="A75" s="1234">
        <v>45688</v>
      </c>
      <c r="B75" s="1241">
        <v>5</v>
      </c>
      <c r="C75" s="1187">
        <v>262</v>
      </c>
      <c r="D75" s="443" t="str">
        <f>_xlfn.XLOOKUP(B75,Códigos!$A$421:$A$483,Códigos!$B$421:$B$483,"Verificar",0)</f>
        <v>Préstamos por Nómina a:</v>
      </c>
      <c r="E75" s="444" t="str">
        <f>_xlfn.XLOOKUP(C75,Códigos!$A$11:$A$415,Códigos!$B$11:$B$415,"Verificar",0)</f>
        <v>NOMBRE 95</v>
      </c>
      <c r="F75" s="1288"/>
      <c r="G75" s="1239">
        <v>500000</v>
      </c>
      <c r="H75" s="989">
        <f t="shared" si="0"/>
        <v>94484700</v>
      </c>
      <c r="I75" s="1049" t="s">
        <v>1145</v>
      </c>
      <c r="K75" s="19"/>
    </row>
    <row r="76" spans="1:11" x14ac:dyDescent="0.2">
      <c r="A76" s="1234">
        <v>45692</v>
      </c>
      <c r="B76" s="1277">
        <v>7</v>
      </c>
      <c r="C76" s="1278">
        <v>359</v>
      </c>
      <c r="D76" s="443" t="str">
        <f>_xlfn.XLOOKUP(B76,Códigos!$A$421:$A$483,Códigos!$B$421:$B$483,"Verificar",0)</f>
        <v>Pagos de: -Seguridad Social</v>
      </c>
      <c r="E76" s="444" t="str">
        <f>_xlfn.XLOOKUP(C76,Códigos!$A$11:$A$415,Códigos!$B$11:$B$415,"Verificar",0)</f>
        <v>NOMBRE 232</v>
      </c>
      <c r="F76" s="1288" t="s">
        <v>407</v>
      </c>
      <c r="G76" s="1239">
        <v>1392400</v>
      </c>
      <c r="H76" s="989">
        <f t="shared" si="0"/>
        <v>95877100</v>
      </c>
      <c r="I76" s="1052" t="s">
        <v>1146</v>
      </c>
      <c r="K76" s="19"/>
    </row>
    <row r="77" spans="1:11" x14ac:dyDescent="0.2">
      <c r="A77" s="1234">
        <v>45692</v>
      </c>
      <c r="B77" s="1277">
        <v>7</v>
      </c>
      <c r="C77" s="1278">
        <v>359</v>
      </c>
      <c r="D77" s="443" t="str">
        <f>_xlfn.XLOOKUP(B77,Códigos!$A$421:$A$483,Códigos!$B$421:$B$483,"Verificar",0)</f>
        <v>Pagos de: -Seguridad Social</v>
      </c>
      <c r="E77" s="444" t="str">
        <f>_xlfn.XLOOKUP(C77,Códigos!$A$11:$A$415,Códigos!$B$11:$B$415,"Verificar",0)</f>
        <v>NOMBRE 232</v>
      </c>
      <c r="F77" s="1288" t="s">
        <v>407</v>
      </c>
      <c r="G77" s="1239">
        <v>940500</v>
      </c>
      <c r="H77" s="989">
        <f t="shared" ref="H77:H141" si="1">+H76+G77</f>
        <v>96817600</v>
      </c>
      <c r="I77" s="1052" t="s">
        <v>1147</v>
      </c>
      <c r="K77" s="19"/>
    </row>
    <row r="78" spans="1:11" x14ac:dyDescent="0.2">
      <c r="A78" s="1234">
        <v>45692</v>
      </c>
      <c r="B78" s="1241">
        <v>5</v>
      </c>
      <c r="C78" s="1187">
        <v>262</v>
      </c>
      <c r="D78" s="443" t="str">
        <f>_xlfn.XLOOKUP(B78,Códigos!$A$421:$A$483,Códigos!$B$421:$B$483,"Verificar",0)</f>
        <v>Préstamos por Nómina a:</v>
      </c>
      <c r="E78" s="444" t="str">
        <f>_xlfn.XLOOKUP(C78,Códigos!$A$11:$A$415,Códigos!$B$11:$B$415,"Verificar",0)</f>
        <v>NOMBRE 95</v>
      </c>
      <c r="F78" s="1288" t="s">
        <v>407</v>
      </c>
      <c r="G78" s="1239">
        <v>100000</v>
      </c>
      <c r="H78" s="989">
        <f t="shared" si="1"/>
        <v>96917600</v>
      </c>
      <c r="I78" s="1049" t="s">
        <v>1114</v>
      </c>
      <c r="K78" s="19"/>
    </row>
    <row r="79" spans="1:11" x14ac:dyDescent="0.2">
      <c r="A79" s="1234">
        <v>45692</v>
      </c>
      <c r="B79" s="1241">
        <v>5</v>
      </c>
      <c r="C79" s="1187">
        <v>262</v>
      </c>
      <c r="D79" s="443" t="str">
        <f>_xlfn.XLOOKUP(B79,Códigos!$A$421:$A$483,Códigos!$B$421:$B$483,"Verificar",0)</f>
        <v>Préstamos por Nómina a:</v>
      </c>
      <c r="E79" s="444" t="str">
        <f>_xlfn.XLOOKUP(C79,Códigos!$A$11:$A$415,Códigos!$B$11:$B$415,"Verificar",0)</f>
        <v>NOMBRE 95</v>
      </c>
      <c r="F79" s="1288" t="s">
        <v>407</v>
      </c>
      <c r="G79" s="1239">
        <v>100000</v>
      </c>
      <c r="H79" s="989">
        <f t="shared" si="1"/>
        <v>97017600</v>
      </c>
      <c r="I79" s="1049" t="s">
        <v>1148</v>
      </c>
      <c r="K79" s="19"/>
    </row>
    <row r="80" spans="1:11" x14ac:dyDescent="0.2">
      <c r="A80" s="1234">
        <v>45692</v>
      </c>
      <c r="B80" s="1241">
        <v>1</v>
      </c>
      <c r="C80" s="1187">
        <v>355</v>
      </c>
      <c r="D80" s="443" t="str">
        <f>_xlfn.XLOOKUP(B80,Códigos!$A$421:$A$483,Códigos!$B$421:$B$483,"Verificar",0)</f>
        <v>Gastos personales</v>
      </c>
      <c r="E80" s="444" t="str">
        <f>_xlfn.XLOOKUP(C80,Códigos!$A$11:$A$415,Códigos!$B$11:$B$415,"Verificar",0)</f>
        <v>NOMBRE 96</v>
      </c>
      <c r="F80" s="1288" t="s">
        <v>407</v>
      </c>
      <c r="G80" s="1239">
        <v>200000</v>
      </c>
      <c r="H80" s="989">
        <f t="shared" si="1"/>
        <v>97217600</v>
      </c>
      <c r="I80" s="1052" t="s">
        <v>1101</v>
      </c>
      <c r="K80" s="19"/>
    </row>
    <row r="81" spans="1:11" x14ac:dyDescent="0.2">
      <c r="A81" s="1234">
        <v>45692</v>
      </c>
      <c r="B81" s="1000">
        <v>9</v>
      </c>
      <c r="C81" s="996">
        <v>359</v>
      </c>
      <c r="D81" s="443" t="str">
        <f>_xlfn.XLOOKUP(B81,Códigos!$A$421:$A$483,Códigos!$B$421:$B$483,"Verificar",0)</f>
        <v>Pagos de: -Servicios públicos -OFICINA-</v>
      </c>
      <c r="E81" s="444" t="str">
        <f>_xlfn.XLOOKUP(C81,Códigos!$A$11:$A$415,Códigos!$B$11:$B$415,"Verificar",0)</f>
        <v>NOMBRE 232</v>
      </c>
      <c r="F81" s="1288" t="s">
        <v>407</v>
      </c>
      <c r="G81" s="1239">
        <v>129900</v>
      </c>
      <c r="H81" s="989">
        <f t="shared" si="1"/>
        <v>97347500</v>
      </c>
      <c r="I81" s="1049" t="s">
        <v>1150</v>
      </c>
      <c r="K81" s="19"/>
    </row>
    <row r="82" spans="1:11" x14ac:dyDescent="0.2">
      <c r="A82" s="1234">
        <v>45693</v>
      </c>
      <c r="B82" s="1241">
        <v>27</v>
      </c>
      <c r="C82" s="1187">
        <v>359</v>
      </c>
      <c r="D82" s="443" t="str">
        <f>_xlfn.XLOOKUP(B82,Códigos!$A$421:$A$483,Códigos!$B$421:$B$483,"Verificar",0)</f>
        <v>Compra de: -Restaurante y cafetería</v>
      </c>
      <c r="E82" s="444" t="str">
        <f>_xlfn.XLOOKUP(C82,Códigos!$A$11:$A$415,Códigos!$B$11:$B$415,"Verificar",0)</f>
        <v>NOMBRE 232</v>
      </c>
      <c r="F82" s="1288" t="s">
        <v>407</v>
      </c>
      <c r="G82" s="1239">
        <v>400000</v>
      </c>
      <c r="H82" s="989">
        <f t="shared" si="1"/>
        <v>97747500</v>
      </c>
      <c r="I82" s="1292" t="s">
        <v>1155</v>
      </c>
      <c r="K82" s="19"/>
    </row>
    <row r="83" spans="1:11" x14ac:dyDescent="0.2">
      <c r="A83" s="1234">
        <v>45693</v>
      </c>
      <c r="B83" s="1241">
        <v>5</v>
      </c>
      <c r="C83" s="1187">
        <v>262</v>
      </c>
      <c r="D83" s="443" t="str">
        <f>_xlfn.XLOOKUP(B83,Códigos!$A$421:$A$483,Códigos!$B$421:$B$483,"Verificar",0)</f>
        <v>Préstamos por Nómina a:</v>
      </c>
      <c r="E83" s="444" t="str">
        <f>_xlfn.XLOOKUP(C83,Códigos!$A$11:$A$415,Códigos!$B$11:$B$415,"Verificar",0)</f>
        <v>NOMBRE 95</v>
      </c>
      <c r="F83" s="1288"/>
      <c r="G83" s="1239">
        <v>300000</v>
      </c>
      <c r="H83" s="989">
        <f t="shared" si="1"/>
        <v>98047500</v>
      </c>
      <c r="I83" s="1049" t="s">
        <v>1145</v>
      </c>
      <c r="K83" s="19"/>
    </row>
    <row r="84" spans="1:11" x14ac:dyDescent="0.2">
      <c r="A84" s="1234">
        <v>45693</v>
      </c>
      <c r="B84" s="1000">
        <v>12</v>
      </c>
      <c r="C84" s="996">
        <v>359</v>
      </c>
      <c r="D84" s="443" t="str">
        <f>_xlfn.XLOOKUP(B84,Códigos!$A$421:$A$483,Códigos!$B$421:$B$483,"Verificar",0)</f>
        <v>Pagos de: -Celulares</v>
      </c>
      <c r="E84" s="444" t="str">
        <f>_xlfn.XLOOKUP(C84,Códigos!$A$11:$A$415,Códigos!$B$11:$B$415,"Verificar",0)</f>
        <v>NOMBRE 232</v>
      </c>
      <c r="F84" s="1288" t="s">
        <v>1103</v>
      </c>
      <c r="G84" s="1239">
        <v>59700</v>
      </c>
      <c r="H84" s="989">
        <f t="shared" si="1"/>
        <v>98107200</v>
      </c>
      <c r="I84" s="1049" t="s">
        <v>1039</v>
      </c>
      <c r="K84" s="19"/>
    </row>
    <row r="85" spans="1:11" x14ac:dyDescent="0.2">
      <c r="A85" s="1234">
        <v>45693</v>
      </c>
      <c r="B85" s="1000">
        <v>8</v>
      </c>
      <c r="C85" s="1187">
        <v>357</v>
      </c>
      <c r="D85" s="443" t="str">
        <f>_xlfn.XLOOKUP(B85,Códigos!$A$421:$A$483,Códigos!$B$421:$B$483,"Verificar",0)</f>
        <v>Pagos de: -Cuota para alimentos y Manuntención</v>
      </c>
      <c r="E85" s="444" t="str">
        <f>_xlfn.XLOOKUP(C85,Códigos!$A$11:$A$415,Códigos!$B$11:$B$415,"Verificar",0)</f>
        <v>NOMBRE 107</v>
      </c>
      <c r="F85" s="1288" t="s">
        <v>1103</v>
      </c>
      <c r="G85" s="1239">
        <v>220000</v>
      </c>
      <c r="H85" s="989">
        <f t="shared" si="1"/>
        <v>98327200</v>
      </c>
      <c r="I85" s="1050" t="s">
        <v>1083</v>
      </c>
      <c r="K85" s="19"/>
    </row>
    <row r="86" spans="1:11" x14ac:dyDescent="0.2">
      <c r="A86" s="1234">
        <v>45693</v>
      </c>
      <c r="B86" s="1000">
        <v>2</v>
      </c>
      <c r="C86" s="1187">
        <v>353</v>
      </c>
      <c r="D86" s="443" t="str">
        <f>_xlfn.XLOOKUP(B86,Códigos!$A$421:$A$483,Códigos!$B$421:$B$483,"Verificar",0)</f>
        <v>Pago de Salarios a:</v>
      </c>
      <c r="E86" s="444" t="str">
        <f>_xlfn.XLOOKUP(C86,Códigos!$A$11:$A$415,Códigos!$B$11:$B$415,"Verificar",0)</f>
        <v>NOMBRE 31</v>
      </c>
      <c r="F86" s="1288" t="s">
        <v>407</v>
      </c>
      <c r="G86" s="1239">
        <v>660000</v>
      </c>
      <c r="H86" s="989">
        <f t="shared" si="1"/>
        <v>98987200</v>
      </c>
      <c r="I86" s="997" t="s">
        <v>1156</v>
      </c>
      <c r="K86" s="19"/>
    </row>
    <row r="87" spans="1:11" x14ac:dyDescent="0.2">
      <c r="A87" s="1234">
        <v>45693</v>
      </c>
      <c r="B87" s="1187">
        <v>35</v>
      </c>
      <c r="C87" s="1187">
        <v>359</v>
      </c>
      <c r="D87" s="443" t="str">
        <f>_xlfn.XLOOKUP(B87,Códigos!$A$421:$A$483,Códigos!$B$421:$B$483,"Verificar",0)</f>
        <v>Impuestos, tasas y contribuciones -GTFF-</v>
      </c>
      <c r="E87" s="444" t="str">
        <f>_xlfn.XLOOKUP(C87,Códigos!$A$11:$A$415,Códigos!$B$11:$B$415,"Verificar",0)</f>
        <v>NOMBRE 232</v>
      </c>
      <c r="F87" s="1288" t="s">
        <v>1103</v>
      </c>
      <c r="G87" s="1239">
        <v>1257200</v>
      </c>
      <c r="H87" s="989">
        <f t="shared" si="1"/>
        <v>100244400</v>
      </c>
      <c r="I87" s="1049" t="s">
        <v>1157</v>
      </c>
      <c r="K87" s="19"/>
    </row>
    <row r="88" spans="1:11" x14ac:dyDescent="0.2">
      <c r="A88" s="1234">
        <v>45694</v>
      </c>
      <c r="B88" s="1241">
        <v>1</v>
      </c>
      <c r="C88" s="1187">
        <v>355</v>
      </c>
      <c r="D88" s="443" t="str">
        <f>_xlfn.XLOOKUP(B88,Códigos!$A$421:$A$483,Códigos!$B$421:$B$483,"Verificar",0)</f>
        <v>Gastos personales</v>
      </c>
      <c r="E88" s="444" t="str">
        <f>_xlfn.XLOOKUP(C88,Códigos!$A$11:$A$415,Códigos!$B$11:$B$415,"Verificar",0)</f>
        <v>NOMBRE 96</v>
      </c>
      <c r="F88" s="1288" t="s">
        <v>407</v>
      </c>
      <c r="G88" s="1239">
        <v>210000</v>
      </c>
      <c r="H88" s="989">
        <f t="shared" si="1"/>
        <v>100454400</v>
      </c>
      <c r="I88" s="1052" t="s">
        <v>1101</v>
      </c>
      <c r="K88" s="19"/>
    </row>
    <row r="89" spans="1:11" x14ac:dyDescent="0.2">
      <c r="A89" s="1234">
        <v>45695</v>
      </c>
      <c r="B89" s="1000">
        <v>8</v>
      </c>
      <c r="C89" s="996">
        <v>356</v>
      </c>
      <c r="D89" s="443" t="str">
        <f>_xlfn.XLOOKUP(B89,Códigos!$A$421:$A$483,Códigos!$B$421:$B$483,"Verificar",0)</f>
        <v>Pagos de: -Cuota para alimentos y Manuntención</v>
      </c>
      <c r="E89" s="444" t="str">
        <f>_xlfn.XLOOKUP(C89,Códigos!$A$11:$A$415,Códigos!$B$11:$B$415,"Verificar",0)</f>
        <v>NOMBRE 108</v>
      </c>
      <c r="F89" s="1288" t="s">
        <v>1103</v>
      </c>
      <c r="G89" s="990">
        <v>220000</v>
      </c>
      <c r="H89" s="989">
        <f t="shared" si="1"/>
        <v>100674400</v>
      </c>
      <c r="I89" s="1050" t="s">
        <v>1083</v>
      </c>
      <c r="K89" s="19"/>
    </row>
    <row r="90" spans="1:11" x14ac:dyDescent="0.2">
      <c r="A90" s="1234">
        <v>45695</v>
      </c>
      <c r="B90" s="1000">
        <v>8</v>
      </c>
      <c r="C90" s="996">
        <v>358</v>
      </c>
      <c r="D90" s="443" t="str">
        <f>_xlfn.XLOOKUP(B90,Códigos!$A$421:$A$483,Códigos!$B$421:$B$483,"Verificar",0)</f>
        <v>Pagos de: -Cuota para alimentos y Manuntención</v>
      </c>
      <c r="E90" s="444" t="str">
        <f>_xlfn.XLOOKUP(C90,Códigos!$A$11:$A$415,Códigos!$B$11:$B$415,"Verificar",0)</f>
        <v>NOMBRE 338</v>
      </c>
      <c r="F90" s="1288" t="s">
        <v>1103</v>
      </c>
      <c r="G90" s="1280">
        <v>380000</v>
      </c>
      <c r="H90" s="989">
        <f t="shared" si="1"/>
        <v>101054400</v>
      </c>
      <c r="I90" s="997" t="s">
        <v>1158</v>
      </c>
      <c r="K90" s="19"/>
    </row>
    <row r="91" spans="1:11" x14ac:dyDescent="0.2">
      <c r="A91" s="1234">
        <v>45695</v>
      </c>
      <c r="B91" s="1000">
        <v>2</v>
      </c>
      <c r="C91" s="996">
        <v>262</v>
      </c>
      <c r="D91" s="443" t="str">
        <f>_xlfn.XLOOKUP(B91,Códigos!$A$421:$A$483,Códigos!$B$421:$B$483,"Verificar",0)</f>
        <v>Pago de Salarios a:</v>
      </c>
      <c r="E91" s="444" t="str">
        <f>_xlfn.XLOOKUP(C91,Códigos!$A$11:$A$415,Códigos!$B$11:$B$415,"Verificar",0)</f>
        <v>NOMBRE 95</v>
      </c>
      <c r="F91" s="1288" t="s">
        <v>407</v>
      </c>
      <c r="G91" s="1239">
        <v>660000</v>
      </c>
      <c r="H91" s="989">
        <f t="shared" si="1"/>
        <v>101714400</v>
      </c>
      <c r="I91" s="997" t="s">
        <v>1156</v>
      </c>
      <c r="K91" s="19"/>
    </row>
    <row r="92" spans="1:11" x14ac:dyDescent="0.2">
      <c r="A92" s="1234">
        <v>45695</v>
      </c>
      <c r="B92" s="1241">
        <v>1</v>
      </c>
      <c r="C92" s="1187">
        <v>355</v>
      </c>
      <c r="D92" s="443" t="str">
        <f>_xlfn.XLOOKUP(B92,Códigos!$A$421:$A$483,Códigos!$B$421:$B$483,"Verificar",0)</f>
        <v>Gastos personales</v>
      </c>
      <c r="E92" s="444" t="str">
        <f>_xlfn.XLOOKUP(C92,Códigos!$A$11:$A$415,Códigos!$B$11:$B$415,"Verificar",0)</f>
        <v>NOMBRE 96</v>
      </c>
      <c r="F92" s="1288" t="s">
        <v>407</v>
      </c>
      <c r="G92" s="1239">
        <v>400000</v>
      </c>
      <c r="H92" s="989">
        <f t="shared" si="1"/>
        <v>102114400</v>
      </c>
      <c r="I92" s="1052" t="s">
        <v>1101</v>
      </c>
      <c r="K92" s="19"/>
    </row>
    <row r="93" spans="1:11" x14ac:dyDescent="0.2">
      <c r="A93" s="1234">
        <v>45699</v>
      </c>
      <c r="B93" s="1241">
        <v>29</v>
      </c>
      <c r="C93" s="1187">
        <v>8</v>
      </c>
      <c r="D93" s="443" t="str">
        <f>_xlfn.XLOOKUP(B93,Códigos!$A$421:$A$483,Códigos!$B$421:$B$483,"Verificar",0)</f>
        <v>Egresos por Cuenta de Terceros -Pagos impuestos-</v>
      </c>
      <c r="E93" s="444" t="str">
        <f>_xlfn.XLOOKUP(C93,Códigos!$A$11:$A$415,Códigos!$B$11:$B$415,"Verificar",0)</f>
        <v>NOMBRE 64</v>
      </c>
      <c r="F93" s="1288" t="s">
        <v>407</v>
      </c>
      <c r="G93" s="1239">
        <v>53000</v>
      </c>
      <c r="H93" s="989">
        <f t="shared" si="1"/>
        <v>102167400</v>
      </c>
      <c r="I93" s="1049" t="s">
        <v>1160</v>
      </c>
      <c r="K93" s="19"/>
    </row>
    <row r="94" spans="1:11" x14ac:dyDescent="0.2">
      <c r="A94" s="1234">
        <v>45700</v>
      </c>
      <c r="B94" s="1000">
        <v>10</v>
      </c>
      <c r="C94" s="996">
        <v>359</v>
      </c>
      <c r="D94" s="443" t="str">
        <f>_xlfn.XLOOKUP(B94,Códigos!$A$421:$A$483,Códigos!$B$421:$B$483,"Verificar",0)</f>
        <v>Pagos de: -Servicios públicos -NIÑAS-</v>
      </c>
      <c r="E94" s="444" t="str">
        <f>_xlfn.XLOOKUP(C94,Códigos!$A$11:$A$415,Códigos!$B$11:$B$415,"Verificar",0)</f>
        <v>NOMBRE 232</v>
      </c>
      <c r="F94" s="1288" t="s">
        <v>1103</v>
      </c>
      <c r="G94" s="1239">
        <v>125500</v>
      </c>
      <c r="H94" s="989">
        <f t="shared" si="1"/>
        <v>102292900</v>
      </c>
      <c r="I94" s="1049" t="s">
        <v>1162</v>
      </c>
      <c r="K94" s="19"/>
    </row>
    <row r="95" spans="1:11" x14ac:dyDescent="0.2">
      <c r="A95" s="1234">
        <v>45700</v>
      </c>
      <c r="B95" s="1000">
        <v>9</v>
      </c>
      <c r="C95" s="1187">
        <v>359</v>
      </c>
      <c r="D95" s="443" t="str">
        <f>_xlfn.XLOOKUP(B95,Códigos!$A$421:$A$483,Códigos!$B$421:$B$483,"Verificar",0)</f>
        <v>Pagos de: -Servicios públicos -OFICINA-</v>
      </c>
      <c r="E95" s="444" t="str">
        <f>_xlfn.XLOOKUP(C95,Códigos!$A$11:$A$415,Códigos!$B$11:$B$415,"Verificar",0)</f>
        <v>NOMBRE 232</v>
      </c>
      <c r="F95" s="1288" t="s">
        <v>407</v>
      </c>
      <c r="G95" s="1239">
        <v>106700</v>
      </c>
      <c r="H95" s="989">
        <f t="shared" si="1"/>
        <v>102399600</v>
      </c>
      <c r="I95" s="1050" t="s">
        <v>1066</v>
      </c>
      <c r="K95" s="19"/>
    </row>
    <row r="96" spans="1:11" x14ac:dyDescent="0.2">
      <c r="A96" s="1234">
        <v>45700</v>
      </c>
      <c r="B96" s="1000">
        <v>9</v>
      </c>
      <c r="C96" s="1187">
        <v>359</v>
      </c>
      <c r="D96" s="443" t="str">
        <f>_xlfn.XLOOKUP(B96,Códigos!$A$421:$A$483,Códigos!$B$421:$B$483,"Verificar",0)</f>
        <v>Pagos de: -Servicios públicos -OFICINA-</v>
      </c>
      <c r="E96" s="444" t="str">
        <f>_xlfn.XLOOKUP(C96,Códigos!$A$11:$A$415,Códigos!$B$11:$B$415,"Verificar",0)</f>
        <v>NOMBRE 232</v>
      </c>
      <c r="F96" s="1288" t="s">
        <v>407</v>
      </c>
      <c r="G96" s="1239">
        <v>67800</v>
      </c>
      <c r="H96" s="989">
        <f t="shared" si="1"/>
        <v>102467400</v>
      </c>
      <c r="I96" s="1050" t="s">
        <v>1067</v>
      </c>
      <c r="K96" s="19"/>
    </row>
    <row r="97" spans="1:11" x14ac:dyDescent="0.2">
      <c r="A97" s="1234">
        <v>45701</v>
      </c>
      <c r="B97" s="1000">
        <v>8</v>
      </c>
      <c r="C97" s="1187">
        <v>357</v>
      </c>
      <c r="D97" s="443" t="str">
        <f>_xlfn.XLOOKUP(B97,Códigos!$A$421:$A$483,Códigos!$B$421:$B$483,"Verificar",0)</f>
        <v>Pagos de: -Cuota para alimentos y Manuntención</v>
      </c>
      <c r="E97" s="444" t="str">
        <f>_xlfn.XLOOKUP(C97,Códigos!$A$11:$A$415,Códigos!$B$11:$B$415,"Verificar",0)</f>
        <v>NOMBRE 107</v>
      </c>
      <c r="F97" s="1288" t="s">
        <v>1103</v>
      </c>
      <c r="G97" s="1239">
        <v>220000</v>
      </c>
      <c r="H97" s="989">
        <f t="shared" si="1"/>
        <v>102687400</v>
      </c>
      <c r="I97" s="1050" t="s">
        <v>1083</v>
      </c>
      <c r="K97" s="19"/>
    </row>
    <row r="98" spans="1:11" x14ac:dyDescent="0.2">
      <c r="A98" s="1234">
        <v>45701</v>
      </c>
      <c r="B98" s="1000">
        <v>2</v>
      </c>
      <c r="C98" s="1187">
        <v>353</v>
      </c>
      <c r="D98" s="443" t="str">
        <f>_xlfn.XLOOKUP(B98,Códigos!$A$421:$A$483,Códigos!$B$421:$B$483,"Verificar",0)</f>
        <v>Pago de Salarios a:</v>
      </c>
      <c r="E98" s="444" t="str">
        <f>_xlfn.XLOOKUP(C98,Códigos!$A$11:$A$415,Códigos!$B$11:$B$415,"Verificar",0)</f>
        <v>NOMBRE 31</v>
      </c>
      <c r="F98" s="1288" t="s">
        <v>407</v>
      </c>
      <c r="G98" s="1239">
        <v>660000</v>
      </c>
      <c r="H98" s="989">
        <f t="shared" si="1"/>
        <v>103347400</v>
      </c>
      <c r="I98" s="997" t="s">
        <v>1163</v>
      </c>
      <c r="K98" s="19"/>
    </row>
    <row r="99" spans="1:11" x14ac:dyDescent="0.2">
      <c r="A99" s="1234">
        <v>45701</v>
      </c>
      <c r="B99" s="1241">
        <v>7</v>
      </c>
      <c r="C99" s="1187">
        <v>359</v>
      </c>
      <c r="D99" s="443" t="str">
        <f>_xlfn.XLOOKUP(B99,Códigos!$A$421:$A$483,Códigos!$B$421:$B$483,"Verificar",0)</f>
        <v>Pagos de: -Seguridad Social</v>
      </c>
      <c r="E99" s="444" t="str">
        <f>_xlfn.XLOOKUP(C99,Códigos!$A$11:$A$415,Códigos!$B$11:$B$415,"Verificar",0)</f>
        <v>NOMBRE 232</v>
      </c>
      <c r="F99" s="1288" t="s">
        <v>407</v>
      </c>
      <c r="G99" s="1239">
        <v>4402300</v>
      </c>
      <c r="H99" s="989">
        <f t="shared" si="1"/>
        <v>107749700</v>
      </c>
      <c r="I99" s="1049" t="s">
        <v>1169</v>
      </c>
      <c r="K99" s="19"/>
    </row>
    <row r="100" spans="1:11" x14ac:dyDescent="0.2">
      <c r="A100" s="1234">
        <v>45701</v>
      </c>
      <c r="B100" s="1275">
        <v>39</v>
      </c>
      <c r="C100" s="1276">
        <v>362</v>
      </c>
      <c r="D100" s="443" t="str">
        <f>_xlfn.XLOOKUP(B100,Códigos!$A$421:$A$483,Códigos!$B$421:$B$483,"Verificar",0)</f>
        <v>Pago intereses préstamo Juliana</v>
      </c>
      <c r="E100" s="444" t="str">
        <f>_xlfn.XLOOKUP(C100,Códigos!$A$11:$A$415,Códigos!$B$11:$B$415,"Verificar",0)</f>
        <v>NOMBRE 97</v>
      </c>
      <c r="F100" s="1288" t="s">
        <v>407</v>
      </c>
      <c r="G100" s="1239">
        <v>350000</v>
      </c>
      <c r="H100" s="989">
        <f t="shared" si="1"/>
        <v>108099700</v>
      </c>
      <c r="I100" s="1274" t="s">
        <v>1170</v>
      </c>
      <c r="K100" s="19"/>
    </row>
    <row r="101" spans="1:11" x14ac:dyDescent="0.2">
      <c r="A101" s="1234">
        <v>45701</v>
      </c>
      <c r="B101" s="1275">
        <v>21</v>
      </c>
      <c r="C101" s="1276">
        <v>362</v>
      </c>
      <c r="D101" s="443" t="str">
        <f>_xlfn.XLOOKUP(B101,Códigos!$A$421:$A$483,Códigos!$B$421:$B$483,"Verificar",0)</f>
        <v>Pagos de: -Cuentas por Pagar a:</v>
      </c>
      <c r="E101" s="444" t="str">
        <f>_xlfn.XLOOKUP(C101,Códigos!$A$11:$A$415,Códigos!$B$11:$B$415,"Verificar",0)</f>
        <v>NOMBRE 97</v>
      </c>
      <c r="F101" s="1288" t="s">
        <v>407</v>
      </c>
      <c r="G101" s="1239">
        <v>200000</v>
      </c>
      <c r="H101" s="989">
        <f t="shared" si="1"/>
        <v>108299700</v>
      </c>
      <c r="I101" s="1274" t="s">
        <v>1171</v>
      </c>
      <c r="K101" s="19"/>
    </row>
    <row r="102" spans="1:11" x14ac:dyDescent="0.2">
      <c r="A102" s="1234">
        <v>45701</v>
      </c>
      <c r="B102" s="1241">
        <v>8</v>
      </c>
      <c r="C102" s="1187">
        <v>355</v>
      </c>
      <c r="D102" s="443" t="str">
        <f>_xlfn.XLOOKUP(B102,Códigos!$A$421:$A$483,Códigos!$B$421:$B$483,"Verificar",0)</f>
        <v>Pagos de: -Cuota para alimentos y Manuntención</v>
      </c>
      <c r="E102" s="444" t="str">
        <f>_xlfn.XLOOKUP(C102,Códigos!$A$11:$A$415,Códigos!$B$11:$B$415,"Verificar",0)</f>
        <v>NOMBRE 96</v>
      </c>
      <c r="F102" s="1288" t="s">
        <v>1103</v>
      </c>
      <c r="G102" s="1239">
        <v>300000</v>
      </c>
      <c r="H102" s="989">
        <f t="shared" si="1"/>
        <v>108599700</v>
      </c>
      <c r="I102" s="1050" t="s">
        <v>1172</v>
      </c>
      <c r="K102" s="19"/>
    </row>
    <row r="103" spans="1:11" x14ac:dyDescent="0.2">
      <c r="A103" s="1234">
        <v>45702</v>
      </c>
      <c r="B103" s="1000">
        <v>8</v>
      </c>
      <c r="C103" s="996">
        <v>356</v>
      </c>
      <c r="D103" s="443" t="str">
        <f>_xlfn.XLOOKUP(B103,Códigos!$A$421:$A$483,Códigos!$B$421:$B$483,"Verificar",0)</f>
        <v>Pagos de: -Cuota para alimentos y Manuntención</v>
      </c>
      <c r="E103" s="444" t="str">
        <f>_xlfn.XLOOKUP(C103,Códigos!$A$11:$A$415,Códigos!$B$11:$B$415,"Verificar",0)</f>
        <v>NOMBRE 108</v>
      </c>
      <c r="F103" s="1288" t="s">
        <v>1103</v>
      </c>
      <c r="G103" s="990">
        <v>220000</v>
      </c>
      <c r="H103" s="989">
        <f t="shared" si="1"/>
        <v>108819700</v>
      </c>
      <c r="I103" s="1050" t="s">
        <v>1083</v>
      </c>
      <c r="K103" s="19"/>
    </row>
    <row r="104" spans="1:11" x14ac:dyDescent="0.2">
      <c r="A104" s="1234">
        <v>45702</v>
      </c>
      <c r="B104" s="1000">
        <v>8</v>
      </c>
      <c r="C104" s="996">
        <v>358</v>
      </c>
      <c r="D104" s="443" t="str">
        <f>_xlfn.XLOOKUP(B104,Códigos!$A$421:$A$483,Códigos!$B$421:$B$483,"Verificar",0)</f>
        <v>Pagos de: -Cuota para alimentos y Manuntención</v>
      </c>
      <c r="E104" s="444" t="str">
        <f>_xlfn.XLOOKUP(C104,Códigos!$A$11:$A$415,Códigos!$B$11:$B$415,"Verificar",0)</f>
        <v>NOMBRE 338</v>
      </c>
      <c r="F104" s="1288" t="s">
        <v>1103</v>
      </c>
      <c r="G104" s="1280">
        <v>380000</v>
      </c>
      <c r="H104" s="989">
        <f t="shared" si="1"/>
        <v>109199700</v>
      </c>
      <c r="I104" s="997" t="s">
        <v>1196</v>
      </c>
      <c r="K104" s="19"/>
    </row>
    <row r="105" spans="1:11" x14ac:dyDescent="0.2">
      <c r="A105" s="1234">
        <v>45702</v>
      </c>
      <c r="B105" s="1000">
        <v>2</v>
      </c>
      <c r="C105" s="996">
        <v>262</v>
      </c>
      <c r="D105" s="443" t="str">
        <f>_xlfn.XLOOKUP(B105,Códigos!$A$421:$A$483,Códigos!$B$421:$B$483,"Verificar",0)</f>
        <v>Pago de Salarios a:</v>
      </c>
      <c r="E105" s="444" t="str">
        <f>_xlfn.XLOOKUP(C105,Códigos!$A$11:$A$415,Códigos!$B$11:$B$415,"Verificar",0)</f>
        <v>NOMBRE 95</v>
      </c>
      <c r="F105" s="1288" t="s">
        <v>407</v>
      </c>
      <c r="G105" s="1239">
        <v>660000</v>
      </c>
      <c r="H105" s="989">
        <f t="shared" si="1"/>
        <v>109859700</v>
      </c>
      <c r="I105" s="997" t="s">
        <v>1163</v>
      </c>
      <c r="K105" s="19"/>
    </row>
    <row r="106" spans="1:11" x14ac:dyDescent="0.2">
      <c r="A106" s="1234">
        <v>45702</v>
      </c>
      <c r="B106" s="1241">
        <v>23</v>
      </c>
      <c r="C106" s="1187">
        <v>359</v>
      </c>
      <c r="D106" s="443" t="str">
        <f>_xlfn.XLOOKUP(B106,Códigos!$A$421:$A$483,Códigos!$B$421:$B$483,"Verificar",0)</f>
        <v>Compra de: -Útiles de aseo</v>
      </c>
      <c r="E106" s="444" t="str">
        <f>_xlfn.XLOOKUP(C106,Códigos!$A$11:$A$415,Códigos!$B$11:$B$415,"Verificar",0)</f>
        <v>NOMBRE 232</v>
      </c>
      <c r="F106" s="1288" t="s">
        <v>407</v>
      </c>
      <c r="G106" s="1239">
        <v>80000</v>
      </c>
      <c r="H106" s="989">
        <f t="shared" si="1"/>
        <v>109939700</v>
      </c>
      <c r="I106" s="1052" t="s">
        <v>1046</v>
      </c>
      <c r="K106" s="19"/>
    </row>
    <row r="107" spans="1:11" x14ac:dyDescent="0.2">
      <c r="A107" s="1234">
        <v>45702</v>
      </c>
      <c r="B107" s="1000">
        <v>9</v>
      </c>
      <c r="C107" s="996">
        <v>359</v>
      </c>
      <c r="D107" s="443" t="str">
        <f>_xlfn.XLOOKUP(B107,Códigos!$A$421:$A$483,Códigos!$B$421:$B$483,"Verificar",0)</f>
        <v>Pagos de: -Servicios públicos -OFICINA-</v>
      </c>
      <c r="E107" s="444" t="str">
        <f>_xlfn.XLOOKUP(C107,Códigos!$A$11:$A$415,Códigos!$B$11:$B$415,"Verificar",0)</f>
        <v>NOMBRE 232</v>
      </c>
      <c r="F107" s="1288" t="s">
        <v>407</v>
      </c>
      <c r="G107" s="1239">
        <v>404400</v>
      </c>
      <c r="H107" s="989">
        <f t="shared" si="1"/>
        <v>110344100</v>
      </c>
      <c r="I107" s="1049" t="s">
        <v>1106</v>
      </c>
      <c r="K107" s="19"/>
    </row>
    <row r="108" spans="1:11" x14ac:dyDescent="0.2">
      <c r="A108" s="1234">
        <v>45702</v>
      </c>
      <c r="B108" s="1241">
        <v>1</v>
      </c>
      <c r="C108" s="1187">
        <v>355</v>
      </c>
      <c r="D108" s="443" t="str">
        <f>_xlfn.XLOOKUP(B108,Códigos!$A$421:$A$483,Códigos!$B$421:$B$483,"Verificar",0)</f>
        <v>Gastos personales</v>
      </c>
      <c r="E108" s="444" t="str">
        <f>_xlfn.XLOOKUP(C108,Códigos!$A$11:$A$415,Códigos!$B$11:$B$415,"Verificar",0)</f>
        <v>NOMBRE 96</v>
      </c>
      <c r="F108" s="1288" t="s">
        <v>407</v>
      </c>
      <c r="G108" s="1239">
        <v>400000</v>
      </c>
      <c r="H108" s="989">
        <f t="shared" si="1"/>
        <v>110744100</v>
      </c>
      <c r="I108" s="1052" t="s">
        <v>1101</v>
      </c>
      <c r="K108" s="19"/>
    </row>
    <row r="109" spans="1:11" x14ac:dyDescent="0.2">
      <c r="A109" s="1234">
        <v>45702</v>
      </c>
      <c r="B109" s="1241">
        <v>33</v>
      </c>
      <c r="C109" s="1187">
        <v>3</v>
      </c>
      <c r="D109" s="443" t="str">
        <f>_xlfn.XLOOKUP(B109,Códigos!$A$421:$A$483,Códigos!$B$421:$B$483,"Verificar",0)</f>
        <v>AJUSTE POR -Consignación - Traslado a Bancos</v>
      </c>
      <c r="E109" s="444" t="str">
        <f>_xlfn.XLOOKUP(C109,Códigos!$A$11:$A$415,Códigos!$B$11:$B$415,"Verificar",0)</f>
        <v>NOMBRE 24</v>
      </c>
      <c r="F109" s="1288"/>
      <c r="G109" s="1239">
        <v>320000</v>
      </c>
      <c r="H109" s="989">
        <f t="shared" si="1"/>
        <v>111064100</v>
      </c>
      <c r="I109" s="1049" t="s">
        <v>1174</v>
      </c>
      <c r="K109" s="19"/>
    </row>
    <row r="110" spans="1:11" x14ac:dyDescent="0.2">
      <c r="A110" s="1234">
        <v>45702</v>
      </c>
      <c r="B110" s="1241">
        <v>33</v>
      </c>
      <c r="C110" s="1187">
        <v>3</v>
      </c>
      <c r="D110" s="443" t="str">
        <f>_xlfn.XLOOKUP(B110,Códigos!$A$421:$A$483,Códigos!$B$421:$B$483,"Verificar",0)</f>
        <v>AJUSTE POR -Consignación - Traslado a Bancos</v>
      </c>
      <c r="E110" s="444" t="str">
        <f>_xlfn.XLOOKUP(C110,Códigos!$A$11:$A$415,Códigos!$B$11:$B$415,"Verificar",0)</f>
        <v>NOMBRE 24</v>
      </c>
      <c r="F110" s="1288"/>
      <c r="G110" s="1239">
        <v>430000</v>
      </c>
      <c r="H110" s="989">
        <f t="shared" si="1"/>
        <v>111494100</v>
      </c>
      <c r="I110" s="1049" t="s">
        <v>1175</v>
      </c>
      <c r="K110" s="19"/>
    </row>
    <row r="111" spans="1:11" x14ac:dyDescent="0.2">
      <c r="A111" s="1234">
        <v>45702</v>
      </c>
      <c r="B111" s="1241">
        <v>33</v>
      </c>
      <c r="C111" s="1187">
        <v>3</v>
      </c>
      <c r="D111" s="443" t="str">
        <f>_xlfn.XLOOKUP(B111,Códigos!$A$421:$A$483,Códigos!$B$421:$B$483,"Verificar",0)</f>
        <v>AJUSTE POR -Consignación - Traslado a Bancos</v>
      </c>
      <c r="E111" s="444" t="str">
        <f>_xlfn.XLOOKUP(C111,Códigos!$A$11:$A$415,Códigos!$B$11:$B$415,"Verificar",0)</f>
        <v>NOMBRE 24</v>
      </c>
      <c r="F111" s="1288"/>
      <c r="G111" s="1239">
        <v>620000</v>
      </c>
      <c r="H111" s="989">
        <f t="shared" si="1"/>
        <v>112114100</v>
      </c>
      <c r="I111" s="1049" t="s">
        <v>1176</v>
      </c>
      <c r="K111" s="19"/>
    </row>
    <row r="112" spans="1:11" x14ac:dyDescent="0.2">
      <c r="A112" s="1234">
        <v>45704</v>
      </c>
      <c r="B112" s="1000">
        <v>43</v>
      </c>
      <c r="C112" s="996">
        <v>359</v>
      </c>
      <c r="D112" s="443" t="str">
        <f>_xlfn.XLOOKUP(B112,Códigos!$A$421:$A$483,Códigos!$B$421:$B$483,"Verificar",0)</f>
        <v>Pago Hipotecario BANCOLOMBIA</v>
      </c>
      <c r="E112" s="444" t="str">
        <f>_xlfn.XLOOKUP(C112,Códigos!$A$11:$A$415,Códigos!$B$11:$B$415,"Verificar",0)</f>
        <v>NOMBRE 232</v>
      </c>
      <c r="F112" s="1288" t="s">
        <v>407</v>
      </c>
      <c r="G112" s="1239">
        <v>1026800</v>
      </c>
      <c r="H112" s="989">
        <f t="shared" si="1"/>
        <v>113140900</v>
      </c>
      <c r="I112" s="997" t="s">
        <v>1113</v>
      </c>
      <c r="K112" s="19"/>
    </row>
    <row r="113" spans="1:11" x14ac:dyDescent="0.2">
      <c r="A113" s="1234">
        <v>45705</v>
      </c>
      <c r="B113" s="1241">
        <v>33</v>
      </c>
      <c r="C113" s="1187">
        <v>3</v>
      </c>
      <c r="D113" s="443" t="str">
        <f>_xlfn.XLOOKUP(B113,Códigos!$A$421:$A$483,Códigos!$B$421:$B$483,"Verificar",0)</f>
        <v>AJUSTE POR -Consignación - Traslado a Bancos</v>
      </c>
      <c r="E113" s="444" t="str">
        <f>_xlfn.XLOOKUP(C113,Códigos!$A$11:$A$415,Códigos!$B$11:$B$415,"Verificar",0)</f>
        <v>NOMBRE 24</v>
      </c>
      <c r="F113" s="1288"/>
      <c r="G113" s="1239">
        <v>330000</v>
      </c>
      <c r="H113" s="989">
        <f t="shared" si="1"/>
        <v>113470900</v>
      </c>
      <c r="I113" s="1049" t="s">
        <v>1177</v>
      </c>
      <c r="K113" s="19"/>
    </row>
    <row r="114" spans="1:11" x14ac:dyDescent="0.2">
      <c r="A114" s="1234">
        <v>45706</v>
      </c>
      <c r="B114" s="1241">
        <v>1</v>
      </c>
      <c r="C114" s="1187">
        <v>355</v>
      </c>
      <c r="D114" s="443" t="str">
        <f>_xlfn.XLOOKUP(B114,Códigos!$A$421:$A$483,Códigos!$B$421:$B$483,"Verificar",0)</f>
        <v>Gastos personales</v>
      </c>
      <c r="E114" s="444" t="str">
        <f>_xlfn.XLOOKUP(C114,Códigos!$A$11:$A$415,Códigos!$B$11:$B$415,"Verificar",0)</f>
        <v>NOMBRE 96</v>
      </c>
      <c r="F114" s="1288" t="s">
        <v>1103</v>
      </c>
      <c r="G114" s="1239">
        <v>100000</v>
      </c>
      <c r="H114" s="989">
        <f t="shared" si="1"/>
        <v>113570900</v>
      </c>
      <c r="I114" s="1049" t="s">
        <v>1182</v>
      </c>
      <c r="K114" s="19"/>
    </row>
    <row r="115" spans="1:11" x14ac:dyDescent="0.2">
      <c r="A115" s="1234">
        <v>45706</v>
      </c>
      <c r="B115" s="1241">
        <v>22</v>
      </c>
      <c r="C115" s="1187">
        <v>359</v>
      </c>
      <c r="D115" s="443" t="str">
        <f>_xlfn.XLOOKUP(B115,Códigos!$A$421:$A$483,Códigos!$B$421:$B$483,"Verificar",0)</f>
        <v>Compra de: -Equipos, dotaciones y repuestos para oficina</v>
      </c>
      <c r="E115" s="444" t="str">
        <f>_xlfn.XLOOKUP(C115,Códigos!$A$11:$A$415,Códigos!$B$11:$B$415,"Verificar",0)</f>
        <v>NOMBRE 232</v>
      </c>
      <c r="F115" s="1288" t="s">
        <v>407</v>
      </c>
      <c r="G115" s="1239">
        <v>340000</v>
      </c>
      <c r="H115" s="989">
        <f t="shared" si="1"/>
        <v>113910900</v>
      </c>
      <c r="I115" s="1049" t="s">
        <v>1217</v>
      </c>
      <c r="K115" s="19"/>
    </row>
    <row r="116" spans="1:11" x14ac:dyDescent="0.2">
      <c r="A116" s="1234">
        <v>45708</v>
      </c>
      <c r="B116" s="1187">
        <v>12</v>
      </c>
      <c r="C116" s="1187">
        <v>359</v>
      </c>
      <c r="D116" s="443" t="str">
        <f>_xlfn.XLOOKUP(B116,Códigos!$A$421:$A$483,Códigos!$B$421:$B$483,"Verificar",0)</f>
        <v>Pagos de: -Celulares</v>
      </c>
      <c r="E116" s="444" t="str">
        <f>_xlfn.XLOOKUP(C116,Códigos!$A$11:$A$415,Códigos!$B$11:$B$415,"Verificar",0)</f>
        <v>NOMBRE 232</v>
      </c>
      <c r="F116" s="1288" t="s">
        <v>1103</v>
      </c>
      <c r="G116" s="1239">
        <v>2487900</v>
      </c>
      <c r="H116" s="989">
        <f t="shared" si="1"/>
        <v>116398800</v>
      </c>
      <c r="I116" s="1050" t="s">
        <v>1187</v>
      </c>
      <c r="K116" s="19"/>
    </row>
    <row r="117" spans="1:11" x14ac:dyDescent="0.2">
      <c r="A117" s="1234">
        <v>45708</v>
      </c>
      <c r="B117" s="1187">
        <v>12</v>
      </c>
      <c r="C117" s="1187">
        <v>359</v>
      </c>
      <c r="D117" s="443" t="str">
        <f>_xlfn.XLOOKUP(B117,Códigos!$A$421:$A$483,Códigos!$B$421:$B$483,"Verificar",0)</f>
        <v>Pagos de: -Celulares</v>
      </c>
      <c r="E117" s="444" t="str">
        <f>_xlfn.XLOOKUP(C117,Códigos!$A$11:$A$415,Códigos!$B$11:$B$415,"Verificar",0)</f>
        <v>NOMBRE 232</v>
      </c>
      <c r="F117" s="1288" t="s">
        <v>1103</v>
      </c>
      <c r="G117" s="1239">
        <v>117600</v>
      </c>
      <c r="H117" s="989">
        <f t="shared" si="1"/>
        <v>116516400</v>
      </c>
      <c r="I117" s="1049" t="s">
        <v>1188</v>
      </c>
      <c r="K117" s="19"/>
    </row>
    <row r="118" spans="1:11" x14ac:dyDescent="0.2">
      <c r="A118" s="1234">
        <v>45708</v>
      </c>
      <c r="B118" s="1187">
        <v>8</v>
      </c>
      <c r="C118" s="1187">
        <v>359</v>
      </c>
      <c r="D118" s="443" t="str">
        <f>_xlfn.XLOOKUP(B118,Códigos!$A$421:$A$483,Códigos!$B$421:$B$483,"Verificar",0)</f>
        <v>Pagos de: -Cuota para alimentos y Manuntención</v>
      </c>
      <c r="E118" s="444" t="str">
        <f>_xlfn.XLOOKUP(C118,Códigos!$A$11:$A$415,Códigos!$B$11:$B$415,"Verificar",0)</f>
        <v>NOMBRE 232</v>
      </c>
      <c r="F118" s="1288" t="s">
        <v>407</v>
      </c>
      <c r="G118" s="1239">
        <v>198000</v>
      </c>
      <c r="H118" s="989">
        <f t="shared" si="1"/>
        <v>116714400</v>
      </c>
      <c r="I118" s="998" t="s">
        <v>1189</v>
      </c>
      <c r="K118" s="19"/>
    </row>
    <row r="119" spans="1:11" x14ac:dyDescent="0.2">
      <c r="A119" s="1234">
        <v>45708</v>
      </c>
      <c r="B119" s="1000">
        <v>8</v>
      </c>
      <c r="C119" s="1187">
        <v>357</v>
      </c>
      <c r="D119" s="443" t="str">
        <f>_xlfn.XLOOKUP(B119,Códigos!$A$421:$A$483,Códigos!$B$421:$B$483,"Verificar",0)</f>
        <v>Pagos de: -Cuota para alimentos y Manuntención</v>
      </c>
      <c r="E119" s="444" t="str">
        <f>_xlfn.XLOOKUP(C119,Códigos!$A$11:$A$415,Códigos!$B$11:$B$415,"Verificar",0)</f>
        <v>NOMBRE 107</v>
      </c>
      <c r="F119" s="1288" t="s">
        <v>1103</v>
      </c>
      <c r="G119" s="1239">
        <v>220000</v>
      </c>
      <c r="H119" s="989">
        <f t="shared" si="1"/>
        <v>116934400</v>
      </c>
      <c r="I119" s="1050" t="s">
        <v>1083</v>
      </c>
      <c r="K119" s="19"/>
    </row>
    <row r="120" spans="1:11" x14ac:dyDescent="0.2">
      <c r="A120" s="1234">
        <v>45708</v>
      </c>
      <c r="B120" s="1000">
        <v>2</v>
      </c>
      <c r="C120" s="1187">
        <v>353</v>
      </c>
      <c r="D120" s="443" t="str">
        <f>_xlfn.XLOOKUP(B120,Códigos!$A$421:$A$483,Códigos!$B$421:$B$483,"Verificar",0)</f>
        <v>Pago de Salarios a:</v>
      </c>
      <c r="E120" s="444" t="str">
        <f>_xlfn.XLOOKUP(C120,Códigos!$A$11:$A$415,Códigos!$B$11:$B$415,"Verificar",0)</f>
        <v>NOMBRE 31</v>
      </c>
      <c r="F120" s="1288" t="s">
        <v>407</v>
      </c>
      <c r="G120" s="1239">
        <v>660000</v>
      </c>
      <c r="H120" s="989">
        <f t="shared" si="1"/>
        <v>117594400</v>
      </c>
      <c r="I120" s="997" t="s">
        <v>1190</v>
      </c>
      <c r="K120" s="19"/>
    </row>
    <row r="121" spans="1:11" x14ac:dyDescent="0.2">
      <c r="A121" s="1234">
        <v>45708</v>
      </c>
      <c r="B121" s="1187">
        <v>33</v>
      </c>
      <c r="C121" s="1187">
        <v>3</v>
      </c>
      <c r="D121" s="443" t="str">
        <f>_xlfn.XLOOKUP(B121,Códigos!$A$421:$A$483,Códigos!$B$421:$B$483,"Verificar",0)</f>
        <v>AJUSTE POR -Consignación - Traslado a Bancos</v>
      </c>
      <c r="E121" s="444" t="str">
        <f>_xlfn.XLOOKUP(C121,Códigos!$A$11:$A$415,Códigos!$B$11:$B$415,"Verificar",0)</f>
        <v>NOMBRE 24</v>
      </c>
      <c r="F121" s="1288"/>
      <c r="G121" s="1239">
        <v>1160000</v>
      </c>
      <c r="H121" s="989">
        <f t="shared" si="1"/>
        <v>118754400</v>
      </c>
      <c r="I121" s="1049" t="s">
        <v>1194</v>
      </c>
      <c r="K121" s="19"/>
    </row>
    <row r="122" spans="1:11" x14ac:dyDescent="0.2">
      <c r="A122" s="1234">
        <v>45709</v>
      </c>
      <c r="B122" s="1000">
        <v>8</v>
      </c>
      <c r="C122" s="996">
        <v>356</v>
      </c>
      <c r="D122" s="443" t="str">
        <f>_xlfn.XLOOKUP(B122,Códigos!$A$421:$A$483,Códigos!$B$421:$B$483,"Verificar",0)</f>
        <v>Pagos de: -Cuota para alimentos y Manuntención</v>
      </c>
      <c r="E122" s="444" t="str">
        <f>_xlfn.XLOOKUP(C122,Códigos!$A$11:$A$415,Códigos!$B$11:$B$415,"Verificar",0)</f>
        <v>NOMBRE 108</v>
      </c>
      <c r="F122" s="1288" t="s">
        <v>1103</v>
      </c>
      <c r="G122" s="990">
        <v>220000</v>
      </c>
      <c r="H122" s="989">
        <f t="shared" si="1"/>
        <v>118974400</v>
      </c>
      <c r="I122" s="1050" t="s">
        <v>1083</v>
      </c>
      <c r="K122" s="19"/>
    </row>
    <row r="123" spans="1:11" x14ac:dyDescent="0.2">
      <c r="A123" s="1234">
        <v>45709</v>
      </c>
      <c r="B123" s="1000">
        <v>8</v>
      </c>
      <c r="C123" s="996">
        <v>358</v>
      </c>
      <c r="D123" s="443" t="str">
        <f>_xlfn.XLOOKUP(B123,Códigos!$A$421:$A$483,Códigos!$B$421:$B$483,"Verificar",0)</f>
        <v>Pagos de: -Cuota para alimentos y Manuntención</v>
      </c>
      <c r="E123" s="444" t="str">
        <f>_xlfn.XLOOKUP(C123,Códigos!$A$11:$A$415,Códigos!$B$11:$B$415,"Verificar",0)</f>
        <v>NOMBRE 338</v>
      </c>
      <c r="F123" s="1288" t="s">
        <v>1103</v>
      </c>
      <c r="G123" s="1280">
        <v>380000</v>
      </c>
      <c r="H123" s="989">
        <f t="shared" si="1"/>
        <v>119354400</v>
      </c>
      <c r="I123" s="997" t="s">
        <v>1197</v>
      </c>
      <c r="K123" s="19"/>
    </row>
    <row r="124" spans="1:11" x14ac:dyDescent="0.2">
      <c r="A124" s="1234">
        <v>45709</v>
      </c>
      <c r="B124" s="1000">
        <v>2</v>
      </c>
      <c r="C124" s="996">
        <v>262</v>
      </c>
      <c r="D124" s="443" t="str">
        <f>_xlfn.XLOOKUP(B124,Códigos!$A$421:$A$483,Códigos!$B$421:$B$483,"Verificar",0)</f>
        <v>Pago de Salarios a:</v>
      </c>
      <c r="E124" s="444" t="str">
        <f>_xlfn.XLOOKUP(C124,Códigos!$A$11:$A$415,Códigos!$B$11:$B$415,"Verificar",0)</f>
        <v>NOMBRE 95</v>
      </c>
      <c r="F124" s="1288" t="s">
        <v>407</v>
      </c>
      <c r="G124" s="1239">
        <v>660000</v>
      </c>
      <c r="H124" s="989">
        <f t="shared" si="1"/>
        <v>120014400</v>
      </c>
      <c r="I124" s="997" t="s">
        <v>1190</v>
      </c>
      <c r="K124" s="19"/>
    </row>
    <row r="125" spans="1:11" x14ac:dyDescent="0.2">
      <c r="A125" s="1234">
        <v>45709</v>
      </c>
      <c r="B125" s="1241">
        <v>21</v>
      </c>
      <c r="C125" s="1187">
        <v>359</v>
      </c>
      <c r="D125" s="443" t="str">
        <f>_xlfn.XLOOKUP(B125,Códigos!$A$421:$A$483,Códigos!$B$421:$B$483,"Verificar",0)</f>
        <v>Pagos de: -Cuentas por Pagar a:</v>
      </c>
      <c r="E125" s="444" t="str">
        <f>_xlfn.XLOOKUP(C125,Códigos!$A$11:$A$415,Códigos!$B$11:$B$415,"Verificar",0)</f>
        <v>NOMBRE 232</v>
      </c>
      <c r="F125" s="1288" t="s">
        <v>1103</v>
      </c>
      <c r="G125" s="1239">
        <v>600000</v>
      </c>
      <c r="H125" s="989">
        <f t="shared" si="1"/>
        <v>120614400</v>
      </c>
      <c r="I125" s="1052" t="s">
        <v>1101</v>
      </c>
      <c r="K125" s="19"/>
    </row>
    <row r="126" spans="1:11" x14ac:dyDescent="0.2">
      <c r="A126" s="1234">
        <v>45713</v>
      </c>
      <c r="B126" s="1291">
        <v>28</v>
      </c>
      <c r="C126" s="1291">
        <v>249</v>
      </c>
      <c r="D126" s="443" t="str">
        <f>_xlfn.XLOOKUP(B126,Códigos!$A$421:$A$483,Códigos!$B$421:$B$483,"Verificar",0)</f>
        <v>Préstamos a:</v>
      </c>
      <c r="E126" s="444" t="str">
        <f>_xlfn.XLOOKUP(C126,Códigos!$A$11:$A$415,Códigos!$B$11:$B$415,"Verificar",0)</f>
        <v>NOMBRE 220</v>
      </c>
      <c r="F126" s="1288" t="s">
        <v>407</v>
      </c>
      <c r="G126" s="1239">
        <v>130000</v>
      </c>
      <c r="H126" s="989">
        <f t="shared" si="1"/>
        <v>120744400</v>
      </c>
      <c r="I126" s="997" t="s">
        <v>1117</v>
      </c>
      <c r="K126" s="19"/>
    </row>
    <row r="127" spans="1:11" x14ac:dyDescent="0.2">
      <c r="A127" s="1234">
        <v>45713</v>
      </c>
      <c r="B127" s="1241">
        <v>6</v>
      </c>
      <c r="C127" s="1187">
        <v>353</v>
      </c>
      <c r="D127" s="443" t="str">
        <f>_xlfn.XLOOKUP(B127,Códigos!$A$421:$A$483,Códigos!$B$421:$B$483,"Verificar",0)</f>
        <v>Préstamos por Nómina a:</v>
      </c>
      <c r="E127" s="444" t="str">
        <f>_xlfn.XLOOKUP(C127,Códigos!$A$11:$A$415,Códigos!$B$11:$B$415,"Verificar",0)</f>
        <v>NOMBRE 31</v>
      </c>
      <c r="F127" s="1288" t="s">
        <v>407</v>
      </c>
      <c r="G127" s="1239">
        <v>380000</v>
      </c>
      <c r="H127" s="989">
        <f t="shared" si="1"/>
        <v>121124400</v>
      </c>
      <c r="I127" s="1049" t="s">
        <v>1199</v>
      </c>
      <c r="K127" s="19"/>
    </row>
    <row r="128" spans="1:11" x14ac:dyDescent="0.2">
      <c r="A128" s="1234">
        <v>45713</v>
      </c>
      <c r="B128" s="1241">
        <v>33</v>
      </c>
      <c r="C128" s="1187">
        <v>5</v>
      </c>
      <c r="D128" s="443" t="str">
        <f>_xlfn.XLOOKUP(B128,Códigos!$A$421:$A$483,Códigos!$B$421:$B$483,"Verificar",0)</f>
        <v>AJUSTE POR -Consignación - Traslado a Bancos</v>
      </c>
      <c r="E128" s="444" t="str">
        <f>_xlfn.XLOOKUP(C128,Códigos!$A$11:$A$415,Códigos!$B$11:$B$415,"Verificar",0)</f>
        <v>NOMBRE 25</v>
      </c>
      <c r="F128" s="1288" t="s">
        <v>407</v>
      </c>
      <c r="G128" s="1239">
        <v>7819200</v>
      </c>
      <c r="H128" s="989">
        <f t="shared" si="1"/>
        <v>128943600</v>
      </c>
      <c r="I128" s="1052" t="s">
        <v>1204</v>
      </c>
      <c r="K128" s="19"/>
    </row>
    <row r="129" spans="1:11" x14ac:dyDescent="0.2">
      <c r="A129" s="1234">
        <v>45713</v>
      </c>
      <c r="B129" s="1000">
        <v>9</v>
      </c>
      <c r="C129" s="1187">
        <v>359</v>
      </c>
      <c r="D129" s="443" t="str">
        <f>_xlfn.XLOOKUP(B129,Códigos!$A$421:$A$483,Códigos!$B$421:$B$483,"Verificar",0)</f>
        <v>Pagos de: -Servicios públicos -OFICINA-</v>
      </c>
      <c r="E129" s="444" t="str">
        <f>_xlfn.XLOOKUP(C129,Códigos!$A$11:$A$415,Códigos!$B$11:$B$415,"Verificar",0)</f>
        <v>NOMBRE 232</v>
      </c>
      <c r="F129" s="1288" t="s">
        <v>407</v>
      </c>
      <c r="G129" s="1239">
        <v>110600</v>
      </c>
      <c r="H129" s="989">
        <f t="shared" si="1"/>
        <v>129054200</v>
      </c>
      <c r="I129" s="1050" t="s">
        <v>1120</v>
      </c>
      <c r="K129" s="19"/>
    </row>
    <row r="130" spans="1:11" x14ac:dyDescent="0.2">
      <c r="A130" s="1234">
        <v>45713</v>
      </c>
      <c r="B130" s="1291">
        <v>28</v>
      </c>
      <c r="C130" s="1291">
        <v>249</v>
      </c>
      <c r="D130" s="443" t="str">
        <f>_xlfn.XLOOKUP(B130,Códigos!$A$421:$A$483,Códigos!$B$421:$B$483,"Verificar",0)</f>
        <v>Préstamos a:</v>
      </c>
      <c r="E130" s="444" t="str">
        <f>_xlfn.XLOOKUP(C130,Códigos!$A$11:$A$415,Códigos!$B$11:$B$415,"Verificar",0)</f>
        <v>NOMBRE 220</v>
      </c>
      <c r="F130" s="1288" t="s">
        <v>407</v>
      </c>
      <c r="G130" s="1239">
        <v>35600</v>
      </c>
      <c r="H130" s="989">
        <f t="shared" si="1"/>
        <v>129089800</v>
      </c>
      <c r="I130" s="1050" t="s">
        <v>1121</v>
      </c>
      <c r="K130" s="19"/>
    </row>
    <row r="131" spans="1:11" x14ac:dyDescent="0.2">
      <c r="A131" s="1234">
        <v>45713</v>
      </c>
      <c r="B131" s="1000">
        <v>9</v>
      </c>
      <c r="C131" s="1187">
        <v>359</v>
      </c>
      <c r="D131" s="443" t="str">
        <f>_xlfn.XLOOKUP(B131,Códigos!$A$421:$A$483,Códigos!$B$421:$B$483,"Verificar",0)</f>
        <v>Pagos de: -Servicios públicos -OFICINA-</v>
      </c>
      <c r="E131" s="444" t="str">
        <f>_xlfn.XLOOKUP(C131,Códigos!$A$11:$A$415,Códigos!$B$11:$B$415,"Verificar",0)</f>
        <v>NOMBRE 232</v>
      </c>
      <c r="F131" s="1288" t="s">
        <v>407</v>
      </c>
      <c r="G131" s="1239">
        <v>179900</v>
      </c>
      <c r="H131" s="989">
        <f t="shared" si="1"/>
        <v>129269700</v>
      </c>
      <c r="I131" s="1050" t="s">
        <v>1122</v>
      </c>
      <c r="K131" s="19"/>
    </row>
    <row r="132" spans="1:11" x14ac:dyDescent="0.2">
      <c r="A132" s="1234">
        <v>45713</v>
      </c>
      <c r="B132" s="1241">
        <v>5</v>
      </c>
      <c r="C132" s="1187">
        <v>262</v>
      </c>
      <c r="D132" s="443" t="str">
        <f>_xlfn.XLOOKUP(B132,Códigos!$A$421:$A$483,Códigos!$B$421:$B$483,"Verificar",0)</f>
        <v>Préstamos por Nómina a:</v>
      </c>
      <c r="E132" s="444" t="str">
        <f>_xlfn.XLOOKUP(C132,Códigos!$A$11:$A$415,Códigos!$B$11:$B$415,"Verificar",0)</f>
        <v>NOMBRE 95</v>
      </c>
      <c r="F132" s="1288" t="s">
        <v>1103</v>
      </c>
      <c r="G132" s="1246">
        <v>15700</v>
      </c>
      <c r="H132" s="989">
        <f t="shared" si="1"/>
        <v>129285400</v>
      </c>
      <c r="I132" s="1050" t="s">
        <v>1123</v>
      </c>
      <c r="K132" s="19"/>
    </row>
    <row r="133" spans="1:11" x14ac:dyDescent="0.2">
      <c r="A133" s="1234">
        <v>45714</v>
      </c>
      <c r="B133" s="1241">
        <v>37</v>
      </c>
      <c r="C133" s="1187">
        <v>359</v>
      </c>
      <c r="D133" s="443" t="str">
        <f>_xlfn.XLOOKUP(B133,Códigos!$A$421:$A$483,Códigos!$B$421:$B$483,"Verificar",0)</f>
        <v>Gastos Barbosa</v>
      </c>
      <c r="E133" s="444" t="str">
        <f>_xlfn.XLOOKUP(C133,Códigos!$A$11:$A$415,Códigos!$B$11:$B$415,"Verificar",0)</f>
        <v>NOMBRE 232</v>
      </c>
      <c r="F133" s="1288" t="s">
        <v>1103</v>
      </c>
      <c r="G133" s="1239">
        <v>35000</v>
      </c>
      <c r="H133" s="989">
        <f t="shared" si="1"/>
        <v>129320400</v>
      </c>
      <c r="I133" s="1049" t="s">
        <v>1206</v>
      </c>
      <c r="K133" s="19"/>
    </row>
    <row r="134" spans="1:11" x14ac:dyDescent="0.2">
      <c r="A134" s="1234">
        <v>45714</v>
      </c>
      <c r="B134" s="1241">
        <v>1</v>
      </c>
      <c r="C134" s="1187">
        <v>355</v>
      </c>
      <c r="D134" s="443" t="str">
        <f>_xlfn.XLOOKUP(B134,Códigos!$A$421:$A$483,Códigos!$B$421:$B$483,"Verificar",0)</f>
        <v>Gastos personales</v>
      </c>
      <c r="E134" s="444" t="str">
        <f>_xlfn.XLOOKUP(C134,Códigos!$A$11:$A$415,Códigos!$B$11:$B$415,"Verificar",0)</f>
        <v>NOMBRE 96</v>
      </c>
      <c r="F134" s="1288" t="s">
        <v>1103</v>
      </c>
      <c r="G134" s="1239">
        <v>40800</v>
      </c>
      <c r="H134" s="989">
        <f t="shared" si="1"/>
        <v>129361200</v>
      </c>
      <c r="I134" s="1049" t="s">
        <v>1207</v>
      </c>
      <c r="K134" s="19"/>
    </row>
    <row r="135" spans="1:11" x14ac:dyDescent="0.2">
      <c r="A135" s="1234">
        <v>45714</v>
      </c>
      <c r="B135" s="1241">
        <v>5</v>
      </c>
      <c r="C135" s="1187">
        <v>262</v>
      </c>
      <c r="D135" s="443" t="str">
        <f>_xlfn.XLOOKUP(B135,Códigos!$A$421:$A$483,Códigos!$B$421:$B$483,"Verificar",0)</f>
        <v>Préstamos por Nómina a:</v>
      </c>
      <c r="E135" s="444" t="str">
        <f>_xlfn.XLOOKUP(C135,Códigos!$A$11:$A$415,Códigos!$B$11:$B$415,"Verificar",0)</f>
        <v>NOMBRE 95</v>
      </c>
      <c r="F135" s="1288"/>
      <c r="G135" s="1239">
        <v>113900</v>
      </c>
      <c r="H135" s="989">
        <f t="shared" si="1"/>
        <v>129475100</v>
      </c>
      <c r="I135" s="1049" t="s">
        <v>1207</v>
      </c>
      <c r="K135" s="19"/>
    </row>
    <row r="136" spans="1:11" x14ac:dyDescent="0.2">
      <c r="A136" s="1234">
        <v>45715</v>
      </c>
      <c r="B136" s="1000">
        <v>8</v>
      </c>
      <c r="C136" s="1187">
        <v>357</v>
      </c>
      <c r="D136" s="443" t="str">
        <f>_xlfn.XLOOKUP(B136,Códigos!$A$421:$A$483,Códigos!$B$421:$B$483,"Verificar",0)</f>
        <v>Pagos de: -Cuota para alimentos y Manuntención</v>
      </c>
      <c r="E136" s="444" t="str">
        <f>_xlfn.XLOOKUP(C136,Códigos!$A$11:$A$415,Códigos!$B$11:$B$415,"Verificar",0)</f>
        <v>NOMBRE 107</v>
      </c>
      <c r="F136" s="1288" t="s">
        <v>1103</v>
      </c>
      <c r="G136" s="1239">
        <v>220000</v>
      </c>
      <c r="H136" s="989">
        <f t="shared" si="1"/>
        <v>129695100</v>
      </c>
      <c r="I136" s="1050" t="s">
        <v>1083</v>
      </c>
      <c r="K136" s="19"/>
    </row>
    <row r="137" spans="1:11" x14ac:dyDescent="0.2">
      <c r="A137" s="1234">
        <v>45715</v>
      </c>
      <c r="B137" s="1000">
        <v>2</v>
      </c>
      <c r="C137" s="1187">
        <v>353</v>
      </c>
      <c r="D137" s="443" t="str">
        <f>_xlfn.XLOOKUP(B137,Códigos!$A$421:$A$483,Códigos!$B$421:$B$483,"Verificar",0)</f>
        <v>Pago de Salarios a:</v>
      </c>
      <c r="E137" s="444" t="str">
        <f>_xlfn.XLOOKUP(C137,Códigos!$A$11:$A$415,Códigos!$B$11:$B$415,"Verificar",0)</f>
        <v>NOMBRE 31</v>
      </c>
      <c r="F137" s="1288" t="s">
        <v>407</v>
      </c>
      <c r="G137" s="1239">
        <v>660000</v>
      </c>
      <c r="H137" s="989">
        <f t="shared" si="1"/>
        <v>130355100</v>
      </c>
      <c r="I137" s="997" t="s">
        <v>1208</v>
      </c>
      <c r="K137" s="19"/>
    </row>
    <row r="138" spans="1:11" x14ac:dyDescent="0.2">
      <c r="A138" s="1234">
        <v>45715</v>
      </c>
      <c r="B138" s="1241">
        <v>12</v>
      </c>
      <c r="C138" s="1187">
        <v>359</v>
      </c>
      <c r="D138" s="443" t="str">
        <f>_xlfn.XLOOKUP(B138,Códigos!$A$421:$A$483,Códigos!$B$421:$B$483,"Verificar",0)</f>
        <v>Pagos de: -Celulares</v>
      </c>
      <c r="E138" s="444" t="str">
        <f>_xlfn.XLOOKUP(C138,Códigos!$A$11:$A$415,Códigos!$B$11:$B$415,"Verificar",0)</f>
        <v>NOMBRE 232</v>
      </c>
      <c r="F138" s="1288"/>
      <c r="G138" s="1239">
        <v>53600</v>
      </c>
      <c r="H138" s="989">
        <f t="shared" si="1"/>
        <v>130408700</v>
      </c>
      <c r="I138" s="1049" t="s">
        <v>1211</v>
      </c>
      <c r="K138" s="19"/>
    </row>
    <row r="139" spans="1:11" x14ac:dyDescent="0.2">
      <c r="A139" s="1234">
        <v>45716</v>
      </c>
      <c r="B139" s="1000">
        <v>8</v>
      </c>
      <c r="C139" s="996">
        <v>356</v>
      </c>
      <c r="D139" s="443" t="str">
        <f>_xlfn.XLOOKUP(B139,Códigos!$A$421:$A$483,Códigos!$B$421:$B$483,"Verificar",0)</f>
        <v>Pagos de: -Cuota para alimentos y Manuntención</v>
      </c>
      <c r="E139" s="444" t="str">
        <f>_xlfn.XLOOKUP(C139,Códigos!$A$11:$A$415,Códigos!$B$11:$B$415,"Verificar",0)</f>
        <v>NOMBRE 108</v>
      </c>
      <c r="F139" s="1288" t="s">
        <v>1103</v>
      </c>
      <c r="G139" s="990">
        <v>220000</v>
      </c>
      <c r="H139" s="989">
        <f t="shared" si="1"/>
        <v>130628700</v>
      </c>
      <c r="I139" s="1050" t="s">
        <v>1083</v>
      </c>
      <c r="K139" s="19"/>
    </row>
    <row r="140" spans="1:11" x14ac:dyDescent="0.2">
      <c r="A140" s="1234">
        <v>45716</v>
      </c>
      <c r="B140" s="1000">
        <v>8</v>
      </c>
      <c r="C140" s="996">
        <v>358</v>
      </c>
      <c r="D140" s="443" t="str">
        <f>_xlfn.XLOOKUP(B140,Códigos!$A$421:$A$483,Códigos!$B$421:$B$483,"Verificar",0)</f>
        <v>Pagos de: -Cuota para alimentos y Manuntención</v>
      </c>
      <c r="E140" s="444" t="str">
        <f>_xlfn.XLOOKUP(C140,Códigos!$A$11:$A$415,Códigos!$B$11:$B$415,"Verificar",0)</f>
        <v>NOMBRE 338</v>
      </c>
      <c r="F140" s="1288" t="s">
        <v>1103</v>
      </c>
      <c r="G140" s="1280">
        <v>380000</v>
      </c>
      <c r="H140" s="989">
        <f t="shared" si="1"/>
        <v>131008700</v>
      </c>
      <c r="I140" s="997" t="s">
        <v>1212</v>
      </c>
      <c r="K140" s="19"/>
    </row>
    <row r="141" spans="1:11" x14ac:dyDescent="0.2">
      <c r="A141" s="1234">
        <v>45716</v>
      </c>
      <c r="B141" s="1000">
        <v>2</v>
      </c>
      <c r="C141" s="996">
        <v>262</v>
      </c>
      <c r="D141" s="443" t="str">
        <f>_xlfn.XLOOKUP(B141,Códigos!$A$421:$A$483,Códigos!$B$421:$B$483,"Verificar",0)</f>
        <v>Pago de Salarios a:</v>
      </c>
      <c r="E141" s="444" t="str">
        <f>_xlfn.XLOOKUP(C141,Códigos!$A$11:$A$415,Códigos!$B$11:$B$415,"Verificar",0)</f>
        <v>NOMBRE 95</v>
      </c>
      <c r="F141" s="1288" t="s">
        <v>407</v>
      </c>
      <c r="G141" s="1239">
        <v>660000</v>
      </c>
      <c r="H141" s="989">
        <f t="shared" si="1"/>
        <v>131668700</v>
      </c>
      <c r="I141" s="997" t="s">
        <v>1208</v>
      </c>
      <c r="K141" s="19"/>
    </row>
    <row r="142" spans="1:11" x14ac:dyDescent="0.2">
      <c r="A142" s="1234">
        <v>45716</v>
      </c>
      <c r="B142" s="1241">
        <v>6</v>
      </c>
      <c r="C142" s="1187">
        <v>353</v>
      </c>
      <c r="D142" s="443" t="str">
        <f>_xlfn.XLOOKUP(B142,Códigos!$A$421:$A$483,Códigos!$B$421:$B$483,"Verificar",0)</f>
        <v>Préstamos por Nómina a:</v>
      </c>
      <c r="E142" s="444" t="str">
        <f>_xlfn.XLOOKUP(C142,Códigos!$A$11:$A$415,Códigos!$B$11:$B$415,"Verificar",0)</f>
        <v>NOMBRE 31</v>
      </c>
      <c r="F142" s="1288" t="s">
        <v>407</v>
      </c>
      <c r="G142" s="1239">
        <v>200000</v>
      </c>
      <c r="H142" s="989">
        <f t="shared" ref="H142:H205" si="2">+H141+G142</f>
        <v>131868700</v>
      </c>
      <c r="I142" s="1049" t="s">
        <v>1199</v>
      </c>
      <c r="K142" s="19"/>
    </row>
    <row r="143" spans="1:11" x14ac:dyDescent="0.2">
      <c r="A143" s="1234">
        <v>45716</v>
      </c>
      <c r="B143" s="1241">
        <v>1</v>
      </c>
      <c r="C143" s="1187">
        <v>355</v>
      </c>
      <c r="D143" s="443" t="str">
        <f>_xlfn.XLOOKUP(B143,Códigos!$A$421:$A$483,Códigos!$B$421:$B$483,"Verificar",0)</f>
        <v>Gastos personales</v>
      </c>
      <c r="E143" s="444" t="str">
        <f>_xlfn.XLOOKUP(C143,Códigos!$A$11:$A$415,Códigos!$B$11:$B$415,"Verificar",0)</f>
        <v>NOMBRE 96</v>
      </c>
      <c r="F143" s="1288" t="s">
        <v>1103</v>
      </c>
      <c r="G143" s="1239">
        <v>16000</v>
      </c>
      <c r="H143" s="989">
        <f t="shared" si="2"/>
        <v>131884700</v>
      </c>
      <c r="I143" s="1239" t="s">
        <v>1213</v>
      </c>
      <c r="K143" s="19"/>
    </row>
    <row r="144" spans="1:11" x14ac:dyDescent="0.2">
      <c r="A144" s="1234">
        <v>45716</v>
      </c>
      <c r="B144" s="1241">
        <v>1</v>
      </c>
      <c r="C144" s="1187">
        <v>355</v>
      </c>
      <c r="D144" s="443" t="str">
        <f>_xlfn.XLOOKUP(B144,Códigos!$A$421:$A$483,Códigos!$B$421:$B$483,"Verificar",0)</f>
        <v>Gastos personales</v>
      </c>
      <c r="E144" s="444" t="str">
        <f>_xlfn.XLOOKUP(C144,Códigos!$A$11:$A$415,Códigos!$B$11:$B$415,"Verificar",0)</f>
        <v>NOMBRE 96</v>
      </c>
      <c r="F144" s="1288" t="s">
        <v>1103</v>
      </c>
      <c r="G144" s="1239">
        <v>700000</v>
      </c>
      <c r="H144" s="989">
        <f t="shared" si="2"/>
        <v>132584700</v>
      </c>
      <c r="I144" s="1052" t="s">
        <v>1101</v>
      </c>
      <c r="K144" s="19"/>
    </row>
    <row r="145" spans="1:11" x14ac:dyDescent="0.2">
      <c r="A145" s="1234">
        <v>45716</v>
      </c>
      <c r="B145" s="1241">
        <v>27</v>
      </c>
      <c r="C145" s="1187">
        <v>359</v>
      </c>
      <c r="D145" s="443" t="str">
        <f>_xlfn.XLOOKUP(B145,Códigos!$A$421:$A$483,Códigos!$B$421:$B$483,"Verificar",0)</f>
        <v>Compra de: -Restaurante y cafetería</v>
      </c>
      <c r="E145" s="444" t="str">
        <f>_xlfn.XLOOKUP(C145,Códigos!$A$11:$A$415,Códigos!$B$11:$B$415,"Verificar",0)</f>
        <v>NOMBRE 232</v>
      </c>
      <c r="F145" s="1288" t="s">
        <v>407</v>
      </c>
      <c r="G145" s="1239">
        <v>20000</v>
      </c>
      <c r="H145" s="989">
        <f t="shared" si="2"/>
        <v>132604700</v>
      </c>
      <c r="I145" s="1052" t="s">
        <v>1078</v>
      </c>
      <c r="K145" s="19"/>
    </row>
    <row r="146" spans="1:11" x14ac:dyDescent="0.2">
      <c r="A146" s="1234">
        <v>45719</v>
      </c>
      <c r="B146" s="1291">
        <v>28</v>
      </c>
      <c r="C146" s="1291">
        <v>249</v>
      </c>
      <c r="D146" s="443" t="str">
        <f>_xlfn.XLOOKUP(B146,Códigos!$A$421:$A$483,Códigos!$B$421:$B$483,"Verificar",0)</f>
        <v>Préstamos a:</v>
      </c>
      <c r="E146" s="444" t="str">
        <f>_xlfn.XLOOKUP(C146,Códigos!$A$11:$A$415,Códigos!$B$11:$B$415,"Verificar",0)</f>
        <v>NOMBRE 220</v>
      </c>
      <c r="F146" s="1288" t="s">
        <v>407</v>
      </c>
      <c r="G146" s="1239">
        <v>1185000</v>
      </c>
      <c r="H146" s="989">
        <f t="shared" si="2"/>
        <v>133789700</v>
      </c>
      <c r="I146" s="1049" t="s">
        <v>1107</v>
      </c>
      <c r="K146" s="19"/>
    </row>
    <row r="147" spans="1:11" x14ac:dyDescent="0.2">
      <c r="A147" s="1234">
        <v>45719</v>
      </c>
      <c r="B147" s="1241">
        <v>5</v>
      </c>
      <c r="C147" s="1187">
        <v>262</v>
      </c>
      <c r="D147" s="443" t="str">
        <f>_xlfn.XLOOKUP(B147,Códigos!$A$421:$A$483,Códigos!$B$421:$B$483,"Verificar",0)</f>
        <v>Préstamos por Nómina a:</v>
      </c>
      <c r="E147" s="444" t="str">
        <f>_xlfn.XLOOKUP(C147,Códigos!$A$11:$A$415,Códigos!$B$11:$B$415,"Verificar",0)</f>
        <v>NOMBRE 95</v>
      </c>
      <c r="F147" s="1288" t="s">
        <v>407</v>
      </c>
      <c r="G147" s="1239">
        <v>300000</v>
      </c>
      <c r="H147" s="989">
        <f t="shared" si="2"/>
        <v>134089700</v>
      </c>
      <c r="I147" s="1049" t="s">
        <v>1114</v>
      </c>
      <c r="K147" s="19"/>
    </row>
    <row r="148" spans="1:11" x14ac:dyDescent="0.2">
      <c r="A148" s="1234">
        <v>45719</v>
      </c>
      <c r="B148" s="1241">
        <v>5</v>
      </c>
      <c r="C148" s="1187">
        <v>262</v>
      </c>
      <c r="D148" s="443" t="str">
        <f>_xlfn.XLOOKUP(B148,Códigos!$A$421:$A$483,Códigos!$B$421:$B$483,"Verificar",0)</f>
        <v>Préstamos por Nómina a:</v>
      </c>
      <c r="E148" s="444" t="str">
        <f>_xlfn.XLOOKUP(C148,Códigos!$A$11:$A$415,Códigos!$B$11:$B$415,"Verificar",0)</f>
        <v>NOMBRE 95</v>
      </c>
      <c r="F148" s="1288" t="s">
        <v>407</v>
      </c>
      <c r="G148" s="1239">
        <v>100000</v>
      </c>
      <c r="H148" s="989">
        <f t="shared" si="2"/>
        <v>134189700</v>
      </c>
      <c r="I148" s="1049" t="s">
        <v>1148</v>
      </c>
      <c r="K148" s="19"/>
    </row>
    <row r="149" spans="1:11" x14ac:dyDescent="0.2">
      <c r="A149" s="1234">
        <v>45719</v>
      </c>
      <c r="B149" s="1241">
        <v>27</v>
      </c>
      <c r="C149" s="1187">
        <v>359</v>
      </c>
      <c r="D149" s="443" t="str">
        <f>_xlfn.XLOOKUP(B149,Códigos!$A$421:$A$483,Códigos!$B$421:$B$483,"Verificar",0)</f>
        <v>Compra de: -Restaurante y cafetería</v>
      </c>
      <c r="E149" s="444" t="str">
        <f>_xlfn.XLOOKUP(C149,Códigos!$A$11:$A$415,Códigos!$B$11:$B$415,"Verificar",0)</f>
        <v>NOMBRE 232</v>
      </c>
      <c r="F149" s="1288" t="s">
        <v>407</v>
      </c>
      <c r="G149" s="1239">
        <v>41000</v>
      </c>
      <c r="H149" s="989">
        <f t="shared" si="2"/>
        <v>134230700</v>
      </c>
      <c r="I149" s="1049" t="s">
        <v>1216</v>
      </c>
      <c r="K149" s="19"/>
    </row>
    <row r="150" spans="1:11" x14ac:dyDescent="0.2">
      <c r="A150" s="1234">
        <v>45721</v>
      </c>
      <c r="B150" s="1241">
        <v>22</v>
      </c>
      <c r="C150" s="1187">
        <v>359</v>
      </c>
      <c r="D150" s="443" t="str">
        <f>_xlfn.XLOOKUP(B150,Códigos!$A$421:$A$483,Códigos!$B$421:$B$483,"Verificar",0)</f>
        <v>Compra de: -Equipos, dotaciones y repuestos para oficina</v>
      </c>
      <c r="E150" s="444" t="str">
        <f>_xlfn.XLOOKUP(C150,Códigos!$A$11:$A$415,Códigos!$B$11:$B$415,"Verificar",0)</f>
        <v>NOMBRE 232</v>
      </c>
      <c r="F150" s="1288" t="s">
        <v>407</v>
      </c>
      <c r="G150" s="1239">
        <v>80000</v>
      </c>
      <c r="H150" s="989">
        <f t="shared" si="2"/>
        <v>134310700</v>
      </c>
      <c r="I150" s="1049" t="s">
        <v>1218</v>
      </c>
      <c r="K150" s="19"/>
    </row>
    <row r="151" spans="1:11" x14ac:dyDescent="0.2">
      <c r="A151" s="1234">
        <v>45721</v>
      </c>
      <c r="B151" s="1241">
        <v>5</v>
      </c>
      <c r="C151" s="1187">
        <v>262</v>
      </c>
      <c r="D151" s="443" t="str">
        <f>_xlfn.XLOOKUP(B151,Códigos!$A$421:$A$483,Códigos!$B$421:$B$483,"Verificar",0)</f>
        <v>Préstamos por Nómina a:</v>
      </c>
      <c r="E151" s="444" t="str">
        <f>_xlfn.XLOOKUP(C151,Códigos!$A$11:$A$415,Códigos!$B$11:$B$415,"Verificar",0)</f>
        <v>NOMBRE 95</v>
      </c>
      <c r="F151" s="1288"/>
      <c r="G151" s="1239">
        <v>335000</v>
      </c>
      <c r="H151" s="989">
        <f t="shared" si="2"/>
        <v>134645700</v>
      </c>
      <c r="I151" s="1049" t="s">
        <v>1219</v>
      </c>
      <c r="K151" s="19"/>
    </row>
    <row r="152" spans="1:11" x14ac:dyDescent="0.2">
      <c r="A152" s="1234">
        <v>45721</v>
      </c>
      <c r="B152" s="1241">
        <v>9</v>
      </c>
      <c r="C152" s="1187">
        <v>359</v>
      </c>
      <c r="D152" s="443" t="str">
        <f>_xlfn.XLOOKUP(B152,Códigos!$A$421:$A$483,Códigos!$B$421:$B$483,"Verificar",0)</f>
        <v>Pagos de: -Servicios públicos -OFICINA-</v>
      </c>
      <c r="E152" s="444" t="str">
        <f>_xlfn.XLOOKUP(C152,Códigos!$A$11:$A$415,Códigos!$B$11:$B$415,"Verificar",0)</f>
        <v>NOMBRE 232</v>
      </c>
      <c r="F152" s="1288" t="s">
        <v>407</v>
      </c>
      <c r="G152" s="1239">
        <v>129900</v>
      </c>
      <c r="H152" s="989">
        <f t="shared" si="2"/>
        <v>134775600</v>
      </c>
      <c r="I152" s="1052" t="s">
        <v>1220</v>
      </c>
      <c r="K152" s="19"/>
    </row>
    <row r="153" spans="1:11" x14ac:dyDescent="0.2">
      <c r="A153" s="1234">
        <v>45721</v>
      </c>
      <c r="B153" s="1241">
        <v>22</v>
      </c>
      <c r="C153" s="1187">
        <v>359</v>
      </c>
      <c r="D153" s="443" t="str">
        <f>_xlfn.XLOOKUP(B153,Códigos!$A$421:$A$483,Códigos!$B$421:$B$483,"Verificar",0)</f>
        <v>Compra de: -Equipos, dotaciones y repuestos para oficina</v>
      </c>
      <c r="E153" s="444" t="str">
        <f>_xlfn.XLOOKUP(C153,Códigos!$A$11:$A$415,Códigos!$B$11:$B$415,"Verificar",0)</f>
        <v>NOMBRE 232</v>
      </c>
      <c r="F153" s="1288" t="s">
        <v>407</v>
      </c>
      <c r="G153" s="1239">
        <v>100000</v>
      </c>
      <c r="H153" s="989">
        <f t="shared" si="2"/>
        <v>134875600</v>
      </c>
      <c r="I153" s="1049" t="s">
        <v>1221</v>
      </c>
      <c r="K153" s="19"/>
    </row>
    <row r="154" spans="1:11" x14ac:dyDescent="0.2">
      <c r="A154" s="1234">
        <v>45721</v>
      </c>
      <c r="B154" s="1277">
        <v>7</v>
      </c>
      <c r="C154" s="1278">
        <v>359</v>
      </c>
      <c r="D154" s="443" t="str">
        <f>_xlfn.XLOOKUP(B154,Códigos!$A$421:$A$483,Códigos!$B$421:$B$483,"Verificar",0)</f>
        <v>Pagos de: -Seguridad Social</v>
      </c>
      <c r="E154" s="444" t="str">
        <f>_xlfn.XLOOKUP(C154,Códigos!$A$11:$A$415,Códigos!$B$11:$B$415,"Verificar",0)</f>
        <v>NOMBRE 232</v>
      </c>
      <c r="F154" s="1288" t="s">
        <v>407</v>
      </c>
      <c r="G154" s="1239">
        <v>1392400</v>
      </c>
      <c r="H154" s="989">
        <f t="shared" si="2"/>
        <v>136268000</v>
      </c>
      <c r="I154" s="1052" t="s">
        <v>1146</v>
      </c>
      <c r="K154" s="19"/>
    </row>
    <row r="155" spans="1:11" x14ac:dyDescent="0.2">
      <c r="A155" s="1234">
        <v>45721</v>
      </c>
      <c r="B155" s="1277">
        <v>7</v>
      </c>
      <c r="C155" s="1278">
        <v>359</v>
      </c>
      <c r="D155" s="443" t="str">
        <f>_xlfn.XLOOKUP(B155,Códigos!$A$421:$A$483,Códigos!$B$421:$B$483,"Verificar",0)</f>
        <v>Pagos de: -Seguridad Social</v>
      </c>
      <c r="E155" s="444" t="str">
        <f>_xlfn.XLOOKUP(C155,Códigos!$A$11:$A$415,Códigos!$B$11:$B$415,"Verificar",0)</f>
        <v>NOMBRE 232</v>
      </c>
      <c r="F155" s="1288" t="s">
        <v>407</v>
      </c>
      <c r="G155" s="1239">
        <v>940500</v>
      </c>
      <c r="H155" s="989">
        <f t="shared" si="2"/>
        <v>137208500</v>
      </c>
      <c r="I155" s="1052" t="s">
        <v>1225</v>
      </c>
      <c r="K155" s="19"/>
    </row>
    <row r="156" spans="1:11" x14ac:dyDescent="0.2">
      <c r="A156" s="1234">
        <v>45722</v>
      </c>
      <c r="B156" s="1241">
        <v>27</v>
      </c>
      <c r="C156" s="1187">
        <v>359</v>
      </c>
      <c r="D156" s="443" t="str">
        <f>_xlfn.XLOOKUP(B156,Códigos!$A$421:$A$483,Códigos!$B$421:$B$483,"Verificar",0)</f>
        <v>Compra de: -Restaurante y cafetería</v>
      </c>
      <c r="E156" s="444" t="str">
        <f>_xlfn.XLOOKUP(C156,Códigos!$A$11:$A$415,Códigos!$B$11:$B$415,"Verificar",0)</f>
        <v>NOMBRE 232</v>
      </c>
      <c r="F156" s="1288" t="s">
        <v>407</v>
      </c>
      <c r="G156" s="1239">
        <v>50000</v>
      </c>
      <c r="H156" s="989">
        <f t="shared" si="2"/>
        <v>137258500</v>
      </c>
      <c r="I156" s="1049" t="s">
        <v>1216</v>
      </c>
      <c r="K156" s="19"/>
    </row>
    <row r="157" spans="1:11" x14ac:dyDescent="0.2">
      <c r="A157" s="1234">
        <v>45723</v>
      </c>
      <c r="B157" s="1000">
        <v>8</v>
      </c>
      <c r="C157" s="1187">
        <v>357</v>
      </c>
      <c r="D157" s="443" t="str">
        <f>_xlfn.XLOOKUP(B157,Códigos!$A$421:$A$483,Códigos!$B$421:$B$483,"Verificar",0)</f>
        <v>Pagos de: -Cuota para alimentos y Manuntención</v>
      </c>
      <c r="E157" s="444" t="str">
        <f>_xlfn.XLOOKUP(C157,Códigos!$A$11:$A$415,Códigos!$B$11:$B$415,"Verificar",0)</f>
        <v>NOMBRE 107</v>
      </c>
      <c r="F157" s="1288" t="s">
        <v>1103</v>
      </c>
      <c r="G157" s="1239">
        <v>220000</v>
      </c>
      <c r="H157" s="989">
        <f t="shared" si="2"/>
        <v>137478500</v>
      </c>
      <c r="I157" s="1050" t="s">
        <v>1083</v>
      </c>
      <c r="K157" s="19"/>
    </row>
    <row r="158" spans="1:11" x14ac:dyDescent="0.2">
      <c r="A158" s="1234">
        <v>45723</v>
      </c>
      <c r="B158" s="1000">
        <v>2</v>
      </c>
      <c r="C158" s="1187">
        <v>353</v>
      </c>
      <c r="D158" s="443" t="str">
        <f>_xlfn.XLOOKUP(B158,Códigos!$A$421:$A$483,Códigos!$B$421:$B$483,"Verificar",0)</f>
        <v>Pago de Salarios a:</v>
      </c>
      <c r="E158" s="444" t="str">
        <f>_xlfn.XLOOKUP(C158,Códigos!$A$11:$A$415,Códigos!$B$11:$B$415,"Verificar",0)</f>
        <v>NOMBRE 31</v>
      </c>
      <c r="F158" s="1288" t="s">
        <v>407</v>
      </c>
      <c r="G158" s="1239">
        <v>660000</v>
      </c>
      <c r="H158" s="989">
        <f t="shared" si="2"/>
        <v>138138500</v>
      </c>
      <c r="I158" s="997" t="s">
        <v>1222</v>
      </c>
      <c r="K158" s="19"/>
    </row>
    <row r="159" spans="1:11" x14ac:dyDescent="0.2">
      <c r="A159" s="1234">
        <v>45723</v>
      </c>
      <c r="B159" s="1000">
        <v>8</v>
      </c>
      <c r="C159" s="996">
        <v>356</v>
      </c>
      <c r="D159" s="443" t="str">
        <f>_xlfn.XLOOKUP(B159,Códigos!$A$421:$A$483,Códigos!$B$421:$B$483,"Verificar",0)</f>
        <v>Pagos de: -Cuota para alimentos y Manuntención</v>
      </c>
      <c r="E159" s="444" t="str">
        <f>_xlfn.XLOOKUP(C159,Códigos!$A$11:$A$415,Códigos!$B$11:$B$415,"Verificar",0)</f>
        <v>NOMBRE 108</v>
      </c>
      <c r="F159" s="1288" t="s">
        <v>1103</v>
      </c>
      <c r="G159" s="990">
        <v>220000</v>
      </c>
      <c r="H159" s="989">
        <f t="shared" si="2"/>
        <v>138358500</v>
      </c>
      <c r="I159" s="1050" t="s">
        <v>1083</v>
      </c>
      <c r="K159" s="19"/>
    </row>
    <row r="160" spans="1:11" x14ac:dyDescent="0.2">
      <c r="A160" s="1234">
        <v>45723</v>
      </c>
      <c r="B160" s="1000">
        <v>8</v>
      </c>
      <c r="C160" s="996">
        <v>358</v>
      </c>
      <c r="D160" s="443" t="str">
        <f>_xlfn.XLOOKUP(B160,Códigos!$A$421:$A$483,Códigos!$B$421:$B$483,"Verificar",0)</f>
        <v>Pagos de: -Cuota para alimentos y Manuntención</v>
      </c>
      <c r="E160" s="444" t="str">
        <f>_xlfn.XLOOKUP(C160,Códigos!$A$11:$A$415,Códigos!$B$11:$B$415,"Verificar",0)</f>
        <v>NOMBRE 338</v>
      </c>
      <c r="F160" s="1288" t="s">
        <v>1103</v>
      </c>
      <c r="G160" s="1280">
        <v>380000</v>
      </c>
      <c r="H160" s="989">
        <f t="shared" si="2"/>
        <v>138738500</v>
      </c>
      <c r="I160" s="997" t="s">
        <v>1223</v>
      </c>
      <c r="K160" s="19"/>
    </row>
    <row r="161" spans="1:11" x14ac:dyDescent="0.2">
      <c r="A161" s="1234">
        <v>45723</v>
      </c>
      <c r="B161" s="1000">
        <v>2</v>
      </c>
      <c r="C161" s="996">
        <v>262</v>
      </c>
      <c r="D161" s="443" t="str">
        <f>_xlfn.XLOOKUP(B161,Códigos!$A$421:$A$483,Códigos!$B$421:$B$483,"Verificar",0)</f>
        <v>Pago de Salarios a:</v>
      </c>
      <c r="E161" s="444" t="str">
        <f>_xlfn.XLOOKUP(C161,Códigos!$A$11:$A$415,Códigos!$B$11:$B$415,"Verificar",0)</f>
        <v>NOMBRE 95</v>
      </c>
      <c r="F161" s="1288" t="s">
        <v>407</v>
      </c>
      <c r="G161" s="1239">
        <v>660000</v>
      </c>
      <c r="H161" s="989">
        <f t="shared" si="2"/>
        <v>139398500</v>
      </c>
      <c r="I161" s="997" t="s">
        <v>1222</v>
      </c>
      <c r="K161" s="19"/>
    </row>
    <row r="162" spans="1:11" x14ac:dyDescent="0.2">
      <c r="A162" s="1234">
        <v>45723</v>
      </c>
      <c r="B162" s="1241">
        <v>27</v>
      </c>
      <c r="C162" s="1187">
        <v>359</v>
      </c>
      <c r="D162" s="443" t="str">
        <f>_xlfn.XLOOKUP(B162,Códigos!$A$421:$A$483,Códigos!$B$421:$B$483,"Verificar",0)</f>
        <v>Compra de: -Restaurante y cafetería</v>
      </c>
      <c r="E162" s="444" t="str">
        <f>_xlfn.XLOOKUP(C162,Códigos!$A$11:$A$415,Códigos!$B$11:$B$415,"Verificar",0)</f>
        <v>NOMBRE 232</v>
      </c>
      <c r="F162" s="1288" t="s">
        <v>407</v>
      </c>
      <c r="G162" s="1239">
        <v>400000</v>
      </c>
      <c r="H162" s="989">
        <f t="shared" si="2"/>
        <v>139798500</v>
      </c>
      <c r="I162" s="1292" t="s">
        <v>1155</v>
      </c>
      <c r="K162" s="19"/>
    </row>
    <row r="163" spans="1:11" x14ac:dyDescent="0.2">
      <c r="A163" s="1234">
        <v>45723</v>
      </c>
      <c r="B163" s="1241">
        <v>1</v>
      </c>
      <c r="C163" s="1187">
        <v>355</v>
      </c>
      <c r="D163" s="443" t="str">
        <f>_xlfn.XLOOKUP(B163,Códigos!$A$421:$A$483,Códigos!$B$421:$B$483,"Verificar",0)</f>
        <v>Gastos personales</v>
      </c>
      <c r="E163" s="444" t="str">
        <f>_xlfn.XLOOKUP(C163,Códigos!$A$11:$A$415,Códigos!$B$11:$B$415,"Verificar",0)</f>
        <v>NOMBRE 96</v>
      </c>
      <c r="F163" s="1288" t="s">
        <v>1103</v>
      </c>
      <c r="G163" s="1239">
        <v>400000</v>
      </c>
      <c r="H163" s="989">
        <f t="shared" si="2"/>
        <v>140198500</v>
      </c>
      <c r="I163" s="1052" t="s">
        <v>1101</v>
      </c>
      <c r="K163" s="19"/>
    </row>
    <row r="164" spans="1:11" x14ac:dyDescent="0.2">
      <c r="A164" s="1234">
        <v>45726</v>
      </c>
      <c r="B164" s="1000">
        <v>10</v>
      </c>
      <c r="C164" s="996">
        <v>359</v>
      </c>
      <c r="D164" s="443" t="str">
        <f>_xlfn.XLOOKUP(B164,Códigos!$A$421:$A$483,Códigos!$B$421:$B$483,"Verificar",0)</f>
        <v>Pagos de: -Servicios públicos -NIÑAS-</v>
      </c>
      <c r="E164" s="444" t="str">
        <f>_xlfn.XLOOKUP(C164,Códigos!$A$11:$A$415,Códigos!$B$11:$B$415,"Verificar",0)</f>
        <v>NOMBRE 232</v>
      </c>
      <c r="F164" s="1288" t="s">
        <v>1103</v>
      </c>
      <c r="G164" s="1239">
        <v>125500</v>
      </c>
      <c r="H164" s="989">
        <f t="shared" si="2"/>
        <v>140324000</v>
      </c>
      <c r="I164" s="1049" t="s">
        <v>1228</v>
      </c>
      <c r="K164" s="19"/>
    </row>
    <row r="165" spans="1:11" x14ac:dyDescent="0.2">
      <c r="A165" s="1234">
        <v>45726</v>
      </c>
      <c r="B165" s="1241">
        <v>29</v>
      </c>
      <c r="C165" s="1187">
        <v>8</v>
      </c>
      <c r="D165" s="443" t="str">
        <f>_xlfn.XLOOKUP(B165,Códigos!$A$421:$A$483,Códigos!$B$421:$B$483,"Verificar",0)</f>
        <v>Egresos por Cuenta de Terceros -Pagos impuestos-</v>
      </c>
      <c r="E165" s="444" t="str">
        <f>_xlfn.XLOOKUP(C165,Códigos!$A$11:$A$415,Códigos!$B$11:$B$415,"Verificar",0)</f>
        <v>NOMBRE 64</v>
      </c>
      <c r="F165" s="1288" t="s">
        <v>407</v>
      </c>
      <c r="G165" s="1239">
        <v>46000</v>
      </c>
      <c r="H165" s="989">
        <f t="shared" si="2"/>
        <v>140370000</v>
      </c>
      <c r="I165" s="1049" t="s">
        <v>1229</v>
      </c>
      <c r="K165" s="19"/>
    </row>
    <row r="166" spans="1:11" x14ac:dyDescent="0.2">
      <c r="A166" s="1234">
        <v>45727</v>
      </c>
      <c r="B166" s="1187">
        <v>27</v>
      </c>
      <c r="C166" s="1187">
        <v>359</v>
      </c>
      <c r="D166" s="443" t="str">
        <f>_xlfn.XLOOKUP(B166,Códigos!$A$421:$A$483,Códigos!$B$421:$B$483,"Verificar",0)</f>
        <v>Compra de: -Restaurante y cafetería</v>
      </c>
      <c r="E166" s="444" t="str">
        <f>_xlfn.XLOOKUP(C166,Códigos!$A$11:$A$415,Códigos!$B$11:$B$415,"Verificar",0)</f>
        <v>NOMBRE 232</v>
      </c>
      <c r="F166" s="1288" t="s">
        <v>407</v>
      </c>
      <c r="G166" s="1239">
        <v>75000</v>
      </c>
      <c r="H166" s="989">
        <f t="shared" si="2"/>
        <v>140445000</v>
      </c>
      <c r="I166" s="1052" t="s">
        <v>1230</v>
      </c>
      <c r="K166" s="19"/>
    </row>
    <row r="167" spans="1:11" x14ac:dyDescent="0.2">
      <c r="A167" s="1234">
        <v>45728</v>
      </c>
      <c r="B167" s="1241">
        <v>28</v>
      </c>
      <c r="C167" s="1187">
        <v>250</v>
      </c>
      <c r="D167" s="443" t="str">
        <f>_xlfn.XLOOKUP(B167,Códigos!$A$421:$A$483,Códigos!$B$421:$B$483,"Verificar",0)</f>
        <v>Préstamos a:</v>
      </c>
      <c r="E167" s="444" t="str">
        <f>_xlfn.XLOOKUP(C167,Códigos!$A$11:$A$415,Códigos!$B$11:$B$415,"Verificar",0)</f>
        <v>NOMBRE 75</v>
      </c>
      <c r="F167" s="1288" t="s">
        <v>407</v>
      </c>
      <c r="G167" s="1239">
        <v>300000</v>
      </c>
      <c r="H167" s="989">
        <f t="shared" si="2"/>
        <v>140745000</v>
      </c>
      <c r="I167" s="1049" t="s">
        <v>1231</v>
      </c>
      <c r="K167" s="19"/>
    </row>
    <row r="168" spans="1:11" x14ac:dyDescent="0.2">
      <c r="A168" s="1234">
        <v>45728</v>
      </c>
      <c r="B168" s="1241">
        <v>23</v>
      </c>
      <c r="C168" s="1187">
        <v>359</v>
      </c>
      <c r="D168" s="443" t="str">
        <f>_xlfn.XLOOKUP(B168,Códigos!$A$421:$A$483,Códigos!$B$421:$B$483,"Verificar",0)</f>
        <v>Compra de: -Útiles de aseo</v>
      </c>
      <c r="E168" s="444" t="str">
        <f>_xlfn.XLOOKUP(C168,Códigos!$A$11:$A$415,Códigos!$B$11:$B$415,"Verificar",0)</f>
        <v>NOMBRE 232</v>
      </c>
      <c r="F168" s="1288" t="s">
        <v>407</v>
      </c>
      <c r="G168" s="1239">
        <v>80000</v>
      </c>
      <c r="H168" s="989">
        <f t="shared" si="2"/>
        <v>140825000</v>
      </c>
      <c r="I168" s="1052" t="s">
        <v>1046</v>
      </c>
      <c r="K168" s="19"/>
    </row>
    <row r="169" spans="1:11" x14ac:dyDescent="0.2">
      <c r="A169" s="1234">
        <v>45728</v>
      </c>
      <c r="B169" s="1241">
        <v>27</v>
      </c>
      <c r="C169" s="1187">
        <v>359</v>
      </c>
      <c r="D169" s="443" t="str">
        <f>_xlfn.XLOOKUP(B169,Códigos!$A$421:$A$483,Códigos!$B$421:$B$483,"Verificar",0)</f>
        <v>Compra de: -Restaurante y cafetería</v>
      </c>
      <c r="E169" s="444" t="str">
        <f>_xlfn.XLOOKUP(C169,Códigos!$A$11:$A$415,Códigos!$B$11:$B$415,"Verificar",0)</f>
        <v>NOMBRE 232</v>
      </c>
      <c r="F169" s="1288" t="s">
        <v>407</v>
      </c>
      <c r="G169" s="1239">
        <v>88000</v>
      </c>
      <c r="H169" s="989">
        <f t="shared" si="2"/>
        <v>140913000</v>
      </c>
      <c r="I169" s="1049" t="s">
        <v>1232</v>
      </c>
      <c r="K169" s="19"/>
    </row>
    <row r="170" spans="1:11" x14ac:dyDescent="0.2">
      <c r="A170" s="1234">
        <v>45728</v>
      </c>
      <c r="B170" s="1275">
        <v>39</v>
      </c>
      <c r="C170" s="1276">
        <v>362</v>
      </c>
      <c r="D170" s="443" t="str">
        <f>_xlfn.XLOOKUP(B170,Códigos!$A$421:$A$483,Códigos!$B$421:$B$483,"Verificar",0)</f>
        <v>Pago intereses préstamo Juliana</v>
      </c>
      <c r="E170" s="444" t="str">
        <f>_xlfn.XLOOKUP(C170,Códigos!$A$11:$A$415,Códigos!$B$11:$B$415,"Verificar",0)</f>
        <v>NOMBRE 97</v>
      </c>
      <c r="F170" s="1288" t="s">
        <v>407</v>
      </c>
      <c r="G170" s="1239">
        <v>350000</v>
      </c>
      <c r="H170" s="989">
        <f t="shared" si="2"/>
        <v>141263000</v>
      </c>
      <c r="I170" s="1274" t="s">
        <v>1170</v>
      </c>
      <c r="K170" s="19"/>
    </row>
    <row r="171" spans="1:11" x14ac:dyDescent="0.2">
      <c r="A171" s="1234">
        <v>45728</v>
      </c>
      <c r="B171" s="1275">
        <v>21</v>
      </c>
      <c r="C171" s="1276">
        <v>362</v>
      </c>
      <c r="D171" s="443" t="str">
        <f>_xlfn.XLOOKUP(B171,Códigos!$A$421:$A$483,Códigos!$B$421:$B$483,"Verificar",0)</f>
        <v>Pagos de: -Cuentas por Pagar a:</v>
      </c>
      <c r="E171" s="444" t="str">
        <f>_xlfn.XLOOKUP(C171,Códigos!$A$11:$A$415,Códigos!$B$11:$B$415,"Verificar",0)</f>
        <v>NOMBRE 97</v>
      </c>
      <c r="F171" s="1288" t="s">
        <v>407</v>
      </c>
      <c r="G171" s="1239">
        <v>200000</v>
      </c>
      <c r="H171" s="989">
        <f t="shared" si="2"/>
        <v>141463000</v>
      </c>
      <c r="I171" s="1274" t="s">
        <v>1171</v>
      </c>
      <c r="K171" s="19"/>
    </row>
    <row r="172" spans="1:11" x14ac:dyDescent="0.2">
      <c r="A172" s="1234">
        <v>45729</v>
      </c>
      <c r="B172" s="1000">
        <v>8</v>
      </c>
      <c r="C172" s="1187">
        <v>357</v>
      </c>
      <c r="D172" s="443" t="str">
        <f>_xlfn.XLOOKUP(B172,Códigos!$A$421:$A$483,Códigos!$B$421:$B$483,"Verificar",0)</f>
        <v>Pagos de: -Cuota para alimentos y Manuntención</v>
      </c>
      <c r="E172" s="444" t="str">
        <f>_xlfn.XLOOKUP(C172,Códigos!$A$11:$A$415,Códigos!$B$11:$B$415,"Verificar",0)</f>
        <v>NOMBRE 107</v>
      </c>
      <c r="F172" s="1288" t="s">
        <v>1103</v>
      </c>
      <c r="G172" s="1239">
        <v>220000</v>
      </c>
      <c r="H172" s="989">
        <f t="shared" si="2"/>
        <v>141683000</v>
      </c>
      <c r="I172" s="1050" t="s">
        <v>1083</v>
      </c>
      <c r="K172" s="19"/>
    </row>
    <row r="173" spans="1:11" x14ac:dyDescent="0.2">
      <c r="A173" s="1234">
        <v>45729</v>
      </c>
      <c r="B173" s="1000">
        <v>2</v>
      </c>
      <c r="C173" s="1187">
        <v>353</v>
      </c>
      <c r="D173" s="443" t="str">
        <f>_xlfn.XLOOKUP(B173,Códigos!$A$421:$A$483,Códigos!$B$421:$B$483,"Verificar",0)</f>
        <v>Pago de Salarios a:</v>
      </c>
      <c r="E173" s="444" t="str">
        <f>_xlfn.XLOOKUP(C173,Códigos!$A$11:$A$415,Códigos!$B$11:$B$415,"Verificar",0)</f>
        <v>NOMBRE 31</v>
      </c>
      <c r="F173" s="1288" t="s">
        <v>407</v>
      </c>
      <c r="G173" s="1239">
        <v>660000</v>
      </c>
      <c r="H173" s="989">
        <f t="shared" si="2"/>
        <v>142343000</v>
      </c>
      <c r="I173" s="997" t="s">
        <v>1239</v>
      </c>
      <c r="K173" s="19"/>
    </row>
    <row r="174" spans="1:11" x14ac:dyDescent="0.2">
      <c r="A174" s="1234">
        <v>45729</v>
      </c>
      <c r="B174" s="1000">
        <v>9</v>
      </c>
      <c r="C174" s="1187">
        <v>359</v>
      </c>
      <c r="D174" s="443" t="str">
        <f>_xlfn.XLOOKUP(B174,Códigos!$A$421:$A$483,Códigos!$B$421:$B$483,"Verificar",0)</f>
        <v>Pagos de: -Servicios públicos -OFICINA-</v>
      </c>
      <c r="E174" s="444" t="str">
        <f>_xlfn.XLOOKUP(C174,Códigos!$A$11:$A$415,Códigos!$B$11:$B$415,"Verificar",0)</f>
        <v>NOMBRE 232</v>
      </c>
      <c r="F174" s="1288" t="s">
        <v>407</v>
      </c>
      <c r="G174" s="1239">
        <v>87700</v>
      </c>
      <c r="H174" s="989">
        <f t="shared" si="2"/>
        <v>142430700</v>
      </c>
      <c r="I174" s="1050" t="s">
        <v>1066</v>
      </c>
      <c r="K174" s="19"/>
    </row>
    <row r="175" spans="1:11" x14ac:dyDescent="0.2">
      <c r="A175" s="1234">
        <v>45729</v>
      </c>
      <c r="B175" s="1000">
        <v>9</v>
      </c>
      <c r="C175" s="1187">
        <v>359</v>
      </c>
      <c r="D175" s="443" t="str">
        <f>_xlfn.XLOOKUP(B175,Códigos!$A$421:$A$483,Códigos!$B$421:$B$483,"Verificar",0)</f>
        <v>Pagos de: -Servicios públicos -OFICINA-</v>
      </c>
      <c r="E175" s="444" t="str">
        <f>_xlfn.XLOOKUP(C175,Códigos!$A$11:$A$415,Códigos!$B$11:$B$415,"Verificar",0)</f>
        <v>NOMBRE 232</v>
      </c>
      <c r="F175" s="1288" t="s">
        <v>407</v>
      </c>
      <c r="G175" s="1239">
        <v>66500</v>
      </c>
      <c r="H175" s="989">
        <f t="shared" si="2"/>
        <v>142497200</v>
      </c>
      <c r="I175" s="1050" t="s">
        <v>1067</v>
      </c>
      <c r="K175" s="19"/>
    </row>
    <row r="176" spans="1:11" x14ac:dyDescent="0.2">
      <c r="A176" s="1234">
        <v>45729</v>
      </c>
      <c r="B176" s="1000">
        <v>9</v>
      </c>
      <c r="C176" s="996">
        <v>359</v>
      </c>
      <c r="D176" s="443" t="str">
        <f>_xlfn.XLOOKUP(B176,Códigos!$A$421:$A$483,Códigos!$B$421:$B$483,"Verificar",0)</f>
        <v>Pagos de: -Servicios públicos -OFICINA-</v>
      </c>
      <c r="E176" s="444" t="str">
        <f>_xlfn.XLOOKUP(C176,Códigos!$A$11:$A$415,Códigos!$B$11:$B$415,"Verificar",0)</f>
        <v>NOMBRE 232</v>
      </c>
      <c r="F176" s="1288" t="s">
        <v>407</v>
      </c>
      <c r="G176" s="1239">
        <v>136500</v>
      </c>
      <c r="H176" s="989">
        <f t="shared" si="2"/>
        <v>142633700</v>
      </c>
      <c r="I176" s="1049" t="s">
        <v>1106</v>
      </c>
      <c r="K176" s="19"/>
    </row>
    <row r="177" spans="1:11" x14ac:dyDescent="0.2">
      <c r="A177" s="1234">
        <v>45729</v>
      </c>
      <c r="B177" s="1000">
        <v>9</v>
      </c>
      <c r="C177" s="996">
        <v>359</v>
      </c>
      <c r="D177" s="443" t="str">
        <f>_xlfn.XLOOKUP(B177,Códigos!$A$421:$A$483,Códigos!$B$421:$B$483,"Verificar",0)</f>
        <v>Pagos de: -Servicios públicos -OFICINA-</v>
      </c>
      <c r="E177" s="444" t="str">
        <f>_xlfn.XLOOKUP(C177,Códigos!$A$11:$A$415,Códigos!$B$11:$B$415,"Verificar",0)</f>
        <v>NOMBRE 232</v>
      </c>
      <c r="F177" s="1288" t="s">
        <v>407</v>
      </c>
      <c r="G177" s="1239">
        <v>113000</v>
      </c>
      <c r="H177" s="989">
        <f t="shared" si="2"/>
        <v>142746700</v>
      </c>
      <c r="I177" s="1049" t="s">
        <v>1105</v>
      </c>
      <c r="K177" s="19"/>
    </row>
    <row r="178" spans="1:11" x14ac:dyDescent="0.2">
      <c r="A178" s="1234">
        <v>45730</v>
      </c>
      <c r="B178" s="1000">
        <v>8</v>
      </c>
      <c r="C178" s="996">
        <v>356</v>
      </c>
      <c r="D178" s="443" t="str">
        <f>_xlfn.XLOOKUP(B178,Códigos!$A$421:$A$483,Códigos!$B$421:$B$483,"Verificar",0)</f>
        <v>Pagos de: -Cuota para alimentos y Manuntención</v>
      </c>
      <c r="E178" s="444" t="str">
        <f>_xlfn.XLOOKUP(C178,Códigos!$A$11:$A$415,Códigos!$B$11:$B$415,"Verificar",0)</f>
        <v>NOMBRE 108</v>
      </c>
      <c r="F178" s="1288" t="s">
        <v>1103</v>
      </c>
      <c r="G178" s="990">
        <v>220000</v>
      </c>
      <c r="H178" s="989">
        <f t="shared" si="2"/>
        <v>142966700</v>
      </c>
      <c r="I178" s="1050" t="s">
        <v>1083</v>
      </c>
      <c r="K178" s="19"/>
    </row>
    <row r="179" spans="1:11" x14ac:dyDescent="0.2">
      <c r="A179" s="1234">
        <v>45730</v>
      </c>
      <c r="B179" s="1000">
        <v>8</v>
      </c>
      <c r="C179" s="996">
        <v>358</v>
      </c>
      <c r="D179" s="443" t="str">
        <f>_xlfn.XLOOKUP(B179,Códigos!$A$421:$A$483,Códigos!$B$421:$B$483,"Verificar",0)</f>
        <v>Pagos de: -Cuota para alimentos y Manuntención</v>
      </c>
      <c r="E179" s="444" t="str">
        <f>_xlfn.XLOOKUP(C179,Códigos!$A$11:$A$415,Códigos!$B$11:$B$415,"Verificar",0)</f>
        <v>NOMBRE 338</v>
      </c>
      <c r="F179" s="1288" t="s">
        <v>1103</v>
      </c>
      <c r="G179" s="1280">
        <v>380000</v>
      </c>
      <c r="H179" s="989">
        <f t="shared" si="2"/>
        <v>143346700</v>
      </c>
      <c r="I179" s="997" t="s">
        <v>1240</v>
      </c>
      <c r="K179" s="19"/>
    </row>
    <row r="180" spans="1:11" x14ac:dyDescent="0.2">
      <c r="A180" s="1234">
        <v>45730</v>
      </c>
      <c r="B180" s="1000">
        <v>2</v>
      </c>
      <c r="C180" s="996">
        <v>262</v>
      </c>
      <c r="D180" s="443" t="str">
        <f>_xlfn.XLOOKUP(B180,Códigos!$A$421:$A$483,Códigos!$B$421:$B$483,"Verificar",0)</f>
        <v>Pago de Salarios a:</v>
      </c>
      <c r="E180" s="444" t="str">
        <f>_xlfn.XLOOKUP(C180,Códigos!$A$11:$A$415,Códigos!$B$11:$B$415,"Verificar",0)</f>
        <v>NOMBRE 95</v>
      </c>
      <c r="F180" s="1288" t="s">
        <v>407</v>
      </c>
      <c r="G180" s="1239">
        <v>660000</v>
      </c>
      <c r="H180" s="989">
        <f t="shared" si="2"/>
        <v>144006700</v>
      </c>
      <c r="I180" s="997" t="s">
        <v>1239</v>
      </c>
      <c r="K180" s="19"/>
    </row>
    <row r="181" spans="1:11" x14ac:dyDescent="0.2">
      <c r="A181" s="1234">
        <v>45730</v>
      </c>
      <c r="B181" s="1241">
        <v>1</v>
      </c>
      <c r="C181" s="1187">
        <v>355</v>
      </c>
      <c r="D181" s="443" t="str">
        <f>_xlfn.XLOOKUP(B181,Códigos!$A$421:$A$483,Códigos!$B$421:$B$483,"Verificar",0)</f>
        <v>Gastos personales</v>
      </c>
      <c r="E181" s="444" t="str">
        <f>_xlfn.XLOOKUP(C181,Códigos!$A$11:$A$415,Códigos!$B$11:$B$415,"Verificar",0)</f>
        <v>NOMBRE 96</v>
      </c>
      <c r="F181" s="1288" t="s">
        <v>1103</v>
      </c>
      <c r="G181" s="1239">
        <v>400000</v>
      </c>
      <c r="H181" s="989">
        <f t="shared" si="2"/>
        <v>144406700</v>
      </c>
      <c r="I181" s="1052" t="s">
        <v>1101</v>
      </c>
      <c r="K181" s="19"/>
    </row>
    <row r="182" spans="1:11" x14ac:dyDescent="0.2">
      <c r="A182" s="1234">
        <v>45732</v>
      </c>
      <c r="B182" s="1000">
        <v>43</v>
      </c>
      <c r="C182" s="996">
        <v>359</v>
      </c>
      <c r="D182" s="443" t="str">
        <f>_xlfn.XLOOKUP(B182,Códigos!$A$421:$A$483,Códigos!$B$421:$B$483,"Verificar",0)</f>
        <v>Pago Hipotecario BANCOLOMBIA</v>
      </c>
      <c r="E182" s="444" t="str">
        <f>_xlfn.XLOOKUP(C182,Códigos!$A$11:$A$415,Códigos!$B$11:$B$415,"Verificar",0)</f>
        <v>NOMBRE 232</v>
      </c>
      <c r="F182" s="1288" t="s">
        <v>407</v>
      </c>
      <c r="G182" s="1239">
        <v>1026800</v>
      </c>
      <c r="H182" s="989">
        <f t="shared" si="2"/>
        <v>145433500</v>
      </c>
      <c r="I182" s="997" t="s">
        <v>1113</v>
      </c>
      <c r="K182" s="19"/>
    </row>
    <row r="183" spans="1:11" x14ac:dyDescent="0.2">
      <c r="A183" s="1234">
        <v>45734</v>
      </c>
      <c r="B183" s="1241">
        <v>27</v>
      </c>
      <c r="C183" s="1187">
        <v>359</v>
      </c>
      <c r="D183" s="443" t="str">
        <f>_xlfn.XLOOKUP(B183,Códigos!$A$421:$A$483,Códigos!$B$421:$B$483,"Verificar",0)</f>
        <v>Compra de: -Restaurante y cafetería</v>
      </c>
      <c r="E183" s="444" t="str">
        <f>_xlfn.XLOOKUP(C183,Códigos!$A$11:$A$415,Códigos!$B$11:$B$415,"Verificar",0)</f>
        <v>NOMBRE 232</v>
      </c>
      <c r="F183" s="1288" t="s">
        <v>407</v>
      </c>
      <c r="G183" s="1239">
        <v>20000</v>
      </c>
      <c r="H183" s="989">
        <f t="shared" si="2"/>
        <v>145453500</v>
      </c>
      <c r="I183" s="1052" t="s">
        <v>1078</v>
      </c>
      <c r="K183" s="19"/>
    </row>
    <row r="184" spans="1:11" x14ac:dyDescent="0.2">
      <c r="A184" s="1234">
        <v>45734</v>
      </c>
      <c r="B184" s="1187">
        <v>33</v>
      </c>
      <c r="C184" s="1187">
        <v>3</v>
      </c>
      <c r="D184" s="443" t="str">
        <f>_xlfn.XLOOKUP(B184,Códigos!$A$421:$A$483,Códigos!$B$421:$B$483,"Verificar",0)</f>
        <v>AJUSTE POR -Consignación - Traslado a Bancos</v>
      </c>
      <c r="E184" s="444" t="str">
        <f>_xlfn.XLOOKUP(C184,Códigos!$A$11:$A$415,Códigos!$B$11:$B$415,"Verificar",0)</f>
        <v>NOMBRE 24</v>
      </c>
      <c r="F184" s="1288" t="s">
        <v>407</v>
      </c>
      <c r="G184" s="1239">
        <v>3355000</v>
      </c>
      <c r="H184" s="989">
        <f t="shared" si="2"/>
        <v>148808500</v>
      </c>
      <c r="I184" s="1049" t="s">
        <v>1242</v>
      </c>
      <c r="K184" s="19"/>
    </row>
    <row r="185" spans="1:11" x14ac:dyDescent="0.2">
      <c r="A185" s="1234">
        <v>45734</v>
      </c>
      <c r="B185" s="1241">
        <v>12</v>
      </c>
      <c r="C185" s="1187">
        <v>359</v>
      </c>
      <c r="D185" s="443" t="str">
        <f>_xlfn.XLOOKUP(B185,Códigos!$A$421:$A$483,Códigos!$B$421:$B$483,"Verificar",0)</f>
        <v>Pagos de: -Celulares</v>
      </c>
      <c r="E185" s="444" t="str">
        <f>_xlfn.XLOOKUP(C185,Códigos!$A$11:$A$415,Códigos!$B$11:$B$415,"Verificar",0)</f>
        <v>NOMBRE 232</v>
      </c>
      <c r="F185" s="1288"/>
      <c r="G185" s="1239">
        <v>53700</v>
      </c>
      <c r="H185" s="989">
        <f t="shared" si="2"/>
        <v>148862200</v>
      </c>
      <c r="I185" s="1049" t="s">
        <v>1211</v>
      </c>
      <c r="K185" s="19"/>
    </row>
    <row r="186" spans="1:11" x14ac:dyDescent="0.2">
      <c r="A186" s="1234">
        <v>45735</v>
      </c>
      <c r="B186" s="1187">
        <v>33</v>
      </c>
      <c r="C186" s="1187">
        <v>3</v>
      </c>
      <c r="D186" s="443" t="str">
        <f>_xlfn.XLOOKUP(B186,Códigos!$A$421:$A$483,Códigos!$B$421:$B$483,"Verificar",0)</f>
        <v>AJUSTE POR -Consignación - Traslado a Bancos</v>
      </c>
      <c r="E186" s="444" t="str">
        <f>_xlfn.XLOOKUP(C186,Códigos!$A$11:$A$415,Códigos!$B$11:$B$415,"Verificar",0)</f>
        <v>NOMBRE 24</v>
      </c>
      <c r="F186" s="1288" t="s">
        <v>407</v>
      </c>
      <c r="G186" s="1239">
        <v>3355000</v>
      </c>
      <c r="H186" s="989">
        <f t="shared" si="2"/>
        <v>152217200</v>
      </c>
      <c r="I186" s="1049" t="s">
        <v>1242</v>
      </c>
      <c r="K186" s="19"/>
    </row>
    <row r="187" spans="1:11" x14ac:dyDescent="0.2">
      <c r="A187" s="1234">
        <v>45735</v>
      </c>
      <c r="B187" s="1187">
        <v>33</v>
      </c>
      <c r="C187" s="1187">
        <v>3</v>
      </c>
      <c r="D187" s="443" t="str">
        <f>_xlfn.XLOOKUP(B187,Códigos!$A$421:$A$483,Códigos!$B$421:$B$483,"Verificar",0)</f>
        <v>AJUSTE POR -Consignación - Traslado a Bancos</v>
      </c>
      <c r="E187" s="444" t="str">
        <f>_xlfn.XLOOKUP(C187,Códigos!$A$11:$A$415,Códigos!$B$11:$B$415,"Verificar",0)</f>
        <v>NOMBRE 24</v>
      </c>
      <c r="F187" s="1288" t="s">
        <v>407</v>
      </c>
      <c r="G187" s="1239">
        <v>3080000</v>
      </c>
      <c r="H187" s="989">
        <f t="shared" si="2"/>
        <v>155297200</v>
      </c>
      <c r="I187" s="1049" t="s">
        <v>1241</v>
      </c>
      <c r="K187" s="19"/>
    </row>
    <row r="188" spans="1:11" ht="25.5" x14ac:dyDescent="0.2">
      <c r="A188" s="1234">
        <v>45735</v>
      </c>
      <c r="B188" s="1241">
        <v>22</v>
      </c>
      <c r="C188" s="1187">
        <v>359</v>
      </c>
      <c r="D188" s="443" t="str">
        <f>_xlfn.XLOOKUP(B188,Códigos!$A$421:$A$483,Códigos!$B$421:$B$483,"Verificar",0)</f>
        <v>Compra de: -Equipos, dotaciones y repuestos para oficina</v>
      </c>
      <c r="E188" s="444" t="str">
        <f>_xlfn.XLOOKUP(C188,Códigos!$A$11:$A$415,Códigos!$B$11:$B$415,"Verificar",0)</f>
        <v>NOMBRE 232</v>
      </c>
      <c r="F188" s="1288" t="s">
        <v>407</v>
      </c>
      <c r="G188" s="1239">
        <v>340000</v>
      </c>
      <c r="H188" s="989">
        <f t="shared" si="2"/>
        <v>155637200</v>
      </c>
      <c r="I188" s="1049" t="s">
        <v>1246</v>
      </c>
      <c r="J188" s="848">
        <f>18*700000</f>
        <v>12600000</v>
      </c>
      <c r="K188" s="19"/>
    </row>
    <row r="189" spans="1:11" x14ac:dyDescent="0.2">
      <c r="A189" s="1234">
        <v>45735</v>
      </c>
      <c r="B189" s="1241">
        <v>6</v>
      </c>
      <c r="C189" s="1187">
        <v>353</v>
      </c>
      <c r="D189" s="443" t="str">
        <f>_xlfn.XLOOKUP(B189,Códigos!$A$421:$A$483,Códigos!$B$421:$B$483,"Verificar",0)</f>
        <v>Préstamos por Nómina a:</v>
      </c>
      <c r="E189" s="444" t="str">
        <f>_xlfn.XLOOKUP(C189,Códigos!$A$11:$A$415,Códigos!$B$11:$B$415,"Verificar",0)</f>
        <v>NOMBRE 31</v>
      </c>
      <c r="F189" s="1288" t="s">
        <v>407</v>
      </c>
      <c r="G189" s="1239">
        <v>680000</v>
      </c>
      <c r="H189" s="989">
        <f t="shared" si="2"/>
        <v>156317200</v>
      </c>
      <c r="I189" s="1049" t="s">
        <v>1247</v>
      </c>
      <c r="K189" s="19"/>
    </row>
    <row r="190" spans="1:11" x14ac:dyDescent="0.2">
      <c r="A190" s="1234">
        <v>45736</v>
      </c>
      <c r="B190" s="1241">
        <v>6</v>
      </c>
      <c r="C190" s="1187">
        <v>353</v>
      </c>
      <c r="D190" s="443" t="str">
        <f>_xlfn.XLOOKUP(B190,Códigos!$A$421:$A$483,Códigos!$B$421:$B$483,"Verificar",0)</f>
        <v>Préstamos por Nómina a:</v>
      </c>
      <c r="E190" s="444" t="str">
        <f>_xlfn.XLOOKUP(C190,Códigos!$A$11:$A$415,Códigos!$B$11:$B$415,"Verificar",0)</f>
        <v>NOMBRE 31</v>
      </c>
      <c r="F190" s="1288" t="s">
        <v>407</v>
      </c>
      <c r="G190" s="1239">
        <v>473700</v>
      </c>
      <c r="H190" s="989">
        <f t="shared" si="2"/>
        <v>156790900</v>
      </c>
      <c r="I190" s="1049" t="s">
        <v>1252</v>
      </c>
      <c r="K190" s="19"/>
    </row>
    <row r="191" spans="1:11" x14ac:dyDescent="0.2">
      <c r="A191" s="1234">
        <v>45736</v>
      </c>
      <c r="B191" s="1000">
        <v>8</v>
      </c>
      <c r="C191" s="1187">
        <v>357</v>
      </c>
      <c r="D191" s="443" t="str">
        <f>_xlfn.XLOOKUP(B191,Códigos!$A$421:$A$483,Códigos!$B$421:$B$483,"Verificar",0)</f>
        <v>Pagos de: -Cuota para alimentos y Manuntención</v>
      </c>
      <c r="E191" s="444" t="str">
        <f>_xlfn.XLOOKUP(C191,Códigos!$A$11:$A$415,Códigos!$B$11:$B$415,"Verificar",0)</f>
        <v>NOMBRE 107</v>
      </c>
      <c r="F191" s="1288" t="s">
        <v>1103</v>
      </c>
      <c r="G191" s="1239">
        <v>220000</v>
      </c>
      <c r="H191" s="989">
        <f t="shared" si="2"/>
        <v>157010900</v>
      </c>
      <c r="I191" s="1050" t="s">
        <v>1083</v>
      </c>
      <c r="K191" s="19"/>
    </row>
    <row r="192" spans="1:11" x14ac:dyDescent="0.2">
      <c r="A192" s="1234">
        <v>45736</v>
      </c>
      <c r="B192" s="1000">
        <v>2</v>
      </c>
      <c r="C192" s="1187">
        <v>353</v>
      </c>
      <c r="D192" s="443" t="str">
        <f>_xlfn.XLOOKUP(B192,Códigos!$A$421:$A$483,Códigos!$B$421:$B$483,"Verificar",0)</f>
        <v>Pago de Salarios a:</v>
      </c>
      <c r="E192" s="444" t="str">
        <f>_xlfn.XLOOKUP(C192,Códigos!$A$11:$A$415,Códigos!$B$11:$B$415,"Verificar",0)</f>
        <v>NOMBRE 31</v>
      </c>
      <c r="F192" s="1288" t="s">
        <v>407</v>
      </c>
      <c r="G192" s="1239">
        <v>660000</v>
      </c>
      <c r="H192" s="989">
        <f t="shared" si="2"/>
        <v>157670900</v>
      </c>
      <c r="I192" s="997" t="s">
        <v>1256</v>
      </c>
      <c r="K192" s="19"/>
    </row>
    <row r="193" spans="1:11" x14ac:dyDescent="0.2">
      <c r="A193" s="1234">
        <v>45737</v>
      </c>
      <c r="B193" s="1241">
        <v>5</v>
      </c>
      <c r="C193" s="1187">
        <v>262</v>
      </c>
      <c r="D193" s="443" t="str">
        <f>_xlfn.XLOOKUP(B193,Códigos!$A$421:$A$483,Códigos!$B$421:$B$483,"Verificar",0)</f>
        <v>Préstamos por Nómina a:</v>
      </c>
      <c r="E193" s="444" t="str">
        <f>_xlfn.XLOOKUP(C193,Códigos!$A$11:$A$415,Códigos!$B$11:$B$415,"Verificar",0)</f>
        <v>NOMBRE 95</v>
      </c>
      <c r="F193" s="1288" t="s">
        <v>407</v>
      </c>
      <c r="G193" s="1239">
        <v>183900</v>
      </c>
      <c r="H193" s="989">
        <f t="shared" si="2"/>
        <v>157854800</v>
      </c>
      <c r="I193" s="1049" t="s">
        <v>1255</v>
      </c>
      <c r="K193" s="19"/>
    </row>
    <row r="194" spans="1:11" x14ac:dyDescent="0.2">
      <c r="A194" s="1234">
        <v>45737</v>
      </c>
      <c r="B194" s="1241">
        <v>6</v>
      </c>
      <c r="C194" s="1187">
        <v>353</v>
      </c>
      <c r="D194" s="443" t="str">
        <f>_xlfn.XLOOKUP(B194,Códigos!$A$421:$A$483,Códigos!$B$421:$B$483,"Verificar",0)</f>
        <v>Préstamos por Nómina a:</v>
      </c>
      <c r="E194" s="444" t="str">
        <f>_xlfn.XLOOKUP(C194,Códigos!$A$11:$A$415,Códigos!$B$11:$B$415,"Verificar",0)</f>
        <v>NOMBRE 31</v>
      </c>
      <c r="F194" s="1288" t="s">
        <v>407</v>
      </c>
      <c r="G194" s="1239">
        <v>203700</v>
      </c>
      <c r="H194" s="989">
        <f t="shared" si="2"/>
        <v>158058500</v>
      </c>
      <c r="I194" s="1049" t="s">
        <v>1255</v>
      </c>
      <c r="K194" s="19"/>
    </row>
    <row r="195" spans="1:11" x14ac:dyDescent="0.2">
      <c r="A195" s="1234">
        <v>45737</v>
      </c>
      <c r="B195" s="1241">
        <v>8</v>
      </c>
      <c r="C195" s="1187">
        <v>356</v>
      </c>
      <c r="D195" s="443" t="str">
        <f>_xlfn.XLOOKUP(B195,Códigos!$A$421:$A$483,Códigos!$B$421:$B$483,"Verificar",0)</f>
        <v>Pagos de: -Cuota para alimentos y Manuntención</v>
      </c>
      <c r="E195" s="444" t="str">
        <f>_xlfn.XLOOKUP(C195,Códigos!$A$11:$A$415,Códigos!$B$11:$B$415,"Verificar",0)</f>
        <v>NOMBRE 108</v>
      </c>
      <c r="F195" s="1288" t="s">
        <v>407</v>
      </c>
      <c r="G195" s="1239">
        <v>179400</v>
      </c>
      <c r="H195" s="989">
        <f t="shared" si="2"/>
        <v>158237900</v>
      </c>
      <c r="I195" s="1049" t="s">
        <v>1255</v>
      </c>
      <c r="K195" s="19"/>
    </row>
    <row r="196" spans="1:11" x14ac:dyDescent="0.2">
      <c r="A196" s="1234">
        <v>45737</v>
      </c>
      <c r="B196" s="1241">
        <v>21</v>
      </c>
      <c r="C196" s="1187">
        <v>359</v>
      </c>
      <c r="D196" s="443" t="str">
        <f>_xlfn.XLOOKUP(B196,Códigos!$A$421:$A$483,Códigos!$B$421:$B$483,"Verificar",0)</f>
        <v>Pagos de: -Cuentas por Pagar a:</v>
      </c>
      <c r="E196" s="444" t="str">
        <f>_xlfn.XLOOKUP(C196,Códigos!$A$11:$A$415,Códigos!$B$11:$B$415,"Verificar",0)</f>
        <v>NOMBRE 232</v>
      </c>
      <c r="F196" s="1288" t="s">
        <v>407</v>
      </c>
      <c r="G196" s="1239">
        <v>344100</v>
      </c>
      <c r="H196" s="989">
        <f t="shared" si="2"/>
        <v>158582000</v>
      </c>
      <c r="I196" s="1049" t="s">
        <v>1255</v>
      </c>
      <c r="K196" s="19"/>
    </row>
    <row r="197" spans="1:11" x14ac:dyDescent="0.2">
      <c r="A197" s="1234">
        <v>45737</v>
      </c>
      <c r="B197" s="1000">
        <v>8</v>
      </c>
      <c r="C197" s="996">
        <v>356</v>
      </c>
      <c r="D197" s="443" t="str">
        <f>_xlfn.XLOOKUP(B197,Códigos!$A$421:$A$483,Códigos!$B$421:$B$483,"Verificar",0)</f>
        <v>Pagos de: -Cuota para alimentos y Manuntención</v>
      </c>
      <c r="E197" s="444" t="str">
        <f>_xlfn.XLOOKUP(C197,Códigos!$A$11:$A$415,Códigos!$B$11:$B$415,"Verificar",0)</f>
        <v>NOMBRE 108</v>
      </c>
      <c r="F197" s="1288" t="s">
        <v>1103</v>
      </c>
      <c r="G197" s="990">
        <v>220000</v>
      </c>
      <c r="H197" s="989">
        <f t="shared" si="2"/>
        <v>158802000</v>
      </c>
      <c r="I197" s="1050" t="s">
        <v>1083</v>
      </c>
      <c r="K197" s="19"/>
    </row>
    <row r="198" spans="1:11" x14ac:dyDescent="0.2">
      <c r="A198" s="1234">
        <v>45737</v>
      </c>
      <c r="B198" s="1000">
        <v>8</v>
      </c>
      <c r="C198" s="996">
        <v>358</v>
      </c>
      <c r="D198" s="443" t="str">
        <f>_xlfn.XLOOKUP(B198,Códigos!$A$421:$A$483,Códigos!$B$421:$B$483,"Verificar",0)</f>
        <v>Pagos de: -Cuota para alimentos y Manuntención</v>
      </c>
      <c r="E198" s="444" t="str">
        <f>_xlfn.XLOOKUP(C198,Códigos!$A$11:$A$415,Códigos!$B$11:$B$415,"Verificar",0)</f>
        <v>NOMBRE 338</v>
      </c>
      <c r="F198" s="1288" t="s">
        <v>1103</v>
      </c>
      <c r="G198" s="1280">
        <v>380000</v>
      </c>
      <c r="H198" s="989">
        <f t="shared" si="2"/>
        <v>159182000</v>
      </c>
      <c r="I198" s="997" t="s">
        <v>1257</v>
      </c>
      <c r="K198" s="19"/>
    </row>
    <row r="199" spans="1:11" x14ac:dyDescent="0.2">
      <c r="A199" s="1234">
        <v>45737</v>
      </c>
      <c r="B199" s="1000">
        <v>2</v>
      </c>
      <c r="C199" s="996">
        <v>262</v>
      </c>
      <c r="D199" s="443" t="str">
        <f>_xlfn.XLOOKUP(B199,Códigos!$A$421:$A$483,Códigos!$B$421:$B$483,"Verificar",0)</f>
        <v>Pago de Salarios a:</v>
      </c>
      <c r="E199" s="444" t="str">
        <f>_xlfn.XLOOKUP(C199,Códigos!$A$11:$A$415,Códigos!$B$11:$B$415,"Verificar",0)</f>
        <v>NOMBRE 95</v>
      </c>
      <c r="F199" s="1288" t="s">
        <v>407</v>
      </c>
      <c r="G199" s="1239">
        <v>660000</v>
      </c>
      <c r="H199" s="989">
        <f t="shared" si="2"/>
        <v>159842000</v>
      </c>
      <c r="I199" s="997" t="s">
        <v>1256</v>
      </c>
      <c r="K199" s="19"/>
    </row>
    <row r="200" spans="1:11" x14ac:dyDescent="0.2">
      <c r="A200" s="1234">
        <v>45741</v>
      </c>
      <c r="B200" s="1291">
        <v>28</v>
      </c>
      <c r="C200" s="1291">
        <v>249</v>
      </c>
      <c r="D200" s="443" t="str">
        <f>_xlfn.XLOOKUP(B200,Códigos!$A$421:$A$483,Códigos!$B$421:$B$483,"Verificar",0)</f>
        <v>Préstamos a:</v>
      </c>
      <c r="E200" s="444" t="str">
        <f>_xlfn.XLOOKUP(C200,Códigos!$A$11:$A$415,Códigos!$B$11:$B$415,"Verificar",0)</f>
        <v>NOMBRE 220</v>
      </c>
      <c r="F200" s="1288" t="s">
        <v>407</v>
      </c>
      <c r="G200" s="1239">
        <v>372100</v>
      </c>
      <c r="H200" s="989">
        <f t="shared" si="2"/>
        <v>160214100</v>
      </c>
      <c r="I200" s="997" t="s">
        <v>1117</v>
      </c>
      <c r="K200" s="19"/>
    </row>
    <row r="201" spans="1:11" x14ac:dyDescent="0.2">
      <c r="A201" s="1234">
        <v>45741</v>
      </c>
      <c r="B201" s="1187">
        <v>29</v>
      </c>
      <c r="C201" s="1187">
        <v>8</v>
      </c>
      <c r="D201" s="443" t="str">
        <f>_xlfn.XLOOKUP(B201,Códigos!$A$421:$A$483,Códigos!$B$421:$B$483,"Verificar",0)</f>
        <v>Egresos por Cuenta de Terceros -Pagos impuestos-</v>
      </c>
      <c r="E201" s="444" t="str">
        <f>_xlfn.XLOOKUP(C201,Códigos!$A$11:$A$415,Códigos!$B$11:$B$415,"Verificar",0)</f>
        <v>NOMBRE 64</v>
      </c>
      <c r="F201" s="1288" t="s">
        <v>407</v>
      </c>
      <c r="G201" s="1239">
        <v>694100</v>
      </c>
      <c r="H201" s="989">
        <f t="shared" si="2"/>
        <v>160908200</v>
      </c>
      <c r="I201" s="1052" t="s">
        <v>1258</v>
      </c>
      <c r="K201" s="19"/>
    </row>
    <row r="202" spans="1:11" x14ac:dyDescent="0.2">
      <c r="A202" s="1234">
        <v>45741</v>
      </c>
      <c r="B202" s="1187">
        <v>29</v>
      </c>
      <c r="C202" s="1187">
        <v>359</v>
      </c>
      <c r="D202" s="443" t="str">
        <f>_xlfn.XLOOKUP(B202,Códigos!$A$421:$A$483,Códigos!$B$421:$B$483,"Verificar",0)</f>
        <v>Egresos por Cuenta de Terceros -Pagos impuestos-</v>
      </c>
      <c r="E202" s="444" t="str">
        <f>_xlfn.XLOOKUP(C202,Códigos!$A$11:$A$415,Códigos!$B$11:$B$415,"Verificar",0)</f>
        <v>NOMBRE 232</v>
      </c>
      <c r="F202" s="1288" t="s">
        <v>407</v>
      </c>
      <c r="G202" s="1239">
        <v>2291100</v>
      </c>
      <c r="H202" s="989">
        <f t="shared" si="2"/>
        <v>163199300</v>
      </c>
      <c r="I202" s="1052" t="s">
        <v>1258</v>
      </c>
      <c r="K202" s="19"/>
    </row>
    <row r="203" spans="1:11" x14ac:dyDescent="0.2">
      <c r="A203" s="1234">
        <v>45741</v>
      </c>
      <c r="B203" s="1187">
        <v>29</v>
      </c>
      <c r="C203" s="1187">
        <v>359</v>
      </c>
      <c r="D203" s="443" t="str">
        <f>_xlfn.XLOOKUP(B203,Códigos!$A$421:$A$483,Códigos!$B$421:$B$483,"Verificar",0)</f>
        <v>Egresos por Cuenta de Terceros -Pagos impuestos-</v>
      </c>
      <c r="E203" s="444" t="str">
        <f>_xlfn.XLOOKUP(C203,Códigos!$A$11:$A$415,Códigos!$B$11:$B$415,"Verificar",0)</f>
        <v>NOMBRE 232</v>
      </c>
      <c r="F203" s="1288" t="s">
        <v>407</v>
      </c>
      <c r="G203" s="1239">
        <v>5411100</v>
      </c>
      <c r="H203" s="989">
        <f t="shared" si="2"/>
        <v>168610400</v>
      </c>
      <c r="I203" s="1052" t="s">
        <v>1258</v>
      </c>
      <c r="K203" s="19"/>
    </row>
    <row r="204" spans="1:11" x14ac:dyDescent="0.2">
      <c r="A204" s="1234">
        <v>45742</v>
      </c>
      <c r="B204" s="1000">
        <v>8</v>
      </c>
      <c r="C204" s="1187">
        <v>357</v>
      </c>
      <c r="D204" s="443" t="str">
        <f>_xlfn.XLOOKUP(B204,Códigos!$A$421:$A$483,Códigos!$B$421:$B$483,"Verificar",0)</f>
        <v>Pagos de: -Cuota para alimentos y Manuntención</v>
      </c>
      <c r="E204" s="444" t="str">
        <f>_xlfn.XLOOKUP(C204,Códigos!$A$11:$A$415,Códigos!$B$11:$B$415,"Verificar",0)</f>
        <v>NOMBRE 107</v>
      </c>
      <c r="F204" s="1288" t="s">
        <v>1103</v>
      </c>
      <c r="G204" s="1239">
        <v>220000</v>
      </c>
      <c r="H204" s="989">
        <f t="shared" si="2"/>
        <v>168830400</v>
      </c>
      <c r="I204" s="1050" t="s">
        <v>1083</v>
      </c>
      <c r="K204" s="19"/>
    </row>
    <row r="205" spans="1:11" x14ac:dyDescent="0.2">
      <c r="A205" s="1234">
        <v>45742</v>
      </c>
      <c r="B205" s="1000">
        <v>2</v>
      </c>
      <c r="C205" s="1187">
        <v>353</v>
      </c>
      <c r="D205" s="443" t="str">
        <f>_xlfn.XLOOKUP(B205,Códigos!$A$421:$A$483,Códigos!$B$421:$B$483,"Verificar",0)</f>
        <v>Pago de Salarios a:</v>
      </c>
      <c r="E205" s="444" t="str">
        <f>_xlfn.XLOOKUP(C205,Códigos!$A$11:$A$415,Códigos!$B$11:$B$415,"Verificar",0)</f>
        <v>NOMBRE 31</v>
      </c>
      <c r="F205" s="1288" t="s">
        <v>407</v>
      </c>
      <c r="G205" s="1239">
        <v>660000</v>
      </c>
      <c r="H205" s="989">
        <f t="shared" si="2"/>
        <v>169490400</v>
      </c>
      <c r="I205" s="997" t="s">
        <v>1264</v>
      </c>
      <c r="K205" s="19"/>
    </row>
    <row r="206" spans="1:11" x14ac:dyDescent="0.2">
      <c r="A206" s="1234">
        <v>45742</v>
      </c>
      <c r="B206" s="1241">
        <v>23</v>
      </c>
      <c r="C206" s="1187">
        <v>359</v>
      </c>
      <c r="D206" s="443" t="str">
        <f>_xlfn.XLOOKUP(B206,Códigos!$A$421:$A$483,Códigos!$B$421:$B$483,"Verificar",0)</f>
        <v>Compra de: -Útiles de aseo</v>
      </c>
      <c r="E206" s="444" t="str">
        <f>_xlfn.XLOOKUP(C206,Códigos!$A$11:$A$415,Códigos!$B$11:$B$415,"Verificar",0)</f>
        <v>NOMBRE 232</v>
      </c>
      <c r="F206" s="1288" t="s">
        <v>407</v>
      </c>
      <c r="G206" s="1239">
        <v>10000</v>
      </c>
      <c r="H206" s="989">
        <f t="shared" ref="H206:H269" si="3">+H205+G206</f>
        <v>169500400</v>
      </c>
      <c r="I206" s="1052" t="s">
        <v>1265</v>
      </c>
      <c r="K206" s="19"/>
    </row>
    <row r="207" spans="1:11" x14ac:dyDescent="0.2">
      <c r="A207" s="1234">
        <v>45742</v>
      </c>
      <c r="B207" s="1000">
        <v>9</v>
      </c>
      <c r="C207" s="1187">
        <v>359</v>
      </c>
      <c r="D207" s="443" t="str">
        <f>_xlfn.XLOOKUP(B207,Códigos!$A$421:$A$483,Códigos!$B$421:$B$483,"Verificar",0)</f>
        <v>Pagos de: -Servicios públicos -OFICINA-</v>
      </c>
      <c r="E207" s="444" t="str">
        <f>_xlfn.XLOOKUP(C207,Códigos!$A$11:$A$415,Códigos!$B$11:$B$415,"Verificar",0)</f>
        <v>NOMBRE 232</v>
      </c>
      <c r="F207" s="1288" t="s">
        <v>407</v>
      </c>
      <c r="G207" s="1239">
        <v>140300</v>
      </c>
      <c r="H207" s="989">
        <f t="shared" si="3"/>
        <v>169640700</v>
      </c>
      <c r="I207" s="1050" t="s">
        <v>1120</v>
      </c>
      <c r="K207" s="19"/>
    </row>
    <row r="208" spans="1:11" x14ac:dyDescent="0.2">
      <c r="A208" s="1234">
        <v>45742</v>
      </c>
      <c r="B208" s="1291">
        <v>28</v>
      </c>
      <c r="C208" s="1291">
        <v>249</v>
      </c>
      <c r="D208" s="443" t="str">
        <f>_xlfn.XLOOKUP(B208,Códigos!$A$421:$A$483,Códigos!$B$421:$B$483,"Verificar",0)</f>
        <v>Préstamos a:</v>
      </c>
      <c r="E208" s="444" t="str">
        <f>_xlfn.XLOOKUP(C208,Códigos!$A$11:$A$415,Códigos!$B$11:$B$415,"Verificar",0)</f>
        <v>NOMBRE 220</v>
      </c>
      <c r="F208" s="1288" t="s">
        <v>407</v>
      </c>
      <c r="G208" s="1239">
        <v>57600</v>
      </c>
      <c r="H208" s="989">
        <f t="shared" si="3"/>
        <v>169698300</v>
      </c>
      <c r="I208" s="1050" t="s">
        <v>1121</v>
      </c>
      <c r="K208" s="19"/>
    </row>
    <row r="209" spans="1:11" x14ac:dyDescent="0.2">
      <c r="A209" s="1234">
        <v>45742</v>
      </c>
      <c r="B209" s="1000">
        <v>9</v>
      </c>
      <c r="C209" s="1187">
        <v>359</v>
      </c>
      <c r="D209" s="443" t="str">
        <f>_xlfn.XLOOKUP(B209,Códigos!$A$421:$A$483,Códigos!$B$421:$B$483,"Verificar",0)</f>
        <v>Pagos de: -Servicios públicos -OFICINA-</v>
      </c>
      <c r="E209" s="444" t="str">
        <f>_xlfn.XLOOKUP(C209,Códigos!$A$11:$A$415,Códigos!$B$11:$B$415,"Verificar",0)</f>
        <v>NOMBRE 232</v>
      </c>
      <c r="F209" s="1288" t="s">
        <v>407</v>
      </c>
      <c r="G209" s="1239">
        <v>173800</v>
      </c>
      <c r="H209" s="989">
        <f t="shared" si="3"/>
        <v>169872100</v>
      </c>
      <c r="I209" s="1050" t="s">
        <v>1122</v>
      </c>
      <c r="K209" s="19"/>
    </row>
    <row r="210" spans="1:11" x14ac:dyDescent="0.2">
      <c r="A210" s="1234">
        <v>45744</v>
      </c>
      <c r="B210" s="1000">
        <v>8</v>
      </c>
      <c r="C210" s="996">
        <v>356</v>
      </c>
      <c r="D210" s="443" t="str">
        <f>_xlfn.XLOOKUP(B210,Códigos!$A$421:$A$483,Códigos!$B$421:$B$483,"Verificar",0)</f>
        <v>Pagos de: -Cuota para alimentos y Manuntención</v>
      </c>
      <c r="E210" s="444" t="str">
        <f>_xlfn.XLOOKUP(C210,Códigos!$A$11:$A$415,Códigos!$B$11:$B$415,"Verificar",0)</f>
        <v>NOMBRE 108</v>
      </c>
      <c r="F210" s="1288" t="s">
        <v>1103</v>
      </c>
      <c r="G210" s="990">
        <v>220000</v>
      </c>
      <c r="H210" s="989">
        <f t="shared" si="3"/>
        <v>170092100</v>
      </c>
      <c r="I210" s="1050" t="s">
        <v>1083</v>
      </c>
      <c r="K210" s="19"/>
    </row>
    <row r="211" spans="1:11" x14ac:dyDescent="0.2">
      <c r="A211" s="1234">
        <v>45744</v>
      </c>
      <c r="B211" s="1000">
        <v>8</v>
      </c>
      <c r="C211" s="996">
        <v>358</v>
      </c>
      <c r="D211" s="443" t="str">
        <f>_xlfn.XLOOKUP(B211,Códigos!$A$421:$A$483,Códigos!$B$421:$B$483,"Verificar",0)</f>
        <v>Pagos de: -Cuota para alimentos y Manuntención</v>
      </c>
      <c r="E211" s="444" t="str">
        <f>_xlfn.XLOOKUP(C211,Códigos!$A$11:$A$415,Códigos!$B$11:$B$415,"Verificar",0)</f>
        <v>NOMBRE 338</v>
      </c>
      <c r="F211" s="1288" t="s">
        <v>1103</v>
      </c>
      <c r="G211" s="1280">
        <v>380000</v>
      </c>
      <c r="H211" s="989">
        <f t="shared" si="3"/>
        <v>170472100</v>
      </c>
      <c r="I211" s="997" t="s">
        <v>1266</v>
      </c>
      <c r="K211" s="19"/>
    </row>
    <row r="212" spans="1:11" x14ac:dyDescent="0.2">
      <c r="A212" s="1234">
        <v>45744</v>
      </c>
      <c r="B212" s="1000">
        <v>2</v>
      </c>
      <c r="C212" s="996">
        <v>262</v>
      </c>
      <c r="D212" s="443" t="str">
        <f>_xlfn.XLOOKUP(B212,Códigos!$A$421:$A$483,Códigos!$B$421:$B$483,"Verificar",0)</f>
        <v>Pago de Salarios a:</v>
      </c>
      <c r="E212" s="444" t="str">
        <f>_xlfn.XLOOKUP(C212,Códigos!$A$11:$A$415,Códigos!$B$11:$B$415,"Verificar",0)</f>
        <v>NOMBRE 95</v>
      </c>
      <c r="F212" s="1288" t="s">
        <v>407</v>
      </c>
      <c r="G212" s="1239">
        <v>660000</v>
      </c>
      <c r="H212" s="989">
        <f t="shared" si="3"/>
        <v>171132100</v>
      </c>
      <c r="I212" s="997" t="s">
        <v>1264</v>
      </c>
      <c r="K212" s="19"/>
    </row>
    <row r="213" spans="1:11" x14ac:dyDescent="0.2">
      <c r="A213" s="1234">
        <v>45744</v>
      </c>
      <c r="B213" s="1241">
        <v>1</v>
      </c>
      <c r="C213" s="1187">
        <v>355</v>
      </c>
      <c r="D213" s="443" t="str">
        <f>_xlfn.XLOOKUP(B213,Códigos!$A$421:$A$483,Códigos!$B$421:$B$483,"Verificar",0)</f>
        <v>Gastos personales</v>
      </c>
      <c r="E213" s="444" t="str">
        <f>_xlfn.XLOOKUP(C213,Códigos!$A$11:$A$415,Códigos!$B$11:$B$415,"Verificar",0)</f>
        <v>NOMBRE 96</v>
      </c>
      <c r="F213" s="1288" t="s">
        <v>1103</v>
      </c>
      <c r="G213" s="1239">
        <v>400000</v>
      </c>
      <c r="H213" s="989">
        <f t="shared" si="3"/>
        <v>171532100</v>
      </c>
      <c r="I213" s="1052" t="s">
        <v>1101</v>
      </c>
      <c r="K213" s="19"/>
    </row>
    <row r="214" spans="1:11" x14ac:dyDescent="0.2">
      <c r="A214" s="1234">
        <v>45747</v>
      </c>
      <c r="B214" s="1187">
        <v>29</v>
      </c>
      <c r="C214" s="1187">
        <v>252</v>
      </c>
      <c r="D214" s="443" t="str">
        <f>_xlfn.XLOOKUP(B214,Códigos!$A$421:$A$483,Códigos!$B$421:$B$483,"Verificar",0)</f>
        <v>Egresos por Cuenta de Terceros -Pagos impuestos-</v>
      </c>
      <c r="E214" s="444" t="str">
        <f>_xlfn.XLOOKUP(C214,Códigos!$A$11:$A$415,Códigos!$B$11:$B$415,"Verificar",0)</f>
        <v>NOMBRE 219</v>
      </c>
      <c r="F214" s="1288" t="s">
        <v>407</v>
      </c>
      <c r="G214" s="1239">
        <v>91000</v>
      </c>
      <c r="H214" s="989">
        <f t="shared" si="3"/>
        <v>171623100</v>
      </c>
      <c r="I214" s="1052" t="s">
        <v>1258</v>
      </c>
      <c r="K214" s="19"/>
    </row>
    <row r="215" spans="1:11" x14ac:dyDescent="0.2">
      <c r="A215" s="1234">
        <v>45747</v>
      </c>
      <c r="B215" s="1241">
        <v>1</v>
      </c>
      <c r="C215" s="1187">
        <v>355</v>
      </c>
      <c r="D215" s="443" t="str">
        <f>_xlfn.XLOOKUP(B215,Códigos!$A$421:$A$483,Códigos!$B$421:$B$483,"Verificar",0)</f>
        <v>Gastos personales</v>
      </c>
      <c r="E215" s="444" t="str">
        <f>_xlfn.XLOOKUP(C215,Códigos!$A$11:$A$415,Códigos!$B$11:$B$415,"Verificar",0)</f>
        <v>NOMBRE 96</v>
      </c>
      <c r="F215" s="1288" t="s">
        <v>1103</v>
      </c>
      <c r="G215" s="1239">
        <v>100000</v>
      </c>
      <c r="H215" s="989">
        <f t="shared" si="3"/>
        <v>171723100</v>
      </c>
      <c r="I215" s="1049" t="s">
        <v>1182</v>
      </c>
      <c r="K215" s="19"/>
    </row>
    <row r="216" spans="1:11" x14ac:dyDescent="0.2">
      <c r="A216" s="1234">
        <v>45748</v>
      </c>
      <c r="B216" s="1241">
        <v>29</v>
      </c>
      <c r="C216" s="1187">
        <v>359</v>
      </c>
      <c r="D216" s="443" t="str">
        <f>_xlfn.XLOOKUP(B216,Códigos!$A$421:$A$483,Códigos!$B$421:$B$483,"Verificar",0)</f>
        <v>Egresos por Cuenta de Terceros -Pagos impuestos-</v>
      </c>
      <c r="E216" s="444" t="str">
        <f>_xlfn.XLOOKUP(C216,Códigos!$A$11:$A$415,Códigos!$B$11:$B$415,"Verificar",0)</f>
        <v>NOMBRE 232</v>
      </c>
      <c r="F216" s="1288" t="s">
        <v>407</v>
      </c>
      <c r="G216" s="1239">
        <f>85000+360000</f>
        <v>445000</v>
      </c>
      <c r="H216" s="989">
        <f t="shared" si="3"/>
        <v>172168100</v>
      </c>
      <c r="I216" s="1052" t="s">
        <v>1269</v>
      </c>
      <c r="K216" s="19"/>
    </row>
    <row r="217" spans="1:11" x14ac:dyDescent="0.2">
      <c r="A217" s="1234">
        <v>45750</v>
      </c>
      <c r="B217" s="1241">
        <v>9</v>
      </c>
      <c r="C217" s="1187">
        <v>359</v>
      </c>
      <c r="D217" s="443" t="str">
        <f>_xlfn.XLOOKUP(B217,Códigos!$A$421:$A$483,Códigos!$B$421:$B$483,"Verificar",0)</f>
        <v>Pagos de: -Servicios públicos -OFICINA-</v>
      </c>
      <c r="E217" s="444" t="str">
        <f>_xlfn.XLOOKUP(C217,Códigos!$A$11:$A$415,Códigos!$B$11:$B$415,"Verificar",0)</f>
        <v>NOMBRE 232</v>
      </c>
      <c r="F217" s="1288" t="s">
        <v>407</v>
      </c>
      <c r="G217" s="1239">
        <v>129900</v>
      </c>
      <c r="H217" s="989">
        <f t="shared" si="3"/>
        <v>172298000</v>
      </c>
      <c r="I217" s="1052" t="s">
        <v>1220</v>
      </c>
      <c r="K217" s="19"/>
    </row>
    <row r="218" spans="1:11" x14ac:dyDescent="0.2">
      <c r="A218" s="1234">
        <v>45750</v>
      </c>
      <c r="B218" s="1241">
        <v>8</v>
      </c>
      <c r="C218" s="1187">
        <v>356</v>
      </c>
      <c r="D218" s="443" t="str">
        <f>_xlfn.XLOOKUP(B218,Códigos!$A$421:$A$483,Códigos!$B$421:$B$483,"Verificar",0)</f>
        <v>Pagos de: -Cuota para alimentos y Manuntención</v>
      </c>
      <c r="E218" s="444" t="str">
        <f>_xlfn.XLOOKUP(C218,Códigos!$A$11:$A$415,Códigos!$B$11:$B$415,"Verificar",0)</f>
        <v>NOMBRE 108</v>
      </c>
      <c r="F218" s="1288" t="s">
        <v>1103</v>
      </c>
      <c r="G218" s="1239">
        <v>1590900</v>
      </c>
      <c r="H218" s="989">
        <f t="shared" si="3"/>
        <v>173888900</v>
      </c>
      <c r="I218" s="1049" t="s">
        <v>1270</v>
      </c>
      <c r="K218" s="19"/>
    </row>
    <row r="219" spans="1:11" x14ac:dyDescent="0.2">
      <c r="A219" s="1234">
        <v>45750</v>
      </c>
      <c r="B219" s="1241">
        <v>5</v>
      </c>
      <c r="C219" s="1187">
        <v>262</v>
      </c>
      <c r="D219" s="443" t="str">
        <f>_xlfn.XLOOKUP(B219,Códigos!$A$421:$A$483,Códigos!$B$421:$B$483,"Verificar",0)</f>
        <v>Préstamos por Nómina a:</v>
      </c>
      <c r="E219" s="444" t="str">
        <f>_xlfn.XLOOKUP(C219,Códigos!$A$11:$A$415,Códigos!$B$11:$B$415,"Verificar",0)</f>
        <v>NOMBRE 95</v>
      </c>
      <c r="F219" s="1288" t="s">
        <v>407</v>
      </c>
      <c r="G219" s="1239">
        <v>100000</v>
      </c>
      <c r="H219" s="989">
        <f t="shared" si="3"/>
        <v>173988900</v>
      </c>
      <c r="I219" s="1049" t="s">
        <v>1114</v>
      </c>
      <c r="K219" s="19"/>
    </row>
    <row r="220" spans="1:11" x14ac:dyDescent="0.2">
      <c r="A220" s="1234">
        <v>45750</v>
      </c>
      <c r="B220" s="1241">
        <v>5</v>
      </c>
      <c r="C220" s="1187">
        <v>262</v>
      </c>
      <c r="D220" s="443" t="str">
        <f>_xlfn.XLOOKUP(B220,Códigos!$A$421:$A$483,Códigos!$B$421:$B$483,"Verificar",0)</f>
        <v>Préstamos por Nómina a:</v>
      </c>
      <c r="E220" s="444" t="str">
        <f>_xlfn.XLOOKUP(C220,Códigos!$A$11:$A$415,Códigos!$B$11:$B$415,"Verificar",0)</f>
        <v>NOMBRE 95</v>
      </c>
      <c r="F220" s="1288" t="s">
        <v>407</v>
      </c>
      <c r="G220" s="1239">
        <v>100000</v>
      </c>
      <c r="H220" s="989">
        <f t="shared" si="3"/>
        <v>174088900</v>
      </c>
      <c r="I220" s="1049" t="s">
        <v>1148</v>
      </c>
      <c r="K220" s="19"/>
    </row>
    <row r="221" spans="1:11" x14ac:dyDescent="0.2">
      <c r="A221" s="1234">
        <v>45750</v>
      </c>
      <c r="B221" s="1241">
        <v>37</v>
      </c>
      <c r="C221" s="1187">
        <v>359</v>
      </c>
      <c r="D221" s="443" t="str">
        <f>_xlfn.XLOOKUP(B221,Códigos!$A$421:$A$483,Códigos!$B$421:$B$483,"Verificar",0)</f>
        <v>Gastos Barbosa</v>
      </c>
      <c r="E221" s="444" t="str">
        <f>_xlfn.XLOOKUP(C221,Códigos!$A$11:$A$415,Códigos!$B$11:$B$415,"Verificar",0)</f>
        <v>NOMBRE 232</v>
      </c>
      <c r="F221" s="1288"/>
      <c r="G221" s="1239">
        <v>500000</v>
      </c>
      <c r="H221" s="989">
        <f t="shared" si="3"/>
        <v>174588900</v>
      </c>
      <c r="I221" s="1049" t="s">
        <v>1271</v>
      </c>
      <c r="K221" s="19"/>
    </row>
    <row r="222" spans="1:11" x14ac:dyDescent="0.2">
      <c r="A222" s="1234">
        <v>45750</v>
      </c>
      <c r="B222" s="1241">
        <v>24</v>
      </c>
      <c r="C222" s="1187">
        <v>359</v>
      </c>
      <c r="D222" s="443" t="str">
        <f>_xlfn.XLOOKUP(B222,Códigos!$A$421:$A$483,Códigos!$B$421:$B$483,"Verificar",0)</f>
        <v>Compra de: -Papelería</v>
      </c>
      <c r="E222" s="444" t="str">
        <f>_xlfn.XLOOKUP(C222,Códigos!$A$11:$A$415,Códigos!$B$11:$B$415,"Verificar",0)</f>
        <v>NOMBRE 232</v>
      </c>
      <c r="F222" s="1288" t="s">
        <v>407</v>
      </c>
      <c r="G222" s="1239">
        <v>110000</v>
      </c>
      <c r="H222" s="989">
        <f t="shared" si="3"/>
        <v>174698900</v>
      </c>
      <c r="I222" s="1049" t="s">
        <v>1278</v>
      </c>
      <c r="K222" s="19"/>
    </row>
    <row r="223" spans="1:11" x14ac:dyDescent="0.2">
      <c r="A223" s="1234">
        <v>45750</v>
      </c>
      <c r="B223" s="1241">
        <v>8</v>
      </c>
      <c r="C223" s="1187">
        <v>355</v>
      </c>
      <c r="D223" s="443" t="str">
        <f>_xlfn.XLOOKUP(B223,Códigos!$A$421:$A$483,Códigos!$B$421:$B$483,"Verificar",0)</f>
        <v>Pagos de: -Cuota para alimentos y Manuntención</v>
      </c>
      <c r="E223" s="444" t="str">
        <f>_xlfn.XLOOKUP(C223,Códigos!$A$11:$A$415,Códigos!$B$11:$B$415,"Verificar",0)</f>
        <v>NOMBRE 96</v>
      </c>
      <c r="F223" s="1288"/>
      <c r="G223" s="1239">
        <v>200000</v>
      </c>
      <c r="H223" s="989">
        <f t="shared" si="3"/>
        <v>174898900</v>
      </c>
      <c r="I223" s="1049" t="s">
        <v>1279</v>
      </c>
      <c r="K223" s="19"/>
    </row>
    <row r="224" spans="1:11" x14ac:dyDescent="0.2">
      <c r="A224" s="1234">
        <v>45750</v>
      </c>
      <c r="B224" s="1291">
        <v>28</v>
      </c>
      <c r="C224" s="1291">
        <v>249</v>
      </c>
      <c r="D224" s="443" t="str">
        <f>_xlfn.XLOOKUP(B224,Códigos!$A$421:$A$483,Códigos!$B$421:$B$483,"Verificar",0)</f>
        <v>Préstamos a:</v>
      </c>
      <c r="E224" s="444" t="str">
        <f>_xlfn.XLOOKUP(C224,Códigos!$A$11:$A$415,Códigos!$B$11:$B$415,"Verificar",0)</f>
        <v>NOMBRE 220</v>
      </c>
      <c r="F224" s="1288" t="s">
        <v>407</v>
      </c>
      <c r="G224" s="1239">
        <v>1190000</v>
      </c>
      <c r="H224" s="989">
        <f t="shared" si="3"/>
        <v>176088900</v>
      </c>
      <c r="I224" s="1049" t="s">
        <v>1107</v>
      </c>
      <c r="K224" s="19"/>
    </row>
    <row r="225" spans="1:11" x14ac:dyDescent="0.2">
      <c r="A225" s="1234">
        <v>45750</v>
      </c>
      <c r="B225" s="1000">
        <v>8</v>
      </c>
      <c r="C225" s="1187">
        <v>357</v>
      </c>
      <c r="D225" s="443" t="str">
        <f>_xlfn.XLOOKUP(B225,Códigos!$A$421:$A$483,Códigos!$B$421:$B$483,"Verificar",0)</f>
        <v>Pagos de: -Cuota para alimentos y Manuntención</v>
      </c>
      <c r="E225" s="444" t="str">
        <f>_xlfn.XLOOKUP(C225,Códigos!$A$11:$A$415,Códigos!$B$11:$B$415,"Verificar",0)</f>
        <v>NOMBRE 107</v>
      </c>
      <c r="F225" s="1288" t="s">
        <v>1103</v>
      </c>
      <c r="G225" s="1239">
        <v>220000</v>
      </c>
      <c r="H225" s="989">
        <f t="shared" si="3"/>
        <v>176308900</v>
      </c>
      <c r="I225" s="1050" t="s">
        <v>1083</v>
      </c>
      <c r="K225" s="19"/>
    </row>
    <row r="226" spans="1:11" x14ac:dyDescent="0.2">
      <c r="A226" s="1234">
        <v>45750</v>
      </c>
      <c r="B226" s="1000">
        <v>2</v>
      </c>
      <c r="C226" s="1187">
        <v>353</v>
      </c>
      <c r="D226" s="443" t="str">
        <f>_xlfn.XLOOKUP(B226,Códigos!$A$421:$A$483,Códigos!$B$421:$B$483,"Verificar",0)</f>
        <v>Pago de Salarios a:</v>
      </c>
      <c r="E226" s="444" t="str">
        <f>_xlfn.XLOOKUP(C226,Códigos!$A$11:$A$415,Códigos!$B$11:$B$415,"Verificar",0)</f>
        <v>NOMBRE 31</v>
      </c>
      <c r="F226" s="1288" t="s">
        <v>407</v>
      </c>
      <c r="G226" s="1239">
        <v>660000</v>
      </c>
      <c r="H226" s="989">
        <f t="shared" si="3"/>
        <v>176968900</v>
      </c>
      <c r="I226" s="997" t="s">
        <v>1280</v>
      </c>
      <c r="K226" s="19"/>
    </row>
    <row r="227" spans="1:11" x14ac:dyDescent="0.2">
      <c r="A227" s="1234">
        <v>45751</v>
      </c>
      <c r="B227" s="1000">
        <v>8</v>
      </c>
      <c r="C227" s="996">
        <v>356</v>
      </c>
      <c r="D227" s="443" t="str">
        <f>_xlfn.XLOOKUP(B227,Códigos!$A$421:$A$483,Códigos!$B$421:$B$483,"Verificar",0)</f>
        <v>Pagos de: -Cuota para alimentos y Manuntención</v>
      </c>
      <c r="E227" s="444" t="str">
        <f>_xlfn.XLOOKUP(C227,Códigos!$A$11:$A$415,Códigos!$B$11:$B$415,"Verificar",0)</f>
        <v>NOMBRE 108</v>
      </c>
      <c r="F227" s="1288" t="s">
        <v>1103</v>
      </c>
      <c r="G227" s="990">
        <v>220000</v>
      </c>
      <c r="H227" s="989">
        <f t="shared" si="3"/>
        <v>177188900</v>
      </c>
      <c r="I227" s="1050" t="s">
        <v>1083</v>
      </c>
      <c r="K227" s="19"/>
    </row>
    <row r="228" spans="1:11" x14ac:dyDescent="0.2">
      <c r="A228" s="1234">
        <v>45751</v>
      </c>
      <c r="B228" s="1000">
        <v>8</v>
      </c>
      <c r="C228" s="996">
        <v>358</v>
      </c>
      <c r="D228" s="443" t="str">
        <f>_xlfn.XLOOKUP(B228,Códigos!$A$421:$A$483,Códigos!$B$421:$B$483,"Verificar",0)</f>
        <v>Pagos de: -Cuota para alimentos y Manuntención</v>
      </c>
      <c r="E228" s="444" t="str">
        <f>_xlfn.XLOOKUP(C228,Códigos!$A$11:$A$415,Códigos!$B$11:$B$415,"Verificar",0)</f>
        <v>NOMBRE 338</v>
      </c>
      <c r="F228" s="1288" t="s">
        <v>1103</v>
      </c>
      <c r="G228" s="1280">
        <v>380000</v>
      </c>
      <c r="H228" s="989">
        <f t="shared" si="3"/>
        <v>177568900</v>
      </c>
      <c r="I228" s="997" t="s">
        <v>1266</v>
      </c>
      <c r="K228" s="19"/>
    </row>
    <row r="229" spans="1:11" x14ac:dyDescent="0.2">
      <c r="A229" s="1234">
        <v>45751</v>
      </c>
      <c r="B229" s="1000">
        <v>2</v>
      </c>
      <c r="C229" s="996">
        <v>262</v>
      </c>
      <c r="D229" s="443" t="str">
        <f>_xlfn.XLOOKUP(B229,Códigos!$A$421:$A$483,Códigos!$B$421:$B$483,"Verificar",0)</f>
        <v>Pago de Salarios a:</v>
      </c>
      <c r="E229" s="444" t="str">
        <f>_xlfn.XLOOKUP(C229,Códigos!$A$11:$A$415,Códigos!$B$11:$B$415,"Verificar",0)</f>
        <v>NOMBRE 95</v>
      </c>
      <c r="F229" s="1288" t="s">
        <v>407</v>
      </c>
      <c r="G229" s="1239">
        <v>660000</v>
      </c>
      <c r="H229" s="989">
        <f t="shared" si="3"/>
        <v>178228900</v>
      </c>
      <c r="I229" s="997" t="s">
        <v>1264</v>
      </c>
      <c r="K229" s="19"/>
    </row>
    <row r="230" spans="1:11" x14ac:dyDescent="0.2">
      <c r="A230" s="1234">
        <v>45751</v>
      </c>
      <c r="B230" s="1241">
        <v>27</v>
      </c>
      <c r="C230" s="1187">
        <v>359</v>
      </c>
      <c r="D230" s="443" t="str">
        <f>_xlfn.XLOOKUP(B230,Códigos!$A$421:$A$483,Códigos!$B$421:$B$483,"Verificar",0)</f>
        <v>Compra de: -Restaurante y cafetería</v>
      </c>
      <c r="E230" s="444" t="str">
        <f>_xlfn.XLOOKUP(C230,Códigos!$A$11:$A$415,Códigos!$B$11:$B$415,"Verificar",0)</f>
        <v>NOMBRE 232</v>
      </c>
      <c r="F230" s="1288" t="s">
        <v>407</v>
      </c>
      <c r="G230" s="1239">
        <v>400000</v>
      </c>
      <c r="H230" s="989">
        <f t="shared" si="3"/>
        <v>178628900</v>
      </c>
      <c r="I230" s="1292" t="s">
        <v>1155</v>
      </c>
      <c r="K230" s="19"/>
    </row>
    <row r="231" spans="1:11" x14ac:dyDescent="0.2">
      <c r="A231" s="1234">
        <v>45751</v>
      </c>
      <c r="B231" s="1187">
        <v>21</v>
      </c>
      <c r="C231" s="1187">
        <v>359</v>
      </c>
      <c r="D231" s="443" t="str">
        <f>_xlfn.XLOOKUP(B231,Códigos!$A$421:$A$483,Códigos!$B$421:$B$483,"Verificar",0)</f>
        <v>Pagos de: -Cuentas por Pagar a:</v>
      </c>
      <c r="E231" s="444" t="str">
        <f>_xlfn.XLOOKUP(C231,Códigos!$A$11:$A$415,Códigos!$B$11:$B$415,"Verificar",0)</f>
        <v>NOMBRE 232</v>
      </c>
      <c r="F231" s="1288" t="s">
        <v>407</v>
      </c>
      <c r="G231" s="1239">
        <v>48000</v>
      </c>
      <c r="H231" s="989">
        <f t="shared" si="3"/>
        <v>178676900</v>
      </c>
      <c r="I231" s="1052" t="s">
        <v>1282</v>
      </c>
      <c r="K231" s="19"/>
    </row>
    <row r="232" spans="1:11" x14ac:dyDescent="0.2">
      <c r="A232" s="1234">
        <v>45751</v>
      </c>
      <c r="B232" s="1291">
        <v>28</v>
      </c>
      <c r="C232" s="1291">
        <v>249</v>
      </c>
      <c r="D232" s="443" t="str">
        <f>_xlfn.XLOOKUP(B232,Códigos!$A$421:$A$483,Códigos!$B$421:$B$483,"Verificar",0)</f>
        <v>Préstamos a:</v>
      </c>
      <c r="E232" s="444" t="str">
        <f>_xlfn.XLOOKUP(C232,Códigos!$A$11:$A$415,Códigos!$B$11:$B$415,"Verificar",0)</f>
        <v>NOMBRE 220</v>
      </c>
      <c r="F232" s="1288" t="s">
        <v>407</v>
      </c>
      <c r="G232" s="1239">
        <v>410000</v>
      </c>
      <c r="H232" s="989">
        <f t="shared" si="3"/>
        <v>179086900</v>
      </c>
      <c r="I232" s="1049" t="s">
        <v>1283</v>
      </c>
      <c r="K232" s="19"/>
    </row>
    <row r="233" spans="1:11" x14ac:dyDescent="0.2">
      <c r="A233" s="1234">
        <v>45751</v>
      </c>
      <c r="B233" s="1187">
        <v>6</v>
      </c>
      <c r="C233" s="1187">
        <v>353</v>
      </c>
      <c r="D233" s="443" t="str">
        <f>_xlfn.XLOOKUP(B233,Códigos!$A$421:$A$483,Códigos!$B$421:$B$483,"Verificar",0)</f>
        <v>Préstamos por Nómina a:</v>
      </c>
      <c r="E233" s="444" t="str">
        <f>_xlfn.XLOOKUP(C233,Códigos!$A$11:$A$415,Códigos!$B$11:$B$415,"Verificar",0)</f>
        <v>NOMBRE 31</v>
      </c>
      <c r="F233" s="1288" t="s">
        <v>407</v>
      </c>
      <c r="G233" s="1239">
        <v>800000</v>
      </c>
      <c r="H233" s="989">
        <f t="shared" si="3"/>
        <v>179886900</v>
      </c>
      <c r="I233" s="1050" t="s">
        <v>1284</v>
      </c>
      <c r="K233" s="19"/>
    </row>
    <row r="234" spans="1:11" x14ac:dyDescent="0.2">
      <c r="A234" s="1234">
        <v>45751</v>
      </c>
      <c r="B234" s="1187">
        <v>21</v>
      </c>
      <c r="C234" s="1187">
        <v>359</v>
      </c>
      <c r="D234" s="443" t="str">
        <f>_xlfn.XLOOKUP(B234,Códigos!$A$421:$A$483,Códigos!$B$421:$B$483,"Verificar",0)</f>
        <v>Pagos de: -Cuentas por Pagar a:</v>
      </c>
      <c r="E234" s="444" t="str">
        <f>_xlfn.XLOOKUP(C234,Códigos!$A$11:$A$415,Códigos!$B$11:$B$415,"Verificar",0)</f>
        <v>NOMBRE 232</v>
      </c>
      <c r="F234" s="1288" t="s">
        <v>407</v>
      </c>
      <c r="G234" s="1239">
        <v>1036900</v>
      </c>
      <c r="H234" s="989">
        <f t="shared" si="3"/>
        <v>180923800</v>
      </c>
      <c r="I234" s="1049" t="s">
        <v>1285</v>
      </c>
      <c r="K234" s="19"/>
    </row>
    <row r="235" spans="1:11" x14ac:dyDescent="0.2">
      <c r="A235" s="1234">
        <v>45754</v>
      </c>
      <c r="B235" s="1277">
        <v>7</v>
      </c>
      <c r="C235" s="1278">
        <v>359</v>
      </c>
      <c r="D235" s="443" t="str">
        <f>_xlfn.XLOOKUP(B235,Códigos!$A$421:$A$483,Códigos!$B$421:$B$483,"Verificar",0)</f>
        <v>Pagos de: -Seguridad Social</v>
      </c>
      <c r="E235" s="444" t="str">
        <f>_xlfn.XLOOKUP(C235,Códigos!$A$11:$A$415,Códigos!$B$11:$B$415,"Verificar",0)</f>
        <v>NOMBRE 232</v>
      </c>
      <c r="F235" s="1288" t="s">
        <v>407</v>
      </c>
      <c r="G235" s="1239">
        <v>1392400</v>
      </c>
      <c r="H235" s="989">
        <f t="shared" si="3"/>
        <v>182316200</v>
      </c>
      <c r="I235" s="1052" t="s">
        <v>1224</v>
      </c>
      <c r="K235" s="19"/>
    </row>
    <row r="236" spans="1:11" x14ac:dyDescent="0.2">
      <c r="A236" s="1234">
        <v>45754</v>
      </c>
      <c r="B236" s="1277">
        <v>7</v>
      </c>
      <c r="C236" s="1278">
        <v>359</v>
      </c>
      <c r="D236" s="443" t="str">
        <f>_xlfn.XLOOKUP(B236,Códigos!$A$421:$A$483,Códigos!$B$421:$B$483,"Verificar",0)</f>
        <v>Pagos de: -Seguridad Social</v>
      </c>
      <c r="E236" s="444" t="str">
        <f>_xlfn.XLOOKUP(C236,Códigos!$A$11:$A$415,Códigos!$B$11:$B$415,"Verificar",0)</f>
        <v>NOMBRE 232</v>
      </c>
      <c r="F236" s="1288" t="s">
        <v>407</v>
      </c>
      <c r="G236" s="1239">
        <v>940500</v>
      </c>
      <c r="H236" s="989">
        <f t="shared" si="3"/>
        <v>183256700</v>
      </c>
      <c r="I236" s="1052" t="s">
        <v>1286</v>
      </c>
      <c r="K236" s="19"/>
    </row>
    <row r="237" spans="1:11" x14ac:dyDescent="0.2">
      <c r="A237" s="1234">
        <v>45754</v>
      </c>
      <c r="B237" s="1241">
        <v>5</v>
      </c>
      <c r="C237" s="1187">
        <v>262</v>
      </c>
      <c r="D237" s="443" t="str">
        <f>_xlfn.XLOOKUP(B237,Códigos!$A$421:$A$483,Códigos!$B$421:$B$483,"Verificar",0)</f>
        <v>Préstamos por Nómina a:</v>
      </c>
      <c r="E237" s="444" t="str">
        <f>_xlfn.XLOOKUP(C237,Códigos!$A$11:$A$415,Códigos!$B$11:$B$415,"Verificar",0)</f>
        <v>NOMBRE 95</v>
      </c>
      <c r="F237" s="1288"/>
      <c r="G237" s="1239">
        <v>1200000</v>
      </c>
      <c r="H237" s="989">
        <f t="shared" si="3"/>
        <v>184456700</v>
      </c>
      <c r="I237" s="1049" t="s">
        <v>1287</v>
      </c>
      <c r="K237" s="19"/>
    </row>
    <row r="238" spans="1:11" x14ac:dyDescent="0.2">
      <c r="A238" s="1234">
        <v>45756</v>
      </c>
      <c r="B238" s="1241">
        <v>23</v>
      </c>
      <c r="C238" s="1187">
        <v>359</v>
      </c>
      <c r="D238" s="443" t="str">
        <f>_xlfn.XLOOKUP(B238,Códigos!$A$421:$A$483,Códigos!$B$421:$B$483,"Verificar",0)</f>
        <v>Compra de: -Útiles de aseo</v>
      </c>
      <c r="E238" s="444" t="str">
        <f>_xlfn.XLOOKUP(C238,Códigos!$A$11:$A$415,Códigos!$B$11:$B$415,"Verificar",0)</f>
        <v>NOMBRE 232</v>
      </c>
      <c r="F238" s="1288" t="s">
        <v>407</v>
      </c>
      <c r="G238" s="1239">
        <f>100000-67000</f>
        <v>33000</v>
      </c>
      <c r="H238" s="989">
        <f t="shared" si="3"/>
        <v>184489700</v>
      </c>
      <c r="I238" s="1049" t="s">
        <v>1288</v>
      </c>
      <c r="K238" s="19"/>
    </row>
    <row r="239" spans="1:11" x14ac:dyDescent="0.2">
      <c r="A239" s="1234">
        <v>45756</v>
      </c>
      <c r="B239" s="1241">
        <v>33</v>
      </c>
      <c r="C239" s="1187">
        <v>5</v>
      </c>
      <c r="D239" s="443" t="str">
        <f>_xlfn.XLOOKUP(B239,Códigos!$A$421:$A$483,Códigos!$B$421:$B$483,"Verificar",0)</f>
        <v>AJUSTE POR -Consignación - Traslado a Bancos</v>
      </c>
      <c r="E239" s="444" t="str">
        <f>_xlfn.XLOOKUP(C239,Códigos!$A$11:$A$415,Códigos!$B$11:$B$415,"Verificar",0)</f>
        <v>NOMBRE 25</v>
      </c>
      <c r="F239" s="1288"/>
      <c r="G239" s="1239">
        <v>7000000</v>
      </c>
      <c r="H239" s="989">
        <f t="shared" si="3"/>
        <v>191489700</v>
      </c>
      <c r="I239" s="1049" t="s">
        <v>1289</v>
      </c>
      <c r="K239" s="19"/>
    </row>
    <row r="240" spans="1:11" x14ac:dyDescent="0.2">
      <c r="A240" s="1234">
        <v>45756</v>
      </c>
      <c r="B240" s="1241">
        <v>23</v>
      </c>
      <c r="C240" s="1187">
        <v>359</v>
      </c>
      <c r="D240" s="443" t="str">
        <f>_xlfn.XLOOKUP(B240,Códigos!$A$421:$A$483,Códigos!$B$421:$B$483,"Verificar",0)</f>
        <v>Compra de: -Útiles de aseo</v>
      </c>
      <c r="E240" s="444" t="str">
        <f>_xlfn.XLOOKUP(C240,Códigos!$A$11:$A$415,Códigos!$B$11:$B$415,"Verificar",0)</f>
        <v>NOMBRE 232</v>
      </c>
      <c r="F240" s="1288" t="s">
        <v>407</v>
      </c>
      <c r="G240" s="1239">
        <v>80000</v>
      </c>
      <c r="H240" s="989">
        <f t="shared" si="3"/>
        <v>191569700</v>
      </c>
      <c r="I240" s="1052" t="s">
        <v>1046</v>
      </c>
      <c r="K240" s="19"/>
    </row>
    <row r="241" spans="1:11" x14ac:dyDescent="0.2">
      <c r="A241" s="1234">
        <v>45757</v>
      </c>
      <c r="B241" s="1241">
        <v>28</v>
      </c>
      <c r="C241" s="1187">
        <v>359</v>
      </c>
      <c r="D241" s="443" t="str">
        <f>_xlfn.XLOOKUP(B241,Códigos!$A$421:$A$483,Códigos!$B$421:$B$483,"Verificar",0)</f>
        <v>Préstamos a:</v>
      </c>
      <c r="E241" s="444" t="str">
        <f>_xlfn.XLOOKUP(C241,Códigos!$A$11:$A$415,Códigos!$B$11:$B$415,"Verificar",0)</f>
        <v>NOMBRE 232</v>
      </c>
      <c r="F241" s="1288"/>
      <c r="G241" s="1239">
        <v>500000</v>
      </c>
      <c r="H241" s="989">
        <f t="shared" si="3"/>
        <v>192069700</v>
      </c>
      <c r="I241" s="1049" t="s">
        <v>1290</v>
      </c>
      <c r="K241" s="19"/>
    </row>
    <row r="242" spans="1:11" x14ac:dyDescent="0.2">
      <c r="A242" s="1234">
        <v>45757</v>
      </c>
      <c r="B242" s="1000">
        <v>8</v>
      </c>
      <c r="C242" s="1187">
        <v>357</v>
      </c>
      <c r="D242" s="443" t="str">
        <f>_xlfn.XLOOKUP(B242,Códigos!$A$421:$A$483,Códigos!$B$421:$B$483,"Verificar",0)</f>
        <v>Pagos de: -Cuota para alimentos y Manuntención</v>
      </c>
      <c r="E242" s="444" t="str">
        <f>_xlfn.XLOOKUP(C242,Códigos!$A$11:$A$415,Códigos!$B$11:$B$415,"Verificar",0)</f>
        <v>NOMBRE 107</v>
      </c>
      <c r="F242" s="1288" t="s">
        <v>1103</v>
      </c>
      <c r="G242" s="1239">
        <v>220000</v>
      </c>
      <c r="H242" s="989">
        <f t="shared" si="3"/>
        <v>192289700</v>
      </c>
      <c r="I242" s="1050" t="s">
        <v>1083</v>
      </c>
      <c r="K242" s="19"/>
    </row>
    <row r="243" spans="1:11" x14ac:dyDescent="0.2">
      <c r="A243" s="1234">
        <v>45757</v>
      </c>
      <c r="B243" s="1000">
        <v>2</v>
      </c>
      <c r="C243" s="1187">
        <v>353</v>
      </c>
      <c r="D243" s="443" t="str">
        <f>_xlfn.XLOOKUP(B243,Códigos!$A$421:$A$483,Códigos!$B$421:$B$483,"Verificar",0)</f>
        <v>Pago de Salarios a:</v>
      </c>
      <c r="E243" s="444" t="str">
        <f>_xlfn.XLOOKUP(C243,Códigos!$A$11:$A$415,Códigos!$B$11:$B$415,"Verificar",0)</f>
        <v>NOMBRE 31</v>
      </c>
      <c r="F243" s="1288" t="s">
        <v>407</v>
      </c>
      <c r="G243" s="1239">
        <v>660000</v>
      </c>
      <c r="H243" s="989">
        <f t="shared" si="3"/>
        <v>192949700</v>
      </c>
      <c r="I243" s="997" t="s">
        <v>1291</v>
      </c>
      <c r="K243" s="19"/>
    </row>
    <row r="244" spans="1:11" x14ac:dyDescent="0.2">
      <c r="A244" s="1234">
        <v>45758</v>
      </c>
      <c r="B244" s="1000">
        <v>8</v>
      </c>
      <c r="C244" s="996">
        <v>356</v>
      </c>
      <c r="D244" s="443" t="str">
        <f>_xlfn.XLOOKUP(B244,Códigos!$A$421:$A$483,Códigos!$B$421:$B$483,"Verificar",0)</f>
        <v>Pagos de: -Cuota para alimentos y Manuntención</v>
      </c>
      <c r="E244" s="444" t="str">
        <f>_xlfn.XLOOKUP(C244,Códigos!$A$11:$A$415,Códigos!$B$11:$B$415,"Verificar",0)</f>
        <v>NOMBRE 108</v>
      </c>
      <c r="F244" s="1288" t="s">
        <v>1103</v>
      </c>
      <c r="G244" s="990">
        <v>220000</v>
      </c>
      <c r="H244" s="989">
        <f t="shared" si="3"/>
        <v>193169700</v>
      </c>
      <c r="I244" s="1050" t="s">
        <v>1083</v>
      </c>
      <c r="K244" s="19"/>
    </row>
    <row r="245" spans="1:11" x14ac:dyDescent="0.2">
      <c r="A245" s="1234">
        <v>45758</v>
      </c>
      <c r="B245" s="1000">
        <v>8</v>
      </c>
      <c r="C245" s="996">
        <v>358</v>
      </c>
      <c r="D245" s="443" t="str">
        <f>_xlfn.XLOOKUP(B245,Códigos!$A$421:$A$483,Códigos!$B$421:$B$483,"Verificar",0)</f>
        <v>Pagos de: -Cuota para alimentos y Manuntención</v>
      </c>
      <c r="E245" s="444" t="str">
        <f>_xlfn.XLOOKUP(C245,Códigos!$A$11:$A$415,Códigos!$B$11:$B$415,"Verificar",0)</f>
        <v>NOMBRE 338</v>
      </c>
      <c r="F245" s="1288" t="s">
        <v>1103</v>
      </c>
      <c r="G245" s="1280">
        <v>380000</v>
      </c>
      <c r="H245" s="989">
        <f t="shared" si="3"/>
        <v>193549700</v>
      </c>
      <c r="I245" s="997" t="s">
        <v>1293</v>
      </c>
      <c r="K245" s="19"/>
    </row>
    <row r="246" spans="1:11" x14ac:dyDescent="0.2">
      <c r="A246" s="1234">
        <v>45758</v>
      </c>
      <c r="B246" s="1000">
        <v>2</v>
      </c>
      <c r="C246" s="996">
        <v>262</v>
      </c>
      <c r="D246" s="443" t="str">
        <f>_xlfn.XLOOKUP(B246,Códigos!$A$421:$A$483,Códigos!$B$421:$B$483,"Verificar",0)</f>
        <v>Pago de Salarios a:</v>
      </c>
      <c r="E246" s="444" t="str">
        <f>_xlfn.XLOOKUP(C246,Códigos!$A$11:$A$415,Códigos!$B$11:$B$415,"Verificar",0)</f>
        <v>NOMBRE 95</v>
      </c>
      <c r="F246" s="1288" t="s">
        <v>407</v>
      </c>
      <c r="G246" s="1239">
        <v>660000</v>
      </c>
      <c r="H246" s="989">
        <f t="shared" si="3"/>
        <v>194209700</v>
      </c>
      <c r="I246" s="997" t="s">
        <v>1291</v>
      </c>
      <c r="K246" s="19"/>
    </row>
    <row r="247" spans="1:11" x14ac:dyDescent="0.2">
      <c r="A247" s="1234">
        <v>45758</v>
      </c>
      <c r="B247" s="1241">
        <v>1</v>
      </c>
      <c r="C247" s="1187">
        <v>355</v>
      </c>
      <c r="D247" s="443" t="str">
        <f>_xlfn.XLOOKUP(B247,Códigos!$A$421:$A$483,Códigos!$B$421:$B$483,"Verificar",0)</f>
        <v>Gastos personales</v>
      </c>
      <c r="E247" s="444" t="str">
        <f>_xlfn.XLOOKUP(C247,Códigos!$A$11:$A$415,Códigos!$B$11:$B$415,"Verificar",0)</f>
        <v>NOMBRE 96</v>
      </c>
      <c r="F247" s="1288" t="s">
        <v>1103</v>
      </c>
      <c r="G247" s="1239">
        <f>600000-48000-16000</f>
        <v>536000</v>
      </c>
      <c r="H247" s="989">
        <f t="shared" si="3"/>
        <v>194745700</v>
      </c>
      <c r="I247" s="1052" t="s">
        <v>1101</v>
      </c>
      <c r="K247" s="19"/>
    </row>
    <row r="248" spans="1:11" x14ac:dyDescent="0.2">
      <c r="A248" s="1234">
        <v>45758</v>
      </c>
      <c r="B248" s="1000">
        <v>8</v>
      </c>
      <c r="C248" s="1187">
        <v>357</v>
      </c>
      <c r="D248" s="443" t="str">
        <f>_xlfn.XLOOKUP(B248,Códigos!$A$421:$A$483,Códigos!$B$421:$B$483,"Verificar",0)</f>
        <v>Pagos de: -Cuota para alimentos y Manuntención</v>
      </c>
      <c r="E248" s="444" t="str">
        <f>_xlfn.XLOOKUP(C248,Códigos!$A$11:$A$415,Códigos!$B$11:$B$415,"Verificar",0)</f>
        <v>NOMBRE 107</v>
      </c>
      <c r="F248" s="1288" t="s">
        <v>1103</v>
      </c>
      <c r="G248" s="1239">
        <v>20000</v>
      </c>
      <c r="H248" s="989">
        <f t="shared" si="3"/>
        <v>194765700</v>
      </c>
      <c r="I248" s="1049" t="s">
        <v>1294</v>
      </c>
      <c r="K248" s="19"/>
    </row>
    <row r="249" spans="1:11" x14ac:dyDescent="0.2">
      <c r="A249" s="1234">
        <v>45761</v>
      </c>
      <c r="B249" s="1000">
        <v>9</v>
      </c>
      <c r="C249" s="1187">
        <v>359</v>
      </c>
      <c r="D249" s="443" t="str">
        <f>_xlfn.XLOOKUP(B249,Códigos!$A$421:$A$483,Códigos!$B$421:$B$483,"Verificar",0)</f>
        <v>Pagos de: -Servicios públicos -OFICINA-</v>
      </c>
      <c r="E249" s="444" t="str">
        <f>_xlfn.XLOOKUP(C249,Códigos!$A$11:$A$415,Códigos!$B$11:$B$415,"Verificar",0)</f>
        <v>NOMBRE 232</v>
      </c>
      <c r="F249" s="1288" t="s">
        <v>407</v>
      </c>
      <c r="G249" s="1239">
        <v>82300</v>
      </c>
      <c r="H249" s="989">
        <f t="shared" si="3"/>
        <v>194848000</v>
      </c>
      <c r="I249" s="1050" t="s">
        <v>1066</v>
      </c>
      <c r="K249" s="19"/>
    </row>
    <row r="250" spans="1:11" x14ac:dyDescent="0.2">
      <c r="A250" s="1234">
        <v>45761</v>
      </c>
      <c r="B250" s="1000">
        <v>9</v>
      </c>
      <c r="C250" s="1187">
        <v>359</v>
      </c>
      <c r="D250" s="443" t="str">
        <f>_xlfn.XLOOKUP(B250,Códigos!$A$421:$A$483,Códigos!$B$421:$B$483,"Verificar",0)</f>
        <v>Pagos de: -Servicios públicos -OFICINA-</v>
      </c>
      <c r="E250" s="444" t="str">
        <f>_xlfn.XLOOKUP(C250,Códigos!$A$11:$A$415,Códigos!$B$11:$B$415,"Verificar",0)</f>
        <v>NOMBRE 232</v>
      </c>
      <c r="F250" s="1288" t="s">
        <v>407</v>
      </c>
      <c r="G250" s="1239">
        <v>66200</v>
      </c>
      <c r="H250" s="989">
        <f t="shared" si="3"/>
        <v>194914200</v>
      </c>
      <c r="I250" s="1050" t="s">
        <v>1067</v>
      </c>
      <c r="K250" s="19"/>
    </row>
    <row r="251" spans="1:11" x14ac:dyDescent="0.2">
      <c r="A251" s="1234">
        <v>45761</v>
      </c>
      <c r="B251" s="1000">
        <v>10</v>
      </c>
      <c r="C251" s="996">
        <v>359</v>
      </c>
      <c r="D251" s="443" t="s">
        <v>483</v>
      </c>
      <c r="E251" s="444" t="s">
        <v>375</v>
      </c>
      <c r="F251" s="1288" t="s">
        <v>1103</v>
      </c>
      <c r="G251" s="1239">
        <v>125500</v>
      </c>
      <c r="H251" s="989">
        <f t="shared" si="3"/>
        <v>195039700</v>
      </c>
      <c r="I251" s="1049" t="s">
        <v>1365</v>
      </c>
      <c r="K251" s="19"/>
    </row>
    <row r="252" spans="1:11" x14ac:dyDescent="0.2">
      <c r="A252" s="1234">
        <v>45761</v>
      </c>
      <c r="B252" s="1000">
        <v>9</v>
      </c>
      <c r="C252" s="996">
        <v>359</v>
      </c>
      <c r="D252" s="443" t="s">
        <v>482</v>
      </c>
      <c r="E252" s="444" t="s">
        <v>375</v>
      </c>
      <c r="F252" s="1288" t="s">
        <v>407</v>
      </c>
      <c r="G252" s="1239">
        <v>136500</v>
      </c>
      <c r="H252" s="989">
        <f t="shared" si="3"/>
        <v>195176200</v>
      </c>
      <c r="I252" s="1049" t="s">
        <v>1106</v>
      </c>
      <c r="K252" s="19"/>
    </row>
    <row r="253" spans="1:11" x14ac:dyDescent="0.2">
      <c r="A253" s="1234">
        <v>45761</v>
      </c>
      <c r="B253" s="1275">
        <v>39</v>
      </c>
      <c r="C253" s="1276">
        <v>362</v>
      </c>
      <c r="D253" s="443" t="str">
        <f>_xlfn.XLOOKUP(B253,Códigos!$A$421:$A$483,Códigos!$B$421:$B$483,"Verificar",0)</f>
        <v>Pago intereses préstamo Juliana</v>
      </c>
      <c r="E253" s="444" t="str">
        <f>_xlfn.XLOOKUP(C253,Códigos!$A$11:$A$415,Códigos!$B$11:$B$415,"Verificar",0)</f>
        <v>NOMBRE 97</v>
      </c>
      <c r="F253" s="1288" t="s">
        <v>407</v>
      </c>
      <c r="G253" s="1239">
        <v>350000</v>
      </c>
      <c r="H253" s="989">
        <f t="shared" si="3"/>
        <v>195526200</v>
      </c>
      <c r="I253" s="1274" t="s">
        <v>1349</v>
      </c>
      <c r="K253" s="19"/>
    </row>
    <row r="254" spans="1:11" x14ac:dyDescent="0.2">
      <c r="A254" s="1234">
        <v>45761</v>
      </c>
      <c r="B254" s="1275">
        <v>21</v>
      </c>
      <c r="C254" s="1276">
        <v>362</v>
      </c>
      <c r="D254" s="443" t="str">
        <f>_xlfn.XLOOKUP(B254,Códigos!$A$421:$A$483,Códigos!$B$421:$B$483,"Verificar",0)</f>
        <v>Pagos de: -Cuentas por Pagar a:</v>
      </c>
      <c r="E254" s="444" t="str">
        <f>_xlfn.XLOOKUP(C254,Códigos!$A$11:$A$415,Códigos!$B$11:$B$415,"Verificar",0)</f>
        <v>NOMBRE 97</v>
      </c>
      <c r="F254" s="1288" t="s">
        <v>407</v>
      </c>
      <c r="G254" s="1239">
        <v>200000</v>
      </c>
      <c r="H254" s="989">
        <f t="shared" si="3"/>
        <v>195726200</v>
      </c>
      <c r="I254" s="1274" t="s">
        <v>1350</v>
      </c>
      <c r="K254" s="19"/>
    </row>
    <row r="255" spans="1:11" x14ac:dyDescent="0.2">
      <c r="A255" s="1234">
        <v>45761</v>
      </c>
      <c r="B255" s="1241">
        <v>28</v>
      </c>
      <c r="C255" s="1187">
        <v>222</v>
      </c>
      <c r="D255" s="443" t="str">
        <f>_xlfn.XLOOKUP(B255,Códigos!$A$421:$A$483,Códigos!$B$421:$B$483,"Verificar",0)</f>
        <v>Préstamos a:</v>
      </c>
      <c r="E255" s="444" t="str">
        <f>_xlfn.XLOOKUP(C255,Códigos!$A$11:$A$415,Códigos!$B$11:$B$415,"Verificar",0)</f>
        <v>NOMBRE 101</v>
      </c>
      <c r="F255" s="1288" t="s">
        <v>407</v>
      </c>
      <c r="G255" s="1239">
        <v>1900000</v>
      </c>
      <c r="H255" s="989">
        <f t="shared" si="3"/>
        <v>197626200</v>
      </c>
      <c r="I255" s="1049" t="s">
        <v>1295</v>
      </c>
      <c r="K255" s="19"/>
    </row>
    <row r="256" spans="1:11" x14ac:dyDescent="0.2">
      <c r="A256" s="1234">
        <v>45761</v>
      </c>
      <c r="B256" s="1187">
        <v>24</v>
      </c>
      <c r="C256" s="1187">
        <v>359</v>
      </c>
      <c r="D256" s="443" t="str">
        <f>_xlfn.XLOOKUP(B256,Códigos!$A$421:$A$483,Códigos!$B$421:$B$483,"Verificar",0)</f>
        <v>Compra de: -Papelería</v>
      </c>
      <c r="E256" s="444" t="str">
        <f>_xlfn.XLOOKUP(C256,Códigos!$A$11:$A$415,Códigos!$B$11:$B$415,"Verificar",0)</f>
        <v>NOMBRE 232</v>
      </c>
      <c r="F256" s="1288" t="s">
        <v>407</v>
      </c>
      <c r="G256" s="1239">
        <v>16000</v>
      </c>
      <c r="H256" s="989">
        <f t="shared" si="3"/>
        <v>197642200</v>
      </c>
      <c r="I256" s="1052" t="s">
        <v>1304</v>
      </c>
      <c r="K256" s="19"/>
    </row>
    <row r="257" spans="1:11" x14ac:dyDescent="0.2">
      <c r="A257" s="1234">
        <v>45761</v>
      </c>
      <c r="B257" s="1291">
        <v>28</v>
      </c>
      <c r="C257" s="1291">
        <v>249</v>
      </c>
      <c r="D257" s="443" t="str">
        <f>_xlfn.XLOOKUP(B257,Códigos!$A$421:$A$483,Códigos!$B$421:$B$483,"Verificar",0)</f>
        <v>Préstamos a:</v>
      </c>
      <c r="E257" s="444" t="str">
        <f>_xlfn.XLOOKUP(C257,Códigos!$A$11:$A$415,Códigos!$B$11:$B$415,"Verificar",0)</f>
        <v>NOMBRE 220</v>
      </c>
      <c r="F257" s="1288"/>
      <c r="G257" s="1239">
        <v>3260400</v>
      </c>
      <c r="H257" s="989">
        <f t="shared" si="3"/>
        <v>200902600</v>
      </c>
      <c r="I257" s="1049" t="s">
        <v>1305</v>
      </c>
      <c r="K257" s="19"/>
    </row>
    <row r="258" spans="1:11" x14ac:dyDescent="0.2">
      <c r="A258" s="1234">
        <v>45763</v>
      </c>
      <c r="B258" s="1000">
        <v>8</v>
      </c>
      <c r="C258" s="1187">
        <v>357</v>
      </c>
      <c r="D258" s="443" t="str">
        <f>_xlfn.XLOOKUP(B258,Códigos!$A$421:$A$483,Códigos!$B$421:$B$483,"Verificar",0)</f>
        <v>Pagos de: -Cuota para alimentos y Manuntención</v>
      </c>
      <c r="E258" s="444" t="str">
        <f>_xlfn.XLOOKUP(C258,Códigos!$A$11:$A$415,Códigos!$B$11:$B$415,"Verificar",0)</f>
        <v>NOMBRE 107</v>
      </c>
      <c r="F258" s="1288" t="s">
        <v>1103</v>
      </c>
      <c r="G258" s="1239">
        <v>220000</v>
      </c>
      <c r="H258" s="989">
        <f t="shared" si="3"/>
        <v>201122600</v>
      </c>
      <c r="I258" s="1050" t="s">
        <v>1083</v>
      </c>
      <c r="K258" s="19"/>
    </row>
    <row r="259" spans="1:11" x14ac:dyDescent="0.2">
      <c r="A259" s="1234">
        <v>45763</v>
      </c>
      <c r="B259" s="1000">
        <v>43</v>
      </c>
      <c r="C259" s="996">
        <v>359</v>
      </c>
      <c r="D259" s="443" t="str">
        <f>_xlfn.XLOOKUP(B259,Códigos!$A$421:$A$483,Códigos!$B$421:$B$483,"Verificar",0)</f>
        <v>Pago Hipotecario BANCOLOMBIA</v>
      </c>
      <c r="E259" s="444" t="str">
        <f>_xlfn.XLOOKUP(C259,Códigos!$A$11:$A$415,Códigos!$B$11:$B$415,"Verificar",0)</f>
        <v>NOMBRE 232</v>
      </c>
      <c r="F259" s="1288" t="s">
        <v>407</v>
      </c>
      <c r="G259" s="1239">
        <v>1026800</v>
      </c>
      <c r="H259" s="989">
        <f t="shared" si="3"/>
        <v>202149400</v>
      </c>
      <c r="I259" s="997" t="s">
        <v>1113</v>
      </c>
      <c r="K259" s="19"/>
    </row>
    <row r="260" spans="1:11" x14ac:dyDescent="0.2">
      <c r="A260" s="1234">
        <v>45763</v>
      </c>
      <c r="B260" s="1000">
        <v>2</v>
      </c>
      <c r="C260" s="1187">
        <v>353</v>
      </c>
      <c r="D260" s="443" t="str">
        <f>_xlfn.XLOOKUP(B260,Códigos!$A$421:$A$483,Códigos!$B$421:$B$483,"Verificar",0)</f>
        <v>Pago de Salarios a:</v>
      </c>
      <c r="E260" s="444" t="str">
        <f>_xlfn.XLOOKUP(C260,Códigos!$A$11:$A$415,Códigos!$B$11:$B$415,"Verificar",0)</f>
        <v>NOMBRE 31</v>
      </c>
      <c r="F260" s="1288" t="s">
        <v>407</v>
      </c>
      <c r="G260" s="1239">
        <v>660000</v>
      </c>
      <c r="H260" s="989">
        <f t="shared" si="3"/>
        <v>202809400</v>
      </c>
      <c r="I260" s="997" t="s">
        <v>1307</v>
      </c>
      <c r="K260" s="19"/>
    </row>
    <row r="261" spans="1:11" x14ac:dyDescent="0.2">
      <c r="A261" s="1234">
        <v>45763</v>
      </c>
      <c r="B261" s="1000">
        <v>8</v>
      </c>
      <c r="C261" s="996">
        <v>356</v>
      </c>
      <c r="D261" s="443" t="str">
        <f>_xlfn.XLOOKUP(B261,Códigos!$A$421:$A$483,Códigos!$B$421:$B$483,"Verificar",0)</f>
        <v>Pagos de: -Cuota para alimentos y Manuntención</v>
      </c>
      <c r="E261" s="444" t="str">
        <f>_xlfn.XLOOKUP(C261,Códigos!$A$11:$A$415,Códigos!$B$11:$B$415,"Verificar",0)</f>
        <v>NOMBRE 108</v>
      </c>
      <c r="F261" s="1288" t="s">
        <v>1103</v>
      </c>
      <c r="G261" s="990">
        <v>220000</v>
      </c>
      <c r="H261" s="989">
        <f t="shared" si="3"/>
        <v>203029400</v>
      </c>
      <c r="I261" s="1050" t="s">
        <v>1083</v>
      </c>
      <c r="K261" s="19"/>
    </row>
    <row r="262" spans="1:11" x14ac:dyDescent="0.2">
      <c r="A262" s="1234">
        <v>45763</v>
      </c>
      <c r="B262" s="1000">
        <v>8</v>
      </c>
      <c r="C262" s="996">
        <v>358</v>
      </c>
      <c r="D262" s="443" t="str">
        <f>_xlfn.XLOOKUP(B262,Códigos!$A$421:$A$483,Códigos!$B$421:$B$483,"Verificar",0)</f>
        <v>Pagos de: -Cuota para alimentos y Manuntención</v>
      </c>
      <c r="E262" s="444" t="str">
        <f>_xlfn.XLOOKUP(C262,Códigos!$A$11:$A$415,Códigos!$B$11:$B$415,"Verificar",0)</f>
        <v>NOMBRE 338</v>
      </c>
      <c r="F262" s="1288" t="s">
        <v>1103</v>
      </c>
      <c r="G262" s="1280">
        <v>380000</v>
      </c>
      <c r="H262" s="989">
        <f t="shared" si="3"/>
        <v>203409400</v>
      </c>
      <c r="I262" s="997" t="s">
        <v>1308</v>
      </c>
      <c r="K262" s="19"/>
    </row>
    <row r="263" spans="1:11" x14ac:dyDescent="0.2">
      <c r="A263" s="1234">
        <v>45763</v>
      </c>
      <c r="B263" s="1000">
        <v>2</v>
      </c>
      <c r="C263" s="996">
        <v>262</v>
      </c>
      <c r="D263" s="443" t="str">
        <f>_xlfn.XLOOKUP(B263,Códigos!$A$421:$A$483,Códigos!$B$421:$B$483,"Verificar",0)</f>
        <v>Pago de Salarios a:</v>
      </c>
      <c r="E263" s="444" t="str">
        <f>_xlfn.XLOOKUP(C263,Códigos!$A$11:$A$415,Códigos!$B$11:$B$415,"Verificar",0)</f>
        <v>NOMBRE 95</v>
      </c>
      <c r="F263" s="1288" t="s">
        <v>407</v>
      </c>
      <c r="G263" s="1239">
        <v>660000</v>
      </c>
      <c r="H263" s="989">
        <f t="shared" si="3"/>
        <v>204069400</v>
      </c>
      <c r="I263" s="997" t="s">
        <v>1307</v>
      </c>
      <c r="K263" s="19"/>
    </row>
    <row r="264" spans="1:11" x14ac:dyDescent="0.2">
      <c r="A264" s="1234">
        <v>45763</v>
      </c>
      <c r="B264" s="1241">
        <v>1</v>
      </c>
      <c r="C264" s="1187">
        <v>355</v>
      </c>
      <c r="D264" s="443" t="str">
        <f>_xlfn.XLOOKUP(B264,Códigos!$A$421:$A$483,Códigos!$B$421:$B$483,"Verificar",0)</f>
        <v>Gastos personales</v>
      </c>
      <c r="E264" s="444" t="str">
        <f>_xlfn.XLOOKUP(C264,Códigos!$A$11:$A$415,Códigos!$B$11:$B$415,"Verificar",0)</f>
        <v>NOMBRE 96</v>
      </c>
      <c r="F264" s="1288" t="s">
        <v>1103</v>
      </c>
      <c r="G264" s="1239">
        <v>600000</v>
      </c>
      <c r="H264" s="989">
        <f t="shared" si="3"/>
        <v>204669400</v>
      </c>
      <c r="I264" s="1052" t="s">
        <v>1101</v>
      </c>
      <c r="K264" s="19"/>
    </row>
    <row r="265" spans="1:11" x14ac:dyDescent="0.2">
      <c r="A265" s="1234">
        <v>45763</v>
      </c>
      <c r="B265" s="1291">
        <v>28</v>
      </c>
      <c r="C265" s="1291">
        <v>249</v>
      </c>
      <c r="D265" s="443" t="str">
        <f>_xlfn.XLOOKUP(B265,Códigos!$A$421:$A$483,Códigos!$B$421:$B$483,"Verificar",0)</f>
        <v>Préstamos a:</v>
      </c>
      <c r="E265" s="444" t="str">
        <f>_xlfn.XLOOKUP(C265,Códigos!$A$11:$A$415,Códigos!$B$11:$B$415,"Verificar",0)</f>
        <v>NOMBRE 220</v>
      </c>
      <c r="F265" s="1288" t="s">
        <v>407</v>
      </c>
      <c r="G265" s="1239">
        <f>64000+65700</f>
        <v>129700</v>
      </c>
      <c r="H265" s="989">
        <f t="shared" si="3"/>
        <v>204799100</v>
      </c>
      <c r="I265" s="997" t="s">
        <v>1117</v>
      </c>
      <c r="K265" s="19"/>
    </row>
    <row r="266" spans="1:11" x14ac:dyDescent="0.2">
      <c r="A266" s="1234">
        <v>45768</v>
      </c>
      <c r="B266" s="1187">
        <v>18</v>
      </c>
      <c r="C266" s="1187">
        <v>359</v>
      </c>
      <c r="D266" s="443" t="str">
        <f>_xlfn.XLOOKUP(B266,Códigos!$A$421:$A$483,Códigos!$B$421:$B$483,"Verificar",0)</f>
        <v>Pagos de: -Pasajes y transportes</v>
      </c>
      <c r="E266" s="444" t="str">
        <f>_xlfn.XLOOKUP(C266,Códigos!$A$11:$A$415,Códigos!$B$11:$B$415,"Verificar",0)</f>
        <v>NOMBRE 232</v>
      </c>
      <c r="F266" s="1288" t="s">
        <v>407</v>
      </c>
      <c r="G266" s="1239">
        <v>20000</v>
      </c>
      <c r="H266" s="989">
        <f t="shared" si="3"/>
        <v>204819100</v>
      </c>
      <c r="I266" s="1052" t="s">
        <v>1309</v>
      </c>
      <c r="K266" s="19"/>
    </row>
    <row r="267" spans="1:11" x14ac:dyDescent="0.2">
      <c r="A267" s="1234">
        <v>45769</v>
      </c>
      <c r="B267" s="1241">
        <v>28</v>
      </c>
      <c r="C267" s="1187">
        <v>123</v>
      </c>
      <c r="D267" s="443" t="str">
        <f>_xlfn.XLOOKUP(B267,Códigos!$A$421:$A$483,Códigos!$B$421:$B$483,"Verificar",0)</f>
        <v>Préstamos a:</v>
      </c>
      <c r="E267" s="444" t="str">
        <f>_xlfn.XLOOKUP(C267,Códigos!$A$11:$A$415,Códigos!$B$11:$B$415,"Verificar",0)</f>
        <v>NOMBRE 194</v>
      </c>
      <c r="F267" s="1288" t="s">
        <v>407</v>
      </c>
      <c r="G267" s="1239">
        <v>192000</v>
      </c>
      <c r="H267" s="989">
        <f t="shared" si="3"/>
        <v>205011100</v>
      </c>
      <c r="I267" s="1049" t="s">
        <v>1310</v>
      </c>
      <c r="K267" s="19"/>
    </row>
    <row r="268" spans="1:11" x14ac:dyDescent="0.2">
      <c r="A268" s="1234">
        <v>45769</v>
      </c>
      <c r="B268" s="1291">
        <v>28</v>
      </c>
      <c r="C268" s="1291">
        <v>249</v>
      </c>
      <c r="D268" s="443" t="str">
        <f>_xlfn.XLOOKUP(B268,Códigos!$A$421:$A$483,Códigos!$B$421:$B$483,"Verificar",0)</f>
        <v>Préstamos a:</v>
      </c>
      <c r="E268" s="444" t="str">
        <f>_xlfn.XLOOKUP(C268,Códigos!$A$11:$A$415,Códigos!$B$11:$B$415,"Verificar",0)</f>
        <v>NOMBRE 220</v>
      </c>
      <c r="F268" s="1288" t="s">
        <v>407</v>
      </c>
      <c r="G268" s="1239">
        <v>11600</v>
      </c>
      <c r="H268" s="989">
        <f t="shared" si="3"/>
        <v>205022700</v>
      </c>
      <c r="I268" s="1049" t="s">
        <v>1311</v>
      </c>
      <c r="K268" s="19"/>
    </row>
    <row r="269" spans="1:11" x14ac:dyDescent="0.2">
      <c r="A269" s="1234">
        <v>45769</v>
      </c>
      <c r="B269" s="1000">
        <v>8</v>
      </c>
      <c r="C269" s="1187">
        <v>357</v>
      </c>
      <c r="D269" s="443" t="str">
        <f>_xlfn.XLOOKUP(B269,Códigos!$A$421:$A$483,Códigos!$B$421:$B$483,"Verificar",0)</f>
        <v>Pagos de: -Cuota para alimentos y Manuntención</v>
      </c>
      <c r="E269" s="444" t="str">
        <f>_xlfn.XLOOKUP(C269,Códigos!$A$11:$A$415,Códigos!$B$11:$B$415,"Verificar",0)</f>
        <v>NOMBRE 107</v>
      </c>
      <c r="F269" s="1288" t="s">
        <v>1103</v>
      </c>
      <c r="G269" s="1239">
        <v>220000</v>
      </c>
      <c r="H269" s="989">
        <f t="shared" si="3"/>
        <v>205242700</v>
      </c>
      <c r="I269" s="1050" t="s">
        <v>1083</v>
      </c>
      <c r="K269" s="19"/>
    </row>
    <row r="270" spans="1:11" x14ac:dyDescent="0.2">
      <c r="A270" s="1234">
        <v>45769</v>
      </c>
      <c r="B270" s="1000">
        <v>2</v>
      </c>
      <c r="C270" s="1187">
        <v>353</v>
      </c>
      <c r="D270" s="443" t="str">
        <f>_xlfn.XLOOKUP(B270,Códigos!$A$421:$A$483,Códigos!$B$421:$B$483,"Verificar",0)</f>
        <v>Pago de Salarios a:</v>
      </c>
      <c r="E270" s="444" t="str">
        <f>_xlfn.XLOOKUP(C270,Códigos!$A$11:$A$415,Códigos!$B$11:$B$415,"Verificar",0)</f>
        <v>NOMBRE 31</v>
      </c>
      <c r="F270" s="1288" t="s">
        <v>407</v>
      </c>
      <c r="G270" s="1239">
        <v>660000</v>
      </c>
      <c r="H270" s="989">
        <f t="shared" ref="H270:H334" si="4">+H269+G270</f>
        <v>205902700</v>
      </c>
      <c r="I270" s="997" t="s">
        <v>1312</v>
      </c>
      <c r="K270" s="19"/>
    </row>
    <row r="271" spans="1:11" x14ac:dyDescent="0.2">
      <c r="A271" s="1234">
        <v>45770</v>
      </c>
      <c r="B271" s="1241">
        <v>28</v>
      </c>
      <c r="C271" s="1187">
        <v>222</v>
      </c>
      <c r="D271" s="443" t="str">
        <f>_xlfn.XLOOKUP(B271,Códigos!$A$421:$A$483,Códigos!$B$421:$B$483,"Verificar",0)</f>
        <v>Préstamos a:</v>
      </c>
      <c r="E271" s="444" t="str">
        <f>_xlfn.XLOOKUP(C271,Códigos!$A$11:$A$415,Códigos!$B$11:$B$415,"Verificar",0)</f>
        <v>NOMBRE 101</v>
      </c>
      <c r="F271" s="1288" t="s">
        <v>407</v>
      </c>
      <c r="G271" s="1239">
        <v>227100</v>
      </c>
      <c r="H271" s="989">
        <f t="shared" si="4"/>
        <v>206129800</v>
      </c>
      <c r="I271" s="1049" t="s">
        <v>1313</v>
      </c>
      <c r="K271" s="19"/>
    </row>
    <row r="272" spans="1:11" x14ac:dyDescent="0.2">
      <c r="A272" s="1234">
        <v>45770</v>
      </c>
      <c r="B272" s="1241">
        <v>28</v>
      </c>
      <c r="C272" s="1187">
        <v>222</v>
      </c>
      <c r="D272" s="443" t="str">
        <f>_xlfn.XLOOKUP(B272,Códigos!$A$421:$A$483,Códigos!$B$421:$B$483,"Verificar",0)</f>
        <v>Préstamos a:</v>
      </c>
      <c r="E272" s="444" t="str">
        <f>_xlfn.XLOOKUP(C272,Códigos!$A$11:$A$415,Códigos!$B$11:$B$415,"Verificar",0)</f>
        <v>NOMBRE 101</v>
      </c>
      <c r="F272" s="1288" t="s">
        <v>407</v>
      </c>
      <c r="G272" s="1239">
        <v>161400</v>
      </c>
      <c r="H272" s="989">
        <f t="shared" si="4"/>
        <v>206291200</v>
      </c>
      <c r="I272" s="1049" t="s">
        <v>1314</v>
      </c>
      <c r="K272" s="19"/>
    </row>
    <row r="273" spans="1:11" x14ac:dyDescent="0.2">
      <c r="A273" s="1234">
        <v>45770</v>
      </c>
      <c r="B273" s="1241">
        <v>28</v>
      </c>
      <c r="C273" s="1296">
        <v>250</v>
      </c>
      <c r="D273" s="443" t="str">
        <f>_xlfn.XLOOKUP(B273,Códigos!$A$421:$A$483,Códigos!$B$421:$B$483,"Verificar",0)</f>
        <v>Préstamos a:</v>
      </c>
      <c r="E273" s="444" t="str">
        <f>_xlfn.XLOOKUP(C273,Códigos!$A$11:$A$415,Códigos!$B$11:$B$415,"Verificar",0)</f>
        <v>NOMBRE 75</v>
      </c>
      <c r="F273" s="1288" t="s">
        <v>407</v>
      </c>
      <c r="G273" s="1239">
        <v>2516800</v>
      </c>
      <c r="H273" s="989">
        <f t="shared" si="4"/>
        <v>208808000</v>
      </c>
      <c r="I273" s="1049" t="s">
        <v>1315</v>
      </c>
      <c r="K273" s="19"/>
    </row>
    <row r="274" spans="1:11" x14ac:dyDescent="0.2">
      <c r="A274" s="1234">
        <v>45770</v>
      </c>
      <c r="B274" s="1241">
        <v>5</v>
      </c>
      <c r="C274" s="1187">
        <v>262</v>
      </c>
      <c r="D274" s="443" t="str">
        <f>_xlfn.XLOOKUP(B274,Códigos!$A$421:$A$483,Códigos!$B$421:$B$483,"Verificar",0)</f>
        <v>Préstamos por Nómina a:</v>
      </c>
      <c r="E274" s="444" t="str">
        <f>_xlfn.XLOOKUP(C274,Códigos!$A$11:$A$415,Códigos!$B$11:$B$415,"Verificar",0)</f>
        <v>NOMBRE 95</v>
      </c>
      <c r="F274" s="1288"/>
      <c r="G274" s="1239">
        <v>600000</v>
      </c>
      <c r="H274" s="989">
        <f t="shared" si="4"/>
        <v>209408000</v>
      </c>
      <c r="I274" s="1049" t="s">
        <v>1316</v>
      </c>
      <c r="K274" s="19"/>
    </row>
    <row r="275" spans="1:11" x14ac:dyDescent="0.2">
      <c r="A275" s="1234">
        <v>45771</v>
      </c>
      <c r="B275" s="1187">
        <v>8</v>
      </c>
      <c r="C275" s="1187">
        <v>359</v>
      </c>
      <c r="D275" s="443" t="str">
        <f>_xlfn.XLOOKUP(B275,Códigos!$A$421:$A$483,Códigos!$B$421:$B$483,"Verificar",0)</f>
        <v>Pagos de: -Cuota para alimentos y Manuntención</v>
      </c>
      <c r="E275" s="444" t="str">
        <f>_xlfn.XLOOKUP(C275,Códigos!$A$11:$A$415,Códigos!$B$11:$B$415,"Verificar",0)</f>
        <v>NOMBRE 232</v>
      </c>
      <c r="F275" s="1288" t="s">
        <v>407</v>
      </c>
      <c r="G275" s="1239">
        <v>407000</v>
      </c>
      <c r="H275" s="989">
        <f t="shared" si="4"/>
        <v>209815000</v>
      </c>
      <c r="I275" s="998" t="s">
        <v>1317</v>
      </c>
      <c r="K275" s="19"/>
    </row>
    <row r="276" spans="1:11" x14ac:dyDescent="0.2">
      <c r="A276" s="1234">
        <v>45771</v>
      </c>
      <c r="B276" s="1291">
        <v>28</v>
      </c>
      <c r="C276" s="1291">
        <v>249</v>
      </c>
      <c r="D276" s="443" t="str">
        <f>_xlfn.XLOOKUP(B276,Códigos!$A$421:$A$483,Códigos!$B$421:$B$483,"Verificar",0)</f>
        <v>Préstamos a:</v>
      </c>
      <c r="E276" s="444" t="str">
        <f>_xlfn.XLOOKUP(C276,Códigos!$A$11:$A$415,Códigos!$B$11:$B$415,"Verificar",0)</f>
        <v>NOMBRE 220</v>
      </c>
      <c r="F276" s="1288"/>
      <c r="G276" s="1239">
        <v>21958500</v>
      </c>
      <c r="H276" s="989">
        <f t="shared" si="4"/>
        <v>231773500</v>
      </c>
      <c r="I276" s="1049" t="s">
        <v>1107</v>
      </c>
      <c r="K276" s="19"/>
    </row>
    <row r="277" spans="1:11" x14ac:dyDescent="0.2">
      <c r="A277" s="1234">
        <v>45771</v>
      </c>
      <c r="B277" s="1241">
        <v>28</v>
      </c>
      <c r="C277" s="1187">
        <v>252</v>
      </c>
      <c r="D277" s="443" t="str">
        <f>_xlfn.XLOOKUP(B277,Códigos!$A$421:$A$483,Códigos!$B$421:$B$483,"Verificar",0)</f>
        <v>Préstamos a:</v>
      </c>
      <c r="E277" s="444" t="str">
        <f>_xlfn.XLOOKUP(C277,Códigos!$A$11:$A$415,Códigos!$B$11:$B$415,"Verificar",0)</f>
        <v>NOMBRE 219</v>
      </c>
      <c r="F277" s="1288"/>
      <c r="G277" s="1239">
        <v>20000</v>
      </c>
      <c r="H277" s="989">
        <f t="shared" si="4"/>
        <v>231793500</v>
      </c>
      <c r="I277" s="1050" t="s">
        <v>1318</v>
      </c>
      <c r="K277" s="19"/>
    </row>
    <row r="278" spans="1:11" x14ac:dyDescent="0.2">
      <c r="A278" s="1234">
        <v>45771</v>
      </c>
      <c r="B278" s="1241">
        <v>28</v>
      </c>
      <c r="C278" s="1296">
        <v>250</v>
      </c>
      <c r="D278" s="443" t="str">
        <f>_xlfn.XLOOKUP(B278,Códigos!$A$421:$A$483,Códigos!$B$421:$B$483,"Verificar",0)</f>
        <v>Préstamos a:</v>
      </c>
      <c r="E278" s="444" t="str">
        <f>_xlfn.XLOOKUP(C278,Códigos!$A$11:$A$415,Códigos!$B$11:$B$415,"Verificar",0)</f>
        <v>NOMBRE 75</v>
      </c>
      <c r="F278" s="1288" t="s">
        <v>407</v>
      </c>
      <c r="G278" s="1239">
        <v>80000</v>
      </c>
      <c r="H278" s="989">
        <f t="shared" si="4"/>
        <v>231873500</v>
      </c>
      <c r="I278" s="1049" t="s">
        <v>1319</v>
      </c>
      <c r="K278" s="19"/>
    </row>
    <row r="279" spans="1:11" x14ac:dyDescent="0.2">
      <c r="A279" s="1234">
        <v>45772</v>
      </c>
      <c r="B279" s="1241">
        <v>5</v>
      </c>
      <c r="C279" s="1187">
        <v>262</v>
      </c>
      <c r="D279" s="443" t="str">
        <f>_xlfn.XLOOKUP(B279,Códigos!$A$421:$A$483,Códigos!$B$421:$B$483,"Verificar",0)</f>
        <v>Préstamos por Nómina a:</v>
      </c>
      <c r="E279" s="444" t="str">
        <f>_xlfn.XLOOKUP(C279,Códigos!$A$11:$A$415,Códigos!$B$11:$B$415,"Verificar",0)</f>
        <v>NOMBRE 95</v>
      </c>
      <c r="F279" s="1288"/>
      <c r="G279" s="1239">
        <v>47100</v>
      </c>
      <c r="H279" s="989">
        <f t="shared" si="4"/>
        <v>231920600</v>
      </c>
      <c r="I279" s="1049" t="s">
        <v>1320</v>
      </c>
      <c r="K279" s="19"/>
    </row>
    <row r="280" spans="1:11" x14ac:dyDescent="0.2">
      <c r="A280" s="1234">
        <v>45772</v>
      </c>
      <c r="B280" s="1241">
        <v>1</v>
      </c>
      <c r="C280" s="1187">
        <v>355</v>
      </c>
      <c r="D280" s="443" t="str">
        <f>_xlfn.XLOOKUP(B280,Códigos!$A$421:$A$483,Códigos!$B$421:$B$483,"Verificar",0)</f>
        <v>Gastos personales</v>
      </c>
      <c r="E280" s="444" t="str">
        <f>_xlfn.XLOOKUP(C280,Códigos!$A$11:$A$415,Códigos!$B$11:$B$415,"Verificar",0)</f>
        <v>NOMBRE 96</v>
      </c>
      <c r="F280" s="1288" t="s">
        <v>1103</v>
      </c>
      <c r="G280" s="1239">
        <v>350000</v>
      </c>
      <c r="H280" s="989">
        <f t="shared" si="4"/>
        <v>232270600</v>
      </c>
      <c r="I280" s="1052" t="s">
        <v>1101</v>
      </c>
      <c r="K280" s="19"/>
    </row>
    <row r="281" spans="1:11" x14ac:dyDescent="0.2">
      <c r="A281" s="1234">
        <v>45772</v>
      </c>
      <c r="B281" s="1000">
        <v>8</v>
      </c>
      <c r="C281" s="996">
        <v>356</v>
      </c>
      <c r="D281" s="443" t="str">
        <f>_xlfn.XLOOKUP(B281,Códigos!$A$421:$A$483,Códigos!$B$421:$B$483,"Verificar",0)</f>
        <v>Pagos de: -Cuota para alimentos y Manuntención</v>
      </c>
      <c r="E281" s="444" t="str">
        <f>_xlfn.XLOOKUP(C281,Códigos!$A$11:$A$415,Códigos!$B$11:$B$415,"Verificar",0)</f>
        <v>NOMBRE 108</v>
      </c>
      <c r="F281" s="1288" t="s">
        <v>1103</v>
      </c>
      <c r="G281" s="990">
        <v>220000</v>
      </c>
      <c r="H281" s="989">
        <f t="shared" si="4"/>
        <v>232490600</v>
      </c>
      <c r="I281" s="1050" t="s">
        <v>1083</v>
      </c>
      <c r="K281" s="19"/>
    </row>
    <row r="282" spans="1:11" x14ac:dyDescent="0.2">
      <c r="A282" s="1234">
        <v>45772</v>
      </c>
      <c r="B282" s="1000">
        <v>8</v>
      </c>
      <c r="C282" s="996">
        <v>358</v>
      </c>
      <c r="D282" s="443" t="str">
        <f>_xlfn.XLOOKUP(B282,Códigos!$A$421:$A$483,Códigos!$B$421:$B$483,"Verificar",0)</f>
        <v>Pagos de: -Cuota para alimentos y Manuntención</v>
      </c>
      <c r="E282" s="444" t="str">
        <f>_xlfn.XLOOKUP(C282,Códigos!$A$11:$A$415,Códigos!$B$11:$B$415,"Verificar",0)</f>
        <v>NOMBRE 338</v>
      </c>
      <c r="F282" s="1288" t="s">
        <v>1103</v>
      </c>
      <c r="G282" s="1280">
        <v>380000</v>
      </c>
      <c r="H282" s="989">
        <f t="shared" si="4"/>
        <v>232870600</v>
      </c>
      <c r="I282" s="997" t="s">
        <v>1329</v>
      </c>
      <c r="K282" s="19"/>
    </row>
    <row r="283" spans="1:11" x14ac:dyDescent="0.2">
      <c r="A283" s="1234">
        <v>45772</v>
      </c>
      <c r="B283" s="1000">
        <v>2</v>
      </c>
      <c r="C283" s="996">
        <v>262</v>
      </c>
      <c r="D283" s="443" t="str">
        <f>_xlfn.XLOOKUP(B283,Códigos!$A$421:$A$483,Códigos!$B$421:$B$483,"Verificar",0)</f>
        <v>Pago de Salarios a:</v>
      </c>
      <c r="E283" s="444" t="str">
        <f>_xlfn.XLOOKUP(C283,Códigos!$A$11:$A$415,Códigos!$B$11:$B$415,"Verificar",0)</f>
        <v>NOMBRE 95</v>
      </c>
      <c r="F283" s="1288" t="s">
        <v>407</v>
      </c>
      <c r="G283" s="1239">
        <v>660000</v>
      </c>
      <c r="H283" s="989">
        <f t="shared" si="4"/>
        <v>233530600</v>
      </c>
      <c r="I283" s="997" t="s">
        <v>1312</v>
      </c>
      <c r="K283" s="19"/>
    </row>
    <row r="284" spans="1:11" x14ac:dyDescent="0.2">
      <c r="A284" s="1234">
        <v>45772</v>
      </c>
      <c r="B284" s="1275">
        <v>21</v>
      </c>
      <c r="C284" s="1276">
        <v>362</v>
      </c>
      <c r="D284" s="443" t="str">
        <f>_xlfn.XLOOKUP(B284,Códigos!$A$421:$A$483,Códigos!$B$421:$B$483,"Verificar",0)</f>
        <v>Pagos de: -Cuentas por Pagar a:</v>
      </c>
      <c r="E284" s="444" t="str">
        <f>_xlfn.XLOOKUP(C284,Códigos!$A$11:$A$415,Códigos!$B$11:$B$415,"Verificar",0)</f>
        <v>NOMBRE 97</v>
      </c>
      <c r="F284" s="1288" t="s">
        <v>407</v>
      </c>
      <c r="G284" s="1239">
        <v>500000</v>
      </c>
      <c r="H284" s="989">
        <f t="shared" si="4"/>
        <v>234030600</v>
      </c>
      <c r="I284" s="1274" t="s">
        <v>1351</v>
      </c>
      <c r="K284" s="19"/>
    </row>
    <row r="285" spans="1:11" x14ac:dyDescent="0.2">
      <c r="A285" s="1234">
        <v>45775</v>
      </c>
      <c r="B285" s="1241">
        <v>21</v>
      </c>
      <c r="C285" s="1187">
        <v>359</v>
      </c>
      <c r="D285" s="443" t="str">
        <f>_xlfn.XLOOKUP(B285,Códigos!$A$421:$A$483,Códigos!$B$421:$B$483,"Verificar",0)</f>
        <v>Pagos de: -Cuentas por Pagar a:</v>
      </c>
      <c r="E285" s="444" t="str">
        <f>_xlfn.XLOOKUP(C285,Códigos!$A$11:$A$415,Códigos!$B$11:$B$415,"Verificar",0)</f>
        <v>NOMBRE 232</v>
      </c>
      <c r="F285" s="1288" t="s">
        <v>407</v>
      </c>
      <c r="G285" s="1239">
        <v>600000</v>
      </c>
      <c r="H285" s="989">
        <f t="shared" si="4"/>
        <v>234630600</v>
      </c>
      <c r="I285" s="1049" t="s">
        <v>1330</v>
      </c>
      <c r="K285" s="19"/>
    </row>
    <row r="286" spans="1:11" x14ac:dyDescent="0.2">
      <c r="A286" s="1234">
        <v>45775</v>
      </c>
      <c r="B286" s="1000">
        <v>9</v>
      </c>
      <c r="C286" s="1187">
        <v>359</v>
      </c>
      <c r="D286" s="443" t="str">
        <f>_xlfn.XLOOKUP(B286,Códigos!$A$421:$A$483,Códigos!$B$421:$B$483,"Verificar",0)</f>
        <v>Pagos de: -Servicios públicos -OFICINA-</v>
      </c>
      <c r="E286" s="444" t="str">
        <f>_xlfn.XLOOKUP(C286,Códigos!$A$11:$A$415,Códigos!$B$11:$B$415,"Verificar",0)</f>
        <v>NOMBRE 232</v>
      </c>
      <c r="F286" s="1288" t="s">
        <v>407</v>
      </c>
      <c r="G286" s="1239">
        <v>444500</v>
      </c>
      <c r="H286" s="989">
        <f t="shared" si="4"/>
        <v>235075100</v>
      </c>
      <c r="I286" s="1050" t="s">
        <v>1120</v>
      </c>
      <c r="K286" s="19"/>
    </row>
    <row r="287" spans="1:11" x14ac:dyDescent="0.2">
      <c r="A287" s="1234">
        <v>45775</v>
      </c>
      <c r="B287" s="1291">
        <v>28</v>
      </c>
      <c r="C287" s="1291">
        <v>249</v>
      </c>
      <c r="D287" s="443" t="str">
        <f>_xlfn.XLOOKUP(B287,Códigos!$A$421:$A$483,Códigos!$B$421:$B$483,"Verificar",0)</f>
        <v>Préstamos a:</v>
      </c>
      <c r="E287" s="444" t="str">
        <f>_xlfn.XLOOKUP(C287,Códigos!$A$11:$A$415,Códigos!$B$11:$B$415,"Verificar",0)</f>
        <v>NOMBRE 220</v>
      </c>
      <c r="F287" s="1288" t="s">
        <v>407</v>
      </c>
      <c r="G287" s="1239">
        <v>57000</v>
      </c>
      <c r="H287" s="989">
        <f t="shared" si="4"/>
        <v>235132100</v>
      </c>
      <c r="I287" s="1050" t="s">
        <v>1121</v>
      </c>
      <c r="K287" s="19"/>
    </row>
    <row r="288" spans="1:11" x14ac:dyDescent="0.2">
      <c r="A288" s="1234">
        <v>45775</v>
      </c>
      <c r="B288" s="1000">
        <v>9</v>
      </c>
      <c r="C288" s="1187">
        <v>359</v>
      </c>
      <c r="D288" s="443" t="str">
        <f>_xlfn.XLOOKUP(B288,Códigos!$A$421:$A$483,Códigos!$B$421:$B$483,"Verificar",0)</f>
        <v>Pagos de: -Servicios públicos -OFICINA-</v>
      </c>
      <c r="E288" s="444" t="str">
        <f>_xlfn.XLOOKUP(C288,Códigos!$A$11:$A$415,Códigos!$B$11:$B$415,"Verificar",0)</f>
        <v>NOMBRE 232</v>
      </c>
      <c r="F288" s="1288" t="s">
        <v>407</v>
      </c>
      <c r="G288" s="1239">
        <v>204700</v>
      </c>
      <c r="H288" s="989">
        <f t="shared" si="4"/>
        <v>235336800</v>
      </c>
      <c r="I288" s="1050" t="s">
        <v>1122</v>
      </c>
      <c r="K288" s="19"/>
    </row>
    <row r="289" spans="1:11" x14ac:dyDescent="0.2">
      <c r="A289" s="1234">
        <v>45776</v>
      </c>
      <c r="B289" s="1241">
        <v>18</v>
      </c>
      <c r="C289" s="1187">
        <v>359</v>
      </c>
      <c r="D289" s="443" t="str">
        <f>_xlfn.XLOOKUP(B289,Códigos!$A$421:$A$483,Códigos!$B$421:$B$483,"Verificar",0)</f>
        <v>Pagos de: -Pasajes y transportes</v>
      </c>
      <c r="E289" s="444" t="str">
        <f>_xlfn.XLOOKUP(C289,Códigos!$A$11:$A$415,Códigos!$B$11:$B$415,"Verificar",0)</f>
        <v>NOMBRE 232</v>
      </c>
      <c r="F289" s="1288" t="s">
        <v>407</v>
      </c>
      <c r="G289" s="1239">
        <v>20000</v>
      </c>
      <c r="H289" s="989">
        <f t="shared" si="4"/>
        <v>235356800</v>
      </c>
      <c r="I289" s="1049" t="s">
        <v>1336</v>
      </c>
      <c r="K289" s="19"/>
    </row>
    <row r="290" spans="1:11" x14ac:dyDescent="0.2">
      <c r="A290" s="1234">
        <v>45777</v>
      </c>
      <c r="B290" s="1241">
        <v>9</v>
      </c>
      <c r="C290" s="1187">
        <v>359</v>
      </c>
      <c r="D290" s="443" t="str">
        <f>_xlfn.XLOOKUP(B290,Códigos!$A$421:$A$483,Códigos!$B$421:$B$483,"Verificar",0)</f>
        <v>Pagos de: -Servicios públicos -OFICINA-</v>
      </c>
      <c r="E290" s="444" t="str">
        <f>_xlfn.XLOOKUP(C290,Códigos!$A$11:$A$415,Códigos!$B$11:$B$415,"Verificar",0)</f>
        <v>NOMBRE 232</v>
      </c>
      <c r="F290" s="1288" t="s">
        <v>407</v>
      </c>
      <c r="G290" s="1239">
        <v>53000</v>
      </c>
      <c r="H290" s="989">
        <f t="shared" si="4"/>
        <v>235409800</v>
      </c>
      <c r="I290" s="1049" t="s">
        <v>1337</v>
      </c>
      <c r="K290" s="19"/>
    </row>
    <row r="291" spans="1:11" x14ac:dyDescent="0.2">
      <c r="A291" s="1234">
        <v>45777</v>
      </c>
      <c r="B291" s="1241">
        <v>28</v>
      </c>
      <c r="C291" s="1187">
        <v>222</v>
      </c>
      <c r="D291" s="443" t="str">
        <f>_xlfn.XLOOKUP(B291,Códigos!$A$421:$A$483,Códigos!$B$421:$B$483,"Verificar",0)</f>
        <v>Préstamos a:</v>
      </c>
      <c r="E291" s="444" t="str">
        <f>_xlfn.XLOOKUP(C291,Códigos!$A$11:$A$415,Códigos!$B$11:$B$415,"Verificar",0)</f>
        <v>NOMBRE 101</v>
      </c>
      <c r="F291" s="1288" t="s">
        <v>407</v>
      </c>
      <c r="G291" s="1239">
        <v>21000</v>
      </c>
      <c r="H291" s="989">
        <f t="shared" si="4"/>
        <v>235430800</v>
      </c>
      <c r="I291" s="1049" t="s">
        <v>1337</v>
      </c>
      <c r="K291" s="19"/>
    </row>
    <row r="292" spans="1:11" x14ac:dyDescent="0.2">
      <c r="A292" s="1234">
        <v>45777</v>
      </c>
      <c r="B292" s="1241">
        <v>1</v>
      </c>
      <c r="C292" s="1187">
        <v>359</v>
      </c>
      <c r="D292" s="443" t="str">
        <f>_xlfn.XLOOKUP(B292,Códigos!$A$421:$A$483,Códigos!$B$421:$B$483,"Verificar",0)</f>
        <v>Gastos personales</v>
      </c>
      <c r="E292" s="444" t="str">
        <f>_xlfn.XLOOKUP(C292,Códigos!$A$11:$A$415,Códigos!$B$11:$B$415,"Verificar",0)</f>
        <v>NOMBRE 232</v>
      </c>
      <c r="F292" s="1288" t="s">
        <v>407</v>
      </c>
      <c r="G292" s="1239">
        <v>9716892</v>
      </c>
      <c r="H292" s="989">
        <f t="shared" si="4"/>
        <v>245147692</v>
      </c>
      <c r="I292" s="1049" t="s">
        <v>1343</v>
      </c>
      <c r="K292" s="19"/>
    </row>
    <row r="293" spans="1:11" x14ac:dyDescent="0.2">
      <c r="A293" s="1234">
        <v>45777</v>
      </c>
      <c r="B293" s="1241">
        <v>1</v>
      </c>
      <c r="C293" s="1187">
        <v>359</v>
      </c>
      <c r="D293" s="443" t="str">
        <f>_xlfn.XLOOKUP(B293,Códigos!$A$421:$A$483,Códigos!$B$421:$B$483,"Verificar",0)</f>
        <v>Gastos personales</v>
      </c>
      <c r="E293" s="444" t="str">
        <f>_xlfn.XLOOKUP(C293,Códigos!$A$11:$A$415,Códigos!$B$11:$B$415,"Verificar",0)</f>
        <v>NOMBRE 232</v>
      </c>
      <c r="F293" s="1288" t="s">
        <v>407</v>
      </c>
      <c r="G293" s="1239">
        <v>5000000</v>
      </c>
      <c r="H293" s="989">
        <f t="shared" si="4"/>
        <v>250147692</v>
      </c>
      <c r="I293" s="1049" t="s">
        <v>1352</v>
      </c>
      <c r="K293" s="19"/>
    </row>
    <row r="294" spans="1:11" x14ac:dyDescent="0.2">
      <c r="A294" s="1234">
        <v>45777</v>
      </c>
      <c r="B294" s="1241">
        <v>1</v>
      </c>
      <c r="C294" s="1187">
        <v>359</v>
      </c>
      <c r="D294" s="443" t="str">
        <f>_xlfn.XLOOKUP(B294,Códigos!$A$421:$A$483,Códigos!$B$421:$B$483,"Verificar",0)</f>
        <v>Gastos personales</v>
      </c>
      <c r="E294" s="444" t="str">
        <f>_xlfn.XLOOKUP(C294,Códigos!$A$11:$A$415,Códigos!$B$11:$B$415,"Verificar",0)</f>
        <v>NOMBRE 232</v>
      </c>
      <c r="F294" s="1288" t="s">
        <v>407</v>
      </c>
      <c r="G294" s="1239">
        <v>140000000</v>
      </c>
      <c r="H294" s="989">
        <f t="shared" si="4"/>
        <v>390147692</v>
      </c>
      <c r="I294" s="1052" t="s">
        <v>1345</v>
      </c>
      <c r="K294" s="19"/>
    </row>
    <row r="295" spans="1:11" x14ac:dyDescent="0.2">
      <c r="A295" s="1234">
        <v>45777</v>
      </c>
      <c r="B295" s="1241">
        <v>1</v>
      </c>
      <c r="C295" s="1187">
        <v>359</v>
      </c>
      <c r="D295" s="443" t="str">
        <f>_xlfn.XLOOKUP(B295,Códigos!$A$421:$A$483,Códigos!$B$421:$B$483,"Verificar",0)</f>
        <v>Gastos personales</v>
      </c>
      <c r="E295" s="444" t="str">
        <f>_xlfn.XLOOKUP(C295,Códigos!$A$11:$A$415,Códigos!$B$11:$B$415,"Verificar",0)</f>
        <v>NOMBRE 232</v>
      </c>
      <c r="F295" s="1288" t="s">
        <v>407</v>
      </c>
      <c r="G295" s="1239">
        <v>144902</v>
      </c>
      <c r="H295" s="989">
        <f t="shared" si="4"/>
        <v>390292594</v>
      </c>
      <c r="I295" s="1052" t="s">
        <v>1346</v>
      </c>
      <c r="K295" s="19"/>
    </row>
    <row r="296" spans="1:11" x14ac:dyDescent="0.2">
      <c r="A296" s="1234">
        <v>45777</v>
      </c>
      <c r="B296" s="1000">
        <v>8</v>
      </c>
      <c r="C296" s="1187">
        <v>357</v>
      </c>
      <c r="D296" s="443" t="str">
        <f>_xlfn.XLOOKUP(B296,Códigos!$A$421:$A$483,Códigos!$B$421:$B$483,"Verificar",0)</f>
        <v>Pagos de: -Cuota para alimentos y Manuntención</v>
      </c>
      <c r="E296" s="444" t="str">
        <f>_xlfn.XLOOKUP(C296,Códigos!$A$11:$A$415,Códigos!$B$11:$B$415,"Verificar",0)</f>
        <v>NOMBRE 107</v>
      </c>
      <c r="F296" s="1288" t="s">
        <v>1103</v>
      </c>
      <c r="G296" s="1239">
        <v>220000</v>
      </c>
      <c r="H296" s="989">
        <f t="shared" si="4"/>
        <v>390512594</v>
      </c>
      <c r="I296" s="1050" t="s">
        <v>1083</v>
      </c>
      <c r="K296" s="19"/>
    </row>
    <row r="297" spans="1:11" x14ac:dyDescent="0.2">
      <c r="A297" s="1234">
        <v>45777</v>
      </c>
      <c r="B297" s="1000">
        <v>2</v>
      </c>
      <c r="C297" s="1187">
        <v>353</v>
      </c>
      <c r="D297" s="443" t="str">
        <f>_xlfn.XLOOKUP(B297,Códigos!$A$421:$A$483,Códigos!$B$421:$B$483,"Verificar",0)</f>
        <v>Pago de Salarios a:</v>
      </c>
      <c r="E297" s="444" t="str">
        <f>_xlfn.XLOOKUP(C297,Códigos!$A$11:$A$415,Códigos!$B$11:$B$415,"Verificar",0)</f>
        <v>NOMBRE 31</v>
      </c>
      <c r="F297" s="1288" t="s">
        <v>407</v>
      </c>
      <c r="G297" s="1239">
        <v>660000</v>
      </c>
      <c r="H297" s="989">
        <f t="shared" si="4"/>
        <v>391172594</v>
      </c>
      <c r="I297" s="997" t="s">
        <v>1347</v>
      </c>
      <c r="K297" s="19"/>
    </row>
    <row r="298" spans="1:11" x14ac:dyDescent="0.2">
      <c r="A298" s="1234">
        <v>45779</v>
      </c>
      <c r="B298" s="1241">
        <v>5</v>
      </c>
      <c r="C298" s="1187">
        <v>262</v>
      </c>
      <c r="D298" s="443" t="str">
        <f>_xlfn.XLOOKUP(B298,Códigos!$A$421:$A$483,Códigos!$B$421:$B$483,"Verificar",0)</f>
        <v>Préstamos por Nómina a:</v>
      </c>
      <c r="E298" s="444" t="str">
        <f>_xlfn.XLOOKUP(C298,Códigos!$A$11:$A$415,Códigos!$B$11:$B$415,"Verificar",0)</f>
        <v>NOMBRE 95</v>
      </c>
      <c r="F298" s="1288" t="s">
        <v>407</v>
      </c>
      <c r="G298" s="1239">
        <v>100000</v>
      </c>
      <c r="H298" s="989">
        <f t="shared" si="4"/>
        <v>391272594</v>
      </c>
      <c r="I298" s="1049" t="s">
        <v>1114</v>
      </c>
      <c r="K298" s="19"/>
    </row>
    <row r="299" spans="1:11" x14ac:dyDescent="0.2">
      <c r="A299" s="1234">
        <v>45779</v>
      </c>
      <c r="B299" s="1241">
        <v>5</v>
      </c>
      <c r="C299" s="1187">
        <v>262</v>
      </c>
      <c r="D299" s="443" t="str">
        <f>_xlfn.XLOOKUP(B299,Códigos!$A$421:$A$483,Códigos!$B$421:$B$483,"Verificar",0)</f>
        <v>Préstamos por Nómina a:</v>
      </c>
      <c r="E299" s="444" t="str">
        <f>_xlfn.XLOOKUP(C299,Códigos!$A$11:$A$415,Códigos!$B$11:$B$415,"Verificar",0)</f>
        <v>NOMBRE 95</v>
      </c>
      <c r="F299" s="1288" t="s">
        <v>407</v>
      </c>
      <c r="G299" s="1239">
        <v>100000</v>
      </c>
      <c r="H299" s="989">
        <f t="shared" si="4"/>
        <v>391372594</v>
      </c>
      <c r="I299" s="1049" t="s">
        <v>1148</v>
      </c>
      <c r="K299" s="19"/>
    </row>
    <row r="300" spans="1:11" x14ac:dyDescent="0.2">
      <c r="A300" s="1234">
        <v>45779</v>
      </c>
      <c r="B300" s="1000">
        <v>8</v>
      </c>
      <c r="C300" s="996">
        <v>356</v>
      </c>
      <c r="D300" s="443" t="str">
        <f>_xlfn.XLOOKUP(B300,Códigos!$A$421:$A$483,Códigos!$B$421:$B$483,"Verificar",0)</f>
        <v>Pagos de: -Cuota para alimentos y Manuntención</v>
      </c>
      <c r="E300" s="444" t="str">
        <f>_xlfn.XLOOKUP(C300,Códigos!$A$11:$A$415,Códigos!$B$11:$B$415,"Verificar",0)</f>
        <v>NOMBRE 108</v>
      </c>
      <c r="F300" s="1288" t="s">
        <v>1103</v>
      </c>
      <c r="G300" s="990">
        <v>220000</v>
      </c>
      <c r="H300" s="989">
        <f t="shared" si="4"/>
        <v>391592594</v>
      </c>
      <c r="I300" s="1050" t="s">
        <v>1083</v>
      </c>
      <c r="K300" s="19"/>
    </row>
    <row r="301" spans="1:11" x14ac:dyDescent="0.2">
      <c r="A301" s="1234">
        <v>45779</v>
      </c>
      <c r="B301" s="1000">
        <v>8</v>
      </c>
      <c r="C301" s="996">
        <v>358</v>
      </c>
      <c r="D301" s="443" t="str">
        <f>_xlfn.XLOOKUP(B301,Códigos!$A$421:$A$483,Códigos!$B$421:$B$483,"Verificar",0)</f>
        <v>Pagos de: -Cuota para alimentos y Manuntención</v>
      </c>
      <c r="E301" s="444" t="str">
        <f>_xlfn.XLOOKUP(C301,Códigos!$A$11:$A$415,Códigos!$B$11:$B$415,"Verificar",0)</f>
        <v>NOMBRE 338</v>
      </c>
      <c r="F301" s="1288" t="s">
        <v>1103</v>
      </c>
      <c r="G301" s="1280">
        <v>380000</v>
      </c>
      <c r="H301" s="989">
        <f t="shared" si="4"/>
        <v>391972594</v>
      </c>
      <c r="I301" s="997" t="s">
        <v>1348</v>
      </c>
      <c r="K301" s="19"/>
    </row>
    <row r="302" spans="1:11" x14ac:dyDescent="0.2">
      <c r="A302" s="1234">
        <v>45779</v>
      </c>
      <c r="B302" s="1000">
        <v>2</v>
      </c>
      <c r="C302" s="996">
        <v>262</v>
      </c>
      <c r="D302" s="443" t="str">
        <f>_xlfn.XLOOKUP(B302,Códigos!$A$421:$A$483,Códigos!$B$421:$B$483,"Verificar",0)</f>
        <v>Pago de Salarios a:</v>
      </c>
      <c r="E302" s="444" t="str">
        <f>_xlfn.XLOOKUP(C302,Códigos!$A$11:$A$415,Códigos!$B$11:$B$415,"Verificar",0)</f>
        <v>NOMBRE 95</v>
      </c>
      <c r="F302" s="1288" t="s">
        <v>407</v>
      </c>
      <c r="G302" s="1239">
        <v>660000</v>
      </c>
      <c r="H302" s="989">
        <f t="shared" si="4"/>
        <v>392632594</v>
      </c>
      <c r="I302" s="997" t="s">
        <v>1347</v>
      </c>
      <c r="K302" s="19"/>
    </row>
    <row r="303" spans="1:11" x14ac:dyDescent="0.2">
      <c r="A303" s="1234">
        <v>45779</v>
      </c>
      <c r="B303" s="1241">
        <v>1</v>
      </c>
      <c r="C303" s="1187">
        <v>355</v>
      </c>
      <c r="D303" s="443" t="str">
        <f>_xlfn.XLOOKUP(B303,Códigos!$A$421:$A$483,Códigos!$B$421:$B$483,"Verificar",0)</f>
        <v>Gastos personales</v>
      </c>
      <c r="E303" s="444" t="str">
        <f>_xlfn.XLOOKUP(C303,Códigos!$A$11:$A$415,Códigos!$B$11:$B$415,"Verificar",0)</f>
        <v>NOMBRE 96</v>
      </c>
      <c r="F303" s="1288"/>
      <c r="G303" s="1239">
        <v>700000</v>
      </c>
      <c r="H303" s="989">
        <f t="shared" si="4"/>
        <v>393332594</v>
      </c>
      <c r="I303" s="1052" t="s">
        <v>1101</v>
      </c>
      <c r="K303" s="19"/>
    </row>
    <row r="304" spans="1:11" x14ac:dyDescent="0.2">
      <c r="A304" s="1234">
        <v>45782</v>
      </c>
      <c r="B304" s="1241">
        <v>9</v>
      </c>
      <c r="C304" s="1187">
        <v>359</v>
      </c>
      <c r="D304" s="443" t="str">
        <f>_xlfn.XLOOKUP(B304,Códigos!$A$421:$A$483,Códigos!$B$421:$B$483,"Verificar",0)</f>
        <v>Pagos de: -Servicios públicos -OFICINA-</v>
      </c>
      <c r="E304" s="444" t="str">
        <f>_xlfn.XLOOKUP(C304,Códigos!$A$11:$A$415,Códigos!$B$11:$B$415,"Verificar",0)</f>
        <v>NOMBRE 232</v>
      </c>
      <c r="F304" s="1288" t="s">
        <v>407</v>
      </c>
      <c r="G304" s="1239">
        <v>139900</v>
      </c>
      <c r="H304" s="989">
        <f t="shared" si="4"/>
        <v>393472494</v>
      </c>
      <c r="I304" s="1052" t="s">
        <v>1220</v>
      </c>
      <c r="K304" s="19"/>
    </row>
    <row r="305" spans="1:11" x14ac:dyDescent="0.2">
      <c r="A305" s="1234">
        <v>45782</v>
      </c>
      <c r="B305" s="1277">
        <v>7</v>
      </c>
      <c r="C305" s="1278">
        <v>359</v>
      </c>
      <c r="D305" s="443" t="str">
        <f>_xlfn.XLOOKUP(B305,Códigos!$A$421:$A$483,Códigos!$B$421:$B$483,"Verificar",0)</f>
        <v>Pagos de: -Seguridad Social</v>
      </c>
      <c r="E305" s="444" t="str">
        <f>_xlfn.XLOOKUP(C305,Códigos!$A$11:$A$415,Códigos!$B$11:$B$415,"Verificar",0)</f>
        <v>NOMBRE 232</v>
      </c>
      <c r="F305" s="1288" t="s">
        <v>407</v>
      </c>
      <c r="G305" s="1239">
        <v>1392400</v>
      </c>
      <c r="H305" s="989">
        <f t="shared" si="4"/>
        <v>394864894</v>
      </c>
      <c r="I305" s="1052" t="s">
        <v>1353</v>
      </c>
      <c r="K305" s="19"/>
    </row>
    <row r="306" spans="1:11" x14ac:dyDescent="0.2">
      <c r="A306" s="1234">
        <v>45782</v>
      </c>
      <c r="B306" s="1277">
        <v>7</v>
      </c>
      <c r="C306" s="1278">
        <v>359</v>
      </c>
      <c r="D306" s="443" t="str">
        <f>_xlfn.XLOOKUP(B306,Códigos!$A$421:$A$483,Códigos!$B$421:$B$483,"Verificar",0)</f>
        <v>Pagos de: -Seguridad Social</v>
      </c>
      <c r="E306" s="444" t="str">
        <f>_xlfn.XLOOKUP(C306,Códigos!$A$11:$A$415,Códigos!$B$11:$B$415,"Verificar",0)</f>
        <v>NOMBRE 232</v>
      </c>
      <c r="F306" s="1288" t="s">
        <v>407</v>
      </c>
      <c r="G306" s="1239">
        <v>940500</v>
      </c>
      <c r="H306" s="989">
        <f t="shared" si="4"/>
        <v>395805394</v>
      </c>
      <c r="I306" s="1052" t="s">
        <v>1354</v>
      </c>
      <c r="K306" s="19"/>
    </row>
    <row r="307" spans="1:11" x14ac:dyDescent="0.2">
      <c r="A307" s="1234">
        <v>45782</v>
      </c>
      <c r="B307" s="1187">
        <v>8</v>
      </c>
      <c r="C307" s="1187">
        <v>359</v>
      </c>
      <c r="D307" s="443" t="str">
        <f>_xlfn.XLOOKUP(B307,Códigos!$A$421:$A$483,Códigos!$B$421:$B$483,"Verificar",0)</f>
        <v>Pagos de: -Cuota para alimentos y Manuntención</v>
      </c>
      <c r="E307" s="444" t="str">
        <f>_xlfn.XLOOKUP(C307,Códigos!$A$11:$A$415,Códigos!$B$11:$B$415,"Verificar",0)</f>
        <v>NOMBRE 232</v>
      </c>
      <c r="F307" s="1288" t="s">
        <v>407</v>
      </c>
      <c r="G307" s="1239">
        <v>185000</v>
      </c>
      <c r="H307" s="989">
        <f t="shared" si="4"/>
        <v>395990394</v>
      </c>
      <c r="I307" s="998" t="s">
        <v>1317</v>
      </c>
      <c r="K307" s="19"/>
    </row>
    <row r="308" spans="1:11" x14ac:dyDescent="0.2">
      <c r="A308" s="1234">
        <v>45783</v>
      </c>
      <c r="B308" s="1241">
        <v>28</v>
      </c>
      <c r="C308" s="1296">
        <v>250</v>
      </c>
      <c r="D308" s="443" t="str">
        <f>_xlfn.XLOOKUP(B308,Códigos!$A$421:$A$483,Códigos!$B$421:$B$483,"Verificar",0)</f>
        <v>Préstamos a:</v>
      </c>
      <c r="E308" s="444" t="str">
        <f>_xlfn.XLOOKUP(C308,Códigos!$A$11:$A$415,Códigos!$B$11:$B$415,"Verificar",0)</f>
        <v>NOMBRE 75</v>
      </c>
      <c r="F308" s="1288"/>
      <c r="G308" s="1239">
        <v>500000</v>
      </c>
      <c r="H308" s="989">
        <f t="shared" si="4"/>
        <v>396490394</v>
      </c>
      <c r="I308" s="1049" t="s">
        <v>1355</v>
      </c>
      <c r="K308" s="19"/>
    </row>
    <row r="309" spans="1:11" x14ac:dyDescent="0.2">
      <c r="A309" s="1234">
        <v>45783</v>
      </c>
      <c r="B309" s="1241">
        <v>33</v>
      </c>
      <c r="C309" s="1187">
        <v>3</v>
      </c>
      <c r="D309" s="443" t="str">
        <f>_xlfn.XLOOKUP(B309,Códigos!$A$421:$A$483,Códigos!$B$421:$B$483,"Verificar",0)</f>
        <v>AJUSTE POR -Consignación - Traslado a Bancos</v>
      </c>
      <c r="E309" s="444" t="str">
        <f>_xlfn.XLOOKUP(C309,Códigos!$A$11:$A$415,Códigos!$B$11:$B$415,"Verificar",0)</f>
        <v>NOMBRE 24</v>
      </c>
      <c r="F309" s="1288"/>
      <c r="G309" s="1239">
        <v>2000000</v>
      </c>
      <c r="H309" s="989">
        <f t="shared" si="4"/>
        <v>398490394</v>
      </c>
      <c r="I309" s="1049" t="s">
        <v>1356</v>
      </c>
      <c r="K309" s="19"/>
    </row>
    <row r="310" spans="1:11" x14ac:dyDescent="0.2">
      <c r="A310" s="1234">
        <v>45784</v>
      </c>
      <c r="B310" s="1241">
        <v>28</v>
      </c>
      <c r="C310" s="1187">
        <v>222</v>
      </c>
      <c r="D310" s="443" t="str">
        <f>_xlfn.XLOOKUP(B310,Códigos!$A$421:$A$483,Códigos!$B$421:$B$483,"Verificar",0)</f>
        <v>Préstamos a:</v>
      </c>
      <c r="E310" s="444" t="str">
        <f>_xlfn.XLOOKUP(C310,Códigos!$A$11:$A$415,Códigos!$B$11:$B$415,"Verificar",0)</f>
        <v>NOMBRE 101</v>
      </c>
      <c r="F310" s="1288" t="s">
        <v>407</v>
      </c>
      <c r="G310" s="1239">
        <v>500000</v>
      </c>
      <c r="H310" s="989">
        <f t="shared" si="4"/>
        <v>398990394</v>
      </c>
      <c r="I310" s="1049" t="s">
        <v>1359</v>
      </c>
      <c r="K310" s="19"/>
    </row>
    <row r="311" spans="1:11" x14ac:dyDescent="0.2">
      <c r="A311" s="1234">
        <v>45785</v>
      </c>
      <c r="B311" s="1000">
        <v>8</v>
      </c>
      <c r="C311" s="1187">
        <v>357</v>
      </c>
      <c r="D311" s="443" t="str">
        <f>_xlfn.XLOOKUP(B311,Códigos!$A$421:$A$483,Códigos!$B$421:$B$483,"Verificar",0)</f>
        <v>Pagos de: -Cuota para alimentos y Manuntención</v>
      </c>
      <c r="E311" s="444" t="str">
        <f>_xlfn.XLOOKUP(C311,Códigos!$A$11:$A$415,Códigos!$B$11:$B$415,"Verificar",0)</f>
        <v>NOMBRE 107</v>
      </c>
      <c r="F311" s="1288" t="s">
        <v>1103</v>
      </c>
      <c r="G311" s="1239">
        <v>220000</v>
      </c>
      <c r="H311" s="989">
        <f t="shared" si="4"/>
        <v>399210394</v>
      </c>
      <c r="I311" s="1050" t="s">
        <v>1083</v>
      </c>
      <c r="K311" s="19"/>
    </row>
    <row r="312" spans="1:11" x14ac:dyDescent="0.2">
      <c r="A312" s="1234">
        <v>45785</v>
      </c>
      <c r="B312" s="1000">
        <v>2</v>
      </c>
      <c r="C312" s="1187">
        <v>353</v>
      </c>
      <c r="D312" s="443" t="str">
        <f>_xlfn.XLOOKUP(B312,Códigos!$A$421:$A$483,Códigos!$B$421:$B$483,"Verificar",0)</f>
        <v>Pago de Salarios a:</v>
      </c>
      <c r="E312" s="444" t="str">
        <f>_xlfn.XLOOKUP(C312,Códigos!$A$11:$A$415,Códigos!$B$11:$B$415,"Verificar",0)</f>
        <v>NOMBRE 31</v>
      </c>
      <c r="F312" s="1288" t="s">
        <v>407</v>
      </c>
      <c r="G312" s="1239">
        <v>660000</v>
      </c>
      <c r="H312" s="989">
        <f t="shared" si="4"/>
        <v>399870394</v>
      </c>
      <c r="I312" s="997" t="s">
        <v>1363</v>
      </c>
      <c r="K312" s="19"/>
    </row>
    <row r="313" spans="1:11" x14ac:dyDescent="0.2">
      <c r="A313" s="1234">
        <v>45786</v>
      </c>
      <c r="B313" s="1000">
        <v>8</v>
      </c>
      <c r="C313" s="996">
        <v>356</v>
      </c>
      <c r="D313" s="443" t="str">
        <f>_xlfn.XLOOKUP(B313,Códigos!$A$421:$A$483,Códigos!$B$421:$B$483,"Verificar",0)</f>
        <v>Pagos de: -Cuota para alimentos y Manuntención</v>
      </c>
      <c r="E313" s="444" t="str">
        <f>_xlfn.XLOOKUP(C313,Códigos!$A$11:$A$415,Códigos!$B$11:$B$415,"Verificar",0)</f>
        <v>NOMBRE 108</v>
      </c>
      <c r="F313" s="1288" t="s">
        <v>1103</v>
      </c>
      <c r="G313" s="990">
        <v>220000</v>
      </c>
      <c r="H313" s="989">
        <f t="shared" si="4"/>
        <v>400090394</v>
      </c>
      <c r="I313" s="1050" t="s">
        <v>1083</v>
      </c>
      <c r="K313" s="19"/>
    </row>
    <row r="314" spans="1:11" x14ac:dyDescent="0.2">
      <c r="A314" s="1234">
        <v>45786</v>
      </c>
      <c r="B314" s="1000">
        <v>8</v>
      </c>
      <c r="C314" s="996">
        <v>358</v>
      </c>
      <c r="D314" s="443" t="str">
        <f>_xlfn.XLOOKUP(B314,Códigos!$A$421:$A$483,Códigos!$B$421:$B$483,"Verificar",0)</f>
        <v>Pagos de: -Cuota para alimentos y Manuntención</v>
      </c>
      <c r="E314" s="444" t="str">
        <f>_xlfn.XLOOKUP(C314,Códigos!$A$11:$A$415,Códigos!$B$11:$B$415,"Verificar",0)</f>
        <v>NOMBRE 338</v>
      </c>
      <c r="F314" s="1288" t="s">
        <v>1103</v>
      </c>
      <c r="G314" s="1280">
        <v>380000</v>
      </c>
      <c r="H314" s="989">
        <f t="shared" si="4"/>
        <v>400470394</v>
      </c>
      <c r="I314" s="997" t="s">
        <v>1364</v>
      </c>
      <c r="K314" s="19"/>
    </row>
    <row r="315" spans="1:11" x14ac:dyDescent="0.2">
      <c r="A315" s="1234">
        <v>45786</v>
      </c>
      <c r="B315" s="1000">
        <v>2</v>
      </c>
      <c r="C315" s="996">
        <v>262</v>
      </c>
      <c r="D315" s="443" t="str">
        <f>_xlfn.XLOOKUP(B315,Códigos!$A$421:$A$483,Códigos!$B$421:$B$483,"Verificar",0)</f>
        <v>Pago de Salarios a:</v>
      </c>
      <c r="E315" s="444" t="str">
        <f>_xlfn.XLOOKUP(C315,Códigos!$A$11:$A$415,Códigos!$B$11:$B$415,"Verificar",0)</f>
        <v>NOMBRE 95</v>
      </c>
      <c r="F315" s="1288" t="s">
        <v>407</v>
      </c>
      <c r="G315" s="1239">
        <v>660000</v>
      </c>
      <c r="H315" s="989">
        <f t="shared" si="4"/>
        <v>401130394</v>
      </c>
      <c r="I315" s="997" t="s">
        <v>1363</v>
      </c>
      <c r="K315" s="19"/>
    </row>
    <row r="316" spans="1:11" x14ac:dyDescent="0.2">
      <c r="A316" s="1234">
        <v>45786</v>
      </c>
      <c r="B316" s="1241">
        <v>27</v>
      </c>
      <c r="C316" s="1187">
        <v>359</v>
      </c>
      <c r="D316" s="443" t="str">
        <f>_xlfn.XLOOKUP(B316,Códigos!$A$421:$A$483,Códigos!$B$421:$B$483,"Verificar",0)</f>
        <v>Compra de: -Restaurante y cafetería</v>
      </c>
      <c r="E316" s="444" t="str">
        <f>_xlfn.XLOOKUP(C316,Códigos!$A$11:$A$415,Códigos!$B$11:$B$415,"Verificar",0)</f>
        <v>NOMBRE 232</v>
      </c>
      <c r="F316" s="1288" t="s">
        <v>407</v>
      </c>
      <c r="G316" s="1239">
        <v>400000</v>
      </c>
      <c r="H316" s="989">
        <f t="shared" si="4"/>
        <v>401530394</v>
      </c>
      <c r="I316" s="1292" t="s">
        <v>1155</v>
      </c>
      <c r="K316" s="19"/>
    </row>
    <row r="317" spans="1:11" x14ac:dyDescent="0.2">
      <c r="A317" s="1234">
        <v>45786</v>
      </c>
      <c r="B317" s="1241">
        <v>1</v>
      </c>
      <c r="C317" s="1187">
        <v>355</v>
      </c>
      <c r="D317" s="443" t="str">
        <f>_xlfn.XLOOKUP(B317,Códigos!$A$421:$A$483,Códigos!$B$421:$B$483,"Verificar",0)</f>
        <v>Gastos personales</v>
      </c>
      <c r="E317" s="444" t="str">
        <f>_xlfn.XLOOKUP(C317,Códigos!$A$11:$A$415,Códigos!$B$11:$B$415,"Verificar",0)</f>
        <v>NOMBRE 96</v>
      </c>
      <c r="F317" s="1288"/>
      <c r="G317" s="1239">
        <v>300000</v>
      </c>
      <c r="H317" s="989">
        <f t="shared" si="4"/>
        <v>401830394</v>
      </c>
      <c r="I317" s="1052" t="s">
        <v>1101</v>
      </c>
      <c r="K317" s="19"/>
    </row>
    <row r="318" spans="1:11" x14ac:dyDescent="0.2">
      <c r="A318" s="1234">
        <v>45790</v>
      </c>
      <c r="B318" s="1000">
        <v>10</v>
      </c>
      <c r="C318" s="996">
        <v>359</v>
      </c>
      <c r="D318" s="443" t="s">
        <v>483</v>
      </c>
      <c r="E318" s="444" t="s">
        <v>375</v>
      </c>
      <c r="F318" s="1288" t="s">
        <v>1103</v>
      </c>
      <c r="G318" s="1239">
        <v>157600</v>
      </c>
      <c r="H318" s="989">
        <f t="shared" si="4"/>
        <v>401987994</v>
      </c>
      <c r="I318" s="1049" t="s">
        <v>1366</v>
      </c>
      <c r="K318" s="19"/>
    </row>
    <row r="319" spans="1:11" x14ac:dyDescent="0.2">
      <c r="A319" s="1234">
        <v>45790</v>
      </c>
      <c r="B319" s="1241">
        <v>27</v>
      </c>
      <c r="C319" s="1187">
        <v>359</v>
      </c>
      <c r="D319" s="443" t="str">
        <f>_xlfn.XLOOKUP(B319,Códigos!$A$421:$A$483,Códigos!$B$421:$B$483,"Verificar",0)</f>
        <v>Compra de: -Restaurante y cafetería</v>
      </c>
      <c r="E319" s="444" t="str">
        <f>_xlfn.XLOOKUP(C319,Códigos!$A$11:$A$415,Códigos!$B$11:$B$415,"Verificar",0)</f>
        <v>NOMBRE 232</v>
      </c>
      <c r="F319" s="1288" t="s">
        <v>407</v>
      </c>
      <c r="G319" s="1239">
        <v>20000</v>
      </c>
      <c r="H319" s="989">
        <f t="shared" si="4"/>
        <v>402007994</v>
      </c>
      <c r="I319" s="1052" t="s">
        <v>1078</v>
      </c>
      <c r="K319" s="19"/>
    </row>
    <row r="320" spans="1:11" x14ac:dyDescent="0.2">
      <c r="A320" s="1234">
        <v>45792</v>
      </c>
      <c r="B320" s="1000">
        <v>9</v>
      </c>
      <c r="C320" s="996">
        <v>359</v>
      </c>
      <c r="D320" s="443" t="s">
        <v>482</v>
      </c>
      <c r="E320" s="444" t="s">
        <v>375</v>
      </c>
      <c r="F320" s="1288" t="s">
        <v>407</v>
      </c>
      <c r="G320" s="1239">
        <v>136500</v>
      </c>
      <c r="H320" s="989">
        <f t="shared" si="4"/>
        <v>402144494</v>
      </c>
      <c r="I320" s="1049" t="s">
        <v>1106</v>
      </c>
      <c r="K320" s="19"/>
    </row>
    <row r="321" spans="1:11" x14ac:dyDescent="0.2">
      <c r="A321" s="1234">
        <v>45792</v>
      </c>
      <c r="B321" s="1275">
        <v>39</v>
      </c>
      <c r="C321" s="1276">
        <v>362</v>
      </c>
      <c r="D321" s="443" t="str">
        <f>_xlfn.XLOOKUP(B321,Códigos!$A$421:$A$483,Códigos!$B$421:$B$483,"Verificar",0)</f>
        <v>Pago intereses préstamo Juliana</v>
      </c>
      <c r="E321" s="444" t="str">
        <f>_xlfn.XLOOKUP(C321,Códigos!$A$11:$A$415,Códigos!$B$11:$B$415,"Verificar",0)</f>
        <v>NOMBRE 97</v>
      </c>
      <c r="F321" s="1288" t="s">
        <v>407</v>
      </c>
      <c r="G321" s="1239">
        <v>350000</v>
      </c>
      <c r="H321" s="989">
        <f t="shared" si="4"/>
        <v>402494494</v>
      </c>
      <c r="I321" s="1274" t="s">
        <v>1421</v>
      </c>
      <c r="K321" s="19"/>
    </row>
    <row r="322" spans="1:11" x14ac:dyDescent="0.2">
      <c r="A322" s="1234">
        <v>45792</v>
      </c>
      <c r="B322" s="1275">
        <v>21</v>
      </c>
      <c r="C322" s="1276">
        <v>362</v>
      </c>
      <c r="D322" s="443" t="str">
        <f>_xlfn.XLOOKUP(B322,Códigos!$A$421:$A$483,Códigos!$B$421:$B$483,"Verificar",0)</f>
        <v>Pagos de: -Cuentas por Pagar a:</v>
      </c>
      <c r="E322" s="444" t="str">
        <f>_xlfn.XLOOKUP(C322,Códigos!$A$11:$A$415,Códigos!$B$11:$B$415,"Verificar",0)</f>
        <v>NOMBRE 97</v>
      </c>
      <c r="F322" s="1288" t="s">
        <v>407</v>
      </c>
      <c r="G322" s="1239">
        <v>200000</v>
      </c>
      <c r="H322" s="989">
        <f t="shared" si="4"/>
        <v>402694494</v>
      </c>
      <c r="I322" s="1274" t="s">
        <v>1350</v>
      </c>
      <c r="K322" s="19"/>
    </row>
    <row r="323" spans="1:11" x14ac:dyDescent="0.2">
      <c r="A323" s="1234">
        <v>45792</v>
      </c>
      <c r="B323" s="1241">
        <v>27</v>
      </c>
      <c r="C323" s="1187">
        <v>359</v>
      </c>
      <c r="D323" s="443" t="str">
        <f>_xlfn.XLOOKUP(B323,Códigos!$A$421:$A$483,Códigos!$B$421:$B$483,"Verificar",0)</f>
        <v>Compra de: -Restaurante y cafetería</v>
      </c>
      <c r="E323" s="444" t="str">
        <f>_xlfn.XLOOKUP(C323,Códigos!$A$11:$A$415,Códigos!$B$11:$B$415,"Verificar",0)</f>
        <v>NOMBRE 232</v>
      </c>
      <c r="F323" s="1288"/>
      <c r="G323" s="1239">
        <v>20000</v>
      </c>
      <c r="H323" s="989">
        <f t="shared" si="4"/>
        <v>402714494</v>
      </c>
      <c r="I323" s="1049" t="s">
        <v>1367</v>
      </c>
      <c r="K323" s="19"/>
    </row>
    <row r="324" spans="1:11" x14ac:dyDescent="0.2">
      <c r="A324" s="1234">
        <v>45792</v>
      </c>
      <c r="B324" s="1241">
        <v>33</v>
      </c>
      <c r="C324" s="1187">
        <v>3</v>
      </c>
      <c r="D324" s="443" t="str">
        <f>_xlfn.XLOOKUP(B324,Códigos!$A$421:$A$483,Códigos!$B$421:$B$483,"Verificar",0)</f>
        <v>AJUSTE POR -Consignación - Traslado a Bancos</v>
      </c>
      <c r="E324" s="444" t="str">
        <f>_xlfn.XLOOKUP(C324,Códigos!$A$11:$A$415,Códigos!$B$11:$B$415,"Verificar",0)</f>
        <v>NOMBRE 24</v>
      </c>
      <c r="F324" s="1288"/>
      <c r="G324" s="1239">
        <v>1016800</v>
      </c>
      <c r="H324" s="989">
        <f t="shared" si="4"/>
        <v>403731294</v>
      </c>
      <c r="I324" s="1049" t="s">
        <v>1356</v>
      </c>
      <c r="K324" s="19"/>
    </row>
    <row r="325" spans="1:11" x14ac:dyDescent="0.2">
      <c r="A325" s="1234">
        <v>45792</v>
      </c>
      <c r="B325" s="1000">
        <v>8</v>
      </c>
      <c r="C325" s="1187">
        <v>357</v>
      </c>
      <c r="D325" s="443" t="str">
        <f>_xlfn.XLOOKUP(B325,Códigos!$A$421:$A$483,Códigos!$B$421:$B$483,"Verificar",0)</f>
        <v>Pagos de: -Cuota para alimentos y Manuntención</v>
      </c>
      <c r="E325" s="444" t="str">
        <f>_xlfn.XLOOKUP(C325,Códigos!$A$11:$A$415,Códigos!$B$11:$B$415,"Verificar",0)</f>
        <v>NOMBRE 107</v>
      </c>
      <c r="F325" s="1288" t="s">
        <v>1103</v>
      </c>
      <c r="G325" s="1239">
        <v>220000</v>
      </c>
      <c r="H325" s="989">
        <f t="shared" si="4"/>
        <v>403951294</v>
      </c>
      <c r="I325" s="1050" t="s">
        <v>1083</v>
      </c>
      <c r="K325" s="19"/>
    </row>
    <row r="326" spans="1:11" x14ac:dyDescent="0.2">
      <c r="A326" s="1234">
        <v>45792</v>
      </c>
      <c r="B326" s="1000">
        <v>2</v>
      </c>
      <c r="C326" s="1187">
        <v>353</v>
      </c>
      <c r="D326" s="443" t="str">
        <f>_xlfn.XLOOKUP(B326,Códigos!$A$421:$A$483,Códigos!$B$421:$B$483,"Verificar",0)</f>
        <v>Pago de Salarios a:</v>
      </c>
      <c r="E326" s="444" t="str">
        <f>_xlfn.XLOOKUP(C326,Códigos!$A$11:$A$415,Códigos!$B$11:$B$415,"Verificar",0)</f>
        <v>NOMBRE 31</v>
      </c>
      <c r="F326" s="1288" t="s">
        <v>407</v>
      </c>
      <c r="G326" s="1239">
        <v>660000</v>
      </c>
      <c r="H326" s="989">
        <f t="shared" si="4"/>
        <v>404611294</v>
      </c>
      <c r="I326" s="997" t="s">
        <v>1369</v>
      </c>
      <c r="K326" s="19"/>
    </row>
    <row r="327" spans="1:11" x14ac:dyDescent="0.2">
      <c r="A327" s="1234">
        <v>45793</v>
      </c>
      <c r="B327" s="1241">
        <v>28</v>
      </c>
      <c r="C327" s="1187">
        <v>298</v>
      </c>
      <c r="D327" s="443" t="str">
        <f>_xlfn.XLOOKUP(B327,Códigos!$A$421:$A$483,Códigos!$B$421:$B$483,"Verificar",0)</f>
        <v>Préstamos a:</v>
      </c>
      <c r="E327" s="444" t="str">
        <f>_xlfn.XLOOKUP(C327,Códigos!$A$11:$A$415,Códigos!$B$11:$B$415,"Verificar",0)</f>
        <v>NOMBRE 283</v>
      </c>
      <c r="F327" s="1288" t="s">
        <v>407</v>
      </c>
      <c r="G327" s="1239">
        <f>1320000-G326-G325-2000</f>
        <v>438000</v>
      </c>
      <c r="H327" s="989">
        <f t="shared" si="4"/>
        <v>405049294</v>
      </c>
      <c r="I327" s="1052" t="s">
        <v>1370</v>
      </c>
      <c r="K327" s="19"/>
    </row>
    <row r="328" spans="1:11" x14ac:dyDescent="0.2">
      <c r="A328" s="1234">
        <v>45793</v>
      </c>
      <c r="B328" s="1000">
        <v>43</v>
      </c>
      <c r="C328" s="996">
        <v>359</v>
      </c>
      <c r="D328" s="443" t="str">
        <f>_xlfn.XLOOKUP(B328,Códigos!$A$421:$A$483,Códigos!$B$421:$B$483,"Verificar",0)</f>
        <v>Pago Hipotecario BANCOLOMBIA</v>
      </c>
      <c r="E328" s="444" t="str">
        <f>_xlfn.XLOOKUP(C328,Códigos!$A$11:$A$415,Códigos!$B$11:$B$415,"Verificar",0)</f>
        <v>NOMBRE 232</v>
      </c>
      <c r="F328" s="1288" t="s">
        <v>407</v>
      </c>
      <c r="G328" s="1239">
        <v>1026800</v>
      </c>
      <c r="H328" s="989">
        <f t="shared" si="4"/>
        <v>406076094</v>
      </c>
      <c r="I328" s="997" t="s">
        <v>1113</v>
      </c>
      <c r="K328" s="19"/>
    </row>
    <row r="329" spans="1:11" x14ac:dyDescent="0.2">
      <c r="A329" s="1234">
        <v>45793</v>
      </c>
      <c r="B329" s="1000">
        <v>8</v>
      </c>
      <c r="C329" s="996">
        <v>356</v>
      </c>
      <c r="D329" s="443" t="str">
        <f>_xlfn.XLOOKUP(B329,Códigos!$A$421:$A$483,Códigos!$B$421:$B$483,"Verificar",0)</f>
        <v>Pagos de: -Cuota para alimentos y Manuntención</v>
      </c>
      <c r="E329" s="444" t="str">
        <f>_xlfn.XLOOKUP(C329,Códigos!$A$11:$A$415,Códigos!$B$11:$B$415,"Verificar",0)</f>
        <v>NOMBRE 108</v>
      </c>
      <c r="F329" s="1288" t="s">
        <v>1103</v>
      </c>
      <c r="G329" s="990">
        <v>220000</v>
      </c>
      <c r="H329" s="989">
        <f t="shared" si="4"/>
        <v>406296094</v>
      </c>
      <c r="I329" s="1050" t="s">
        <v>1083</v>
      </c>
      <c r="K329" s="19"/>
    </row>
    <row r="330" spans="1:11" x14ac:dyDescent="0.2">
      <c r="A330" s="1234">
        <v>45793</v>
      </c>
      <c r="B330" s="1000">
        <v>8</v>
      </c>
      <c r="C330" s="996">
        <v>358</v>
      </c>
      <c r="D330" s="443" t="str">
        <f>_xlfn.XLOOKUP(B330,Códigos!$A$421:$A$483,Códigos!$B$421:$B$483,"Verificar",0)</f>
        <v>Pagos de: -Cuota para alimentos y Manuntención</v>
      </c>
      <c r="E330" s="444" t="str">
        <f>_xlfn.XLOOKUP(C330,Códigos!$A$11:$A$415,Códigos!$B$11:$B$415,"Verificar",0)</f>
        <v>NOMBRE 338</v>
      </c>
      <c r="F330" s="1288" t="s">
        <v>1103</v>
      </c>
      <c r="G330" s="1280">
        <v>380000</v>
      </c>
      <c r="H330" s="989">
        <f t="shared" si="4"/>
        <v>406676094</v>
      </c>
      <c r="I330" s="997" t="s">
        <v>1371</v>
      </c>
      <c r="K330" s="19"/>
    </row>
    <row r="331" spans="1:11" x14ac:dyDescent="0.2">
      <c r="A331" s="1234">
        <v>45793</v>
      </c>
      <c r="B331" s="1000">
        <v>2</v>
      </c>
      <c r="C331" s="996">
        <v>262</v>
      </c>
      <c r="D331" s="443" t="str">
        <f>_xlfn.XLOOKUP(B331,Códigos!$A$421:$A$483,Códigos!$B$421:$B$483,"Verificar",0)</f>
        <v>Pago de Salarios a:</v>
      </c>
      <c r="E331" s="444" t="str">
        <f>_xlfn.XLOOKUP(C331,Códigos!$A$11:$A$415,Códigos!$B$11:$B$415,"Verificar",0)</f>
        <v>NOMBRE 95</v>
      </c>
      <c r="F331" s="1288" t="s">
        <v>407</v>
      </c>
      <c r="G331" s="1239">
        <v>660000</v>
      </c>
      <c r="H331" s="989">
        <f t="shared" si="4"/>
        <v>407336094</v>
      </c>
      <c r="I331" s="997" t="s">
        <v>1369</v>
      </c>
      <c r="K331" s="19"/>
    </row>
    <row r="332" spans="1:11" x14ac:dyDescent="0.2">
      <c r="A332" s="1234">
        <v>45793</v>
      </c>
      <c r="B332" s="1241">
        <v>27</v>
      </c>
      <c r="C332" s="1187">
        <v>359</v>
      </c>
      <c r="D332" s="443" t="str">
        <f>_xlfn.XLOOKUP(B332,Códigos!$A$421:$A$483,Códigos!$B$421:$B$483,"Verificar",0)</f>
        <v>Compra de: -Restaurante y cafetería</v>
      </c>
      <c r="E332" s="444" t="str">
        <f>_xlfn.XLOOKUP(C332,Códigos!$A$11:$A$415,Códigos!$B$11:$B$415,"Verificar",0)</f>
        <v>NOMBRE 232</v>
      </c>
      <c r="F332" s="1288" t="s">
        <v>407</v>
      </c>
      <c r="G332" s="1239">
        <v>10000</v>
      </c>
      <c r="H332" s="989">
        <f t="shared" si="4"/>
        <v>407346094</v>
      </c>
      <c r="I332" s="1049" t="s">
        <v>1372</v>
      </c>
      <c r="K332" s="19"/>
    </row>
    <row r="333" spans="1:11" x14ac:dyDescent="0.2">
      <c r="A333" s="1234">
        <v>45797</v>
      </c>
      <c r="B333" s="1241">
        <v>11</v>
      </c>
      <c r="C333" s="1187">
        <v>359</v>
      </c>
      <c r="D333" s="443" t="str">
        <f>_xlfn.XLOOKUP(B333,Códigos!$A$421:$A$483,Códigos!$B$421:$B$483,"Verificar",0)</f>
        <v>Pagos de: -Servicios Administracion y otros Oficina</v>
      </c>
      <c r="E333" s="444" t="str">
        <f>_xlfn.XLOOKUP(C333,Códigos!$A$11:$A$415,Códigos!$B$11:$B$415,"Verificar",0)</f>
        <v>NOMBRE 232</v>
      </c>
      <c r="F333" s="1288" t="s">
        <v>407</v>
      </c>
      <c r="G333" s="1239">
        <f>266130+383130</f>
        <v>649260</v>
      </c>
      <c r="H333" s="989">
        <f t="shared" si="4"/>
        <v>407995354</v>
      </c>
      <c r="I333" s="1049" t="s">
        <v>1107</v>
      </c>
      <c r="K333" s="19"/>
    </row>
    <row r="334" spans="1:11" x14ac:dyDescent="0.2">
      <c r="A334" s="1234">
        <v>45798</v>
      </c>
      <c r="B334" s="1241">
        <v>11</v>
      </c>
      <c r="C334" s="1187">
        <v>359</v>
      </c>
      <c r="D334" s="443" t="str">
        <f>_xlfn.XLOOKUP(B334,Códigos!$A$421:$A$483,Códigos!$B$421:$B$483,"Verificar",0)</f>
        <v>Pagos de: -Servicios Administracion y otros Oficina</v>
      </c>
      <c r="E334" s="444" t="str">
        <f>_xlfn.XLOOKUP(C334,Códigos!$A$11:$A$415,Códigos!$B$11:$B$415,"Verificar",0)</f>
        <v>NOMBRE 232</v>
      </c>
      <c r="F334" s="1288" t="s">
        <v>407</v>
      </c>
      <c r="G334" s="1239">
        <f>65700+64000</f>
        <v>129700</v>
      </c>
      <c r="H334" s="989">
        <f t="shared" si="4"/>
        <v>408125054</v>
      </c>
      <c r="I334" s="997" t="s">
        <v>1117</v>
      </c>
      <c r="K334" s="19"/>
    </row>
    <row r="335" spans="1:11" x14ac:dyDescent="0.2">
      <c r="A335" s="1234">
        <v>45798</v>
      </c>
      <c r="B335" s="1241">
        <v>21</v>
      </c>
      <c r="C335" s="1187">
        <v>359</v>
      </c>
      <c r="D335" s="443" t="str">
        <f>_xlfn.XLOOKUP(B335,Códigos!$A$421:$A$483,Códigos!$B$421:$B$483,"Verificar",0)</f>
        <v>Pagos de: -Cuentas por Pagar a:</v>
      </c>
      <c r="E335" s="444" t="str">
        <f>_xlfn.XLOOKUP(C335,Códigos!$A$11:$A$415,Códigos!$B$11:$B$415,"Verificar",0)</f>
        <v>NOMBRE 232</v>
      </c>
      <c r="F335" s="1288"/>
      <c r="G335" s="1239">
        <v>350000</v>
      </c>
      <c r="H335" s="989">
        <f t="shared" ref="H335:H398" si="5">+H334+G335</f>
        <v>408475054</v>
      </c>
      <c r="I335" s="1049" t="s">
        <v>1386</v>
      </c>
      <c r="K335" s="19"/>
    </row>
    <row r="336" spans="1:11" x14ac:dyDescent="0.2">
      <c r="A336" s="1234">
        <v>45799</v>
      </c>
      <c r="B336" s="1187">
        <v>8</v>
      </c>
      <c r="C336" s="1187">
        <v>359</v>
      </c>
      <c r="D336" s="443" t="str">
        <f>_xlfn.XLOOKUP(B336,Códigos!$A$421:$A$483,Códigos!$B$421:$B$483,"Verificar",0)</f>
        <v>Pagos de: -Cuota para alimentos y Manuntención</v>
      </c>
      <c r="E336" s="444" t="str">
        <f>_xlfn.XLOOKUP(C336,Códigos!$A$11:$A$415,Códigos!$B$11:$B$415,"Verificar",0)</f>
        <v>NOMBRE 232</v>
      </c>
      <c r="F336" s="1288" t="s">
        <v>407</v>
      </c>
      <c r="G336" s="1239">
        <v>185000</v>
      </c>
      <c r="H336" s="989">
        <f t="shared" si="5"/>
        <v>408660054</v>
      </c>
      <c r="I336" s="998" t="s">
        <v>1317</v>
      </c>
      <c r="K336" s="19"/>
    </row>
    <row r="337" spans="1:11" x14ac:dyDescent="0.2">
      <c r="A337" s="1234">
        <v>45799</v>
      </c>
      <c r="B337" s="1000">
        <v>8</v>
      </c>
      <c r="C337" s="1187">
        <v>357</v>
      </c>
      <c r="D337" s="443" t="s">
        <v>463</v>
      </c>
      <c r="E337" s="444" t="s">
        <v>373</v>
      </c>
      <c r="F337" s="1288" t="s">
        <v>1103</v>
      </c>
      <c r="G337" s="1239">
        <v>220000</v>
      </c>
      <c r="H337" s="989">
        <f t="shared" si="5"/>
        <v>408880054</v>
      </c>
      <c r="I337" s="1050" t="s">
        <v>1083</v>
      </c>
      <c r="K337" s="19"/>
    </row>
    <row r="338" spans="1:11" x14ac:dyDescent="0.2">
      <c r="A338" s="1234">
        <v>45799</v>
      </c>
      <c r="B338" s="1000">
        <v>2</v>
      </c>
      <c r="C338" s="1187">
        <v>353</v>
      </c>
      <c r="D338" s="443" t="s">
        <v>458</v>
      </c>
      <c r="E338" s="444" t="s">
        <v>362</v>
      </c>
      <c r="F338" s="1288" t="s">
        <v>407</v>
      </c>
      <c r="G338" s="1239">
        <v>660000</v>
      </c>
      <c r="H338" s="989">
        <f t="shared" si="5"/>
        <v>409540054</v>
      </c>
      <c r="I338" s="997" t="s">
        <v>1387</v>
      </c>
      <c r="K338" s="19"/>
    </row>
    <row r="339" spans="1:11" x14ac:dyDescent="0.2">
      <c r="A339" s="1234">
        <v>45799</v>
      </c>
      <c r="B339" s="1000">
        <v>8</v>
      </c>
      <c r="C339" s="996">
        <v>356</v>
      </c>
      <c r="D339" s="443" t="s">
        <v>463</v>
      </c>
      <c r="E339" s="444" t="s">
        <v>372</v>
      </c>
      <c r="F339" s="1288" t="s">
        <v>1103</v>
      </c>
      <c r="G339" s="990">
        <v>220000</v>
      </c>
      <c r="H339" s="989">
        <f t="shared" si="5"/>
        <v>409760054</v>
      </c>
      <c r="I339" s="1050" t="s">
        <v>1083</v>
      </c>
      <c r="K339" s="19"/>
    </row>
    <row r="340" spans="1:11" x14ac:dyDescent="0.2">
      <c r="A340" s="1234">
        <v>45799</v>
      </c>
      <c r="B340" s="1000">
        <v>8</v>
      </c>
      <c r="C340" s="996">
        <v>358</v>
      </c>
      <c r="D340" s="443" t="s">
        <v>463</v>
      </c>
      <c r="E340" s="444" t="s">
        <v>374</v>
      </c>
      <c r="F340" s="1288" t="s">
        <v>1103</v>
      </c>
      <c r="G340" s="1280">
        <v>380000</v>
      </c>
      <c r="H340" s="989">
        <f t="shared" si="5"/>
        <v>410140054</v>
      </c>
      <c r="I340" s="997" t="s">
        <v>1388</v>
      </c>
      <c r="K340" s="19"/>
    </row>
    <row r="341" spans="1:11" x14ac:dyDescent="0.2">
      <c r="A341" s="1234">
        <v>45799</v>
      </c>
      <c r="B341" s="1000">
        <v>2</v>
      </c>
      <c r="C341" s="996">
        <v>262</v>
      </c>
      <c r="D341" s="443" t="s">
        <v>458</v>
      </c>
      <c r="E341" s="444" t="s">
        <v>113</v>
      </c>
      <c r="F341" s="1288" t="s">
        <v>407</v>
      </c>
      <c r="G341" s="1239">
        <v>660000</v>
      </c>
      <c r="H341" s="989">
        <f t="shared" si="5"/>
        <v>410800054</v>
      </c>
      <c r="I341" s="997" t="s">
        <v>1387</v>
      </c>
      <c r="K341" s="19"/>
    </row>
    <row r="342" spans="1:11" x14ac:dyDescent="0.2">
      <c r="A342" s="1234">
        <v>45799</v>
      </c>
      <c r="B342" s="1241">
        <v>1</v>
      </c>
      <c r="C342" s="1187">
        <v>355</v>
      </c>
      <c r="D342" s="443" t="str">
        <f>_xlfn.XLOOKUP(B342,Códigos!$A$421:$A$483,Códigos!$B$421:$B$483,"Verificar",0)</f>
        <v>Gastos personales</v>
      </c>
      <c r="E342" s="444" t="str">
        <f>_xlfn.XLOOKUP(C342,Códigos!$A$11:$A$415,Códigos!$B$11:$B$415,"Verificar",0)</f>
        <v>NOMBRE 96</v>
      </c>
      <c r="F342" s="1288"/>
      <c r="G342" s="1239">
        <v>300000</v>
      </c>
      <c r="H342" s="989">
        <f t="shared" si="5"/>
        <v>411100054</v>
      </c>
      <c r="I342" s="1052" t="s">
        <v>1101</v>
      </c>
      <c r="K342" s="19"/>
    </row>
    <row r="343" spans="1:11" x14ac:dyDescent="0.2">
      <c r="A343" s="1234">
        <v>45799</v>
      </c>
      <c r="B343" s="1241">
        <v>8</v>
      </c>
      <c r="C343" s="1187">
        <v>357</v>
      </c>
      <c r="D343" s="443" t="str">
        <f>_xlfn.XLOOKUP(B343,Códigos!$A$421:$A$483,Códigos!$B$421:$B$483,"Verificar",0)</f>
        <v>Pagos de: -Cuota para alimentos y Manuntención</v>
      </c>
      <c r="E343" s="444" t="str">
        <f>_xlfn.XLOOKUP(C343,Códigos!$A$11:$A$415,Códigos!$B$11:$B$415,"Verificar",0)</f>
        <v>NOMBRE 107</v>
      </c>
      <c r="F343" s="1288"/>
      <c r="G343" s="1239">
        <v>100000</v>
      </c>
      <c r="H343" s="989">
        <f t="shared" si="5"/>
        <v>411200054</v>
      </c>
      <c r="I343" s="1052" t="s">
        <v>1389</v>
      </c>
      <c r="K343" s="19"/>
    </row>
    <row r="344" spans="1:11" x14ac:dyDescent="0.2">
      <c r="A344" s="1234">
        <v>45802</v>
      </c>
      <c r="B344" s="1241">
        <v>1</v>
      </c>
      <c r="C344" s="1187">
        <v>355</v>
      </c>
      <c r="D344" s="443" t="str">
        <f>_xlfn.XLOOKUP(B344,Códigos!$A$421:$A$483,Códigos!$B$421:$B$483,"Verificar",0)</f>
        <v>Gastos personales</v>
      </c>
      <c r="E344" s="444" t="str">
        <f>_xlfn.XLOOKUP(C344,Códigos!$A$11:$A$415,Códigos!$B$11:$B$415,"Verificar",0)</f>
        <v>NOMBRE 96</v>
      </c>
      <c r="F344" s="1288"/>
      <c r="G344" s="1239">
        <v>100000</v>
      </c>
      <c r="H344" s="989">
        <f t="shared" si="5"/>
        <v>411300054</v>
      </c>
      <c r="I344" s="1052" t="s">
        <v>1101</v>
      </c>
      <c r="K344" s="19"/>
    </row>
    <row r="345" spans="1:11" x14ac:dyDescent="0.2">
      <c r="A345" s="1234">
        <v>45802</v>
      </c>
      <c r="B345" s="1000">
        <v>18</v>
      </c>
      <c r="C345" s="1187">
        <v>359</v>
      </c>
      <c r="D345" s="443" t="str">
        <f>_xlfn.XLOOKUP(B345,Códigos!$A$421:$A$483,Códigos!$B$421:$B$483,"Verificar",0)</f>
        <v>Pagos de: -Pasajes y transportes</v>
      </c>
      <c r="E345" s="444" t="str">
        <f>_xlfn.XLOOKUP(C345,Códigos!$A$11:$A$415,Códigos!$B$11:$B$415,"Verificar",0)</f>
        <v>NOMBRE 232</v>
      </c>
      <c r="F345" s="1288" t="s">
        <v>407</v>
      </c>
      <c r="G345" s="1239">
        <v>20000</v>
      </c>
      <c r="H345" s="989">
        <f t="shared" si="5"/>
        <v>411320054</v>
      </c>
      <c r="I345" s="1050" t="s">
        <v>1390</v>
      </c>
      <c r="K345" s="19"/>
    </row>
    <row r="346" spans="1:11" x14ac:dyDescent="0.2">
      <c r="A346" s="1234">
        <v>45804</v>
      </c>
      <c r="B346" s="1000">
        <v>9</v>
      </c>
      <c r="C346" s="1187">
        <v>359</v>
      </c>
      <c r="D346" s="443" t="str">
        <f>_xlfn.XLOOKUP(B346,Códigos!$A$421:$A$483,Códigos!$B$421:$B$483,"Verificar",0)</f>
        <v>Pagos de: -Servicios públicos -OFICINA-</v>
      </c>
      <c r="E346" s="444" t="str">
        <f>_xlfn.XLOOKUP(C346,Códigos!$A$11:$A$415,Códigos!$B$11:$B$415,"Verificar",0)</f>
        <v>NOMBRE 232</v>
      </c>
      <c r="F346" s="1288" t="s">
        <v>407</v>
      </c>
      <c r="G346" s="1239">
        <v>124700</v>
      </c>
      <c r="H346" s="989">
        <f t="shared" si="5"/>
        <v>411444754</v>
      </c>
      <c r="I346" s="1050" t="s">
        <v>1120</v>
      </c>
      <c r="K346" s="19"/>
    </row>
    <row r="347" spans="1:11" x14ac:dyDescent="0.2">
      <c r="A347" s="1234">
        <v>45804</v>
      </c>
      <c r="B347" s="1000">
        <v>9</v>
      </c>
      <c r="C347" s="1187">
        <v>359</v>
      </c>
      <c r="D347" s="443" t="str">
        <f>_xlfn.XLOOKUP(B347,Códigos!$A$421:$A$483,Códigos!$B$421:$B$483,"Verificar",0)</f>
        <v>Pagos de: -Servicios públicos -OFICINA-</v>
      </c>
      <c r="E347" s="444" t="str">
        <f>_xlfn.XLOOKUP(C347,Códigos!$A$11:$A$415,Códigos!$B$11:$B$415,"Verificar",0)</f>
        <v>NOMBRE 232</v>
      </c>
      <c r="F347" s="1288" t="s">
        <v>407</v>
      </c>
      <c r="G347" s="1239">
        <v>53600</v>
      </c>
      <c r="H347" s="989">
        <f t="shared" si="5"/>
        <v>411498354</v>
      </c>
      <c r="I347" s="1050" t="s">
        <v>1121</v>
      </c>
      <c r="K347" s="19"/>
    </row>
    <row r="348" spans="1:11" x14ac:dyDescent="0.2">
      <c r="A348" s="1234">
        <v>45804</v>
      </c>
      <c r="B348" s="1000">
        <v>9</v>
      </c>
      <c r="C348" s="1187">
        <v>359</v>
      </c>
      <c r="D348" s="443" t="str">
        <f>_xlfn.XLOOKUP(B348,Códigos!$A$421:$A$483,Códigos!$B$421:$B$483,"Verificar",0)</f>
        <v>Pagos de: -Servicios públicos -OFICINA-</v>
      </c>
      <c r="E348" s="444" t="str">
        <f>_xlfn.XLOOKUP(C348,Códigos!$A$11:$A$415,Códigos!$B$11:$B$415,"Verificar",0)</f>
        <v>NOMBRE 232</v>
      </c>
      <c r="F348" s="1288" t="s">
        <v>407</v>
      </c>
      <c r="G348" s="1239">
        <v>225600</v>
      </c>
      <c r="H348" s="989">
        <f t="shared" si="5"/>
        <v>411723954</v>
      </c>
      <c r="I348" s="1050" t="s">
        <v>1122</v>
      </c>
      <c r="K348" s="19"/>
    </row>
    <row r="349" spans="1:11" x14ac:dyDescent="0.2">
      <c r="A349" s="1234">
        <v>45804</v>
      </c>
      <c r="B349" s="1241">
        <v>5</v>
      </c>
      <c r="C349" s="1187">
        <v>262</v>
      </c>
      <c r="D349" s="443" t="str">
        <f>_xlfn.XLOOKUP(B349,Códigos!$A$421:$A$483,Códigos!$B$421:$B$483,"Verificar",0)</f>
        <v>Préstamos por Nómina a:</v>
      </c>
      <c r="E349" s="444" t="str">
        <f>_xlfn.XLOOKUP(C349,Códigos!$A$11:$A$415,Códigos!$B$11:$B$415,"Verificar",0)</f>
        <v>NOMBRE 95</v>
      </c>
      <c r="F349" s="1288" t="s">
        <v>1103</v>
      </c>
      <c r="G349" s="1246">
        <v>43500</v>
      </c>
      <c r="H349" s="989">
        <f t="shared" si="5"/>
        <v>411767454</v>
      </c>
      <c r="I349" s="1050" t="s">
        <v>1123</v>
      </c>
      <c r="K349" s="19"/>
    </row>
    <row r="350" spans="1:11" x14ac:dyDescent="0.2">
      <c r="A350" s="1234">
        <v>45804</v>
      </c>
      <c r="B350" s="1241">
        <v>1</v>
      </c>
      <c r="C350" s="1187">
        <v>355</v>
      </c>
      <c r="D350" s="443" t="str">
        <f>_xlfn.XLOOKUP(B350,Códigos!$A$421:$A$483,Códigos!$B$421:$B$483,"Verificar",0)</f>
        <v>Gastos personales</v>
      </c>
      <c r="E350" s="444" t="str">
        <f>_xlfn.XLOOKUP(C350,Códigos!$A$11:$A$415,Códigos!$B$11:$B$415,"Verificar",0)</f>
        <v>NOMBRE 96</v>
      </c>
      <c r="F350" s="1288" t="s">
        <v>1103</v>
      </c>
      <c r="G350" s="1239">
        <v>200000</v>
      </c>
      <c r="H350" s="989">
        <f t="shared" si="5"/>
        <v>411967454</v>
      </c>
      <c r="I350" s="1049" t="s">
        <v>1182</v>
      </c>
      <c r="K350" s="19"/>
    </row>
    <row r="351" spans="1:11" x14ac:dyDescent="0.2">
      <c r="A351" s="1234">
        <v>45805</v>
      </c>
      <c r="B351" s="1000">
        <v>8</v>
      </c>
      <c r="C351" s="1187">
        <v>357</v>
      </c>
      <c r="D351" s="443" t="s">
        <v>463</v>
      </c>
      <c r="E351" s="444" t="s">
        <v>373</v>
      </c>
      <c r="F351" s="1288" t="s">
        <v>1103</v>
      </c>
      <c r="G351" s="1239">
        <v>220000</v>
      </c>
      <c r="H351" s="989">
        <f t="shared" si="5"/>
        <v>412187454</v>
      </c>
      <c r="I351" s="1050" t="s">
        <v>1083</v>
      </c>
      <c r="K351" s="19"/>
    </row>
    <row r="352" spans="1:11" x14ac:dyDescent="0.2">
      <c r="A352" s="1234">
        <v>45805</v>
      </c>
      <c r="B352" s="1000">
        <v>2</v>
      </c>
      <c r="C352" s="1187">
        <v>353</v>
      </c>
      <c r="D352" s="443" t="s">
        <v>458</v>
      </c>
      <c r="E352" s="444" t="s">
        <v>362</v>
      </c>
      <c r="F352" s="1288" t="s">
        <v>407</v>
      </c>
      <c r="G352" s="1239">
        <v>660000</v>
      </c>
      <c r="H352" s="989">
        <f t="shared" si="5"/>
        <v>412847454</v>
      </c>
      <c r="I352" s="997" t="s">
        <v>1399</v>
      </c>
      <c r="K352" s="19"/>
    </row>
    <row r="353" spans="1:11" x14ac:dyDescent="0.2">
      <c r="A353" s="1234">
        <v>45805</v>
      </c>
      <c r="B353" s="1241">
        <v>28</v>
      </c>
      <c r="C353" s="1187">
        <v>123</v>
      </c>
      <c r="D353" s="443" t="str">
        <f>_xlfn.XLOOKUP(B353,Códigos!$A$421:$A$483,Códigos!$B$421:$B$483,"Verificar",0)</f>
        <v>Préstamos a:</v>
      </c>
      <c r="E353" s="444" t="str">
        <f>_xlfn.XLOOKUP(C353,Códigos!$A$11:$A$415,Códigos!$B$11:$B$415,"Verificar",0)</f>
        <v>NOMBRE 194</v>
      </c>
      <c r="F353" s="1288" t="s">
        <v>407</v>
      </c>
      <c r="G353" s="1239">
        <v>91000</v>
      </c>
      <c r="H353" s="989">
        <f t="shared" si="5"/>
        <v>412938454</v>
      </c>
      <c r="I353" s="1050" t="s">
        <v>1394</v>
      </c>
      <c r="K353" s="19"/>
    </row>
    <row r="354" spans="1:11" x14ac:dyDescent="0.2">
      <c r="A354" s="1234">
        <v>45805</v>
      </c>
      <c r="B354" s="1241">
        <v>23</v>
      </c>
      <c r="C354" s="1187">
        <v>359</v>
      </c>
      <c r="D354" s="443" t="str">
        <f>_xlfn.XLOOKUP(B354,Códigos!$A$421:$A$483,Códigos!$B$421:$B$483,"Verificar",0)</f>
        <v>Compra de: -Útiles de aseo</v>
      </c>
      <c r="E354" s="444" t="str">
        <f>_xlfn.XLOOKUP(C354,Códigos!$A$11:$A$415,Códigos!$B$11:$B$415,"Verificar",0)</f>
        <v>NOMBRE 232</v>
      </c>
      <c r="F354" s="1288" t="s">
        <v>407</v>
      </c>
      <c r="G354" s="1239">
        <v>80000</v>
      </c>
      <c r="H354" s="989">
        <f t="shared" si="5"/>
        <v>413018454</v>
      </c>
      <c r="I354" s="1052" t="s">
        <v>1046</v>
      </c>
      <c r="K354" s="19"/>
    </row>
    <row r="355" spans="1:11" x14ac:dyDescent="0.2">
      <c r="A355" s="1234">
        <v>45806</v>
      </c>
      <c r="B355" s="1241">
        <v>5</v>
      </c>
      <c r="C355" s="1187">
        <v>262</v>
      </c>
      <c r="D355" s="443" t="str">
        <f>_xlfn.XLOOKUP(B355,Códigos!$A$421:$A$483,Códigos!$B$421:$B$483,"Verificar",0)</f>
        <v>Préstamos por Nómina a:</v>
      </c>
      <c r="E355" s="444" t="str">
        <f>_xlfn.XLOOKUP(C355,Códigos!$A$11:$A$415,Códigos!$B$11:$B$415,"Verificar",0)</f>
        <v>NOMBRE 95</v>
      </c>
      <c r="F355" s="1288" t="s">
        <v>407</v>
      </c>
      <c r="G355" s="1239">
        <v>36700</v>
      </c>
      <c r="H355" s="989">
        <f t="shared" si="5"/>
        <v>413055154</v>
      </c>
      <c r="I355" s="1049" t="s">
        <v>1395</v>
      </c>
      <c r="K355" s="19"/>
    </row>
    <row r="356" spans="1:11" x14ac:dyDescent="0.2">
      <c r="A356" s="1234">
        <v>45806</v>
      </c>
      <c r="B356" s="1187">
        <v>20</v>
      </c>
      <c r="C356" s="1187">
        <v>359</v>
      </c>
      <c r="D356" s="443" t="str">
        <f>_xlfn.XLOOKUP(B356,Códigos!$A$421:$A$483,Códigos!$B$421:$B$483,"Verificar",0)</f>
        <v>Pagos de: -Demás Gastos oficina</v>
      </c>
      <c r="E356" s="444" t="str">
        <f>_xlfn.XLOOKUP(C356,Códigos!$A$11:$A$415,Códigos!$B$11:$B$415,"Verificar",0)</f>
        <v>NOMBRE 232</v>
      </c>
      <c r="F356" s="1288" t="s">
        <v>407</v>
      </c>
      <c r="G356" s="1239">
        <v>80000</v>
      </c>
      <c r="H356" s="989">
        <f t="shared" si="5"/>
        <v>413135154</v>
      </c>
      <c r="I356" s="1052" t="s">
        <v>1397</v>
      </c>
      <c r="K356" s="19"/>
    </row>
    <row r="357" spans="1:11" x14ac:dyDescent="0.2">
      <c r="A357" s="1234">
        <v>45807</v>
      </c>
      <c r="B357" s="1000">
        <v>8</v>
      </c>
      <c r="C357" s="996">
        <v>356</v>
      </c>
      <c r="D357" s="443" t="str">
        <f>_xlfn.XLOOKUP(B357,Códigos!$A$421:$A$483,Códigos!$B$421:$B$483,"Verificar",0)</f>
        <v>Pagos de: -Cuota para alimentos y Manuntención</v>
      </c>
      <c r="E357" s="444" t="s">
        <v>372</v>
      </c>
      <c r="F357" s="1288" t="s">
        <v>1103</v>
      </c>
      <c r="G357" s="990">
        <v>220000</v>
      </c>
      <c r="H357" s="989">
        <f t="shared" si="5"/>
        <v>413355154</v>
      </c>
      <c r="I357" s="1050" t="s">
        <v>1083</v>
      </c>
      <c r="K357" s="19"/>
    </row>
    <row r="358" spans="1:11" x14ac:dyDescent="0.2">
      <c r="A358" s="1234">
        <v>45807</v>
      </c>
      <c r="B358" s="1000">
        <v>8</v>
      </c>
      <c r="C358" s="996">
        <v>358</v>
      </c>
      <c r="D358" s="443" t="str">
        <f>_xlfn.XLOOKUP(B358,Códigos!$A$421:$A$483,Códigos!$B$421:$B$483,"Verificar",0)</f>
        <v>Pagos de: -Cuota para alimentos y Manuntención</v>
      </c>
      <c r="E358" s="444" t="s">
        <v>374</v>
      </c>
      <c r="F358" s="1288" t="s">
        <v>1103</v>
      </c>
      <c r="G358" s="1280">
        <v>380000</v>
      </c>
      <c r="H358" s="989">
        <f t="shared" si="5"/>
        <v>413735154</v>
      </c>
      <c r="I358" s="997" t="s">
        <v>1398</v>
      </c>
      <c r="K358" s="19"/>
    </row>
    <row r="359" spans="1:11" x14ac:dyDescent="0.2">
      <c r="A359" s="1234">
        <v>45807</v>
      </c>
      <c r="B359" s="1000">
        <v>2</v>
      </c>
      <c r="C359" s="996">
        <v>262</v>
      </c>
      <c r="D359" s="443" t="str">
        <f>_xlfn.XLOOKUP(B359,Códigos!$A$421:$A$483,Códigos!$B$421:$B$483,"Verificar",0)</f>
        <v>Pago de Salarios a:</v>
      </c>
      <c r="E359" s="444" t="s">
        <v>113</v>
      </c>
      <c r="F359" s="1288" t="s">
        <v>407</v>
      </c>
      <c r="G359" s="1239">
        <v>660000</v>
      </c>
      <c r="H359" s="989">
        <f t="shared" si="5"/>
        <v>414395154</v>
      </c>
      <c r="I359" s="997" t="s">
        <v>1399</v>
      </c>
      <c r="K359" s="19"/>
    </row>
    <row r="360" spans="1:11" x14ac:dyDescent="0.2">
      <c r="A360" s="1234">
        <v>45807</v>
      </c>
      <c r="B360" s="1241">
        <v>5</v>
      </c>
      <c r="C360" s="1187">
        <v>262</v>
      </c>
      <c r="D360" s="443" t="str">
        <f>_xlfn.XLOOKUP(B360,Códigos!$A$421:$A$483,Códigos!$B$421:$B$483,"Verificar",0)</f>
        <v>Préstamos por Nómina a:</v>
      </c>
      <c r="E360" s="444" t="str">
        <f>_xlfn.XLOOKUP(C360,Códigos!$A$11:$A$415,Códigos!$B$11:$B$415,"Verificar",0)</f>
        <v>NOMBRE 95</v>
      </c>
      <c r="F360" s="1288" t="s">
        <v>407</v>
      </c>
      <c r="G360" s="1239">
        <v>500000</v>
      </c>
      <c r="H360" s="989">
        <f t="shared" si="5"/>
        <v>414895154</v>
      </c>
      <c r="I360" s="1049" t="s">
        <v>1400</v>
      </c>
      <c r="K360" s="19"/>
    </row>
    <row r="361" spans="1:11" x14ac:dyDescent="0.2">
      <c r="A361" s="1234">
        <v>45807</v>
      </c>
      <c r="B361" s="1241">
        <v>1</v>
      </c>
      <c r="C361" s="1187">
        <v>355</v>
      </c>
      <c r="D361" s="443" t="str">
        <f>_xlfn.XLOOKUP(B361,Códigos!$A$421:$A$483,Códigos!$B$421:$B$483,"Verificar",0)</f>
        <v>Gastos personales</v>
      </c>
      <c r="E361" s="444" t="str">
        <f>_xlfn.XLOOKUP(C361,Códigos!$A$11:$A$415,Códigos!$B$11:$B$415,"Verificar",0)</f>
        <v>NOMBRE 96</v>
      </c>
      <c r="F361" s="1288" t="s">
        <v>407</v>
      </c>
      <c r="G361" s="1239">
        <v>500000</v>
      </c>
      <c r="H361" s="989">
        <f t="shared" si="5"/>
        <v>415395154</v>
      </c>
      <c r="I361" s="1052" t="s">
        <v>1101</v>
      </c>
      <c r="K361" s="19"/>
    </row>
    <row r="362" spans="1:11" x14ac:dyDescent="0.2">
      <c r="A362" s="1234">
        <v>45807</v>
      </c>
      <c r="B362" s="1241">
        <v>12</v>
      </c>
      <c r="C362" s="1187">
        <v>359</v>
      </c>
      <c r="D362" s="443" t="str">
        <f>_xlfn.XLOOKUP(B362,Códigos!$A$421:$A$483,Códigos!$B$421:$B$483,"Verificar",0)</f>
        <v>Pagos de: -Celulares</v>
      </c>
      <c r="E362" s="444" t="str">
        <f>_xlfn.XLOOKUP(C362,Códigos!$A$11:$A$415,Códigos!$B$11:$B$415,"Verificar",0)</f>
        <v>NOMBRE 232</v>
      </c>
      <c r="F362" s="1288" t="s">
        <v>407</v>
      </c>
      <c r="G362" s="1239">
        <v>54000</v>
      </c>
      <c r="H362" s="989">
        <f t="shared" si="5"/>
        <v>415449154</v>
      </c>
      <c r="I362" s="1049" t="s">
        <v>1211</v>
      </c>
      <c r="K362" s="19"/>
    </row>
    <row r="363" spans="1:11" x14ac:dyDescent="0.2">
      <c r="A363" s="1234">
        <v>45811</v>
      </c>
      <c r="B363" s="1241">
        <v>5</v>
      </c>
      <c r="C363" s="1187">
        <v>262</v>
      </c>
      <c r="D363" s="443" t="str">
        <f>_xlfn.XLOOKUP(B363,Códigos!$A$421:$A$483,Códigos!$B$421:$B$483,"Verificar",0)</f>
        <v>Préstamos por Nómina a:</v>
      </c>
      <c r="E363" s="444" t="str">
        <f>_xlfn.XLOOKUP(C363,Códigos!$A$11:$A$415,Códigos!$B$11:$B$415,"Verificar",0)</f>
        <v>NOMBRE 95</v>
      </c>
      <c r="F363" s="1288" t="s">
        <v>407</v>
      </c>
      <c r="G363" s="1239">
        <v>200000</v>
      </c>
      <c r="H363" s="989">
        <f t="shared" si="5"/>
        <v>415649154</v>
      </c>
      <c r="I363" s="1049" t="s">
        <v>1114</v>
      </c>
      <c r="K363" s="19"/>
    </row>
    <row r="364" spans="1:11" x14ac:dyDescent="0.2">
      <c r="A364" s="1234">
        <v>45811</v>
      </c>
      <c r="B364" s="1241">
        <v>5</v>
      </c>
      <c r="C364" s="1187">
        <v>262</v>
      </c>
      <c r="D364" s="443" t="str">
        <f>_xlfn.XLOOKUP(B364,Códigos!$A$421:$A$483,Códigos!$B$421:$B$483,"Verificar",0)</f>
        <v>Préstamos por Nómina a:</v>
      </c>
      <c r="E364" s="444" t="str">
        <f>_xlfn.XLOOKUP(C364,Códigos!$A$11:$A$415,Códigos!$B$11:$B$415,"Verificar",0)</f>
        <v>NOMBRE 95</v>
      </c>
      <c r="F364" s="1288" t="s">
        <v>407</v>
      </c>
      <c r="G364" s="1239">
        <v>100000</v>
      </c>
      <c r="H364" s="989">
        <f t="shared" si="5"/>
        <v>415749154</v>
      </c>
      <c r="I364" s="1049" t="s">
        <v>1148</v>
      </c>
      <c r="K364" s="19"/>
    </row>
    <row r="365" spans="1:11" x14ac:dyDescent="0.2">
      <c r="A365" s="1234">
        <v>45813</v>
      </c>
      <c r="B365" s="1000">
        <v>8</v>
      </c>
      <c r="C365" s="1187">
        <v>357</v>
      </c>
      <c r="D365" s="443" t="str">
        <f>_xlfn.XLOOKUP(B365,Códigos!$A$421:$A$483,Códigos!$B$421:$B$483,"Verificar",0)</f>
        <v>Pagos de: -Cuota para alimentos y Manuntención</v>
      </c>
      <c r="E365" s="444" t="str">
        <f>_xlfn.XLOOKUP(C365,Códigos!$A$11:$A$415,Códigos!$B$11:$B$415,"Verificar",0)</f>
        <v>NOMBRE 107</v>
      </c>
      <c r="F365" s="1288" t="s">
        <v>1103</v>
      </c>
      <c r="G365" s="1239">
        <v>220000</v>
      </c>
      <c r="H365" s="989">
        <f t="shared" si="5"/>
        <v>415969154</v>
      </c>
      <c r="I365" s="1050" t="s">
        <v>1083</v>
      </c>
      <c r="K365" s="19"/>
    </row>
    <row r="366" spans="1:11" x14ac:dyDescent="0.2">
      <c r="A366" s="1234">
        <v>45813</v>
      </c>
      <c r="B366" s="1000">
        <v>2</v>
      </c>
      <c r="C366" s="1187">
        <v>353</v>
      </c>
      <c r="D366" s="443" t="str">
        <f>_xlfn.XLOOKUP(B366,Códigos!$A$421:$A$483,Códigos!$B$421:$B$483,"Verificar",0)</f>
        <v>Pago de Salarios a:</v>
      </c>
      <c r="E366" s="444" t="str">
        <f>_xlfn.XLOOKUP(C366,Códigos!$A$11:$A$415,Códigos!$B$11:$B$415,"Verificar",0)</f>
        <v>NOMBRE 31</v>
      </c>
      <c r="F366" s="1288" t="s">
        <v>407</v>
      </c>
      <c r="G366" s="1239">
        <v>2175000</v>
      </c>
      <c r="H366" s="989">
        <f t="shared" si="5"/>
        <v>418144154</v>
      </c>
      <c r="I366" s="997" t="s">
        <v>1406</v>
      </c>
      <c r="K366" s="19"/>
    </row>
    <row r="367" spans="1:11" x14ac:dyDescent="0.2">
      <c r="A367" s="1234">
        <v>45813</v>
      </c>
      <c r="B367" s="1000">
        <v>8</v>
      </c>
      <c r="C367" s="996">
        <v>356</v>
      </c>
      <c r="D367" s="443" t="str">
        <f>_xlfn.XLOOKUP(B367,Códigos!$A$421:$A$483,Códigos!$B$421:$B$483,"Verificar",0)</f>
        <v>Pagos de: -Cuota para alimentos y Manuntención</v>
      </c>
      <c r="E367" s="444" t="str">
        <f>_xlfn.XLOOKUP(C367,Códigos!$A$11:$A$415,Códigos!$B$11:$B$415,"Verificar",0)</f>
        <v>NOMBRE 108</v>
      </c>
      <c r="F367" s="1288" t="s">
        <v>1103</v>
      </c>
      <c r="G367" s="990">
        <v>220000</v>
      </c>
      <c r="H367" s="989">
        <f t="shared" si="5"/>
        <v>418364154</v>
      </c>
      <c r="I367" s="1050" t="s">
        <v>1083</v>
      </c>
      <c r="K367" s="19"/>
    </row>
    <row r="368" spans="1:11" x14ac:dyDescent="0.2">
      <c r="A368" s="1234">
        <v>45813</v>
      </c>
      <c r="B368" s="1000">
        <v>8</v>
      </c>
      <c r="C368" s="996">
        <v>358</v>
      </c>
      <c r="D368" s="443" t="str">
        <f>_xlfn.XLOOKUP(B368,Códigos!$A$421:$A$483,Códigos!$B$421:$B$483,"Verificar",0)</f>
        <v>Pagos de: -Cuota para alimentos y Manuntención</v>
      </c>
      <c r="E368" s="444" t="str">
        <f>_xlfn.XLOOKUP(C368,Códigos!$A$11:$A$415,Códigos!$B$11:$B$415,"Verificar",0)</f>
        <v>NOMBRE 338</v>
      </c>
      <c r="F368" s="1288" t="s">
        <v>1103</v>
      </c>
      <c r="G368" s="1280">
        <v>380000</v>
      </c>
      <c r="H368" s="989">
        <f t="shared" si="5"/>
        <v>418744154</v>
      </c>
      <c r="I368" s="997" t="s">
        <v>1405</v>
      </c>
      <c r="K368" s="19"/>
    </row>
    <row r="369" spans="1:11" x14ac:dyDescent="0.2">
      <c r="A369" s="1234">
        <v>45813</v>
      </c>
      <c r="B369" s="1000">
        <v>2</v>
      </c>
      <c r="C369" s="996">
        <v>262</v>
      </c>
      <c r="D369" s="443" t="str">
        <f>_xlfn.XLOOKUP(B369,Códigos!$A$421:$A$483,Códigos!$B$421:$B$483,"Verificar",0)</f>
        <v>Pago de Salarios a:</v>
      </c>
      <c r="E369" s="444" t="str">
        <f>_xlfn.XLOOKUP(C369,Códigos!$A$11:$A$415,Códigos!$B$11:$B$415,"Verificar",0)</f>
        <v>NOMBRE 95</v>
      </c>
      <c r="F369" s="1288" t="s">
        <v>407</v>
      </c>
      <c r="G369" s="1239">
        <v>2175000</v>
      </c>
      <c r="H369" s="989">
        <f t="shared" si="5"/>
        <v>420919154</v>
      </c>
      <c r="I369" s="997" t="s">
        <v>1406</v>
      </c>
      <c r="K369" s="19"/>
    </row>
    <row r="370" spans="1:11" x14ac:dyDescent="0.2">
      <c r="A370" s="1234">
        <v>45813</v>
      </c>
      <c r="B370" s="1241">
        <v>27</v>
      </c>
      <c r="C370" s="1187">
        <v>359</v>
      </c>
      <c r="D370" s="443" t="str">
        <f>_xlfn.XLOOKUP(B370,Códigos!$A$421:$A$483,Códigos!$B$421:$B$483,"Verificar",0)</f>
        <v>Compra de: -Restaurante y cafetería</v>
      </c>
      <c r="E370" s="444" t="str">
        <f>_xlfn.XLOOKUP(C370,Códigos!$A$11:$A$415,Códigos!$B$11:$B$415,"Verificar",0)</f>
        <v>NOMBRE 232</v>
      </c>
      <c r="F370" s="1288" t="s">
        <v>407</v>
      </c>
      <c r="G370" s="1239">
        <v>400000</v>
      </c>
      <c r="H370" s="989">
        <f t="shared" si="5"/>
        <v>421319154</v>
      </c>
      <c r="I370" s="1292" t="s">
        <v>1155</v>
      </c>
      <c r="K370" s="19"/>
    </row>
    <row r="371" spans="1:11" x14ac:dyDescent="0.2">
      <c r="A371" s="1234">
        <v>45813</v>
      </c>
      <c r="B371" s="1277">
        <v>7</v>
      </c>
      <c r="C371" s="1278">
        <v>359</v>
      </c>
      <c r="D371" s="443" t="str">
        <f>_xlfn.XLOOKUP(B371,Códigos!$A$421:$A$483,Códigos!$B$421:$B$483,"Verificar",0)</f>
        <v>Pagos de: -Seguridad Social</v>
      </c>
      <c r="E371" s="444" t="str">
        <f>_xlfn.XLOOKUP(C371,Códigos!$A$11:$A$415,Códigos!$B$11:$B$415,"Verificar",0)</f>
        <v>NOMBRE 232</v>
      </c>
      <c r="F371" s="1288" t="s">
        <v>407</v>
      </c>
      <c r="G371" s="1239">
        <v>1392400</v>
      </c>
      <c r="H371" s="989">
        <f t="shared" si="5"/>
        <v>422711554</v>
      </c>
      <c r="I371" s="1052" t="s">
        <v>1407</v>
      </c>
      <c r="K371" s="19"/>
    </row>
    <row r="372" spans="1:11" x14ac:dyDescent="0.2">
      <c r="A372" s="1234">
        <v>45813</v>
      </c>
      <c r="B372" s="1277">
        <v>7</v>
      </c>
      <c r="C372" s="1278">
        <v>359</v>
      </c>
      <c r="D372" s="443" t="str">
        <f>_xlfn.XLOOKUP(B372,Códigos!$A$421:$A$483,Códigos!$B$421:$B$483,"Verificar",0)</f>
        <v>Pagos de: -Seguridad Social</v>
      </c>
      <c r="E372" s="444" t="str">
        <f>_xlfn.XLOOKUP(C372,Códigos!$A$11:$A$415,Códigos!$B$11:$B$415,"Verificar",0)</f>
        <v>NOMBRE 232</v>
      </c>
      <c r="F372" s="1288" t="s">
        <v>407</v>
      </c>
      <c r="G372" s="1239">
        <v>940500</v>
      </c>
      <c r="H372" s="989">
        <f t="shared" si="5"/>
        <v>423652054</v>
      </c>
      <c r="I372" s="1052" t="s">
        <v>1408</v>
      </c>
      <c r="K372" s="19"/>
    </row>
    <row r="373" spans="1:11" x14ac:dyDescent="0.2">
      <c r="A373" s="1234">
        <v>45813</v>
      </c>
      <c r="B373" s="1241">
        <v>27</v>
      </c>
      <c r="C373" s="1187">
        <v>359</v>
      </c>
      <c r="D373" s="443" t="str">
        <f>_xlfn.XLOOKUP(B373,Códigos!$A$421:$A$483,Códigos!$B$421:$B$483,"Verificar",0)</f>
        <v>Compra de: -Restaurante y cafetería</v>
      </c>
      <c r="E373" s="444" t="str">
        <f>_xlfn.XLOOKUP(C373,Códigos!$A$11:$A$415,Códigos!$B$11:$B$415,"Verificar",0)</f>
        <v>NOMBRE 232</v>
      </c>
      <c r="F373" s="1288" t="s">
        <v>407</v>
      </c>
      <c r="G373" s="1239">
        <v>38000</v>
      </c>
      <c r="H373" s="989">
        <f t="shared" si="5"/>
        <v>423690054</v>
      </c>
      <c r="I373" s="1052" t="s">
        <v>1078</v>
      </c>
      <c r="K373" s="19"/>
    </row>
    <row r="374" spans="1:11" x14ac:dyDescent="0.2">
      <c r="A374" s="1234">
        <v>45813</v>
      </c>
      <c r="B374" s="1241">
        <v>1</v>
      </c>
      <c r="C374" s="1187">
        <v>355</v>
      </c>
      <c r="D374" s="443" t="str">
        <f>_xlfn.XLOOKUP(B374,Códigos!$A$421:$A$483,Códigos!$B$421:$B$483,"Verificar",0)</f>
        <v>Gastos personales</v>
      </c>
      <c r="E374" s="444" t="str">
        <f>_xlfn.XLOOKUP(C374,Códigos!$A$11:$A$415,Códigos!$B$11:$B$415,"Verificar",0)</f>
        <v>NOMBRE 96</v>
      </c>
      <c r="F374" s="1288"/>
      <c r="G374" s="1239">
        <v>600000</v>
      </c>
      <c r="H374" s="989">
        <f t="shared" si="5"/>
        <v>424290054</v>
      </c>
      <c r="I374" s="1052" t="s">
        <v>1409</v>
      </c>
      <c r="K374" s="19"/>
    </row>
    <row r="375" spans="1:11" x14ac:dyDescent="0.2">
      <c r="A375" s="1234">
        <v>45813</v>
      </c>
      <c r="B375" s="1241">
        <v>9</v>
      </c>
      <c r="C375" s="1187">
        <v>359</v>
      </c>
      <c r="D375" s="443" t="str">
        <f>_xlfn.XLOOKUP(B375,Códigos!$A$421:$A$483,Códigos!$B$421:$B$483,"Verificar",0)</f>
        <v>Pagos de: -Servicios públicos -OFICINA-</v>
      </c>
      <c r="E375" s="444" t="str">
        <f>_xlfn.XLOOKUP(C375,Códigos!$A$11:$A$415,Códigos!$B$11:$B$415,"Verificar",0)</f>
        <v>NOMBRE 232</v>
      </c>
      <c r="F375" s="1288" t="s">
        <v>407</v>
      </c>
      <c r="G375" s="1239">
        <v>139900</v>
      </c>
      <c r="H375" s="989">
        <f t="shared" si="5"/>
        <v>424429954</v>
      </c>
      <c r="I375" s="1052" t="s">
        <v>1220</v>
      </c>
      <c r="K375" s="19"/>
    </row>
    <row r="376" spans="1:11" x14ac:dyDescent="0.2">
      <c r="A376" s="1234">
        <v>45814</v>
      </c>
      <c r="B376" s="1187">
        <v>33</v>
      </c>
      <c r="C376" s="1187">
        <v>5</v>
      </c>
      <c r="D376" s="443" t="str">
        <f>_xlfn.XLOOKUP(B376,Códigos!$A$421:$A$483,Códigos!$B$421:$B$483,"Verificar",0)</f>
        <v>AJUSTE POR -Consignación - Traslado a Bancos</v>
      </c>
      <c r="E376" s="444" t="str">
        <f>_xlfn.XLOOKUP(C376,Códigos!$A$11:$A$415,Códigos!$B$11:$B$415,"Verificar",0)</f>
        <v>NOMBRE 25</v>
      </c>
      <c r="F376" s="1289"/>
      <c r="G376" s="1239">
        <v>4493600</v>
      </c>
      <c r="H376" s="989">
        <f t="shared" si="5"/>
        <v>428923554</v>
      </c>
      <c r="I376" s="1052" t="s">
        <v>1135</v>
      </c>
      <c r="K376" s="19"/>
    </row>
    <row r="377" spans="1:11" x14ac:dyDescent="0.2">
      <c r="A377" s="1234">
        <v>45814</v>
      </c>
      <c r="B377" s="1241">
        <v>1</v>
      </c>
      <c r="C377" s="1187">
        <v>355</v>
      </c>
      <c r="D377" s="443" t="str">
        <f>_xlfn.XLOOKUP(B377,Códigos!$A$421:$A$483,Códigos!$B$421:$B$483,"Verificar",0)</f>
        <v>Gastos personales</v>
      </c>
      <c r="E377" s="444" t="str">
        <f>_xlfn.XLOOKUP(C377,Códigos!$A$11:$A$415,Códigos!$B$11:$B$415,"Verificar",0)</f>
        <v>NOMBRE 96</v>
      </c>
      <c r="F377" s="1288" t="s">
        <v>1103</v>
      </c>
      <c r="G377" s="1239">
        <v>200000</v>
      </c>
      <c r="H377" s="989">
        <f t="shared" si="5"/>
        <v>429123554</v>
      </c>
      <c r="I377" s="1049" t="s">
        <v>1182</v>
      </c>
      <c r="K377" s="19"/>
    </row>
    <row r="378" spans="1:11" x14ac:dyDescent="0.2">
      <c r="A378" s="1234">
        <v>45817</v>
      </c>
      <c r="B378" s="1187">
        <v>6</v>
      </c>
      <c r="C378" s="1187">
        <v>353</v>
      </c>
      <c r="D378" s="443" t="str">
        <f>_xlfn.XLOOKUP(B378,Códigos!$A$421:$A$483,Códigos!$B$421:$B$483,"Verificar",0)</f>
        <v>Préstamos por Nómina a:</v>
      </c>
      <c r="E378" s="444" t="str">
        <f>_xlfn.XLOOKUP(C378,Códigos!$A$11:$A$415,Códigos!$B$11:$B$415,"Verificar",0)</f>
        <v>NOMBRE 31</v>
      </c>
      <c r="F378" s="1289"/>
      <c r="G378" s="1239">
        <v>65000000</v>
      </c>
      <c r="H378" s="989">
        <f t="shared" si="5"/>
        <v>494123554</v>
      </c>
      <c r="I378" s="1239" t="s">
        <v>1413</v>
      </c>
      <c r="K378" s="19"/>
    </row>
    <row r="379" spans="1:11" x14ac:dyDescent="0.2">
      <c r="A379" s="1234">
        <v>45819</v>
      </c>
      <c r="B379" s="1241">
        <v>28</v>
      </c>
      <c r="C379" s="1187">
        <v>252</v>
      </c>
      <c r="D379" s="443" t="str">
        <f>_xlfn.XLOOKUP(B379,Códigos!$A$421:$A$483,Códigos!$B$421:$B$483,"Verificar",0)</f>
        <v>Préstamos a:</v>
      </c>
      <c r="E379" s="444" t="str">
        <f>_xlfn.XLOOKUP(C379,Códigos!$A$11:$A$415,Códigos!$B$11:$B$415,"Verificar",0)</f>
        <v>NOMBRE 219</v>
      </c>
      <c r="F379" s="1288" t="s">
        <v>407</v>
      </c>
      <c r="G379" s="1239">
        <v>3000000</v>
      </c>
      <c r="H379" s="989">
        <f t="shared" si="5"/>
        <v>497123554</v>
      </c>
      <c r="I379" s="1050" t="s">
        <v>1417</v>
      </c>
      <c r="K379" s="19"/>
    </row>
    <row r="380" spans="1:11" x14ac:dyDescent="0.2">
      <c r="A380" s="1234">
        <v>45819</v>
      </c>
      <c r="B380" s="1241">
        <v>23</v>
      </c>
      <c r="C380" s="1187">
        <v>359</v>
      </c>
      <c r="D380" s="443" t="str">
        <f>_xlfn.XLOOKUP(B380,Códigos!$A$421:$A$483,Códigos!$B$421:$B$483,"Verificar",0)</f>
        <v>Compra de: -Útiles de aseo</v>
      </c>
      <c r="E380" s="444" t="str">
        <f>_xlfn.XLOOKUP(C380,Códigos!$A$11:$A$415,Códigos!$B$11:$B$415,"Verificar",0)</f>
        <v>NOMBRE 232</v>
      </c>
      <c r="F380" s="1288" t="s">
        <v>407</v>
      </c>
      <c r="G380" s="1239">
        <v>46000</v>
      </c>
      <c r="H380" s="989">
        <f t="shared" si="5"/>
        <v>497169554</v>
      </c>
      <c r="I380" s="1049" t="s">
        <v>1418</v>
      </c>
      <c r="K380" s="19"/>
    </row>
    <row r="381" spans="1:11" x14ac:dyDescent="0.2">
      <c r="A381" s="1234">
        <v>45819</v>
      </c>
      <c r="B381" s="1241">
        <v>27</v>
      </c>
      <c r="C381" s="1187">
        <v>359</v>
      </c>
      <c r="D381" s="443" t="str">
        <f>_xlfn.XLOOKUP(B381,Códigos!$A$421:$A$483,Códigos!$B$421:$B$483,"Verificar",0)</f>
        <v>Compra de: -Restaurante y cafetería</v>
      </c>
      <c r="E381" s="444" t="str">
        <f>_xlfn.XLOOKUP(C381,Códigos!$A$11:$A$415,Códigos!$B$11:$B$415,"Verificar",0)</f>
        <v>NOMBRE 232</v>
      </c>
      <c r="F381" s="1288" t="s">
        <v>407</v>
      </c>
      <c r="G381" s="1239">
        <v>20000</v>
      </c>
      <c r="H381" s="989">
        <f t="shared" si="5"/>
        <v>497189554</v>
      </c>
      <c r="I381" s="1052" t="s">
        <v>1419</v>
      </c>
      <c r="K381" s="19"/>
    </row>
    <row r="382" spans="1:11" x14ac:dyDescent="0.2">
      <c r="A382" s="1234">
        <v>45820</v>
      </c>
      <c r="B382" s="1275">
        <v>39</v>
      </c>
      <c r="C382" s="1276">
        <v>362</v>
      </c>
      <c r="D382" s="443" t="str">
        <f>_xlfn.XLOOKUP(B382,Códigos!$A$421:$A$483,Códigos!$B$421:$B$483,"Verificar",0)</f>
        <v>Pago intereses préstamo Juliana</v>
      </c>
      <c r="E382" s="444" t="str">
        <f>_xlfn.XLOOKUP(C382,Códigos!$A$11:$A$415,Códigos!$B$11:$B$415,"Verificar",0)</f>
        <v>NOMBRE 97</v>
      </c>
      <c r="F382" s="1288" t="s">
        <v>407</v>
      </c>
      <c r="G382" s="1239">
        <v>350000</v>
      </c>
      <c r="H382" s="989">
        <f t="shared" si="5"/>
        <v>497539554</v>
      </c>
      <c r="I382" s="1274" t="s">
        <v>1422</v>
      </c>
      <c r="K382" s="19"/>
    </row>
    <row r="383" spans="1:11" x14ac:dyDescent="0.2">
      <c r="A383" s="1234">
        <v>45820</v>
      </c>
      <c r="B383" s="1275">
        <v>21</v>
      </c>
      <c r="C383" s="1276">
        <v>362</v>
      </c>
      <c r="D383" s="443" t="str">
        <f>_xlfn.XLOOKUP(B383,Códigos!$A$421:$A$483,Códigos!$B$421:$B$483,"Verificar",0)</f>
        <v>Pagos de: -Cuentas por Pagar a:</v>
      </c>
      <c r="E383" s="444" t="str">
        <f>_xlfn.XLOOKUP(C383,Códigos!$A$11:$A$415,Códigos!$B$11:$B$415,"Verificar",0)</f>
        <v>NOMBRE 97</v>
      </c>
      <c r="F383" s="1288" t="s">
        <v>407</v>
      </c>
      <c r="G383" s="1239">
        <v>200000</v>
      </c>
      <c r="H383" s="989">
        <f t="shared" si="5"/>
        <v>497739554</v>
      </c>
      <c r="I383" s="1274" t="s">
        <v>1350</v>
      </c>
      <c r="K383" s="19"/>
    </row>
    <row r="384" spans="1:11" x14ac:dyDescent="0.2">
      <c r="A384" s="1234">
        <v>45820</v>
      </c>
      <c r="B384" s="1000">
        <v>8</v>
      </c>
      <c r="C384" s="1187">
        <v>357</v>
      </c>
      <c r="D384" s="443" t="str">
        <f>_xlfn.XLOOKUP(B384,Códigos!$A$421:$A$483,Códigos!$B$421:$B$483,"Verificar",0)</f>
        <v>Pagos de: -Cuota para alimentos y Manuntención</v>
      </c>
      <c r="E384" s="444" t="str">
        <f>_xlfn.XLOOKUP(C384,Códigos!$A$11:$A$415,Códigos!$B$11:$B$415,"Verificar",0)</f>
        <v>NOMBRE 107</v>
      </c>
      <c r="F384" s="1288" t="s">
        <v>1103</v>
      </c>
      <c r="G384" s="1239">
        <v>220000</v>
      </c>
      <c r="H384" s="989">
        <f t="shared" si="5"/>
        <v>497959554</v>
      </c>
      <c r="I384" s="1050" t="s">
        <v>1083</v>
      </c>
      <c r="K384" s="19"/>
    </row>
    <row r="385" spans="1:11" x14ac:dyDescent="0.2">
      <c r="A385" s="1234">
        <v>45820</v>
      </c>
      <c r="B385" s="1000">
        <v>2</v>
      </c>
      <c r="C385" s="1187">
        <v>353</v>
      </c>
      <c r="D385" s="443" t="str">
        <f>_xlfn.XLOOKUP(B385,Códigos!$A$421:$A$483,Códigos!$B$421:$B$483,"Verificar",0)</f>
        <v>Pago de Salarios a:</v>
      </c>
      <c r="E385" s="444" t="str">
        <f>_xlfn.XLOOKUP(C385,Códigos!$A$11:$A$415,Códigos!$B$11:$B$415,"Verificar",0)</f>
        <v>NOMBRE 31</v>
      </c>
      <c r="F385" s="1288" t="s">
        <v>407</v>
      </c>
      <c r="G385" s="1239">
        <v>660000</v>
      </c>
      <c r="H385" s="989">
        <f t="shared" si="5"/>
        <v>498619554</v>
      </c>
      <c r="I385" s="997" t="s">
        <v>1423</v>
      </c>
      <c r="K385" s="19"/>
    </row>
    <row r="386" spans="1:11" x14ac:dyDescent="0.2">
      <c r="A386" s="1234">
        <v>45820</v>
      </c>
      <c r="B386" s="1241">
        <v>1</v>
      </c>
      <c r="C386" s="1187">
        <v>355</v>
      </c>
      <c r="D386" s="443" t="str">
        <f>_xlfn.XLOOKUP(B386,Códigos!$A$421:$A$483,Códigos!$B$421:$B$483,"Verificar",0)</f>
        <v>Gastos personales</v>
      </c>
      <c r="E386" s="444" t="str">
        <f>_xlfn.XLOOKUP(C386,Códigos!$A$11:$A$415,Códigos!$B$11:$B$415,"Verificar",0)</f>
        <v>NOMBRE 96</v>
      </c>
      <c r="F386" s="1288" t="s">
        <v>1103</v>
      </c>
      <c r="G386" s="1239">
        <v>200000</v>
      </c>
      <c r="H386" s="989">
        <f t="shared" si="5"/>
        <v>498819554</v>
      </c>
      <c r="I386" s="1049" t="s">
        <v>1182</v>
      </c>
      <c r="K386" s="19"/>
    </row>
    <row r="387" spans="1:11" x14ac:dyDescent="0.2">
      <c r="A387" s="1234">
        <v>45821</v>
      </c>
      <c r="B387" s="1000">
        <v>8</v>
      </c>
      <c r="C387" s="996">
        <v>356</v>
      </c>
      <c r="D387" s="443" t="str">
        <f>_xlfn.XLOOKUP(B387,Códigos!$A$421:$A$483,Códigos!$B$421:$B$483,"Verificar",0)</f>
        <v>Pagos de: -Cuota para alimentos y Manuntención</v>
      </c>
      <c r="E387" s="444" t="str">
        <f>_xlfn.XLOOKUP(C387,Códigos!$A$11:$A$415,Códigos!$B$11:$B$415,"Verificar",0)</f>
        <v>NOMBRE 108</v>
      </c>
      <c r="F387" s="1288" t="s">
        <v>1103</v>
      </c>
      <c r="G387" s="990">
        <v>220000</v>
      </c>
      <c r="H387" s="989">
        <f t="shared" si="5"/>
        <v>499039554</v>
      </c>
      <c r="I387" s="1050" t="s">
        <v>1083</v>
      </c>
      <c r="K387" s="19"/>
    </row>
    <row r="388" spans="1:11" x14ac:dyDescent="0.2">
      <c r="A388" s="1234">
        <v>45821</v>
      </c>
      <c r="B388" s="1000">
        <v>8</v>
      </c>
      <c r="C388" s="996">
        <v>358</v>
      </c>
      <c r="D388" s="443" t="str">
        <f>_xlfn.XLOOKUP(B388,Códigos!$A$421:$A$483,Códigos!$B$421:$B$483,"Verificar",0)</f>
        <v>Pagos de: -Cuota para alimentos y Manuntención</v>
      </c>
      <c r="E388" s="444" t="str">
        <f>_xlfn.XLOOKUP(C388,Códigos!$A$11:$A$415,Códigos!$B$11:$B$415,"Verificar",0)</f>
        <v>NOMBRE 338</v>
      </c>
      <c r="F388" s="1288" t="s">
        <v>1103</v>
      </c>
      <c r="G388" s="1280">
        <v>380000</v>
      </c>
      <c r="H388" s="989">
        <f t="shared" si="5"/>
        <v>499419554</v>
      </c>
      <c r="I388" s="997" t="s">
        <v>1424</v>
      </c>
      <c r="K388" s="19"/>
    </row>
    <row r="389" spans="1:11" x14ac:dyDescent="0.2">
      <c r="A389" s="1234">
        <v>45821</v>
      </c>
      <c r="B389" s="1000">
        <v>2</v>
      </c>
      <c r="C389" s="996">
        <v>262</v>
      </c>
      <c r="D389" s="443" t="str">
        <f>_xlfn.XLOOKUP(B389,Códigos!$A$421:$A$483,Códigos!$B$421:$B$483,"Verificar",0)</f>
        <v>Pago de Salarios a:</v>
      </c>
      <c r="E389" s="444" t="str">
        <f>_xlfn.XLOOKUP(C389,Códigos!$A$11:$A$415,Códigos!$B$11:$B$415,"Verificar",0)</f>
        <v>NOMBRE 95</v>
      </c>
      <c r="F389" s="1288" t="s">
        <v>407</v>
      </c>
      <c r="G389" s="1239">
        <v>660000</v>
      </c>
      <c r="H389" s="989">
        <f t="shared" si="5"/>
        <v>500079554</v>
      </c>
      <c r="I389" s="997" t="s">
        <v>1423</v>
      </c>
      <c r="K389" s="19"/>
    </row>
    <row r="390" spans="1:11" x14ac:dyDescent="0.2">
      <c r="A390" s="1234">
        <v>45821</v>
      </c>
      <c r="B390" s="1000">
        <v>10</v>
      </c>
      <c r="C390" s="996">
        <v>359</v>
      </c>
      <c r="D390" s="443" t="s">
        <v>483</v>
      </c>
      <c r="E390" s="444" t="s">
        <v>375</v>
      </c>
      <c r="F390" s="1288" t="s">
        <v>1103</v>
      </c>
      <c r="G390" s="1239">
        <v>156400</v>
      </c>
      <c r="H390" s="989">
        <f t="shared" si="5"/>
        <v>500235954</v>
      </c>
      <c r="I390" s="1049" t="s">
        <v>1425</v>
      </c>
      <c r="K390" s="19"/>
    </row>
    <row r="391" spans="1:11" x14ac:dyDescent="0.2">
      <c r="A391" s="1234">
        <v>45821</v>
      </c>
      <c r="B391" s="1000">
        <v>8</v>
      </c>
      <c r="C391" s="1187">
        <v>357</v>
      </c>
      <c r="D391" s="443" t="str">
        <f>_xlfn.XLOOKUP(B391,Códigos!$A$421:$A$483,Códigos!$B$421:$B$483,"Verificar",0)</f>
        <v>Pagos de: -Cuota para alimentos y Manuntención</v>
      </c>
      <c r="E391" s="444" t="str">
        <f>_xlfn.XLOOKUP(C391,Códigos!$A$11:$A$415,Códigos!$B$11:$B$415,"Verificar",0)</f>
        <v>NOMBRE 107</v>
      </c>
      <c r="F391" s="1289"/>
      <c r="G391" s="1239">
        <v>200000</v>
      </c>
      <c r="H391" s="989">
        <f t="shared" si="5"/>
        <v>500435954</v>
      </c>
      <c r="I391" s="1049" t="s">
        <v>1426</v>
      </c>
      <c r="K391" s="19"/>
    </row>
    <row r="392" spans="1:11" x14ac:dyDescent="0.2">
      <c r="A392" s="1234">
        <v>45821</v>
      </c>
      <c r="B392" s="1241">
        <v>1</v>
      </c>
      <c r="C392" s="1187">
        <v>355</v>
      </c>
      <c r="D392" s="443" t="str">
        <f>_xlfn.XLOOKUP(B392,Códigos!$A$421:$A$483,Códigos!$B$421:$B$483,"Verificar",0)</f>
        <v>Gastos personales</v>
      </c>
      <c r="E392" s="444" t="str">
        <f>_xlfn.XLOOKUP(C392,Códigos!$A$11:$A$415,Códigos!$B$11:$B$415,"Verificar",0)</f>
        <v>NOMBRE 96</v>
      </c>
      <c r="F392" s="1288"/>
      <c r="G392" s="1239">
        <v>500000</v>
      </c>
      <c r="H392" s="989">
        <f t="shared" si="5"/>
        <v>500935954</v>
      </c>
      <c r="I392" s="1052" t="s">
        <v>1101</v>
      </c>
      <c r="K392" s="19"/>
    </row>
    <row r="393" spans="1:11" x14ac:dyDescent="0.2">
      <c r="A393" s="1234">
        <v>45824</v>
      </c>
      <c r="B393" s="1000">
        <v>43</v>
      </c>
      <c r="C393" s="996">
        <v>359</v>
      </c>
      <c r="D393" s="443" t="str">
        <f>_xlfn.XLOOKUP(B393,Códigos!$A$421:$A$483,Códigos!$B$421:$B$483,"Verificar",0)</f>
        <v>Pago Hipotecario BANCOLOMBIA</v>
      </c>
      <c r="E393" s="444" t="str">
        <f>_xlfn.XLOOKUP(C393,Códigos!$A$11:$A$415,Códigos!$B$11:$B$415,"Verificar",0)</f>
        <v>NOMBRE 232</v>
      </c>
      <c r="F393" s="1288" t="s">
        <v>407</v>
      </c>
      <c r="G393" s="1239">
        <v>1026800</v>
      </c>
      <c r="H393" s="989">
        <f t="shared" si="5"/>
        <v>501962754</v>
      </c>
      <c r="I393" s="997" t="s">
        <v>1113</v>
      </c>
      <c r="K393" s="19"/>
    </row>
    <row r="394" spans="1:11" x14ac:dyDescent="0.2">
      <c r="A394" s="1234">
        <v>45824</v>
      </c>
      <c r="B394" s="1000">
        <v>9</v>
      </c>
      <c r="C394" s="1187">
        <v>359</v>
      </c>
      <c r="D394" s="443" t="str">
        <f>_xlfn.XLOOKUP(B394,Códigos!$A$421:$A$483,Códigos!$B$421:$B$483,"Verificar",0)</f>
        <v>Pagos de: -Servicios públicos -OFICINA-</v>
      </c>
      <c r="E394" s="444" t="str">
        <f>_xlfn.XLOOKUP(C394,Códigos!$A$11:$A$415,Códigos!$B$11:$B$415,"Verificar",0)</f>
        <v>NOMBRE 232</v>
      </c>
      <c r="F394" s="1288" t="s">
        <v>407</v>
      </c>
      <c r="G394" s="1239">
        <v>109300</v>
      </c>
      <c r="H394" s="989">
        <f t="shared" si="5"/>
        <v>502072054</v>
      </c>
      <c r="I394" s="1050" t="s">
        <v>1066</v>
      </c>
      <c r="K394" s="19"/>
    </row>
    <row r="395" spans="1:11" x14ac:dyDescent="0.2">
      <c r="A395" s="1234">
        <v>45824</v>
      </c>
      <c r="B395" s="1000">
        <v>9</v>
      </c>
      <c r="C395" s="1187">
        <v>359</v>
      </c>
      <c r="D395" s="443" t="str">
        <f>_xlfn.XLOOKUP(B395,Códigos!$A$421:$A$483,Códigos!$B$421:$B$483,"Verificar",0)</f>
        <v>Pagos de: -Servicios públicos -OFICINA-</v>
      </c>
      <c r="E395" s="444" t="str">
        <f>_xlfn.XLOOKUP(C395,Códigos!$A$11:$A$415,Códigos!$B$11:$B$415,"Verificar",0)</f>
        <v>NOMBRE 232</v>
      </c>
      <c r="F395" s="1288" t="s">
        <v>407</v>
      </c>
      <c r="G395" s="1239">
        <v>68100</v>
      </c>
      <c r="H395" s="989">
        <f t="shared" si="5"/>
        <v>502140154</v>
      </c>
      <c r="I395" s="1050" t="s">
        <v>1067</v>
      </c>
      <c r="K395" s="19"/>
    </row>
    <row r="396" spans="1:11" x14ac:dyDescent="0.2">
      <c r="A396" s="1234">
        <v>45824</v>
      </c>
      <c r="B396" s="1000">
        <v>9</v>
      </c>
      <c r="C396" s="996">
        <v>359</v>
      </c>
      <c r="D396" s="443" t="s">
        <v>482</v>
      </c>
      <c r="E396" s="444" t="s">
        <v>375</v>
      </c>
      <c r="F396" s="1288" t="s">
        <v>407</v>
      </c>
      <c r="G396" s="1239">
        <v>136700</v>
      </c>
      <c r="H396" s="989">
        <f t="shared" si="5"/>
        <v>502276854</v>
      </c>
      <c r="I396" s="1049" t="s">
        <v>1106</v>
      </c>
      <c r="K396" s="19"/>
    </row>
    <row r="397" spans="1:11" x14ac:dyDescent="0.2">
      <c r="A397" s="1234">
        <v>45824</v>
      </c>
      <c r="B397" s="1241">
        <v>9</v>
      </c>
      <c r="C397" s="1187">
        <v>359</v>
      </c>
      <c r="D397" s="443" t="str">
        <f>_xlfn.XLOOKUP(B397,Códigos!$A$421:$A$483,Códigos!$B$421:$B$483,"Verificar",0)</f>
        <v>Pagos de: -Servicios públicos -OFICINA-</v>
      </c>
      <c r="E397" s="444" t="str">
        <f>_xlfn.XLOOKUP(C397,Códigos!$A$11:$A$415,Códigos!$B$11:$B$415,"Verificar",0)</f>
        <v>NOMBRE 232</v>
      </c>
      <c r="F397" s="1288" t="s">
        <v>407</v>
      </c>
      <c r="G397" s="1239">
        <v>226400</v>
      </c>
      <c r="H397" s="989">
        <f t="shared" si="5"/>
        <v>502503254</v>
      </c>
      <c r="I397" s="1049" t="s">
        <v>1428</v>
      </c>
      <c r="K397" s="19"/>
    </row>
    <row r="398" spans="1:11" x14ac:dyDescent="0.2">
      <c r="A398" s="1234">
        <v>45826</v>
      </c>
      <c r="B398" s="1241">
        <v>33</v>
      </c>
      <c r="C398" s="1187">
        <v>3</v>
      </c>
      <c r="D398" s="443" t="str">
        <f>_xlfn.XLOOKUP(B398,Códigos!$A$421:$A$483,Códigos!$B$421:$B$483,"Verificar",0)</f>
        <v>AJUSTE POR -Consignación - Traslado a Bancos</v>
      </c>
      <c r="E398" s="444" t="str">
        <f>_xlfn.XLOOKUP(C398,Códigos!$A$11:$A$415,Códigos!$B$11:$B$415,"Verificar",0)</f>
        <v>NOMBRE 24</v>
      </c>
      <c r="F398" s="1289"/>
      <c r="G398" s="1239">
        <v>23000</v>
      </c>
      <c r="H398" s="989">
        <f t="shared" si="5"/>
        <v>502526254</v>
      </c>
      <c r="I398" s="1049" t="s">
        <v>1049</v>
      </c>
      <c r="K398" s="19"/>
    </row>
    <row r="399" spans="1:11" x14ac:dyDescent="0.2">
      <c r="A399" s="1234">
        <v>45827</v>
      </c>
      <c r="B399" s="1000">
        <v>8</v>
      </c>
      <c r="C399" s="1187">
        <v>357</v>
      </c>
      <c r="D399" s="443" t="str">
        <f>_xlfn.XLOOKUP(B399,Códigos!$A$421:$A$483,Códigos!$B$421:$B$483,"Verificar",0)</f>
        <v>Pagos de: -Cuota para alimentos y Manuntención</v>
      </c>
      <c r="E399" s="444" t="str">
        <f>_xlfn.XLOOKUP(C399,Códigos!$A$11:$A$415,Códigos!$B$11:$B$415,"Verificar",0)</f>
        <v>NOMBRE 107</v>
      </c>
      <c r="F399" s="1288" t="s">
        <v>1103</v>
      </c>
      <c r="G399" s="1239">
        <v>220000</v>
      </c>
      <c r="H399" s="989">
        <f t="shared" ref="H399:H400" si="6">+H398+G399</f>
        <v>502746254</v>
      </c>
      <c r="I399" s="1050" t="s">
        <v>1083</v>
      </c>
      <c r="K399" s="19"/>
    </row>
    <row r="400" spans="1:11" x14ac:dyDescent="0.2">
      <c r="A400" s="1234">
        <v>45827</v>
      </c>
      <c r="B400" s="1000">
        <v>2</v>
      </c>
      <c r="C400" s="1187">
        <v>353</v>
      </c>
      <c r="D400" s="443" t="str">
        <f>_xlfn.XLOOKUP(B400,Códigos!$A$421:$A$483,Códigos!$B$421:$B$483,"Verificar",0)</f>
        <v>Pago de Salarios a:</v>
      </c>
      <c r="E400" s="444" t="str">
        <f>_xlfn.XLOOKUP(C400,Códigos!$A$11:$A$415,Códigos!$B$11:$B$415,"Verificar",0)</f>
        <v>NOMBRE 31</v>
      </c>
      <c r="F400" s="1288" t="s">
        <v>407</v>
      </c>
      <c r="G400" s="1239">
        <v>660000</v>
      </c>
      <c r="H400" s="989">
        <f t="shared" si="6"/>
        <v>503406254</v>
      </c>
      <c r="I400" s="997" t="s">
        <v>1439</v>
      </c>
      <c r="K400" s="19"/>
    </row>
    <row r="401" spans="1:11" x14ac:dyDescent="0.2">
      <c r="A401" s="1234">
        <v>45827</v>
      </c>
      <c r="B401" s="1241">
        <v>1</v>
      </c>
      <c r="C401" s="1187">
        <v>359</v>
      </c>
      <c r="D401" s="443" t="str">
        <f>_xlfn.XLOOKUP(B401,Códigos!$A$421:$A$483,Códigos!$B$421:$B$483,"Verificar",0)</f>
        <v>Gastos personales</v>
      </c>
      <c r="E401" s="444" t="str">
        <f>_xlfn.XLOOKUP(C401,Códigos!$A$11:$A$415,Códigos!$B$11:$B$415,"Verificar",0)</f>
        <v>NOMBRE 232</v>
      </c>
      <c r="F401" s="1289"/>
      <c r="G401" s="1239">
        <v>1920500</v>
      </c>
      <c r="H401" s="989">
        <f t="shared" ref="H401:H409" si="7">+H400+G401</f>
        <v>505326754</v>
      </c>
      <c r="I401" s="1049" t="s">
        <v>1441</v>
      </c>
      <c r="K401" s="19"/>
    </row>
    <row r="402" spans="1:11" x14ac:dyDescent="0.2">
      <c r="A402" s="1234">
        <v>45828</v>
      </c>
      <c r="B402" s="1000">
        <v>8</v>
      </c>
      <c r="C402" s="996">
        <v>356</v>
      </c>
      <c r="D402" s="443" t="str">
        <f>_xlfn.XLOOKUP(B402,Códigos!$A$421:$A$483,Códigos!$B$421:$B$483,"Verificar",0)</f>
        <v>Pagos de: -Cuota para alimentos y Manuntención</v>
      </c>
      <c r="E402" s="444" t="str">
        <f>_xlfn.XLOOKUP(C402,Códigos!$A$11:$A$415,Códigos!$B$11:$B$415,"Verificar",0)</f>
        <v>NOMBRE 108</v>
      </c>
      <c r="F402" s="1288" t="s">
        <v>1103</v>
      </c>
      <c r="G402" s="990">
        <v>220000</v>
      </c>
      <c r="H402" s="989">
        <f t="shared" si="7"/>
        <v>505546754</v>
      </c>
      <c r="I402" s="1050" t="s">
        <v>1083</v>
      </c>
      <c r="K402" s="19"/>
    </row>
    <row r="403" spans="1:11" x14ac:dyDescent="0.2">
      <c r="A403" s="1234">
        <v>45828</v>
      </c>
      <c r="B403" s="1000">
        <v>8</v>
      </c>
      <c r="C403" s="996">
        <v>358</v>
      </c>
      <c r="D403" s="443" t="str">
        <f>_xlfn.XLOOKUP(B403,Códigos!$A$421:$A$483,Códigos!$B$421:$B$483,"Verificar",0)</f>
        <v>Pagos de: -Cuota para alimentos y Manuntención</v>
      </c>
      <c r="E403" s="444" t="str">
        <f>_xlfn.XLOOKUP(C403,Códigos!$A$11:$A$415,Códigos!$B$11:$B$415,"Verificar",0)</f>
        <v>NOMBRE 338</v>
      </c>
      <c r="F403" s="1288" t="s">
        <v>1103</v>
      </c>
      <c r="G403" s="1280">
        <v>380000</v>
      </c>
      <c r="H403" s="989">
        <f t="shared" si="7"/>
        <v>505926754</v>
      </c>
      <c r="I403" s="997" t="s">
        <v>1442</v>
      </c>
      <c r="K403" s="19"/>
    </row>
    <row r="404" spans="1:11" x14ac:dyDescent="0.2">
      <c r="A404" s="1234">
        <v>45828</v>
      </c>
      <c r="B404" s="1000">
        <v>2</v>
      </c>
      <c r="C404" s="996">
        <v>262</v>
      </c>
      <c r="D404" s="443" t="str">
        <f>_xlfn.XLOOKUP(B404,Códigos!$A$421:$A$483,Códigos!$B$421:$B$483,"Verificar",0)</f>
        <v>Pago de Salarios a:</v>
      </c>
      <c r="E404" s="444" t="str">
        <f>_xlfn.XLOOKUP(C404,Códigos!$A$11:$A$415,Códigos!$B$11:$B$415,"Verificar",0)</f>
        <v>NOMBRE 95</v>
      </c>
      <c r="F404" s="1288" t="s">
        <v>407</v>
      </c>
      <c r="G404" s="1239">
        <v>660000</v>
      </c>
      <c r="H404" s="989">
        <f t="shared" si="7"/>
        <v>506586754</v>
      </c>
      <c r="I404" s="997" t="s">
        <v>1439</v>
      </c>
      <c r="K404" s="19"/>
    </row>
    <row r="405" spans="1:11" x14ac:dyDescent="0.2">
      <c r="A405" s="1234">
        <v>45828</v>
      </c>
      <c r="B405" s="1241">
        <v>1</v>
      </c>
      <c r="C405" s="1187">
        <v>355</v>
      </c>
      <c r="D405" s="443" t="str">
        <f>_xlfn.XLOOKUP(B405,Códigos!$A$421:$A$483,Códigos!$B$421:$B$483,"Verificar",0)</f>
        <v>Gastos personales</v>
      </c>
      <c r="E405" s="444" t="str">
        <f>_xlfn.XLOOKUP(C405,Códigos!$A$11:$A$415,Códigos!$B$11:$B$415,"Verificar",0)</f>
        <v>NOMBRE 96</v>
      </c>
      <c r="F405" s="1288" t="s">
        <v>1103</v>
      </c>
      <c r="G405" s="1239">
        <v>400000</v>
      </c>
      <c r="H405" s="989">
        <f t="shared" si="7"/>
        <v>506986754</v>
      </c>
      <c r="I405" s="1052" t="s">
        <v>1101</v>
      </c>
      <c r="K405" s="19"/>
    </row>
    <row r="406" spans="1:11" x14ac:dyDescent="0.2">
      <c r="A406" s="1234">
        <v>45832</v>
      </c>
      <c r="B406" s="1000">
        <v>9</v>
      </c>
      <c r="C406" s="1187">
        <v>359</v>
      </c>
      <c r="D406" s="443" t="str">
        <f>_xlfn.XLOOKUP(B406,Códigos!$A$421:$A$483,Códigos!$B$421:$B$483,"Verificar",0)</f>
        <v>Pagos de: -Servicios públicos -OFICINA-</v>
      </c>
      <c r="E406" s="444" t="str">
        <f>_xlfn.XLOOKUP(C406,Códigos!$A$11:$A$415,Códigos!$B$11:$B$415,"Verificar",0)</f>
        <v>NOMBRE 232</v>
      </c>
      <c r="F406" s="1288" t="s">
        <v>407</v>
      </c>
      <c r="G406" s="1239">
        <v>137200</v>
      </c>
      <c r="H406" s="989">
        <f t="shared" si="7"/>
        <v>507123954</v>
      </c>
      <c r="I406" s="1050" t="s">
        <v>1120</v>
      </c>
      <c r="K406" s="19"/>
    </row>
    <row r="407" spans="1:11" x14ac:dyDescent="0.2">
      <c r="A407" s="1234">
        <v>45832</v>
      </c>
      <c r="B407" s="1000">
        <v>9</v>
      </c>
      <c r="C407" s="1187">
        <v>359</v>
      </c>
      <c r="D407" s="443" t="str">
        <f>_xlfn.XLOOKUP(B407,Códigos!$A$421:$A$483,Códigos!$B$421:$B$483,"Verificar",0)</f>
        <v>Pagos de: -Servicios públicos -OFICINA-</v>
      </c>
      <c r="E407" s="444" t="str">
        <f>_xlfn.XLOOKUP(C407,Códigos!$A$11:$A$415,Códigos!$B$11:$B$415,"Verificar",0)</f>
        <v>NOMBRE 232</v>
      </c>
      <c r="F407" s="1288" t="s">
        <v>407</v>
      </c>
      <c r="G407" s="1239">
        <v>53600</v>
      </c>
      <c r="H407" s="989">
        <f t="shared" si="7"/>
        <v>507177554</v>
      </c>
      <c r="I407" s="1050" t="s">
        <v>1121</v>
      </c>
      <c r="K407" s="19"/>
    </row>
    <row r="408" spans="1:11" x14ac:dyDescent="0.2">
      <c r="A408" s="1234">
        <v>45832</v>
      </c>
      <c r="B408" s="1000">
        <v>9</v>
      </c>
      <c r="C408" s="1187">
        <v>359</v>
      </c>
      <c r="D408" s="443" t="str">
        <f>_xlfn.XLOOKUP(B408,Códigos!$A$421:$A$483,Códigos!$B$421:$B$483,"Verificar",0)</f>
        <v>Pagos de: -Servicios públicos -OFICINA-</v>
      </c>
      <c r="E408" s="444" t="str">
        <f>_xlfn.XLOOKUP(C408,Códigos!$A$11:$A$415,Códigos!$B$11:$B$415,"Verificar",0)</f>
        <v>NOMBRE 232</v>
      </c>
      <c r="F408" s="1288" t="s">
        <v>407</v>
      </c>
      <c r="G408" s="1239">
        <v>228900</v>
      </c>
      <c r="H408" s="989">
        <f t="shared" si="7"/>
        <v>507406454</v>
      </c>
      <c r="I408" s="1050" t="s">
        <v>1122</v>
      </c>
      <c r="K408" s="19"/>
    </row>
    <row r="409" spans="1:11" x14ac:dyDescent="0.2">
      <c r="A409" s="1234">
        <v>45832</v>
      </c>
      <c r="B409" s="1241">
        <v>5</v>
      </c>
      <c r="C409" s="1187">
        <v>262</v>
      </c>
      <c r="D409" s="443" t="str">
        <f>_xlfn.XLOOKUP(B409,Códigos!$A$421:$A$483,Códigos!$B$421:$B$483,"Verificar",0)</f>
        <v>Préstamos por Nómina a:</v>
      </c>
      <c r="E409" s="444" t="str">
        <f>_xlfn.XLOOKUP(C409,Códigos!$A$11:$A$415,Códigos!$B$11:$B$415,"Verificar",0)</f>
        <v>NOMBRE 95</v>
      </c>
      <c r="F409" s="1288" t="s">
        <v>1103</v>
      </c>
      <c r="G409" s="1246">
        <v>34900</v>
      </c>
      <c r="H409" s="989">
        <f t="shared" si="7"/>
        <v>507441354</v>
      </c>
      <c r="I409" s="1050" t="s">
        <v>1123</v>
      </c>
      <c r="K409" s="19"/>
    </row>
    <row r="410" spans="1:11" x14ac:dyDescent="0.2">
      <c r="A410" s="1234">
        <v>45832</v>
      </c>
      <c r="B410" s="1241">
        <v>1</v>
      </c>
      <c r="C410" s="1187">
        <v>359</v>
      </c>
      <c r="D410" s="443" t="str">
        <f>_xlfn.XLOOKUP(B410,Códigos!$A$421:$A$483,Códigos!$B$421:$B$483,"Verificar",0)</f>
        <v>Gastos personales</v>
      </c>
      <c r="E410" s="444" t="str">
        <f>_xlfn.XLOOKUP(C410,Códigos!$A$11:$A$415,Códigos!$B$11:$B$415,"Verificar",0)</f>
        <v>NOMBRE 232</v>
      </c>
      <c r="F410" s="1288" t="s">
        <v>1103</v>
      </c>
      <c r="G410" s="1239">
        <v>9165000</v>
      </c>
      <c r="H410" s="989">
        <f t="shared" ref="H410:H433" si="8">+H409+G410</f>
        <v>516606354</v>
      </c>
      <c r="I410" s="1049" t="s">
        <v>1476</v>
      </c>
      <c r="K410" s="19"/>
    </row>
    <row r="411" spans="1:11" x14ac:dyDescent="0.2">
      <c r="A411" s="1234">
        <v>45832</v>
      </c>
      <c r="B411" s="1000">
        <v>9</v>
      </c>
      <c r="C411" s="1187">
        <v>359</v>
      </c>
      <c r="D411" s="443" t="str">
        <f>_xlfn.XLOOKUP(B411,Códigos!$A$421:$A$483,Códigos!$B$421:$B$483,"Verificar",0)</f>
        <v>Pagos de: -Servicios públicos -OFICINA-</v>
      </c>
      <c r="E411" s="444" t="str">
        <f>_xlfn.XLOOKUP(C411,Códigos!$A$11:$A$415,Códigos!$B$11:$B$415,"Verificar",0)</f>
        <v>NOMBRE 232</v>
      </c>
      <c r="F411" s="1288" t="s">
        <v>1103</v>
      </c>
      <c r="G411" s="1239">
        <v>44000</v>
      </c>
      <c r="H411" s="989">
        <f t="shared" si="8"/>
        <v>516650354</v>
      </c>
      <c r="I411" s="1049" t="s">
        <v>1531</v>
      </c>
      <c r="K411" s="19"/>
    </row>
    <row r="412" spans="1:11" x14ac:dyDescent="0.2">
      <c r="A412" s="1234">
        <v>45832</v>
      </c>
      <c r="B412" s="1000">
        <v>9</v>
      </c>
      <c r="C412" s="1187">
        <v>222</v>
      </c>
      <c r="D412" s="443" t="str">
        <f>_xlfn.XLOOKUP(B412,Códigos!$A$421:$A$483,Códigos!$B$421:$B$483,"Verificar",0)</f>
        <v>Pagos de: -Servicios públicos -OFICINA-</v>
      </c>
      <c r="E412" s="444" t="str">
        <f>_xlfn.XLOOKUP(C412,Códigos!$A$11:$A$415,Códigos!$B$11:$B$415,"Verificar",0)</f>
        <v>NOMBRE 101</v>
      </c>
      <c r="F412" s="1288" t="s">
        <v>1103</v>
      </c>
      <c r="G412" s="1239">
        <v>120300</v>
      </c>
      <c r="H412" s="989">
        <f t="shared" si="8"/>
        <v>516770654</v>
      </c>
      <c r="I412" s="1049" t="s">
        <v>1531</v>
      </c>
      <c r="K412" s="19"/>
    </row>
    <row r="413" spans="1:11" x14ac:dyDescent="0.2">
      <c r="A413" s="1234">
        <v>45835</v>
      </c>
      <c r="B413" s="1000">
        <v>8</v>
      </c>
      <c r="C413" s="1187">
        <v>357</v>
      </c>
      <c r="D413" s="443" t="str">
        <f>_xlfn.XLOOKUP(B413,Códigos!$A$421:$A$483,Códigos!$B$421:$B$483,"Verificar",0)</f>
        <v>Pagos de: -Cuota para alimentos y Manuntención</v>
      </c>
      <c r="E413" s="444" t="str">
        <f>_xlfn.XLOOKUP(C413,Códigos!$A$11:$A$415,Códigos!$B$11:$B$415,"Verificar",0)</f>
        <v>NOMBRE 107</v>
      </c>
      <c r="F413" s="1288" t="s">
        <v>1103</v>
      </c>
      <c r="G413" s="1239">
        <v>220000</v>
      </c>
      <c r="H413" s="989">
        <f t="shared" si="8"/>
        <v>516990654</v>
      </c>
      <c r="I413" s="1050" t="s">
        <v>1083</v>
      </c>
      <c r="K413" s="19"/>
    </row>
    <row r="414" spans="1:11" x14ac:dyDescent="0.2">
      <c r="A414" s="1234">
        <v>45835</v>
      </c>
      <c r="B414" s="1000">
        <v>2</v>
      </c>
      <c r="C414" s="1187">
        <v>353</v>
      </c>
      <c r="D414" s="443" t="str">
        <f>_xlfn.XLOOKUP(B414,Códigos!$A$421:$A$483,Códigos!$B$421:$B$483,"Verificar",0)</f>
        <v>Pago de Salarios a:</v>
      </c>
      <c r="E414" s="444" t="str">
        <f>_xlfn.XLOOKUP(C414,Códigos!$A$11:$A$415,Códigos!$B$11:$B$415,"Verificar",0)</f>
        <v>NOMBRE 31</v>
      </c>
      <c r="F414" s="1288" t="s">
        <v>407</v>
      </c>
      <c r="G414" s="1239">
        <v>660000</v>
      </c>
      <c r="H414" s="989">
        <f t="shared" si="8"/>
        <v>517650654</v>
      </c>
      <c r="I414" s="997" t="s">
        <v>1477</v>
      </c>
      <c r="K414" s="19"/>
    </row>
    <row r="415" spans="1:11" x14ac:dyDescent="0.2">
      <c r="A415" s="1234">
        <v>45835</v>
      </c>
      <c r="B415" s="1000">
        <v>8</v>
      </c>
      <c r="C415" s="996">
        <v>356</v>
      </c>
      <c r="D415" s="443" t="str">
        <f>_xlfn.XLOOKUP(B415,Códigos!$A$421:$A$483,Códigos!$B$421:$B$483,"Verificar",0)</f>
        <v>Pagos de: -Cuota para alimentos y Manuntención</v>
      </c>
      <c r="E415" s="444" t="str">
        <f>_xlfn.XLOOKUP(C415,Códigos!$A$11:$A$415,Códigos!$B$11:$B$415,"Verificar",0)</f>
        <v>NOMBRE 108</v>
      </c>
      <c r="F415" s="1288" t="s">
        <v>1103</v>
      </c>
      <c r="G415" s="990">
        <v>220000</v>
      </c>
      <c r="H415" s="989">
        <f t="shared" si="8"/>
        <v>517870654</v>
      </c>
      <c r="I415" s="1050" t="s">
        <v>1083</v>
      </c>
      <c r="K415" s="19"/>
    </row>
    <row r="416" spans="1:11" x14ac:dyDescent="0.2">
      <c r="A416" s="1234">
        <v>45835</v>
      </c>
      <c r="B416" s="1000">
        <v>8</v>
      </c>
      <c r="C416" s="996">
        <v>358</v>
      </c>
      <c r="D416" s="443" t="str">
        <f>_xlfn.XLOOKUP(B416,Códigos!$A$421:$A$483,Códigos!$B$421:$B$483,"Verificar",0)</f>
        <v>Pagos de: -Cuota para alimentos y Manuntención</v>
      </c>
      <c r="E416" s="444" t="str">
        <f>_xlfn.XLOOKUP(C416,Códigos!$A$11:$A$415,Códigos!$B$11:$B$415,"Verificar",0)</f>
        <v>NOMBRE 338</v>
      </c>
      <c r="F416" s="1288" t="s">
        <v>1103</v>
      </c>
      <c r="G416" s="1280">
        <v>380000</v>
      </c>
      <c r="H416" s="989">
        <f t="shared" si="8"/>
        <v>518250654</v>
      </c>
      <c r="I416" s="997" t="s">
        <v>1478</v>
      </c>
      <c r="K416" s="19"/>
    </row>
    <row r="417" spans="1:11" x14ac:dyDescent="0.2">
      <c r="A417" s="1234">
        <v>45835</v>
      </c>
      <c r="B417" s="1000">
        <v>2</v>
      </c>
      <c r="C417" s="996">
        <v>262</v>
      </c>
      <c r="D417" s="443" t="str">
        <f>_xlfn.XLOOKUP(B417,Códigos!$A$421:$A$483,Códigos!$B$421:$B$483,"Verificar",0)</f>
        <v>Pago de Salarios a:</v>
      </c>
      <c r="E417" s="444" t="str">
        <f>_xlfn.XLOOKUP(C417,Códigos!$A$11:$A$415,Códigos!$B$11:$B$415,"Verificar",0)</f>
        <v>NOMBRE 95</v>
      </c>
      <c r="F417" s="1288" t="s">
        <v>407</v>
      </c>
      <c r="G417" s="1239">
        <v>660000</v>
      </c>
      <c r="H417" s="989">
        <f t="shared" si="8"/>
        <v>518910654</v>
      </c>
      <c r="I417" s="997" t="s">
        <v>1477</v>
      </c>
      <c r="K417" s="19"/>
    </row>
    <row r="418" spans="1:11" x14ac:dyDescent="0.2">
      <c r="A418" s="1234">
        <v>45835</v>
      </c>
      <c r="B418" s="1000">
        <v>9</v>
      </c>
      <c r="C418" s="996">
        <v>359</v>
      </c>
      <c r="D418" s="443" t="str">
        <f>_xlfn.XLOOKUP(B418,Códigos!$A$421:$A$483,Códigos!$B$421:$B$483,"Verificar",0)</f>
        <v>Pagos de: -Servicios públicos -OFICINA-</v>
      </c>
      <c r="E418" s="444" t="str">
        <f>_xlfn.XLOOKUP(C418,Códigos!$A$11:$A$415,Códigos!$B$11:$B$415,"Verificar",0)</f>
        <v>NOMBRE 232</v>
      </c>
      <c r="F418" s="1288" t="s">
        <v>407</v>
      </c>
      <c r="G418" s="1239">
        <v>332152</v>
      </c>
      <c r="H418" s="989">
        <f t="shared" si="8"/>
        <v>519242806</v>
      </c>
      <c r="I418" s="1049" t="s">
        <v>1479</v>
      </c>
      <c r="K418" s="19"/>
    </row>
    <row r="419" spans="1:11" x14ac:dyDescent="0.2">
      <c r="A419" s="1234">
        <v>45835</v>
      </c>
      <c r="B419" s="1241">
        <v>1</v>
      </c>
      <c r="C419" s="1187">
        <v>355</v>
      </c>
      <c r="D419" s="443" t="str">
        <f>_xlfn.XLOOKUP(B419,Códigos!$A$421:$A$483,Códigos!$B$421:$B$483,"Verificar",0)</f>
        <v>Gastos personales</v>
      </c>
      <c r="E419" s="444" t="str">
        <f>_xlfn.XLOOKUP(C419,Códigos!$A$11:$A$415,Códigos!$B$11:$B$415,"Verificar",0)</f>
        <v>NOMBRE 96</v>
      </c>
      <c r="F419" s="1288" t="s">
        <v>1103</v>
      </c>
      <c r="G419" s="1239">
        <v>700000</v>
      </c>
      <c r="H419" s="989">
        <f t="shared" si="8"/>
        <v>519942806</v>
      </c>
      <c r="I419" s="1052" t="s">
        <v>1101</v>
      </c>
      <c r="K419" s="19"/>
    </row>
    <row r="420" spans="1:11" x14ac:dyDescent="0.2">
      <c r="A420" s="1234">
        <v>45836</v>
      </c>
      <c r="B420" s="1187">
        <v>1</v>
      </c>
      <c r="C420" s="1187">
        <v>359</v>
      </c>
      <c r="D420" s="443" t="str">
        <f>_xlfn.XLOOKUP(B420,Códigos!$A$421:$A$483,Códigos!$B$421:$B$483,"Verificar",0)</f>
        <v>Gastos personales</v>
      </c>
      <c r="E420" s="444" t="str">
        <f>_xlfn.XLOOKUP(C420,Códigos!$A$11:$A$415,Códigos!$B$11:$B$415,"Verificar",0)</f>
        <v>NOMBRE 232</v>
      </c>
      <c r="F420" s="1288" t="s">
        <v>1103</v>
      </c>
      <c r="G420" s="1239">
        <v>600000</v>
      </c>
      <c r="H420" s="989">
        <f t="shared" ref="H420" si="9">+H419+G420</f>
        <v>520542806</v>
      </c>
      <c r="I420" s="1049" t="s">
        <v>1452</v>
      </c>
      <c r="K420" s="19"/>
    </row>
    <row r="421" spans="1:11" x14ac:dyDescent="0.2">
      <c r="A421" s="1234">
        <v>45836</v>
      </c>
      <c r="B421" s="1187">
        <v>1</v>
      </c>
      <c r="C421" s="1187">
        <v>359</v>
      </c>
      <c r="D421" s="443" t="str">
        <f>_xlfn.XLOOKUP(B421,Códigos!$A$421:$A$483,Códigos!$B$421:$B$483,"Verificar",0)</f>
        <v>Gastos personales</v>
      </c>
      <c r="E421" s="444" t="str">
        <f>_xlfn.XLOOKUP(C421,Códigos!$A$11:$A$415,Códigos!$B$11:$B$415,"Verificar",0)</f>
        <v>NOMBRE 232</v>
      </c>
      <c r="F421" s="1288" t="s">
        <v>1103</v>
      </c>
      <c r="G421" s="1239">
        <v>720000</v>
      </c>
      <c r="H421" s="989">
        <f t="shared" si="8"/>
        <v>521262806</v>
      </c>
      <c r="I421" s="1049" t="s">
        <v>1476</v>
      </c>
      <c r="K421" s="19"/>
    </row>
    <row r="422" spans="1:11" x14ac:dyDescent="0.2">
      <c r="A422" s="1234">
        <v>45839</v>
      </c>
      <c r="B422" s="1000">
        <v>8</v>
      </c>
      <c r="C422" s="1187">
        <v>357</v>
      </c>
      <c r="D422" s="443" t="str">
        <f>_xlfn.XLOOKUP(B422,Códigos!$A$421:$A$483,Códigos!$B$421:$B$483,"Verificar",0)</f>
        <v>Pagos de: -Cuota para alimentos y Manuntención</v>
      </c>
      <c r="E422" s="444" t="str">
        <f>_xlfn.XLOOKUP(C422,Códigos!$A$11:$A$415,Códigos!$B$11:$B$415,"Verificar",0)</f>
        <v>NOMBRE 107</v>
      </c>
      <c r="F422" s="1288" t="s">
        <v>1103</v>
      </c>
      <c r="G422" s="1239">
        <v>30000</v>
      </c>
      <c r="H422" s="989">
        <f t="shared" si="8"/>
        <v>521292806</v>
      </c>
      <c r="I422" s="1049" t="s">
        <v>1480</v>
      </c>
      <c r="K422" s="19"/>
    </row>
    <row r="423" spans="1:11" x14ac:dyDescent="0.2">
      <c r="A423" s="1234">
        <v>45839</v>
      </c>
      <c r="B423" s="1187">
        <v>9</v>
      </c>
      <c r="C423" s="1187">
        <v>359</v>
      </c>
      <c r="D423" s="443" t="str">
        <f>_xlfn.XLOOKUP(B423,Códigos!$A$421:$A$483,Códigos!$B$421:$B$483,"Verificar",0)</f>
        <v>Pagos de: -Servicios públicos -OFICINA-</v>
      </c>
      <c r="E423" s="444" t="str">
        <f>_xlfn.XLOOKUP(C423,Códigos!$A$11:$A$415,Códigos!$B$11:$B$415,"Verificar",0)</f>
        <v>NOMBRE 232</v>
      </c>
      <c r="F423" s="1288" t="s">
        <v>1103</v>
      </c>
      <c r="G423" s="1239">
        <v>139900</v>
      </c>
      <c r="H423" s="989">
        <f t="shared" si="8"/>
        <v>521432706</v>
      </c>
      <c r="I423" s="1049" t="s">
        <v>1481</v>
      </c>
      <c r="K423" s="19"/>
    </row>
    <row r="424" spans="1:11" x14ac:dyDescent="0.2">
      <c r="A424" s="1234">
        <v>45839</v>
      </c>
      <c r="B424" s="1241">
        <v>12</v>
      </c>
      <c r="C424" s="1187">
        <v>359</v>
      </c>
      <c r="D424" s="443" t="str">
        <f>_xlfn.XLOOKUP(B424,Códigos!$A$421:$A$483,Códigos!$B$421:$B$483,"Verificar",0)</f>
        <v>Pagos de: -Celulares</v>
      </c>
      <c r="E424" s="444" t="str">
        <f>_xlfn.XLOOKUP(C424,Códigos!$A$11:$A$415,Códigos!$B$11:$B$415,"Verificar",0)</f>
        <v>NOMBRE 232</v>
      </c>
      <c r="F424" s="1288" t="s">
        <v>407</v>
      </c>
      <c r="G424" s="1239">
        <v>59275</v>
      </c>
      <c r="H424" s="989">
        <f t="shared" si="8"/>
        <v>521491981</v>
      </c>
      <c r="I424" s="1049" t="s">
        <v>1211</v>
      </c>
      <c r="K424" s="19"/>
    </row>
    <row r="425" spans="1:11" x14ac:dyDescent="0.2">
      <c r="A425" s="1234">
        <v>45840</v>
      </c>
      <c r="B425" s="1241">
        <v>5</v>
      </c>
      <c r="C425" s="1187">
        <v>262</v>
      </c>
      <c r="D425" s="443" t="str">
        <f>_xlfn.XLOOKUP(B425,Códigos!$A$421:$A$483,Códigos!$B$421:$B$483,"Verificar",0)</f>
        <v>Préstamos por Nómina a:</v>
      </c>
      <c r="E425" s="444" t="str">
        <f>_xlfn.XLOOKUP(C425,Códigos!$A$11:$A$415,Códigos!$B$11:$B$415,"Verificar",0)</f>
        <v>NOMBRE 95</v>
      </c>
      <c r="F425" s="1288" t="s">
        <v>407</v>
      </c>
      <c r="G425" s="1239">
        <v>45900</v>
      </c>
      <c r="H425" s="989">
        <f t="shared" si="8"/>
        <v>521537881</v>
      </c>
      <c r="I425" s="1049" t="s">
        <v>1482</v>
      </c>
      <c r="K425" s="19"/>
    </row>
    <row r="426" spans="1:11" x14ac:dyDescent="0.2">
      <c r="A426" s="1234">
        <v>45840</v>
      </c>
      <c r="B426" s="1277">
        <v>7</v>
      </c>
      <c r="C426" s="1278">
        <v>359</v>
      </c>
      <c r="D426" s="443" t="str">
        <f>_xlfn.XLOOKUP(B426,Códigos!$A$421:$A$483,Códigos!$B$421:$B$483,"Verificar",0)</f>
        <v>Pagos de: -Seguridad Social</v>
      </c>
      <c r="E426" s="444" t="str">
        <f>_xlfn.XLOOKUP(C426,Códigos!$A$11:$A$415,Códigos!$B$11:$B$415,"Verificar",0)</f>
        <v>NOMBRE 232</v>
      </c>
      <c r="F426" s="1288" t="s">
        <v>407</v>
      </c>
      <c r="G426" s="1239">
        <v>1392400</v>
      </c>
      <c r="H426" s="989">
        <f t="shared" si="8"/>
        <v>522930281</v>
      </c>
      <c r="I426" s="1052" t="s">
        <v>1524</v>
      </c>
      <c r="K426" s="19"/>
    </row>
    <row r="427" spans="1:11" x14ac:dyDescent="0.2">
      <c r="A427" s="1234">
        <v>45840</v>
      </c>
      <c r="B427" s="1277">
        <v>7</v>
      </c>
      <c r="C427" s="1278">
        <v>359</v>
      </c>
      <c r="D427" s="443" t="str">
        <f>_xlfn.XLOOKUP(B427,Códigos!$A$421:$A$483,Códigos!$B$421:$B$483,"Verificar",0)</f>
        <v>Pagos de: -Seguridad Social</v>
      </c>
      <c r="E427" s="444" t="str">
        <f>_xlfn.XLOOKUP(C427,Códigos!$A$11:$A$415,Códigos!$B$11:$B$415,"Verificar",0)</f>
        <v>NOMBRE 232</v>
      </c>
      <c r="F427" s="1288" t="s">
        <v>407</v>
      </c>
      <c r="G427" s="1239">
        <v>940500</v>
      </c>
      <c r="H427" s="989">
        <f t="shared" si="8"/>
        <v>523870781</v>
      </c>
      <c r="I427" s="1052" t="s">
        <v>1525</v>
      </c>
      <c r="K427" s="19"/>
    </row>
    <row r="428" spans="1:11" x14ac:dyDescent="0.2">
      <c r="A428" s="1234">
        <v>45840</v>
      </c>
      <c r="B428" s="1241">
        <v>22</v>
      </c>
      <c r="C428" s="1187">
        <v>359</v>
      </c>
      <c r="D428" s="443" t="str">
        <f>_xlfn.XLOOKUP(B428,Códigos!$A$421:$A$483,Códigos!$B$421:$B$483,"Verificar",0)</f>
        <v>Compra de: -Equipos, dotaciones y repuestos para oficina</v>
      </c>
      <c r="E428" s="444" t="str">
        <f>_xlfn.XLOOKUP(C428,Códigos!$A$11:$A$415,Códigos!$B$11:$B$415,"Verificar",0)</f>
        <v>NOMBRE 232</v>
      </c>
      <c r="F428" s="1288" t="s">
        <v>407</v>
      </c>
      <c r="G428" s="1239">
        <v>1269300</v>
      </c>
      <c r="H428" s="989">
        <f t="shared" si="8"/>
        <v>525140081</v>
      </c>
      <c r="I428" s="1052" t="s">
        <v>1483</v>
      </c>
      <c r="K428" s="19"/>
    </row>
    <row r="429" spans="1:11" x14ac:dyDescent="0.2">
      <c r="A429" s="1234">
        <v>45840</v>
      </c>
      <c r="B429" s="1000">
        <v>8</v>
      </c>
      <c r="C429" s="1187">
        <v>357</v>
      </c>
      <c r="D429" s="443" t="str">
        <f>_xlfn.XLOOKUP(B429,Códigos!$A$421:$A$483,Códigos!$B$421:$B$483,"Verificar",0)</f>
        <v>Pagos de: -Cuota para alimentos y Manuntención</v>
      </c>
      <c r="E429" s="444" t="str">
        <f>_xlfn.XLOOKUP(C429,Códigos!$A$11:$A$415,Códigos!$B$11:$B$415,"Verificar",0)</f>
        <v>NOMBRE 107</v>
      </c>
      <c r="F429" s="1288" t="s">
        <v>1103</v>
      </c>
      <c r="G429" s="1239">
        <v>220000</v>
      </c>
      <c r="H429" s="989">
        <f t="shared" ref="H429:H430" si="10">+H428+G429</f>
        <v>525360081</v>
      </c>
      <c r="I429" s="1050" t="s">
        <v>1083</v>
      </c>
      <c r="K429" s="19"/>
    </row>
    <row r="430" spans="1:11" x14ac:dyDescent="0.2">
      <c r="A430" s="1234">
        <v>45840</v>
      </c>
      <c r="B430" s="1000">
        <v>2</v>
      </c>
      <c r="C430" s="1187">
        <v>353</v>
      </c>
      <c r="D430" s="443" t="str">
        <f>_xlfn.XLOOKUP(B430,Códigos!$A$421:$A$483,Códigos!$B$421:$B$483,"Verificar",0)</f>
        <v>Pago de Salarios a:</v>
      </c>
      <c r="E430" s="444" t="str">
        <f>_xlfn.XLOOKUP(C430,Códigos!$A$11:$A$415,Códigos!$B$11:$B$415,"Verificar",0)</f>
        <v>NOMBRE 31</v>
      </c>
      <c r="F430" s="1288" t="s">
        <v>407</v>
      </c>
      <c r="G430" s="1239">
        <v>660000</v>
      </c>
      <c r="H430" s="989">
        <f t="shared" si="10"/>
        <v>526020081</v>
      </c>
      <c r="I430" s="997" t="s">
        <v>1487</v>
      </c>
      <c r="K430" s="19"/>
    </row>
    <row r="431" spans="1:11" x14ac:dyDescent="0.2">
      <c r="A431" s="1234">
        <v>45840</v>
      </c>
      <c r="B431" s="1241">
        <v>27</v>
      </c>
      <c r="C431" s="1187">
        <v>359</v>
      </c>
      <c r="D431" s="443" t="str">
        <f>_xlfn.XLOOKUP(B431,Códigos!$A$421:$A$483,Códigos!$B$421:$B$483,"Verificar",0)</f>
        <v>Compra de: -Restaurante y cafetería</v>
      </c>
      <c r="E431" s="444" t="str">
        <f>_xlfn.XLOOKUP(C431,Códigos!$A$11:$A$415,Códigos!$B$11:$B$415,"Verificar",0)</f>
        <v>NOMBRE 232</v>
      </c>
      <c r="F431" s="1288" t="s">
        <v>407</v>
      </c>
      <c r="G431" s="1239">
        <v>120000</v>
      </c>
      <c r="H431" s="989">
        <f t="shared" si="8"/>
        <v>526140081</v>
      </c>
      <c r="I431" s="1049" t="s">
        <v>1484</v>
      </c>
      <c r="K431" s="19"/>
    </row>
    <row r="432" spans="1:11" x14ac:dyDescent="0.2">
      <c r="A432" s="1234">
        <v>45841</v>
      </c>
      <c r="B432" s="1241">
        <v>1</v>
      </c>
      <c r="C432" s="1187">
        <v>359</v>
      </c>
      <c r="D432" s="443" t="str">
        <f>_xlfn.XLOOKUP(B432,Códigos!$A$421:$A$483,Códigos!$B$421:$B$483,"Verificar",0)</f>
        <v>Gastos personales</v>
      </c>
      <c r="E432" s="444" t="str">
        <f>_xlfn.XLOOKUP(C432,Códigos!$A$11:$A$415,Códigos!$B$11:$B$415,"Verificar",0)</f>
        <v>NOMBRE 232</v>
      </c>
      <c r="F432" s="1288" t="s">
        <v>407</v>
      </c>
      <c r="G432" s="1239">
        <v>300000</v>
      </c>
      <c r="H432" s="989">
        <f t="shared" si="8"/>
        <v>526440081</v>
      </c>
      <c r="I432" s="1049" t="s">
        <v>1516</v>
      </c>
      <c r="K432" s="19"/>
    </row>
    <row r="433" spans="1:11" x14ac:dyDescent="0.2">
      <c r="A433" s="1234">
        <v>45842</v>
      </c>
      <c r="B433" s="1241">
        <v>1</v>
      </c>
      <c r="C433" s="1187">
        <v>359</v>
      </c>
      <c r="D433" s="443" t="str">
        <f>_xlfn.XLOOKUP(B433,Códigos!$A$421:$A$483,Códigos!$B$421:$B$483,"Verificar",0)</f>
        <v>Gastos personales</v>
      </c>
      <c r="E433" s="444" t="str">
        <f>_xlfn.XLOOKUP(C433,Códigos!$A$11:$A$415,Códigos!$B$11:$B$415,"Verificar",0)</f>
        <v>NOMBRE 232</v>
      </c>
      <c r="F433" s="1288" t="s">
        <v>1103</v>
      </c>
      <c r="G433" s="1239">
        <v>71000</v>
      </c>
      <c r="H433" s="989">
        <f t="shared" si="8"/>
        <v>526511081</v>
      </c>
      <c r="I433" s="1049" t="s">
        <v>1476</v>
      </c>
      <c r="K433" s="19"/>
    </row>
    <row r="434" spans="1:11" x14ac:dyDescent="0.2">
      <c r="A434" s="1234">
        <v>45842</v>
      </c>
      <c r="B434" s="1000">
        <v>8</v>
      </c>
      <c r="C434" s="996">
        <v>356</v>
      </c>
      <c r="D434" s="443" t="str">
        <f>_xlfn.XLOOKUP(B434,Códigos!$A$421:$A$483,Códigos!$B$421:$B$483,"Verificar",0)</f>
        <v>Pagos de: -Cuota para alimentos y Manuntención</v>
      </c>
      <c r="E434" s="444" t="str">
        <f>_xlfn.XLOOKUP(C434,Códigos!$A$11:$A$415,Códigos!$B$11:$B$415,"Verificar",0)</f>
        <v>NOMBRE 108</v>
      </c>
      <c r="F434" s="1288" t="s">
        <v>1103</v>
      </c>
      <c r="G434" s="990">
        <v>220000</v>
      </c>
      <c r="H434" s="989">
        <f t="shared" ref="H434:H437" si="11">+H433+G434</f>
        <v>526731081</v>
      </c>
      <c r="I434" s="1050" t="s">
        <v>1083</v>
      </c>
      <c r="K434" s="19"/>
    </row>
    <row r="435" spans="1:11" x14ac:dyDescent="0.2">
      <c r="A435" s="1234">
        <v>45842</v>
      </c>
      <c r="B435" s="1000">
        <v>8</v>
      </c>
      <c r="C435" s="996">
        <v>358</v>
      </c>
      <c r="D435" s="443" t="str">
        <f>_xlfn.XLOOKUP(B435,Códigos!$A$421:$A$483,Códigos!$B$421:$B$483,"Verificar",0)</f>
        <v>Pagos de: -Cuota para alimentos y Manuntención</v>
      </c>
      <c r="E435" s="444" t="str">
        <f>_xlfn.XLOOKUP(C435,Códigos!$A$11:$A$415,Códigos!$B$11:$B$415,"Verificar",0)</f>
        <v>NOMBRE 338</v>
      </c>
      <c r="F435" s="1288" t="s">
        <v>1103</v>
      </c>
      <c r="G435" s="1280">
        <v>380000</v>
      </c>
      <c r="H435" s="989">
        <f t="shared" si="11"/>
        <v>527111081</v>
      </c>
      <c r="I435" s="997" t="s">
        <v>1485</v>
      </c>
      <c r="K435" s="19"/>
    </row>
    <row r="436" spans="1:11" x14ac:dyDescent="0.2">
      <c r="A436" s="1234">
        <v>45842</v>
      </c>
      <c r="B436" s="1187">
        <v>1</v>
      </c>
      <c r="C436" s="1187">
        <v>359</v>
      </c>
      <c r="D436" s="443" t="str">
        <f>_xlfn.XLOOKUP(B436,Códigos!$A$421:$A$483,Códigos!$B$421:$B$483,"Verificar",0)</f>
        <v>Gastos personales</v>
      </c>
      <c r="E436" s="444" t="str">
        <f>_xlfn.XLOOKUP(C436,Códigos!$A$11:$A$415,Códigos!$B$11:$B$415,"Verificar",0)</f>
        <v>NOMBRE 232</v>
      </c>
      <c r="F436" s="1288" t="s">
        <v>1103</v>
      </c>
      <c r="G436" s="1239">
        <v>80000</v>
      </c>
      <c r="H436" s="989">
        <f t="shared" si="11"/>
        <v>527191081</v>
      </c>
      <c r="I436" s="1049" t="s">
        <v>1516</v>
      </c>
      <c r="K436" s="19"/>
    </row>
    <row r="437" spans="1:11" x14ac:dyDescent="0.2">
      <c r="A437" s="1234">
        <v>45843</v>
      </c>
      <c r="B437" s="1000">
        <v>2</v>
      </c>
      <c r="C437" s="996">
        <v>262</v>
      </c>
      <c r="D437" s="443" t="str">
        <f>_xlfn.XLOOKUP(B437,Códigos!$A$421:$A$483,Códigos!$B$421:$B$483,"Verificar",0)</f>
        <v>Pago de Salarios a:</v>
      </c>
      <c r="E437" s="444" t="str">
        <f>_xlfn.XLOOKUP(C437,Códigos!$A$11:$A$415,Códigos!$B$11:$B$415,"Verificar",0)</f>
        <v>NOMBRE 95</v>
      </c>
      <c r="F437" s="1288" t="s">
        <v>407</v>
      </c>
      <c r="G437" s="1239">
        <v>660000</v>
      </c>
      <c r="H437" s="989">
        <f t="shared" si="11"/>
        <v>527851081</v>
      </c>
      <c r="I437" s="997" t="s">
        <v>1487</v>
      </c>
      <c r="K437" s="19"/>
    </row>
    <row r="438" spans="1:11" x14ac:dyDescent="0.2">
      <c r="A438" s="1234">
        <v>45843</v>
      </c>
      <c r="B438" s="1187">
        <v>1</v>
      </c>
      <c r="C438" s="1187">
        <v>359</v>
      </c>
      <c r="D438" s="443" t="str">
        <f>_xlfn.XLOOKUP(B438,Códigos!$A$421:$A$483,Códigos!$B$421:$B$483,"Verificar",0)</f>
        <v>Gastos personales</v>
      </c>
      <c r="E438" s="444" t="str">
        <f>_xlfn.XLOOKUP(C438,Códigos!$A$11:$A$415,Códigos!$B$11:$B$415,"Verificar",0)</f>
        <v>NOMBRE 232</v>
      </c>
      <c r="F438" s="1288" t="s">
        <v>1103</v>
      </c>
      <c r="G438" s="1239">
        <v>500000</v>
      </c>
      <c r="H438" s="989">
        <f t="shared" ref="H438:H504" si="12">+H437+G438</f>
        <v>528351081</v>
      </c>
      <c r="I438" s="1049" t="s">
        <v>1452</v>
      </c>
      <c r="K438" s="19"/>
    </row>
    <row r="439" spans="1:11" x14ac:dyDescent="0.2">
      <c r="A439" s="1234">
        <v>45845</v>
      </c>
      <c r="B439" s="1241">
        <v>22</v>
      </c>
      <c r="C439" s="1187">
        <v>359</v>
      </c>
      <c r="D439" s="443" t="str">
        <f>_xlfn.XLOOKUP(B439,Códigos!$A$421:$A$483,Códigos!$B$421:$B$483,"Verificar",0)</f>
        <v>Compra de: -Equipos, dotaciones y repuestos para oficina</v>
      </c>
      <c r="E439" s="444" t="str">
        <f>_xlfn.XLOOKUP(C439,Códigos!$A$11:$A$415,Códigos!$B$11:$B$415,"Verificar",0)</f>
        <v>NOMBRE 232</v>
      </c>
      <c r="F439" s="1288" t="s">
        <v>407</v>
      </c>
      <c r="G439" s="1239">
        <v>459999</v>
      </c>
      <c r="H439" s="989">
        <f t="shared" si="12"/>
        <v>528811080</v>
      </c>
      <c r="I439" s="1050" t="s">
        <v>1493</v>
      </c>
      <c r="K439" s="19"/>
    </row>
    <row r="440" spans="1:11" x14ac:dyDescent="0.2">
      <c r="A440" s="1234">
        <v>45846</v>
      </c>
      <c r="B440" s="1187">
        <v>1</v>
      </c>
      <c r="C440" s="1187">
        <v>359</v>
      </c>
      <c r="D440" s="443" t="str">
        <f>_xlfn.XLOOKUP(B440,Códigos!$A$421:$A$483,Códigos!$B$421:$B$483,"Verificar",0)</f>
        <v>Gastos personales</v>
      </c>
      <c r="E440" s="444" t="str">
        <f>_xlfn.XLOOKUP(C440,Códigos!$A$11:$A$415,Códigos!$B$11:$B$415,"Verificar",0)</f>
        <v>NOMBRE 232</v>
      </c>
      <c r="F440" s="1288" t="s">
        <v>1103</v>
      </c>
      <c r="G440" s="1239">
        <v>400800</v>
      </c>
      <c r="H440" s="989">
        <f t="shared" si="12"/>
        <v>529211880</v>
      </c>
      <c r="I440" s="1049" t="s">
        <v>1476</v>
      </c>
      <c r="K440" s="19"/>
    </row>
    <row r="441" spans="1:11" x14ac:dyDescent="0.2">
      <c r="A441" s="1234">
        <v>45847</v>
      </c>
      <c r="B441" s="1241">
        <v>27</v>
      </c>
      <c r="C441" s="1187">
        <v>359</v>
      </c>
      <c r="D441" s="443" t="str">
        <f>_xlfn.XLOOKUP(B441,Códigos!$A$421:$A$483,Códigos!$B$421:$B$483,"Verificar",0)</f>
        <v>Compra de: -Restaurante y cafetería</v>
      </c>
      <c r="E441" s="444" t="str">
        <f>_xlfn.XLOOKUP(C441,Códigos!$A$11:$A$415,Códigos!$B$11:$B$415,"Verificar",0)</f>
        <v>NOMBRE 232</v>
      </c>
      <c r="F441" s="1288" t="s">
        <v>407</v>
      </c>
      <c r="G441" s="1239">
        <v>20000</v>
      </c>
      <c r="H441" s="989">
        <f t="shared" si="12"/>
        <v>529231880</v>
      </c>
      <c r="I441" s="1052" t="s">
        <v>1078</v>
      </c>
      <c r="K441" s="19"/>
    </row>
    <row r="442" spans="1:11" x14ac:dyDescent="0.2">
      <c r="A442" s="1234">
        <v>45847</v>
      </c>
      <c r="B442" s="1241">
        <v>11</v>
      </c>
      <c r="C442" s="1187">
        <v>359</v>
      </c>
      <c r="D442" s="443" t="str">
        <f>_xlfn.XLOOKUP(B442,Códigos!$A$421:$A$483,Códigos!$B$421:$B$483,"Verificar",0)</f>
        <v>Pagos de: -Servicios Administracion y otros Oficina</v>
      </c>
      <c r="E442" s="444" t="str">
        <f>_xlfn.XLOOKUP(C442,Códigos!$A$11:$A$415,Códigos!$B$11:$B$415,"Verificar",0)</f>
        <v>NOMBRE 232</v>
      </c>
      <c r="F442" s="1288" t="s">
        <v>407</v>
      </c>
      <c r="G442" s="1239">
        <v>273790</v>
      </c>
      <c r="H442" s="989">
        <f t="shared" si="12"/>
        <v>529505670</v>
      </c>
      <c r="I442" s="1049" t="s">
        <v>1486</v>
      </c>
      <c r="K442" s="19"/>
    </row>
    <row r="443" spans="1:11" x14ac:dyDescent="0.2">
      <c r="A443" s="1234">
        <v>45848</v>
      </c>
      <c r="B443" s="1000">
        <v>8</v>
      </c>
      <c r="C443" s="1187">
        <v>357</v>
      </c>
      <c r="D443" s="443" t="str">
        <f>_xlfn.XLOOKUP(B443,Códigos!$A$421:$A$483,Códigos!$B$421:$B$483,"Verificar",0)</f>
        <v>Pagos de: -Cuota para alimentos y Manuntención</v>
      </c>
      <c r="E443" s="444" t="str">
        <f>_xlfn.XLOOKUP(C443,Códigos!$A$11:$A$415,Códigos!$B$11:$B$415,"Verificar",0)</f>
        <v>NOMBRE 107</v>
      </c>
      <c r="F443" s="1288" t="s">
        <v>1103</v>
      </c>
      <c r="G443" s="1239">
        <v>220000</v>
      </c>
      <c r="H443" s="989">
        <f t="shared" si="12"/>
        <v>529725670</v>
      </c>
      <c r="I443" s="1050" t="s">
        <v>1083</v>
      </c>
      <c r="K443" s="19"/>
    </row>
    <row r="444" spans="1:11" x14ac:dyDescent="0.2">
      <c r="A444" s="1234">
        <v>45848</v>
      </c>
      <c r="B444" s="1000">
        <v>2</v>
      </c>
      <c r="C444" s="1187">
        <v>353</v>
      </c>
      <c r="D444" s="443" t="str">
        <f>_xlfn.XLOOKUP(B444,Códigos!$A$421:$A$483,Códigos!$B$421:$B$483,"Verificar",0)</f>
        <v>Pago de Salarios a:</v>
      </c>
      <c r="E444" s="444" t="str">
        <f>_xlfn.XLOOKUP(C444,Códigos!$A$11:$A$415,Códigos!$B$11:$B$415,"Verificar",0)</f>
        <v>NOMBRE 31</v>
      </c>
      <c r="F444" s="1288" t="s">
        <v>407</v>
      </c>
      <c r="G444" s="1239">
        <v>660000</v>
      </c>
      <c r="H444" s="989">
        <f t="shared" si="12"/>
        <v>530385670</v>
      </c>
      <c r="I444" s="997" t="s">
        <v>1498</v>
      </c>
      <c r="K444" s="19"/>
    </row>
    <row r="445" spans="1:11" x14ac:dyDescent="0.2">
      <c r="A445" s="1234">
        <v>45848</v>
      </c>
      <c r="B445" s="1000">
        <v>8</v>
      </c>
      <c r="C445" s="996">
        <v>356</v>
      </c>
      <c r="D445" s="443" t="str">
        <f>_xlfn.XLOOKUP(B445,Códigos!$A$421:$A$483,Códigos!$B$421:$B$483,"Verificar",0)</f>
        <v>Pagos de: -Cuota para alimentos y Manuntención</v>
      </c>
      <c r="E445" s="444" t="str">
        <f>_xlfn.XLOOKUP(C445,Códigos!$A$11:$A$415,Códigos!$B$11:$B$415,"Verificar",0)</f>
        <v>NOMBRE 108</v>
      </c>
      <c r="F445" s="1288" t="s">
        <v>1103</v>
      </c>
      <c r="G445" s="990">
        <v>220000</v>
      </c>
      <c r="H445" s="989">
        <f t="shared" si="12"/>
        <v>530605670</v>
      </c>
      <c r="I445" s="1050" t="s">
        <v>1083</v>
      </c>
      <c r="K445" s="19"/>
    </row>
    <row r="446" spans="1:11" x14ac:dyDescent="0.2">
      <c r="A446" s="1234">
        <v>45848</v>
      </c>
      <c r="B446" s="1000">
        <v>8</v>
      </c>
      <c r="C446" s="996">
        <v>358</v>
      </c>
      <c r="D446" s="443" t="str">
        <f>_xlfn.XLOOKUP(B446,Códigos!$A$421:$A$483,Códigos!$B$421:$B$483,"Verificar",0)</f>
        <v>Pagos de: -Cuota para alimentos y Manuntención</v>
      </c>
      <c r="E446" s="444" t="str">
        <f>_xlfn.XLOOKUP(C446,Códigos!$A$11:$A$415,Códigos!$B$11:$B$415,"Verificar",0)</f>
        <v>NOMBRE 338</v>
      </c>
      <c r="F446" s="1288" t="s">
        <v>1103</v>
      </c>
      <c r="G446" s="1280">
        <v>380000</v>
      </c>
      <c r="H446" s="989">
        <f t="shared" si="12"/>
        <v>530985670</v>
      </c>
      <c r="I446" s="997" t="s">
        <v>1495</v>
      </c>
      <c r="K446" s="19"/>
    </row>
    <row r="447" spans="1:11" x14ac:dyDescent="0.2">
      <c r="A447" s="1234">
        <v>45848</v>
      </c>
      <c r="B447" s="1000">
        <v>2</v>
      </c>
      <c r="C447" s="996">
        <v>262</v>
      </c>
      <c r="D447" s="443" t="str">
        <f>_xlfn.XLOOKUP(B447,Códigos!$A$421:$A$483,Códigos!$B$421:$B$483,"Verificar",0)</f>
        <v>Pago de Salarios a:</v>
      </c>
      <c r="E447" s="444" t="str">
        <f>_xlfn.XLOOKUP(C447,Códigos!$A$11:$A$415,Códigos!$B$11:$B$415,"Verificar",0)</f>
        <v>NOMBRE 95</v>
      </c>
      <c r="F447" s="1288" t="s">
        <v>407</v>
      </c>
      <c r="G447" s="1239">
        <v>660000</v>
      </c>
      <c r="H447" s="989">
        <f t="shared" si="12"/>
        <v>531645670</v>
      </c>
      <c r="I447" s="997" t="s">
        <v>1498</v>
      </c>
      <c r="K447" s="19"/>
    </row>
    <row r="448" spans="1:11" x14ac:dyDescent="0.2">
      <c r="A448" s="1234">
        <v>45848</v>
      </c>
      <c r="B448" s="1241">
        <v>27</v>
      </c>
      <c r="C448" s="1187">
        <v>359</v>
      </c>
      <c r="D448" s="443" t="str">
        <f>_xlfn.XLOOKUP(B448,Códigos!$A$421:$A$483,Códigos!$B$421:$B$483,"Verificar",0)</f>
        <v>Compra de: -Restaurante y cafetería</v>
      </c>
      <c r="E448" s="444" t="str">
        <f>_xlfn.XLOOKUP(C448,Códigos!$A$11:$A$415,Códigos!$B$11:$B$415,"Verificar",0)</f>
        <v>NOMBRE 232</v>
      </c>
      <c r="F448" s="1288" t="s">
        <v>407</v>
      </c>
      <c r="G448" s="1239">
        <v>400000</v>
      </c>
      <c r="H448" s="989">
        <f t="shared" si="12"/>
        <v>532045670</v>
      </c>
      <c r="I448" s="1292" t="s">
        <v>1155</v>
      </c>
      <c r="K448" s="19"/>
    </row>
    <row r="449" spans="1:11" x14ac:dyDescent="0.2">
      <c r="A449" s="1234">
        <v>45848</v>
      </c>
      <c r="B449" s="1187">
        <v>1</v>
      </c>
      <c r="C449" s="1187">
        <v>359</v>
      </c>
      <c r="D449" s="443" t="str">
        <f>_xlfn.XLOOKUP(B449,Códigos!$A$421:$A$483,Códigos!$B$421:$B$483,"Verificar",0)</f>
        <v>Gastos personales</v>
      </c>
      <c r="E449" s="444" t="str">
        <f>_xlfn.XLOOKUP(C449,Códigos!$A$11:$A$415,Códigos!$B$11:$B$415,"Verificar",0)</f>
        <v>NOMBRE 232</v>
      </c>
      <c r="F449" s="1288" t="s">
        <v>1103</v>
      </c>
      <c r="G449" s="1239">
        <v>600000</v>
      </c>
      <c r="H449" s="989">
        <f t="shared" si="12"/>
        <v>532645670</v>
      </c>
      <c r="I449" s="1049" t="s">
        <v>1452</v>
      </c>
      <c r="K449" s="19"/>
    </row>
    <row r="450" spans="1:11" x14ac:dyDescent="0.2">
      <c r="A450" s="1234">
        <v>45848</v>
      </c>
      <c r="B450" s="1000">
        <v>9</v>
      </c>
      <c r="C450" s="996">
        <v>359</v>
      </c>
      <c r="D450" s="443" t="str">
        <f>_xlfn.XLOOKUP(B450,Códigos!$A$421:$A$483,Códigos!$B$421:$B$483,"Verificar",0)</f>
        <v>Pagos de: -Servicios públicos -OFICINA-</v>
      </c>
      <c r="E450" s="444" t="str">
        <f>_xlfn.XLOOKUP(C450,Códigos!$A$11:$A$415,Códigos!$B$11:$B$415,"Verificar",0)</f>
        <v>NOMBRE 232</v>
      </c>
      <c r="F450" s="1288" t="s">
        <v>407</v>
      </c>
      <c r="G450" s="1239">
        <v>136651</v>
      </c>
      <c r="H450" s="989">
        <f t="shared" si="12"/>
        <v>532782321</v>
      </c>
      <c r="I450" s="1049" t="s">
        <v>1491</v>
      </c>
      <c r="K450" s="19"/>
    </row>
    <row r="451" spans="1:11" x14ac:dyDescent="0.2">
      <c r="A451" s="1234">
        <v>45848</v>
      </c>
      <c r="B451" s="1000">
        <v>9</v>
      </c>
      <c r="C451" s="996">
        <v>359</v>
      </c>
      <c r="D451" s="443" t="str">
        <f>_xlfn.XLOOKUP(B451,Códigos!$A$421:$A$483,Códigos!$B$421:$B$483,"Verificar",0)</f>
        <v>Pagos de: -Servicios públicos -OFICINA-</v>
      </c>
      <c r="E451" s="444" t="str">
        <f>_xlfn.XLOOKUP(C451,Códigos!$A$11:$A$415,Códigos!$B$11:$B$415,"Verificar",0)</f>
        <v>NOMBRE 232</v>
      </c>
      <c r="F451" s="1288" t="s">
        <v>407</v>
      </c>
      <c r="G451" s="1239">
        <v>156816</v>
      </c>
      <c r="H451" s="989">
        <f t="shared" si="12"/>
        <v>532939137</v>
      </c>
      <c r="I451" s="1049" t="s">
        <v>1490</v>
      </c>
      <c r="K451" s="19"/>
    </row>
    <row r="452" spans="1:11" x14ac:dyDescent="0.2">
      <c r="A452" s="1234">
        <v>45848</v>
      </c>
      <c r="B452" s="1000">
        <v>9</v>
      </c>
      <c r="C452" s="996">
        <v>359</v>
      </c>
      <c r="D452" s="443" t="str">
        <f>_xlfn.XLOOKUP(B452,Códigos!$A$421:$A$483,Códigos!$B$421:$B$483,"Verificar",0)</f>
        <v>Pagos de: -Servicios públicos -OFICINA-</v>
      </c>
      <c r="E452" s="444" t="str">
        <f>_xlfn.XLOOKUP(C452,Códigos!$A$11:$A$415,Códigos!$B$11:$B$415,"Verificar",0)</f>
        <v>NOMBRE 232</v>
      </c>
      <c r="F452" s="1288" t="s">
        <v>407</v>
      </c>
      <c r="G452" s="1239">
        <v>163512</v>
      </c>
      <c r="H452" s="989">
        <f t="shared" si="12"/>
        <v>533102649</v>
      </c>
      <c r="I452" s="1049" t="s">
        <v>1489</v>
      </c>
      <c r="K452" s="19"/>
    </row>
    <row r="453" spans="1:11" x14ac:dyDescent="0.2">
      <c r="A453" s="1234">
        <v>45848</v>
      </c>
      <c r="B453" s="1241">
        <v>1</v>
      </c>
      <c r="C453" s="1187">
        <v>359</v>
      </c>
      <c r="D453" s="443" t="str">
        <f>_xlfn.XLOOKUP(B453,Códigos!$A$421:$A$483,Códigos!$B$421:$B$483,"Verificar",0)</f>
        <v>Gastos personales</v>
      </c>
      <c r="E453" s="444" t="str">
        <f>_xlfn.XLOOKUP(C453,Códigos!$A$11:$A$415,Códigos!$B$11:$B$415,"Verificar",0)</f>
        <v>NOMBRE 232</v>
      </c>
      <c r="F453" s="1288" t="s">
        <v>1103</v>
      </c>
      <c r="G453" s="1239">
        <v>690800</v>
      </c>
      <c r="H453" s="989">
        <f t="shared" si="12"/>
        <v>533793449</v>
      </c>
      <c r="I453" s="1049" t="s">
        <v>1476</v>
      </c>
      <c r="K453" s="19"/>
    </row>
    <row r="454" spans="1:11" x14ac:dyDescent="0.2">
      <c r="A454" s="1234">
        <v>45848</v>
      </c>
      <c r="B454" s="1000">
        <v>9</v>
      </c>
      <c r="C454" s="996">
        <v>359</v>
      </c>
      <c r="D454" s="443" t="str">
        <f>_xlfn.XLOOKUP(B454,Códigos!$A$421:$A$483,Códigos!$B$421:$B$483,"Verificar",0)</f>
        <v>Pagos de: -Servicios públicos -OFICINA-</v>
      </c>
      <c r="E454" s="444" t="str">
        <f>_xlfn.XLOOKUP(C454,Códigos!$A$11:$A$415,Códigos!$B$11:$B$415,"Verificar",0)</f>
        <v>NOMBRE 232</v>
      </c>
      <c r="F454" s="1288" t="s">
        <v>407</v>
      </c>
      <c r="G454" s="1239">
        <v>70195</v>
      </c>
      <c r="H454" s="989">
        <f t="shared" si="12"/>
        <v>533863644</v>
      </c>
      <c r="I454" s="1049" t="s">
        <v>1492</v>
      </c>
      <c r="K454" s="19"/>
    </row>
    <row r="455" spans="1:11" x14ac:dyDescent="0.2">
      <c r="A455" s="1234">
        <v>45848</v>
      </c>
      <c r="B455" s="1241">
        <v>11</v>
      </c>
      <c r="C455" s="1187">
        <v>359</v>
      </c>
      <c r="D455" s="443" t="str">
        <f>_xlfn.XLOOKUP(B455,Códigos!$A$421:$A$483,Códigos!$B$421:$B$483,"Verificar",0)</f>
        <v>Pagos de: -Servicios Administracion y otros Oficina</v>
      </c>
      <c r="E455" s="444" t="str">
        <f>_xlfn.XLOOKUP(C455,Códigos!$A$11:$A$415,Códigos!$B$11:$B$415,"Verificar",0)</f>
        <v>NOMBRE 232</v>
      </c>
      <c r="F455" s="1288" t="s">
        <v>407</v>
      </c>
      <c r="G455" s="1239">
        <v>1960522</v>
      </c>
      <c r="H455" s="989">
        <f t="shared" si="12"/>
        <v>535824166</v>
      </c>
      <c r="I455" s="1049" t="s">
        <v>1107</v>
      </c>
      <c r="K455" s="19"/>
    </row>
    <row r="456" spans="1:11" x14ac:dyDescent="0.2">
      <c r="A456" s="1234">
        <v>45849</v>
      </c>
      <c r="B456" s="1275">
        <v>39</v>
      </c>
      <c r="C456" s="1276">
        <v>362</v>
      </c>
      <c r="D456" s="443" t="str">
        <f>_xlfn.XLOOKUP(B456,Códigos!$A$421:$A$483,Códigos!$B$421:$B$483,"Verificar",0)</f>
        <v>Pago intereses préstamo Juliana</v>
      </c>
      <c r="E456" s="444" t="str">
        <f>_xlfn.XLOOKUP(C456,Códigos!$A$11:$A$415,Códigos!$B$11:$B$415,"Verificar",0)</f>
        <v>NOMBRE 97</v>
      </c>
      <c r="F456" s="1288" t="s">
        <v>407</v>
      </c>
      <c r="G456" s="1239">
        <v>350000</v>
      </c>
      <c r="H456" s="989">
        <f t="shared" si="12"/>
        <v>536174166</v>
      </c>
      <c r="I456" s="1274" t="s">
        <v>1422</v>
      </c>
      <c r="K456" s="19"/>
    </row>
    <row r="457" spans="1:11" x14ac:dyDescent="0.2">
      <c r="A457" s="1234">
        <v>45849</v>
      </c>
      <c r="B457" s="1275">
        <v>21</v>
      </c>
      <c r="C457" s="1276">
        <v>362</v>
      </c>
      <c r="D457" s="443" t="str">
        <f>_xlfn.XLOOKUP(B457,Códigos!$A$421:$A$483,Códigos!$B$421:$B$483,"Verificar",0)</f>
        <v>Pagos de: -Cuentas por Pagar a:</v>
      </c>
      <c r="E457" s="444" t="str">
        <f>_xlfn.XLOOKUP(C457,Códigos!$A$11:$A$415,Códigos!$B$11:$B$415,"Verificar",0)</f>
        <v>NOMBRE 97</v>
      </c>
      <c r="F457" s="1288" t="s">
        <v>407</v>
      </c>
      <c r="G457" s="1239">
        <v>200000</v>
      </c>
      <c r="H457" s="989">
        <f t="shared" si="12"/>
        <v>536374166</v>
      </c>
      <c r="I457" s="1274" t="s">
        <v>1350</v>
      </c>
      <c r="K457" s="19"/>
    </row>
    <row r="458" spans="1:11" x14ac:dyDescent="0.2">
      <c r="A458" s="1234">
        <v>45853</v>
      </c>
      <c r="B458" s="1241">
        <v>22</v>
      </c>
      <c r="C458" s="1187">
        <v>359</v>
      </c>
      <c r="D458" s="443" t="str">
        <f>_xlfn.XLOOKUP(B458,Códigos!$A$421:$A$483,Códigos!$B$421:$B$483,"Verificar",0)</f>
        <v>Compra de: -Equipos, dotaciones y repuestos para oficina</v>
      </c>
      <c r="E458" s="444" t="str">
        <f>_xlfn.XLOOKUP(C458,Códigos!$A$11:$A$415,Códigos!$B$11:$B$415,"Verificar",0)</f>
        <v>NOMBRE 232</v>
      </c>
      <c r="F458" s="1288" t="s">
        <v>407</v>
      </c>
      <c r="G458" s="1239">
        <v>490000</v>
      </c>
      <c r="H458" s="989">
        <f t="shared" si="12"/>
        <v>536864166</v>
      </c>
      <c r="I458" s="1052" t="s">
        <v>1494</v>
      </c>
      <c r="K458" s="19"/>
    </row>
    <row r="459" spans="1:11" x14ac:dyDescent="0.2">
      <c r="A459" s="1234">
        <v>45853</v>
      </c>
      <c r="B459" s="1241">
        <v>23</v>
      </c>
      <c r="C459" s="1187">
        <v>359</v>
      </c>
      <c r="D459" s="443" t="str">
        <f>_xlfn.XLOOKUP(B459,Códigos!$A$421:$A$483,Códigos!$B$421:$B$483,"Verificar",0)</f>
        <v>Compra de: -Útiles de aseo</v>
      </c>
      <c r="E459" s="444" t="str">
        <f>_xlfn.XLOOKUP(C459,Códigos!$A$11:$A$415,Códigos!$B$11:$B$415,"Verificar",0)</f>
        <v>NOMBRE 232</v>
      </c>
      <c r="F459" s="1288" t="s">
        <v>407</v>
      </c>
      <c r="G459" s="1239">
        <v>80000</v>
      </c>
      <c r="H459" s="989">
        <f t="shared" si="12"/>
        <v>536944166</v>
      </c>
      <c r="I459" s="1052" t="s">
        <v>1046</v>
      </c>
      <c r="K459" s="19"/>
    </row>
    <row r="460" spans="1:11" x14ac:dyDescent="0.2">
      <c r="A460" s="1234">
        <v>45855</v>
      </c>
      <c r="B460" s="1241">
        <v>12</v>
      </c>
      <c r="C460" s="1187">
        <v>359</v>
      </c>
      <c r="D460" s="443" t="str">
        <f>_xlfn.XLOOKUP(B460,Códigos!$A$421:$A$483,Códigos!$B$421:$B$483,"Verificar",0)</f>
        <v>Pagos de: -Celulares</v>
      </c>
      <c r="E460" s="444" t="str">
        <f>_xlfn.XLOOKUP(C460,Códigos!$A$11:$A$415,Códigos!$B$11:$B$415,"Verificar",0)</f>
        <v>NOMBRE 232</v>
      </c>
      <c r="F460" s="1288" t="s">
        <v>407</v>
      </c>
      <c r="G460" s="1239">
        <v>59125</v>
      </c>
      <c r="H460" s="989">
        <f t="shared" si="12"/>
        <v>537003291</v>
      </c>
      <c r="I460" s="1049" t="s">
        <v>1211</v>
      </c>
      <c r="K460" s="19"/>
    </row>
    <row r="461" spans="1:11" x14ac:dyDescent="0.2">
      <c r="A461" s="1234">
        <v>45855</v>
      </c>
      <c r="B461" s="1000">
        <v>8</v>
      </c>
      <c r="C461" s="996">
        <v>356</v>
      </c>
      <c r="D461" s="443" t="str">
        <f>_xlfn.XLOOKUP(B461,Códigos!$A$421:$A$483,Códigos!$B$421:$B$483,"Verificar",0)</f>
        <v>Pagos de: -Cuota para alimentos y Manuntención</v>
      </c>
      <c r="E461" s="444" t="str">
        <f>_xlfn.XLOOKUP(C461,Códigos!$A$11:$A$415,Códigos!$B$11:$B$415,"Verificar",0)</f>
        <v>NOMBRE 108</v>
      </c>
      <c r="F461" s="1288" t="s">
        <v>1103</v>
      </c>
      <c r="G461" s="990">
        <v>220000</v>
      </c>
      <c r="H461" s="989">
        <f t="shared" si="12"/>
        <v>537223291</v>
      </c>
      <c r="I461" s="1050" t="s">
        <v>1083</v>
      </c>
      <c r="K461" s="19"/>
    </row>
    <row r="462" spans="1:11" x14ac:dyDescent="0.2">
      <c r="A462" s="1234">
        <v>45855</v>
      </c>
      <c r="B462" s="1000">
        <v>8</v>
      </c>
      <c r="C462" s="996">
        <v>358</v>
      </c>
      <c r="D462" s="443" t="str">
        <f>_xlfn.XLOOKUP(B462,Códigos!$A$421:$A$483,Códigos!$B$421:$B$483,"Verificar",0)</f>
        <v>Pagos de: -Cuota para alimentos y Manuntención</v>
      </c>
      <c r="E462" s="444" t="str">
        <f>_xlfn.XLOOKUP(C462,Códigos!$A$11:$A$415,Códigos!$B$11:$B$415,"Verificar",0)</f>
        <v>NOMBRE 338</v>
      </c>
      <c r="F462" s="1288" t="s">
        <v>1103</v>
      </c>
      <c r="G462" s="1280">
        <v>380000</v>
      </c>
      <c r="H462" s="989">
        <f t="shared" si="12"/>
        <v>537603291</v>
      </c>
      <c r="I462" s="997" t="s">
        <v>1502</v>
      </c>
      <c r="K462" s="19"/>
    </row>
    <row r="463" spans="1:11" x14ac:dyDescent="0.2">
      <c r="A463" s="1234">
        <v>45855</v>
      </c>
      <c r="B463" s="1241">
        <v>12</v>
      </c>
      <c r="C463" s="1187">
        <v>359</v>
      </c>
      <c r="D463" s="443" t="str">
        <f>_xlfn.XLOOKUP(B463,Códigos!$A$421:$A$483,Códigos!$B$421:$B$483,"Verificar",0)</f>
        <v>Pagos de: -Celulares</v>
      </c>
      <c r="E463" s="444" t="str">
        <f>_xlfn.XLOOKUP(C463,Códigos!$A$11:$A$415,Códigos!$B$11:$B$415,"Verificar",0)</f>
        <v>NOMBRE 232</v>
      </c>
      <c r="F463" s="1288" t="s">
        <v>407</v>
      </c>
      <c r="G463" s="1239">
        <v>22000</v>
      </c>
      <c r="H463" s="989">
        <f t="shared" si="12"/>
        <v>537625291</v>
      </c>
      <c r="I463" s="1049" t="s">
        <v>1496</v>
      </c>
      <c r="K463" s="19"/>
    </row>
    <row r="464" spans="1:11" x14ac:dyDescent="0.2">
      <c r="A464" s="1234">
        <v>45855</v>
      </c>
      <c r="B464" s="1000">
        <v>9</v>
      </c>
      <c r="C464" s="996">
        <v>359</v>
      </c>
      <c r="D464" s="443" t="str">
        <f>_xlfn.XLOOKUP(B464,Códigos!$A$421:$A$483,Códigos!$B$421:$B$483,"Verificar",0)</f>
        <v>Pagos de: -Servicios públicos -OFICINA-</v>
      </c>
      <c r="E464" s="444" t="str">
        <f>_xlfn.XLOOKUP(C464,Códigos!$A$11:$A$415,Códigos!$B$11:$B$415,"Verificar",0)</f>
        <v>NOMBRE 232</v>
      </c>
      <c r="F464" s="1288" t="s">
        <v>407</v>
      </c>
      <c r="G464" s="1239">
        <v>463796</v>
      </c>
      <c r="H464" s="1239">
        <f t="shared" ref="H464:H466" si="13">+H463+G464</f>
        <v>538089087</v>
      </c>
      <c r="I464" s="1049" t="s">
        <v>1497</v>
      </c>
      <c r="K464" s="19"/>
    </row>
    <row r="465" spans="1:11" x14ac:dyDescent="0.2">
      <c r="A465" s="1234">
        <v>45855</v>
      </c>
      <c r="B465" s="1000">
        <v>8</v>
      </c>
      <c r="C465" s="1187">
        <v>357</v>
      </c>
      <c r="D465" s="443" t="str">
        <f>_xlfn.XLOOKUP(B465,Códigos!$A$421:$A$483,Códigos!$B$421:$B$483,"Verificar",0)</f>
        <v>Pagos de: -Cuota para alimentos y Manuntención</v>
      </c>
      <c r="E465" s="444" t="str">
        <f>_xlfn.XLOOKUP(C465,Códigos!$A$11:$A$415,Códigos!$B$11:$B$415,"Verificar",0)</f>
        <v>NOMBRE 107</v>
      </c>
      <c r="F465" s="1288" t="s">
        <v>1103</v>
      </c>
      <c r="G465" s="1239">
        <v>220000</v>
      </c>
      <c r="H465" s="989">
        <f t="shared" si="13"/>
        <v>538309087</v>
      </c>
      <c r="I465" s="1050" t="s">
        <v>1083</v>
      </c>
      <c r="K465" s="19"/>
    </row>
    <row r="466" spans="1:11" x14ac:dyDescent="0.2">
      <c r="A466" s="1234">
        <v>45855</v>
      </c>
      <c r="B466" s="1000">
        <v>2</v>
      </c>
      <c r="C466" s="1187">
        <v>353</v>
      </c>
      <c r="D466" s="443" t="str">
        <f>_xlfn.XLOOKUP(B466,Códigos!$A$421:$A$483,Códigos!$B$421:$B$483,"Verificar",0)</f>
        <v>Pago de Salarios a:</v>
      </c>
      <c r="E466" s="444" t="str">
        <f>_xlfn.XLOOKUP(C466,Códigos!$A$11:$A$415,Códigos!$B$11:$B$415,"Verificar",0)</f>
        <v>NOMBRE 31</v>
      </c>
      <c r="F466" s="1288" t="s">
        <v>407</v>
      </c>
      <c r="G466" s="1239">
        <v>660000</v>
      </c>
      <c r="H466" s="989">
        <f t="shared" si="13"/>
        <v>538969087</v>
      </c>
      <c r="I466" s="997" t="s">
        <v>1501</v>
      </c>
      <c r="K466" s="19"/>
    </row>
    <row r="467" spans="1:11" x14ac:dyDescent="0.2">
      <c r="A467" s="1234">
        <v>45855</v>
      </c>
      <c r="B467" s="1000">
        <v>8</v>
      </c>
      <c r="C467" s="1187">
        <v>357</v>
      </c>
      <c r="D467" s="443" t="str">
        <f>_xlfn.XLOOKUP(B467,Códigos!$A$421:$A$483,Códigos!$B$421:$B$483,"Verificar",0)</f>
        <v>Pagos de: -Cuota para alimentos y Manuntención</v>
      </c>
      <c r="E467" s="444" t="str">
        <f>_xlfn.XLOOKUP(C467,Códigos!$A$11:$A$415,Códigos!$B$11:$B$415,"Verificar",0)</f>
        <v>NOMBRE 107</v>
      </c>
      <c r="F467" s="1288" t="s">
        <v>1103</v>
      </c>
      <c r="G467" s="1239">
        <v>180000</v>
      </c>
      <c r="H467" s="989">
        <f t="shared" si="12"/>
        <v>539149087</v>
      </c>
      <c r="I467" s="1049" t="s">
        <v>1499</v>
      </c>
      <c r="K467" s="19"/>
    </row>
    <row r="468" spans="1:11" x14ac:dyDescent="0.2">
      <c r="A468" s="1234">
        <v>45855</v>
      </c>
      <c r="B468" s="1000">
        <v>9</v>
      </c>
      <c r="C468" s="996">
        <v>359</v>
      </c>
      <c r="D468" s="443" t="str">
        <f>_xlfn.XLOOKUP(B468,Códigos!$A$421:$A$483,Códigos!$B$421:$B$483,"Verificar",0)</f>
        <v>Pagos de: -Servicios públicos -OFICINA-</v>
      </c>
      <c r="E468" s="444" t="str">
        <f>_xlfn.XLOOKUP(C468,Códigos!$A$11:$A$415,Códigos!$B$11:$B$415,"Verificar",0)</f>
        <v>NOMBRE 232</v>
      </c>
      <c r="F468" s="1288" t="s">
        <v>407</v>
      </c>
      <c r="G468" s="1239">
        <v>8500</v>
      </c>
      <c r="H468" s="1239">
        <f t="shared" si="12"/>
        <v>539157587</v>
      </c>
      <c r="I468" s="1052" t="s">
        <v>1500</v>
      </c>
      <c r="K468" s="19"/>
    </row>
    <row r="469" spans="1:11" x14ac:dyDescent="0.2">
      <c r="A469" s="1234">
        <v>45857</v>
      </c>
      <c r="B469" s="1241">
        <v>1</v>
      </c>
      <c r="C469" s="1187">
        <v>359</v>
      </c>
      <c r="D469" s="443" t="str">
        <f>_xlfn.XLOOKUP(B469,Códigos!$A$421:$A$483,Códigos!$B$421:$B$483,"Verificar",0)</f>
        <v>Gastos personales</v>
      </c>
      <c r="E469" s="444" t="str">
        <f>_xlfn.XLOOKUP(C469,Códigos!$A$11:$A$415,Códigos!$B$11:$B$415,"Verificar",0)</f>
        <v>NOMBRE 232</v>
      </c>
      <c r="F469" s="1288" t="s">
        <v>1103</v>
      </c>
      <c r="G469" s="1239">
        <v>1287000</v>
      </c>
      <c r="H469" s="989">
        <f t="shared" ref="H469" si="14">+H468+G469</f>
        <v>540444587</v>
      </c>
      <c r="I469" s="1049" t="s">
        <v>1476</v>
      </c>
      <c r="K469" s="19"/>
    </row>
    <row r="470" spans="1:11" x14ac:dyDescent="0.2">
      <c r="A470" s="1234">
        <v>45857</v>
      </c>
      <c r="B470" s="1000">
        <v>2</v>
      </c>
      <c r="C470" s="996">
        <v>262</v>
      </c>
      <c r="D470" s="443" t="str">
        <f>_xlfn.XLOOKUP(B470,Códigos!$A$421:$A$483,Códigos!$B$421:$B$483,"Verificar",0)</f>
        <v>Pago de Salarios a:</v>
      </c>
      <c r="E470" s="444" t="str">
        <f>_xlfn.XLOOKUP(C470,Códigos!$A$11:$A$415,Códigos!$B$11:$B$415,"Verificar",0)</f>
        <v>NOMBRE 95</v>
      </c>
      <c r="F470" s="1288" t="s">
        <v>407</v>
      </c>
      <c r="G470" s="1239">
        <v>660000</v>
      </c>
      <c r="H470" s="989">
        <f t="shared" si="12"/>
        <v>541104587</v>
      </c>
      <c r="I470" s="997" t="s">
        <v>1501</v>
      </c>
      <c r="K470" s="19"/>
    </row>
    <row r="471" spans="1:11" x14ac:dyDescent="0.2">
      <c r="A471" s="1234">
        <v>45857</v>
      </c>
      <c r="B471" s="1241">
        <v>1</v>
      </c>
      <c r="C471" s="1187">
        <v>359</v>
      </c>
      <c r="D471" s="443" t="str">
        <f>_xlfn.XLOOKUP(B471,Códigos!$A$421:$A$483,Códigos!$B$421:$B$483,"Verificar",0)</f>
        <v>Gastos personales</v>
      </c>
      <c r="E471" s="444" t="str">
        <f>_xlfn.XLOOKUP(C471,Códigos!$A$11:$A$415,Códigos!$B$11:$B$415,"Verificar",0)</f>
        <v>NOMBRE 232</v>
      </c>
      <c r="F471" s="1288" t="s">
        <v>1103</v>
      </c>
      <c r="G471" s="1239">
        <v>500000</v>
      </c>
      <c r="H471" s="989">
        <f t="shared" ref="H471:H482" si="15">+H470+G471</f>
        <v>541604587</v>
      </c>
      <c r="I471" s="1049" t="s">
        <v>1452</v>
      </c>
      <c r="K471" s="19"/>
    </row>
    <row r="472" spans="1:11" x14ac:dyDescent="0.2">
      <c r="A472" s="1234">
        <v>45861</v>
      </c>
      <c r="B472" s="1241">
        <v>8</v>
      </c>
      <c r="C472" s="1187">
        <v>356</v>
      </c>
      <c r="D472" s="443" t="str">
        <f>_xlfn.XLOOKUP(B472,Códigos!$A$421:$A$483,Códigos!$B$421:$B$483,"Verificar",0)</f>
        <v>Pagos de: -Cuota para alimentos y Manuntención</v>
      </c>
      <c r="E472" s="444" t="str">
        <f>_xlfn.XLOOKUP(C472,Códigos!$A$11:$A$415,Códigos!$B$11:$B$415,"Verificar",0)</f>
        <v>NOMBRE 108</v>
      </c>
      <c r="F472" s="1288" t="s">
        <v>1103</v>
      </c>
      <c r="G472" s="1239">
        <v>3843400</v>
      </c>
      <c r="H472" s="989">
        <f t="shared" si="15"/>
        <v>545447987</v>
      </c>
      <c r="I472" s="1049" t="s">
        <v>1252</v>
      </c>
      <c r="K472" s="19"/>
    </row>
    <row r="473" spans="1:11" x14ac:dyDescent="0.2">
      <c r="A473" s="1234">
        <v>45861</v>
      </c>
      <c r="B473" s="1000">
        <v>8</v>
      </c>
      <c r="C473" s="1187">
        <v>357</v>
      </c>
      <c r="D473" s="443" t="str">
        <f>_xlfn.XLOOKUP(B473,Códigos!$A$421:$A$483,Códigos!$B$421:$B$483,"Verificar",0)</f>
        <v>Pagos de: -Cuota para alimentos y Manuntención</v>
      </c>
      <c r="E473" s="444" t="str">
        <f>_xlfn.XLOOKUP(C473,Códigos!$A$11:$A$415,Códigos!$B$11:$B$415,"Verificar",0)</f>
        <v>NOMBRE 107</v>
      </c>
      <c r="F473" s="1288" t="s">
        <v>1103</v>
      </c>
      <c r="G473" s="1239">
        <v>220000</v>
      </c>
      <c r="H473" s="989">
        <f t="shared" si="15"/>
        <v>545667987</v>
      </c>
      <c r="I473" s="1050" t="s">
        <v>1083</v>
      </c>
      <c r="K473" s="19"/>
    </row>
    <row r="474" spans="1:11" x14ac:dyDescent="0.2">
      <c r="A474" s="1234">
        <v>45861</v>
      </c>
      <c r="B474" s="1000">
        <v>2</v>
      </c>
      <c r="C474" s="1187">
        <v>353</v>
      </c>
      <c r="D474" s="443" t="str">
        <f>_xlfn.XLOOKUP(B474,Códigos!$A$421:$A$483,Códigos!$B$421:$B$483,"Verificar",0)</f>
        <v>Pago de Salarios a:</v>
      </c>
      <c r="E474" s="444" t="str">
        <f>_xlfn.XLOOKUP(C474,Códigos!$A$11:$A$415,Códigos!$B$11:$B$415,"Verificar",0)</f>
        <v>NOMBRE 31</v>
      </c>
      <c r="F474" s="1288" t="s">
        <v>407</v>
      </c>
      <c r="G474" s="1239">
        <v>660000</v>
      </c>
      <c r="H474" s="989">
        <f t="shared" si="15"/>
        <v>546327987</v>
      </c>
      <c r="I474" s="997" t="s">
        <v>1503</v>
      </c>
      <c r="K474" s="19"/>
    </row>
    <row r="475" spans="1:11" x14ac:dyDescent="0.2">
      <c r="A475" s="1234">
        <v>45863</v>
      </c>
      <c r="B475" s="1187">
        <v>8</v>
      </c>
      <c r="C475" s="1187">
        <v>359</v>
      </c>
      <c r="D475" s="443" t="str">
        <f>_xlfn.XLOOKUP(B475,Códigos!$A$421:$A$483,Códigos!$B$421:$B$483,"Verificar",0)</f>
        <v>Pagos de: -Cuota para alimentos y Manuntención</v>
      </c>
      <c r="E475" s="444" t="str">
        <f>_xlfn.XLOOKUP(C475,Códigos!$A$11:$A$415,Códigos!$B$11:$B$415,"Verificar",0)</f>
        <v>NOMBRE 232</v>
      </c>
      <c r="F475" s="1288" t="s">
        <v>407</v>
      </c>
      <c r="G475" s="1239">
        <v>418450</v>
      </c>
      <c r="H475" s="989">
        <f t="shared" si="15"/>
        <v>546746437</v>
      </c>
      <c r="I475" s="998" t="s">
        <v>1317</v>
      </c>
      <c r="K475" s="19"/>
    </row>
    <row r="476" spans="1:11" x14ac:dyDescent="0.2">
      <c r="A476" s="1234">
        <v>45863</v>
      </c>
      <c r="B476" s="1000">
        <v>8</v>
      </c>
      <c r="C476" s="996">
        <v>356</v>
      </c>
      <c r="D476" s="443" t="str">
        <f>_xlfn.XLOOKUP(B476,Códigos!$A$421:$A$483,Códigos!$B$421:$B$483,"Verificar",0)</f>
        <v>Pagos de: -Cuota para alimentos y Manuntención</v>
      </c>
      <c r="E476" s="444" t="str">
        <f>_xlfn.XLOOKUP(C476,Códigos!$A$11:$A$415,Códigos!$B$11:$B$415,"Verificar",0)</f>
        <v>NOMBRE 108</v>
      </c>
      <c r="F476" s="1288" t="s">
        <v>1103</v>
      </c>
      <c r="G476" s="990">
        <v>220000</v>
      </c>
      <c r="H476" s="989">
        <f t="shared" si="15"/>
        <v>546966437</v>
      </c>
      <c r="I476" s="1050" t="s">
        <v>1083</v>
      </c>
      <c r="K476" s="19"/>
    </row>
    <row r="477" spans="1:11" x14ac:dyDescent="0.2">
      <c r="A477" s="1234">
        <v>45863</v>
      </c>
      <c r="B477" s="1000">
        <v>8</v>
      </c>
      <c r="C477" s="996">
        <v>358</v>
      </c>
      <c r="D477" s="443" t="str">
        <f>_xlfn.XLOOKUP(B477,Códigos!$A$421:$A$483,Códigos!$B$421:$B$483,"Verificar",0)</f>
        <v>Pagos de: -Cuota para alimentos y Manuntención</v>
      </c>
      <c r="E477" s="444" t="str">
        <f>_xlfn.XLOOKUP(C477,Códigos!$A$11:$A$415,Códigos!$B$11:$B$415,"Verificar",0)</f>
        <v>NOMBRE 338</v>
      </c>
      <c r="F477" s="1288" t="s">
        <v>1103</v>
      </c>
      <c r="G477" s="1280">
        <v>380000</v>
      </c>
      <c r="H477" s="989">
        <f t="shared" si="15"/>
        <v>547346437</v>
      </c>
      <c r="I477" s="997" t="s">
        <v>1504</v>
      </c>
      <c r="K477" s="19"/>
    </row>
    <row r="478" spans="1:11" x14ac:dyDescent="0.2">
      <c r="A478" s="1234">
        <v>45863</v>
      </c>
      <c r="B478" s="1241">
        <v>27</v>
      </c>
      <c r="C478" s="1187">
        <v>359</v>
      </c>
      <c r="D478" s="443" t="str">
        <f>_xlfn.XLOOKUP(B478,Códigos!$A$421:$A$483,Códigos!$B$421:$B$483,"Verificar",0)</f>
        <v>Compra de: -Restaurante y cafetería</v>
      </c>
      <c r="E478" s="444" t="str">
        <f>_xlfn.XLOOKUP(C478,Códigos!$A$11:$A$415,Códigos!$B$11:$B$415,"Verificar",0)</f>
        <v>NOMBRE 232</v>
      </c>
      <c r="F478" s="1288" t="s">
        <v>407</v>
      </c>
      <c r="G478" s="1239">
        <v>300000</v>
      </c>
      <c r="H478" s="989">
        <f t="shared" si="15"/>
        <v>547646437</v>
      </c>
      <c r="I478" s="1292" t="s">
        <v>1505</v>
      </c>
      <c r="K478" s="19"/>
    </row>
    <row r="479" spans="1:11" x14ac:dyDescent="0.2">
      <c r="A479" s="1234">
        <v>45863</v>
      </c>
      <c r="B479" s="1241">
        <v>22</v>
      </c>
      <c r="C479" s="1187">
        <v>359</v>
      </c>
      <c r="D479" s="443" t="str">
        <f>_xlfn.XLOOKUP(B479,Códigos!$A$421:$A$483,Códigos!$B$421:$B$483,"Verificar",0)</f>
        <v>Compra de: -Equipos, dotaciones y repuestos para oficina</v>
      </c>
      <c r="E479" s="444" t="str">
        <f>_xlfn.XLOOKUP(C479,Códigos!$A$11:$A$415,Códigos!$B$11:$B$415,"Verificar",0)</f>
        <v>NOMBRE 232</v>
      </c>
      <c r="F479" s="1288" t="s">
        <v>407</v>
      </c>
      <c r="G479" s="1239">
        <v>220000</v>
      </c>
      <c r="H479" s="989">
        <f t="shared" si="15"/>
        <v>547866437</v>
      </c>
      <c r="I479" s="1049" t="s">
        <v>1506</v>
      </c>
      <c r="K479" s="19"/>
    </row>
    <row r="480" spans="1:11" x14ac:dyDescent="0.2">
      <c r="A480" s="1234">
        <v>45863</v>
      </c>
      <c r="B480" s="1000">
        <v>2</v>
      </c>
      <c r="C480" s="996">
        <v>262</v>
      </c>
      <c r="D480" s="443" t="str">
        <f>_xlfn.XLOOKUP(B480,Códigos!$A$421:$A$483,Códigos!$B$421:$B$483,"Verificar",0)</f>
        <v>Pago de Salarios a:</v>
      </c>
      <c r="E480" s="444" t="str">
        <f>_xlfn.XLOOKUP(C480,Códigos!$A$11:$A$415,Códigos!$B$11:$B$415,"Verificar",0)</f>
        <v>NOMBRE 95</v>
      </c>
      <c r="F480" s="1288" t="s">
        <v>407</v>
      </c>
      <c r="G480" s="1239">
        <v>660000</v>
      </c>
      <c r="H480" s="989">
        <f t="shared" si="15"/>
        <v>548526437</v>
      </c>
      <c r="I480" s="997" t="s">
        <v>1503</v>
      </c>
      <c r="K480" s="19"/>
    </row>
    <row r="481" spans="1:11" x14ac:dyDescent="0.2">
      <c r="A481" s="1234">
        <v>45863</v>
      </c>
      <c r="B481" s="1241">
        <v>1</v>
      </c>
      <c r="C481" s="1187">
        <v>359</v>
      </c>
      <c r="D481" s="443" t="str">
        <f>_xlfn.XLOOKUP(B481,Códigos!$A$421:$A$483,Códigos!$B$421:$B$483,"Verificar",0)</f>
        <v>Gastos personales</v>
      </c>
      <c r="E481" s="444" t="str">
        <f>_xlfn.XLOOKUP(C481,Códigos!$A$11:$A$415,Códigos!$B$11:$B$415,"Verificar",0)</f>
        <v>NOMBRE 232</v>
      </c>
      <c r="F481" s="1288" t="s">
        <v>1103</v>
      </c>
      <c r="G481" s="1239">
        <v>500000</v>
      </c>
      <c r="H481" s="989">
        <f t="shared" si="15"/>
        <v>549026437</v>
      </c>
      <c r="I481" s="1049" t="s">
        <v>1452</v>
      </c>
      <c r="K481" s="19"/>
    </row>
    <row r="482" spans="1:11" x14ac:dyDescent="0.2">
      <c r="A482" s="1234">
        <v>45864</v>
      </c>
      <c r="B482" s="1241">
        <v>1</v>
      </c>
      <c r="C482" s="1187">
        <v>359</v>
      </c>
      <c r="D482" s="443" t="str">
        <f>_xlfn.XLOOKUP(B482,Códigos!$A$421:$A$483,Códigos!$B$421:$B$483,"Verificar",0)</f>
        <v>Gastos personales</v>
      </c>
      <c r="E482" s="444" t="str">
        <f>_xlfn.XLOOKUP(C482,Códigos!$A$11:$A$415,Códigos!$B$11:$B$415,"Verificar",0)</f>
        <v>NOMBRE 232</v>
      </c>
      <c r="F482" s="1288" t="s">
        <v>1103</v>
      </c>
      <c r="G482" s="1239">
        <f>22450+33600+68000</f>
        <v>124050</v>
      </c>
      <c r="H482" s="989">
        <f t="shared" si="15"/>
        <v>549150487</v>
      </c>
      <c r="I482" s="1049" t="s">
        <v>1476</v>
      </c>
      <c r="K482" s="19"/>
    </row>
    <row r="483" spans="1:11" x14ac:dyDescent="0.2">
      <c r="A483" s="1234">
        <v>45866</v>
      </c>
      <c r="B483" s="1241">
        <v>1</v>
      </c>
      <c r="C483" s="1187">
        <v>359</v>
      </c>
      <c r="D483" s="443" t="str">
        <f>_xlfn.XLOOKUP(B483,Códigos!$A$421:$A$483,Códigos!$B$421:$B$483,"Verificar",0)</f>
        <v>Gastos personales</v>
      </c>
      <c r="E483" s="444" t="str">
        <f>_xlfn.XLOOKUP(C483,Códigos!$A$11:$A$415,Códigos!$B$11:$B$415,"Verificar",0)</f>
        <v>NOMBRE 232</v>
      </c>
      <c r="F483" s="1288" t="s">
        <v>1103</v>
      </c>
      <c r="G483" s="1239">
        <v>113200</v>
      </c>
      <c r="H483" s="989">
        <f t="shared" ref="H483:H487" si="16">+H482+G483</f>
        <v>549263687</v>
      </c>
      <c r="I483" s="1049" t="s">
        <v>1476</v>
      </c>
      <c r="K483" s="19"/>
    </row>
    <row r="484" spans="1:11" x14ac:dyDescent="0.2">
      <c r="A484" s="1234">
        <v>45867</v>
      </c>
      <c r="B484" s="1241">
        <v>1</v>
      </c>
      <c r="C484" s="1187">
        <v>355</v>
      </c>
      <c r="D484" s="443" t="str">
        <f>_xlfn.XLOOKUP(B484,Códigos!$A$421:$A$483,Códigos!$B$421:$B$483,"Verificar",0)</f>
        <v>Gastos personales</v>
      </c>
      <c r="E484" s="444" t="str">
        <f>_xlfn.XLOOKUP(C484,Códigos!$A$11:$A$415,Códigos!$B$11:$B$415,"Verificar",0)</f>
        <v>NOMBRE 96</v>
      </c>
      <c r="F484" s="1288" t="s">
        <v>407</v>
      </c>
      <c r="G484" s="1239">
        <v>500000</v>
      </c>
      <c r="H484" s="989">
        <f t="shared" si="16"/>
        <v>549763687</v>
      </c>
      <c r="I484" s="1049" t="s">
        <v>1230</v>
      </c>
      <c r="K484" s="19"/>
    </row>
    <row r="485" spans="1:11" x14ac:dyDescent="0.2">
      <c r="A485" s="1234">
        <v>45867</v>
      </c>
      <c r="B485" s="1241">
        <v>1</v>
      </c>
      <c r="C485" s="1187">
        <v>359</v>
      </c>
      <c r="D485" s="443" t="str">
        <f>_xlfn.XLOOKUP(B485,Códigos!$A$421:$A$483,Códigos!$B$421:$B$483,"Verificar",0)</f>
        <v>Gastos personales</v>
      </c>
      <c r="E485" s="444" t="str">
        <f>_xlfn.XLOOKUP(C485,Códigos!$A$11:$A$415,Códigos!$B$11:$B$415,"Verificar",0)</f>
        <v>NOMBRE 232</v>
      </c>
      <c r="F485" s="1288" t="s">
        <v>407</v>
      </c>
      <c r="G485" s="1239">
        <v>82500</v>
      </c>
      <c r="H485" s="989">
        <f t="shared" si="16"/>
        <v>549846187</v>
      </c>
      <c r="I485" s="1049" t="s">
        <v>1532</v>
      </c>
      <c r="K485" s="19"/>
    </row>
    <row r="486" spans="1:11" x14ac:dyDescent="0.2">
      <c r="A486" s="1234">
        <v>45868</v>
      </c>
      <c r="B486" s="1000">
        <v>8</v>
      </c>
      <c r="C486" s="1187">
        <v>357</v>
      </c>
      <c r="D486" s="443" t="str">
        <f>_xlfn.XLOOKUP(B486,Códigos!$A$421:$A$483,Códigos!$B$421:$B$483,"Verificar",0)</f>
        <v>Pagos de: -Cuota para alimentos y Manuntención</v>
      </c>
      <c r="E486" s="444" t="str">
        <f>_xlfn.XLOOKUP(C486,Códigos!$A$11:$A$415,Códigos!$B$11:$B$415,"Verificar",0)</f>
        <v>NOMBRE 107</v>
      </c>
      <c r="F486" s="1288" t="s">
        <v>1103</v>
      </c>
      <c r="G486" s="1239">
        <v>220000</v>
      </c>
      <c r="H486" s="989">
        <f t="shared" si="16"/>
        <v>550066187</v>
      </c>
      <c r="I486" s="1050" t="s">
        <v>1083</v>
      </c>
      <c r="K486" s="19"/>
    </row>
    <row r="487" spans="1:11" x14ac:dyDescent="0.2">
      <c r="A487" s="1234">
        <v>45868</v>
      </c>
      <c r="B487" s="1000">
        <v>2</v>
      </c>
      <c r="C487" s="1187">
        <v>353</v>
      </c>
      <c r="D487" s="443" t="str">
        <f>_xlfn.XLOOKUP(B487,Códigos!$A$421:$A$483,Códigos!$B$421:$B$483,"Verificar",0)</f>
        <v>Pago de Salarios a:</v>
      </c>
      <c r="E487" s="444" t="str">
        <f>_xlfn.XLOOKUP(C487,Códigos!$A$11:$A$415,Códigos!$B$11:$B$415,"Verificar",0)</f>
        <v>NOMBRE 31</v>
      </c>
      <c r="F487" s="1288" t="s">
        <v>407</v>
      </c>
      <c r="G487" s="1239">
        <v>660000</v>
      </c>
      <c r="H487" s="989">
        <f t="shared" si="16"/>
        <v>550726187</v>
      </c>
      <c r="I487" s="997" t="s">
        <v>1507</v>
      </c>
      <c r="K487" s="19"/>
    </row>
    <row r="488" spans="1:11" x14ac:dyDescent="0.2">
      <c r="A488" s="1234">
        <v>45868</v>
      </c>
      <c r="B488" s="1000">
        <v>8</v>
      </c>
      <c r="C488" s="1187">
        <v>357</v>
      </c>
      <c r="D488" s="443" t="str">
        <f>_xlfn.XLOOKUP(B488,Códigos!$A$421:$A$483,Códigos!$B$421:$B$483,"Verificar",0)</f>
        <v>Pagos de: -Cuota para alimentos y Manuntención</v>
      </c>
      <c r="E488" s="444" t="str">
        <f>_xlfn.XLOOKUP(C488,Códigos!$A$11:$A$415,Códigos!$B$11:$B$415,"Verificar",0)</f>
        <v>NOMBRE 107</v>
      </c>
      <c r="F488" s="1288" t="s">
        <v>1103</v>
      </c>
      <c r="G488" s="1239">
        <v>150000</v>
      </c>
      <c r="H488" s="989">
        <f t="shared" si="12"/>
        <v>550876187</v>
      </c>
      <c r="I488" s="1049" t="s">
        <v>1508</v>
      </c>
      <c r="K488" s="19"/>
    </row>
    <row r="489" spans="1:11" x14ac:dyDescent="0.2">
      <c r="A489" s="1234">
        <v>45870</v>
      </c>
      <c r="B489" s="1000">
        <v>2</v>
      </c>
      <c r="C489" s="996">
        <v>262</v>
      </c>
      <c r="D489" s="443" t="str">
        <f>_xlfn.XLOOKUP(B489,Códigos!$A$421:$A$483,Códigos!$B$421:$B$483,"Verificar",0)</f>
        <v>Pago de Salarios a:</v>
      </c>
      <c r="E489" s="444" t="str">
        <f>_xlfn.XLOOKUP(C489,Códigos!$A$11:$A$415,Códigos!$B$11:$B$415,"Verificar",0)</f>
        <v>NOMBRE 95</v>
      </c>
      <c r="F489" s="1288" t="s">
        <v>407</v>
      </c>
      <c r="G489" s="1239">
        <v>660000</v>
      </c>
      <c r="H489" s="989">
        <f t="shared" ref="H489:H491" si="17">+H488+G489</f>
        <v>551536187</v>
      </c>
      <c r="I489" s="997" t="s">
        <v>1509</v>
      </c>
      <c r="K489" s="19"/>
    </row>
    <row r="490" spans="1:11" x14ac:dyDescent="0.2">
      <c r="A490" s="1234">
        <v>45870</v>
      </c>
      <c r="B490" s="1241">
        <v>1</v>
      </c>
      <c r="C490" s="1187">
        <v>359</v>
      </c>
      <c r="D490" s="443" t="str">
        <f>_xlfn.XLOOKUP(B490,Códigos!$A$421:$A$483,Códigos!$B$421:$B$483,"Verificar",0)</f>
        <v>Gastos personales</v>
      </c>
      <c r="E490" s="444" t="str">
        <f>_xlfn.XLOOKUP(C490,Códigos!$A$11:$A$415,Códigos!$B$11:$B$415,"Verificar",0)</f>
        <v>NOMBRE 232</v>
      </c>
      <c r="F490" s="1288" t="s">
        <v>1103</v>
      </c>
      <c r="G490" s="1239">
        <v>500000</v>
      </c>
      <c r="H490" s="989">
        <f t="shared" si="17"/>
        <v>552036187</v>
      </c>
      <c r="I490" s="1049" t="s">
        <v>1452</v>
      </c>
      <c r="K490" s="19"/>
    </row>
    <row r="491" spans="1:11" x14ac:dyDescent="0.2">
      <c r="A491" s="1234">
        <v>45870</v>
      </c>
      <c r="B491" s="1000">
        <v>8</v>
      </c>
      <c r="C491" s="996">
        <v>358</v>
      </c>
      <c r="D491" s="443" t="str">
        <f>_xlfn.XLOOKUP(B491,Códigos!$A$421:$A$483,Códigos!$B$421:$B$483,"Verificar",0)</f>
        <v>Pagos de: -Cuota para alimentos y Manuntención</v>
      </c>
      <c r="E491" s="444" t="str">
        <f>_xlfn.XLOOKUP(C491,Códigos!$A$11:$A$415,Códigos!$B$11:$B$415,"Verificar",0)</f>
        <v>NOMBRE 338</v>
      </c>
      <c r="F491" s="1288" t="s">
        <v>1103</v>
      </c>
      <c r="G491" s="1280">
        <v>380000</v>
      </c>
      <c r="H491" s="989">
        <f t="shared" si="17"/>
        <v>552416187</v>
      </c>
      <c r="I491" s="997" t="s">
        <v>1510</v>
      </c>
      <c r="K491" s="19"/>
    </row>
    <row r="492" spans="1:11" x14ac:dyDescent="0.2">
      <c r="A492" s="1234">
        <v>45870</v>
      </c>
      <c r="B492" s="1000">
        <v>8</v>
      </c>
      <c r="C492" s="996">
        <v>358</v>
      </c>
      <c r="D492" s="443" t="str">
        <f>_xlfn.XLOOKUP(B492,Códigos!$A$421:$A$483,Códigos!$B$421:$B$483,"Verificar",0)</f>
        <v>Pagos de: -Cuota para alimentos y Manuntención</v>
      </c>
      <c r="E492" s="444" t="str">
        <f>_xlfn.XLOOKUP(C492,Códigos!$A$11:$A$415,Códigos!$B$11:$B$415,"Verificar",0)</f>
        <v>NOMBRE 338</v>
      </c>
      <c r="F492" s="1288" t="s">
        <v>407</v>
      </c>
      <c r="G492" s="1239">
        <v>300000</v>
      </c>
      <c r="H492" s="989">
        <f t="shared" si="12"/>
        <v>552716187</v>
      </c>
      <c r="I492" s="1049" t="s">
        <v>1511</v>
      </c>
      <c r="K492" s="19"/>
    </row>
    <row r="493" spans="1:11" x14ac:dyDescent="0.2">
      <c r="A493" s="1234">
        <v>45870</v>
      </c>
      <c r="B493" s="1241">
        <v>27</v>
      </c>
      <c r="C493" s="1187">
        <v>359</v>
      </c>
      <c r="D493" s="443" t="str">
        <f>_xlfn.XLOOKUP(B493,Códigos!$A$421:$A$483,Códigos!$B$421:$B$483,"Verificar",0)</f>
        <v>Compra de: -Restaurante y cafetería</v>
      </c>
      <c r="E493" s="444" t="str">
        <f>_xlfn.XLOOKUP(C493,Códigos!$A$11:$A$415,Códigos!$B$11:$B$415,"Verificar",0)</f>
        <v>NOMBRE 232</v>
      </c>
      <c r="F493" s="1288" t="s">
        <v>407</v>
      </c>
      <c r="G493" s="1239">
        <v>119000</v>
      </c>
      <c r="H493" s="989">
        <f t="shared" si="12"/>
        <v>552835187</v>
      </c>
      <c r="I493" s="1049" t="s">
        <v>1512</v>
      </c>
      <c r="K493" s="19"/>
    </row>
    <row r="494" spans="1:11" x14ac:dyDescent="0.2">
      <c r="A494" s="1234">
        <v>45870</v>
      </c>
      <c r="B494" s="1241">
        <v>12</v>
      </c>
      <c r="C494" s="1187">
        <v>359</v>
      </c>
      <c r="D494" s="443" t="str">
        <f>_xlfn.XLOOKUP(B494,Códigos!$A$421:$A$483,Códigos!$B$421:$B$483,"Verificar",0)</f>
        <v>Pagos de: -Celulares</v>
      </c>
      <c r="E494" s="444" t="str">
        <f>_xlfn.XLOOKUP(C494,Códigos!$A$11:$A$415,Códigos!$B$11:$B$415,"Verificar",0)</f>
        <v>NOMBRE 232</v>
      </c>
      <c r="F494" s="1288" t="s">
        <v>407</v>
      </c>
      <c r="G494" s="1239">
        <v>581490</v>
      </c>
      <c r="H494" s="989">
        <f t="shared" si="12"/>
        <v>553416677</v>
      </c>
      <c r="I494" s="1049" t="s">
        <v>1513</v>
      </c>
      <c r="K494" s="19"/>
    </row>
    <row r="495" spans="1:11" x14ac:dyDescent="0.2">
      <c r="A495" s="1234">
        <v>45870</v>
      </c>
      <c r="B495" s="1000">
        <v>8</v>
      </c>
      <c r="C495" s="996">
        <v>356</v>
      </c>
      <c r="D495" s="443" t="str">
        <f>_xlfn.XLOOKUP(B495,Códigos!$A$421:$A$483,Códigos!$B$421:$B$483,"Verificar",0)</f>
        <v>Pagos de: -Cuota para alimentos y Manuntención</v>
      </c>
      <c r="E495" s="444" t="str">
        <f>_xlfn.XLOOKUP(C495,Códigos!$A$11:$A$415,Códigos!$B$11:$B$415,"Verificar",0)</f>
        <v>NOMBRE 108</v>
      </c>
      <c r="F495" s="1288" t="s">
        <v>1103</v>
      </c>
      <c r="G495" s="990">
        <v>220000</v>
      </c>
      <c r="H495" s="989">
        <f t="shared" si="12"/>
        <v>553636677</v>
      </c>
      <c r="I495" s="1050" t="s">
        <v>1083</v>
      </c>
      <c r="K495" s="19"/>
    </row>
    <row r="496" spans="1:11" x14ac:dyDescent="0.2">
      <c r="A496" s="1234">
        <v>45871</v>
      </c>
      <c r="B496" s="1241">
        <v>1</v>
      </c>
      <c r="C496" s="1187">
        <v>359</v>
      </c>
      <c r="D496" s="443" t="str">
        <f>_xlfn.XLOOKUP(B496,Códigos!$A$421:$A$483,Códigos!$B$421:$B$483,"Verificar",0)</f>
        <v>Gastos personales</v>
      </c>
      <c r="E496" s="444" t="str">
        <f>_xlfn.XLOOKUP(C496,Códigos!$A$11:$A$415,Códigos!$B$11:$B$415,"Verificar",0)</f>
        <v>NOMBRE 232</v>
      </c>
      <c r="F496" s="1288" t="s">
        <v>1103</v>
      </c>
      <c r="G496" s="1239">
        <v>230000</v>
      </c>
      <c r="H496" s="989">
        <f t="shared" si="12"/>
        <v>553866677</v>
      </c>
      <c r="I496" s="1049" t="s">
        <v>1476</v>
      </c>
      <c r="K496" s="19"/>
    </row>
    <row r="497" spans="1:11" x14ac:dyDescent="0.2">
      <c r="A497" s="1234">
        <v>45871</v>
      </c>
      <c r="B497" s="1241">
        <v>1</v>
      </c>
      <c r="C497" s="1187">
        <v>355</v>
      </c>
      <c r="D497" s="443" t="str">
        <f>_xlfn.XLOOKUP(B497,Códigos!$A$421:$A$483,Códigos!$B$421:$B$483,"Verificar",0)</f>
        <v>Gastos personales</v>
      </c>
      <c r="E497" s="444" t="str">
        <f>_xlfn.XLOOKUP(C497,Códigos!$A$11:$A$415,Códigos!$B$11:$B$415,"Verificar",0)</f>
        <v>NOMBRE 96</v>
      </c>
      <c r="F497" s="1288" t="s">
        <v>1103</v>
      </c>
      <c r="G497" s="1239">
        <v>300000</v>
      </c>
      <c r="H497" s="989">
        <f t="shared" si="12"/>
        <v>554166677</v>
      </c>
      <c r="I497" s="1049" t="s">
        <v>1515</v>
      </c>
      <c r="K497" s="19"/>
    </row>
    <row r="498" spans="1:11" x14ac:dyDescent="0.2">
      <c r="A498" s="1234">
        <v>45874</v>
      </c>
      <c r="B498" s="1000">
        <v>9</v>
      </c>
      <c r="C498" s="996">
        <v>359</v>
      </c>
      <c r="D498" s="443" t="str">
        <f>_xlfn.XLOOKUP(B498,Códigos!$A$421:$A$483,Códigos!$B$421:$B$483,"Verificar",0)</f>
        <v>Pagos de: -Servicios públicos -OFICINA-</v>
      </c>
      <c r="E498" s="444" t="str">
        <f>_xlfn.XLOOKUP(C498,Códigos!$A$11:$A$415,Códigos!$B$11:$B$415,"Verificar",0)</f>
        <v>NOMBRE 232</v>
      </c>
      <c r="F498" s="1288" t="s">
        <v>407</v>
      </c>
      <c r="G498" s="1239">
        <v>46073</v>
      </c>
      <c r="H498" s="989">
        <f t="shared" si="12"/>
        <v>554212750</v>
      </c>
      <c r="I498" s="1049" t="s">
        <v>1518</v>
      </c>
      <c r="K498" s="19"/>
    </row>
    <row r="499" spans="1:11" x14ac:dyDescent="0.2">
      <c r="A499" s="1234">
        <v>45876</v>
      </c>
      <c r="B499" s="1241">
        <v>1</v>
      </c>
      <c r="C499" s="1187">
        <v>359</v>
      </c>
      <c r="D499" s="443" t="str">
        <f>_xlfn.XLOOKUP(B499,Códigos!$A$421:$A$483,Códigos!$B$421:$B$483,"Verificar",0)</f>
        <v>Gastos personales</v>
      </c>
      <c r="E499" s="444" t="str">
        <f>_xlfn.XLOOKUP(C499,Códigos!$A$11:$A$415,Códigos!$B$11:$B$415,"Verificar",0)</f>
        <v>NOMBRE 232</v>
      </c>
      <c r="F499" s="1288" t="s">
        <v>1103</v>
      </c>
      <c r="G499" s="1239">
        <v>43000</v>
      </c>
      <c r="H499" s="989">
        <f t="shared" si="12"/>
        <v>554255750</v>
      </c>
      <c r="I499" s="1049" t="s">
        <v>1476</v>
      </c>
      <c r="K499" s="19"/>
    </row>
    <row r="500" spans="1:11" x14ac:dyDescent="0.2">
      <c r="A500" s="1234">
        <v>45877</v>
      </c>
      <c r="B500" s="1241">
        <v>1</v>
      </c>
      <c r="C500" s="1187">
        <v>359</v>
      </c>
      <c r="D500" s="443" t="str">
        <f>_xlfn.XLOOKUP(B500,Códigos!$A$421:$A$483,Códigos!$B$421:$B$483,"Verificar",0)</f>
        <v>Gastos personales</v>
      </c>
      <c r="E500" s="444" t="str">
        <f>_xlfn.XLOOKUP(C500,Códigos!$A$11:$A$415,Códigos!$B$11:$B$415,"Verificar",0)</f>
        <v>NOMBRE 232</v>
      </c>
      <c r="F500" s="1288" t="s">
        <v>1103</v>
      </c>
      <c r="G500" s="1239">
        <v>14200</v>
      </c>
      <c r="H500" s="989">
        <f t="shared" si="12"/>
        <v>554269950</v>
      </c>
      <c r="I500" s="1049" t="s">
        <v>1476</v>
      </c>
      <c r="K500" s="19"/>
    </row>
    <row r="501" spans="1:11" x14ac:dyDescent="0.2">
      <c r="A501" s="1234">
        <v>45877</v>
      </c>
      <c r="B501" s="1000">
        <v>2</v>
      </c>
      <c r="C501" s="996">
        <v>262</v>
      </c>
      <c r="D501" s="443" t="str">
        <f>_xlfn.XLOOKUP(B501,Códigos!$A$421:$A$483,Códigos!$B$421:$B$483,"Verificar",0)</f>
        <v>Pago de Salarios a:</v>
      </c>
      <c r="E501" s="444" t="str">
        <f>_xlfn.XLOOKUP(C501,Códigos!$A$11:$A$415,Códigos!$B$11:$B$415,"Verificar",0)</f>
        <v>NOMBRE 95</v>
      </c>
      <c r="F501" s="1288" t="s">
        <v>407</v>
      </c>
      <c r="G501" s="1239">
        <v>660000</v>
      </c>
      <c r="H501" s="989">
        <f t="shared" si="12"/>
        <v>554929950</v>
      </c>
      <c r="I501" s="997" t="s">
        <v>1520</v>
      </c>
      <c r="K501" s="19"/>
    </row>
    <row r="502" spans="1:11" x14ac:dyDescent="0.2">
      <c r="A502" s="1234">
        <v>45877</v>
      </c>
      <c r="B502" s="1241">
        <v>1</v>
      </c>
      <c r="C502" s="1187">
        <v>359</v>
      </c>
      <c r="D502" s="443" t="str">
        <f>_xlfn.XLOOKUP(B502,Códigos!$A$421:$A$483,Códigos!$B$421:$B$483,"Verificar",0)</f>
        <v>Gastos personales</v>
      </c>
      <c r="E502" s="444" t="str">
        <f>_xlfn.XLOOKUP(C502,Códigos!$A$11:$A$415,Códigos!$B$11:$B$415,"Verificar",0)</f>
        <v>NOMBRE 232</v>
      </c>
      <c r="F502" s="1288" t="s">
        <v>1103</v>
      </c>
      <c r="G502" s="1239">
        <v>2650000</v>
      </c>
      <c r="H502" s="989">
        <f t="shared" si="12"/>
        <v>557579950</v>
      </c>
      <c r="I502" s="1049" t="s">
        <v>1452</v>
      </c>
      <c r="K502" s="19"/>
    </row>
    <row r="503" spans="1:11" x14ac:dyDescent="0.2">
      <c r="A503" s="1234">
        <v>45877</v>
      </c>
      <c r="B503" s="1000">
        <v>8</v>
      </c>
      <c r="C503" s="1187">
        <v>357</v>
      </c>
      <c r="D503" s="443" t="str">
        <f>_xlfn.XLOOKUP(B503,Códigos!$A$421:$A$483,Códigos!$B$421:$B$483,"Verificar",0)</f>
        <v>Pagos de: -Cuota para alimentos y Manuntención</v>
      </c>
      <c r="E503" s="444" t="str">
        <f>_xlfn.XLOOKUP(C503,Códigos!$A$11:$A$415,Códigos!$B$11:$B$415,"Verificar",0)</f>
        <v>NOMBRE 107</v>
      </c>
      <c r="F503" s="1288" t="s">
        <v>1103</v>
      </c>
      <c r="G503" s="1239">
        <v>220000</v>
      </c>
      <c r="H503" s="989">
        <f t="shared" si="12"/>
        <v>557799950</v>
      </c>
      <c r="I503" s="1050" t="s">
        <v>1083</v>
      </c>
      <c r="K503" s="19"/>
    </row>
    <row r="504" spans="1:11" x14ac:dyDescent="0.2">
      <c r="A504" s="1234">
        <v>45877</v>
      </c>
      <c r="B504" s="1000">
        <v>2</v>
      </c>
      <c r="C504" s="1187">
        <v>353</v>
      </c>
      <c r="D504" s="443" t="str">
        <f>_xlfn.XLOOKUP(B504,Códigos!$A$421:$A$483,Códigos!$B$421:$B$483,"Verificar",0)</f>
        <v>Pago de Salarios a:</v>
      </c>
      <c r="E504" s="444" t="str">
        <f>_xlfn.XLOOKUP(C504,Códigos!$A$11:$A$415,Códigos!$B$11:$B$415,"Verificar",0)</f>
        <v>NOMBRE 31</v>
      </c>
      <c r="F504" s="1288" t="s">
        <v>407</v>
      </c>
      <c r="G504" s="1239">
        <v>660000</v>
      </c>
      <c r="H504" s="989">
        <f t="shared" si="12"/>
        <v>558459950</v>
      </c>
      <c r="I504" s="997" t="s">
        <v>1520</v>
      </c>
      <c r="K504" s="19"/>
    </row>
    <row r="505" spans="1:11" x14ac:dyDescent="0.2">
      <c r="A505" s="1234">
        <v>45877</v>
      </c>
      <c r="B505" s="1000">
        <v>8</v>
      </c>
      <c r="C505" s="996">
        <v>356</v>
      </c>
      <c r="D505" s="443" t="str">
        <f>_xlfn.XLOOKUP(B505,Códigos!$A$421:$A$483,Códigos!$B$421:$B$483,"Verificar",0)</f>
        <v>Pagos de: -Cuota para alimentos y Manuntención</v>
      </c>
      <c r="E505" s="444" t="str">
        <f>_xlfn.XLOOKUP(C505,Códigos!$A$11:$A$415,Códigos!$B$11:$B$415,"Verificar",0)</f>
        <v>NOMBRE 108</v>
      </c>
      <c r="F505" s="1288" t="s">
        <v>1103</v>
      </c>
      <c r="G505" s="990">
        <v>220000</v>
      </c>
      <c r="H505" s="989">
        <f t="shared" ref="H505" si="18">+H504+G505</f>
        <v>558679950</v>
      </c>
      <c r="I505" s="1050" t="s">
        <v>1083</v>
      </c>
      <c r="K505" s="19"/>
    </row>
    <row r="506" spans="1:11" x14ac:dyDescent="0.2">
      <c r="A506" s="1234">
        <v>45877</v>
      </c>
      <c r="B506" s="1241">
        <v>1</v>
      </c>
      <c r="C506" s="1187">
        <v>359</v>
      </c>
      <c r="D506" s="443" t="str">
        <f>_xlfn.XLOOKUP(B506,Códigos!$A$421:$A$483,Códigos!$B$421:$B$483,"Verificar",0)</f>
        <v>Gastos personales</v>
      </c>
      <c r="E506" s="444" t="str">
        <f>_xlfn.XLOOKUP(C506,Códigos!$A$11:$A$415,Códigos!$B$11:$B$415,"Verificar",0)</f>
        <v>NOMBRE 232</v>
      </c>
      <c r="F506" s="1288" t="s">
        <v>1103</v>
      </c>
      <c r="G506" s="1323">
        <v>846660</v>
      </c>
      <c r="H506" s="989">
        <f t="shared" ref="H506:H572" si="19">+H505+G506</f>
        <v>559526610</v>
      </c>
      <c r="I506" s="1049" t="s">
        <v>1521</v>
      </c>
      <c r="K506" s="19"/>
    </row>
    <row r="507" spans="1:11" x14ac:dyDescent="0.2">
      <c r="A507" s="1234">
        <v>45882</v>
      </c>
      <c r="B507" s="1277">
        <v>7</v>
      </c>
      <c r="C507" s="1278">
        <v>359</v>
      </c>
      <c r="D507" s="443" t="str">
        <f>_xlfn.XLOOKUP(B507,Códigos!$A$421:$A$483,Códigos!$B$421:$B$483,"Verificar",0)</f>
        <v>Pagos de: -Seguridad Social</v>
      </c>
      <c r="E507" s="444" t="str">
        <f>_xlfn.XLOOKUP(C507,Códigos!$A$11:$A$415,Códigos!$B$11:$B$415,"Verificar",0)</f>
        <v>NOMBRE 232</v>
      </c>
      <c r="F507" s="1288" t="s">
        <v>407</v>
      </c>
      <c r="G507" s="1239">
        <v>1392400</v>
      </c>
      <c r="H507" s="989">
        <f t="shared" si="19"/>
        <v>560919010</v>
      </c>
      <c r="I507" s="1052" t="s">
        <v>1522</v>
      </c>
      <c r="K507" s="19"/>
    </row>
    <row r="508" spans="1:11" x14ac:dyDescent="0.2">
      <c r="A508" s="1234">
        <v>45882</v>
      </c>
      <c r="B508" s="1277">
        <v>7</v>
      </c>
      <c r="C508" s="1278">
        <v>359</v>
      </c>
      <c r="D508" s="443" t="str">
        <f>_xlfn.XLOOKUP(B508,Códigos!$A$421:$A$483,Códigos!$B$421:$B$483,"Verificar",0)</f>
        <v>Pagos de: -Seguridad Social</v>
      </c>
      <c r="E508" s="444" t="str">
        <f>_xlfn.XLOOKUP(C508,Códigos!$A$11:$A$415,Códigos!$B$11:$B$415,"Verificar",0)</f>
        <v>NOMBRE 232</v>
      </c>
      <c r="F508" s="1288" t="s">
        <v>407</v>
      </c>
      <c r="G508" s="1239">
        <v>940500</v>
      </c>
      <c r="H508" s="989">
        <f t="shared" si="19"/>
        <v>561859510</v>
      </c>
      <c r="I508" s="1052" t="s">
        <v>1523</v>
      </c>
      <c r="K508" s="19"/>
    </row>
    <row r="509" spans="1:11" x14ac:dyDescent="0.2">
      <c r="A509" s="1234">
        <v>45882</v>
      </c>
      <c r="B509" s="1241">
        <v>33</v>
      </c>
      <c r="C509" s="1187">
        <v>3</v>
      </c>
      <c r="D509" s="443" t="str">
        <f>_xlfn.XLOOKUP(B509,Códigos!$A$421:$A$483,Códigos!$B$421:$B$483,"Verificar",0)</f>
        <v>AJUSTE POR -Consignación - Traslado a Bancos</v>
      </c>
      <c r="E509" s="444" t="str">
        <f>_xlfn.XLOOKUP(C509,Códigos!$A$11:$A$415,Códigos!$B$11:$B$415,"Verificar",0)</f>
        <v>NOMBRE 24</v>
      </c>
      <c r="F509" s="1288" t="s">
        <v>407</v>
      </c>
      <c r="G509" s="1239">
        <v>660000</v>
      </c>
      <c r="H509" s="1239">
        <f t="shared" si="19"/>
        <v>562519510</v>
      </c>
      <c r="I509" s="1049" t="s">
        <v>1526</v>
      </c>
      <c r="K509" s="19"/>
    </row>
    <row r="510" spans="1:11" x14ac:dyDescent="0.2">
      <c r="A510" s="1234">
        <v>45882</v>
      </c>
      <c r="B510" s="1275">
        <v>39</v>
      </c>
      <c r="C510" s="1276">
        <v>362</v>
      </c>
      <c r="D510" s="443" t="str">
        <f>_xlfn.XLOOKUP(B510,Códigos!$A$421:$A$483,Códigos!$B$421:$B$483,"Verificar",0)</f>
        <v>Pago intereses préstamo Juliana</v>
      </c>
      <c r="E510" s="444" t="str">
        <f>_xlfn.XLOOKUP(C510,Códigos!$A$11:$A$415,Códigos!$B$11:$B$415,"Verificar",0)</f>
        <v>NOMBRE 97</v>
      </c>
      <c r="F510" s="1288" t="s">
        <v>407</v>
      </c>
      <c r="G510" s="1239">
        <v>350000</v>
      </c>
      <c r="H510" s="989">
        <f t="shared" si="19"/>
        <v>562869510</v>
      </c>
      <c r="I510" s="1274" t="s">
        <v>1527</v>
      </c>
      <c r="K510" s="19"/>
    </row>
    <row r="511" spans="1:11" x14ac:dyDescent="0.2">
      <c r="A511" s="1234">
        <v>45882</v>
      </c>
      <c r="B511" s="1275">
        <v>21</v>
      </c>
      <c r="C511" s="1276">
        <v>362</v>
      </c>
      <c r="D511" s="443" t="str">
        <f>_xlfn.XLOOKUP(B511,Códigos!$A$421:$A$483,Códigos!$B$421:$B$483,"Verificar",0)</f>
        <v>Pagos de: -Cuentas por Pagar a:</v>
      </c>
      <c r="E511" s="444" t="str">
        <f>_xlfn.XLOOKUP(C511,Códigos!$A$11:$A$415,Códigos!$B$11:$B$415,"Verificar",0)</f>
        <v>NOMBRE 97</v>
      </c>
      <c r="F511" s="1288" t="s">
        <v>407</v>
      </c>
      <c r="G511" s="1239">
        <v>200000</v>
      </c>
      <c r="H511" s="989">
        <f t="shared" si="19"/>
        <v>563069510</v>
      </c>
      <c r="I511" s="1274" t="s">
        <v>1528</v>
      </c>
      <c r="K511" s="19"/>
    </row>
    <row r="512" spans="1:11" x14ac:dyDescent="0.2">
      <c r="A512" s="1234">
        <v>45882</v>
      </c>
      <c r="B512" s="1000">
        <v>9</v>
      </c>
      <c r="C512" s="996">
        <v>359</v>
      </c>
      <c r="D512" s="443" t="str">
        <f>_xlfn.XLOOKUP(B512,Códigos!$A$421:$A$483,Códigos!$B$421:$B$483,"Verificar",0)</f>
        <v>Pagos de: -Servicios públicos -OFICINA-</v>
      </c>
      <c r="E512" s="444" t="str">
        <f>_xlfn.XLOOKUP(C512,Códigos!$A$11:$A$415,Códigos!$B$11:$B$415,"Verificar",0)</f>
        <v>NOMBRE 232</v>
      </c>
      <c r="F512" s="1288" t="s">
        <v>407</v>
      </c>
      <c r="G512" s="1239">
        <v>172200</v>
      </c>
      <c r="H512" s="989">
        <f t="shared" si="19"/>
        <v>563241710</v>
      </c>
      <c r="I512" s="1049" t="s">
        <v>1489</v>
      </c>
      <c r="K512" s="19"/>
    </row>
    <row r="513" spans="1:11" x14ac:dyDescent="0.2">
      <c r="A513" s="1234">
        <v>45882</v>
      </c>
      <c r="B513" s="1241">
        <v>5</v>
      </c>
      <c r="C513" s="1187">
        <v>262</v>
      </c>
      <c r="D513" s="443" t="str">
        <f>_xlfn.XLOOKUP(B513,Códigos!$A$421:$A$483,Códigos!$B$421:$B$483,"Verificar",0)</f>
        <v>Préstamos por Nómina a:</v>
      </c>
      <c r="E513" s="444" t="str">
        <f>_xlfn.XLOOKUP(C513,Códigos!$A$11:$A$415,Códigos!$B$11:$B$415,"Verificar",0)</f>
        <v>NOMBRE 95</v>
      </c>
      <c r="F513" s="1288" t="s">
        <v>407</v>
      </c>
      <c r="G513" s="1239">
        <v>326500</v>
      </c>
      <c r="H513" s="989">
        <f t="shared" si="19"/>
        <v>563568210</v>
      </c>
      <c r="I513" s="1052" t="s">
        <v>1529</v>
      </c>
      <c r="K513" s="19"/>
    </row>
    <row r="514" spans="1:11" x14ac:dyDescent="0.2">
      <c r="A514" s="1236">
        <v>45883</v>
      </c>
      <c r="B514" s="1241">
        <v>8</v>
      </c>
      <c r="C514" s="1187">
        <v>357</v>
      </c>
      <c r="D514" s="443" t="str">
        <f>_xlfn.XLOOKUP(B514,Códigos!$A$421:$A$483,Códigos!$B$421:$B$483,"Verificar",0)</f>
        <v>Pagos de: -Cuota para alimentos y Manuntención</v>
      </c>
      <c r="E514" s="444" t="str">
        <f>_xlfn.XLOOKUP(C514,Códigos!$A$11:$A$415,Códigos!$B$11:$B$415,"Verificar",0)</f>
        <v>NOMBRE 107</v>
      </c>
      <c r="F514" s="1288" t="s">
        <v>1103</v>
      </c>
      <c r="G514" s="1239">
        <v>50000</v>
      </c>
      <c r="H514" s="989">
        <f t="shared" si="19"/>
        <v>563618210</v>
      </c>
      <c r="I514" s="1052" t="s">
        <v>1530</v>
      </c>
      <c r="K514" s="19"/>
    </row>
    <row r="515" spans="1:11" x14ac:dyDescent="0.2">
      <c r="A515" s="1234">
        <v>45884</v>
      </c>
      <c r="B515" s="1000">
        <v>8</v>
      </c>
      <c r="C515" s="1187">
        <v>357</v>
      </c>
      <c r="D515" s="443" t="str">
        <f>_xlfn.XLOOKUP(B515,Códigos!$A$421:$A$483,Códigos!$B$421:$B$483,"Verificar",0)</f>
        <v>Pagos de: -Cuota para alimentos y Manuntención</v>
      </c>
      <c r="E515" s="444" t="str">
        <f>_xlfn.XLOOKUP(C515,Códigos!$A$11:$A$415,Códigos!$B$11:$B$415,"Verificar",0)</f>
        <v>NOMBRE 107</v>
      </c>
      <c r="F515" s="1288" t="s">
        <v>1103</v>
      </c>
      <c r="G515" s="1239">
        <v>220000</v>
      </c>
      <c r="H515" s="989">
        <f t="shared" si="19"/>
        <v>563838210</v>
      </c>
      <c r="I515" s="1050" t="s">
        <v>1083</v>
      </c>
      <c r="K515" s="19"/>
    </row>
    <row r="516" spans="1:11" x14ac:dyDescent="0.2">
      <c r="A516" s="1234">
        <v>45884</v>
      </c>
      <c r="B516" s="1000">
        <v>2</v>
      </c>
      <c r="C516" s="1187">
        <v>353</v>
      </c>
      <c r="D516" s="443" t="str">
        <f>_xlfn.XLOOKUP(B516,Códigos!$A$421:$A$483,Códigos!$B$421:$B$483,"Verificar",0)</f>
        <v>Pago de Salarios a:</v>
      </c>
      <c r="E516" s="444" t="str">
        <f>_xlfn.XLOOKUP(C516,Códigos!$A$11:$A$415,Códigos!$B$11:$B$415,"Verificar",0)</f>
        <v>NOMBRE 31</v>
      </c>
      <c r="F516" s="1288" t="s">
        <v>407</v>
      </c>
      <c r="G516" s="1239">
        <v>660000</v>
      </c>
      <c r="H516" s="989">
        <f t="shared" si="19"/>
        <v>564498210</v>
      </c>
      <c r="I516" s="997" t="s">
        <v>1533</v>
      </c>
      <c r="K516" s="19"/>
    </row>
    <row r="517" spans="1:11" x14ac:dyDescent="0.2">
      <c r="A517" s="1234">
        <v>45884</v>
      </c>
      <c r="B517" s="1000">
        <v>8</v>
      </c>
      <c r="C517" s="996">
        <v>356</v>
      </c>
      <c r="D517" s="443" t="str">
        <f>_xlfn.XLOOKUP(B517,Códigos!$A$421:$A$483,Códigos!$B$421:$B$483,"Verificar",0)</f>
        <v>Pagos de: -Cuota para alimentos y Manuntención</v>
      </c>
      <c r="E517" s="444" t="str">
        <f>_xlfn.XLOOKUP(C517,Códigos!$A$11:$A$415,Códigos!$B$11:$B$415,"Verificar",0)</f>
        <v>NOMBRE 108</v>
      </c>
      <c r="F517" s="1288" t="s">
        <v>1103</v>
      </c>
      <c r="G517" s="990">
        <v>220000</v>
      </c>
      <c r="H517" s="989">
        <f t="shared" si="19"/>
        <v>564718210</v>
      </c>
      <c r="I517" s="1050" t="s">
        <v>1083</v>
      </c>
      <c r="K517" s="19"/>
    </row>
    <row r="518" spans="1:11" x14ac:dyDescent="0.2">
      <c r="A518" s="1234">
        <v>45884</v>
      </c>
      <c r="B518" s="1000">
        <v>8</v>
      </c>
      <c r="C518" s="996">
        <v>358</v>
      </c>
      <c r="D518" s="443" t="str">
        <f>_xlfn.XLOOKUP(B518,Códigos!$A$421:$A$483,Códigos!$B$421:$B$483,"Verificar",0)</f>
        <v>Pagos de: -Cuota para alimentos y Manuntención</v>
      </c>
      <c r="E518" s="444" t="str">
        <f>_xlfn.XLOOKUP(C518,Códigos!$A$11:$A$415,Códigos!$B$11:$B$415,"Verificar",0)</f>
        <v>NOMBRE 338</v>
      </c>
      <c r="F518" s="1288" t="s">
        <v>1103</v>
      </c>
      <c r="G518" s="1280">
        <v>380000</v>
      </c>
      <c r="H518" s="989">
        <f t="shared" si="19"/>
        <v>565098210</v>
      </c>
      <c r="I518" s="997" t="s">
        <v>1534</v>
      </c>
      <c r="K518" s="19"/>
    </row>
    <row r="519" spans="1:11" x14ac:dyDescent="0.2">
      <c r="A519" s="1234">
        <v>45884</v>
      </c>
      <c r="B519" s="1000">
        <v>2</v>
      </c>
      <c r="C519" s="996">
        <v>262</v>
      </c>
      <c r="D519" s="443" t="str">
        <f>_xlfn.XLOOKUP(B519,Códigos!$A$421:$A$483,Códigos!$B$421:$B$483,"Verificar",0)</f>
        <v>Pago de Salarios a:</v>
      </c>
      <c r="E519" s="444" t="str">
        <f>_xlfn.XLOOKUP(C519,Códigos!$A$11:$A$415,Códigos!$B$11:$B$415,"Verificar",0)</f>
        <v>NOMBRE 95</v>
      </c>
      <c r="F519" s="1288" t="s">
        <v>407</v>
      </c>
      <c r="G519" s="1239">
        <v>660000</v>
      </c>
      <c r="H519" s="989">
        <f t="shared" si="19"/>
        <v>565758210</v>
      </c>
      <c r="I519" s="997" t="s">
        <v>1533</v>
      </c>
      <c r="K519" s="19"/>
    </row>
    <row r="520" spans="1:11" x14ac:dyDescent="0.2">
      <c r="A520" s="1234">
        <v>45884</v>
      </c>
      <c r="B520" s="1187">
        <v>5</v>
      </c>
      <c r="C520" s="1187">
        <v>353</v>
      </c>
      <c r="D520" s="443" t="str">
        <f>_xlfn.XLOOKUP(B520,Códigos!$A$421:$A$483,Códigos!$B$421:$B$483,"Verificar",0)</f>
        <v>Préstamos por Nómina a:</v>
      </c>
      <c r="E520" s="444" t="str">
        <f>_xlfn.XLOOKUP(C520,Códigos!$A$11:$A$415,Códigos!$B$11:$B$415,"Verificar",0)</f>
        <v>NOMBRE 31</v>
      </c>
      <c r="F520" s="1288" t="s">
        <v>407</v>
      </c>
      <c r="G520" s="1239">
        <v>5000000</v>
      </c>
      <c r="H520" s="989">
        <f t="shared" si="19"/>
        <v>570758210</v>
      </c>
      <c r="I520" s="1049" t="s">
        <v>1535</v>
      </c>
      <c r="K520" s="19"/>
    </row>
    <row r="521" spans="1:11" x14ac:dyDescent="0.2">
      <c r="A521" s="1234">
        <v>45884</v>
      </c>
      <c r="B521" s="1241">
        <v>27</v>
      </c>
      <c r="C521" s="1187">
        <v>359</v>
      </c>
      <c r="D521" s="443" t="str">
        <f>_xlfn.XLOOKUP(B521,Códigos!$A$421:$A$483,Códigos!$B$421:$B$483,"Verificar",0)</f>
        <v>Compra de: -Restaurante y cafetería</v>
      </c>
      <c r="E521" s="444" t="str">
        <f>_xlfn.XLOOKUP(C521,Códigos!$A$11:$A$415,Códigos!$B$11:$B$415,"Verificar",0)</f>
        <v>NOMBRE 232</v>
      </c>
      <c r="F521" s="1288" t="s">
        <v>407</v>
      </c>
      <c r="G521" s="1239">
        <v>400000</v>
      </c>
      <c r="H521" s="989">
        <f t="shared" si="19"/>
        <v>571158210</v>
      </c>
      <c r="I521" s="1292" t="s">
        <v>1155</v>
      </c>
      <c r="K521" s="19"/>
    </row>
    <row r="522" spans="1:11" x14ac:dyDescent="0.2">
      <c r="A522" s="1234">
        <v>45888</v>
      </c>
      <c r="B522" s="1241">
        <v>1</v>
      </c>
      <c r="C522" s="1187">
        <v>355</v>
      </c>
      <c r="D522" s="443" t="str">
        <f>_xlfn.XLOOKUP(B522,Códigos!$A$421:$A$483,Códigos!$B$421:$B$483,"Verificar",0)</f>
        <v>Gastos personales</v>
      </c>
      <c r="E522" s="444" t="str">
        <f>_xlfn.XLOOKUP(C522,Códigos!$A$11:$A$415,Códigos!$B$11:$B$415,"Verificar",0)</f>
        <v>NOMBRE 96</v>
      </c>
      <c r="F522" s="1288" t="s">
        <v>407</v>
      </c>
      <c r="G522" s="1239">
        <v>500000</v>
      </c>
      <c r="H522" s="989">
        <f t="shared" si="19"/>
        <v>571658210</v>
      </c>
      <c r="I522" s="1049" t="s">
        <v>1230</v>
      </c>
      <c r="K522" s="19"/>
    </row>
    <row r="523" spans="1:11" x14ac:dyDescent="0.2">
      <c r="A523" s="1234">
        <v>45889</v>
      </c>
      <c r="B523" s="1000">
        <v>9</v>
      </c>
      <c r="C523" s="996">
        <v>359</v>
      </c>
      <c r="D523" s="443" t="str">
        <f>_xlfn.XLOOKUP(B523,Códigos!$A$421:$A$483,Códigos!$B$421:$B$483,"Verificar",0)</f>
        <v>Pagos de: -Servicios públicos -OFICINA-</v>
      </c>
      <c r="E523" s="444" t="str">
        <f>_xlfn.XLOOKUP(C523,Códigos!$A$11:$A$415,Códigos!$B$11:$B$415,"Verificar",0)</f>
        <v>NOMBRE 232</v>
      </c>
      <c r="F523" s="1288" t="s">
        <v>407</v>
      </c>
      <c r="G523" s="1239">
        <v>136500</v>
      </c>
      <c r="H523" s="989">
        <f t="shared" si="19"/>
        <v>571794710</v>
      </c>
      <c r="I523" s="1049" t="s">
        <v>1542</v>
      </c>
      <c r="K523" s="19"/>
    </row>
    <row r="524" spans="1:11" x14ac:dyDescent="0.2">
      <c r="A524" s="1234">
        <v>45889</v>
      </c>
      <c r="B524" s="1000">
        <v>9</v>
      </c>
      <c r="C524" s="996">
        <v>359</v>
      </c>
      <c r="D524" s="443" t="str">
        <f>_xlfn.XLOOKUP(B524,Códigos!$A$421:$A$483,Códigos!$B$421:$B$483,"Verificar",0)</f>
        <v>Pagos de: -Servicios públicos -OFICINA-</v>
      </c>
      <c r="E524" s="444" t="str">
        <f>_xlfn.XLOOKUP(C524,Códigos!$A$11:$A$415,Códigos!$B$11:$B$415,"Verificar",0)</f>
        <v>NOMBRE 232</v>
      </c>
      <c r="F524" s="1288" t="s">
        <v>407</v>
      </c>
      <c r="G524" s="1239">
        <v>64000</v>
      </c>
      <c r="H524" s="989">
        <f t="shared" si="19"/>
        <v>571858710</v>
      </c>
      <c r="I524" s="1049" t="s">
        <v>1536</v>
      </c>
      <c r="K524" s="19"/>
    </row>
    <row r="525" spans="1:11" x14ac:dyDescent="0.2">
      <c r="A525" s="1234">
        <v>45890</v>
      </c>
      <c r="B525" s="1241">
        <v>1</v>
      </c>
      <c r="C525" s="1187">
        <v>355</v>
      </c>
      <c r="D525" s="443" t="str">
        <f>_xlfn.XLOOKUP(B525,Códigos!$A$421:$A$483,Códigos!$B$421:$B$483,"Verificar",0)</f>
        <v>Gastos personales</v>
      </c>
      <c r="E525" s="444" t="str">
        <f>_xlfn.XLOOKUP(C525,Códigos!$A$11:$A$415,Códigos!$B$11:$B$415,"Verificar",0)</f>
        <v>NOMBRE 96</v>
      </c>
      <c r="F525" s="1288" t="s">
        <v>407</v>
      </c>
      <c r="G525" s="1239">
        <v>530000</v>
      </c>
      <c r="H525" s="989">
        <f t="shared" si="19"/>
        <v>572388710</v>
      </c>
      <c r="I525" s="1049" t="s">
        <v>1230</v>
      </c>
      <c r="K525" s="19"/>
    </row>
    <row r="526" spans="1:11" x14ac:dyDescent="0.2">
      <c r="A526" s="1234">
        <v>45891</v>
      </c>
      <c r="B526" s="1000">
        <v>8</v>
      </c>
      <c r="C526" s="1187">
        <v>357</v>
      </c>
      <c r="D526" s="443" t="str">
        <f>_xlfn.XLOOKUP(B526,Códigos!$A$421:$A$483,Códigos!$B$421:$B$483,"Verificar",0)</f>
        <v>Pagos de: -Cuota para alimentos y Manuntención</v>
      </c>
      <c r="E526" s="444" t="str">
        <f>_xlfn.XLOOKUP(C526,Códigos!$A$11:$A$415,Códigos!$B$11:$B$415,"Verificar",0)</f>
        <v>NOMBRE 107</v>
      </c>
      <c r="F526" s="1288" t="s">
        <v>1103</v>
      </c>
      <c r="G526" s="1239">
        <v>220000</v>
      </c>
      <c r="H526" s="989">
        <f t="shared" si="19"/>
        <v>572608710</v>
      </c>
      <c r="I526" s="1050" t="s">
        <v>1083</v>
      </c>
      <c r="K526" s="19"/>
    </row>
    <row r="527" spans="1:11" x14ac:dyDescent="0.2">
      <c r="A527" s="1234">
        <v>45891</v>
      </c>
      <c r="B527" s="1000">
        <v>2</v>
      </c>
      <c r="C527" s="1187">
        <v>353</v>
      </c>
      <c r="D527" s="443" t="str">
        <f>_xlfn.XLOOKUP(B527,Códigos!$A$421:$A$483,Códigos!$B$421:$B$483,"Verificar",0)</f>
        <v>Pago de Salarios a:</v>
      </c>
      <c r="E527" s="444" t="str">
        <f>_xlfn.XLOOKUP(C527,Códigos!$A$11:$A$415,Códigos!$B$11:$B$415,"Verificar",0)</f>
        <v>NOMBRE 31</v>
      </c>
      <c r="F527" s="1288" t="s">
        <v>407</v>
      </c>
      <c r="G527" s="1239">
        <v>660000</v>
      </c>
      <c r="H527" s="989">
        <f t="shared" si="19"/>
        <v>573268710</v>
      </c>
      <c r="I527" s="997" t="s">
        <v>1544</v>
      </c>
      <c r="K527" s="19"/>
    </row>
    <row r="528" spans="1:11" x14ac:dyDescent="0.2">
      <c r="A528" s="1234">
        <v>45891</v>
      </c>
      <c r="B528" s="1000">
        <v>8</v>
      </c>
      <c r="C528" s="996">
        <v>356</v>
      </c>
      <c r="D528" s="443" t="str">
        <f>_xlfn.XLOOKUP(B528,Códigos!$A$421:$A$483,Códigos!$B$421:$B$483,"Verificar",0)</f>
        <v>Pagos de: -Cuota para alimentos y Manuntención</v>
      </c>
      <c r="E528" s="444" t="str">
        <f>_xlfn.XLOOKUP(C528,Códigos!$A$11:$A$415,Códigos!$B$11:$B$415,"Verificar",0)</f>
        <v>NOMBRE 108</v>
      </c>
      <c r="F528" s="1288" t="s">
        <v>1103</v>
      </c>
      <c r="G528" s="990">
        <v>220000</v>
      </c>
      <c r="H528" s="989">
        <f t="shared" si="19"/>
        <v>573488710</v>
      </c>
      <c r="I528" s="1050" t="s">
        <v>1083</v>
      </c>
      <c r="K528" s="19"/>
    </row>
    <row r="529" spans="1:11" x14ac:dyDescent="0.2">
      <c r="A529" s="1234">
        <v>45891</v>
      </c>
      <c r="B529" s="1000">
        <v>8</v>
      </c>
      <c r="C529" s="996">
        <v>358</v>
      </c>
      <c r="D529" s="443" t="str">
        <f>_xlfn.XLOOKUP(B529,Códigos!$A$421:$A$483,Códigos!$B$421:$B$483,"Verificar",0)</f>
        <v>Pagos de: -Cuota para alimentos y Manuntención</v>
      </c>
      <c r="E529" s="444" t="str">
        <f>_xlfn.XLOOKUP(C529,Códigos!$A$11:$A$415,Códigos!$B$11:$B$415,"Verificar",0)</f>
        <v>NOMBRE 338</v>
      </c>
      <c r="F529" s="1288" t="s">
        <v>1103</v>
      </c>
      <c r="G529" s="1280">
        <v>380000</v>
      </c>
      <c r="H529" s="989">
        <f t="shared" si="19"/>
        <v>573868710</v>
      </c>
      <c r="I529" s="997" t="s">
        <v>1545</v>
      </c>
      <c r="K529" s="19"/>
    </row>
    <row r="530" spans="1:11" x14ac:dyDescent="0.2">
      <c r="A530" s="1234">
        <v>45891</v>
      </c>
      <c r="B530" s="1000">
        <v>2</v>
      </c>
      <c r="C530" s="996">
        <v>262</v>
      </c>
      <c r="D530" s="443" t="str">
        <f>_xlfn.XLOOKUP(B530,Códigos!$A$421:$A$483,Códigos!$B$421:$B$483,"Verificar",0)</f>
        <v>Pago de Salarios a:</v>
      </c>
      <c r="E530" s="444" t="str">
        <f>_xlfn.XLOOKUP(C530,Códigos!$A$11:$A$415,Códigos!$B$11:$B$415,"Verificar",0)</f>
        <v>NOMBRE 95</v>
      </c>
      <c r="F530" s="1288" t="s">
        <v>407</v>
      </c>
      <c r="G530" s="1239">
        <v>660000</v>
      </c>
      <c r="H530" s="989">
        <f t="shared" si="19"/>
        <v>574528710</v>
      </c>
      <c r="I530" s="997" t="s">
        <v>1544</v>
      </c>
      <c r="K530" s="19"/>
    </row>
    <row r="531" spans="1:11" x14ac:dyDescent="0.2">
      <c r="A531" s="1234">
        <v>45891</v>
      </c>
      <c r="B531" s="1241">
        <v>22</v>
      </c>
      <c r="C531" s="1187">
        <v>359</v>
      </c>
      <c r="D531" s="443" t="str">
        <f>_xlfn.XLOOKUP(B531,Códigos!$A$421:$A$483,Códigos!$B$421:$B$483,"Verificar",0)</f>
        <v>Compra de: -Equipos, dotaciones y repuestos para oficina</v>
      </c>
      <c r="E531" s="444" t="str">
        <f>_xlfn.XLOOKUP(C531,Códigos!$A$11:$A$415,Códigos!$B$11:$B$415,"Verificar",0)</f>
        <v>NOMBRE 232</v>
      </c>
      <c r="F531" s="1288" t="s">
        <v>407</v>
      </c>
      <c r="G531" s="1239">
        <v>1306000</v>
      </c>
      <c r="H531" s="989">
        <f t="shared" si="19"/>
        <v>575834710</v>
      </c>
      <c r="I531" s="1052" t="s">
        <v>1538</v>
      </c>
      <c r="K531" s="19"/>
    </row>
    <row r="532" spans="1:11" x14ac:dyDescent="0.2">
      <c r="A532" s="1234">
        <v>45891</v>
      </c>
      <c r="B532" s="1241">
        <v>27</v>
      </c>
      <c r="C532" s="1187">
        <v>359</v>
      </c>
      <c r="D532" s="443" t="str">
        <f>_xlfn.XLOOKUP(B532,Códigos!$A$421:$A$483,Códigos!$B$421:$B$483,"Verificar",0)</f>
        <v>Compra de: -Restaurante y cafetería</v>
      </c>
      <c r="E532" s="444" t="str">
        <f>_xlfn.XLOOKUP(C532,Códigos!$A$11:$A$415,Códigos!$B$11:$B$415,"Verificar",0)</f>
        <v>NOMBRE 232</v>
      </c>
      <c r="F532" s="1288" t="s">
        <v>407</v>
      </c>
      <c r="G532" s="1239">
        <v>40000</v>
      </c>
      <c r="H532" s="989">
        <f t="shared" si="19"/>
        <v>575874710</v>
      </c>
      <c r="I532" s="1052" t="s">
        <v>1078</v>
      </c>
      <c r="K532" s="19"/>
    </row>
    <row r="533" spans="1:11" x14ac:dyDescent="0.2">
      <c r="A533" s="1234">
        <v>45895</v>
      </c>
      <c r="B533" s="1000">
        <v>9</v>
      </c>
      <c r="C533" s="996">
        <v>359</v>
      </c>
      <c r="D533" s="443" t="str">
        <f>_xlfn.XLOOKUP(B533,Códigos!$A$421:$A$483,Códigos!$B$421:$B$483,"Verificar",0)</f>
        <v>Pagos de: -Servicios públicos -OFICINA-</v>
      </c>
      <c r="E533" s="444" t="str">
        <f>_xlfn.XLOOKUP(C533,Códigos!$A$11:$A$415,Códigos!$B$11:$B$415,"Verificar",0)</f>
        <v>NOMBRE 232</v>
      </c>
      <c r="F533" s="1288" t="s">
        <v>407</v>
      </c>
      <c r="G533" s="1239">
        <v>408900</v>
      </c>
      <c r="H533" s="989">
        <f t="shared" si="19"/>
        <v>576283610</v>
      </c>
      <c r="I533" s="1049" t="s">
        <v>1497</v>
      </c>
      <c r="K533" s="19"/>
    </row>
    <row r="534" spans="1:11" x14ac:dyDescent="0.2">
      <c r="A534" s="1234">
        <v>45895</v>
      </c>
      <c r="B534" s="1241">
        <v>11</v>
      </c>
      <c r="C534" s="1187">
        <v>359</v>
      </c>
      <c r="D534" s="443" t="str">
        <f>_xlfn.XLOOKUP(B534,Códigos!$A$421:$A$483,Códigos!$B$421:$B$483,"Verificar",0)</f>
        <v>Pagos de: -Servicios Administracion y otros Oficina</v>
      </c>
      <c r="E534" s="444" t="str">
        <f>_xlfn.XLOOKUP(C534,Códigos!$A$11:$A$415,Códigos!$B$11:$B$415,"Verificar",0)</f>
        <v>NOMBRE 232</v>
      </c>
      <c r="F534" s="1288" t="s">
        <v>407</v>
      </c>
      <c r="G534" s="1239">
        <v>129700</v>
      </c>
      <c r="H534" s="989">
        <f t="shared" si="19"/>
        <v>576413310</v>
      </c>
      <c r="I534" s="1049" t="s">
        <v>1486</v>
      </c>
      <c r="K534" s="19"/>
    </row>
    <row r="535" spans="1:11" x14ac:dyDescent="0.2">
      <c r="A535" s="1234">
        <v>45895</v>
      </c>
      <c r="B535" s="1339">
        <v>8</v>
      </c>
      <c r="C535" s="1339">
        <v>359</v>
      </c>
      <c r="D535" s="1340" t="str">
        <f>_xlfn.XLOOKUP(B535,Códigos!$A$421:$A$483,Códigos!$B$421:$B$483,"Verificar",0)</f>
        <v>Pagos de: -Cuota para alimentos y Manuntención</v>
      </c>
      <c r="E535" s="1341" t="str">
        <f>_xlfn.XLOOKUP(C535,Códigos!$A$11:$A$415,Códigos!$B$11:$B$415,"Verificar",0)</f>
        <v>NOMBRE 232</v>
      </c>
      <c r="F535" s="1342" t="s">
        <v>407</v>
      </c>
      <c r="G535" s="1343">
        <v>200000</v>
      </c>
      <c r="H535" s="1343">
        <f t="shared" si="19"/>
        <v>576613310</v>
      </c>
      <c r="I535" s="1344" t="s">
        <v>1317</v>
      </c>
      <c r="K535" s="19"/>
    </row>
    <row r="536" spans="1:11" x14ac:dyDescent="0.2">
      <c r="A536" s="1234">
        <v>45895</v>
      </c>
      <c r="B536" s="1241">
        <v>11</v>
      </c>
      <c r="C536" s="1187">
        <v>359</v>
      </c>
      <c r="D536" s="443" t="str">
        <f>_xlfn.XLOOKUP(B536,Códigos!$A$421:$A$483,Códigos!$B$421:$B$483,"Verificar",0)</f>
        <v>Pagos de: -Servicios Administracion y otros Oficina</v>
      </c>
      <c r="E536" s="444" t="str">
        <f>_xlfn.XLOOKUP(C536,Códigos!$A$11:$A$415,Códigos!$B$11:$B$415,"Verificar",0)</f>
        <v>NOMBRE 232</v>
      </c>
      <c r="F536" s="1288" t="s">
        <v>407</v>
      </c>
      <c r="G536" s="1239">
        <v>1137653</v>
      </c>
      <c r="H536" s="989">
        <f t="shared" si="19"/>
        <v>577750963</v>
      </c>
      <c r="I536" s="1049" t="s">
        <v>1107</v>
      </c>
      <c r="K536" s="19"/>
    </row>
    <row r="537" spans="1:11" x14ac:dyDescent="0.2">
      <c r="A537" s="1234">
        <v>45896</v>
      </c>
      <c r="B537" s="1241">
        <v>23</v>
      </c>
      <c r="C537" s="1187">
        <v>359</v>
      </c>
      <c r="D537" s="443" t="str">
        <f>_xlfn.XLOOKUP(B537,Códigos!$A$421:$A$483,Códigos!$B$421:$B$483,"Verificar",0)</f>
        <v>Compra de: -Útiles de aseo</v>
      </c>
      <c r="E537" s="444" t="str">
        <f>_xlfn.XLOOKUP(C537,Códigos!$A$11:$A$415,Códigos!$B$11:$B$415,"Verificar",0)</f>
        <v>NOMBRE 232</v>
      </c>
      <c r="F537" s="1288" t="s">
        <v>407</v>
      </c>
      <c r="G537" s="1239">
        <v>80000</v>
      </c>
      <c r="H537" s="989">
        <f t="shared" si="19"/>
        <v>577830963</v>
      </c>
      <c r="I537" s="1052" t="s">
        <v>1046</v>
      </c>
      <c r="K537" s="19"/>
    </row>
    <row r="538" spans="1:11" x14ac:dyDescent="0.2">
      <c r="A538" s="1234">
        <v>45896</v>
      </c>
      <c r="B538" s="1241">
        <v>23</v>
      </c>
      <c r="C538" s="1187">
        <v>359</v>
      </c>
      <c r="D538" s="443" t="str">
        <f>_xlfn.XLOOKUP(B538,Códigos!$A$421:$A$483,Códigos!$B$421:$B$483,"Verificar",0)</f>
        <v>Compra de: -Útiles de aseo</v>
      </c>
      <c r="E538" s="444" t="str">
        <f>_xlfn.XLOOKUP(C538,Códigos!$A$11:$A$415,Códigos!$B$11:$B$415,"Verificar",0)</f>
        <v>NOMBRE 232</v>
      </c>
      <c r="F538" s="1288" t="s">
        <v>407</v>
      </c>
      <c r="G538" s="1239">
        <v>36000</v>
      </c>
      <c r="H538" s="989">
        <f t="shared" si="19"/>
        <v>577866963</v>
      </c>
      <c r="I538" s="1049" t="s">
        <v>1288</v>
      </c>
      <c r="K538" s="19"/>
    </row>
    <row r="539" spans="1:11" x14ac:dyDescent="0.2">
      <c r="A539" s="1234">
        <v>45896</v>
      </c>
      <c r="B539" s="1241">
        <v>18</v>
      </c>
      <c r="C539" s="1187">
        <v>359</v>
      </c>
      <c r="D539" s="443" t="str">
        <f>_xlfn.XLOOKUP(B539,Códigos!$A$421:$A$483,Códigos!$B$421:$B$483,"Verificar",0)</f>
        <v>Pagos de: -Pasajes y transportes</v>
      </c>
      <c r="E539" s="444" t="str">
        <f>_xlfn.XLOOKUP(C539,Códigos!$A$11:$A$415,Códigos!$B$11:$B$415,"Verificar",0)</f>
        <v>NOMBRE 232</v>
      </c>
      <c r="F539" s="1288" t="s">
        <v>407</v>
      </c>
      <c r="G539" s="1239">
        <v>20000</v>
      </c>
      <c r="H539" s="989">
        <f t="shared" si="19"/>
        <v>577886963</v>
      </c>
      <c r="I539" s="1049" t="s">
        <v>1543</v>
      </c>
      <c r="K539" s="19"/>
    </row>
    <row r="540" spans="1:11" x14ac:dyDescent="0.2">
      <c r="A540" s="1234">
        <v>45896</v>
      </c>
      <c r="B540" s="1241">
        <v>1</v>
      </c>
      <c r="C540" s="1187">
        <v>355</v>
      </c>
      <c r="D540" s="443" t="str">
        <f>_xlfn.XLOOKUP(B540,Códigos!$A$421:$A$483,Códigos!$B$421:$B$483,"Verificar",0)</f>
        <v>Gastos personales</v>
      </c>
      <c r="E540" s="444" t="str">
        <f>_xlfn.XLOOKUP(C540,Códigos!$A$11:$A$415,Códigos!$B$11:$B$415,"Verificar",0)</f>
        <v>NOMBRE 96</v>
      </c>
      <c r="F540" s="1288" t="s">
        <v>407</v>
      </c>
      <c r="G540" s="1239">
        <v>200000</v>
      </c>
      <c r="H540" s="989">
        <f t="shared" si="19"/>
        <v>578086963</v>
      </c>
      <c r="I540" s="1049" t="s">
        <v>1548</v>
      </c>
      <c r="K540" s="19"/>
    </row>
    <row r="541" spans="1:11" x14ac:dyDescent="0.2">
      <c r="A541" s="1234">
        <v>45897</v>
      </c>
      <c r="B541" s="1000">
        <v>8</v>
      </c>
      <c r="C541" s="1187">
        <v>357</v>
      </c>
      <c r="D541" s="443" t="str">
        <f>_xlfn.XLOOKUP(B541,Códigos!$A$421:$A$483,Códigos!$B$421:$B$483,"Verificar",0)</f>
        <v>Pagos de: -Cuota para alimentos y Manuntención</v>
      </c>
      <c r="E541" s="444" t="str">
        <f>_xlfn.XLOOKUP(C541,Códigos!$A$11:$A$415,Códigos!$B$11:$B$415,"Verificar",0)</f>
        <v>NOMBRE 107</v>
      </c>
      <c r="F541" s="1288" t="s">
        <v>1103</v>
      </c>
      <c r="G541" s="1239">
        <v>220000</v>
      </c>
      <c r="H541" s="989">
        <f t="shared" si="19"/>
        <v>578306963</v>
      </c>
      <c r="I541" s="1050" t="s">
        <v>1083</v>
      </c>
      <c r="K541" s="19"/>
    </row>
    <row r="542" spans="1:11" x14ac:dyDescent="0.2">
      <c r="A542" s="1234">
        <v>45897</v>
      </c>
      <c r="B542" s="1000">
        <v>2</v>
      </c>
      <c r="C542" s="1187">
        <v>353</v>
      </c>
      <c r="D542" s="443" t="str">
        <f>_xlfn.XLOOKUP(B542,Códigos!$A$421:$A$483,Códigos!$B$421:$B$483,"Verificar",0)</f>
        <v>Pago de Salarios a:</v>
      </c>
      <c r="E542" s="444" t="str">
        <f>_xlfn.XLOOKUP(C542,Códigos!$A$11:$A$415,Códigos!$B$11:$B$415,"Verificar",0)</f>
        <v>NOMBRE 31</v>
      </c>
      <c r="F542" s="1288" t="s">
        <v>407</v>
      </c>
      <c r="G542" s="1239">
        <v>660000</v>
      </c>
      <c r="H542" s="989">
        <f t="shared" si="19"/>
        <v>578966963</v>
      </c>
      <c r="I542" s="997" t="s">
        <v>1546</v>
      </c>
      <c r="K542" s="19"/>
    </row>
    <row r="543" spans="1:11" x14ac:dyDescent="0.2">
      <c r="A543" s="1234">
        <v>45897</v>
      </c>
      <c r="B543" s="1241">
        <v>9</v>
      </c>
      <c r="C543" s="1187">
        <v>359</v>
      </c>
      <c r="D543" s="443" t="str">
        <f>_xlfn.XLOOKUP(B543,Códigos!$A$421:$A$483,Códigos!$B$421:$B$483,"Verificar",0)</f>
        <v>Pagos de: -Servicios públicos -OFICINA-</v>
      </c>
      <c r="E543" s="444" t="str">
        <f>_xlfn.XLOOKUP(C543,Códigos!$A$11:$A$415,Códigos!$B$11:$B$415,"Verificar",0)</f>
        <v>NOMBRE 232</v>
      </c>
      <c r="F543" s="1288" t="s">
        <v>407</v>
      </c>
      <c r="G543" s="1239">
        <v>22000</v>
      </c>
      <c r="H543" s="989">
        <f t="shared" si="19"/>
        <v>578988963</v>
      </c>
      <c r="I543" s="1049" t="s">
        <v>1547</v>
      </c>
      <c r="K543" s="19"/>
    </row>
    <row r="544" spans="1:11" x14ac:dyDescent="0.2">
      <c r="A544" s="1234">
        <v>45897</v>
      </c>
      <c r="B544" s="1241">
        <v>25</v>
      </c>
      <c r="C544" s="1187">
        <v>359</v>
      </c>
      <c r="D544" s="443" t="str">
        <f>_xlfn.XLOOKUP(B544,Códigos!$A$421:$A$483,Códigos!$B$421:$B$483,"Verificar",0)</f>
        <v>Compra de: -Manuales, Libros y formularios</v>
      </c>
      <c r="E544" s="444" t="str">
        <f>_xlfn.XLOOKUP(C544,Códigos!$A$11:$A$415,Códigos!$B$11:$B$415,"Verificar",0)</f>
        <v>NOMBRE 232</v>
      </c>
      <c r="F544" s="1288" t="s">
        <v>407</v>
      </c>
      <c r="G544" s="1239">
        <v>8000</v>
      </c>
      <c r="H544" s="989">
        <f t="shared" si="19"/>
        <v>578996963</v>
      </c>
      <c r="I544" s="1049" t="s">
        <v>1549</v>
      </c>
      <c r="K544" s="19"/>
    </row>
    <row r="545" spans="1:11" x14ac:dyDescent="0.2">
      <c r="A545" s="1234">
        <v>45898</v>
      </c>
      <c r="B545" s="1000">
        <v>8</v>
      </c>
      <c r="C545" s="996">
        <v>356</v>
      </c>
      <c r="D545" s="443" t="str">
        <f>_xlfn.XLOOKUP(B545,Códigos!$A$421:$A$483,Códigos!$B$421:$B$483,"Verificar",0)</f>
        <v>Pagos de: -Cuota para alimentos y Manuntención</v>
      </c>
      <c r="E545" s="444" t="str">
        <f>_xlfn.XLOOKUP(C545,Códigos!$A$11:$A$415,Códigos!$B$11:$B$415,"Verificar",0)</f>
        <v>NOMBRE 108</v>
      </c>
      <c r="F545" s="1288" t="s">
        <v>1103</v>
      </c>
      <c r="G545" s="990">
        <v>220000</v>
      </c>
      <c r="H545" s="989">
        <f t="shared" si="19"/>
        <v>579216963</v>
      </c>
      <c r="I545" s="1050" t="s">
        <v>1083</v>
      </c>
      <c r="K545" s="19"/>
    </row>
    <row r="546" spans="1:11" x14ac:dyDescent="0.2">
      <c r="A546" s="1234">
        <v>45898</v>
      </c>
      <c r="B546" s="1000">
        <v>8</v>
      </c>
      <c r="C546" s="996">
        <v>358</v>
      </c>
      <c r="D546" s="443" t="str">
        <f>_xlfn.XLOOKUP(B546,Códigos!$A$421:$A$483,Códigos!$B$421:$B$483,"Verificar",0)</f>
        <v>Pagos de: -Cuota para alimentos y Manuntención</v>
      </c>
      <c r="E546" s="444" t="str">
        <f>_xlfn.XLOOKUP(C546,Códigos!$A$11:$A$415,Códigos!$B$11:$B$415,"Verificar",0)</f>
        <v>NOMBRE 338</v>
      </c>
      <c r="F546" s="1288" t="s">
        <v>1103</v>
      </c>
      <c r="G546" s="1280">
        <v>380000</v>
      </c>
      <c r="H546" s="989">
        <f t="shared" si="19"/>
        <v>579596963</v>
      </c>
      <c r="I546" s="997" t="s">
        <v>1550</v>
      </c>
      <c r="K546" s="19"/>
    </row>
    <row r="547" spans="1:11" x14ac:dyDescent="0.2">
      <c r="A547" s="1234">
        <v>45898</v>
      </c>
      <c r="B547" s="1000">
        <v>2</v>
      </c>
      <c r="C547" s="996">
        <v>262</v>
      </c>
      <c r="D547" s="443" t="str">
        <f>_xlfn.XLOOKUP(B547,Códigos!$A$421:$A$483,Códigos!$B$421:$B$483,"Verificar",0)</f>
        <v>Pago de Salarios a:</v>
      </c>
      <c r="E547" s="444" t="str">
        <f>_xlfn.XLOOKUP(C547,Códigos!$A$11:$A$415,Códigos!$B$11:$B$415,"Verificar",0)</f>
        <v>NOMBRE 95</v>
      </c>
      <c r="F547" s="1288" t="s">
        <v>407</v>
      </c>
      <c r="G547" s="1239">
        <v>660000</v>
      </c>
      <c r="H547" s="989">
        <f t="shared" si="19"/>
        <v>580256963</v>
      </c>
      <c r="I547" s="997" t="s">
        <v>1546</v>
      </c>
      <c r="K547" s="19"/>
    </row>
    <row r="548" spans="1:11" x14ac:dyDescent="0.2">
      <c r="A548" s="1234">
        <v>45898</v>
      </c>
      <c r="B548" s="1000">
        <v>33</v>
      </c>
      <c r="C548" s="996">
        <v>3</v>
      </c>
      <c r="D548" s="443" t="str">
        <f>_xlfn.XLOOKUP(B548,Códigos!$A$421:$A$483,Códigos!$B$421:$B$483,"Verificar",0)</f>
        <v>AJUSTE POR -Consignación - Traslado a Bancos</v>
      </c>
      <c r="E548" s="444" t="str">
        <f>_xlfn.XLOOKUP(C548,Códigos!$A$11:$A$415,Códigos!$B$11:$B$415,"Verificar",0)</f>
        <v>NOMBRE 24</v>
      </c>
      <c r="F548" s="1288" t="s">
        <v>407</v>
      </c>
      <c r="G548" s="1280">
        <v>580000</v>
      </c>
      <c r="H548" s="989">
        <f t="shared" si="19"/>
        <v>580836963</v>
      </c>
      <c r="I548" s="997" t="s">
        <v>1552</v>
      </c>
      <c r="K548" s="19"/>
    </row>
    <row r="549" spans="1:11" x14ac:dyDescent="0.2">
      <c r="A549" s="1234">
        <v>45899</v>
      </c>
      <c r="B549" s="1241">
        <v>1</v>
      </c>
      <c r="C549" s="1187">
        <v>355</v>
      </c>
      <c r="D549" s="443" t="str">
        <f>_xlfn.XLOOKUP(B549,Códigos!$A$421:$A$483,Códigos!$B$421:$B$483,"Verificar",0)</f>
        <v>Gastos personales</v>
      </c>
      <c r="E549" s="444" t="str">
        <f>_xlfn.XLOOKUP(C549,Códigos!$A$11:$A$415,Códigos!$B$11:$B$415,"Verificar",0)</f>
        <v>NOMBRE 96</v>
      </c>
      <c r="F549" s="1288" t="s">
        <v>407</v>
      </c>
      <c r="G549" s="1239">
        <v>504000</v>
      </c>
      <c r="H549" s="989">
        <f t="shared" si="19"/>
        <v>581340963</v>
      </c>
      <c r="I549" s="1049" t="s">
        <v>1230</v>
      </c>
      <c r="K549" s="19"/>
    </row>
    <row r="550" spans="1:11" x14ac:dyDescent="0.2">
      <c r="A550" s="1234">
        <v>45901</v>
      </c>
      <c r="B550" s="1000">
        <v>9</v>
      </c>
      <c r="C550" s="996">
        <v>359</v>
      </c>
      <c r="D550" s="443" t="str">
        <f>_xlfn.XLOOKUP(B550,Códigos!$A$421:$A$483,Códigos!$B$421:$B$483,"Verificar",0)</f>
        <v>Pagos de: -Servicios públicos -OFICINA-</v>
      </c>
      <c r="E550" s="444" t="str">
        <f>_xlfn.XLOOKUP(C550,Códigos!$A$11:$A$415,Códigos!$B$11:$B$415,"Verificar",0)</f>
        <v>NOMBRE 232</v>
      </c>
      <c r="F550" s="1288" t="s">
        <v>407</v>
      </c>
      <c r="G550" s="1239">
        <v>46073</v>
      </c>
      <c r="H550" s="989">
        <f t="shared" si="19"/>
        <v>581387036</v>
      </c>
      <c r="I550" s="1049" t="s">
        <v>1518</v>
      </c>
      <c r="K550" s="19"/>
    </row>
    <row r="551" spans="1:11" x14ac:dyDescent="0.2">
      <c r="A551" s="1234">
        <v>45902</v>
      </c>
      <c r="B551" s="1241">
        <v>5</v>
      </c>
      <c r="C551" s="1187">
        <v>262</v>
      </c>
      <c r="D551" s="443" t="str">
        <f>_xlfn.XLOOKUP(B551,Códigos!$A$421:$A$483,Códigos!$B$421:$B$483,"Verificar",0)</f>
        <v>Préstamos por Nómina a:</v>
      </c>
      <c r="E551" s="444" t="str">
        <f>_xlfn.XLOOKUP(C551,Códigos!$A$11:$A$415,Códigos!$B$11:$B$415,"Verificar",0)</f>
        <v>NOMBRE 95</v>
      </c>
      <c r="F551" s="1288" t="s">
        <v>407</v>
      </c>
      <c r="G551" s="1239">
        <v>200000</v>
      </c>
      <c r="H551" s="989">
        <f t="shared" si="19"/>
        <v>581587036</v>
      </c>
      <c r="I551" s="1049" t="s">
        <v>1114</v>
      </c>
      <c r="K551" s="19"/>
    </row>
    <row r="552" spans="1:11" x14ac:dyDescent="0.2">
      <c r="A552" s="1234">
        <v>45902</v>
      </c>
      <c r="B552" s="1241">
        <v>5</v>
      </c>
      <c r="C552" s="1187">
        <v>262</v>
      </c>
      <c r="D552" s="443" t="str">
        <f>_xlfn.XLOOKUP(B552,Códigos!$A$421:$A$483,Códigos!$B$421:$B$483,"Verificar",0)</f>
        <v>Préstamos por Nómina a:</v>
      </c>
      <c r="E552" s="444" t="str">
        <f>_xlfn.XLOOKUP(C552,Códigos!$A$11:$A$415,Códigos!$B$11:$B$415,"Verificar",0)</f>
        <v>NOMBRE 95</v>
      </c>
      <c r="F552" s="1288" t="s">
        <v>407</v>
      </c>
      <c r="G552" s="1239">
        <v>100000</v>
      </c>
      <c r="H552" s="989">
        <f t="shared" si="19"/>
        <v>581687036</v>
      </c>
      <c r="I552" s="1049" t="s">
        <v>1148</v>
      </c>
      <c r="K552" s="19"/>
    </row>
    <row r="553" spans="1:11" x14ac:dyDescent="0.2">
      <c r="A553" s="1234">
        <v>45902</v>
      </c>
      <c r="B553" s="1241">
        <v>1</v>
      </c>
      <c r="C553" s="1187">
        <v>355</v>
      </c>
      <c r="D553" s="443" t="str">
        <f>_xlfn.XLOOKUP(B553,Códigos!$A$421:$A$483,Códigos!$B$421:$B$483,"Verificar",0)</f>
        <v>Gastos personales</v>
      </c>
      <c r="E553" s="444" t="str">
        <f>_xlfn.XLOOKUP(C553,Códigos!$A$11:$A$415,Códigos!$B$11:$B$415,"Verificar",0)</f>
        <v>NOMBRE 96</v>
      </c>
      <c r="F553" s="1288" t="s">
        <v>407</v>
      </c>
      <c r="G553" s="1239">
        <v>100000</v>
      </c>
      <c r="H553" s="989">
        <f t="shared" si="19"/>
        <v>581787036</v>
      </c>
      <c r="I553" s="1049" t="s">
        <v>1558</v>
      </c>
      <c r="K553" s="19"/>
    </row>
    <row r="554" spans="1:11" x14ac:dyDescent="0.2">
      <c r="A554" s="1234">
        <v>45903</v>
      </c>
      <c r="B554" s="1241">
        <v>27</v>
      </c>
      <c r="C554" s="1187">
        <v>359</v>
      </c>
      <c r="D554" s="443" t="str">
        <f>_xlfn.XLOOKUP(B554,Códigos!$A$421:$A$483,Códigos!$B$421:$B$483,"Verificar",0)</f>
        <v>Compra de: -Restaurante y cafetería</v>
      </c>
      <c r="E554" s="444" t="str">
        <f>_xlfn.XLOOKUP(C554,Códigos!$A$11:$A$415,Códigos!$B$11:$B$415,"Verificar",0)</f>
        <v>NOMBRE 232</v>
      </c>
      <c r="F554" s="1288" t="s">
        <v>407</v>
      </c>
      <c r="G554" s="1239">
        <v>75000</v>
      </c>
      <c r="H554" s="989">
        <f t="shared" si="19"/>
        <v>581862036</v>
      </c>
      <c r="I554" s="1049" t="s">
        <v>1559</v>
      </c>
      <c r="K554" s="19"/>
    </row>
    <row r="555" spans="1:11" x14ac:dyDescent="0.2">
      <c r="A555" s="1234">
        <v>45903</v>
      </c>
      <c r="B555" s="1000">
        <v>8</v>
      </c>
      <c r="C555" s="1187">
        <v>357</v>
      </c>
      <c r="D555" s="443" t="str">
        <f>_xlfn.XLOOKUP(B555,Códigos!$A$421:$A$483,Códigos!$B$421:$B$483,"Verificar",0)</f>
        <v>Pagos de: -Cuota para alimentos y Manuntención</v>
      </c>
      <c r="E555" s="444" t="str">
        <f>_xlfn.XLOOKUP(C555,Códigos!$A$11:$A$415,Códigos!$B$11:$B$415,"Verificar",0)</f>
        <v>NOMBRE 107</v>
      </c>
      <c r="F555" s="1288" t="s">
        <v>1103</v>
      </c>
      <c r="G555" s="1239">
        <v>220000</v>
      </c>
      <c r="H555" s="989">
        <f t="shared" si="19"/>
        <v>582082036</v>
      </c>
      <c r="I555" s="1050" t="s">
        <v>1083</v>
      </c>
      <c r="K555" s="19"/>
    </row>
    <row r="556" spans="1:11" x14ac:dyDescent="0.2">
      <c r="A556" s="1234">
        <v>45903</v>
      </c>
      <c r="B556" s="1000">
        <v>2</v>
      </c>
      <c r="C556" s="1187">
        <v>353</v>
      </c>
      <c r="D556" s="443" t="str">
        <f>_xlfn.XLOOKUP(B556,Códigos!$A$421:$A$483,Códigos!$B$421:$B$483,"Verificar",0)</f>
        <v>Pago de Salarios a:</v>
      </c>
      <c r="E556" s="444" t="str">
        <f>_xlfn.XLOOKUP(C556,Códigos!$A$11:$A$415,Códigos!$B$11:$B$415,"Verificar",0)</f>
        <v>NOMBRE 31</v>
      </c>
      <c r="F556" s="1288" t="s">
        <v>407</v>
      </c>
      <c r="G556" s="1239">
        <v>660000</v>
      </c>
      <c r="H556" s="989">
        <f t="shared" si="19"/>
        <v>582742036</v>
      </c>
      <c r="I556" s="997" t="s">
        <v>1570</v>
      </c>
      <c r="K556" s="19"/>
    </row>
    <row r="557" spans="1:11" x14ac:dyDescent="0.2">
      <c r="A557" s="1234">
        <v>45903</v>
      </c>
      <c r="B557" s="1241">
        <v>21</v>
      </c>
      <c r="C557" s="1187">
        <v>359</v>
      </c>
      <c r="D557" s="443" t="str">
        <f>_xlfn.XLOOKUP(B557,Códigos!$A$421:$A$483,Códigos!$B$421:$B$483,"Verificar",0)</f>
        <v>Pagos de: -Cuentas por Pagar a:</v>
      </c>
      <c r="E557" s="444" t="str">
        <f>_xlfn.XLOOKUP(C557,Códigos!$A$11:$A$415,Códigos!$B$11:$B$415,"Verificar",0)</f>
        <v>NOMBRE 232</v>
      </c>
      <c r="F557" s="1288" t="s">
        <v>407</v>
      </c>
      <c r="G557" s="1239">
        <v>450000</v>
      </c>
      <c r="H557" s="989">
        <f t="shared" si="19"/>
        <v>583192036</v>
      </c>
      <c r="I557" s="1049" t="s">
        <v>1563</v>
      </c>
      <c r="K557" s="19"/>
    </row>
    <row r="558" spans="1:11" x14ac:dyDescent="0.2">
      <c r="A558" s="1234">
        <v>45903</v>
      </c>
      <c r="B558" s="1000">
        <v>33</v>
      </c>
      <c r="C558" s="996">
        <v>3</v>
      </c>
      <c r="D558" s="443" t="str">
        <f>_xlfn.XLOOKUP(B558,Códigos!$A$421:$A$483,Códigos!$B$421:$B$483,"Verificar",0)</f>
        <v>AJUSTE POR -Consignación - Traslado a Bancos</v>
      </c>
      <c r="E558" s="444" t="str">
        <f>_xlfn.XLOOKUP(C558,Códigos!$A$11:$A$415,Códigos!$B$11:$B$415,"Verificar",0)</f>
        <v>NOMBRE 24</v>
      </c>
      <c r="F558" s="1288" t="s">
        <v>407</v>
      </c>
      <c r="G558" s="1239">
        <v>330000</v>
      </c>
      <c r="H558" s="989">
        <f t="shared" si="19"/>
        <v>583522036</v>
      </c>
      <c r="I558" s="1049" t="s">
        <v>1605</v>
      </c>
      <c r="K558" s="19"/>
    </row>
    <row r="559" spans="1:11" x14ac:dyDescent="0.2">
      <c r="A559" s="1234">
        <v>45904</v>
      </c>
      <c r="B559" s="1241">
        <v>1</v>
      </c>
      <c r="C559" s="1187">
        <v>355</v>
      </c>
      <c r="D559" s="443" t="str">
        <f>_xlfn.XLOOKUP(B559,Códigos!$A$421:$A$483,Códigos!$B$421:$B$483,"Verificar",0)</f>
        <v>Gastos personales</v>
      </c>
      <c r="E559" s="444" t="str">
        <f>_xlfn.XLOOKUP(C559,Códigos!$A$11:$A$415,Códigos!$B$11:$B$415,"Verificar",0)</f>
        <v>NOMBRE 96</v>
      </c>
      <c r="F559" s="1288" t="s">
        <v>407</v>
      </c>
      <c r="G559" s="1239">
        <v>500000</v>
      </c>
      <c r="H559" s="989">
        <f t="shared" si="19"/>
        <v>584022036</v>
      </c>
      <c r="I559" s="1049" t="s">
        <v>1230</v>
      </c>
      <c r="K559" s="19"/>
    </row>
    <row r="560" spans="1:11" x14ac:dyDescent="0.2">
      <c r="A560" s="1234">
        <v>45904</v>
      </c>
      <c r="B560" s="1000">
        <v>8</v>
      </c>
      <c r="C560" s="996">
        <v>358</v>
      </c>
      <c r="D560" s="443" t="str">
        <f>_xlfn.XLOOKUP(B560,Códigos!$A$421:$A$483,Códigos!$B$421:$B$483,"Verificar",0)</f>
        <v>Pagos de: -Cuota para alimentos y Manuntención</v>
      </c>
      <c r="E560" s="444" t="str">
        <f>_xlfn.XLOOKUP(C560,Códigos!$A$11:$A$415,Códigos!$B$11:$B$415,"Verificar",0)</f>
        <v>NOMBRE 338</v>
      </c>
      <c r="F560" s="1288" t="s">
        <v>1103</v>
      </c>
      <c r="G560" s="1280">
        <v>380000</v>
      </c>
      <c r="H560" s="989">
        <f t="shared" si="19"/>
        <v>584402036</v>
      </c>
      <c r="I560" s="997" t="s">
        <v>1569</v>
      </c>
      <c r="K560" s="19"/>
    </row>
    <row r="561" spans="1:11" x14ac:dyDescent="0.2">
      <c r="A561" s="1234">
        <v>45904</v>
      </c>
      <c r="B561" s="1277">
        <v>7</v>
      </c>
      <c r="C561" s="1278">
        <v>359</v>
      </c>
      <c r="D561" s="443" t="str">
        <f>_xlfn.XLOOKUP(B561,Códigos!$A$421:$A$483,Códigos!$B$421:$B$483,"Verificar",0)</f>
        <v>Pagos de: -Seguridad Social</v>
      </c>
      <c r="E561" s="444" t="str">
        <f>_xlfn.XLOOKUP(C561,Códigos!$A$11:$A$415,Códigos!$B$11:$B$415,"Verificar",0)</f>
        <v>NOMBRE 232</v>
      </c>
      <c r="F561" s="1288" t="s">
        <v>407</v>
      </c>
      <c r="G561" s="1239">
        <v>1392400</v>
      </c>
      <c r="H561" s="989">
        <f t="shared" si="19"/>
        <v>585794436</v>
      </c>
      <c r="I561" s="1052" t="s">
        <v>1607</v>
      </c>
      <c r="K561" s="19"/>
    </row>
    <row r="562" spans="1:11" x14ac:dyDescent="0.2">
      <c r="A562" s="1234">
        <v>45904</v>
      </c>
      <c r="B562" s="1277">
        <v>7</v>
      </c>
      <c r="C562" s="1278">
        <v>359</v>
      </c>
      <c r="D562" s="443" t="str">
        <f>_xlfn.XLOOKUP(B562,Códigos!$A$421:$A$483,Códigos!$B$421:$B$483,"Verificar",0)</f>
        <v>Pagos de: -Seguridad Social</v>
      </c>
      <c r="E562" s="444" t="str">
        <f>_xlfn.XLOOKUP(C562,Códigos!$A$11:$A$415,Códigos!$B$11:$B$415,"Verificar",0)</f>
        <v>NOMBRE 232</v>
      </c>
      <c r="F562" s="1288" t="s">
        <v>407</v>
      </c>
      <c r="G562" s="1239">
        <v>940500</v>
      </c>
      <c r="H562" s="989">
        <f t="shared" si="19"/>
        <v>586734936</v>
      </c>
      <c r="I562" s="1052" t="s">
        <v>1608</v>
      </c>
      <c r="K562" s="19"/>
    </row>
    <row r="563" spans="1:11" x14ac:dyDescent="0.2">
      <c r="A563" s="1234">
        <v>45905</v>
      </c>
      <c r="B563" s="1000">
        <v>8</v>
      </c>
      <c r="C563" s="996">
        <v>356</v>
      </c>
      <c r="D563" s="443" t="str">
        <f>_xlfn.XLOOKUP(B563,Códigos!$A$421:$A$483,Códigos!$B$421:$B$483,"Verificar",0)</f>
        <v>Pagos de: -Cuota para alimentos y Manuntención</v>
      </c>
      <c r="E563" s="444" t="str">
        <f>_xlfn.XLOOKUP(C563,Códigos!$A$11:$A$415,Códigos!$B$11:$B$415,"Verificar",0)</f>
        <v>NOMBRE 108</v>
      </c>
      <c r="F563" s="1288" t="s">
        <v>1103</v>
      </c>
      <c r="G563" s="1239">
        <v>220000</v>
      </c>
      <c r="H563" s="989">
        <f t="shared" si="19"/>
        <v>586954936</v>
      </c>
      <c r="I563" s="1050" t="s">
        <v>1083</v>
      </c>
      <c r="K563" s="19"/>
    </row>
    <row r="564" spans="1:11" x14ac:dyDescent="0.2">
      <c r="A564" s="1234">
        <v>45905</v>
      </c>
      <c r="B564" s="1000">
        <v>2</v>
      </c>
      <c r="C564" s="996">
        <v>262</v>
      </c>
      <c r="D564" s="443" t="str">
        <f>_xlfn.XLOOKUP(B564,Códigos!$A$421:$A$483,Códigos!$B$421:$B$483,"Verificar",0)</f>
        <v>Pago de Salarios a:</v>
      </c>
      <c r="E564" s="444" t="str">
        <f>_xlfn.XLOOKUP(C564,Códigos!$A$11:$A$415,Códigos!$B$11:$B$415,"Verificar",0)</f>
        <v>NOMBRE 95</v>
      </c>
      <c r="F564" s="1288" t="s">
        <v>407</v>
      </c>
      <c r="G564" s="1239">
        <v>660000</v>
      </c>
      <c r="H564" s="989">
        <f t="shared" si="19"/>
        <v>587614936</v>
      </c>
      <c r="I564" s="997" t="s">
        <v>1568</v>
      </c>
      <c r="K564" s="19"/>
    </row>
    <row r="565" spans="1:11" x14ac:dyDescent="0.2">
      <c r="A565" s="1234">
        <v>45905</v>
      </c>
      <c r="B565" s="1000">
        <v>9</v>
      </c>
      <c r="C565" s="996">
        <v>359</v>
      </c>
      <c r="D565" s="443" t="str">
        <f>_xlfn.XLOOKUP(B565,Códigos!$A$421:$A$483,Códigos!$B$421:$B$483,"Verificar",0)</f>
        <v>Pagos de: -Servicios públicos -OFICINA-</v>
      </c>
      <c r="E565" s="444" t="str">
        <f>_xlfn.XLOOKUP(C565,Códigos!$A$11:$A$415,Códigos!$B$11:$B$415,"Verificar",0)</f>
        <v>NOMBRE 232</v>
      </c>
      <c r="F565" s="1288" t="s">
        <v>407</v>
      </c>
      <c r="G565" s="1239">
        <v>137300</v>
      </c>
      <c r="H565" s="989">
        <f t="shared" si="19"/>
        <v>587752236</v>
      </c>
      <c r="I565" s="1049" t="s">
        <v>1491</v>
      </c>
      <c r="K565" s="19"/>
    </row>
    <row r="566" spans="1:11" x14ac:dyDescent="0.2">
      <c r="A566" s="1234">
        <v>45905</v>
      </c>
      <c r="B566" s="1000">
        <v>9</v>
      </c>
      <c r="C566" s="996">
        <v>359</v>
      </c>
      <c r="D566" s="443" t="str">
        <f>_xlfn.XLOOKUP(B566,Códigos!$A$421:$A$483,Códigos!$B$421:$B$483,"Verificar",0)</f>
        <v>Pagos de: -Servicios públicos -OFICINA-</v>
      </c>
      <c r="E566" s="444" t="str">
        <f>_xlfn.XLOOKUP(C566,Códigos!$A$11:$A$415,Códigos!$B$11:$B$415,"Verificar",0)</f>
        <v>NOMBRE 232</v>
      </c>
      <c r="F566" s="1288" t="s">
        <v>407</v>
      </c>
      <c r="G566" s="1239">
        <v>100000</v>
      </c>
      <c r="H566" s="989">
        <f t="shared" si="19"/>
        <v>587852236</v>
      </c>
      <c r="I566" s="1049" t="s">
        <v>1564</v>
      </c>
      <c r="K566" s="19"/>
    </row>
    <row r="567" spans="1:11" x14ac:dyDescent="0.2">
      <c r="A567" s="1234">
        <v>45905</v>
      </c>
      <c r="B567" s="1000">
        <v>9</v>
      </c>
      <c r="C567" s="996">
        <v>359</v>
      </c>
      <c r="D567" s="443" t="str">
        <f>_xlfn.XLOOKUP(B567,Códigos!$A$421:$A$483,Códigos!$B$421:$B$483,"Verificar",0)</f>
        <v>Pagos de: -Servicios públicos -OFICINA-</v>
      </c>
      <c r="E567" s="444" t="str">
        <f>_xlfn.XLOOKUP(C567,Códigos!$A$11:$A$415,Códigos!$B$11:$B$415,"Verificar",0)</f>
        <v>NOMBRE 232</v>
      </c>
      <c r="F567" s="1288" t="s">
        <v>407</v>
      </c>
      <c r="G567" s="1246">
        <v>275200</v>
      </c>
      <c r="H567" s="989">
        <f t="shared" si="19"/>
        <v>588127436</v>
      </c>
      <c r="I567" s="1049" t="s">
        <v>1490</v>
      </c>
      <c r="K567" s="19"/>
    </row>
    <row r="568" spans="1:11" x14ac:dyDescent="0.2">
      <c r="A568" s="1234">
        <v>45905</v>
      </c>
      <c r="B568" s="1241">
        <v>27</v>
      </c>
      <c r="C568" s="1187">
        <v>359</v>
      </c>
      <c r="D568" s="443" t="str">
        <f>_xlfn.XLOOKUP(B568,Códigos!$A$421:$A$483,Códigos!$B$421:$B$483,"Verificar",0)</f>
        <v>Compra de: -Restaurante y cafetería</v>
      </c>
      <c r="E568" s="444" t="str">
        <f>_xlfn.XLOOKUP(C568,Códigos!$A$11:$A$415,Códigos!$B$11:$B$415,"Verificar",0)</f>
        <v>NOMBRE 232</v>
      </c>
      <c r="F568" s="1288" t="s">
        <v>407</v>
      </c>
      <c r="G568" s="1239">
        <v>400000</v>
      </c>
      <c r="H568" s="989">
        <f t="shared" si="19"/>
        <v>588527436</v>
      </c>
      <c r="I568" s="1292" t="s">
        <v>1155</v>
      </c>
      <c r="K568" s="19"/>
    </row>
    <row r="569" spans="1:11" x14ac:dyDescent="0.2">
      <c r="A569" s="1234">
        <v>45909</v>
      </c>
      <c r="B569" s="1000">
        <v>8</v>
      </c>
      <c r="C569" s="1187">
        <v>357</v>
      </c>
      <c r="D569" s="443" t="str">
        <f>_xlfn.XLOOKUP(B569,Códigos!$A$421:$A$483,Códigos!$B$421:$B$483,"Verificar",0)</f>
        <v>Pagos de: -Cuota para alimentos y Manuntención</v>
      </c>
      <c r="E569" s="444" t="str">
        <f>_xlfn.XLOOKUP(C569,Códigos!$A$11:$A$415,Códigos!$B$11:$B$415,"Verificar",0)</f>
        <v>NOMBRE 107</v>
      </c>
      <c r="F569" s="1288" t="s">
        <v>1103</v>
      </c>
      <c r="G569" s="1239">
        <v>220000</v>
      </c>
      <c r="H569" s="989">
        <f t="shared" si="19"/>
        <v>588747436</v>
      </c>
      <c r="I569" s="1050" t="s">
        <v>1083</v>
      </c>
      <c r="K569" s="19"/>
    </row>
    <row r="570" spans="1:11" x14ac:dyDescent="0.2">
      <c r="A570" s="1234">
        <v>45909</v>
      </c>
      <c r="B570" s="1000">
        <v>2</v>
      </c>
      <c r="C570" s="1187">
        <v>353</v>
      </c>
      <c r="D570" s="443" t="str">
        <f>_xlfn.XLOOKUP(B570,Códigos!$A$421:$A$483,Códigos!$B$421:$B$483,"Verificar",0)</f>
        <v>Pago de Salarios a:</v>
      </c>
      <c r="E570" s="444" t="str">
        <f>_xlfn.XLOOKUP(C570,Códigos!$A$11:$A$415,Códigos!$B$11:$B$415,"Verificar",0)</f>
        <v>NOMBRE 31</v>
      </c>
      <c r="F570" s="1288" t="s">
        <v>407</v>
      </c>
      <c r="G570" s="1239">
        <v>660000</v>
      </c>
      <c r="H570" s="989">
        <f t="shared" si="19"/>
        <v>589407436</v>
      </c>
      <c r="I570" s="997" t="s">
        <v>1572</v>
      </c>
      <c r="K570" s="19"/>
    </row>
    <row r="571" spans="1:11" x14ac:dyDescent="0.2">
      <c r="A571" s="1234">
        <v>45910</v>
      </c>
      <c r="B571" s="1000">
        <v>9</v>
      </c>
      <c r="C571" s="996">
        <v>359</v>
      </c>
      <c r="D571" s="443" t="str">
        <f>_xlfn.XLOOKUP(B571,Códigos!$A$421:$A$483,Códigos!$B$421:$B$483,"Verificar",0)</f>
        <v>Pagos de: -Servicios públicos -OFICINA-</v>
      </c>
      <c r="E571" s="444" t="str">
        <f>_xlfn.XLOOKUP(C571,Códigos!$A$11:$A$415,Códigos!$B$11:$B$415,"Verificar",0)</f>
        <v>NOMBRE 232</v>
      </c>
      <c r="F571" s="1288" t="s">
        <v>407</v>
      </c>
      <c r="G571" s="1239">
        <v>205600</v>
      </c>
      <c r="H571" s="989">
        <f t="shared" si="19"/>
        <v>589613036</v>
      </c>
      <c r="I571" s="1049" t="s">
        <v>1489</v>
      </c>
      <c r="K571" s="19"/>
    </row>
    <row r="572" spans="1:11" x14ac:dyDescent="0.2">
      <c r="A572" s="1234">
        <v>45910</v>
      </c>
      <c r="B572" s="1241">
        <v>5</v>
      </c>
      <c r="C572" s="1187">
        <v>262</v>
      </c>
      <c r="D572" s="443" t="str">
        <f>_xlfn.XLOOKUP(B572,Códigos!$A$421:$A$483,Códigos!$B$421:$B$483,"Verificar",0)</f>
        <v>Préstamos por Nómina a:</v>
      </c>
      <c r="E572" s="444" t="str">
        <f>_xlfn.XLOOKUP(C572,Códigos!$A$11:$A$415,Códigos!$B$11:$B$415,"Verificar",0)</f>
        <v>NOMBRE 95</v>
      </c>
      <c r="F572" s="1289"/>
      <c r="G572" s="1239">
        <v>88600</v>
      </c>
      <c r="H572" s="989">
        <f t="shared" si="19"/>
        <v>589701636</v>
      </c>
      <c r="I572" s="1049" t="s">
        <v>1567</v>
      </c>
      <c r="K572" s="19"/>
    </row>
    <row r="573" spans="1:11" x14ac:dyDescent="0.2">
      <c r="A573" s="1234">
        <v>45910</v>
      </c>
      <c r="B573" s="1241">
        <v>27</v>
      </c>
      <c r="C573" s="1187">
        <v>359</v>
      </c>
      <c r="D573" s="443" t="str">
        <f>_xlfn.XLOOKUP(B573,Códigos!$A$421:$A$483,Códigos!$B$421:$B$483,"Verificar",0)</f>
        <v>Compra de: -Restaurante y cafetería</v>
      </c>
      <c r="E573" s="444" t="str">
        <f>_xlfn.XLOOKUP(C573,Códigos!$A$11:$A$415,Códigos!$B$11:$B$415,"Verificar",0)</f>
        <v>NOMBRE 232</v>
      </c>
      <c r="F573" s="1288" t="s">
        <v>407</v>
      </c>
      <c r="G573" s="1239">
        <v>52000</v>
      </c>
      <c r="H573" s="989">
        <f t="shared" ref="H573:H639" si="20">+H572+G573</f>
        <v>589753636</v>
      </c>
      <c r="I573" s="1049" t="s">
        <v>1216</v>
      </c>
      <c r="K573" s="19"/>
    </row>
    <row r="574" spans="1:11" x14ac:dyDescent="0.2">
      <c r="A574" s="1234">
        <v>45911</v>
      </c>
      <c r="B574" s="1241">
        <v>1</v>
      </c>
      <c r="C574" s="1187">
        <v>355</v>
      </c>
      <c r="D574" s="443" t="str">
        <f>_xlfn.XLOOKUP(B574,Códigos!$A$421:$A$483,Códigos!$B$421:$B$483,"Verificar",0)</f>
        <v>Gastos personales</v>
      </c>
      <c r="E574" s="444" t="str">
        <f>_xlfn.XLOOKUP(C574,Códigos!$A$11:$A$415,Códigos!$B$11:$B$415,"Verificar",0)</f>
        <v>NOMBRE 96</v>
      </c>
      <c r="F574" s="1288" t="s">
        <v>407</v>
      </c>
      <c r="G574" s="1239">
        <v>200000</v>
      </c>
      <c r="H574" s="989">
        <f t="shared" si="20"/>
        <v>589953636</v>
      </c>
      <c r="I574" s="1049" t="s">
        <v>1548</v>
      </c>
      <c r="K574" s="19"/>
    </row>
    <row r="575" spans="1:11" x14ac:dyDescent="0.2">
      <c r="A575" s="1234">
        <v>45912</v>
      </c>
      <c r="B575" s="1000">
        <v>8</v>
      </c>
      <c r="C575" s="996">
        <v>358</v>
      </c>
      <c r="D575" s="443" t="str">
        <f>_xlfn.XLOOKUP(B575,Códigos!$A$421:$A$483,Códigos!$B$421:$B$483,"Verificar",0)</f>
        <v>Pagos de: -Cuota para alimentos y Manuntención</v>
      </c>
      <c r="E575" s="444" t="str">
        <f>_xlfn.XLOOKUP(C575,Códigos!$A$11:$A$415,Códigos!$B$11:$B$415,"Verificar",0)</f>
        <v>NOMBRE 338</v>
      </c>
      <c r="F575" s="1288" t="s">
        <v>1103</v>
      </c>
      <c r="G575" s="1280">
        <v>380000</v>
      </c>
      <c r="H575" s="989">
        <f t="shared" si="20"/>
        <v>590333636</v>
      </c>
      <c r="I575" s="997" t="s">
        <v>1571</v>
      </c>
      <c r="K575" s="19"/>
    </row>
    <row r="576" spans="1:11" x14ac:dyDescent="0.2">
      <c r="A576" s="1234">
        <v>45912</v>
      </c>
      <c r="B576" s="1000">
        <v>8</v>
      </c>
      <c r="C576" s="996">
        <v>356</v>
      </c>
      <c r="D576" s="443" t="str">
        <f>_xlfn.XLOOKUP(B576,Códigos!$A$421:$A$483,Códigos!$B$421:$B$483,"Verificar",0)</f>
        <v>Pagos de: -Cuota para alimentos y Manuntención</v>
      </c>
      <c r="E576" s="444" t="str">
        <f>_xlfn.XLOOKUP(C576,Códigos!$A$11:$A$415,Códigos!$B$11:$B$415,"Verificar",0)</f>
        <v>NOMBRE 108</v>
      </c>
      <c r="F576" s="1288" t="s">
        <v>1103</v>
      </c>
      <c r="G576" s="1239">
        <v>220000</v>
      </c>
      <c r="H576" s="989">
        <f t="shared" si="20"/>
        <v>590553636</v>
      </c>
      <c r="I576" s="1050" t="s">
        <v>1083</v>
      </c>
      <c r="K576" s="19"/>
    </row>
    <row r="577" spans="1:11" x14ac:dyDescent="0.2">
      <c r="A577" s="1234">
        <v>45912</v>
      </c>
      <c r="B577" s="1000">
        <v>33</v>
      </c>
      <c r="C577" s="996">
        <v>3</v>
      </c>
      <c r="D577" s="443" t="str">
        <f>_xlfn.XLOOKUP(B577,Códigos!$A$421:$A$483,Códigos!$B$421:$B$483,"Verificar",0)</f>
        <v>AJUSTE POR -Consignación - Traslado a Bancos</v>
      </c>
      <c r="E577" s="444" t="str">
        <f>_xlfn.XLOOKUP(C577,Códigos!$A$11:$A$415,Códigos!$B$11:$B$415,"Verificar",0)</f>
        <v>NOMBRE 24</v>
      </c>
      <c r="F577" s="1288" t="s">
        <v>1103</v>
      </c>
      <c r="G577" s="1239">
        <v>410000</v>
      </c>
      <c r="H577" s="989">
        <f t="shared" si="20"/>
        <v>590963636</v>
      </c>
      <c r="I577" s="1050" t="s">
        <v>1634</v>
      </c>
      <c r="K577" s="19"/>
    </row>
    <row r="578" spans="1:11" x14ac:dyDescent="0.2">
      <c r="A578" s="1234">
        <v>45912</v>
      </c>
      <c r="B578" s="1000">
        <v>2</v>
      </c>
      <c r="C578" s="996">
        <v>262</v>
      </c>
      <c r="D578" s="443" t="str">
        <f>_xlfn.XLOOKUP(B578,Códigos!$A$421:$A$483,Códigos!$B$421:$B$483,"Verificar",0)</f>
        <v>Pago de Salarios a:</v>
      </c>
      <c r="E578" s="444" t="str">
        <f>_xlfn.XLOOKUP(C578,Códigos!$A$11:$A$415,Códigos!$B$11:$B$415,"Verificar",0)</f>
        <v>NOMBRE 95</v>
      </c>
      <c r="F578" s="1288" t="s">
        <v>407</v>
      </c>
      <c r="G578" s="1239">
        <v>660000</v>
      </c>
      <c r="H578" s="989">
        <f t="shared" si="20"/>
        <v>591623636</v>
      </c>
      <c r="I578" s="997" t="s">
        <v>1572</v>
      </c>
      <c r="K578" s="19"/>
    </row>
    <row r="579" spans="1:11" x14ac:dyDescent="0.2">
      <c r="A579" s="1234">
        <v>45913</v>
      </c>
      <c r="B579" s="1000">
        <v>33</v>
      </c>
      <c r="C579" s="996">
        <v>3</v>
      </c>
      <c r="D579" s="443" t="str">
        <f>_xlfn.XLOOKUP(B579,Códigos!$A$421:$A$483,Códigos!$B$421:$B$483,"Verificar",0)</f>
        <v>AJUSTE POR -Consignación - Traslado a Bancos</v>
      </c>
      <c r="E579" s="444" t="str">
        <f>_xlfn.XLOOKUP(C579,Códigos!$A$11:$A$415,Códigos!$B$11:$B$415,"Verificar",0)</f>
        <v>NOMBRE 24</v>
      </c>
      <c r="F579" s="1288" t="s">
        <v>407</v>
      </c>
      <c r="G579" s="1239">
        <v>250000</v>
      </c>
      <c r="H579" s="989">
        <f t="shared" si="20"/>
        <v>591873636</v>
      </c>
      <c r="I579" s="1049" t="s">
        <v>1606</v>
      </c>
      <c r="K579" s="19"/>
    </row>
    <row r="580" spans="1:11" x14ac:dyDescent="0.2">
      <c r="A580" s="1234">
        <v>45915</v>
      </c>
      <c r="B580" s="1275">
        <v>39</v>
      </c>
      <c r="C580" s="1276">
        <v>362</v>
      </c>
      <c r="D580" s="443" t="str">
        <f>_xlfn.XLOOKUP(B580,Códigos!$A$421:$A$483,Códigos!$B$421:$B$483,"Verificar",0)</f>
        <v>Pago intereses préstamo Juliana</v>
      </c>
      <c r="E580" s="444" t="str">
        <f>_xlfn.XLOOKUP(C580,Códigos!$A$11:$A$415,Códigos!$B$11:$B$415,"Verificar",0)</f>
        <v>NOMBRE 97</v>
      </c>
      <c r="F580" s="1288" t="s">
        <v>407</v>
      </c>
      <c r="G580" s="1239">
        <v>350000</v>
      </c>
      <c r="H580" s="989">
        <f t="shared" si="20"/>
        <v>592223636</v>
      </c>
      <c r="I580" s="1274" t="s">
        <v>1587</v>
      </c>
      <c r="K580" s="19"/>
    </row>
    <row r="581" spans="1:11" x14ac:dyDescent="0.2">
      <c r="A581" s="1234">
        <v>45915</v>
      </c>
      <c r="B581" s="1275">
        <v>21</v>
      </c>
      <c r="C581" s="1276">
        <v>362</v>
      </c>
      <c r="D581" s="443" t="str">
        <f>_xlfn.XLOOKUP(B581,Códigos!$A$421:$A$483,Códigos!$B$421:$B$483,"Verificar",0)</f>
        <v>Pagos de: -Cuentas por Pagar a:</v>
      </c>
      <c r="E581" s="444" t="str">
        <f>_xlfn.XLOOKUP(C581,Códigos!$A$11:$A$415,Códigos!$B$11:$B$415,"Verificar",0)</f>
        <v>NOMBRE 97</v>
      </c>
      <c r="F581" s="1288" t="s">
        <v>407</v>
      </c>
      <c r="G581" s="1239">
        <v>200000</v>
      </c>
      <c r="H581" s="989">
        <f t="shared" si="20"/>
        <v>592423636</v>
      </c>
      <c r="I581" s="1274" t="s">
        <v>1528</v>
      </c>
      <c r="K581" s="19"/>
    </row>
    <row r="582" spans="1:11" x14ac:dyDescent="0.2">
      <c r="A582" s="1234">
        <v>45915</v>
      </c>
      <c r="B582" s="1000">
        <v>9</v>
      </c>
      <c r="C582" s="996">
        <v>359</v>
      </c>
      <c r="D582" s="443" t="str">
        <f>_xlfn.XLOOKUP(B582,Códigos!$A$421:$A$483,Códigos!$B$421:$B$483,"Verificar",0)</f>
        <v>Pagos de: -Servicios públicos -OFICINA-</v>
      </c>
      <c r="E582" s="444" t="str">
        <f>_xlfn.XLOOKUP(C582,Códigos!$A$11:$A$415,Códigos!$B$11:$B$415,"Verificar",0)</f>
        <v>NOMBRE 232</v>
      </c>
      <c r="F582" s="1288" t="s">
        <v>407</v>
      </c>
      <c r="G582" s="1239">
        <v>64200</v>
      </c>
      <c r="H582" s="989">
        <f t="shared" si="20"/>
        <v>592487836</v>
      </c>
      <c r="I582" s="1049" t="s">
        <v>1536</v>
      </c>
      <c r="K582" s="19"/>
    </row>
    <row r="583" spans="1:11" x14ac:dyDescent="0.2">
      <c r="A583" s="1234">
        <v>45917</v>
      </c>
      <c r="B583" s="1241">
        <v>9</v>
      </c>
      <c r="C583" s="1187">
        <v>359</v>
      </c>
      <c r="D583" s="443" t="str">
        <f>_xlfn.XLOOKUP(B583,Códigos!$A$421:$A$483,Códigos!$B$421:$B$483,"Verificar",0)</f>
        <v>Pagos de: -Servicios públicos -OFICINA-</v>
      </c>
      <c r="E583" s="444" t="str">
        <f>_xlfn.XLOOKUP(C583,Códigos!$A$11:$A$415,Códigos!$B$11:$B$415,"Verificar",0)</f>
        <v>NOMBRE 232</v>
      </c>
      <c r="F583" s="1288" t="s">
        <v>407</v>
      </c>
      <c r="G583" s="1239">
        <v>8500</v>
      </c>
      <c r="H583" s="989">
        <f t="shared" si="20"/>
        <v>592496336</v>
      </c>
      <c r="I583" s="1049" t="s">
        <v>1580</v>
      </c>
      <c r="K583" s="19"/>
    </row>
    <row r="584" spans="1:11" x14ac:dyDescent="0.2">
      <c r="A584" s="1234">
        <v>45917</v>
      </c>
      <c r="B584" s="1000">
        <v>8</v>
      </c>
      <c r="C584" s="1187">
        <v>357</v>
      </c>
      <c r="D584" s="443" t="str">
        <f>_xlfn.XLOOKUP(B584,Códigos!$A$421:$A$483,Códigos!$B$421:$B$483,"Verificar",0)</f>
        <v>Pagos de: -Cuota para alimentos y Manuntención</v>
      </c>
      <c r="E584" s="444" t="str">
        <f>_xlfn.XLOOKUP(C584,Códigos!$A$11:$A$415,Códigos!$B$11:$B$415,"Verificar",0)</f>
        <v>NOMBRE 107</v>
      </c>
      <c r="F584" s="1288" t="s">
        <v>1103</v>
      </c>
      <c r="G584" s="1239">
        <v>220000</v>
      </c>
      <c r="H584" s="989">
        <f t="shared" si="20"/>
        <v>592716336</v>
      </c>
      <c r="I584" s="1050" t="s">
        <v>1083</v>
      </c>
      <c r="K584" s="19"/>
    </row>
    <row r="585" spans="1:11" x14ac:dyDescent="0.2">
      <c r="A585" s="1234">
        <v>45917</v>
      </c>
      <c r="B585" s="1000">
        <v>2</v>
      </c>
      <c r="C585" s="1187">
        <v>353</v>
      </c>
      <c r="D585" s="443" t="str">
        <f>_xlfn.XLOOKUP(B585,Códigos!$A$421:$A$483,Códigos!$B$421:$B$483,"Verificar",0)</f>
        <v>Pago de Salarios a:</v>
      </c>
      <c r="E585" s="444" t="str">
        <f>_xlfn.XLOOKUP(C585,Códigos!$A$11:$A$415,Códigos!$B$11:$B$415,"Verificar",0)</f>
        <v>NOMBRE 31</v>
      </c>
      <c r="F585" s="1288" t="s">
        <v>407</v>
      </c>
      <c r="G585" s="1239">
        <v>660000</v>
      </c>
      <c r="H585" s="989">
        <f t="shared" si="20"/>
        <v>593376336</v>
      </c>
      <c r="I585" s="997" t="s">
        <v>1588</v>
      </c>
      <c r="K585" s="19"/>
    </row>
    <row r="586" spans="1:11" x14ac:dyDescent="0.2">
      <c r="A586" s="1234">
        <v>45917</v>
      </c>
      <c r="B586" s="1241">
        <v>28</v>
      </c>
      <c r="C586" s="1187">
        <v>249</v>
      </c>
      <c r="D586" s="443" t="str">
        <f>_xlfn.XLOOKUP(B586,Códigos!$A$421:$A$483,Códigos!$B$421:$B$483,"Verificar",0)</f>
        <v>Préstamos a:</v>
      </c>
      <c r="E586" s="444" t="str">
        <f>_xlfn.XLOOKUP(C586,Códigos!$A$11:$A$415,Códigos!$B$11:$B$415,"Verificar",0)</f>
        <v>NOMBRE 220</v>
      </c>
      <c r="F586" s="1289"/>
      <c r="G586" s="1239">
        <v>500000</v>
      </c>
      <c r="H586" s="989">
        <f t="shared" si="20"/>
        <v>593876336</v>
      </c>
      <c r="I586" s="1052" t="s">
        <v>1283</v>
      </c>
      <c r="K586" s="19"/>
    </row>
    <row r="587" spans="1:11" x14ac:dyDescent="0.2">
      <c r="A587" s="1234">
        <v>45917</v>
      </c>
      <c r="B587" s="1241">
        <v>27</v>
      </c>
      <c r="C587" s="1187">
        <v>349</v>
      </c>
      <c r="D587" s="443" t="str">
        <f>_xlfn.XLOOKUP(B587,Códigos!$A$421:$A$483,Códigos!$B$421:$B$483,"Verificar",0)</f>
        <v>Compra de: -Restaurante y cafetería</v>
      </c>
      <c r="E587" s="444" t="str">
        <f>_xlfn.XLOOKUP(C587,Códigos!$A$11:$A$415,Códigos!$B$11:$B$415,"Verificar",0)</f>
        <v>NOMBRE 73</v>
      </c>
      <c r="F587" s="1288" t="s">
        <v>407</v>
      </c>
      <c r="G587" s="1239">
        <v>52000</v>
      </c>
      <c r="H587" s="989">
        <f t="shared" si="20"/>
        <v>593928336</v>
      </c>
      <c r="I587" s="1049" t="s">
        <v>1216</v>
      </c>
      <c r="K587" s="19"/>
    </row>
    <row r="588" spans="1:11" x14ac:dyDescent="0.2">
      <c r="A588" s="1234">
        <v>45918</v>
      </c>
      <c r="B588" s="1241">
        <v>11</v>
      </c>
      <c r="C588" s="1187">
        <v>359</v>
      </c>
      <c r="D588" s="443" t="str">
        <f>_xlfn.XLOOKUP(B588,Códigos!$A$421:$A$483,Códigos!$B$421:$B$483,"Verificar",0)</f>
        <v>Pagos de: -Servicios Administracion y otros Oficina</v>
      </c>
      <c r="E588" s="444" t="str">
        <f>_xlfn.XLOOKUP(C588,Códigos!$A$11:$A$415,Códigos!$B$11:$B$415,"Verificar",0)</f>
        <v>NOMBRE 232</v>
      </c>
      <c r="F588" s="1288" t="s">
        <v>407</v>
      </c>
      <c r="G588" s="1239">
        <f>266130+383130+324720</f>
        <v>973980</v>
      </c>
      <c r="H588" s="989">
        <f t="shared" si="20"/>
        <v>594902316</v>
      </c>
      <c r="I588" s="1049" t="s">
        <v>1107</v>
      </c>
      <c r="K588" s="19"/>
    </row>
    <row r="589" spans="1:11" x14ac:dyDescent="0.2">
      <c r="A589" s="1234">
        <v>45918</v>
      </c>
      <c r="B589" s="1241">
        <v>11</v>
      </c>
      <c r="C589" s="1187">
        <v>359</v>
      </c>
      <c r="D589" s="443" t="str">
        <f>_xlfn.XLOOKUP(B589,Códigos!$A$421:$A$483,Códigos!$B$421:$B$483,"Verificar",0)</f>
        <v>Pagos de: -Servicios Administracion y otros Oficina</v>
      </c>
      <c r="E589" s="444" t="str">
        <f>_xlfn.XLOOKUP(C589,Códigos!$A$11:$A$415,Códigos!$B$11:$B$415,"Verificar",0)</f>
        <v>NOMBRE 232</v>
      </c>
      <c r="F589" s="1288" t="s">
        <v>407</v>
      </c>
      <c r="G589" s="1239">
        <f>65700+63980</f>
        <v>129680</v>
      </c>
      <c r="H589" s="989">
        <f t="shared" si="20"/>
        <v>595031996</v>
      </c>
      <c r="I589" s="997" t="s">
        <v>1117</v>
      </c>
      <c r="K589" s="19"/>
    </row>
    <row r="590" spans="1:11" x14ac:dyDescent="0.2">
      <c r="A590" s="1234">
        <v>45918</v>
      </c>
      <c r="B590" s="1241">
        <v>8</v>
      </c>
      <c r="C590" s="1187">
        <v>357</v>
      </c>
      <c r="D590" s="443" t="str">
        <f>_xlfn.XLOOKUP(B590,Códigos!$A$421:$A$483,Códigos!$B$421:$B$483,"Verificar",0)</f>
        <v>Pagos de: -Cuota para alimentos y Manuntención</v>
      </c>
      <c r="E590" s="444" t="str">
        <f>_xlfn.XLOOKUP(C590,Códigos!$A$11:$A$415,Códigos!$B$11:$B$415,"Verificar",0)</f>
        <v>NOMBRE 107</v>
      </c>
      <c r="F590" s="1288" t="s">
        <v>1103</v>
      </c>
      <c r="G590" s="1239">
        <v>50000</v>
      </c>
      <c r="H590" s="989">
        <f t="shared" si="20"/>
        <v>595081996</v>
      </c>
      <c r="I590" s="1049" t="s">
        <v>1589</v>
      </c>
      <c r="K590" s="19"/>
    </row>
    <row r="591" spans="1:11" x14ac:dyDescent="0.2">
      <c r="A591" s="1234">
        <v>45918</v>
      </c>
      <c r="B591" s="1241">
        <v>1</v>
      </c>
      <c r="C591" s="1187">
        <v>355</v>
      </c>
      <c r="D591" s="443" t="str">
        <f>_xlfn.XLOOKUP(B591,Códigos!$A$421:$A$483,Códigos!$B$421:$B$483,"Verificar",0)</f>
        <v>Gastos personales</v>
      </c>
      <c r="E591" s="444" t="str">
        <f>_xlfn.XLOOKUP(C591,Códigos!$A$11:$A$415,Códigos!$B$11:$B$415,"Verificar",0)</f>
        <v>NOMBRE 96</v>
      </c>
      <c r="F591" s="1288" t="s">
        <v>407</v>
      </c>
      <c r="G591" s="1239">
        <v>450000</v>
      </c>
      <c r="H591" s="989">
        <f t="shared" si="20"/>
        <v>595531996</v>
      </c>
      <c r="I591" s="1049" t="s">
        <v>1230</v>
      </c>
      <c r="K591" s="19"/>
    </row>
    <row r="592" spans="1:11" x14ac:dyDescent="0.2">
      <c r="A592" s="1234">
        <v>45919</v>
      </c>
      <c r="B592" s="1000">
        <v>8</v>
      </c>
      <c r="C592" s="996">
        <v>358</v>
      </c>
      <c r="D592" s="443" t="str">
        <f>_xlfn.XLOOKUP(B592,Códigos!$A$421:$A$483,Códigos!$B$421:$B$483,"Verificar",0)</f>
        <v>Pagos de: -Cuota para alimentos y Manuntención</v>
      </c>
      <c r="E592" s="444" t="str">
        <f>_xlfn.XLOOKUP(C592,Códigos!$A$11:$A$415,Códigos!$B$11:$B$415,"Verificar",0)</f>
        <v>NOMBRE 338</v>
      </c>
      <c r="F592" s="1288" t="s">
        <v>1103</v>
      </c>
      <c r="G592" s="1280">
        <v>380000</v>
      </c>
      <c r="H592" s="989">
        <f t="shared" si="20"/>
        <v>595911996</v>
      </c>
      <c r="I592" s="997" t="s">
        <v>1590</v>
      </c>
      <c r="K592" s="19"/>
    </row>
    <row r="593" spans="1:11" x14ac:dyDescent="0.2">
      <c r="A593" s="1234">
        <v>45919</v>
      </c>
      <c r="B593" s="1000">
        <v>8</v>
      </c>
      <c r="C593" s="996">
        <v>356</v>
      </c>
      <c r="D593" s="443" t="str">
        <f>_xlfn.XLOOKUP(B593,Códigos!$A$421:$A$483,Códigos!$B$421:$B$483,"Verificar",0)</f>
        <v>Pagos de: -Cuota para alimentos y Manuntención</v>
      </c>
      <c r="E593" s="444" t="str">
        <f>_xlfn.XLOOKUP(C593,Códigos!$A$11:$A$415,Códigos!$B$11:$B$415,"Verificar",0)</f>
        <v>NOMBRE 108</v>
      </c>
      <c r="F593" s="1288" t="s">
        <v>1103</v>
      </c>
      <c r="G593" s="1239">
        <v>220000</v>
      </c>
      <c r="H593" s="989">
        <f t="shared" si="20"/>
        <v>596131996</v>
      </c>
      <c r="I593" s="1050" t="s">
        <v>1083</v>
      </c>
      <c r="K593" s="19"/>
    </row>
    <row r="594" spans="1:11" x14ac:dyDescent="0.2">
      <c r="A594" s="1234">
        <v>45919</v>
      </c>
      <c r="B594" s="1000">
        <v>2</v>
      </c>
      <c r="C594" s="996">
        <v>262</v>
      </c>
      <c r="D594" s="443" t="str">
        <f>_xlfn.XLOOKUP(B594,Códigos!$A$421:$A$483,Códigos!$B$421:$B$483,"Verificar",0)</f>
        <v>Pago de Salarios a:</v>
      </c>
      <c r="E594" s="444" t="str">
        <f>_xlfn.XLOOKUP(C594,Códigos!$A$11:$A$415,Códigos!$B$11:$B$415,"Verificar",0)</f>
        <v>NOMBRE 95</v>
      </c>
      <c r="F594" s="1288" t="s">
        <v>407</v>
      </c>
      <c r="G594" s="1239">
        <v>660000</v>
      </c>
      <c r="H594" s="989">
        <f t="shared" si="20"/>
        <v>596791996</v>
      </c>
      <c r="I594" s="997" t="s">
        <v>1588</v>
      </c>
      <c r="K594" s="19"/>
    </row>
    <row r="595" spans="1:11" x14ac:dyDescent="0.2">
      <c r="A595" s="1234">
        <v>45912</v>
      </c>
      <c r="B595" s="1000">
        <v>33</v>
      </c>
      <c r="C595" s="996">
        <v>3</v>
      </c>
      <c r="D595" s="443" t="str">
        <f>_xlfn.XLOOKUP(B595,Códigos!$A$421:$A$483,Códigos!$B$421:$B$483,"Verificar",0)</f>
        <v>AJUSTE POR -Consignación - Traslado a Bancos</v>
      </c>
      <c r="E595" s="444" t="str">
        <f>_xlfn.XLOOKUP(C595,Códigos!$A$11:$A$415,Códigos!$B$11:$B$415,"Verificar",0)</f>
        <v>NOMBRE 24</v>
      </c>
      <c r="F595" s="1288" t="s">
        <v>1103</v>
      </c>
      <c r="G595" s="1239">
        <v>160000</v>
      </c>
      <c r="H595" s="989">
        <f t="shared" si="20"/>
        <v>596951996</v>
      </c>
      <c r="I595" s="1050" t="s">
        <v>1635</v>
      </c>
      <c r="K595" s="19"/>
    </row>
    <row r="596" spans="1:11" x14ac:dyDescent="0.2">
      <c r="A596" s="1234">
        <v>45923</v>
      </c>
      <c r="B596" s="1000">
        <v>9</v>
      </c>
      <c r="C596" s="996">
        <v>359</v>
      </c>
      <c r="D596" s="443" t="str">
        <f>_xlfn.XLOOKUP(B596,Códigos!$A$421:$A$483,Códigos!$B$421:$B$483,"Verificar",0)</f>
        <v>Pagos de: -Servicios públicos -OFICINA-</v>
      </c>
      <c r="E596" s="444" t="str">
        <f>_xlfn.XLOOKUP(C596,Códigos!$A$11:$A$415,Códigos!$B$11:$B$415,"Verificar",0)</f>
        <v>NOMBRE 232</v>
      </c>
      <c r="F596" s="1288" t="s">
        <v>407</v>
      </c>
      <c r="G596" s="1239">
        <v>430200</v>
      </c>
      <c r="H596" s="989">
        <f t="shared" si="20"/>
        <v>597382196</v>
      </c>
      <c r="I596" s="1049" t="s">
        <v>1497</v>
      </c>
      <c r="K596" s="19"/>
    </row>
    <row r="597" spans="1:11" x14ac:dyDescent="0.2">
      <c r="A597" s="1234">
        <v>45925</v>
      </c>
      <c r="B597" s="1000">
        <v>9</v>
      </c>
      <c r="C597" s="996">
        <v>359</v>
      </c>
      <c r="D597" s="443" t="str">
        <f>_xlfn.XLOOKUP(B597,Códigos!$A$421:$A$483,Códigos!$B$421:$B$483,"Verificar",0)</f>
        <v>Pagos de: -Servicios públicos -OFICINA-</v>
      </c>
      <c r="E597" s="444" t="str">
        <f>_xlfn.XLOOKUP(C597,Códigos!$A$11:$A$415,Códigos!$B$11:$B$415,"Verificar",0)</f>
        <v>NOMBRE 232</v>
      </c>
      <c r="F597" s="1288" t="s">
        <v>407</v>
      </c>
      <c r="G597" s="1239">
        <v>46073</v>
      </c>
      <c r="H597" s="989">
        <f t="shared" si="20"/>
        <v>597428269</v>
      </c>
      <c r="I597" s="1049" t="s">
        <v>1518</v>
      </c>
      <c r="K597" s="19"/>
    </row>
    <row r="598" spans="1:11" x14ac:dyDescent="0.2">
      <c r="A598" s="1234">
        <v>45925</v>
      </c>
      <c r="B598" s="1000">
        <v>9</v>
      </c>
      <c r="C598" s="996">
        <v>359</v>
      </c>
      <c r="D598" s="443" t="str">
        <f>_xlfn.XLOOKUP(B598,Códigos!$A$421:$A$483,Códigos!$B$421:$B$483,"Verificar",0)</f>
        <v>Pagos de: -Servicios públicos -OFICINA-</v>
      </c>
      <c r="E598" s="444" t="str">
        <f>_xlfn.XLOOKUP(C598,Códigos!$A$11:$A$415,Códigos!$B$11:$B$415,"Verificar",0)</f>
        <v>NOMBRE 232</v>
      </c>
      <c r="F598" s="1288" t="s">
        <v>407</v>
      </c>
      <c r="G598" s="1239">
        <v>22000</v>
      </c>
      <c r="H598" s="989">
        <f t="shared" si="20"/>
        <v>597450269</v>
      </c>
      <c r="I598" s="1049" t="s">
        <v>1591</v>
      </c>
      <c r="K598" s="19"/>
    </row>
    <row r="599" spans="1:11" x14ac:dyDescent="0.2">
      <c r="A599" s="1234">
        <v>45925</v>
      </c>
      <c r="B599" s="1000">
        <v>8</v>
      </c>
      <c r="C599" s="1187">
        <v>357</v>
      </c>
      <c r="D599" s="443" t="str">
        <f>_xlfn.XLOOKUP(B599,Códigos!$A$421:$A$483,Códigos!$B$421:$B$483,"Verificar",0)</f>
        <v>Pagos de: -Cuota para alimentos y Manuntención</v>
      </c>
      <c r="E599" s="444" t="str">
        <f>_xlfn.XLOOKUP(C599,Códigos!$A$11:$A$415,Códigos!$B$11:$B$415,"Verificar",0)</f>
        <v>NOMBRE 107</v>
      </c>
      <c r="F599" s="1288" t="s">
        <v>1103</v>
      </c>
      <c r="G599" s="1239">
        <v>220000</v>
      </c>
      <c r="H599" s="989">
        <f t="shared" si="20"/>
        <v>597670269</v>
      </c>
      <c r="I599" s="1050" t="s">
        <v>1083</v>
      </c>
      <c r="K599" s="19"/>
    </row>
    <row r="600" spans="1:11" x14ac:dyDescent="0.2">
      <c r="A600" s="1234">
        <v>45925</v>
      </c>
      <c r="B600" s="1000">
        <v>2</v>
      </c>
      <c r="C600" s="1187">
        <v>353</v>
      </c>
      <c r="D600" s="443" t="str">
        <f>_xlfn.XLOOKUP(B600,Códigos!$A$421:$A$483,Códigos!$B$421:$B$483,"Verificar",0)</f>
        <v>Pago de Salarios a:</v>
      </c>
      <c r="E600" s="444" t="str">
        <f>_xlfn.XLOOKUP(C600,Códigos!$A$11:$A$415,Códigos!$B$11:$B$415,"Verificar",0)</f>
        <v>NOMBRE 31</v>
      </c>
      <c r="F600" s="1288" t="s">
        <v>407</v>
      </c>
      <c r="G600" s="1239">
        <v>660000</v>
      </c>
      <c r="H600" s="989">
        <f t="shared" si="20"/>
        <v>598330269</v>
      </c>
      <c r="I600" s="997" t="s">
        <v>1592</v>
      </c>
      <c r="K600" s="19"/>
    </row>
    <row r="601" spans="1:11" x14ac:dyDescent="0.2">
      <c r="A601" s="1234">
        <v>45925</v>
      </c>
      <c r="B601" s="1241">
        <v>27</v>
      </c>
      <c r="C601" s="1187">
        <v>349</v>
      </c>
      <c r="D601" s="443" t="str">
        <f>_xlfn.XLOOKUP(B601,Códigos!$A$421:$A$483,Códigos!$B$421:$B$483,"Verificar",0)</f>
        <v>Compra de: -Restaurante y cafetería</v>
      </c>
      <c r="E601" s="444" t="str">
        <f>_xlfn.XLOOKUP(C601,Códigos!$A$11:$A$415,Códigos!$B$11:$B$415,"Verificar",0)</f>
        <v>NOMBRE 73</v>
      </c>
      <c r="F601" s="1288" t="s">
        <v>407</v>
      </c>
      <c r="G601" s="1239">
        <v>50000</v>
      </c>
      <c r="H601" s="989">
        <f t="shared" si="20"/>
        <v>598380269</v>
      </c>
      <c r="I601" s="1049" t="s">
        <v>1216</v>
      </c>
      <c r="K601" s="19"/>
    </row>
    <row r="602" spans="1:11" x14ac:dyDescent="0.2">
      <c r="A602" s="1234">
        <v>45925</v>
      </c>
      <c r="B602" s="1241">
        <v>1</v>
      </c>
      <c r="C602" s="1187">
        <v>355</v>
      </c>
      <c r="D602" s="443" t="str">
        <f>_xlfn.XLOOKUP(B602,Códigos!$A$421:$A$483,Códigos!$B$421:$B$483,"Verificar",0)</f>
        <v>Gastos personales</v>
      </c>
      <c r="E602" s="444" t="str">
        <f>_xlfn.XLOOKUP(C602,Códigos!$A$11:$A$415,Códigos!$B$11:$B$415,"Verificar",0)</f>
        <v>NOMBRE 96</v>
      </c>
      <c r="F602" s="1288" t="s">
        <v>407</v>
      </c>
      <c r="G602" s="1239">
        <v>500000</v>
      </c>
      <c r="H602" s="989">
        <f t="shared" si="20"/>
        <v>598880269</v>
      </c>
      <c r="I602" s="1049" t="s">
        <v>1230</v>
      </c>
      <c r="K602" s="19"/>
    </row>
    <row r="603" spans="1:11" x14ac:dyDescent="0.2">
      <c r="A603" s="1234">
        <v>45926</v>
      </c>
      <c r="B603" s="1000">
        <v>8</v>
      </c>
      <c r="C603" s="996">
        <v>356</v>
      </c>
      <c r="D603" s="443" t="str">
        <f>_xlfn.XLOOKUP(B603,Códigos!$A$421:$A$483,Códigos!$B$421:$B$483,"Verificar",0)</f>
        <v>Pagos de: -Cuota para alimentos y Manuntención</v>
      </c>
      <c r="E603" s="444" t="str">
        <f>_xlfn.XLOOKUP(C603,Códigos!$A$11:$A$415,Códigos!$B$11:$B$415,"Verificar",0)</f>
        <v>NOMBRE 108</v>
      </c>
      <c r="F603" s="1288" t="s">
        <v>1103</v>
      </c>
      <c r="G603" s="1239">
        <v>220000</v>
      </c>
      <c r="H603" s="989">
        <f t="shared" si="20"/>
        <v>599100269</v>
      </c>
      <c r="I603" s="1050" t="s">
        <v>1083</v>
      </c>
      <c r="K603" s="19"/>
    </row>
    <row r="604" spans="1:11" x14ac:dyDescent="0.2">
      <c r="A604" s="1234">
        <v>45926</v>
      </c>
      <c r="B604" s="1000">
        <v>33</v>
      </c>
      <c r="C604" s="996">
        <v>3</v>
      </c>
      <c r="D604" s="443" t="str">
        <f>_xlfn.XLOOKUP(B604,Códigos!$A$421:$A$483,Códigos!$B$421:$B$483,"Verificar",0)</f>
        <v>AJUSTE POR -Consignación - Traslado a Bancos</v>
      </c>
      <c r="E604" s="444" t="str">
        <f>_xlfn.XLOOKUP(C604,Códigos!$A$11:$A$415,Códigos!$B$11:$B$415,"Verificar",0)</f>
        <v>NOMBRE 24</v>
      </c>
      <c r="F604" s="1288" t="s">
        <v>407</v>
      </c>
      <c r="G604" s="1239">
        <v>400000</v>
      </c>
      <c r="H604" s="989">
        <f t="shared" si="20"/>
        <v>599500269</v>
      </c>
      <c r="I604" s="1049" t="s">
        <v>1636</v>
      </c>
      <c r="K604" s="19"/>
    </row>
    <row r="605" spans="1:11" x14ac:dyDescent="0.2">
      <c r="A605" s="1234">
        <v>45926</v>
      </c>
      <c r="B605" s="1000">
        <v>8</v>
      </c>
      <c r="C605" s="996">
        <v>358</v>
      </c>
      <c r="D605" s="443" t="str">
        <f>_xlfn.XLOOKUP(B605,Códigos!$A$421:$A$483,Códigos!$B$421:$B$483,"Verificar",0)</f>
        <v>Pagos de: -Cuota para alimentos y Manuntención</v>
      </c>
      <c r="E605" s="444" t="str">
        <f>_xlfn.XLOOKUP(C605,Códigos!$A$11:$A$415,Códigos!$B$11:$B$415,"Verificar",0)</f>
        <v>NOMBRE 338</v>
      </c>
      <c r="F605" s="1288" t="s">
        <v>1103</v>
      </c>
      <c r="G605" s="1280">
        <v>380000</v>
      </c>
      <c r="H605" s="989">
        <f t="shared" si="20"/>
        <v>599880269</v>
      </c>
      <c r="I605" s="997" t="s">
        <v>1598</v>
      </c>
      <c r="K605" s="19"/>
    </row>
    <row r="606" spans="1:11" x14ac:dyDescent="0.2">
      <c r="A606" s="1234">
        <v>45926</v>
      </c>
      <c r="B606" s="1000">
        <v>2</v>
      </c>
      <c r="C606" s="996">
        <v>262</v>
      </c>
      <c r="D606" s="443" t="str">
        <f>_xlfn.XLOOKUP(B606,Códigos!$A$421:$A$483,Códigos!$B$421:$B$483,"Verificar",0)</f>
        <v>Pago de Salarios a:</v>
      </c>
      <c r="E606" s="444" t="str">
        <f>_xlfn.XLOOKUP(C606,Códigos!$A$11:$A$415,Códigos!$B$11:$B$415,"Verificar",0)</f>
        <v>NOMBRE 95</v>
      </c>
      <c r="F606" s="1288" t="s">
        <v>407</v>
      </c>
      <c r="G606" s="1239">
        <v>660000</v>
      </c>
      <c r="H606" s="989">
        <f t="shared" si="20"/>
        <v>600540269</v>
      </c>
      <c r="I606" s="997" t="s">
        <v>1593</v>
      </c>
      <c r="K606" s="19"/>
    </row>
    <row r="607" spans="1:11" x14ac:dyDescent="0.2">
      <c r="A607" s="1234">
        <v>45930</v>
      </c>
      <c r="B607" s="1241">
        <v>22</v>
      </c>
      <c r="C607" s="1187">
        <v>359</v>
      </c>
      <c r="D607" s="443" t="str">
        <f>_xlfn.XLOOKUP(B607,Códigos!$A$421:$A$483,Códigos!$B$421:$B$483,"Verificar",0)</f>
        <v>Compra de: -Equipos, dotaciones y repuestos para oficina</v>
      </c>
      <c r="E607" s="444" t="str">
        <f>_xlfn.XLOOKUP(C607,Códigos!$A$11:$A$415,Códigos!$B$11:$B$415,"Verificar",0)</f>
        <v>NOMBRE 232</v>
      </c>
      <c r="F607" s="1288" t="s">
        <v>407</v>
      </c>
      <c r="G607" s="1239">
        <v>1000000</v>
      </c>
      <c r="H607" s="989">
        <f t="shared" si="20"/>
        <v>601540269</v>
      </c>
      <c r="I607" s="1049" t="s">
        <v>1594</v>
      </c>
      <c r="K607" s="19"/>
    </row>
    <row r="608" spans="1:11" x14ac:dyDescent="0.2">
      <c r="A608" s="1234">
        <v>45931</v>
      </c>
      <c r="B608" s="1241">
        <v>27</v>
      </c>
      <c r="C608" s="1187">
        <v>359</v>
      </c>
      <c r="D608" s="443" t="str">
        <f>_xlfn.XLOOKUP(B608,Códigos!$A$421:$A$483,Códigos!$B$421:$B$483,"Verificar",0)</f>
        <v>Compra de: -Restaurante y cafetería</v>
      </c>
      <c r="E608" s="444" t="str">
        <f>_xlfn.XLOOKUP(C608,Códigos!$A$11:$A$415,Códigos!$B$11:$B$415,"Verificar",0)</f>
        <v>NOMBRE 232</v>
      </c>
      <c r="F608" s="1288" t="s">
        <v>407</v>
      </c>
      <c r="G608" s="1239">
        <v>20000</v>
      </c>
      <c r="H608" s="989">
        <f t="shared" si="20"/>
        <v>601560269</v>
      </c>
      <c r="I608" s="1052" t="s">
        <v>1078</v>
      </c>
      <c r="K608" s="19"/>
    </row>
    <row r="609" spans="1:11" x14ac:dyDescent="0.2">
      <c r="A609" s="1234">
        <v>45932</v>
      </c>
      <c r="B609" s="1000">
        <v>9</v>
      </c>
      <c r="C609" s="996">
        <v>359</v>
      </c>
      <c r="D609" s="443" t="str">
        <f>_xlfn.XLOOKUP(B609,Códigos!$A$421:$A$483,Códigos!$B$421:$B$483,"Verificar",0)</f>
        <v>Pagos de: -Servicios públicos -OFICINA-</v>
      </c>
      <c r="E609" s="444" t="str">
        <f>_xlfn.XLOOKUP(C609,Códigos!$A$11:$A$415,Códigos!$B$11:$B$415,"Verificar",0)</f>
        <v>NOMBRE 232</v>
      </c>
      <c r="F609" s="1288" t="s">
        <v>407</v>
      </c>
      <c r="G609" s="1239">
        <v>139900</v>
      </c>
      <c r="H609" s="989">
        <f t="shared" si="20"/>
        <v>601700169</v>
      </c>
      <c r="I609" s="1050" t="s">
        <v>1595</v>
      </c>
      <c r="K609" s="19"/>
    </row>
    <row r="610" spans="1:11" x14ac:dyDescent="0.2">
      <c r="A610" s="1234">
        <v>45932</v>
      </c>
      <c r="B610" s="1241">
        <v>8</v>
      </c>
      <c r="C610" s="1187">
        <v>357</v>
      </c>
      <c r="D610" s="443" t="str">
        <f>_xlfn.XLOOKUP(B610,Códigos!$A$421:$A$483,Códigos!$B$421:$B$483,"Verificar",0)</f>
        <v>Pagos de: -Cuota para alimentos y Manuntención</v>
      </c>
      <c r="E610" s="444" t="str">
        <f>_xlfn.XLOOKUP(C610,Códigos!$A$11:$A$415,Códigos!$B$11:$B$415,"Verificar",0)</f>
        <v>NOMBRE 107</v>
      </c>
      <c r="F610" s="1288" t="s">
        <v>1103</v>
      </c>
      <c r="G610" s="1239">
        <v>220000</v>
      </c>
      <c r="H610" s="989">
        <f t="shared" si="20"/>
        <v>601920169</v>
      </c>
      <c r="I610" s="1050" t="s">
        <v>1083</v>
      </c>
      <c r="K610" s="19"/>
    </row>
    <row r="611" spans="1:11" x14ac:dyDescent="0.2">
      <c r="A611" s="1234">
        <v>45932</v>
      </c>
      <c r="B611" s="1000">
        <v>2</v>
      </c>
      <c r="C611" s="1187">
        <v>353</v>
      </c>
      <c r="D611" s="443" t="str">
        <f>_xlfn.XLOOKUP(B611,Códigos!$A$421:$A$483,Códigos!$B$421:$B$483,"Verificar",0)</f>
        <v>Pago de Salarios a:</v>
      </c>
      <c r="E611" s="444" t="str">
        <f>_xlfn.XLOOKUP(C611,Códigos!$A$11:$A$415,Códigos!$B$11:$B$415,"Verificar",0)</f>
        <v>NOMBRE 31</v>
      </c>
      <c r="F611" s="1288" t="s">
        <v>407</v>
      </c>
      <c r="G611" s="1239">
        <v>660000</v>
      </c>
      <c r="H611" s="989">
        <f t="shared" si="20"/>
        <v>602580169</v>
      </c>
      <c r="I611" s="997" t="s">
        <v>1596</v>
      </c>
      <c r="K611" s="19"/>
    </row>
    <row r="612" spans="1:11" x14ac:dyDescent="0.2">
      <c r="A612" s="1234">
        <v>45932</v>
      </c>
      <c r="B612" s="1241">
        <v>5</v>
      </c>
      <c r="C612" s="1187">
        <v>262</v>
      </c>
      <c r="D612" s="443" t="str">
        <f>_xlfn.XLOOKUP(B612,Códigos!$A$421:$A$483,Códigos!$B$421:$B$483,"Verificar",0)</f>
        <v>Préstamos por Nómina a:</v>
      </c>
      <c r="E612" s="444" t="str">
        <f>_xlfn.XLOOKUP(C612,Códigos!$A$11:$A$415,Códigos!$B$11:$B$415,"Verificar",0)</f>
        <v>NOMBRE 95</v>
      </c>
      <c r="F612" s="1288" t="s">
        <v>407</v>
      </c>
      <c r="G612" s="1239">
        <v>100000</v>
      </c>
      <c r="H612" s="989">
        <f t="shared" si="20"/>
        <v>602680169</v>
      </c>
      <c r="I612" s="1049" t="s">
        <v>1114</v>
      </c>
      <c r="K612" s="19"/>
    </row>
    <row r="613" spans="1:11" x14ac:dyDescent="0.2">
      <c r="A613" s="1234">
        <v>45932</v>
      </c>
      <c r="B613" s="1241">
        <v>5</v>
      </c>
      <c r="C613" s="1187">
        <v>262</v>
      </c>
      <c r="D613" s="443" t="str">
        <f>_xlfn.XLOOKUP(B613,Códigos!$A$421:$A$483,Códigos!$B$421:$B$483,"Verificar",0)</f>
        <v>Préstamos por Nómina a:</v>
      </c>
      <c r="E613" s="444" t="str">
        <f>_xlfn.XLOOKUP(C613,Códigos!$A$11:$A$415,Códigos!$B$11:$B$415,"Verificar",0)</f>
        <v>NOMBRE 95</v>
      </c>
      <c r="F613" s="1288" t="s">
        <v>407</v>
      </c>
      <c r="G613" s="1239">
        <v>100000</v>
      </c>
      <c r="H613" s="989">
        <f t="shared" si="20"/>
        <v>602780169</v>
      </c>
      <c r="I613" s="1049" t="s">
        <v>1148</v>
      </c>
      <c r="K613" s="19"/>
    </row>
    <row r="614" spans="1:11" x14ac:dyDescent="0.2">
      <c r="A614" s="1234">
        <v>45932</v>
      </c>
      <c r="B614" s="1000">
        <v>8</v>
      </c>
      <c r="C614" s="996">
        <v>358</v>
      </c>
      <c r="D614" s="443" t="str">
        <f>_xlfn.XLOOKUP(B614,Códigos!$A$421:$A$483,Códigos!$B$421:$B$483,"Verificar",0)</f>
        <v>Pagos de: -Cuota para alimentos y Manuntención</v>
      </c>
      <c r="E614" s="444" t="str">
        <f>_xlfn.XLOOKUP(C614,Códigos!$A$11:$A$415,Códigos!$B$11:$B$415,"Verificar",0)</f>
        <v>NOMBRE 338</v>
      </c>
      <c r="F614" s="1288" t="s">
        <v>1103</v>
      </c>
      <c r="G614" s="1280">
        <v>380000</v>
      </c>
      <c r="H614" s="989">
        <f t="shared" si="20"/>
        <v>603160169</v>
      </c>
      <c r="I614" s="997" t="s">
        <v>1597</v>
      </c>
      <c r="K614" s="19"/>
    </row>
    <row r="615" spans="1:11" x14ac:dyDescent="0.2">
      <c r="A615" s="1234">
        <v>45932</v>
      </c>
      <c r="B615" s="1241">
        <v>1</v>
      </c>
      <c r="C615" s="1187">
        <v>355</v>
      </c>
      <c r="D615" s="443" t="str">
        <f>_xlfn.XLOOKUP(B615,Códigos!$A$421:$A$483,Códigos!$B$421:$B$483,"Verificar",0)</f>
        <v>Gastos personales</v>
      </c>
      <c r="E615" s="444" t="str">
        <f>_xlfn.XLOOKUP(C615,Códigos!$A$11:$A$415,Códigos!$B$11:$B$415,"Verificar",0)</f>
        <v>NOMBRE 96</v>
      </c>
      <c r="F615" s="1288" t="s">
        <v>407</v>
      </c>
      <c r="G615" s="1239">
        <v>500000</v>
      </c>
      <c r="H615" s="989">
        <f t="shared" si="20"/>
        <v>603660169</v>
      </c>
      <c r="I615" s="1049" t="s">
        <v>1230</v>
      </c>
      <c r="K615" s="19"/>
    </row>
    <row r="616" spans="1:11" x14ac:dyDescent="0.2">
      <c r="A616" s="1234">
        <v>45933</v>
      </c>
      <c r="B616" s="1000">
        <v>8</v>
      </c>
      <c r="C616" s="996">
        <v>356</v>
      </c>
      <c r="D616" s="443" t="str">
        <f>_xlfn.XLOOKUP(B616,Códigos!$A$421:$A$483,Códigos!$B$421:$B$483,"Verificar",0)</f>
        <v>Pagos de: -Cuota para alimentos y Manuntención</v>
      </c>
      <c r="E616" s="444" t="str">
        <f>_xlfn.XLOOKUP(C616,Códigos!$A$11:$A$415,Códigos!$B$11:$B$415,"Verificar",0)</f>
        <v>NOMBRE 108</v>
      </c>
      <c r="F616" s="1288" t="s">
        <v>1103</v>
      </c>
      <c r="G616" s="1239">
        <v>220000</v>
      </c>
      <c r="H616" s="989">
        <f t="shared" si="20"/>
        <v>603880169</v>
      </c>
      <c r="I616" s="1050" t="s">
        <v>1083</v>
      </c>
      <c r="K616" s="19"/>
    </row>
    <row r="617" spans="1:11" x14ac:dyDescent="0.2">
      <c r="A617" s="1234">
        <v>45933</v>
      </c>
      <c r="B617" s="1000">
        <v>2</v>
      </c>
      <c r="C617" s="996">
        <v>262</v>
      </c>
      <c r="D617" s="443" t="str">
        <f>_xlfn.XLOOKUP(B617,Códigos!$A$421:$A$483,Códigos!$B$421:$B$483,"Verificar",0)</f>
        <v>Pago de Salarios a:</v>
      </c>
      <c r="E617" s="444" t="str">
        <f>_xlfn.XLOOKUP(C617,Códigos!$A$11:$A$415,Códigos!$B$11:$B$415,"Verificar",0)</f>
        <v>NOMBRE 95</v>
      </c>
      <c r="F617" s="1288" t="s">
        <v>407</v>
      </c>
      <c r="G617" s="1239">
        <v>660000</v>
      </c>
      <c r="H617" s="989">
        <f t="shared" si="20"/>
        <v>604540169</v>
      </c>
      <c r="I617" s="997" t="s">
        <v>1596</v>
      </c>
      <c r="K617" s="19"/>
    </row>
    <row r="618" spans="1:11" x14ac:dyDescent="0.2">
      <c r="A618" s="1234">
        <v>45933</v>
      </c>
      <c r="B618" s="1241">
        <v>27</v>
      </c>
      <c r="C618" s="1187">
        <v>359</v>
      </c>
      <c r="D618" s="443" t="str">
        <f>_xlfn.XLOOKUP(B618,Códigos!$A$421:$A$483,Códigos!$B$421:$B$483,"Verificar",0)</f>
        <v>Compra de: -Restaurante y cafetería</v>
      </c>
      <c r="E618" s="444" t="str">
        <f>_xlfn.XLOOKUP(C618,Códigos!$A$11:$A$415,Códigos!$B$11:$B$415,"Verificar",0)</f>
        <v>NOMBRE 232</v>
      </c>
      <c r="F618" s="1288" t="s">
        <v>407</v>
      </c>
      <c r="G618" s="1239">
        <v>400000</v>
      </c>
      <c r="H618" s="989">
        <f t="shared" si="20"/>
        <v>604940169</v>
      </c>
      <c r="I618" s="1292" t="s">
        <v>1155</v>
      </c>
      <c r="K618" s="19"/>
    </row>
    <row r="619" spans="1:11" x14ac:dyDescent="0.2">
      <c r="A619" s="1234">
        <v>45934</v>
      </c>
      <c r="B619" s="1241">
        <v>27</v>
      </c>
      <c r="C619" s="1187">
        <v>359</v>
      </c>
      <c r="D619" s="443" t="str">
        <f>_xlfn.XLOOKUP(B619,Códigos!$A$421:$A$483,Códigos!$B$421:$B$483,"Verificar",0)</f>
        <v>Compra de: -Restaurante y cafetería</v>
      </c>
      <c r="E619" s="444" t="str">
        <f>_xlfn.XLOOKUP(C619,Códigos!$A$11:$A$415,Códigos!$B$11:$B$415,"Verificar",0)</f>
        <v>NOMBRE 232</v>
      </c>
      <c r="F619" s="1288" t="s">
        <v>407</v>
      </c>
      <c r="G619" s="1239">
        <v>30000</v>
      </c>
      <c r="H619" s="989">
        <f t="shared" si="20"/>
        <v>604970169</v>
      </c>
      <c r="I619" s="1049" t="s">
        <v>1216</v>
      </c>
      <c r="K619" s="19"/>
    </row>
    <row r="620" spans="1:11" x14ac:dyDescent="0.2">
      <c r="A620" s="1234">
        <v>45937</v>
      </c>
      <c r="B620" s="1277">
        <v>7</v>
      </c>
      <c r="C620" s="1278">
        <v>359</v>
      </c>
      <c r="D620" s="443" t="str">
        <f>_xlfn.XLOOKUP(B620,Códigos!$A$421:$A$483,Códigos!$B$421:$B$483,"Verificar",0)</f>
        <v>Pagos de: -Seguridad Social</v>
      </c>
      <c r="E620" s="444" t="str">
        <f>_xlfn.XLOOKUP(C620,Códigos!$A$11:$A$415,Códigos!$B$11:$B$415,"Verificar",0)</f>
        <v>NOMBRE 232</v>
      </c>
      <c r="F620" s="1288" t="s">
        <v>407</v>
      </c>
      <c r="G620" s="1239">
        <v>1392400</v>
      </c>
      <c r="H620" s="989">
        <f t="shared" si="20"/>
        <v>606362569</v>
      </c>
      <c r="I620" s="1052" t="s">
        <v>1609</v>
      </c>
      <c r="K620" s="19"/>
    </row>
    <row r="621" spans="1:11" x14ac:dyDescent="0.2">
      <c r="A621" s="1234">
        <v>45937</v>
      </c>
      <c r="B621" s="1277">
        <v>7</v>
      </c>
      <c r="C621" s="1278">
        <v>359</v>
      </c>
      <c r="D621" s="443" t="str">
        <f>_xlfn.XLOOKUP(B621,Códigos!$A$421:$A$483,Códigos!$B$421:$B$483,"Verificar",0)</f>
        <v>Pagos de: -Seguridad Social</v>
      </c>
      <c r="E621" s="444" t="str">
        <f>_xlfn.XLOOKUP(C621,Códigos!$A$11:$A$415,Códigos!$B$11:$B$415,"Verificar",0)</f>
        <v>NOMBRE 232</v>
      </c>
      <c r="F621" s="1288" t="s">
        <v>407</v>
      </c>
      <c r="G621" s="1239">
        <v>940500</v>
      </c>
      <c r="H621" s="989">
        <f t="shared" si="20"/>
        <v>607303069</v>
      </c>
      <c r="I621" s="1052" t="s">
        <v>1610</v>
      </c>
      <c r="K621" s="19"/>
    </row>
    <row r="622" spans="1:11" x14ac:dyDescent="0.2">
      <c r="A622" s="1234">
        <v>45937</v>
      </c>
      <c r="B622" s="1000">
        <v>9</v>
      </c>
      <c r="C622" s="996">
        <v>359</v>
      </c>
      <c r="D622" s="443" t="str">
        <f>_xlfn.XLOOKUP(B622,Códigos!$A$421:$A$483,Códigos!$B$421:$B$483,"Verificar",0)</f>
        <v>Pagos de: -Servicios públicos -OFICINA-</v>
      </c>
      <c r="E622" s="444" t="str">
        <f>_xlfn.XLOOKUP(C622,Códigos!$A$11:$A$415,Códigos!$B$11:$B$415,"Verificar",0)</f>
        <v>NOMBRE 232</v>
      </c>
      <c r="F622" s="1288" t="s">
        <v>407</v>
      </c>
      <c r="G622" s="1239">
        <v>7000</v>
      </c>
      <c r="H622" s="989">
        <f t="shared" si="20"/>
        <v>607310069</v>
      </c>
      <c r="I622" s="1052" t="s">
        <v>1500</v>
      </c>
      <c r="K622" s="19"/>
    </row>
    <row r="623" spans="1:11" x14ac:dyDescent="0.2">
      <c r="A623" s="1234">
        <v>45939</v>
      </c>
      <c r="B623" s="1241">
        <v>29</v>
      </c>
      <c r="C623" s="1187">
        <v>8</v>
      </c>
      <c r="D623" s="443" t="str">
        <f>_xlfn.XLOOKUP(B623,Códigos!$A$421:$A$483,Códigos!$B$421:$B$483,"Verificar",0)</f>
        <v>Egresos por Cuenta de Terceros -Pagos impuestos-</v>
      </c>
      <c r="E623" s="444" t="str">
        <f>_xlfn.XLOOKUP(C623,Códigos!$A$11:$A$415,Códigos!$B$11:$B$415,"Verificar",0)</f>
        <v>NOMBRE 64</v>
      </c>
      <c r="F623" s="1288" t="s">
        <v>407</v>
      </c>
      <c r="G623" s="1239">
        <v>107000</v>
      </c>
      <c r="H623" s="989">
        <f t="shared" si="20"/>
        <v>607417069</v>
      </c>
      <c r="I623" s="1049" t="s">
        <v>1612</v>
      </c>
      <c r="K623" s="19"/>
    </row>
    <row r="624" spans="1:11" x14ac:dyDescent="0.2">
      <c r="A624" s="1234">
        <v>45939</v>
      </c>
      <c r="B624" s="1187">
        <v>5</v>
      </c>
      <c r="C624" s="1187">
        <v>262</v>
      </c>
      <c r="D624" s="443" t="str">
        <f>_xlfn.XLOOKUP(B624,Códigos!$A$421:$A$483,Códigos!$B$421:$B$483,"Verificar",0)</f>
        <v>Préstamos por Nómina a:</v>
      </c>
      <c r="E624" s="444" t="str">
        <f>_xlfn.XLOOKUP(C624,Códigos!$A$11:$A$415,Códigos!$B$11:$B$415,"Verificar",0)</f>
        <v>NOMBRE 95</v>
      </c>
      <c r="F624" s="1289"/>
      <c r="G624" s="1239">
        <v>50000</v>
      </c>
      <c r="H624" s="989">
        <f t="shared" si="20"/>
        <v>607467069</v>
      </c>
      <c r="I624" s="1049" t="s">
        <v>1148</v>
      </c>
      <c r="K624" s="19"/>
    </row>
    <row r="625" spans="1:11" x14ac:dyDescent="0.2">
      <c r="A625" s="1234">
        <v>45939</v>
      </c>
      <c r="B625" s="1000">
        <v>9</v>
      </c>
      <c r="C625" s="996">
        <v>359</v>
      </c>
      <c r="D625" s="443" t="str">
        <f>_xlfn.XLOOKUP(B625,Códigos!$A$421:$A$483,Códigos!$B$421:$B$483,"Verificar",0)</f>
        <v>Pagos de: -Servicios públicos -OFICINA-</v>
      </c>
      <c r="E625" s="444" t="str">
        <f>_xlfn.XLOOKUP(C625,Códigos!$A$11:$A$415,Códigos!$B$11:$B$415,"Verificar",0)</f>
        <v>NOMBRE 232</v>
      </c>
      <c r="F625" s="1288" t="s">
        <v>407</v>
      </c>
      <c r="G625" s="1239">
        <v>271600</v>
      </c>
      <c r="H625" s="989">
        <f t="shared" si="20"/>
        <v>607738669</v>
      </c>
      <c r="I625" s="1049" t="s">
        <v>1490</v>
      </c>
      <c r="K625" s="19"/>
    </row>
    <row r="626" spans="1:11" x14ac:dyDescent="0.2">
      <c r="A626" s="1234">
        <v>45939</v>
      </c>
      <c r="B626" s="1187">
        <v>27</v>
      </c>
      <c r="C626" s="1187">
        <v>359</v>
      </c>
      <c r="D626" s="443" t="str">
        <f>_xlfn.XLOOKUP(B626,Códigos!$A$421:$A$483,Códigos!$B$421:$B$483,"Verificar",0)</f>
        <v>Compra de: -Restaurante y cafetería</v>
      </c>
      <c r="E626" s="444" t="str">
        <f>_xlfn.XLOOKUP(C626,Códigos!$A$11:$A$415,Códigos!$B$11:$B$415,"Verificar",0)</f>
        <v>NOMBRE 232</v>
      </c>
      <c r="F626" s="1289"/>
      <c r="G626" s="1239">
        <v>20000</v>
      </c>
      <c r="H626" s="989">
        <f t="shared" si="20"/>
        <v>607758669</v>
      </c>
      <c r="I626" s="1049" t="s">
        <v>1621</v>
      </c>
      <c r="K626" s="19"/>
    </row>
    <row r="627" spans="1:11" x14ac:dyDescent="0.2">
      <c r="A627" s="1234">
        <v>45939</v>
      </c>
      <c r="B627" s="1000">
        <v>8</v>
      </c>
      <c r="C627" s="996">
        <v>358</v>
      </c>
      <c r="D627" s="443" t="str">
        <f>_xlfn.XLOOKUP(B627,Códigos!$A$421:$A$483,Códigos!$B$421:$B$483,"Verificar",0)</f>
        <v>Pagos de: -Cuota para alimentos y Manuntención</v>
      </c>
      <c r="E627" s="444" t="str">
        <f>_xlfn.XLOOKUP(C627,Códigos!$A$11:$A$415,Códigos!$B$11:$B$415,"Verificar",0)</f>
        <v>NOMBRE 338</v>
      </c>
      <c r="F627" s="1288" t="s">
        <v>1103</v>
      </c>
      <c r="G627" s="1280">
        <v>380000</v>
      </c>
      <c r="H627" s="989">
        <f t="shared" si="20"/>
        <v>608138669</v>
      </c>
      <c r="I627" s="997" t="s">
        <v>1622</v>
      </c>
      <c r="K627" s="19"/>
    </row>
    <row r="628" spans="1:11" x14ac:dyDescent="0.2">
      <c r="A628" s="1234">
        <v>45939</v>
      </c>
      <c r="B628" s="1241">
        <v>1</v>
      </c>
      <c r="C628" s="1187">
        <v>355</v>
      </c>
      <c r="D628" s="443" t="str">
        <f>_xlfn.XLOOKUP(B628,Códigos!$A$421:$A$483,Códigos!$B$421:$B$483,"Verificar",0)</f>
        <v>Gastos personales</v>
      </c>
      <c r="E628" s="444" t="str">
        <f>_xlfn.XLOOKUP(C628,Códigos!$A$11:$A$415,Códigos!$B$11:$B$415,"Verificar",0)</f>
        <v>NOMBRE 96</v>
      </c>
      <c r="F628" s="1288" t="s">
        <v>407</v>
      </c>
      <c r="G628" s="1239">
        <v>500000</v>
      </c>
      <c r="H628" s="989">
        <f t="shared" si="20"/>
        <v>608638669</v>
      </c>
      <c r="I628" s="1049" t="s">
        <v>1230</v>
      </c>
      <c r="K628" s="19"/>
    </row>
    <row r="629" spans="1:11" x14ac:dyDescent="0.2">
      <c r="A629" s="1234">
        <v>45939</v>
      </c>
      <c r="B629" s="1000">
        <v>8</v>
      </c>
      <c r="C629" s="996">
        <v>356</v>
      </c>
      <c r="D629" s="443" t="str">
        <f>_xlfn.XLOOKUP(B629,Códigos!$A$421:$A$483,Códigos!$B$421:$B$483,"Verificar",0)</f>
        <v>Pagos de: -Cuota para alimentos y Manuntención</v>
      </c>
      <c r="E629" s="444" t="str">
        <f>_xlfn.XLOOKUP(C629,Códigos!$A$11:$A$415,Códigos!$B$11:$B$415,"Verificar",0)</f>
        <v>NOMBRE 108</v>
      </c>
      <c r="F629" s="1288" t="s">
        <v>1103</v>
      </c>
      <c r="G629" s="1239">
        <v>220000</v>
      </c>
      <c r="H629" s="989">
        <f t="shared" si="20"/>
        <v>608858669</v>
      </c>
      <c r="I629" s="1050" t="s">
        <v>1083</v>
      </c>
      <c r="K629" s="19"/>
    </row>
    <row r="630" spans="1:11" x14ac:dyDescent="0.2">
      <c r="A630" s="1234">
        <v>45939</v>
      </c>
      <c r="B630" s="1241">
        <v>8</v>
      </c>
      <c r="C630" s="1187">
        <v>357</v>
      </c>
      <c r="D630" s="443" t="str">
        <f>_xlfn.XLOOKUP(B630,Códigos!$A$421:$A$483,Códigos!$B$421:$B$483,"Verificar",0)</f>
        <v>Pagos de: -Cuota para alimentos y Manuntención</v>
      </c>
      <c r="E630" s="444" t="str">
        <f>_xlfn.XLOOKUP(C630,Códigos!$A$11:$A$415,Códigos!$B$11:$B$415,"Verificar",0)</f>
        <v>NOMBRE 107</v>
      </c>
      <c r="F630" s="1288" t="s">
        <v>407</v>
      </c>
      <c r="G630" s="1239">
        <v>220000</v>
      </c>
      <c r="H630" s="989">
        <f t="shared" si="20"/>
        <v>609078669</v>
      </c>
      <c r="I630" s="1050" t="s">
        <v>1083</v>
      </c>
      <c r="K630" s="19"/>
    </row>
    <row r="631" spans="1:11" x14ac:dyDescent="0.2">
      <c r="A631" s="1234">
        <v>45939</v>
      </c>
      <c r="B631" s="1000">
        <v>2</v>
      </c>
      <c r="C631" s="1187">
        <v>353</v>
      </c>
      <c r="D631" s="443" t="str">
        <f>_xlfn.XLOOKUP(B631,Códigos!$A$421:$A$483,Códigos!$B$421:$B$483,"Verificar",0)</f>
        <v>Pago de Salarios a:</v>
      </c>
      <c r="E631" s="444" t="str">
        <f>_xlfn.XLOOKUP(C631,Códigos!$A$11:$A$415,Códigos!$B$11:$B$415,"Verificar",0)</f>
        <v>NOMBRE 31</v>
      </c>
      <c r="F631" s="1288" t="s">
        <v>407</v>
      </c>
      <c r="G631" s="1239">
        <v>660000</v>
      </c>
      <c r="H631" s="989">
        <f t="shared" si="20"/>
        <v>609738669</v>
      </c>
      <c r="I631" s="997" t="s">
        <v>1623</v>
      </c>
      <c r="K631" s="19"/>
    </row>
    <row r="632" spans="1:11" x14ac:dyDescent="0.2">
      <c r="A632" s="1234">
        <v>45940</v>
      </c>
      <c r="B632" s="1000">
        <v>2</v>
      </c>
      <c r="C632" s="996">
        <v>262</v>
      </c>
      <c r="D632" s="443" t="str">
        <f>_xlfn.XLOOKUP(B632,Códigos!$A$421:$A$483,Códigos!$B$421:$B$483,"Verificar",0)</f>
        <v>Pago de Salarios a:</v>
      </c>
      <c r="E632" s="444" t="str">
        <f>_xlfn.XLOOKUP(C632,Códigos!$A$11:$A$415,Códigos!$B$11:$B$415,"Verificar",0)</f>
        <v>NOMBRE 95</v>
      </c>
      <c r="F632" s="1288" t="s">
        <v>407</v>
      </c>
      <c r="G632" s="1239">
        <v>660000</v>
      </c>
      <c r="H632" s="989">
        <f t="shared" si="20"/>
        <v>610398669</v>
      </c>
      <c r="I632" s="997" t="s">
        <v>1623</v>
      </c>
      <c r="K632" s="19"/>
    </row>
    <row r="633" spans="1:11" x14ac:dyDescent="0.2">
      <c r="A633" s="1234">
        <v>45945</v>
      </c>
      <c r="B633" s="1000">
        <v>33</v>
      </c>
      <c r="C633" s="996">
        <v>3</v>
      </c>
      <c r="D633" s="443" t="str">
        <f>_xlfn.XLOOKUP(B633,Códigos!$A$421:$A$483,Códigos!$B$421:$B$483,"Verificar",0)</f>
        <v>AJUSTE POR -Consignación - Traslado a Bancos</v>
      </c>
      <c r="E633" s="444" t="str">
        <f>_xlfn.XLOOKUP(C633,Códigos!$A$11:$A$415,Códigos!$B$11:$B$415,"Verificar",0)</f>
        <v>NOMBRE 24</v>
      </c>
      <c r="F633" s="1288" t="s">
        <v>407</v>
      </c>
      <c r="G633" s="1239">
        <v>450000</v>
      </c>
      <c r="H633" s="989">
        <f t="shared" si="20"/>
        <v>610848669</v>
      </c>
      <c r="I633" s="1049" t="s">
        <v>1637</v>
      </c>
      <c r="K633" s="19"/>
    </row>
    <row r="634" spans="1:11" x14ac:dyDescent="0.2">
      <c r="A634" s="1234">
        <v>45945</v>
      </c>
      <c r="B634" s="1000">
        <v>33</v>
      </c>
      <c r="C634" s="996">
        <v>3</v>
      </c>
      <c r="D634" s="443" t="str">
        <f>_xlfn.XLOOKUP(B634,Códigos!$A$421:$A$483,Códigos!$B$421:$B$483,"Verificar",0)</f>
        <v>AJUSTE POR -Consignación - Traslado a Bancos</v>
      </c>
      <c r="E634" s="444" t="str">
        <f>_xlfn.XLOOKUP(C634,Códigos!$A$11:$A$415,Códigos!$B$11:$B$415,"Verificar",0)</f>
        <v>NOMBRE 24</v>
      </c>
      <c r="F634" s="1288" t="s">
        <v>407</v>
      </c>
      <c r="G634" s="1239">
        <v>3000000</v>
      </c>
      <c r="H634" s="989">
        <f t="shared" si="20"/>
        <v>613848669</v>
      </c>
      <c r="I634" s="1049" t="s">
        <v>1638</v>
      </c>
      <c r="K634" s="19"/>
    </row>
    <row r="635" spans="1:11" x14ac:dyDescent="0.2">
      <c r="A635" s="1234">
        <v>45946</v>
      </c>
      <c r="B635" s="1000">
        <v>9</v>
      </c>
      <c r="C635" s="996">
        <v>359</v>
      </c>
      <c r="D635" s="443" t="str">
        <f>_xlfn.XLOOKUP(B635,Códigos!$A$421:$A$483,Códigos!$B$421:$B$483,"Verificar",0)</f>
        <v>Pagos de: -Servicios públicos -OFICINA-</v>
      </c>
      <c r="E635" s="444" t="str">
        <f>_xlfn.XLOOKUP(C635,Códigos!$A$11:$A$415,Códigos!$B$11:$B$415,"Verificar",0)</f>
        <v>NOMBRE 232</v>
      </c>
      <c r="F635" s="1288" t="s">
        <v>407</v>
      </c>
      <c r="G635" s="1239">
        <v>174100</v>
      </c>
      <c r="H635" s="989">
        <f t="shared" si="20"/>
        <v>614022769</v>
      </c>
      <c r="I635" s="1049" t="s">
        <v>1489</v>
      </c>
      <c r="K635" s="19"/>
    </row>
    <row r="636" spans="1:11" x14ac:dyDescent="0.2">
      <c r="A636" s="1234">
        <v>45946</v>
      </c>
      <c r="B636" s="1241">
        <v>29</v>
      </c>
      <c r="C636" s="1187">
        <v>359</v>
      </c>
      <c r="D636" s="443" t="str">
        <f>_xlfn.XLOOKUP(B636,Códigos!$A$421:$A$483,Códigos!$B$421:$B$483,"Verificar",0)</f>
        <v>Egresos por Cuenta de Terceros -Pagos impuestos-</v>
      </c>
      <c r="E636" s="444" t="str">
        <f>_xlfn.XLOOKUP(C636,Códigos!$A$11:$A$415,Códigos!$B$11:$B$415,"Verificar",0)</f>
        <v>NOMBRE 232</v>
      </c>
      <c r="F636" s="1288" t="s">
        <v>407</v>
      </c>
      <c r="G636" s="1239">
        <v>1112000</v>
      </c>
      <c r="H636" s="989">
        <f t="shared" si="20"/>
        <v>615134769</v>
      </c>
      <c r="I636" s="1049" t="s">
        <v>1628</v>
      </c>
      <c r="K636" s="19"/>
    </row>
    <row r="637" spans="1:11" x14ac:dyDescent="0.2">
      <c r="A637" s="1234">
        <v>45946</v>
      </c>
      <c r="B637" s="1241">
        <v>8</v>
      </c>
      <c r="C637" s="1187">
        <v>357</v>
      </c>
      <c r="D637" s="443" t="str">
        <f>_xlfn.XLOOKUP(B637,Códigos!$A$421:$A$483,Códigos!$B$421:$B$483,"Verificar",0)</f>
        <v>Pagos de: -Cuota para alimentos y Manuntención</v>
      </c>
      <c r="E637" s="444" t="str">
        <f>_xlfn.XLOOKUP(C637,Códigos!$A$11:$A$415,Códigos!$B$11:$B$415,"Verificar",0)</f>
        <v>NOMBRE 107</v>
      </c>
      <c r="F637" s="1288" t="s">
        <v>1103</v>
      </c>
      <c r="G637" s="1239">
        <v>220000</v>
      </c>
      <c r="H637" s="989">
        <f t="shared" si="20"/>
        <v>615354769</v>
      </c>
      <c r="I637" s="1050" t="s">
        <v>1083</v>
      </c>
      <c r="K637" s="19"/>
    </row>
    <row r="638" spans="1:11" x14ac:dyDescent="0.2">
      <c r="A638" s="1234">
        <v>45946</v>
      </c>
      <c r="B638" s="1000">
        <v>2</v>
      </c>
      <c r="C638" s="1187">
        <v>353</v>
      </c>
      <c r="D638" s="443" t="str">
        <f>_xlfn.XLOOKUP(B638,Códigos!$A$421:$A$483,Códigos!$B$421:$B$483,"Verificar",0)</f>
        <v>Pago de Salarios a:</v>
      </c>
      <c r="E638" s="444" t="str">
        <f>_xlfn.XLOOKUP(C638,Códigos!$A$11:$A$415,Códigos!$B$11:$B$415,"Verificar",0)</f>
        <v>NOMBRE 31</v>
      </c>
      <c r="F638" s="1288" t="s">
        <v>407</v>
      </c>
      <c r="G638" s="1239">
        <v>660000</v>
      </c>
      <c r="H638" s="989">
        <f t="shared" si="20"/>
        <v>616014769</v>
      </c>
      <c r="I638" s="997" t="s">
        <v>1630</v>
      </c>
      <c r="K638" s="19"/>
    </row>
    <row r="639" spans="1:11" x14ac:dyDescent="0.2">
      <c r="A639" s="1234">
        <v>45946</v>
      </c>
      <c r="B639" s="1241">
        <v>22</v>
      </c>
      <c r="C639" s="1187">
        <v>359</v>
      </c>
      <c r="D639" s="443" t="str">
        <f>_xlfn.XLOOKUP(B639,Códigos!$A$421:$A$483,Códigos!$B$421:$B$483,"Verificar",0)</f>
        <v>Compra de: -Equipos, dotaciones y repuestos para oficina</v>
      </c>
      <c r="E639" s="444" t="str">
        <f>_xlfn.XLOOKUP(C639,Códigos!$A$11:$A$415,Códigos!$B$11:$B$415,"Verificar",0)</f>
        <v>NOMBRE 232</v>
      </c>
      <c r="F639" s="1288" t="s">
        <v>407</v>
      </c>
      <c r="G639" s="1239">
        <v>650000</v>
      </c>
      <c r="H639" s="989">
        <f t="shared" si="20"/>
        <v>616664769</v>
      </c>
      <c r="I639" s="1049" t="s">
        <v>1629</v>
      </c>
      <c r="K639" s="19"/>
    </row>
    <row r="640" spans="1:11" x14ac:dyDescent="0.2">
      <c r="A640" s="1234">
        <v>45946</v>
      </c>
      <c r="B640" s="1000">
        <v>8</v>
      </c>
      <c r="C640" s="996">
        <v>358</v>
      </c>
      <c r="D640" s="443" t="str">
        <f>_xlfn.XLOOKUP(B640,Códigos!$A$421:$A$483,Códigos!$B$421:$B$483,"Verificar",0)</f>
        <v>Pagos de: -Cuota para alimentos y Manuntención</v>
      </c>
      <c r="E640" s="444" t="str">
        <f>_xlfn.XLOOKUP(C640,Códigos!$A$11:$A$415,Códigos!$B$11:$B$415,"Verificar",0)</f>
        <v>NOMBRE 338</v>
      </c>
      <c r="F640" s="1288" t="s">
        <v>1103</v>
      </c>
      <c r="G640" s="1280">
        <v>380000</v>
      </c>
      <c r="H640" s="989">
        <f t="shared" ref="H640:H661" si="21">+H639+G640</f>
        <v>617044769</v>
      </c>
      <c r="I640" s="997" t="s">
        <v>1631</v>
      </c>
      <c r="K640" s="19"/>
    </row>
    <row r="641" spans="1:11" x14ac:dyDescent="0.2">
      <c r="A641" s="1234">
        <v>45946</v>
      </c>
      <c r="B641" s="1241">
        <v>1</v>
      </c>
      <c r="C641" s="1187">
        <v>355</v>
      </c>
      <c r="D641" s="443" t="str">
        <f>_xlfn.XLOOKUP(B641,Códigos!$A$421:$A$483,Códigos!$B$421:$B$483,"Verificar",0)</f>
        <v>Gastos personales</v>
      </c>
      <c r="E641" s="444" t="str">
        <f>_xlfn.XLOOKUP(C641,Códigos!$A$11:$A$415,Códigos!$B$11:$B$415,"Verificar",0)</f>
        <v>NOMBRE 96</v>
      </c>
      <c r="F641" s="1288" t="s">
        <v>407</v>
      </c>
      <c r="G641" s="1239">
        <v>200000</v>
      </c>
      <c r="H641" s="989">
        <f t="shared" si="21"/>
        <v>617244769</v>
      </c>
      <c r="I641" s="1049" t="s">
        <v>1230</v>
      </c>
      <c r="K641" s="19"/>
    </row>
    <row r="642" spans="1:11" x14ac:dyDescent="0.2">
      <c r="A642" s="1234">
        <v>45946</v>
      </c>
      <c r="B642" s="1000">
        <v>33</v>
      </c>
      <c r="C642" s="996">
        <v>3</v>
      </c>
      <c r="D642" s="443" t="str">
        <f>_xlfn.XLOOKUP(B642,Códigos!$A$421:$A$483,Códigos!$B$421:$B$483,"Verificar",0)</f>
        <v>AJUSTE POR -Consignación - Traslado a Bancos</v>
      </c>
      <c r="E642" s="444" t="str">
        <f>_xlfn.XLOOKUP(C642,Códigos!$A$11:$A$415,Códigos!$B$11:$B$415,"Verificar",0)</f>
        <v>NOMBRE 24</v>
      </c>
      <c r="F642" s="1288" t="s">
        <v>407</v>
      </c>
      <c r="G642" s="1239">
        <v>1870000</v>
      </c>
      <c r="H642" s="989">
        <f t="shared" si="21"/>
        <v>619114769</v>
      </c>
      <c r="I642" s="1049" t="s">
        <v>1639</v>
      </c>
      <c r="K642" s="19"/>
    </row>
    <row r="643" spans="1:11" x14ac:dyDescent="0.2">
      <c r="A643" s="1234">
        <v>45947</v>
      </c>
      <c r="B643" s="1000">
        <v>2</v>
      </c>
      <c r="C643" s="996">
        <v>262</v>
      </c>
      <c r="D643" s="443" t="str">
        <f>_xlfn.XLOOKUP(B643,Códigos!$A$421:$A$483,Códigos!$B$421:$B$483,"Verificar",0)</f>
        <v>Pago de Salarios a:</v>
      </c>
      <c r="E643" s="444" t="str">
        <f>_xlfn.XLOOKUP(C643,Códigos!$A$11:$A$415,Códigos!$B$11:$B$415,"Verificar",0)</f>
        <v>NOMBRE 95</v>
      </c>
      <c r="F643" s="1288" t="s">
        <v>407</v>
      </c>
      <c r="G643" s="1239">
        <v>660000</v>
      </c>
      <c r="H643" s="989">
        <f t="shared" si="21"/>
        <v>619774769</v>
      </c>
      <c r="I643" s="997" t="s">
        <v>1632</v>
      </c>
      <c r="K643" s="19"/>
    </row>
    <row r="644" spans="1:11" x14ac:dyDescent="0.2">
      <c r="A644" s="1234">
        <v>45947</v>
      </c>
      <c r="B644" s="1000">
        <v>8</v>
      </c>
      <c r="C644" s="996">
        <v>356</v>
      </c>
      <c r="D644" s="443" t="str">
        <f>_xlfn.XLOOKUP(B644,Códigos!$A$421:$A$483,Códigos!$B$421:$B$483,"Verificar",0)</f>
        <v>Pagos de: -Cuota para alimentos y Manuntención</v>
      </c>
      <c r="E644" s="444" t="str">
        <f>_xlfn.XLOOKUP(C644,Códigos!$A$11:$A$415,Códigos!$B$11:$B$415,"Verificar",0)</f>
        <v>NOMBRE 108</v>
      </c>
      <c r="F644" s="1288" t="s">
        <v>1103</v>
      </c>
      <c r="G644" s="1239">
        <v>220000</v>
      </c>
      <c r="H644" s="989">
        <f t="shared" si="21"/>
        <v>619994769</v>
      </c>
      <c r="I644" s="1050" t="s">
        <v>1083</v>
      </c>
      <c r="K644" s="19"/>
    </row>
    <row r="645" spans="1:11" x14ac:dyDescent="0.2">
      <c r="A645" s="1234">
        <v>45947</v>
      </c>
      <c r="B645" s="1000">
        <v>33</v>
      </c>
      <c r="C645" s="996">
        <v>3</v>
      </c>
      <c r="D645" s="443" t="str">
        <f>_xlfn.XLOOKUP(B645,Códigos!$A$421:$A$483,Códigos!$B$421:$B$483,"Verificar",0)</f>
        <v>AJUSTE POR -Consignación - Traslado a Bancos</v>
      </c>
      <c r="E645" s="444" t="str">
        <f>_xlfn.XLOOKUP(C645,Códigos!$A$11:$A$415,Códigos!$B$11:$B$415,"Verificar",0)</f>
        <v>NOMBRE 24</v>
      </c>
      <c r="F645" s="1288" t="s">
        <v>407</v>
      </c>
      <c r="G645" s="1239">
        <v>250000</v>
      </c>
      <c r="H645" s="989">
        <f t="shared" si="21"/>
        <v>620244769</v>
      </c>
      <c r="I645" s="1049" t="s">
        <v>1640</v>
      </c>
      <c r="K645" s="19"/>
    </row>
    <row r="646" spans="1:11" x14ac:dyDescent="0.2">
      <c r="A646" s="1234">
        <v>45948</v>
      </c>
      <c r="B646" s="1000">
        <v>33</v>
      </c>
      <c r="C646" s="996">
        <v>3</v>
      </c>
      <c r="D646" s="443" t="str">
        <f>_xlfn.XLOOKUP(B646,Códigos!$A$421:$A$483,Códigos!$B$421:$B$483,"Verificar",0)</f>
        <v>AJUSTE POR -Consignación - Traslado a Bancos</v>
      </c>
      <c r="E646" s="444" t="str">
        <f>_xlfn.XLOOKUP(C646,Códigos!$A$11:$A$415,Códigos!$B$11:$B$415,"Verificar",0)</f>
        <v>NOMBRE 24</v>
      </c>
      <c r="F646" s="1288" t="s">
        <v>407</v>
      </c>
      <c r="G646" s="1239">
        <v>580000</v>
      </c>
      <c r="H646" s="989">
        <f t="shared" si="21"/>
        <v>620824769</v>
      </c>
      <c r="I646" s="1049" t="s">
        <v>1641</v>
      </c>
      <c r="K646" s="19"/>
    </row>
    <row r="647" spans="1:11" x14ac:dyDescent="0.2">
      <c r="A647" s="1234">
        <v>45950</v>
      </c>
      <c r="B647" s="1241">
        <v>2</v>
      </c>
      <c r="C647" s="1187">
        <v>359</v>
      </c>
      <c r="D647" s="443" t="str">
        <f>_xlfn.XLOOKUP(B647,Códigos!$A$421:$A$483,Códigos!$B$421:$B$483,"Verificar",0)</f>
        <v>Pago de Salarios a:</v>
      </c>
      <c r="E647" s="444" t="str">
        <f>_xlfn.XLOOKUP(C647,Códigos!$A$11:$A$415,Códigos!$B$11:$B$415,"Verificar",0)</f>
        <v>NOMBRE 232</v>
      </c>
      <c r="F647" s="1288" t="s">
        <v>407</v>
      </c>
      <c r="G647" s="1239">
        <v>310000</v>
      </c>
      <c r="H647" s="989">
        <f t="shared" si="21"/>
        <v>621134769</v>
      </c>
      <c r="I647" s="1049" t="s">
        <v>1633</v>
      </c>
      <c r="K647" s="19"/>
    </row>
    <row r="648" spans="1:11" x14ac:dyDescent="0.2">
      <c r="A648" s="1234">
        <v>45950</v>
      </c>
      <c r="B648" s="1000">
        <v>33</v>
      </c>
      <c r="C648" s="996">
        <v>3</v>
      </c>
      <c r="D648" s="443" t="str">
        <f>_xlfn.XLOOKUP(B648,Códigos!$A$421:$A$483,Códigos!$B$421:$B$483,"Verificar",0)</f>
        <v>AJUSTE POR -Consignación - Traslado a Bancos</v>
      </c>
      <c r="E648" s="444" t="str">
        <f>_xlfn.XLOOKUP(C648,Códigos!$A$11:$A$415,Códigos!$B$11:$B$415,"Verificar",0)</f>
        <v>NOMBRE 24</v>
      </c>
      <c r="F648" s="1288" t="s">
        <v>407</v>
      </c>
      <c r="G648" s="1239">
        <v>350000</v>
      </c>
      <c r="H648" s="989">
        <f t="shared" si="21"/>
        <v>621484769</v>
      </c>
      <c r="I648" s="1049" t="s">
        <v>1642</v>
      </c>
      <c r="K648" s="19"/>
    </row>
    <row r="649" spans="1:11" x14ac:dyDescent="0.2">
      <c r="A649" s="1234">
        <v>45951</v>
      </c>
      <c r="B649" s="1339">
        <v>8</v>
      </c>
      <c r="C649" s="1339">
        <v>359</v>
      </c>
      <c r="D649" s="1340" t="str">
        <f>_xlfn.XLOOKUP(B649,Códigos!$A$421:$A$483,Códigos!$B$421:$B$483,"Verificar",0)</f>
        <v>Pagos de: -Cuota para alimentos y Manuntención</v>
      </c>
      <c r="E649" s="1341" t="str">
        <f>_xlfn.XLOOKUP(C649,Códigos!$A$11:$A$415,Códigos!$B$11:$B$415,"Verificar",0)</f>
        <v>NOMBRE 232</v>
      </c>
      <c r="F649" s="1342" t="s">
        <v>407</v>
      </c>
      <c r="G649" s="1343">
        <v>603000</v>
      </c>
      <c r="H649" s="989">
        <f t="shared" si="21"/>
        <v>622087769</v>
      </c>
      <c r="I649" s="1344" t="s">
        <v>1317</v>
      </c>
      <c r="K649" s="19"/>
    </row>
    <row r="650" spans="1:11" x14ac:dyDescent="0.2">
      <c r="A650" s="1234">
        <v>45951</v>
      </c>
      <c r="B650" s="1241">
        <v>11</v>
      </c>
      <c r="C650" s="1187">
        <v>359</v>
      </c>
      <c r="D650" s="443" t="str">
        <f>_xlfn.XLOOKUP(B650,Códigos!$A$421:$A$483,Códigos!$B$421:$B$483,"Verificar",0)</f>
        <v>Pagos de: -Servicios Administracion y otros Oficina</v>
      </c>
      <c r="E650" s="444" t="str">
        <f>_xlfn.XLOOKUP(C650,Códigos!$A$11:$A$415,Códigos!$B$11:$B$415,"Verificar",0)</f>
        <v>NOMBRE 232</v>
      </c>
      <c r="F650" s="1288" t="s">
        <v>407</v>
      </c>
      <c r="G650" s="1239">
        <f>295700+425700+360800</f>
        <v>1082200</v>
      </c>
      <c r="H650" s="989">
        <f t="shared" si="21"/>
        <v>623169969</v>
      </c>
      <c r="I650" s="1049" t="s">
        <v>1107</v>
      </c>
      <c r="K650" s="19"/>
    </row>
    <row r="651" spans="1:11" x14ac:dyDescent="0.2">
      <c r="A651" s="1234">
        <v>45951</v>
      </c>
      <c r="B651" s="1241">
        <v>22</v>
      </c>
      <c r="C651" s="1187">
        <v>359</v>
      </c>
      <c r="D651" s="443" t="str">
        <f>_xlfn.XLOOKUP(B651,Códigos!$A$421:$A$483,Códigos!$B$421:$B$483,"Verificar",0)</f>
        <v>Compra de: -Equipos, dotaciones y repuestos para oficina</v>
      </c>
      <c r="E651" s="444" t="str">
        <f>_xlfn.XLOOKUP(C651,Códigos!$A$11:$A$415,Códigos!$B$11:$B$415,"Verificar",0)</f>
        <v>NOMBRE 232</v>
      </c>
      <c r="F651" s="1288" t="s">
        <v>407</v>
      </c>
      <c r="G651" s="1239">
        <v>150000</v>
      </c>
      <c r="H651" s="989">
        <f t="shared" si="21"/>
        <v>623319969</v>
      </c>
      <c r="I651" s="1049" t="s">
        <v>1643</v>
      </c>
      <c r="K651" s="19"/>
    </row>
    <row r="652" spans="1:11" x14ac:dyDescent="0.2">
      <c r="A652" s="1234">
        <v>45951</v>
      </c>
      <c r="B652" s="1241">
        <v>22</v>
      </c>
      <c r="C652" s="1187">
        <v>359</v>
      </c>
      <c r="D652" s="443" t="str">
        <f>_xlfn.XLOOKUP(B652,Códigos!$A$421:$A$483,Códigos!$B$421:$B$483,"Verificar",0)</f>
        <v>Compra de: -Equipos, dotaciones y repuestos para oficina</v>
      </c>
      <c r="E652" s="444" t="str">
        <f>_xlfn.XLOOKUP(C652,Códigos!$A$11:$A$415,Códigos!$B$11:$B$415,"Verificar",0)</f>
        <v>NOMBRE 232</v>
      </c>
      <c r="F652" s="1288" t="s">
        <v>407</v>
      </c>
      <c r="G652" s="1239">
        <v>90000</v>
      </c>
      <c r="H652" s="989">
        <f t="shared" si="21"/>
        <v>623409969</v>
      </c>
      <c r="I652" s="1049" t="s">
        <v>1644</v>
      </c>
      <c r="K652" s="19"/>
    </row>
    <row r="653" spans="1:11" x14ac:dyDescent="0.2">
      <c r="A653" s="1234">
        <v>45951</v>
      </c>
      <c r="B653" s="1241">
        <v>22</v>
      </c>
      <c r="C653" s="1187">
        <v>359</v>
      </c>
      <c r="D653" s="443" t="str">
        <f>_xlfn.XLOOKUP(B653,Códigos!$A$421:$A$483,Códigos!$B$421:$B$483,"Verificar",0)</f>
        <v>Compra de: -Equipos, dotaciones y repuestos para oficina</v>
      </c>
      <c r="E653" s="444" t="str">
        <f>_xlfn.XLOOKUP(C653,Códigos!$A$11:$A$415,Códigos!$B$11:$B$415,"Verificar",0)</f>
        <v>NOMBRE 232</v>
      </c>
      <c r="F653" s="1288" t="s">
        <v>407</v>
      </c>
      <c r="G653" s="1239">
        <v>250000</v>
      </c>
      <c r="H653" s="989">
        <f t="shared" si="21"/>
        <v>623659969</v>
      </c>
      <c r="I653" s="1049" t="s">
        <v>1647</v>
      </c>
      <c r="K653" s="19"/>
    </row>
    <row r="654" spans="1:11" x14ac:dyDescent="0.2">
      <c r="A654" s="1234">
        <v>45952</v>
      </c>
      <c r="B654" s="1241">
        <v>11</v>
      </c>
      <c r="C654" s="1187">
        <v>359</v>
      </c>
      <c r="D654" s="443" t="str">
        <f>_xlfn.XLOOKUP(B654,Códigos!$A$421:$A$483,Códigos!$B$421:$B$483,"Verificar",0)</f>
        <v>Pagos de: -Servicios Administracion y otros Oficina</v>
      </c>
      <c r="E654" s="444" t="str">
        <f>_xlfn.XLOOKUP(C654,Códigos!$A$11:$A$415,Códigos!$B$11:$B$415,"Verificar",0)</f>
        <v>NOMBRE 232</v>
      </c>
      <c r="F654" s="1288" t="s">
        <v>407</v>
      </c>
      <c r="G654" s="1239">
        <v>129700</v>
      </c>
      <c r="H654" s="989">
        <f t="shared" si="21"/>
        <v>623789669</v>
      </c>
      <c r="I654" s="1049" t="s">
        <v>1486</v>
      </c>
      <c r="K654" s="19"/>
    </row>
    <row r="655" spans="1:11" x14ac:dyDescent="0.2">
      <c r="A655" s="1234">
        <v>45953</v>
      </c>
      <c r="B655" s="1000">
        <v>9</v>
      </c>
      <c r="C655" s="996">
        <v>359</v>
      </c>
      <c r="D655" s="443" t="str">
        <f>_xlfn.XLOOKUP(B655,Códigos!$A$421:$A$483,Códigos!$B$421:$B$483,"Verificar",0)</f>
        <v>Pagos de: -Servicios públicos -OFICINA-</v>
      </c>
      <c r="E655" s="444" t="str">
        <f>_xlfn.XLOOKUP(C655,Códigos!$A$11:$A$415,Códigos!$B$11:$B$415,"Verificar",0)</f>
        <v>NOMBRE 232</v>
      </c>
      <c r="F655" s="1288" t="s">
        <v>407</v>
      </c>
      <c r="G655" s="1239">
        <v>464341</v>
      </c>
      <c r="H655" s="989">
        <f t="shared" si="21"/>
        <v>624254010</v>
      </c>
      <c r="I655" s="1049" t="s">
        <v>1497</v>
      </c>
      <c r="K655" s="19"/>
    </row>
    <row r="656" spans="1:11" x14ac:dyDescent="0.2">
      <c r="A656" s="1234">
        <v>45953</v>
      </c>
      <c r="B656" s="1275">
        <v>39</v>
      </c>
      <c r="C656" s="1276">
        <v>362</v>
      </c>
      <c r="D656" s="443" t="str">
        <f>_xlfn.XLOOKUP(B656,Códigos!$A$421:$A$483,Códigos!$B$421:$B$483,"Verificar",0)</f>
        <v>Pago intereses préstamo Juliana</v>
      </c>
      <c r="E656" s="444" t="str">
        <f>_xlfn.XLOOKUP(C656,Códigos!$A$11:$A$415,Códigos!$B$11:$B$415,"Verificar",0)</f>
        <v>NOMBRE 97</v>
      </c>
      <c r="F656" s="1288" t="s">
        <v>407</v>
      </c>
      <c r="G656" s="1239">
        <v>350000</v>
      </c>
      <c r="H656" s="989">
        <f t="shared" si="21"/>
        <v>624604010</v>
      </c>
      <c r="I656" s="1274" t="s">
        <v>1587</v>
      </c>
      <c r="K656" s="19"/>
    </row>
    <row r="657" spans="1:11" x14ac:dyDescent="0.2">
      <c r="A657" s="1234">
        <v>45953</v>
      </c>
      <c r="B657" s="1275">
        <v>21</v>
      </c>
      <c r="C657" s="1276">
        <v>362</v>
      </c>
      <c r="D657" s="443" t="str">
        <f>_xlfn.XLOOKUP(B657,Códigos!$A$421:$A$483,Códigos!$B$421:$B$483,"Verificar",0)</f>
        <v>Pagos de: -Cuentas por Pagar a:</v>
      </c>
      <c r="E657" s="444" t="str">
        <f>_xlfn.XLOOKUP(C657,Códigos!$A$11:$A$415,Códigos!$B$11:$B$415,"Verificar",0)</f>
        <v>NOMBRE 97</v>
      </c>
      <c r="F657" s="1288" t="s">
        <v>407</v>
      </c>
      <c r="G657" s="1239">
        <v>200000</v>
      </c>
      <c r="H657" s="989">
        <f t="shared" si="21"/>
        <v>624804010</v>
      </c>
      <c r="I657" s="1274" t="s">
        <v>1528</v>
      </c>
      <c r="K657" s="19"/>
    </row>
    <row r="658" spans="1:11" x14ac:dyDescent="0.2">
      <c r="A658" s="1234">
        <v>45953</v>
      </c>
      <c r="B658" s="1241">
        <v>8</v>
      </c>
      <c r="C658" s="1187">
        <v>357</v>
      </c>
      <c r="D658" s="443" t="str">
        <f>_xlfn.XLOOKUP(B658,Códigos!$A$421:$A$483,Códigos!$B$421:$B$483,"Verificar",0)</f>
        <v>Pagos de: -Cuota para alimentos y Manuntención</v>
      </c>
      <c r="E658" s="444" t="str">
        <f>_xlfn.XLOOKUP(C658,Códigos!$A$11:$A$415,Códigos!$B$11:$B$415,"Verificar",0)</f>
        <v>NOMBRE 107</v>
      </c>
      <c r="F658" s="1288" t="s">
        <v>1103</v>
      </c>
      <c r="G658" s="1239">
        <v>220000</v>
      </c>
      <c r="H658" s="989">
        <f t="shared" si="21"/>
        <v>625024010</v>
      </c>
      <c r="I658" s="1050" t="s">
        <v>1083</v>
      </c>
      <c r="K658" s="19"/>
    </row>
    <row r="659" spans="1:11" x14ac:dyDescent="0.2">
      <c r="A659" s="1234">
        <v>45953</v>
      </c>
      <c r="B659" s="1000">
        <v>2</v>
      </c>
      <c r="C659" s="1187">
        <v>353</v>
      </c>
      <c r="D659" s="443" t="str">
        <f>_xlfn.XLOOKUP(B659,Códigos!$A$421:$A$483,Códigos!$B$421:$B$483,"Verificar",0)</f>
        <v>Pago de Salarios a:</v>
      </c>
      <c r="E659" s="444" t="str">
        <f>_xlfn.XLOOKUP(C659,Códigos!$A$11:$A$415,Códigos!$B$11:$B$415,"Verificar",0)</f>
        <v>NOMBRE 31</v>
      </c>
      <c r="F659" s="1288" t="s">
        <v>407</v>
      </c>
      <c r="G659" s="1239">
        <v>660000</v>
      </c>
      <c r="H659" s="989">
        <f t="shared" si="21"/>
        <v>625684010</v>
      </c>
      <c r="I659" s="997" t="s">
        <v>1648</v>
      </c>
      <c r="K659" s="19"/>
    </row>
    <row r="660" spans="1:11" x14ac:dyDescent="0.2">
      <c r="A660" s="1234">
        <v>45953</v>
      </c>
      <c r="B660" s="1000">
        <v>9</v>
      </c>
      <c r="C660" s="996">
        <v>359</v>
      </c>
      <c r="D660" s="443" t="str">
        <f>_xlfn.XLOOKUP(B660,Códigos!$A$421:$A$483,Códigos!$B$421:$B$483,"Verificar",0)</f>
        <v>Pagos de: -Servicios públicos -OFICINA-</v>
      </c>
      <c r="E660" s="444" t="str">
        <f>_xlfn.XLOOKUP(C660,Códigos!$A$11:$A$415,Códigos!$B$11:$B$415,"Verificar",0)</f>
        <v>NOMBRE 232</v>
      </c>
      <c r="F660" s="1288" t="s">
        <v>407</v>
      </c>
      <c r="G660" s="1239">
        <v>22000</v>
      </c>
      <c r="H660" s="989">
        <f t="shared" si="21"/>
        <v>625706010</v>
      </c>
      <c r="I660" s="1049" t="s">
        <v>1591</v>
      </c>
      <c r="K660" s="19"/>
    </row>
    <row r="661" spans="1:11" x14ac:dyDescent="0.2">
      <c r="A661" s="1234">
        <v>45953</v>
      </c>
      <c r="B661" s="1000">
        <v>33</v>
      </c>
      <c r="C661" s="996">
        <v>3</v>
      </c>
      <c r="D661" s="443" t="str">
        <f>_xlfn.XLOOKUP(B661,Códigos!$A$421:$A$483,Códigos!$B$421:$B$483,"Verificar",0)</f>
        <v>AJUSTE POR -Consignación - Traslado a Bancos</v>
      </c>
      <c r="E661" s="444" t="str">
        <f>_xlfn.XLOOKUP(C661,Códigos!$A$11:$A$415,Códigos!$B$11:$B$415,"Verificar",0)</f>
        <v>NOMBRE 24</v>
      </c>
      <c r="F661" s="1288" t="s">
        <v>407</v>
      </c>
      <c r="G661" s="1239">
        <v>400000</v>
      </c>
      <c r="H661" s="989">
        <f t="shared" si="21"/>
        <v>626106010</v>
      </c>
      <c r="I661" s="1049" t="s">
        <v>1649</v>
      </c>
      <c r="K661" s="19"/>
    </row>
    <row r="662" spans="1:11" x14ac:dyDescent="0.2">
      <c r="A662" s="1234">
        <v>45954</v>
      </c>
      <c r="B662" s="1000">
        <v>8</v>
      </c>
      <c r="C662" s="996">
        <v>356</v>
      </c>
      <c r="D662" s="443" t="str">
        <f>_xlfn.XLOOKUP(B662,Códigos!$A$421:$A$483,Códigos!$B$421:$B$483,"Verificar",0)</f>
        <v>Pagos de: -Cuota para alimentos y Manuntención</v>
      </c>
      <c r="E662" s="444" t="str">
        <f>_xlfn.XLOOKUP(C662,Códigos!$A$11:$A$415,Códigos!$B$11:$B$415,"Verificar",0)</f>
        <v>NOMBRE 108</v>
      </c>
      <c r="F662" s="1288" t="s">
        <v>1103</v>
      </c>
      <c r="G662" s="1239">
        <v>220000</v>
      </c>
      <c r="H662" s="989">
        <f t="shared" ref="H662:H666" si="22">+H661+G662</f>
        <v>626326010</v>
      </c>
      <c r="I662" s="1050" t="s">
        <v>1083</v>
      </c>
      <c r="K662" s="19"/>
    </row>
    <row r="663" spans="1:11" x14ac:dyDescent="0.2">
      <c r="A663" s="1234">
        <v>45954</v>
      </c>
      <c r="B663" s="1000">
        <v>2</v>
      </c>
      <c r="C663" s="996">
        <v>262</v>
      </c>
      <c r="D663" s="443" t="str">
        <f>_xlfn.XLOOKUP(B663,Códigos!$A$421:$A$483,Códigos!$B$421:$B$483,"Verificar",0)</f>
        <v>Pago de Salarios a:</v>
      </c>
      <c r="E663" s="444" t="str">
        <f>_xlfn.XLOOKUP(C663,Códigos!$A$11:$A$415,Códigos!$B$11:$B$415,"Verificar",0)</f>
        <v>NOMBRE 95</v>
      </c>
      <c r="F663" s="1288" t="s">
        <v>407</v>
      </c>
      <c r="G663" s="1239">
        <v>660000</v>
      </c>
      <c r="H663" s="989">
        <f t="shared" si="22"/>
        <v>626986010</v>
      </c>
      <c r="I663" s="997" t="s">
        <v>1632</v>
      </c>
      <c r="K663" s="19"/>
    </row>
    <row r="664" spans="1:11" x14ac:dyDescent="0.2">
      <c r="A664" s="1234">
        <v>45954</v>
      </c>
      <c r="B664" s="1000">
        <v>8</v>
      </c>
      <c r="C664" s="996">
        <v>358</v>
      </c>
      <c r="D664" s="443" t="str">
        <f>_xlfn.XLOOKUP(B664,Códigos!$A$421:$A$483,Códigos!$B$421:$B$483,"Verificar",0)</f>
        <v>Pagos de: -Cuota para alimentos y Manuntención</v>
      </c>
      <c r="E664" s="444" t="str">
        <f>_xlfn.XLOOKUP(C664,Códigos!$A$11:$A$415,Códigos!$B$11:$B$415,"Verificar",0)</f>
        <v>NOMBRE 338</v>
      </c>
      <c r="F664" s="1288" t="s">
        <v>1103</v>
      </c>
      <c r="G664" s="1280">
        <v>380000</v>
      </c>
      <c r="H664" s="989">
        <f t="shared" si="22"/>
        <v>627366010</v>
      </c>
      <c r="I664" s="997" t="s">
        <v>1631</v>
      </c>
      <c r="K664" s="19"/>
    </row>
    <row r="665" spans="1:11" x14ac:dyDescent="0.2">
      <c r="A665" s="1234">
        <v>45954</v>
      </c>
      <c r="B665" s="1241">
        <v>33</v>
      </c>
      <c r="C665" s="1187">
        <v>3</v>
      </c>
      <c r="D665" s="443" t="str">
        <f>_xlfn.XLOOKUP(B665,Códigos!$A$421:$A$483,Códigos!$B$421:$B$483,"Verificar",0)</f>
        <v>AJUSTE POR -Consignación - Traslado a Bancos</v>
      </c>
      <c r="E665" s="444" t="str">
        <f>_xlfn.XLOOKUP(C665,Códigos!$A$11:$A$415,Códigos!$B$11:$B$415,"Verificar",0)</f>
        <v>NOMBRE 24</v>
      </c>
      <c r="F665" s="1288" t="s">
        <v>407</v>
      </c>
      <c r="G665" s="1239">
        <v>470000</v>
      </c>
      <c r="H665" s="989">
        <f t="shared" si="22"/>
        <v>627836010</v>
      </c>
      <c r="I665" s="1049" t="s">
        <v>1650</v>
      </c>
      <c r="K665" s="19"/>
    </row>
    <row r="666" spans="1:11" x14ac:dyDescent="0.2">
      <c r="A666" s="1234">
        <v>45955</v>
      </c>
      <c r="B666" s="1241">
        <v>33</v>
      </c>
      <c r="C666" s="1187">
        <v>3</v>
      </c>
      <c r="D666" s="443" t="str">
        <f>_xlfn.XLOOKUP(B666,Códigos!$A$421:$A$483,Códigos!$B$421:$B$483,"Verificar",0)</f>
        <v>AJUSTE POR -Consignación - Traslado a Bancos</v>
      </c>
      <c r="E666" s="444" t="str">
        <f>_xlfn.XLOOKUP(C666,Códigos!$A$11:$A$415,Códigos!$B$11:$B$415,"Verificar",0)</f>
        <v>NOMBRE 24</v>
      </c>
      <c r="F666" s="1288" t="s">
        <v>407</v>
      </c>
      <c r="G666" s="1239">
        <v>890000</v>
      </c>
      <c r="H666" s="989">
        <f t="shared" si="22"/>
        <v>628726010</v>
      </c>
      <c r="I666" s="1049" t="s">
        <v>1651</v>
      </c>
      <c r="K666" s="19"/>
    </row>
    <row r="667" spans="1:11" x14ac:dyDescent="0.2">
      <c r="A667" s="1234">
        <v>45957</v>
      </c>
      <c r="B667" s="1241">
        <v>33</v>
      </c>
      <c r="C667" s="1187">
        <v>3</v>
      </c>
      <c r="D667" s="443" t="str">
        <f>_xlfn.XLOOKUP(B667,Códigos!$A$421:$A$483,Códigos!$B$421:$B$483,"Verificar",0)</f>
        <v>AJUSTE POR -Consignación - Traslado a Bancos</v>
      </c>
      <c r="E667" s="444" t="str">
        <f>_xlfn.XLOOKUP(C667,Códigos!$A$11:$A$415,Códigos!$B$11:$B$415,"Verificar",0)</f>
        <v>NOMBRE 24</v>
      </c>
      <c r="F667" s="1288" t="s">
        <v>407</v>
      </c>
      <c r="G667" s="1239">
        <v>430000</v>
      </c>
      <c r="H667" s="989">
        <f t="shared" ref="H667:H714" si="23">+H666+G667</f>
        <v>629156010</v>
      </c>
      <c r="I667" s="1049" t="s">
        <v>1652</v>
      </c>
      <c r="K667" s="19"/>
    </row>
    <row r="668" spans="1:11" x14ac:dyDescent="0.2">
      <c r="A668" s="1234">
        <v>45957</v>
      </c>
      <c r="B668" s="1241">
        <v>5</v>
      </c>
      <c r="C668" s="1187">
        <v>262</v>
      </c>
      <c r="D668" s="443" t="str">
        <f>_xlfn.XLOOKUP(B668,Códigos!$A$421:$A$483,Códigos!$B$421:$B$483,"Verificar",0)</f>
        <v>Préstamos por Nómina a:</v>
      </c>
      <c r="E668" s="444" t="str">
        <f>_xlfn.XLOOKUP(C668,Códigos!$A$11:$A$415,Códigos!$B$11:$B$415,"Verificar",0)</f>
        <v>NOMBRE 95</v>
      </c>
      <c r="F668" s="1288" t="s">
        <v>407</v>
      </c>
      <c r="G668" s="1239">
        <v>500000</v>
      </c>
      <c r="H668" s="989">
        <f t="shared" si="23"/>
        <v>629656010</v>
      </c>
      <c r="I668" s="1049" t="s">
        <v>1654</v>
      </c>
      <c r="K668" s="19"/>
    </row>
    <row r="669" spans="1:11" x14ac:dyDescent="0.2">
      <c r="A669" s="1234">
        <v>45957</v>
      </c>
      <c r="B669" s="1241">
        <v>33</v>
      </c>
      <c r="C669" s="1187">
        <v>3</v>
      </c>
      <c r="D669" s="443" t="str">
        <f>_xlfn.XLOOKUP(B669,Códigos!$A$421:$A$483,Códigos!$B$421:$B$483,"Verificar",0)</f>
        <v>AJUSTE POR -Consignación - Traslado a Bancos</v>
      </c>
      <c r="E669" s="444" t="str">
        <f>_xlfn.XLOOKUP(C669,Códigos!$A$11:$A$415,Códigos!$B$11:$B$415,"Verificar",0)</f>
        <v>NOMBRE 24</v>
      </c>
      <c r="F669" s="1288" t="s">
        <v>407</v>
      </c>
      <c r="G669" s="1239">
        <v>640000</v>
      </c>
      <c r="H669" s="989">
        <f t="shared" si="23"/>
        <v>630296010</v>
      </c>
      <c r="I669" s="1049" t="s">
        <v>1671</v>
      </c>
      <c r="K669" s="19"/>
    </row>
    <row r="670" spans="1:11" x14ac:dyDescent="0.2">
      <c r="A670" s="1234">
        <v>45957</v>
      </c>
      <c r="B670" s="1000">
        <v>9</v>
      </c>
      <c r="C670" s="996">
        <v>359</v>
      </c>
      <c r="D670" s="443" t="str">
        <f>_xlfn.XLOOKUP(B670,Códigos!$A$421:$A$483,Códigos!$B$421:$B$483,"Verificar",0)</f>
        <v>Pagos de: -Servicios públicos -OFICINA-</v>
      </c>
      <c r="E670" s="444" t="str">
        <f>_xlfn.XLOOKUP(C670,Códigos!$A$11:$A$415,Códigos!$B$11:$B$415,"Verificar",0)</f>
        <v>NOMBRE 232</v>
      </c>
      <c r="F670" s="1288" t="s">
        <v>407</v>
      </c>
      <c r="G670" s="1239">
        <v>46073</v>
      </c>
      <c r="H670" s="989">
        <f t="shared" si="23"/>
        <v>630342083</v>
      </c>
      <c r="I670" s="1049" t="s">
        <v>1518</v>
      </c>
      <c r="K670" s="19"/>
    </row>
    <row r="671" spans="1:11" x14ac:dyDescent="0.2">
      <c r="A671" s="1234">
        <v>45958</v>
      </c>
      <c r="B671" s="1241">
        <v>33</v>
      </c>
      <c r="C671" s="1187">
        <v>3</v>
      </c>
      <c r="D671" s="443" t="str">
        <f>_xlfn.XLOOKUP(B671,Códigos!$A$421:$A$483,Códigos!$B$421:$B$483,"Verificar",0)</f>
        <v>AJUSTE POR -Consignación - Traslado a Bancos</v>
      </c>
      <c r="E671" s="444" t="str">
        <f>_xlfn.XLOOKUP(C671,Códigos!$A$11:$A$415,Códigos!$B$11:$B$415,"Verificar",0)</f>
        <v>NOMBRE 24</v>
      </c>
      <c r="F671" s="1288" t="s">
        <v>407</v>
      </c>
      <c r="G671" s="1239">
        <v>470000</v>
      </c>
      <c r="H671" s="989">
        <f t="shared" si="23"/>
        <v>630812083</v>
      </c>
      <c r="I671" s="1049" t="s">
        <v>1672</v>
      </c>
      <c r="K671" s="19"/>
    </row>
    <row r="672" spans="1:11" x14ac:dyDescent="0.2">
      <c r="A672" s="1234">
        <v>45958</v>
      </c>
      <c r="B672" s="1241">
        <v>33</v>
      </c>
      <c r="C672" s="1187">
        <v>3</v>
      </c>
      <c r="D672" s="443" t="str">
        <f>_xlfn.XLOOKUP(B672,Códigos!$A$421:$A$483,Códigos!$B$421:$B$483,"Verificar",0)</f>
        <v>AJUSTE POR -Consignación - Traslado a Bancos</v>
      </c>
      <c r="E672" s="444" t="str">
        <f>_xlfn.XLOOKUP(C672,Códigos!$A$11:$A$415,Códigos!$B$11:$B$415,"Verificar",0)</f>
        <v>NOMBRE 24</v>
      </c>
      <c r="F672" s="1288" t="s">
        <v>407</v>
      </c>
      <c r="G672" s="1239">
        <v>450000</v>
      </c>
      <c r="H672" s="989">
        <f t="shared" si="23"/>
        <v>631262083</v>
      </c>
      <c r="I672" s="1049" t="s">
        <v>1673</v>
      </c>
      <c r="K672" s="19"/>
    </row>
    <row r="673" spans="1:11" x14ac:dyDescent="0.2">
      <c r="A673" s="1234">
        <v>45958</v>
      </c>
      <c r="B673" s="1241">
        <v>33</v>
      </c>
      <c r="C673" s="1187">
        <v>3</v>
      </c>
      <c r="D673" s="443" t="str">
        <f>_xlfn.XLOOKUP(B673,Códigos!$A$421:$A$483,Códigos!$B$421:$B$483,"Verificar",0)</f>
        <v>AJUSTE POR -Consignación - Traslado a Bancos</v>
      </c>
      <c r="E673" s="444" t="str">
        <f>_xlfn.XLOOKUP(C673,Códigos!$A$11:$A$415,Códigos!$B$11:$B$415,"Verificar",0)</f>
        <v>NOMBRE 24</v>
      </c>
      <c r="F673" s="1288" t="s">
        <v>407</v>
      </c>
      <c r="G673" s="1239">
        <v>370000</v>
      </c>
      <c r="H673" s="989">
        <f t="shared" si="23"/>
        <v>631632083</v>
      </c>
      <c r="I673" s="1049" t="s">
        <v>1674</v>
      </c>
      <c r="K673" s="19"/>
    </row>
    <row r="674" spans="1:11" x14ac:dyDescent="0.2">
      <c r="A674" s="1234">
        <v>45959</v>
      </c>
      <c r="B674" s="1241">
        <v>1</v>
      </c>
      <c r="C674" s="1187">
        <v>355</v>
      </c>
      <c r="D674" s="443" t="str">
        <f>_xlfn.XLOOKUP(B674,Códigos!$A$421:$A$483,Códigos!$B$421:$B$483,"Verificar",0)</f>
        <v>Gastos personales</v>
      </c>
      <c r="E674" s="444" t="str">
        <f>_xlfn.XLOOKUP(C674,Códigos!$A$11:$A$415,Códigos!$B$11:$B$415,"Verificar",0)</f>
        <v>NOMBRE 96</v>
      </c>
      <c r="F674" s="1289"/>
      <c r="G674" s="1239">
        <v>300000</v>
      </c>
      <c r="H674" s="989">
        <f t="shared" si="23"/>
        <v>631932083</v>
      </c>
      <c r="I674" s="1049" t="s">
        <v>1230</v>
      </c>
      <c r="K674" s="19"/>
    </row>
    <row r="675" spans="1:11" x14ac:dyDescent="0.2">
      <c r="A675" s="1234">
        <v>45959</v>
      </c>
      <c r="B675" s="1241">
        <v>33</v>
      </c>
      <c r="C675" s="1187">
        <v>3</v>
      </c>
      <c r="D675" s="443" t="str">
        <f>_xlfn.XLOOKUP(B675,Códigos!$A$421:$A$483,Códigos!$B$421:$B$483,"Verificar",0)</f>
        <v>AJUSTE POR -Consignación - Traslado a Bancos</v>
      </c>
      <c r="E675" s="444" t="str">
        <f>_xlfn.XLOOKUP(C675,Códigos!$A$11:$A$415,Códigos!$B$11:$B$415,"Verificar",0)</f>
        <v>NOMBRE 24</v>
      </c>
      <c r="F675" s="1288" t="s">
        <v>407</v>
      </c>
      <c r="G675" s="1239">
        <v>400000</v>
      </c>
      <c r="H675" s="989">
        <f t="shared" ref="H675:H677" si="24">+H674+G675</f>
        <v>632332083</v>
      </c>
      <c r="I675" s="1049" t="s">
        <v>1675</v>
      </c>
      <c r="K675" s="19"/>
    </row>
    <row r="676" spans="1:11" x14ac:dyDescent="0.2">
      <c r="A676" s="1234">
        <v>45959</v>
      </c>
      <c r="B676" s="1241">
        <v>33</v>
      </c>
      <c r="C676" s="1187">
        <v>3</v>
      </c>
      <c r="D676" s="443" t="str">
        <f>_xlfn.XLOOKUP(B676,Códigos!$A$421:$A$483,Códigos!$B$421:$B$483,"Verificar",0)</f>
        <v>AJUSTE POR -Consignación - Traslado a Bancos</v>
      </c>
      <c r="E676" s="444" t="str">
        <f>_xlfn.XLOOKUP(C676,Códigos!$A$11:$A$415,Códigos!$B$11:$B$415,"Verificar",0)</f>
        <v>NOMBRE 24</v>
      </c>
      <c r="F676" s="1288" t="s">
        <v>407</v>
      </c>
      <c r="G676" s="1239">
        <v>500000</v>
      </c>
      <c r="H676" s="989">
        <f t="shared" si="24"/>
        <v>632832083</v>
      </c>
      <c r="I676" s="1049" t="s">
        <v>1676</v>
      </c>
      <c r="K676" s="19"/>
    </row>
    <row r="677" spans="1:11" x14ac:dyDescent="0.2">
      <c r="A677" s="1234">
        <v>45959</v>
      </c>
      <c r="B677" s="1241">
        <v>33</v>
      </c>
      <c r="C677" s="1187">
        <v>3</v>
      </c>
      <c r="D677" s="443" t="str">
        <f>_xlfn.XLOOKUP(B677,Códigos!$A$421:$A$483,Códigos!$B$421:$B$483,"Verificar",0)</f>
        <v>AJUSTE POR -Consignación - Traslado a Bancos</v>
      </c>
      <c r="E677" s="444" t="str">
        <f>_xlfn.XLOOKUP(C677,Códigos!$A$11:$A$415,Códigos!$B$11:$B$415,"Verificar",0)</f>
        <v>NOMBRE 24</v>
      </c>
      <c r="F677" s="1288" t="s">
        <v>407</v>
      </c>
      <c r="G677" s="1239">
        <v>900000</v>
      </c>
      <c r="H677" s="989">
        <f t="shared" si="24"/>
        <v>633732083</v>
      </c>
      <c r="I677" s="1049" t="s">
        <v>1677</v>
      </c>
      <c r="K677" s="19"/>
    </row>
    <row r="678" spans="1:11" x14ac:dyDescent="0.2">
      <c r="A678" s="1234">
        <v>45959</v>
      </c>
      <c r="B678" s="1241"/>
      <c r="C678" s="1187"/>
      <c r="D678" s="443">
        <f>_xlfn.XLOOKUP(B678,Códigos!$A$421:$A$483,Códigos!$B$421:$B$483,"Verificar",0)</f>
        <v>0</v>
      </c>
      <c r="E678" s="444">
        <f>_xlfn.XLOOKUP(C678,Códigos!$A$11:$A$415,Códigos!$B$11:$B$415,"Verificar",0)</f>
        <v>0</v>
      </c>
      <c r="F678" s="1289"/>
      <c r="G678" s="1239"/>
      <c r="H678" s="989">
        <f t="shared" si="23"/>
        <v>633732083</v>
      </c>
      <c r="I678" s="1052"/>
      <c r="K678" s="19"/>
    </row>
    <row r="679" spans="1:11" x14ac:dyDescent="0.2">
      <c r="A679" s="1234">
        <v>45959</v>
      </c>
      <c r="B679" s="1241"/>
      <c r="C679" s="1187"/>
      <c r="D679" s="443">
        <f>_xlfn.XLOOKUP(B679,Códigos!$A$421:$A$483,Códigos!$B$421:$B$483,"Verificar",0)</f>
        <v>0</v>
      </c>
      <c r="E679" s="444">
        <f>_xlfn.XLOOKUP(C679,Códigos!$A$11:$A$415,Códigos!$B$11:$B$415,"Verificar",0)</f>
        <v>0</v>
      </c>
      <c r="F679" s="1289"/>
      <c r="G679" s="1239"/>
      <c r="H679" s="989">
        <f t="shared" si="23"/>
        <v>633732083</v>
      </c>
      <c r="I679" s="1052"/>
      <c r="K679" s="19"/>
    </row>
    <row r="680" spans="1:11" x14ac:dyDescent="0.2">
      <c r="A680" s="1234">
        <v>45959</v>
      </c>
      <c r="B680" s="1241"/>
      <c r="C680" s="1187"/>
      <c r="D680" s="443">
        <f>_xlfn.XLOOKUP(B680,Códigos!$A$421:$A$483,Códigos!$B$421:$B$483,"Verificar",0)</f>
        <v>0</v>
      </c>
      <c r="E680" s="444">
        <f>_xlfn.XLOOKUP(C680,Códigos!$A$11:$A$415,Códigos!$B$11:$B$415,"Verificar",0)</f>
        <v>0</v>
      </c>
      <c r="F680" s="1289"/>
      <c r="G680" s="1239"/>
      <c r="H680" s="989">
        <f t="shared" si="23"/>
        <v>633732083</v>
      </c>
      <c r="I680" s="1049"/>
      <c r="K680" s="19"/>
    </row>
    <row r="681" spans="1:11" x14ac:dyDescent="0.2">
      <c r="A681" s="1234"/>
      <c r="B681" s="1241"/>
      <c r="C681" s="1187"/>
      <c r="D681" s="443">
        <f>_xlfn.XLOOKUP(B681,Códigos!$A$421:$A$483,Códigos!$B$421:$B$483,"Verificar",0)</f>
        <v>0</v>
      </c>
      <c r="E681" s="444">
        <f>_xlfn.XLOOKUP(C681,Códigos!$A$11:$A$415,Códigos!$B$11:$B$415,"Verificar",0)</f>
        <v>0</v>
      </c>
      <c r="F681" s="1289"/>
      <c r="G681" s="1239"/>
      <c r="H681" s="989">
        <f t="shared" si="23"/>
        <v>633732083</v>
      </c>
      <c r="I681" s="1049"/>
      <c r="K681" s="19"/>
    </row>
    <row r="682" spans="1:11" x14ac:dyDescent="0.2">
      <c r="A682" s="1234"/>
      <c r="B682" s="1241"/>
      <c r="C682" s="1187"/>
      <c r="D682" s="443">
        <f>_xlfn.XLOOKUP(B682,Códigos!$A$421:$A$483,Códigos!$B$421:$B$483,"Verificar",0)</f>
        <v>0</v>
      </c>
      <c r="E682" s="444">
        <f>_xlfn.XLOOKUP(C682,Códigos!$A$11:$A$415,Códigos!$B$11:$B$415,"Verificar",0)</f>
        <v>0</v>
      </c>
      <c r="F682" s="1289"/>
      <c r="G682" s="1239"/>
      <c r="H682" s="989">
        <f t="shared" si="23"/>
        <v>633732083</v>
      </c>
      <c r="I682" s="1049"/>
      <c r="K682" s="19"/>
    </row>
    <row r="683" spans="1:11" x14ac:dyDescent="0.2">
      <c r="A683" s="1234"/>
      <c r="B683" s="1241"/>
      <c r="C683" s="1187"/>
      <c r="D683" s="443">
        <f>_xlfn.XLOOKUP(B683,Códigos!$A$421:$A$483,Códigos!$B$421:$B$483,"Verificar",0)</f>
        <v>0</v>
      </c>
      <c r="E683" s="444">
        <f>_xlfn.XLOOKUP(C683,Códigos!$A$11:$A$415,Códigos!$B$11:$B$415,"Verificar",0)</f>
        <v>0</v>
      </c>
      <c r="F683" s="1289"/>
      <c r="G683" s="1239"/>
      <c r="H683" s="989">
        <f t="shared" si="23"/>
        <v>633732083</v>
      </c>
      <c r="I683" s="1049"/>
      <c r="K683" s="19"/>
    </row>
    <row r="684" spans="1:11" x14ac:dyDescent="0.2">
      <c r="A684" s="1234"/>
      <c r="B684" s="1241"/>
      <c r="C684" s="1187"/>
      <c r="D684" s="443">
        <f>_xlfn.XLOOKUP(B684,Códigos!$A$421:$A$483,Códigos!$B$421:$B$483,"Verificar",0)</f>
        <v>0</v>
      </c>
      <c r="E684" s="444">
        <f>_xlfn.XLOOKUP(C684,Códigos!$A$11:$A$415,Códigos!$B$11:$B$415,"Verificar",0)</f>
        <v>0</v>
      </c>
      <c r="F684" s="1289"/>
      <c r="G684" s="1239"/>
      <c r="H684" s="989">
        <f t="shared" si="23"/>
        <v>633732083</v>
      </c>
      <c r="I684" s="1049"/>
      <c r="K684" s="19"/>
    </row>
    <row r="685" spans="1:11" x14ac:dyDescent="0.2">
      <c r="A685" s="1234"/>
      <c r="B685" s="1241"/>
      <c r="C685" s="1187"/>
      <c r="D685" s="443">
        <f>_xlfn.XLOOKUP(B685,Códigos!$A$421:$A$483,Códigos!$B$421:$B$483,"Verificar",0)</f>
        <v>0</v>
      </c>
      <c r="E685" s="444">
        <f>_xlfn.XLOOKUP(C685,Códigos!$A$11:$A$415,Códigos!$B$11:$B$415,"Verificar",0)</f>
        <v>0</v>
      </c>
      <c r="F685" s="1289"/>
      <c r="G685" s="1239"/>
      <c r="H685" s="989">
        <f t="shared" si="23"/>
        <v>633732083</v>
      </c>
      <c r="I685" s="1049"/>
      <c r="K685" s="19"/>
    </row>
    <row r="686" spans="1:11" x14ac:dyDescent="0.2">
      <c r="A686" s="1234"/>
      <c r="B686" s="1241"/>
      <c r="C686" s="1187"/>
      <c r="D686" s="443">
        <f>_xlfn.XLOOKUP(B686,Códigos!$A$421:$A$483,Códigos!$B$421:$B$483,"Verificar",0)</f>
        <v>0</v>
      </c>
      <c r="E686" s="444">
        <f>_xlfn.XLOOKUP(C686,Códigos!$A$11:$A$415,Códigos!$B$11:$B$415,"Verificar",0)</f>
        <v>0</v>
      </c>
      <c r="F686" s="1289"/>
      <c r="G686" s="1239"/>
      <c r="H686" s="989">
        <f t="shared" si="23"/>
        <v>633732083</v>
      </c>
      <c r="I686" s="1049"/>
      <c r="K686" s="19"/>
    </row>
    <row r="687" spans="1:11" x14ac:dyDescent="0.2">
      <c r="A687" s="1234"/>
      <c r="B687" s="1187"/>
      <c r="C687" s="1187"/>
      <c r="D687" s="443">
        <f>_xlfn.XLOOKUP(B687,Códigos!$A$421:$A$483,Códigos!$B$421:$B$483,"Verificar",0)</f>
        <v>0</v>
      </c>
      <c r="E687" s="444">
        <f>_xlfn.XLOOKUP(C687,Códigos!$A$11:$A$415,Códigos!$B$11:$B$415,"Verificar",0)</f>
        <v>0</v>
      </c>
      <c r="F687" s="1289"/>
      <c r="G687" s="1239"/>
      <c r="H687" s="989">
        <f t="shared" si="23"/>
        <v>633732083</v>
      </c>
      <c r="I687" s="1052"/>
      <c r="K687" s="19"/>
    </row>
    <row r="688" spans="1:11" x14ac:dyDescent="0.2">
      <c r="A688" s="1234"/>
      <c r="B688" s="1241"/>
      <c r="C688" s="1187"/>
      <c r="D688" s="443">
        <f>_xlfn.XLOOKUP(B688,Códigos!$A$421:$A$483,Códigos!$B$421:$B$483,"Verificar",0)</f>
        <v>0</v>
      </c>
      <c r="E688" s="444">
        <f>_xlfn.XLOOKUP(C688,Códigos!$A$11:$A$415,Códigos!$B$11:$B$415,"Verificar",0)</f>
        <v>0</v>
      </c>
      <c r="F688" s="1289"/>
      <c r="G688" s="1239"/>
      <c r="H688" s="989">
        <f t="shared" si="23"/>
        <v>633732083</v>
      </c>
      <c r="I688" s="1052"/>
      <c r="K688" s="19"/>
    </row>
    <row r="689" spans="1:11" x14ac:dyDescent="0.2">
      <c r="A689" s="1234"/>
      <c r="B689" s="1241"/>
      <c r="C689" s="1187"/>
      <c r="D689" s="443">
        <f>_xlfn.XLOOKUP(B689,Códigos!$A$421:$A$483,Códigos!$B$421:$B$483,"Verificar",0)</f>
        <v>0</v>
      </c>
      <c r="E689" s="444">
        <f>_xlfn.XLOOKUP(C689,Códigos!$A$11:$A$415,Códigos!$B$11:$B$415,"Verificar",0)</f>
        <v>0</v>
      </c>
      <c r="F689" s="1289"/>
      <c r="G689" s="1239"/>
      <c r="H689" s="989">
        <f t="shared" si="23"/>
        <v>633732083</v>
      </c>
      <c r="I689" s="1049"/>
      <c r="K689" s="19"/>
    </row>
    <row r="690" spans="1:11" x14ac:dyDescent="0.2">
      <c r="A690" s="1234"/>
      <c r="B690" s="1241"/>
      <c r="C690" s="1187"/>
      <c r="D690" s="443">
        <f>_xlfn.XLOOKUP(B690,Códigos!$A$421:$A$483,Códigos!$B$421:$B$483,"Verificar",0)</f>
        <v>0</v>
      </c>
      <c r="E690" s="444">
        <f>_xlfn.XLOOKUP(C690,Códigos!$A$11:$A$415,Códigos!$B$11:$B$415,"Verificar",0)</f>
        <v>0</v>
      </c>
      <c r="F690" s="1289"/>
      <c r="G690" s="1239"/>
      <c r="H690" s="989">
        <f t="shared" si="23"/>
        <v>633732083</v>
      </c>
      <c r="I690" s="1052"/>
      <c r="K690" s="19"/>
    </row>
    <row r="691" spans="1:11" x14ac:dyDescent="0.2">
      <c r="A691" s="1234"/>
      <c r="B691" s="1241"/>
      <c r="C691" s="1187"/>
      <c r="D691" s="443">
        <f>_xlfn.XLOOKUP(B691,Códigos!$A$421:$A$483,Códigos!$B$421:$B$483,"Verificar",0)</f>
        <v>0</v>
      </c>
      <c r="E691" s="444">
        <f>_xlfn.XLOOKUP(C691,Códigos!$A$11:$A$415,Códigos!$B$11:$B$415,"Verificar",0)</f>
        <v>0</v>
      </c>
      <c r="F691" s="1289"/>
      <c r="G691" s="1239"/>
      <c r="H691" s="989">
        <f t="shared" si="23"/>
        <v>633732083</v>
      </c>
      <c r="I691" s="1052"/>
      <c r="K691" s="19"/>
    </row>
    <row r="692" spans="1:11" x14ac:dyDescent="0.2">
      <c r="A692" s="1234"/>
      <c r="B692" s="1241"/>
      <c r="C692" s="1187"/>
      <c r="D692" s="443">
        <f>_xlfn.XLOOKUP(B692,Códigos!$A$421:$A$483,Códigos!$B$421:$B$483,"Verificar",0)</f>
        <v>0</v>
      </c>
      <c r="E692" s="444">
        <f>_xlfn.XLOOKUP(C692,Códigos!$A$11:$A$415,Códigos!$B$11:$B$415,"Verificar",0)</f>
        <v>0</v>
      </c>
      <c r="F692" s="1289"/>
      <c r="G692" s="1239"/>
      <c r="H692" s="989">
        <f t="shared" si="23"/>
        <v>633732083</v>
      </c>
      <c r="I692" s="1049"/>
      <c r="K692" s="19"/>
    </row>
    <row r="693" spans="1:11" x14ac:dyDescent="0.2">
      <c r="A693" s="1234"/>
      <c r="B693" s="1241"/>
      <c r="C693" s="1187"/>
      <c r="D693" s="443">
        <f>_xlfn.XLOOKUP(B693,Códigos!$A$421:$A$483,Códigos!$B$421:$B$483,"Verificar",0)</f>
        <v>0</v>
      </c>
      <c r="E693" s="444">
        <f>_xlfn.XLOOKUP(C693,Códigos!$A$11:$A$415,Códigos!$B$11:$B$415,"Verificar",0)</f>
        <v>0</v>
      </c>
      <c r="F693" s="1289"/>
      <c r="G693" s="1239"/>
      <c r="H693" s="989">
        <f t="shared" si="23"/>
        <v>633732083</v>
      </c>
      <c r="I693" s="1049"/>
      <c r="K693" s="19"/>
    </row>
    <row r="694" spans="1:11" x14ac:dyDescent="0.2">
      <c r="A694" s="1234"/>
      <c r="B694" s="1241"/>
      <c r="C694" s="1187"/>
      <c r="D694" s="443">
        <f>_xlfn.XLOOKUP(B694,Códigos!$A$421:$A$483,Códigos!$B$421:$B$483,"Verificar",0)</f>
        <v>0</v>
      </c>
      <c r="E694" s="444">
        <f>_xlfn.XLOOKUP(C694,Códigos!$A$11:$A$415,Códigos!$B$11:$B$415,"Verificar",0)</f>
        <v>0</v>
      </c>
      <c r="F694" s="1289"/>
      <c r="G694" s="1239"/>
      <c r="H694" s="989">
        <f t="shared" si="23"/>
        <v>633732083</v>
      </c>
      <c r="I694" s="1050"/>
      <c r="K694" s="19"/>
    </row>
    <row r="695" spans="1:11" x14ac:dyDescent="0.2">
      <c r="A695" s="1234"/>
      <c r="B695" s="1241"/>
      <c r="C695" s="1187"/>
      <c r="D695" s="443">
        <f>_xlfn.XLOOKUP(B695,Códigos!$A$421:$A$483,Códigos!$B$421:$B$483,"Verificar",0)</f>
        <v>0</v>
      </c>
      <c r="E695" s="444">
        <f>_xlfn.XLOOKUP(C695,Códigos!$A$11:$A$415,Códigos!$B$11:$B$415,"Verificar",0)</f>
        <v>0</v>
      </c>
      <c r="F695" s="1289"/>
      <c r="G695" s="1239"/>
      <c r="H695" s="989">
        <f t="shared" si="23"/>
        <v>633732083</v>
      </c>
      <c r="I695" s="1050"/>
      <c r="K695" s="19"/>
    </row>
    <row r="696" spans="1:11" x14ac:dyDescent="0.2">
      <c r="A696" s="1234"/>
      <c r="B696" s="1241"/>
      <c r="C696" s="1187"/>
      <c r="D696" s="443">
        <f>_xlfn.XLOOKUP(B696,Códigos!$A$421:$A$483,Códigos!$B$421:$B$483,"Verificar",0)</f>
        <v>0</v>
      </c>
      <c r="E696" s="444">
        <f>_xlfn.XLOOKUP(C696,Códigos!$A$11:$A$415,Códigos!$B$11:$B$415,"Verificar",0)</f>
        <v>0</v>
      </c>
      <c r="F696" s="1289"/>
      <c r="G696" s="1239"/>
      <c r="H696" s="989">
        <f t="shared" si="23"/>
        <v>633732083</v>
      </c>
      <c r="I696" s="1049"/>
      <c r="K696" s="19"/>
    </row>
    <row r="697" spans="1:11" x14ac:dyDescent="0.2">
      <c r="A697" s="1234"/>
      <c r="B697" s="1241"/>
      <c r="C697" s="1187"/>
      <c r="D697" s="443">
        <f>_xlfn.XLOOKUP(B697,Códigos!$A$421:$A$483,Códigos!$B$421:$B$483,"Verificar",0)</f>
        <v>0</v>
      </c>
      <c r="E697" s="444">
        <f>_xlfn.XLOOKUP(C697,Códigos!$A$11:$A$415,Códigos!$B$11:$B$415,"Verificar",0)</f>
        <v>0</v>
      </c>
      <c r="F697" s="1289"/>
      <c r="G697" s="1239"/>
      <c r="H697" s="989">
        <f t="shared" si="23"/>
        <v>633732083</v>
      </c>
      <c r="I697" s="1049"/>
      <c r="K697" s="19"/>
    </row>
    <row r="698" spans="1:11" x14ac:dyDescent="0.2">
      <c r="A698" s="1234"/>
      <c r="B698" s="1241"/>
      <c r="C698" s="1187"/>
      <c r="D698" s="443">
        <f>_xlfn.XLOOKUP(B698,Códigos!$A$421:$A$483,Códigos!$B$421:$B$483,"Verificar",0)</f>
        <v>0</v>
      </c>
      <c r="E698" s="444">
        <f>_xlfn.XLOOKUP(C698,Códigos!$A$11:$A$415,Códigos!$B$11:$B$415,"Verificar",0)</f>
        <v>0</v>
      </c>
      <c r="F698" s="1289"/>
      <c r="G698" s="1239"/>
      <c r="H698" s="989">
        <f t="shared" si="23"/>
        <v>633732083</v>
      </c>
      <c r="I698" s="1049"/>
      <c r="K698" s="19"/>
    </row>
    <row r="699" spans="1:11" x14ac:dyDescent="0.2">
      <c r="A699" s="1234"/>
      <c r="B699" s="1241"/>
      <c r="C699" s="1187"/>
      <c r="D699" s="443">
        <f>_xlfn.XLOOKUP(B699,Códigos!$A$421:$A$483,Códigos!$B$421:$B$483,"Verificar",0)</f>
        <v>0</v>
      </c>
      <c r="E699" s="444">
        <f>_xlfn.XLOOKUP(C699,Códigos!$A$11:$A$415,Códigos!$B$11:$B$415,"Verificar",0)</f>
        <v>0</v>
      </c>
      <c r="F699" s="1289"/>
      <c r="G699" s="1239"/>
      <c r="H699" s="989">
        <f t="shared" si="23"/>
        <v>633732083</v>
      </c>
      <c r="I699" s="1049"/>
      <c r="K699" s="19"/>
    </row>
    <row r="700" spans="1:11" x14ac:dyDescent="0.2">
      <c r="A700" s="1234"/>
      <c r="B700" s="1241"/>
      <c r="C700" s="1187"/>
      <c r="D700" s="443">
        <f>_xlfn.XLOOKUP(B700,Códigos!$A$421:$A$483,Códigos!$B$421:$B$483,"Verificar",0)</f>
        <v>0</v>
      </c>
      <c r="E700" s="444">
        <f>_xlfn.XLOOKUP(C700,Códigos!$A$11:$A$415,Códigos!$B$11:$B$415,"Verificar",0)</f>
        <v>0</v>
      </c>
      <c r="F700" s="1289"/>
      <c r="G700" s="1239"/>
      <c r="H700" s="989">
        <f t="shared" si="23"/>
        <v>633732083</v>
      </c>
      <c r="I700" s="1049"/>
      <c r="K700" s="19"/>
    </row>
    <row r="701" spans="1:11" x14ac:dyDescent="0.2">
      <c r="A701" s="1234"/>
      <c r="B701" s="1241"/>
      <c r="C701" s="1187"/>
      <c r="D701" s="443">
        <f>_xlfn.XLOOKUP(B701,Códigos!$A$421:$A$483,Códigos!$B$421:$B$483,"Verificar",0)</f>
        <v>0</v>
      </c>
      <c r="E701" s="444">
        <f>_xlfn.XLOOKUP(C701,Códigos!$A$11:$A$415,Códigos!$B$11:$B$415,"Verificar",0)</f>
        <v>0</v>
      </c>
      <c r="F701" s="1289"/>
      <c r="G701" s="1239"/>
      <c r="H701" s="989">
        <f t="shared" si="23"/>
        <v>633732083</v>
      </c>
      <c r="I701" s="1049"/>
      <c r="K701" s="19"/>
    </row>
    <row r="702" spans="1:11" x14ac:dyDescent="0.2">
      <c r="A702" s="1234"/>
      <c r="B702" s="1241"/>
      <c r="C702" s="1187"/>
      <c r="D702" s="443">
        <f>_xlfn.XLOOKUP(B702,Códigos!$A$421:$A$483,Códigos!$B$421:$B$483,"Verificar",0)</f>
        <v>0</v>
      </c>
      <c r="E702" s="444">
        <f>_xlfn.XLOOKUP(C702,Códigos!$A$11:$A$415,Códigos!$B$11:$B$415,"Verificar",0)</f>
        <v>0</v>
      </c>
      <c r="F702" s="1289"/>
      <c r="G702" s="1239"/>
      <c r="H702" s="989">
        <f t="shared" si="23"/>
        <v>633732083</v>
      </c>
      <c r="I702" s="1049"/>
      <c r="K702" s="19"/>
    </row>
    <row r="703" spans="1:11" x14ac:dyDescent="0.2">
      <c r="A703" s="1234"/>
      <c r="B703" s="1241"/>
      <c r="C703" s="1187"/>
      <c r="D703" s="443">
        <f>_xlfn.XLOOKUP(B703,Códigos!$A$421:$A$483,Códigos!$B$421:$B$483,"Verificar",0)</f>
        <v>0</v>
      </c>
      <c r="E703" s="444">
        <f>_xlfn.XLOOKUP(C703,Códigos!$A$11:$A$415,Códigos!$B$11:$B$415,"Verificar",0)</f>
        <v>0</v>
      </c>
      <c r="F703" s="1289"/>
      <c r="G703" s="1239"/>
      <c r="H703" s="989">
        <f t="shared" si="23"/>
        <v>633732083</v>
      </c>
      <c r="I703" s="1049"/>
      <c r="K703" s="19"/>
    </row>
    <row r="704" spans="1:11" x14ac:dyDescent="0.2">
      <c r="A704" s="1234"/>
      <c r="B704" s="1241"/>
      <c r="C704" s="1187"/>
      <c r="D704" s="443">
        <f>_xlfn.XLOOKUP(B704,Códigos!$A$421:$A$483,Códigos!$B$421:$B$483,"Verificar",0)</f>
        <v>0</v>
      </c>
      <c r="E704" s="444">
        <f>_xlfn.XLOOKUP(C704,Códigos!$A$11:$A$415,Códigos!$B$11:$B$415,"Verificar",0)</f>
        <v>0</v>
      </c>
      <c r="F704" s="1289"/>
      <c r="G704" s="1239"/>
      <c r="H704" s="989">
        <f t="shared" si="23"/>
        <v>633732083</v>
      </c>
      <c r="I704" s="1049"/>
      <c r="K704" s="19"/>
    </row>
    <row r="705" spans="1:11" x14ac:dyDescent="0.2">
      <c r="A705" s="1234"/>
      <c r="B705" s="1241"/>
      <c r="C705" s="1187"/>
      <c r="D705" s="443">
        <f>_xlfn.XLOOKUP(B705,Códigos!$A$421:$A$483,Códigos!$B$421:$B$483,"Verificar",0)</f>
        <v>0</v>
      </c>
      <c r="E705" s="444">
        <f>_xlfn.XLOOKUP(C705,Códigos!$A$11:$A$415,Códigos!$B$11:$B$415,"Verificar",0)</f>
        <v>0</v>
      </c>
      <c r="F705" s="1289"/>
      <c r="G705" s="1239"/>
      <c r="H705" s="989">
        <f t="shared" si="23"/>
        <v>633732083</v>
      </c>
      <c r="I705" s="1049"/>
      <c r="K705" s="19"/>
    </row>
    <row r="706" spans="1:11" x14ac:dyDescent="0.2">
      <c r="A706" s="1234"/>
      <c r="B706" s="1241"/>
      <c r="C706" s="1187"/>
      <c r="D706" s="443">
        <f>_xlfn.XLOOKUP(B706,Códigos!$A$421:$A$483,Códigos!$B$421:$B$483,"Verificar",0)</f>
        <v>0</v>
      </c>
      <c r="E706" s="444">
        <f>_xlfn.XLOOKUP(C706,Códigos!$A$11:$A$415,Códigos!$B$11:$B$415,"Verificar",0)</f>
        <v>0</v>
      </c>
      <c r="F706" s="1289"/>
      <c r="G706" s="1239"/>
      <c r="H706" s="989">
        <f t="shared" si="23"/>
        <v>633732083</v>
      </c>
      <c r="I706" s="1049"/>
      <c r="K706" s="19"/>
    </row>
    <row r="707" spans="1:11" x14ac:dyDescent="0.2">
      <c r="A707" s="1234"/>
      <c r="B707" s="1241"/>
      <c r="C707" s="1187"/>
      <c r="D707" s="443">
        <f>_xlfn.XLOOKUP(B707,Códigos!$A$421:$A$483,Códigos!$B$421:$B$483,"Verificar",0)</f>
        <v>0</v>
      </c>
      <c r="E707" s="444">
        <f>_xlfn.XLOOKUP(C707,Códigos!$A$11:$A$415,Códigos!$B$11:$B$415,"Verificar",0)</f>
        <v>0</v>
      </c>
      <c r="F707" s="1289"/>
      <c r="G707" s="1239"/>
      <c r="H707" s="989">
        <f t="shared" si="23"/>
        <v>633732083</v>
      </c>
      <c r="I707" s="1049"/>
      <c r="K707" s="19"/>
    </row>
    <row r="708" spans="1:11" x14ac:dyDescent="0.2">
      <c r="A708" s="1234"/>
      <c r="B708" s="1241"/>
      <c r="C708" s="1187"/>
      <c r="D708" s="443">
        <f>_xlfn.XLOOKUP(B708,Códigos!$A$421:$A$483,Códigos!$B$421:$B$483,"Verificar",0)</f>
        <v>0</v>
      </c>
      <c r="E708" s="444">
        <f>_xlfn.XLOOKUP(C708,Códigos!$A$11:$A$415,Códigos!$B$11:$B$415,"Verificar",0)</f>
        <v>0</v>
      </c>
      <c r="F708" s="1289"/>
      <c r="G708" s="1239"/>
      <c r="H708" s="989">
        <f t="shared" si="23"/>
        <v>633732083</v>
      </c>
      <c r="I708" s="1049"/>
      <c r="K708" s="19"/>
    </row>
    <row r="709" spans="1:11" x14ac:dyDescent="0.2">
      <c r="A709" s="1234"/>
      <c r="B709" s="1241"/>
      <c r="C709" s="1187"/>
      <c r="D709" s="443">
        <f>_xlfn.XLOOKUP(B709,Códigos!$A$421:$A$483,Códigos!$B$421:$B$483,"Verificar",0)</f>
        <v>0</v>
      </c>
      <c r="E709" s="444">
        <f>_xlfn.XLOOKUP(C709,Códigos!$A$11:$A$415,Códigos!$B$11:$B$415,"Verificar",0)</f>
        <v>0</v>
      </c>
      <c r="F709" s="1289"/>
      <c r="G709" s="1239"/>
      <c r="H709" s="989">
        <f t="shared" si="23"/>
        <v>633732083</v>
      </c>
      <c r="I709" s="1049"/>
      <c r="K709" s="19"/>
    </row>
    <row r="710" spans="1:11" x14ac:dyDescent="0.2">
      <c r="A710" s="1234"/>
      <c r="B710" s="1241"/>
      <c r="C710" s="1187"/>
      <c r="D710" s="443">
        <f>_xlfn.XLOOKUP(B710,Códigos!$A$421:$A$483,Códigos!$B$421:$B$483,"Verificar",0)</f>
        <v>0</v>
      </c>
      <c r="E710" s="444">
        <f>_xlfn.XLOOKUP(C710,Códigos!$A$11:$A$415,Códigos!$B$11:$B$415,"Verificar",0)</f>
        <v>0</v>
      </c>
      <c r="F710" s="1289"/>
      <c r="G710" s="1239"/>
      <c r="H710" s="989">
        <f t="shared" si="23"/>
        <v>633732083</v>
      </c>
      <c r="I710" s="1049"/>
      <c r="K710" s="19"/>
    </row>
    <row r="711" spans="1:11" x14ac:dyDescent="0.2">
      <c r="A711" s="1234"/>
      <c r="B711" s="1241"/>
      <c r="C711" s="1187"/>
      <c r="D711" s="443">
        <f>_xlfn.XLOOKUP(B711,Códigos!$A$421:$A$483,Códigos!$B$421:$B$483,"Verificar",0)</f>
        <v>0</v>
      </c>
      <c r="E711" s="444">
        <f>_xlfn.XLOOKUP(C711,Códigos!$A$11:$A$415,Códigos!$B$11:$B$415,"Verificar",0)</f>
        <v>0</v>
      </c>
      <c r="F711" s="1289"/>
      <c r="G711" s="1239"/>
      <c r="H711" s="989">
        <f t="shared" si="23"/>
        <v>633732083</v>
      </c>
      <c r="I711" s="1049"/>
      <c r="K711" s="19"/>
    </row>
    <row r="712" spans="1:11" x14ac:dyDescent="0.2">
      <c r="A712" s="1234"/>
      <c r="B712" s="1241"/>
      <c r="C712" s="1187"/>
      <c r="D712" s="443">
        <f>_xlfn.XLOOKUP(B712,Códigos!$A$421:$A$483,Códigos!$B$421:$B$483,"Verificar",0)</f>
        <v>0</v>
      </c>
      <c r="E712" s="444">
        <f>_xlfn.XLOOKUP(C712,Códigos!$A$11:$A$415,Códigos!$B$11:$B$415,"Verificar",0)</f>
        <v>0</v>
      </c>
      <c r="F712" s="1289"/>
      <c r="G712" s="1239"/>
      <c r="H712" s="989">
        <f t="shared" si="23"/>
        <v>633732083</v>
      </c>
      <c r="I712" s="1052"/>
      <c r="K712" s="19"/>
    </row>
    <row r="713" spans="1:11" x14ac:dyDescent="0.2">
      <c r="A713" s="1234"/>
      <c r="B713" s="1241"/>
      <c r="C713" s="1187"/>
      <c r="D713" s="443">
        <f>_xlfn.XLOOKUP(B713,Códigos!$A$421:$A$483,Códigos!$B$421:$B$483,"Verificar",0)</f>
        <v>0</v>
      </c>
      <c r="E713" s="444">
        <f>_xlfn.XLOOKUP(C713,Códigos!$A$11:$A$415,Códigos!$B$11:$B$415,"Verificar",0)</f>
        <v>0</v>
      </c>
      <c r="F713" s="1289"/>
      <c r="G713" s="1239"/>
      <c r="H713" s="989">
        <f t="shared" si="23"/>
        <v>633732083</v>
      </c>
      <c r="I713" s="1049"/>
      <c r="K713" s="19"/>
    </row>
    <row r="714" spans="1:11" x14ac:dyDescent="0.2">
      <c r="A714" s="1234"/>
      <c r="B714" s="1241"/>
      <c r="C714" s="1187"/>
      <c r="D714" s="443">
        <f>_xlfn.XLOOKUP(B714,Códigos!$A$421:$A$483,Códigos!$B$421:$B$483,"Verificar",0)</f>
        <v>0</v>
      </c>
      <c r="E714" s="444">
        <f>_xlfn.XLOOKUP(C714,Códigos!$A$11:$A$415,Códigos!$B$11:$B$415,"Verificar",0)</f>
        <v>0</v>
      </c>
      <c r="F714" s="1289"/>
      <c r="G714" s="1239"/>
      <c r="H714" s="989">
        <f t="shared" si="23"/>
        <v>633732083</v>
      </c>
      <c r="I714" s="1049"/>
      <c r="K714" s="19"/>
    </row>
    <row r="715" spans="1:11" x14ac:dyDescent="0.2">
      <c r="A715" s="1234"/>
      <c r="B715" s="1241"/>
      <c r="C715" s="1187"/>
      <c r="D715" s="443">
        <f>_xlfn.XLOOKUP(B715,Códigos!$A$421:$A$483,Códigos!$B$421:$B$483,"Verificar",0)</f>
        <v>0</v>
      </c>
      <c r="E715" s="444">
        <f>_xlfn.XLOOKUP(C715,Códigos!$A$11:$A$415,Códigos!$B$11:$B$415,"Verificar",0)</f>
        <v>0</v>
      </c>
      <c r="F715" s="1289"/>
      <c r="G715" s="1239"/>
      <c r="H715" s="989">
        <f t="shared" ref="H715:H778" si="25">+H714+G715</f>
        <v>633732083</v>
      </c>
      <c r="I715" s="1049"/>
      <c r="K715" s="19"/>
    </row>
    <row r="716" spans="1:11" x14ac:dyDescent="0.2">
      <c r="A716" s="1234"/>
      <c r="B716" s="1241"/>
      <c r="C716" s="1187"/>
      <c r="D716" s="443">
        <f>_xlfn.XLOOKUP(B716,Códigos!$A$421:$A$483,Códigos!$B$421:$B$483,"Verificar",0)</f>
        <v>0</v>
      </c>
      <c r="E716" s="444">
        <f>_xlfn.XLOOKUP(C716,Códigos!$A$11:$A$415,Códigos!$B$11:$B$415,"Verificar",0)</f>
        <v>0</v>
      </c>
      <c r="F716" s="1289"/>
      <c r="G716" s="1239"/>
      <c r="H716" s="989">
        <f t="shared" si="25"/>
        <v>633732083</v>
      </c>
      <c r="I716" s="1049"/>
      <c r="K716" s="19"/>
    </row>
    <row r="717" spans="1:11" x14ac:dyDescent="0.2">
      <c r="A717" s="1234"/>
      <c r="B717" s="1241"/>
      <c r="C717" s="1187"/>
      <c r="D717" s="443">
        <f>_xlfn.XLOOKUP(B717,Códigos!$A$421:$A$483,Códigos!$B$421:$B$483,"Verificar",0)</f>
        <v>0</v>
      </c>
      <c r="E717" s="444">
        <f>_xlfn.XLOOKUP(C717,Códigos!$A$11:$A$415,Códigos!$B$11:$B$415,"Verificar",0)</f>
        <v>0</v>
      </c>
      <c r="F717" s="1289"/>
      <c r="G717" s="1239"/>
      <c r="H717" s="989">
        <f t="shared" si="25"/>
        <v>633732083</v>
      </c>
      <c r="I717" s="1049"/>
      <c r="K717" s="19"/>
    </row>
    <row r="718" spans="1:11" x14ac:dyDescent="0.2">
      <c r="A718" s="1234"/>
      <c r="B718" s="1241"/>
      <c r="C718" s="1187"/>
      <c r="D718" s="443">
        <f>_xlfn.XLOOKUP(B718,Códigos!$A$421:$A$483,Códigos!$B$421:$B$483,"Verificar",0)</f>
        <v>0</v>
      </c>
      <c r="E718" s="444">
        <f>_xlfn.XLOOKUP(C718,Códigos!$A$11:$A$415,Códigos!$B$11:$B$415,"Verificar",0)</f>
        <v>0</v>
      </c>
      <c r="F718" s="1289"/>
      <c r="G718" s="1239"/>
      <c r="H718" s="989">
        <f t="shared" si="25"/>
        <v>633732083</v>
      </c>
      <c r="I718" s="1049"/>
      <c r="K718" s="19"/>
    </row>
    <row r="719" spans="1:11" x14ac:dyDescent="0.2">
      <c r="A719" s="1234"/>
      <c r="B719" s="1241"/>
      <c r="C719" s="1187"/>
      <c r="D719" s="443">
        <f>_xlfn.XLOOKUP(B719,Códigos!$A$421:$A$483,Códigos!$B$421:$B$483,"Verificar",0)</f>
        <v>0</v>
      </c>
      <c r="E719" s="444">
        <f>_xlfn.XLOOKUP(C719,Códigos!$A$11:$A$415,Códigos!$B$11:$B$415,"Verificar",0)</f>
        <v>0</v>
      </c>
      <c r="F719" s="1289"/>
      <c r="G719" s="1239"/>
      <c r="H719" s="989">
        <f t="shared" si="25"/>
        <v>633732083</v>
      </c>
      <c r="I719" s="1052"/>
      <c r="K719" s="19"/>
    </row>
    <row r="720" spans="1:11" x14ac:dyDescent="0.2">
      <c r="A720" s="1234"/>
      <c r="B720" s="1241"/>
      <c r="C720" s="1187"/>
      <c r="D720" s="443">
        <f>_xlfn.XLOOKUP(B720,Códigos!$A$421:$A$483,Códigos!$B$421:$B$483,"Verificar",0)</f>
        <v>0</v>
      </c>
      <c r="E720" s="444">
        <f>_xlfn.XLOOKUP(C720,Códigos!$A$11:$A$415,Códigos!$B$11:$B$415,"Verificar",0)</f>
        <v>0</v>
      </c>
      <c r="F720" s="1289"/>
      <c r="G720" s="1239"/>
      <c r="H720" s="989">
        <f t="shared" si="25"/>
        <v>633732083</v>
      </c>
      <c r="I720" s="1049"/>
      <c r="K720" s="19"/>
    </row>
    <row r="721" spans="1:11" x14ac:dyDescent="0.2">
      <c r="A721" s="1234"/>
      <c r="B721" s="1241"/>
      <c r="C721" s="1187"/>
      <c r="D721" s="443">
        <f>_xlfn.XLOOKUP(B721,Códigos!$A$421:$A$483,Códigos!$B$421:$B$483,"Verificar",0)</f>
        <v>0</v>
      </c>
      <c r="E721" s="444">
        <f>_xlfn.XLOOKUP(C721,Códigos!$A$11:$A$415,Códigos!$B$11:$B$415,"Verificar",0)</f>
        <v>0</v>
      </c>
      <c r="F721" s="1289"/>
      <c r="G721" s="1239"/>
      <c r="H721" s="989">
        <f t="shared" si="25"/>
        <v>633732083</v>
      </c>
      <c r="I721" s="1049"/>
      <c r="K721" s="19"/>
    </row>
    <row r="722" spans="1:11" x14ac:dyDescent="0.2">
      <c r="A722" s="1234"/>
      <c r="B722" s="1241"/>
      <c r="C722" s="1187"/>
      <c r="D722" s="443">
        <f>_xlfn.XLOOKUP(B722,Códigos!$A$421:$A$483,Códigos!$B$421:$B$483,"Verificar",0)</f>
        <v>0</v>
      </c>
      <c r="E722" s="444">
        <f>_xlfn.XLOOKUP(C722,Códigos!$A$11:$A$415,Códigos!$B$11:$B$415,"Verificar",0)</f>
        <v>0</v>
      </c>
      <c r="F722" s="1289"/>
      <c r="G722" s="1239"/>
      <c r="H722" s="989">
        <f t="shared" si="25"/>
        <v>633732083</v>
      </c>
      <c r="I722" s="1049"/>
      <c r="K722" s="19"/>
    </row>
    <row r="723" spans="1:11" x14ac:dyDescent="0.2">
      <c r="A723" s="1234"/>
      <c r="B723" s="1241"/>
      <c r="C723" s="1187"/>
      <c r="D723" s="443">
        <f>_xlfn.XLOOKUP(B723,Códigos!$A$421:$A$483,Códigos!$B$421:$B$483,"Verificar",0)</f>
        <v>0</v>
      </c>
      <c r="E723" s="444">
        <f>_xlfn.XLOOKUP(C723,Códigos!$A$11:$A$415,Códigos!$B$11:$B$415,"Verificar",0)</f>
        <v>0</v>
      </c>
      <c r="F723" s="1289"/>
      <c r="G723" s="1239"/>
      <c r="H723" s="989">
        <f t="shared" si="25"/>
        <v>633732083</v>
      </c>
      <c r="I723" s="1049"/>
      <c r="K723" s="19"/>
    </row>
    <row r="724" spans="1:11" x14ac:dyDescent="0.2">
      <c r="A724" s="1234"/>
      <c r="B724" s="1241"/>
      <c r="C724" s="1187"/>
      <c r="D724" s="443">
        <f>_xlfn.XLOOKUP(B724,Códigos!$A$421:$A$483,Códigos!$B$421:$B$483,"Verificar",0)</f>
        <v>0</v>
      </c>
      <c r="E724" s="444">
        <f>_xlfn.XLOOKUP(C724,Códigos!$A$11:$A$415,Códigos!$B$11:$B$415,"Verificar",0)</f>
        <v>0</v>
      </c>
      <c r="F724" s="1289"/>
      <c r="G724" s="1239"/>
      <c r="H724" s="989">
        <f t="shared" si="25"/>
        <v>633732083</v>
      </c>
      <c r="I724" s="1049"/>
      <c r="K724" s="19"/>
    </row>
    <row r="725" spans="1:11" x14ac:dyDescent="0.2">
      <c r="A725" s="1234"/>
      <c r="B725" s="1241"/>
      <c r="C725" s="1187"/>
      <c r="D725" s="443">
        <f>_xlfn.XLOOKUP(B725,Códigos!$A$421:$A$483,Códigos!$B$421:$B$483,"Verificar",0)</f>
        <v>0</v>
      </c>
      <c r="E725" s="444">
        <f>_xlfn.XLOOKUP(C725,Códigos!$A$11:$A$415,Códigos!$B$11:$B$415,"Verificar",0)</f>
        <v>0</v>
      </c>
      <c r="F725" s="1289"/>
      <c r="G725" s="1239"/>
      <c r="H725" s="989">
        <f t="shared" si="25"/>
        <v>633732083</v>
      </c>
      <c r="I725" s="1049"/>
      <c r="K725" s="19"/>
    </row>
    <row r="726" spans="1:11" x14ac:dyDescent="0.2">
      <c r="A726" s="1234"/>
      <c r="B726" s="1241"/>
      <c r="C726" s="1187"/>
      <c r="D726" s="443">
        <f>_xlfn.XLOOKUP(B726,Códigos!$A$421:$A$483,Códigos!$B$421:$B$483,"Verificar",0)</f>
        <v>0</v>
      </c>
      <c r="E726" s="444">
        <f>_xlfn.XLOOKUP(C726,Códigos!$A$11:$A$415,Códigos!$B$11:$B$415,"Verificar",0)</f>
        <v>0</v>
      </c>
      <c r="F726" s="1289"/>
      <c r="G726" s="1239"/>
      <c r="H726" s="989">
        <f t="shared" si="25"/>
        <v>633732083</v>
      </c>
      <c r="I726" s="1049"/>
      <c r="K726" s="19"/>
    </row>
    <row r="727" spans="1:11" x14ac:dyDescent="0.2">
      <c r="A727" s="1234"/>
      <c r="B727" s="1241"/>
      <c r="C727" s="1187"/>
      <c r="D727" s="443">
        <f>_xlfn.XLOOKUP(B727,Códigos!$A$421:$A$483,Códigos!$B$421:$B$483,"Verificar",0)</f>
        <v>0</v>
      </c>
      <c r="E727" s="444">
        <f>_xlfn.XLOOKUP(C727,Códigos!$A$11:$A$415,Códigos!$B$11:$B$415,"Verificar",0)</f>
        <v>0</v>
      </c>
      <c r="F727" s="1289"/>
      <c r="G727" s="1239"/>
      <c r="H727" s="989">
        <f t="shared" si="25"/>
        <v>633732083</v>
      </c>
      <c r="I727" s="1049"/>
      <c r="K727" s="19"/>
    </row>
    <row r="728" spans="1:11" x14ac:dyDescent="0.2">
      <c r="A728" s="1234"/>
      <c r="B728" s="1241"/>
      <c r="C728" s="1187"/>
      <c r="D728" s="443">
        <f>_xlfn.XLOOKUP(B728,Códigos!$A$421:$A$483,Códigos!$B$421:$B$483,"Verificar",0)</f>
        <v>0</v>
      </c>
      <c r="E728" s="444">
        <f>_xlfn.XLOOKUP(C728,Códigos!$A$11:$A$415,Códigos!$B$11:$B$415,"Verificar",0)</f>
        <v>0</v>
      </c>
      <c r="F728" s="1289"/>
      <c r="G728" s="1239"/>
      <c r="H728" s="989">
        <f t="shared" si="25"/>
        <v>633732083</v>
      </c>
      <c r="I728" s="1049"/>
      <c r="K728" s="19"/>
    </row>
    <row r="729" spans="1:11" x14ac:dyDescent="0.2">
      <c r="A729" s="1234"/>
      <c r="B729" s="1187"/>
      <c r="C729" s="1187"/>
      <c r="D729" s="443">
        <f>_xlfn.XLOOKUP(B729,Códigos!$A$421:$A$483,Códigos!$B$421:$B$483,"Verificar",0)</f>
        <v>0</v>
      </c>
      <c r="E729" s="444">
        <f>_xlfn.XLOOKUP(C729,Códigos!$A$11:$A$415,Códigos!$B$11:$B$415,"Verificar",0)</f>
        <v>0</v>
      </c>
      <c r="F729" s="1289"/>
      <c r="G729" s="1239"/>
      <c r="H729" s="989">
        <f t="shared" si="25"/>
        <v>633732083</v>
      </c>
      <c r="I729" s="1052"/>
      <c r="K729" s="19"/>
    </row>
    <row r="730" spans="1:11" x14ac:dyDescent="0.2">
      <c r="A730" s="1234"/>
      <c r="B730" s="1241"/>
      <c r="C730" s="1187"/>
      <c r="D730" s="443">
        <f>_xlfn.XLOOKUP(B730,Códigos!$A$421:$A$483,Códigos!$B$421:$B$483,"Verificar",0)</f>
        <v>0</v>
      </c>
      <c r="E730" s="444">
        <f>_xlfn.XLOOKUP(C730,Códigos!$A$11:$A$415,Códigos!$B$11:$B$415,"Verificar",0)</f>
        <v>0</v>
      </c>
      <c r="F730" s="1289"/>
      <c r="G730" s="1239"/>
      <c r="H730" s="989">
        <f t="shared" si="25"/>
        <v>633732083</v>
      </c>
      <c r="I730" s="1049"/>
      <c r="K730" s="19"/>
    </row>
    <row r="731" spans="1:11" x14ac:dyDescent="0.2">
      <c r="A731" s="1234"/>
      <c r="B731" s="1241"/>
      <c r="C731" s="1187"/>
      <c r="D731" s="443">
        <f>_xlfn.XLOOKUP(B731,Códigos!$A$421:$A$483,Códigos!$B$421:$B$483,"Verificar",0)</f>
        <v>0</v>
      </c>
      <c r="E731" s="444">
        <f>_xlfn.XLOOKUP(C731,Códigos!$A$11:$A$415,Códigos!$B$11:$B$415,"Verificar",0)</f>
        <v>0</v>
      </c>
      <c r="F731" s="1289"/>
      <c r="G731" s="1239"/>
      <c r="H731" s="989">
        <f t="shared" si="25"/>
        <v>633732083</v>
      </c>
      <c r="I731" s="1049"/>
      <c r="K731" s="19"/>
    </row>
    <row r="732" spans="1:11" x14ac:dyDescent="0.2">
      <c r="A732" s="1234"/>
      <c r="B732" s="1241"/>
      <c r="C732" s="1187"/>
      <c r="D732" s="443">
        <f>_xlfn.XLOOKUP(B732,Códigos!$A$421:$A$483,Códigos!$B$421:$B$483,"Verificar",0)</f>
        <v>0</v>
      </c>
      <c r="E732" s="444">
        <f>_xlfn.XLOOKUP(C732,Códigos!$A$11:$A$415,Códigos!$B$11:$B$415,"Verificar",0)</f>
        <v>0</v>
      </c>
      <c r="F732" s="1289"/>
      <c r="G732" s="1239"/>
      <c r="H732" s="989">
        <f t="shared" si="25"/>
        <v>633732083</v>
      </c>
      <c r="I732" s="1049"/>
      <c r="K732" s="19"/>
    </row>
    <row r="733" spans="1:11" x14ac:dyDescent="0.2">
      <c r="A733" s="1234"/>
      <c r="B733" s="1241"/>
      <c r="C733" s="1187"/>
      <c r="D733" s="443">
        <f>_xlfn.XLOOKUP(B733,Códigos!$A$421:$A$483,Códigos!$B$421:$B$483,"Verificar",0)</f>
        <v>0</v>
      </c>
      <c r="E733" s="444">
        <f>_xlfn.XLOOKUP(C733,Códigos!$A$11:$A$415,Códigos!$B$11:$B$415,"Verificar",0)</f>
        <v>0</v>
      </c>
      <c r="F733" s="1289"/>
      <c r="G733" s="1239"/>
      <c r="H733" s="989">
        <f t="shared" si="25"/>
        <v>633732083</v>
      </c>
      <c r="I733" s="1049"/>
      <c r="K733" s="19"/>
    </row>
    <row r="734" spans="1:11" x14ac:dyDescent="0.2">
      <c r="A734" s="1234"/>
      <c r="B734" s="1241"/>
      <c r="C734" s="1187"/>
      <c r="D734" s="443">
        <f>_xlfn.XLOOKUP(B734,Códigos!$A$421:$A$483,Códigos!$B$421:$B$483,"Verificar",0)</f>
        <v>0</v>
      </c>
      <c r="E734" s="444">
        <f>_xlfn.XLOOKUP(C734,Códigos!$A$11:$A$415,Códigos!$B$11:$B$415,"Verificar",0)</f>
        <v>0</v>
      </c>
      <c r="F734" s="1289"/>
      <c r="G734" s="1239"/>
      <c r="H734" s="989">
        <f t="shared" si="25"/>
        <v>633732083</v>
      </c>
      <c r="I734" s="1049"/>
      <c r="K734" s="19"/>
    </row>
    <row r="735" spans="1:11" x14ac:dyDescent="0.2">
      <c r="A735" s="1234"/>
      <c r="B735" s="1241"/>
      <c r="C735" s="1187"/>
      <c r="D735" s="443">
        <f>_xlfn.XLOOKUP(B735,Códigos!$A$421:$A$483,Códigos!$B$421:$B$483,"Verificar",0)</f>
        <v>0</v>
      </c>
      <c r="E735" s="444">
        <f>_xlfn.XLOOKUP(C735,Códigos!$A$11:$A$415,Códigos!$B$11:$B$415,"Verificar",0)</f>
        <v>0</v>
      </c>
      <c r="F735" s="1289"/>
      <c r="G735" s="1239"/>
      <c r="H735" s="989">
        <f t="shared" si="25"/>
        <v>633732083</v>
      </c>
      <c r="I735" s="1049"/>
      <c r="K735" s="19"/>
    </row>
    <row r="736" spans="1:11" x14ac:dyDescent="0.2">
      <c r="A736" s="1234"/>
      <c r="B736" s="1241"/>
      <c r="C736" s="1187"/>
      <c r="D736" s="443">
        <f>_xlfn.XLOOKUP(B736,Códigos!$A$421:$A$483,Códigos!$B$421:$B$483,"Verificar",0)</f>
        <v>0</v>
      </c>
      <c r="E736" s="444">
        <f>_xlfn.XLOOKUP(C736,Códigos!$A$11:$A$415,Códigos!$B$11:$B$415,"Verificar",0)</f>
        <v>0</v>
      </c>
      <c r="F736" s="1289"/>
      <c r="G736" s="1239"/>
      <c r="H736" s="989">
        <f t="shared" si="25"/>
        <v>633732083</v>
      </c>
      <c r="I736" s="1049"/>
      <c r="K736" s="19"/>
    </row>
    <row r="737" spans="1:11" x14ac:dyDescent="0.2">
      <c r="A737" s="1234"/>
      <c r="B737" s="1241"/>
      <c r="C737" s="1187"/>
      <c r="D737" s="443">
        <f>_xlfn.XLOOKUP(B737,Códigos!$A$421:$A$483,Códigos!$B$421:$B$483,"Verificar",0)</f>
        <v>0</v>
      </c>
      <c r="E737" s="444">
        <f>_xlfn.XLOOKUP(C737,Códigos!$A$11:$A$415,Códigos!$B$11:$B$415,"Verificar",0)</f>
        <v>0</v>
      </c>
      <c r="F737" s="1289"/>
      <c r="G737" s="1239"/>
      <c r="H737" s="989">
        <f t="shared" si="25"/>
        <v>633732083</v>
      </c>
      <c r="I737" s="1049"/>
      <c r="K737" s="19"/>
    </row>
    <row r="738" spans="1:11" x14ac:dyDescent="0.2">
      <c r="A738" s="1237"/>
      <c r="B738" s="1241"/>
      <c r="C738" s="1187"/>
      <c r="D738" s="443">
        <f>_xlfn.XLOOKUP(B738,Códigos!$A$421:$A$483,Códigos!$B$421:$B$483,"Verificar",0)</f>
        <v>0</v>
      </c>
      <c r="E738" s="444">
        <f>_xlfn.XLOOKUP(C738,Códigos!$A$11:$A$415,Códigos!$B$11:$B$415,"Verificar",0)</f>
        <v>0</v>
      </c>
      <c r="F738" s="1289"/>
      <c r="G738" s="1239"/>
      <c r="H738" s="989">
        <f t="shared" si="25"/>
        <v>633732083</v>
      </c>
      <c r="I738" s="1049"/>
      <c r="K738" s="19"/>
    </row>
    <row r="739" spans="1:11" x14ac:dyDescent="0.2">
      <c r="A739" s="1237"/>
      <c r="B739" s="1241"/>
      <c r="C739" s="1187"/>
      <c r="D739" s="443">
        <f>_xlfn.XLOOKUP(B739,Códigos!$A$421:$A$483,Códigos!$B$421:$B$483,"Verificar",0)</f>
        <v>0</v>
      </c>
      <c r="E739" s="444">
        <f>_xlfn.XLOOKUP(C739,Códigos!$A$11:$A$415,Códigos!$B$11:$B$415,"Verificar",0)</f>
        <v>0</v>
      </c>
      <c r="F739" s="1289"/>
      <c r="G739" s="1239"/>
      <c r="H739" s="989">
        <f t="shared" si="25"/>
        <v>633732083</v>
      </c>
      <c r="I739" s="1049"/>
      <c r="K739" s="19"/>
    </row>
    <row r="740" spans="1:11" x14ac:dyDescent="0.2">
      <c r="A740" s="1237"/>
      <c r="B740" s="1241"/>
      <c r="C740" s="1187"/>
      <c r="D740" s="443">
        <f>_xlfn.XLOOKUP(B740,Códigos!$A$421:$A$483,Códigos!$B$421:$B$483,"Verificar",0)</f>
        <v>0</v>
      </c>
      <c r="E740" s="444">
        <f>_xlfn.XLOOKUP(C740,Códigos!$A$11:$A$415,Códigos!$B$11:$B$415,"Verificar",0)</f>
        <v>0</v>
      </c>
      <c r="F740" s="1289"/>
      <c r="G740" s="1239"/>
      <c r="H740" s="989">
        <f t="shared" si="25"/>
        <v>633732083</v>
      </c>
      <c r="I740" s="1049"/>
      <c r="K740" s="19"/>
    </row>
    <row r="741" spans="1:11" x14ac:dyDescent="0.2">
      <c r="A741" s="1237"/>
      <c r="B741" s="1241"/>
      <c r="C741" s="1187"/>
      <c r="D741" s="443">
        <f>_xlfn.XLOOKUP(B741,Códigos!$A$421:$A$483,Códigos!$B$421:$B$483,"Verificar",0)</f>
        <v>0</v>
      </c>
      <c r="E741" s="444">
        <f>_xlfn.XLOOKUP(C741,Códigos!$A$11:$A$415,Códigos!$B$11:$B$415,"Verificar",0)</f>
        <v>0</v>
      </c>
      <c r="F741" s="1289"/>
      <c r="G741" s="1239"/>
      <c r="H741" s="989">
        <f t="shared" si="25"/>
        <v>633732083</v>
      </c>
      <c r="I741" s="1049"/>
      <c r="K741" s="19"/>
    </row>
    <row r="742" spans="1:11" x14ac:dyDescent="0.2">
      <c r="A742" s="1237"/>
      <c r="B742" s="1241"/>
      <c r="C742" s="1187"/>
      <c r="D742" s="443">
        <f>_xlfn.XLOOKUP(B742,Códigos!$A$421:$A$483,Códigos!$B$421:$B$483,"Verificar",0)</f>
        <v>0</v>
      </c>
      <c r="E742" s="444">
        <f>_xlfn.XLOOKUP(C742,Códigos!$A$11:$A$415,Códigos!$B$11:$B$415,"Verificar",0)</f>
        <v>0</v>
      </c>
      <c r="F742" s="1289"/>
      <c r="G742" s="1239"/>
      <c r="H742" s="989">
        <f t="shared" si="25"/>
        <v>633732083</v>
      </c>
      <c r="I742" s="1049"/>
      <c r="K742" s="19"/>
    </row>
    <row r="743" spans="1:11" x14ac:dyDescent="0.2">
      <c r="A743" s="1237"/>
      <c r="B743" s="1241"/>
      <c r="C743" s="1187"/>
      <c r="D743" s="443">
        <f>_xlfn.XLOOKUP(B743,Códigos!$A$421:$A$483,Códigos!$B$421:$B$483,"Verificar",0)</f>
        <v>0</v>
      </c>
      <c r="E743" s="444">
        <f>_xlfn.XLOOKUP(C743,Códigos!$A$11:$A$415,Códigos!$B$11:$B$415,"Verificar",0)</f>
        <v>0</v>
      </c>
      <c r="F743" s="1289"/>
      <c r="G743" s="1239"/>
      <c r="H743" s="989">
        <f t="shared" si="25"/>
        <v>633732083</v>
      </c>
      <c r="I743" s="1049"/>
      <c r="K743" s="19"/>
    </row>
    <row r="744" spans="1:11" x14ac:dyDescent="0.2">
      <c r="A744" s="1237"/>
      <c r="B744" s="1241"/>
      <c r="C744" s="1187"/>
      <c r="D744" s="443">
        <f>_xlfn.XLOOKUP(B744,Códigos!$A$421:$A$483,Códigos!$B$421:$B$483,"Verificar",0)</f>
        <v>0</v>
      </c>
      <c r="E744" s="444">
        <f>_xlfn.XLOOKUP(C744,Códigos!$A$11:$A$415,Códigos!$B$11:$B$415,"Verificar",0)</f>
        <v>0</v>
      </c>
      <c r="F744" s="1289"/>
      <c r="G744" s="1239"/>
      <c r="H744" s="989">
        <f t="shared" si="25"/>
        <v>633732083</v>
      </c>
      <c r="I744" s="1049"/>
      <c r="K744" s="19"/>
    </row>
    <row r="745" spans="1:11" x14ac:dyDescent="0.2">
      <c r="A745" s="1237"/>
      <c r="B745" s="1241"/>
      <c r="C745" s="1187"/>
      <c r="D745" s="443">
        <f>_xlfn.XLOOKUP(B745,Códigos!$A$421:$A$483,Códigos!$B$421:$B$483,"Verificar",0)</f>
        <v>0</v>
      </c>
      <c r="E745" s="444">
        <f>_xlfn.XLOOKUP(C745,Códigos!$A$11:$A$415,Códigos!$B$11:$B$415,"Verificar",0)</f>
        <v>0</v>
      </c>
      <c r="F745" s="1289"/>
      <c r="G745" s="1239"/>
      <c r="H745" s="989">
        <f t="shared" si="25"/>
        <v>633732083</v>
      </c>
      <c r="I745" s="1052"/>
      <c r="K745" s="19"/>
    </row>
    <row r="746" spans="1:11" x14ac:dyDescent="0.2">
      <c r="A746" s="1237"/>
      <c r="B746" s="1241"/>
      <c r="C746" s="1187"/>
      <c r="D746" s="443">
        <f>_xlfn.XLOOKUP(B746,Códigos!$A$421:$A$483,Códigos!$B$421:$B$483,"Verificar",0)</f>
        <v>0</v>
      </c>
      <c r="E746" s="444">
        <f>_xlfn.XLOOKUP(C746,Códigos!$A$11:$A$415,Códigos!$B$11:$B$415,"Verificar",0)</f>
        <v>0</v>
      </c>
      <c r="F746" s="1289"/>
      <c r="G746" s="1239"/>
      <c r="H746" s="989">
        <f t="shared" si="25"/>
        <v>633732083</v>
      </c>
      <c r="I746" s="1049"/>
      <c r="K746" s="19"/>
    </row>
    <row r="747" spans="1:11" x14ac:dyDescent="0.2">
      <c r="A747" s="1237"/>
      <c r="B747" s="1241"/>
      <c r="C747" s="1187"/>
      <c r="D747" s="443">
        <f>_xlfn.XLOOKUP(B747,Códigos!$A$421:$A$483,Códigos!$B$421:$B$483,"Verificar",0)</f>
        <v>0</v>
      </c>
      <c r="E747" s="444">
        <f>_xlfn.XLOOKUP(C747,Códigos!$A$11:$A$415,Códigos!$B$11:$B$415,"Verificar",0)</f>
        <v>0</v>
      </c>
      <c r="F747" s="1289"/>
      <c r="G747" s="1239"/>
      <c r="H747" s="989">
        <f t="shared" si="25"/>
        <v>633732083</v>
      </c>
      <c r="I747" s="1049"/>
      <c r="K747" s="19"/>
    </row>
    <row r="748" spans="1:11" x14ac:dyDescent="0.2">
      <c r="A748" s="1237"/>
      <c r="B748" s="1241"/>
      <c r="C748" s="1187"/>
      <c r="D748" s="443">
        <f>_xlfn.XLOOKUP(B748,Códigos!$A$421:$A$483,Códigos!$B$421:$B$483,"Verificar",0)</f>
        <v>0</v>
      </c>
      <c r="E748" s="444">
        <f>_xlfn.XLOOKUP(C748,Códigos!$A$11:$A$415,Códigos!$B$11:$B$415,"Verificar",0)</f>
        <v>0</v>
      </c>
      <c r="F748" s="1289"/>
      <c r="G748" s="1239"/>
      <c r="H748" s="989">
        <f t="shared" si="25"/>
        <v>633732083</v>
      </c>
      <c r="I748" s="1049"/>
      <c r="K748" s="19"/>
    </row>
    <row r="749" spans="1:11" x14ac:dyDescent="0.2">
      <c r="A749" s="1237"/>
      <c r="B749" s="1241"/>
      <c r="C749" s="1187"/>
      <c r="D749" s="443">
        <f>_xlfn.XLOOKUP(B749,Códigos!$A$421:$A$483,Códigos!$B$421:$B$483,"Verificar",0)</f>
        <v>0</v>
      </c>
      <c r="E749" s="444">
        <f>_xlfn.XLOOKUP(C749,Códigos!$A$11:$A$415,Códigos!$B$11:$B$415,"Verificar",0)</f>
        <v>0</v>
      </c>
      <c r="F749" s="1289"/>
      <c r="G749" s="1239"/>
      <c r="H749" s="989">
        <f t="shared" si="25"/>
        <v>633732083</v>
      </c>
      <c r="I749" s="1049"/>
      <c r="K749" s="19"/>
    </row>
    <row r="750" spans="1:11" x14ac:dyDescent="0.2">
      <c r="A750" s="1237"/>
      <c r="B750" s="1241"/>
      <c r="C750" s="1187"/>
      <c r="D750" s="443">
        <f>_xlfn.XLOOKUP(B750,Códigos!$A$421:$A$483,Códigos!$B$421:$B$483,"Verificar",0)</f>
        <v>0</v>
      </c>
      <c r="E750" s="444">
        <f>_xlfn.XLOOKUP(C750,Códigos!$A$11:$A$415,Códigos!$B$11:$B$415,"Verificar",0)</f>
        <v>0</v>
      </c>
      <c r="F750" s="1289"/>
      <c r="G750" s="1239"/>
      <c r="H750" s="989">
        <f t="shared" si="25"/>
        <v>633732083</v>
      </c>
      <c r="I750" s="1051"/>
      <c r="K750" s="19"/>
    </row>
    <row r="751" spans="1:11" x14ac:dyDescent="0.2">
      <c r="A751" s="1237"/>
      <c r="B751" s="1241"/>
      <c r="C751" s="1187"/>
      <c r="D751" s="443">
        <f>_xlfn.XLOOKUP(B751,Códigos!$A$421:$A$483,Códigos!$B$421:$B$483,"Verificar",0)</f>
        <v>0</v>
      </c>
      <c r="E751" s="444">
        <f>_xlfn.XLOOKUP(C751,Códigos!$A$11:$A$415,Códigos!$B$11:$B$415,"Verificar",0)</f>
        <v>0</v>
      </c>
      <c r="F751" s="1289"/>
      <c r="G751" s="1239"/>
      <c r="H751" s="989">
        <f t="shared" si="25"/>
        <v>633732083</v>
      </c>
      <c r="I751" s="1049"/>
      <c r="K751" s="19"/>
    </row>
    <row r="752" spans="1:11" x14ac:dyDescent="0.2">
      <c r="A752" s="1237"/>
      <c r="B752" s="1241"/>
      <c r="C752" s="1187"/>
      <c r="D752" s="443">
        <f>_xlfn.XLOOKUP(B752,Códigos!$A$421:$A$483,Códigos!$B$421:$B$483,"Verificar",0)</f>
        <v>0</v>
      </c>
      <c r="E752" s="444">
        <f>_xlfn.XLOOKUP(C752,Códigos!$A$11:$A$415,Códigos!$B$11:$B$415,"Verificar",0)</f>
        <v>0</v>
      </c>
      <c r="F752" s="1289"/>
      <c r="G752" s="1239"/>
      <c r="H752" s="989">
        <f t="shared" si="25"/>
        <v>633732083</v>
      </c>
      <c r="I752" s="1049"/>
      <c r="K752" s="19"/>
    </row>
    <row r="753" spans="1:11" x14ac:dyDescent="0.2">
      <c r="A753" s="1237"/>
      <c r="B753" s="1241"/>
      <c r="C753" s="1187"/>
      <c r="D753" s="443">
        <f>_xlfn.XLOOKUP(B753,Códigos!$A$421:$A$483,Códigos!$B$421:$B$483,"Verificar",0)</f>
        <v>0</v>
      </c>
      <c r="E753" s="444">
        <f>_xlfn.XLOOKUP(C753,Códigos!$A$11:$A$415,Códigos!$B$11:$B$415,"Verificar",0)</f>
        <v>0</v>
      </c>
      <c r="F753" s="1289"/>
      <c r="G753" s="1239"/>
      <c r="H753" s="989">
        <f t="shared" si="25"/>
        <v>633732083</v>
      </c>
      <c r="I753" s="1049"/>
      <c r="K753" s="19"/>
    </row>
    <row r="754" spans="1:11" x14ac:dyDescent="0.2">
      <c r="A754" s="1237"/>
      <c r="B754" s="1241"/>
      <c r="C754" s="1187"/>
      <c r="D754" s="443">
        <f>_xlfn.XLOOKUP(B754,Códigos!$A$421:$A$483,Códigos!$B$421:$B$483,"Verificar",0)</f>
        <v>0</v>
      </c>
      <c r="E754" s="444">
        <f>_xlfn.XLOOKUP(C754,Códigos!$A$11:$A$415,Códigos!$B$11:$B$415,"Verificar",0)</f>
        <v>0</v>
      </c>
      <c r="F754" s="1289"/>
      <c r="G754" s="1239"/>
      <c r="H754" s="989">
        <f t="shared" si="25"/>
        <v>633732083</v>
      </c>
      <c r="I754" s="1049"/>
      <c r="K754" s="19"/>
    </row>
    <row r="755" spans="1:11" x14ac:dyDescent="0.2">
      <c r="A755" s="1237"/>
      <c r="B755" s="1241"/>
      <c r="C755" s="1187"/>
      <c r="D755" s="443">
        <f>_xlfn.XLOOKUP(B755,Códigos!$A$421:$A$483,Códigos!$B$421:$B$483,"Verificar",0)</f>
        <v>0</v>
      </c>
      <c r="E755" s="444">
        <f>_xlfn.XLOOKUP(C755,Códigos!$A$11:$A$415,Códigos!$B$11:$B$415,"Verificar",0)</f>
        <v>0</v>
      </c>
      <c r="F755" s="1289"/>
      <c r="G755" s="1239"/>
      <c r="H755" s="989">
        <f t="shared" si="25"/>
        <v>633732083</v>
      </c>
      <c r="I755" s="1052"/>
      <c r="K755" s="19"/>
    </row>
    <row r="756" spans="1:11" x14ac:dyDescent="0.2">
      <c r="A756" s="1237"/>
      <c r="B756" s="1241"/>
      <c r="C756" s="1187"/>
      <c r="D756" s="443">
        <f>_xlfn.XLOOKUP(B756,Códigos!$A$421:$A$483,Códigos!$B$421:$B$483,"Verificar",0)</f>
        <v>0</v>
      </c>
      <c r="E756" s="444">
        <f>_xlfn.XLOOKUP(C756,Códigos!$A$11:$A$415,Códigos!$B$11:$B$415,"Verificar",0)</f>
        <v>0</v>
      </c>
      <c r="F756" s="1289"/>
      <c r="G756" s="1239"/>
      <c r="H756" s="989">
        <f t="shared" si="25"/>
        <v>633732083</v>
      </c>
      <c r="I756" s="1049"/>
      <c r="K756" s="19"/>
    </row>
    <row r="757" spans="1:11" x14ac:dyDescent="0.2">
      <c r="A757" s="1237"/>
      <c r="B757" s="1241"/>
      <c r="C757" s="1187"/>
      <c r="D757" s="443">
        <f>_xlfn.XLOOKUP(B757,Códigos!$A$421:$A$483,Códigos!$B$421:$B$483,"Verificar",0)</f>
        <v>0</v>
      </c>
      <c r="E757" s="444">
        <f>_xlfn.XLOOKUP(C757,Códigos!$A$11:$A$415,Códigos!$B$11:$B$415,"Verificar",0)</f>
        <v>0</v>
      </c>
      <c r="F757" s="1289"/>
      <c r="G757" s="1239"/>
      <c r="H757" s="989">
        <f t="shared" si="25"/>
        <v>633732083</v>
      </c>
      <c r="I757" s="1049"/>
      <c r="K757" s="19"/>
    </row>
    <row r="758" spans="1:11" x14ac:dyDescent="0.2">
      <c r="A758" s="1237"/>
      <c r="B758" s="1241"/>
      <c r="C758" s="1187"/>
      <c r="D758" s="443">
        <f>_xlfn.XLOOKUP(B758,Códigos!$A$421:$A$483,Códigos!$B$421:$B$483,"Verificar",0)</f>
        <v>0</v>
      </c>
      <c r="E758" s="444">
        <f>_xlfn.XLOOKUP(C758,Códigos!$A$11:$A$415,Códigos!$B$11:$B$415,"Verificar",0)</f>
        <v>0</v>
      </c>
      <c r="F758" s="1289"/>
      <c r="G758" s="1239"/>
      <c r="H758" s="989">
        <f t="shared" si="25"/>
        <v>633732083</v>
      </c>
      <c r="I758" s="1049"/>
      <c r="K758" s="19"/>
    </row>
    <row r="759" spans="1:11" x14ac:dyDescent="0.2">
      <c r="A759" s="1237"/>
      <c r="B759" s="1187"/>
      <c r="C759" s="1187"/>
      <c r="D759" s="443">
        <f>_xlfn.XLOOKUP(B759,Códigos!$A$421:$A$483,Códigos!$B$421:$B$483,"Verificar",0)</f>
        <v>0</v>
      </c>
      <c r="E759" s="444">
        <f>_xlfn.XLOOKUP(C759,Códigos!$A$11:$A$415,Códigos!$B$11:$B$415,"Verificar",0)</f>
        <v>0</v>
      </c>
      <c r="F759" s="1289"/>
      <c r="G759" s="1239"/>
      <c r="H759" s="989">
        <f t="shared" si="25"/>
        <v>633732083</v>
      </c>
      <c r="I759" s="1052"/>
      <c r="K759" s="19"/>
    </row>
    <row r="760" spans="1:11" x14ac:dyDescent="0.2">
      <c r="A760" s="1237"/>
      <c r="B760" s="1241"/>
      <c r="C760" s="1187"/>
      <c r="D760" s="443">
        <f>_xlfn.XLOOKUP(B760,Códigos!$A$421:$A$483,Códigos!$B$421:$B$483,"Verificar",0)</f>
        <v>0</v>
      </c>
      <c r="E760" s="444">
        <f>_xlfn.XLOOKUP(C760,Códigos!$A$11:$A$415,Códigos!$B$11:$B$415,"Verificar",0)</f>
        <v>0</v>
      </c>
      <c r="F760" s="1289"/>
      <c r="G760" s="1239"/>
      <c r="H760" s="989">
        <f t="shared" si="25"/>
        <v>633732083</v>
      </c>
      <c r="I760" s="1052"/>
      <c r="K760" s="19"/>
    </row>
    <row r="761" spans="1:11" x14ac:dyDescent="0.2">
      <c r="A761" s="1237"/>
      <c r="B761" s="1241"/>
      <c r="C761" s="1187"/>
      <c r="D761" s="443">
        <f>_xlfn.XLOOKUP(B761,Códigos!$A$421:$A$483,Códigos!$B$421:$B$483,"Verificar",0)</f>
        <v>0</v>
      </c>
      <c r="E761" s="444">
        <f>_xlfn.XLOOKUP(C761,Códigos!$A$11:$A$415,Códigos!$B$11:$B$415,"Verificar",0)</f>
        <v>0</v>
      </c>
      <c r="F761" s="1289"/>
      <c r="G761" s="1239"/>
      <c r="H761" s="989">
        <f t="shared" si="25"/>
        <v>633732083</v>
      </c>
      <c r="I761" s="1049"/>
      <c r="K761" s="19"/>
    </row>
    <row r="762" spans="1:11" x14ac:dyDescent="0.2">
      <c r="A762" s="1237"/>
      <c r="B762" s="1187"/>
      <c r="C762" s="1187"/>
      <c r="D762" s="443">
        <f>_xlfn.XLOOKUP(B762,Códigos!$A$421:$A$483,Códigos!$B$421:$B$483,"Verificar",0)</f>
        <v>0</v>
      </c>
      <c r="E762" s="444">
        <f>_xlfn.XLOOKUP(C762,Códigos!$A$11:$A$415,Códigos!$B$11:$B$415,"Verificar",0)</f>
        <v>0</v>
      </c>
      <c r="F762" s="1289"/>
      <c r="G762" s="1239"/>
      <c r="H762" s="989">
        <f t="shared" si="25"/>
        <v>633732083</v>
      </c>
      <c r="I762" s="1049"/>
      <c r="K762" s="19"/>
    </row>
    <row r="763" spans="1:11" x14ac:dyDescent="0.2">
      <c r="A763" s="1237"/>
      <c r="B763" s="1241"/>
      <c r="C763" s="1187"/>
      <c r="D763" s="443">
        <f>_xlfn.XLOOKUP(B763,Códigos!$A$421:$A$483,Códigos!$B$421:$B$483,"Verificar",0)</f>
        <v>0</v>
      </c>
      <c r="E763" s="444">
        <f>_xlfn.XLOOKUP(C763,Códigos!$A$11:$A$415,Códigos!$B$11:$B$415,"Verificar",0)</f>
        <v>0</v>
      </c>
      <c r="F763" s="1287"/>
      <c r="G763" s="1239"/>
      <c r="H763" s="989">
        <f t="shared" si="25"/>
        <v>633732083</v>
      </c>
      <c r="I763" s="1049"/>
      <c r="K763" s="19"/>
    </row>
    <row r="764" spans="1:11" x14ac:dyDescent="0.2">
      <c r="A764" s="1237"/>
      <c r="B764" s="1241"/>
      <c r="C764" s="1187"/>
      <c r="D764" s="1265"/>
      <c r="E764" s="1266"/>
      <c r="F764" s="1287"/>
      <c r="G764" s="1239"/>
      <c r="H764" s="989">
        <f t="shared" si="25"/>
        <v>633732083</v>
      </c>
      <c r="I764" s="1049"/>
      <c r="K764" s="19"/>
    </row>
    <row r="765" spans="1:11" x14ac:dyDescent="0.2">
      <c r="A765" s="1234"/>
      <c r="B765" s="1241"/>
      <c r="C765" s="1187"/>
      <c r="D765" s="1265"/>
      <c r="E765" s="1266"/>
      <c r="F765" s="1287"/>
      <c r="G765" s="1239"/>
      <c r="H765" s="989">
        <f t="shared" si="25"/>
        <v>633732083</v>
      </c>
      <c r="I765" s="1049"/>
      <c r="K765" s="19"/>
    </row>
    <row r="766" spans="1:11" x14ac:dyDescent="0.2">
      <c r="A766" s="1234"/>
      <c r="B766" s="1241"/>
      <c r="C766" s="1187"/>
      <c r="D766" s="1265"/>
      <c r="E766" s="1266"/>
      <c r="F766" s="1287"/>
      <c r="G766" s="1239"/>
      <c r="H766" s="989">
        <f t="shared" si="25"/>
        <v>633732083</v>
      </c>
      <c r="I766" s="1049"/>
      <c r="K766" s="19"/>
    </row>
    <row r="767" spans="1:11" x14ac:dyDescent="0.2">
      <c r="A767" s="1234"/>
      <c r="B767" s="1241"/>
      <c r="C767" s="1187"/>
      <c r="D767" s="1265"/>
      <c r="E767" s="1266"/>
      <c r="F767" s="1287"/>
      <c r="G767" s="1239"/>
      <c r="H767" s="989">
        <f t="shared" si="25"/>
        <v>633732083</v>
      </c>
      <c r="I767" s="1049"/>
      <c r="K767" s="19"/>
    </row>
    <row r="768" spans="1:11" x14ac:dyDescent="0.2">
      <c r="A768" s="1234"/>
      <c r="B768" s="1241"/>
      <c r="C768" s="1187"/>
      <c r="D768" s="1265"/>
      <c r="E768" s="1266"/>
      <c r="F768" s="1287"/>
      <c r="G768" s="1239"/>
      <c r="H768" s="989">
        <f t="shared" si="25"/>
        <v>633732083</v>
      </c>
      <c r="I768" s="1049"/>
      <c r="K768" s="19"/>
    </row>
    <row r="769" spans="1:11" x14ac:dyDescent="0.2">
      <c r="A769" s="1234"/>
      <c r="B769" s="1241"/>
      <c r="C769" s="1187"/>
      <c r="D769" s="1265"/>
      <c r="E769" s="1266"/>
      <c r="F769" s="1287"/>
      <c r="G769" s="1239"/>
      <c r="H769" s="989">
        <f t="shared" si="25"/>
        <v>633732083</v>
      </c>
      <c r="I769" s="1049"/>
      <c r="K769" s="19"/>
    </row>
    <row r="770" spans="1:11" x14ac:dyDescent="0.2">
      <c r="A770" s="1234"/>
      <c r="B770" s="1241"/>
      <c r="C770" s="1187"/>
      <c r="D770" s="1265"/>
      <c r="E770" s="1266"/>
      <c r="F770" s="1287"/>
      <c r="G770" s="1239"/>
      <c r="H770" s="989">
        <f t="shared" si="25"/>
        <v>633732083</v>
      </c>
      <c r="I770" s="1049"/>
      <c r="K770" s="19"/>
    </row>
    <row r="771" spans="1:11" x14ac:dyDescent="0.2">
      <c r="A771" s="1234"/>
      <c r="B771" s="1241"/>
      <c r="C771" s="1187"/>
      <c r="D771" s="1265"/>
      <c r="E771" s="1266"/>
      <c r="F771" s="1287"/>
      <c r="G771" s="1239"/>
      <c r="H771" s="989">
        <f t="shared" si="25"/>
        <v>633732083</v>
      </c>
      <c r="I771" s="1049"/>
      <c r="K771" s="19"/>
    </row>
    <row r="772" spans="1:11" x14ac:dyDescent="0.2">
      <c r="A772" s="1234"/>
      <c r="B772" s="1241"/>
      <c r="C772" s="1187"/>
      <c r="D772" s="1265"/>
      <c r="E772" s="1266"/>
      <c r="F772" s="1287"/>
      <c r="G772" s="1239"/>
      <c r="H772" s="989">
        <f t="shared" si="25"/>
        <v>633732083</v>
      </c>
      <c r="I772" s="1049"/>
      <c r="K772" s="19"/>
    </row>
    <row r="773" spans="1:11" x14ac:dyDescent="0.2">
      <c r="A773" s="1234"/>
      <c r="B773" s="1241"/>
      <c r="C773" s="1187"/>
      <c r="D773" s="1265"/>
      <c r="E773" s="1266"/>
      <c r="F773" s="1287"/>
      <c r="G773" s="1239"/>
      <c r="H773" s="989">
        <f t="shared" si="25"/>
        <v>633732083</v>
      </c>
      <c r="I773" s="1049"/>
      <c r="K773" s="19"/>
    </row>
    <row r="774" spans="1:11" x14ac:dyDescent="0.2">
      <c r="A774" s="1234"/>
      <c r="B774" s="1241"/>
      <c r="C774" s="1187"/>
      <c r="D774" s="1265"/>
      <c r="E774" s="1266"/>
      <c r="F774" s="1287"/>
      <c r="G774" s="1239"/>
      <c r="H774" s="989">
        <f t="shared" si="25"/>
        <v>633732083</v>
      </c>
      <c r="I774" s="1052"/>
      <c r="K774" s="19"/>
    </row>
    <row r="775" spans="1:11" x14ac:dyDescent="0.2">
      <c r="A775" s="1234"/>
      <c r="B775" s="1241"/>
      <c r="C775" s="1187"/>
      <c r="D775" s="1265"/>
      <c r="E775" s="1266"/>
      <c r="F775" s="1287"/>
      <c r="G775" s="1239"/>
      <c r="H775" s="989">
        <f t="shared" si="25"/>
        <v>633732083</v>
      </c>
      <c r="I775" s="1049"/>
      <c r="K775" s="19"/>
    </row>
    <row r="776" spans="1:11" x14ac:dyDescent="0.2">
      <c r="A776" s="1234"/>
      <c r="B776" s="1241"/>
      <c r="C776" s="1187"/>
      <c r="D776" s="1265"/>
      <c r="E776" s="1266"/>
      <c r="F776" s="1287"/>
      <c r="G776" s="1239"/>
      <c r="H776" s="989">
        <f t="shared" si="25"/>
        <v>633732083</v>
      </c>
      <c r="I776" s="1049"/>
      <c r="K776" s="19"/>
    </row>
    <row r="777" spans="1:11" x14ac:dyDescent="0.2">
      <c r="A777" s="1234"/>
      <c r="B777" s="1241"/>
      <c r="C777" s="1187"/>
      <c r="D777" s="1265"/>
      <c r="E777" s="1266"/>
      <c r="F777" s="1287"/>
      <c r="G777" s="1239"/>
      <c r="H777" s="989">
        <f t="shared" si="25"/>
        <v>633732083</v>
      </c>
      <c r="I777" s="1049"/>
      <c r="K777" s="19"/>
    </row>
    <row r="778" spans="1:11" x14ac:dyDescent="0.2">
      <c r="A778" s="1234"/>
      <c r="B778" s="1241"/>
      <c r="C778" s="1187"/>
      <c r="D778" s="1265"/>
      <c r="E778" s="1266"/>
      <c r="F778" s="1287"/>
      <c r="G778" s="1239"/>
      <c r="H778" s="989">
        <f t="shared" si="25"/>
        <v>633732083</v>
      </c>
      <c r="I778" s="1049"/>
      <c r="K778" s="19"/>
    </row>
    <row r="779" spans="1:11" x14ac:dyDescent="0.2">
      <c r="A779" s="1234"/>
      <c r="B779" s="1241"/>
      <c r="C779" s="1187"/>
      <c r="D779" s="1265"/>
      <c r="E779" s="1266"/>
      <c r="F779" s="1287"/>
      <c r="G779" s="1239"/>
      <c r="H779" s="989">
        <f t="shared" ref="H779:H844" si="26">+H778+G779</f>
        <v>633732083</v>
      </c>
      <c r="I779" s="1052"/>
      <c r="K779" s="19"/>
    </row>
    <row r="780" spans="1:11" x14ac:dyDescent="0.2">
      <c r="A780" s="1234"/>
      <c r="B780" s="1241"/>
      <c r="C780" s="1187"/>
      <c r="D780" s="1265"/>
      <c r="E780" s="1266"/>
      <c r="F780" s="1287"/>
      <c r="G780" s="1239"/>
      <c r="H780" s="989">
        <f t="shared" si="26"/>
        <v>633732083</v>
      </c>
      <c r="I780" s="1052"/>
      <c r="K780" s="19"/>
    </row>
    <row r="781" spans="1:11" x14ac:dyDescent="0.2">
      <c r="A781" s="1234"/>
      <c r="B781" s="1241"/>
      <c r="C781" s="1187"/>
      <c r="D781" s="1265"/>
      <c r="E781" s="1266"/>
      <c r="F781" s="1287"/>
      <c r="G781" s="1239"/>
      <c r="H781" s="989">
        <f t="shared" si="26"/>
        <v>633732083</v>
      </c>
      <c r="I781" s="1049"/>
      <c r="K781" s="19"/>
    </row>
    <row r="782" spans="1:11" x14ac:dyDescent="0.2">
      <c r="A782" s="1234"/>
      <c r="B782" s="1241"/>
      <c r="C782" s="1187"/>
      <c r="D782" s="1265"/>
      <c r="E782" s="1266"/>
      <c r="F782" s="1287"/>
      <c r="G782" s="1239"/>
      <c r="H782" s="989">
        <f t="shared" si="26"/>
        <v>633732083</v>
      </c>
      <c r="I782" s="1049"/>
      <c r="K782" s="19"/>
    </row>
    <row r="783" spans="1:11" x14ac:dyDescent="0.2">
      <c r="A783" s="1234"/>
      <c r="B783" s="1241"/>
      <c r="C783" s="1187"/>
      <c r="D783" s="1265"/>
      <c r="E783" s="1266"/>
      <c r="F783" s="1287"/>
      <c r="G783" s="1239"/>
      <c r="H783" s="989">
        <f t="shared" si="26"/>
        <v>633732083</v>
      </c>
      <c r="I783" s="1049"/>
      <c r="K783" s="19"/>
    </row>
    <row r="784" spans="1:11" x14ac:dyDescent="0.2">
      <c r="A784" s="1234"/>
      <c r="B784" s="1241"/>
      <c r="C784" s="1187"/>
      <c r="D784" s="1265"/>
      <c r="E784" s="1266"/>
      <c r="F784" s="1287"/>
      <c r="G784" s="1239"/>
      <c r="H784" s="989">
        <f t="shared" si="26"/>
        <v>633732083</v>
      </c>
      <c r="I784" s="1049"/>
      <c r="K784" s="19"/>
    </row>
    <row r="785" spans="1:11" x14ac:dyDescent="0.2">
      <c r="A785" s="1234"/>
      <c r="B785" s="1241"/>
      <c r="C785" s="1187"/>
      <c r="D785" s="1265"/>
      <c r="E785" s="1266"/>
      <c r="F785" s="1287"/>
      <c r="G785" s="1239"/>
      <c r="H785" s="989">
        <f t="shared" si="26"/>
        <v>633732083</v>
      </c>
      <c r="I785" s="1049"/>
      <c r="K785" s="19"/>
    </row>
    <row r="786" spans="1:11" x14ac:dyDescent="0.2">
      <c r="A786" s="1234"/>
      <c r="B786" s="1241"/>
      <c r="C786" s="1187"/>
      <c r="D786" s="1265"/>
      <c r="E786" s="1266"/>
      <c r="F786" s="1287"/>
      <c r="G786" s="1239"/>
      <c r="H786" s="989">
        <f t="shared" si="26"/>
        <v>633732083</v>
      </c>
      <c r="I786" s="1049"/>
      <c r="K786" s="19"/>
    </row>
    <row r="787" spans="1:11" x14ac:dyDescent="0.2">
      <c r="A787" s="1234"/>
      <c r="B787" s="1241"/>
      <c r="C787" s="1187"/>
      <c r="D787" s="1265"/>
      <c r="E787" s="1266"/>
      <c r="F787" s="1287"/>
      <c r="G787" s="1239"/>
      <c r="H787" s="989">
        <f t="shared" si="26"/>
        <v>633732083</v>
      </c>
      <c r="I787" s="1049"/>
      <c r="K787" s="19"/>
    </row>
    <row r="788" spans="1:11" x14ac:dyDescent="0.2">
      <c r="A788" s="1234"/>
      <c r="B788" s="1241"/>
      <c r="C788" s="1187"/>
      <c r="D788" s="1265"/>
      <c r="E788" s="1266"/>
      <c r="F788" s="1287"/>
      <c r="G788" s="1239"/>
      <c r="H788" s="989">
        <f t="shared" si="26"/>
        <v>633732083</v>
      </c>
      <c r="I788" s="1049"/>
      <c r="K788" s="19"/>
    </row>
    <row r="789" spans="1:11" x14ac:dyDescent="0.2">
      <c r="A789" s="1234"/>
      <c r="B789" s="1241"/>
      <c r="C789" s="1187"/>
      <c r="D789" s="1265"/>
      <c r="E789" s="1266"/>
      <c r="F789" s="1287"/>
      <c r="G789" s="1239"/>
      <c r="H789" s="989">
        <f t="shared" si="26"/>
        <v>633732083</v>
      </c>
      <c r="I789" s="1049"/>
      <c r="K789" s="19"/>
    </row>
    <row r="790" spans="1:11" x14ac:dyDescent="0.2">
      <c r="A790" s="1234"/>
      <c r="B790" s="1241"/>
      <c r="C790" s="1187"/>
      <c r="D790" s="1265"/>
      <c r="E790" s="1266"/>
      <c r="F790" s="1287"/>
      <c r="G790" s="1239"/>
      <c r="H790" s="989">
        <f t="shared" si="26"/>
        <v>633732083</v>
      </c>
      <c r="I790" s="1049"/>
      <c r="K790" s="19"/>
    </row>
    <row r="791" spans="1:11" x14ac:dyDescent="0.2">
      <c r="A791" s="1234"/>
      <c r="B791" s="1241"/>
      <c r="C791" s="1187"/>
      <c r="D791" s="1265"/>
      <c r="E791" s="1266"/>
      <c r="F791" s="1287"/>
      <c r="G791" s="1239"/>
      <c r="H791" s="989">
        <f t="shared" si="26"/>
        <v>633732083</v>
      </c>
      <c r="I791" s="1049"/>
      <c r="K791" s="19"/>
    </row>
    <row r="792" spans="1:11" x14ac:dyDescent="0.2">
      <c r="A792" s="1234"/>
      <c r="B792" s="1241"/>
      <c r="C792" s="1187"/>
      <c r="D792" s="1265"/>
      <c r="E792" s="1266"/>
      <c r="F792" s="1287"/>
      <c r="G792" s="1239"/>
      <c r="H792" s="989">
        <f t="shared" si="26"/>
        <v>633732083</v>
      </c>
      <c r="I792" s="1052"/>
      <c r="K792" s="19"/>
    </row>
    <row r="793" spans="1:11" x14ac:dyDescent="0.2">
      <c r="A793" s="1234"/>
      <c r="B793" s="1241"/>
      <c r="C793" s="1187"/>
      <c r="D793" s="1265"/>
      <c r="E793" s="1266"/>
      <c r="F793" s="1287"/>
      <c r="G793" s="1239"/>
      <c r="H793" s="989">
        <f t="shared" si="26"/>
        <v>633732083</v>
      </c>
      <c r="I793" s="1049"/>
      <c r="K793" s="19"/>
    </row>
    <row r="794" spans="1:11" x14ac:dyDescent="0.2">
      <c r="A794" s="1234"/>
      <c r="B794" s="1241"/>
      <c r="C794" s="1187"/>
      <c r="D794" s="1265"/>
      <c r="E794" s="1266"/>
      <c r="F794" s="1287"/>
      <c r="G794" s="1239"/>
      <c r="H794" s="989">
        <f t="shared" si="26"/>
        <v>633732083</v>
      </c>
      <c r="I794" s="1049"/>
      <c r="K794" s="19"/>
    </row>
    <row r="795" spans="1:11" x14ac:dyDescent="0.2">
      <c r="A795" s="1234"/>
      <c r="B795" s="1241"/>
      <c r="C795" s="1187"/>
      <c r="D795" s="1265"/>
      <c r="E795" s="1266"/>
      <c r="F795" s="1287"/>
      <c r="G795" s="1239"/>
      <c r="H795" s="989">
        <f t="shared" si="26"/>
        <v>633732083</v>
      </c>
      <c r="I795" s="1049"/>
      <c r="K795" s="19"/>
    </row>
    <row r="796" spans="1:11" x14ac:dyDescent="0.2">
      <c r="A796" s="1234"/>
      <c r="B796" s="1241"/>
      <c r="C796" s="1187"/>
      <c r="D796" s="1265"/>
      <c r="E796" s="1266"/>
      <c r="F796" s="1287"/>
      <c r="G796" s="1239"/>
      <c r="H796" s="989">
        <f t="shared" si="26"/>
        <v>633732083</v>
      </c>
      <c r="I796" s="1049"/>
      <c r="K796" s="19"/>
    </row>
    <row r="797" spans="1:11" x14ac:dyDescent="0.2">
      <c r="A797" s="1234"/>
      <c r="B797" s="1241"/>
      <c r="C797" s="1187"/>
      <c r="D797" s="1265"/>
      <c r="E797" s="1266"/>
      <c r="F797" s="1287"/>
      <c r="G797" s="1239"/>
      <c r="H797" s="989">
        <f t="shared" si="26"/>
        <v>633732083</v>
      </c>
      <c r="I797" s="1049"/>
      <c r="K797" s="19"/>
    </row>
    <row r="798" spans="1:11" x14ac:dyDescent="0.2">
      <c r="A798" s="1234"/>
      <c r="B798" s="1241"/>
      <c r="C798" s="1187"/>
      <c r="D798" s="1265"/>
      <c r="E798" s="1266"/>
      <c r="F798" s="1287"/>
      <c r="G798" s="1239"/>
      <c r="H798" s="989">
        <f t="shared" si="26"/>
        <v>633732083</v>
      </c>
      <c r="I798" s="1049"/>
      <c r="K798" s="19"/>
    </row>
    <row r="799" spans="1:11" x14ac:dyDescent="0.2">
      <c r="A799" s="1234"/>
      <c r="B799" s="1241"/>
      <c r="C799" s="1187"/>
      <c r="D799" s="1265"/>
      <c r="E799" s="1266"/>
      <c r="F799" s="1287"/>
      <c r="G799" s="1239"/>
      <c r="H799" s="989">
        <f t="shared" si="26"/>
        <v>633732083</v>
      </c>
      <c r="I799" s="1049"/>
      <c r="K799" s="19"/>
    </row>
    <row r="800" spans="1:11" x14ac:dyDescent="0.2">
      <c r="A800" s="1234"/>
      <c r="B800" s="1241"/>
      <c r="C800" s="1187"/>
      <c r="D800" s="1265"/>
      <c r="E800" s="1266"/>
      <c r="F800" s="1287"/>
      <c r="G800" s="1239"/>
      <c r="H800" s="989">
        <f t="shared" si="26"/>
        <v>633732083</v>
      </c>
      <c r="I800" s="1049"/>
      <c r="K800" s="19"/>
    </row>
    <row r="801" spans="1:11" x14ac:dyDescent="0.2">
      <c r="A801" s="1234"/>
      <c r="B801" s="1241"/>
      <c r="C801" s="1187"/>
      <c r="D801" s="1265"/>
      <c r="E801" s="1266"/>
      <c r="F801" s="1287"/>
      <c r="G801" s="1239"/>
      <c r="H801" s="989">
        <f t="shared" si="26"/>
        <v>633732083</v>
      </c>
      <c r="I801" s="1049"/>
      <c r="K801" s="19"/>
    </row>
    <row r="802" spans="1:11" x14ac:dyDescent="0.2">
      <c r="A802" s="1234"/>
      <c r="B802" s="1241"/>
      <c r="C802" s="1187"/>
      <c r="D802" s="1265"/>
      <c r="E802" s="1266"/>
      <c r="F802" s="1287"/>
      <c r="G802" s="1239"/>
      <c r="H802" s="989">
        <f t="shared" si="26"/>
        <v>633732083</v>
      </c>
      <c r="I802" s="1052"/>
      <c r="K802" s="19"/>
    </row>
    <row r="803" spans="1:11" x14ac:dyDescent="0.2">
      <c r="A803" s="1234"/>
      <c r="B803" s="1241"/>
      <c r="C803" s="1187"/>
      <c r="D803" s="1265"/>
      <c r="E803" s="1266"/>
      <c r="F803" s="1287"/>
      <c r="G803" s="1239"/>
      <c r="H803" s="989">
        <f t="shared" si="26"/>
        <v>633732083</v>
      </c>
      <c r="I803" s="1049"/>
      <c r="K803" s="19"/>
    </row>
    <row r="804" spans="1:11" x14ac:dyDescent="0.2">
      <c r="A804" s="1234"/>
      <c r="B804" s="1241"/>
      <c r="C804" s="1187"/>
      <c r="D804" s="1265"/>
      <c r="E804" s="1266"/>
      <c r="F804" s="1287"/>
      <c r="G804" s="1239"/>
      <c r="H804" s="989">
        <f t="shared" si="26"/>
        <v>633732083</v>
      </c>
      <c r="I804" s="1049"/>
      <c r="K804" s="19"/>
    </row>
    <row r="805" spans="1:11" x14ac:dyDescent="0.2">
      <c r="A805" s="1234"/>
      <c r="B805" s="1187"/>
      <c r="C805" s="1187"/>
      <c r="D805" s="1265"/>
      <c r="E805" s="1266"/>
      <c r="F805" s="1287"/>
      <c r="G805" s="1239"/>
      <c r="H805" s="989">
        <f t="shared" si="26"/>
        <v>633732083</v>
      </c>
      <c r="I805" s="1052"/>
      <c r="K805" s="19"/>
    </row>
    <row r="806" spans="1:11" x14ac:dyDescent="0.2">
      <c r="A806" s="1234"/>
      <c r="B806" s="1241"/>
      <c r="C806" s="1187"/>
      <c r="D806" s="1265"/>
      <c r="E806" s="1266"/>
      <c r="F806" s="1287"/>
      <c r="G806" s="1239"/>
      <c r="H806" s="989">
        <f t="shared" si="26"/>
        <v>633732083</v>
      </c>
      <c r="I806" s="1049"/>
      <c r="K806" s="19"/>
    </row>
    <row r="807" spans="1:11" x14ac:dyDescent="0.2">
      <c r="A807" s="1234"/>
      <c r="B807" s="1241"/>
      <c r="C807" s="1187"/>
      <c r="D807" s="1265"/>
      <c r="E807" s="1266"/>
      <c r="F807" s="1287"/>
      <c r="G807" s="1239"/>
      <c r="H807" s="989">
        <f t="shared" si="26"/>
        <v>633732083</v>
      </c>
      <c r="I807" s="1049"/>
      <c r="K807" s="19"/>
    </row>
    <row r="808" spans="1:11" x14ac:dyDescent="0.2">
      <c r="A808" s="1234"/>
      <c r="B808" s="1241"/>
      <c r="C808" s="1187"/>
      <c r="D808" s="1265"/>
      <c r="E808" s="1266"/>
      <c r="F808" s="1287"/>
      <c r="G808" s="1239"/>
      <c r="H808" s="989">
        <f t="shared" si="26"/>
        <v>633732083</v>
      </c>
      <c r="I808" s="1052"/>
      <c r="K808" s="19"/>
    </row>
    <row r="809" spans="1:11" x14ac:dyDescent="0.2">
      <c r="A809" s="1234"/>
      <c r="B809" s="1241"/>
      <c r="C809" s="1187"/>
      <c r="D809" s="1265"/>
      <c r="E809" s="1266"/>
      <c r="F809" s="1287"/>
      <c r="G809" s="1239"/>
      <c r="H809" s="989">
        <f t="shared" si="26"/>
        <v>633732083</v>
      </c>
      <c r="I809" s="1052"/>
      <c r="K809" s="19"/>
    </row>
    <row r="810" spans="1:11" x14ac:dyDescent="0.2">
      <c r="A810" s="1234"/>
      <c r="B810" s="1241"/>
      <c r="C810" s="1187"/>
      <c r="D810" s="1265"/>
      <c r="E810" s="1266"/>
      <c r="F810" s="1287"/>
      <c r="G810" s="1239"/>
      <c r="H810" s="989">
        <f t="shared" si="26"/>
        <v>633732083</v>
      </c>
      <c r="I810" s="1049"/>
      <c r="K810" s="19"/>
    </row>
    <row r="811" spans="1:11" x14ac:dyDescent="0.2">
      <c r="A811" s="1234"/>
      <c r="B811" s="1241"/>
      <c r="C811" s="1187"/>
      <c r="D811" s="1265"/>
      <c r="E811" s="1266"/>
      <c r="F811" s="1287"/>
      <c r="G811" s="1239"/>
      <c r="H811" s="989">
        <f t="shared" si="26"/>
        <v>633732083</v>
      </c>
      <c r="I811" s="1049"/>
      <c r="K811" s="19"/>
    </row>
    <row r="812" spans="1:11" x14ac:dyDescent="0.2">
      <c r="A812" s="1234"/>
      <c r="B812" s="1241"/>
      <c r="C812" s="1187"/>
      <c r="D812" s="1265"/>
      <c r="E812" s="1266"/>
      <c r="F812" s="1287"/>
      <c r="G812" s="1239"/>
      <c r="H812" s="989">
        <f t="shared" si="26"/>
        <v>633732083</v>
      </c>
      <c r="I812" s="1049"/>
      <c r="K812" s="19"/>
    </row>
    <row r="813" spans="1:11" x14ac:dyDescent="0.2">
      <c r="A813" s="1234"/>
      <c r="B813" s="1241"/>
      <c r="C813" s="1187"/>
      <c r="D813" s="1265"/>
      <c r="E813" s="1266"/>
      <c r="F813" s="1287"/>
      <c r="G813" s="1239"/>
      <c r="H813" s="989">
        <f t="shared" si="26"/>
        <v>633732083</v>
      </c>
      <c r="I813" s="1049"/>
      <c r="K813" s="19"/>
    </row>
    <row r="814" spans="1:11" x14ac:dyDescent="0.2">
      <c r="A814" s="1236"/>
      <c r="B814" s="1241"/>
      <c r="C814" s="1187"/>
      <c r="D814" s="1265"/>
      <c r="E814" s="1266"/>
      <c r="F814" s="1287"/>
      <c r="G814" s="1239"/>
      <c r="H814" s="989">
        <f t="shared" si="26"/>
        <v>633732083</v>
      </c>
      <c r="I814" s="1049"/>
      <c r="K814" s="19"/>
    </row>
    <row r="815" spans="1:11" x14ac:dyDescent="0.2">
      <c r="A815" s="1236"/>
      <c r="B815" s="1241"/>
      <c r="C815" s="1187"/>
      <c r="D815" s="1265"/>
      <c r="E815" s="1266"/>
      <c r="F815" s="1287"/>
      <c r="G815" s="1239"/>
      <c r="H815" s="989">
        <f t="shared" si="26"/>
        <v>633732083</v>
      </c>
      <c r="I815" s="1049"/>
      <c r="K815" s="19"/>
    </row>
    <row r="816" spans="1:11" x14ac:dyDescent="0.2">
      <c r="A816" s="1236"/>
      <c r="B816" s="1241"/>
      <c r="C816" s="1187"/>
      <c r="D816" s="1265"/>
      <c r="E816" s="1266"/>
      <c r="F816" s="1287"/>
      <c r="G816" s="1239"/>
      <c r="H816" s="989">
        <f t="shared" si="26"/>
        <v>633732083</v>
      </c>
      <c r="I816" s="1049"/>
      <c r="K816" s="19"/>
    </row>
    <row r="817" spans="1:11" x14ac:dyDescent="0.2">
      <c r="A817" s="1236"/>
      <c r="B817" s="1241"/>
      <c r="C817" s="1187"/>
      <c r="D817" s="1265"/>
      <c r="E817" s="1266"/>
      <c r="F817" s="1287"/>
      <c r="G817" s="1239"/>
      <c r="H817" s="989">
        <f t="shared" si="26"/>
        <v>633732083</v>
      </c>
      <c r="I817" s="1049"/>
      <c r="K817" s="19"/>
    </row>
    <row r="818" spans="1:11" x14ac:dyDescent="0.2">
      <c r="A818" s="1236"/>
      <c r="B818" s="1241"/>
      <c r="C818" s="1187"/>
      <c r="D818" s="1265"/>
      <c r="E818" s="1266"/>
      <c r="F818" s="1287"/>
      <c r="G818" s="1239"/>
      <c r="H818" s="989">
        <f t="shared" si="26"/>
        <v>633732083</v>
      </c>
      <c r="I818" s="1049"/>
      <c r="K818" s="19"/>
    </row>
    <row r="819" spans="1:11" x14ac:dyDescent="0.2">
      <c r="A819" s="1236"/>
      <c r="B819" s="1241"/>
      <c r="C819" s="1187"/>
      <c r="D819" s="1265"/>
      <c r="E819" s="1266"/>
      <c r="F819" s="1287"/>
      <c r="G819" s="1239"/>
      <c r="H819" s="989">
        <f t="shared" si="26"/>
        <v>633732083</v>
      </c>
      <c r="I819" s="1049"/>
      <c r="K819" s="19"/>
    </row>
    <row r="820" spans="1:11" x14ac:dyDescent="0.2">
      <c r="A820" s="1236"/>
      <c r="B820" s="1241"/>
      <c r="C820" s="1187"/>
      <c r="D820" s="1265"/>
      <c r="E820" s="1266"/>
      <c r="F820" s="1287"/>
      <c r="G820" s="1239"/>
      <c r="H820" s="989">
        <f t="shared" si="26"/>
        <v>633732083</v>
      </c>
      <c r="I820" s="1049"/>
      <c r="K820" s="19"/>
    </row>
    <row r="821" spans="1:11" x14ac:dyDescent="0.2">
      <c r="A821" s="1236"/>
      <c r="B821" s="1241"/>
      <c r="C821" s="1187"/>
      <c r="D821" s="1265"/>
      <c r="E821" s="1266"/>
      <c r="F821" s="1287"/>
      <c r="G821" s="1239"/>
      <c r="H821" s="989">
        <f t="shared" si="26"/>
        <v>633732083</v>
      </c>
      <c r="I821" s="1049"/>
      <c r="K821" s="19"/>
    </row>
    <row r="822" spans="1:11" x14ac:dyDescent="0.2">
      <c r="A822" s="1236"/>
      <c r="B822" s="1187"/>
      <c r="C822" s="1187"/>
      <c r="D822" s="1265"/>
      <c r="E822" s="1266"/>
      <c r="F822" s="1287"/>
      <c r="G822" s="1239"/>
      <c r="H822" s="989">
        <f t="shared" si="26"/>
        <v>633732083</v>
      </c>
      <c r="I822" s="1049"/>
      <c r="K822" s="19"/>
    </row>
    <row r="823" spans="1:11" x14ac:dyDescent="0.2">
      <c r="A823" s="1236"/>
      <c r="B823" s="1241"/>
      <c r="C823" s="1187"/>
      <c r="D823" s="1265"/>
      <c r="E823" s="1266"/>
      <c r="F823" s="1287"/>
      <c r="G823" s="1239"/>
      <c r="H823" s="989">
        <f t="shared" si="26"/>
        <v>633732083</v>
      </c>
      <c r="I823" s="1049"/>
      <c r="K823" s="19"/>
    </row>
    <row r="824" spans="1:11" x14ac:dyDescent="0.2">
      <c r="A824" s="1236"/>
      <c r="B824" s="1241"/>
      <c r="C824" s="1187"/>
      <c r="D824" s="1265"/>
      <c r="E824" s="1266"/>
      <c r="F824" s="1287"/>
      <c r="G824" s="1239"/>
      <c r="H824" s="989">
        <f t="shared" si="26"/>
        <v>633732083</v>
      </c>
      <c r="I824" s="1049"/>
      <c r="K824" s="19"/>
    </row>
    <row r="825" spans="1:11" x14ac:dyDescent="0.2">
      <c r="A825" s="1236"/>
      <c r="B825" s="1241"/>
      <c r="C825" s="1187"/>
      <c r="D825" s="1265"/>
      <c r="E825" s="1266"/>
      <c r="F825" s="1287"/>
      <c r="G825" s="1239"/>
      <c r="H825" s="989">
        <f t="shared" si="26"/>
        <v>633732083</v>
      </c>
      <c r="I825" s="1052"/>
      <c r="K825" s="19"/>
    </row>
    <row r="826" spans="1:11" x14ac:dyDescent="0.2">
      <c r="A826" s="1236"/>
      <c r="B826" s="1241"/>
      <c r="C826" s="1187"/>
      <c r="D826" s="1265"/>
      <c r="E826" s="1266"/>
      <c r="F826" s="1287"/>
      <c r="G826" s="1239"/>
      <c r="H826" s="989">
        <f t="shared" si="26"/>
        <v>633732083</v>
      </c>
      <c r="I826" s="1049"/>
      <c r="K826" s="19"/>
    </row>
    <row r="827" spans="1:11" x14ac:dyDescent="0.2">
      <c r="A827" s="1236"/>
      <c r="B827" s="1241"/>
      <c r="C827" s="1187"/>
      <c r="D827" s="1265"/>
      <c r="E827" s="1266"/>
      <c r="F827" s="1287"/>
      <c r="G827" s="1239"/>
      <c r="H827" s="989">
        <f t="shared" si="26"/>
        <v>633732083</v>
      </c>
      <c r="I827" s="1049"/>
      <c r="K827" s="19"/>
    </row>
    <row r="828" spans="1:11" x14ac:dyDescent="0.2">
      <c r="A828" s="1236"/>
      <c r="B828" s="1241"/>
      <c r="C828" s="1187"/>
      <c r="D828" s="1265"/>
      <c r="E828" s="1266"/>
      <c r="F828" s="1287"/>
      <c r="G828" s="1239"/>
      <c r="H828" s="989">
        <f t="shared" si="26"/>
        <v>633732083</v>
      </c>
      <c r="I828" s="1049"/>
      <c r="K828" s="19"/>
    </row>
    <row r="829" spans="1:11" x14ac:dyDescent="0.2">
      <c r="A829" s="1236"/>
      <c r="B829" s="1241"/>
      <c r="C829" s="1187"/>
      <c r="D829" s="1265"/>
      <c r="E829" s="1266"/>
      <c r="F829" s="1287"/>
      <c r="G829" s="1239"/>
      <c r="H829" s="989">
        <f t="shared" si="26"/>
        <v>633732083</v>
      </c>
      <c r="I829" s="1049"/>
      <c r="K829" s="19"/>
    </row>
    <row r="830" spans="1:11" x14ac:dyDescent="0.2">
      <c r="A830" s="1236"/>
      <c r="B830" s="1241"/>
      <c r="C830" s="1187"/>
      <c r="D830" s="1265"/>
      <c r="E830" s="1266"/>
      <c r="F830" s="1287"/>
      <c r="G830" s="1239"/>
      <c r="H830" s="989">
        <f t="shared" si="26"/>
        <v>633732083</v>
      </c>
      <c r="I830" s="1049"/>
      <c r="K830" s="19"/>
    </row>
    <row r="831" spans="1:11" x14ac:dyDescent="0.2">
      <c r="A831" s="1236"/>
      <c r="B831" s="1241"/>
      <c r="C831" s="1187"/>
      <c r="D831" s="1265"/>
      <c r="E831" s="1266"/>
      <c r="F831" s="1287"/>
      <c r="G831" s="1239"/>
      <c r="H831" s="989">
        <f t="shared" si="26"/>
        <v>633732083</v>
      </c>
      <c r="I831" s="1049"/>
      <c r="K831" s="19"/>
    </row>
    <row r="832" spans="1:11" x14ac:dyDescent="0.2">
      <c r="A832" s="1236"/>
      <c r="B832" s="1241"/>
      <c r="C832" s="1187"/>
      <c r="D832" s="1265"/>
      <c r="E832" s="1266"/>
      <c r="F832" s="1287"/>
      <c r="G832" s="1239"/>
      <c r="H832" s="989">
        <f t="shared" si="26"/>
        <v>633732083</v>
      </c>
      <c r="I832" s="1049"/>
      <c r="K832" s="19"/>
    </row>
    <row r="833" spans="1:11" x14ac:dyDescent="0.2">
      <c r="A833" s="1236"/>
      <c r="B833" s="1241"/>
      <c r="C833" s="1187"/>
      <c r="D833" s="1265"/>
      <c r="E833" s="1266"/>
      <c r="F833" s="1287"/>
      <c r="G833" s="1239"/>
      <c r="H833" s="989">
        <f t="shared" si="26"/>
        <v>633732083</v>
      </c>
      <c r="I833" s="1049"/>
      <c r="K833" s="19"/>
    </row>
    <row r="834" spans="1:11" x14ac:dyDescent="0.2">
      <c r="A834" s="1236"/>
      <c r="B834" s="1241"/>
      <c r="C834" s="1187"/>
      <c r="D834" s="1265"/>
      <c r="E834" s="1266"/>
      <c r="F834" s="1287"/>
      <c r="G834" s="1239"/>
      <c r="H834" s="989">
        <f t="shared" si="26"/>
        <v>633732083</v>
      </c>
      <c r="I834" s="1049"/>
      <c r="K834" s="19"/>
    </row>
    <row r="835" spans="1:11" x14ac:dyDescent="0.2">
      <c r="A835" s="1236"/>
      <c r="B835" s="1241"/>
      <c r="C835" s="1187"/>
      <c r="D835" s="1265"/>
      <c r="E835" s="1266"/>
      <c r="F835" s="1287"/>
      <c r="G835" s="1239"/>
      <c r="H835" s="989">
        <f t="shared" si="26"/>
        <v>633732083</v>
      </c>
      <c r="I835" s="1049"/>
      <c r="K835" s="19"/>
    </row>
    <row r="836" spans="1:11" x14ac:dyDescent="0.2">
      <c r="A836" s="1236"/>
      <c r="B836" s="1241"/>
      <c r="C836" s="1187"/>
      <c r="D836" s="1265"/>
      <c r="E836" s="1266"/>
      <c r="F836" s="1287"/>
      <c r="G836" s="1239"/>
      <c r="H836" s="989">
        <f t="shared" si="26"/>
        <v>633732083</v>
      </c>
      <c r="I836" s="1049"/>
      <c r="K836" s="19"/>
    </row>
    <row r="837" spans="1:11" x14ac:dyDescent="0.2">
      <c r="A837" s="1236"/>
      <c r="B837" s="1241"/>
      <c r="C837" s="1187"/>
      <c r="D837" s="1265"/>
      <c r="E837" s="1266"/>
      <c r="F837" s="1287"/>
      <c r="G837" s="1239"/>
      <c r="H837" s="989">
        <f t="shared" si="26"/>
        <v>633732083</v>
      </c>
      <c r="I837" s="1049"/>
      <c r="K837" s="19"/>
    </row>
    <row r="838" spans="1:11" x14ac:dyDescent="0.2">
      <c r="A838" s="1236"/>
      <c r="B838" s="1241"/>
      <c r="C838" s="1187"/>
      <c r="D838" s="1265"/>
      <c r="E838" s="1266"/>
      <c r="F838" s="1287"/>
      <c r="G838" s="1239"/>
      <c r="H838" s="989">
        <f t="shared" si="26"/>
        <v>633732083</v>
      </c>
      <c r="I838" s="1049"/>
      <c r="K838" s="19"/>
    </row>
    <row r="839" spans="1:11" x14ac:dyDescent="0.2">
      <c r="A839" s="1236"/>
      <c r="B839" s="1241"/>
      <c r="C839" s="1187"/>
      <c r="D839" s="1265"/>
      <c r="E839" s="1266"/>
      <c r="F839" s="1287"/>
      <c r="G839" s="1239"/>
      <c r="H839" s="989">
        <f t="shared" si="26"/>
        <v>633732083</v>
      </c>
      <c r="I839" s="1049"/>
      <c r="K839" s="19"/>
    </row>
    <row r="840" spans="1:11" x14ac:dyDescent="0.2">
      <c r="A840" s="1236"/>
      <c r="B840" s="1241"/>
      <c r="C840" s="1187"/>
      <c r="D840" s="1265"/>
      <c r="E840" s="1266"/>
      <c r="F840" s="1287"/>
      <c r="G840" s="1239"/>
      <c r="H840" s="989">
        <f t="shared" si="26"/>
        <v>633732083</v>
      </c>
      <c r="I840" s="1049"/>
      <c r="K840" s="19"/>
    </row>
    <row r="841" spans="1:11" x14ac:dyDescent="0.2">
      <c r="A841" s="1236"/>
      <c r="B841" s="1187"/>
      <c r="C841" s="1187"/>
      <c r="D841" s="1265"/>
      <c r="E841" s="1266"/>
      <c r="F841" s="1287"/>
      <c r="G841" s="1239"/>
      <c r="H841" s="989">
        <f t="shared" si="26"/>
        <v>633732083</v>
      </c>
      <c r="I841" s="1049"/>
      <c r="K841" s="19"/>
    </row>
    <row r="842" spans="1:11" x14ac:dyDescent="0.2">
      <c r="A842" s="1236"/>
      <c r="B842" s="1241"/>
      <c r="C842" s="1187"/>
      <c r="D842" s="1265"/>
      <c r="E842" s="1266"/>
      <c r="F842" s="1287"/>
      <c r="G842" s="1239"/>
      <c r="H842" s="989">
        <f t="shared" si="26"/>
        <v>633732083</v>
      </c>
      <c r="I842" s="1049"/>
      <c r="K842" s="19"/>
    </row>
    <row r="843" spans="1:11" x14ac:dyDescent="0.2">
      <c r="A843" s="1236"/>
      <c r="B843" s="1241"/>
      <c r="C843" s="1187"/>
      <c r="D843" s="1265"/>
      <c r="E843" s="1266"/>
      <c r="F843" s="1287"/>
      <c r="G843" s="1239"/>
      <c r="H843" s="989">
        <f t="shared" si="26"/>
        <v>633732083</v>
      </c>
      <c r="I843" s="1049"/>
      <c r="K843" s="19"/>
    </row>
    <row r="844" spans="1:11" x14ac:dyDescent="0.2">
      <c r="A844" s="1236"/>
      <c r="B844" s="1241"/>
      <c r="C844" s="1187"/>
      <c r="D844" s="1265"/>
      <c r="E844" s="1266"/>
      <c r="F844" s="1287"/>
      <c r="G844" s="1239"/>
      <c r="H844" s="989">
        <f t="shared" si="26"/>
        <v>633732083</v>
      </c>
      <c r="I844" s="1049"/>
      <c r="K844" s="19"/>
    </row>
    <row r="845" spans="1:11" x14ac:dyDescent="0.2">
      <c r="A845" s="1236"/>
      <c r="B845" s="1241"/>
      <c r="C845" s="1187"/>
      <c r="D845" s="1265"/>
      <c r="E845" s="1266"/>
      <c r="F845" s="1287"/>
      <c r="G845" s="1239"/>
      <c r="H845" s="989">
        <f t="shared" ref="H845:H909" si="27">+H844+G845</f>
        <v>633732083</v>
      </c>
      <c r="I845" s="1049"/>
      <c r="K845" s="19"/>
    </row>
    <row r="846" spans="1:11" x14ac:dyDescent="0.2">
      <c r="A846" s="1234"/>
      <c r="B846" s="1241"/>
      <c r="C846" s="1187"/>
      <c r="D846" s="1265"/>
      <c r="E846" s="1266"/>
      <c r="F846" s="1287"/>
      <c r="G846" s="1239"/>
      <c r="H846" s="989">
        <f t="shared" si="27"/>
        <v>633732083</v>
      </c>
      <c r="I846" s="1049"/>
      <c r="K846" s="19"/>
    </row>
    <row r="847" spans="1:11" x14ac:dyDescent="0.2">
      <c r="A847" s="1234"/>
      <c r="B847" s="1241"/>
      <c r="C847" s="1187"/>
      <c r="D847" s="1265"/>
      <c r="E847" s="1266"/>
      <c r="F847" s="1287"/>
      <c r="G847" s="1239"/>
      <c r="H847" s="989">
        <f t="shared" si="27"/>
        <v>633732083</v>
      </c>
      <c r="I847" s="1049"/>
      <c r="K847" s="19"/>
    </row>
    <row r="848" spans="1:11" x14ac:dyDescent="0.2">
      <c r="A848" s="1234"/>
      <c r="B848" s="1241"/>
      <c r="C848" s="1187"/>
      <c r="D848" s="1265"/>
      <c r="E848" s="1266"/>
      <c r="F848" s="1287"/>
      <c r="G848" s="1239"/>
      <c r="H848" s="989">
        <f t="shared" si="27"/>
        <v>633732083</v>
      </c>
      <c r="I848" s="1049"/>
      <c r="K848" s="19"/>
    </row>
    <row r="849" spans="1:11" x14ac:dyDescent="0.2">
      <c r="A849" s="1234"/>
      <c r="B849" s="1187"/>
      <c r="C849" s="1187"/>
      <c r="D849" s="1265"/>
      <c r="E849" s="1266"/>
      <c r="F849" s="1287"/>
      <c r="G849" s="1239"/>
      <c r="H849" s="989">
        <f t="shared" si="27"/>
        <v>633732083</v>
      </c>
      <c r="I849" s="1052"/>
      <c r="K849" s="19"/>
    </row>
    <row r="850" spans="1:11" x14ac:dyDescent="0.2">
      <c r="A850" s="1234"/>
      <c r="B850" s="1241"/>
      <c r="C850" s="1187"/>
      <c r="D850" s="1265"/>
      <c r="E850" s="1266"/>
      <c r="F850" s="1287"/>
      <c r="G850" s="1239"/>
      <c r="H850" s="989">
        <f t="shared" si="27"/>
        <v>633732083</v>
      </c>
      <c r="I850" s="1049"/>
      <c r="K850" s="19"/>
    </row>
    <row r="851" spans="1:11" x14ac:dyDescent="0.2">
      <c r="A851" s="1234"/>
      <c r="B851" s="1241"/>
      <c r="C851" s="1187"/>
      <c r="D851" s="1265"/>
      <c r="E851" s="1266"/>
      <c r="F851" s="1287"/>
      <c r="G851" s="1239"/>
      <c r="H851" s="989">
        <f t="shared" si="27"/>
        <v>633732083</v>
      </c>
      <c r="I851" s="1049"/>
      <c r="K851" s="19"/>
    </row>
    <row r="852" spans="1:11" x14ac:dyDescent="0.2">
      <c r="A852" s="1234"/>
      <c r="B852" s="1241"/>
      <c r="C852" s="1187"/>
      <c r="D852" s="1265"/>
      <c r="E852" s="1266"/>
      <c r="F852" s="1287"/>
      <c r="G852" s="1239"/>
      <c r="H852" s="989">
        <f t="shared" si="27"/>
        <v>633732083</v>
      </c>
      <c r="I852" s="1049"/>
      <c r="K852" s="19"/>
    </row>
    <row r="853" spans="1:11" x14ac:dyDescent="0.2">
      <c r="A853" s="1234"/>
      <c r="B853" s="1241"/>
      <c r="C853" s="1187"/>
      <c r="D853" s="1265"/>
      <c r="E853" s="1266"/>
      <c r="F853" s="1287"/>
      <c r="G853" s="1239"/>
      <c r="H853" s="989">
        <f t="shared" si="27"/>
        <v>633732083</v>
      </c>
      <c r="I853" s="1049"/>
      <c r="K853" s="19"/>
    </row>
    <row r="854" spans="1:11" x14ac:dyDescent="0.2">
      <c r="A854" s="1234"/>
      <c r="B854" s="1241"/>
      <c r="C854" s="1187"/>
      <c r="D854" s="1265"/>
      <c r="E854" s="1266"/>
      <c r="F854" s="1287"/>
      <c r="G854" s="1239"/>
      <c r="H854" s="989">
        <f t="shared" si="27"/>
        <v>633732083</v>
      </c>
      <c r="I854" s="1049"/>
      <c r="K854" s="19"/>
    </row>
    <row r="855" spans="1:11" x14ac:dyDescent="0.2">
      <c r="A855" s="1234"/>
      <c r="B855" s="1241"/>
      <c r="C855" s="1187"/>
      <c r="D855" s="1265"/>
      <c r="E855" s="1266"/>
      <c r="F855" s="1287"/>
      <c r="G855" s="1239"/>
      <c r="H855" s="989">
        <f t="shared" si="27"/>
        <v>633732083</v>
      </c>
      <c r="I855" s="1049"/>
      <c r="K855" s="19"/>
    </row>
    <row r="856" spans="1:11" x14ac:dyDescent="0.2">
      <c r="A856" s="1234"/>
      <c r="B856" s="1241"/>
      <c r="C856" s="1187"/>
      <c r="D856" s="1265"/>
      <c r="E856" s="1266"/>
      <c r="F856" s="1287"/>
      <c r="G856" s="1239"/>
      <c r="H856" s="989">
        <f t="shared" si="27"/>
        <v>633732083</v>
      </c>
      <c r="I856" s="1049"/>
      <c r="K856" s="19"/>
    </row>
    <row r="857" spans="1:11" x14ac:dyDescent="0.2">
      <c r="A857" s="1234"/>
      <c r="B857" s="1241"/>
      <c r="C857" s="1187"/>
      <c r="D857" s="1265"/>
      <c r="E857" s="1266"/>
      <c r="F857" s="1287"/>
      <c r="G857" s="1239"/>
      <c r="H857" s="989">
        <f t="shared" si="27"/>
        <v>633732083</v>
      </c>
      <c r="I857" s="1049"/>
      <c r="K857" s="19"/>
    </row>
    <row r="858" spans="1:11" x14ac:dyDescent="0.2">
      <c r="A858" s="1234"/>
      <c r="B858" s="1241"/>
      <c r="C858" s="1187"/>
      <c r="D858" s="1265"/>
      <c r="E858" s="1266"/>
      <c r="F858" s="1287"/>
      <c r="G858" s="1239"/>
      <c r="H858" s="989">
        <f t="shared" si="27"/>
        <v>633732083</v>
      </c>
      <c r="I858" s="1049"/>
      <c r="K858" s="19"/>
    </row>
    <row r="859" spans="1:11" x14ac:dyDescent="0.2">
      <c r="A859" s="1234"/>
      <c r="B859" s="1241"/>
      <c r="C859" s="1187"/>
      <c r="D859" s="1265"/>
      <c r="E859" s="1266"/>
      <c r="F859" s="1287"/>
      <c r="G859" s="1239"/>
      <c r="H859" s="989">
        <f t="shared" si="27"/>
        <v>633732083</v>
      </c>
      <c r="I859" s="1049"/>
      <c r="K859" s="19"/>
    </row>
    <row r="860" spans="1:11" x14ac:dyDescent="0.2">
      <c r="A860" s="1234"/>
      <c r="B860" s="1241"/>
      <c r="C860" s="1187"/>
      <c r="D860" s="1265"/>
      <c r="E860" s="1266"/>
      <c r="F860" s="1287"/>
      <c r="G860" s="1239"/>
      <c r="H860" s="989">
        <f t="shared" si="27"/>
        <v>633732083</v>
      </c>
      <c r="I860" s="1049"/>
      <c r="K860" s="19"/>
    </row>
    <row r="861" spans="1:11" x14ac:dyDescent="0.2">
      <c r="A861" s="1234"/>
      <c r="B861" s="1241"/>
      <c r="C861" s="1187"/>
      <c r="D861" s="1265"/>
      <c r="E861" s="1266"/>
      <c r="F861" s="1287"/>
      <c r="G861" s="1239"/>
      <c r="H861" s="989">
        <f t="shared" si="27"/>
        <v>633732083</v>
      </c>
      <c r="I861" s="1052"/>
      <c r="K861" s="19"/>
    </row>
    <row r="862" spans="1:11" x14ac:dyDescent="0.2">
      <c r="A862" s="1234"/>
      <c r="B862" s="1241"/>
      <c r="C862" s="1187"/>
      <c r="D862" s="1265"/>
      <c r="E862" s="1266"/>
      <c r="F862" s="1287"/>
      <c r="G862" s="1239"/>
      <c r="H862" s="989">
        <f t="shared" si="27"/>
        <v>633732083</v>
      </c>
      <c r="I862" s="1052"/>
      <c r="K862" s="19"/>
    </row>
    <row r="863" spans="1:11" x14ac:dyDescent="0.2">
      <c r="A863" s="1234"/>
      <c r="B863" s="1241"/>
      <c r="C863" s="1187"/>
      <c r="D863" s="1265"/>
      <c r="E863" s="1266"/>
      <c r="F863" s="1287"/>
      <c r="G863" s="1239"/>
      <c r="H863" s="989">
        <f t="shared" si="27"/>
        <v>633732083</v>
      </c>
      <c r="I863" s="1049"/>
      <c r="K863" s="19"/>
    </row>
    <row r="864" spans="1:11" x14ac:dyDescent="0.2">
      <c r="A864" s="1234"/>
      <c r="B864" s="1241"/>
      <c r="C864" s="1187"/>
      <c r="D864" s="1265"/>
      <c r="E864" s="1266"/>
      <c r="F864" s="1287"/>
      <c r="G864" s="1239"/>
      <c r="H864" s="989">
        <f t="shared" si="27"/>
        <v>633732083</v>
      </c>
      <c r="I864" s="1049"/>
      <c r="K864" s="19"/>
    </row>
    <row r="865" spans="1:11" x14ac:dyDescent="0.2">
      <c r="A865" s="1234"/>
      <c r="B865" s="1241"/>
      <c r="C865" s="1187"/>
      <c r="D865" s="1265"/>
      <c r="E865" s="1266"/>
      <c r="F865" s="1287"/>
      <c r="G865" s="1239"/>
      <c r="H865" s="989">
        <f t="shared" si="27"/>
        <v>633732083</v>
      </c>
      <c r="I865" s="1049"/>
      <c r="K865" s="19"/>
    </row>
    <row r="866" spans="1:11" x14ac:dyDescent="0.2">
      <c r="A866" s="1234"/>
      <c r="B866" s="1241"/>
      <c r="C866" s="1187"/>
      <c r="D866" s="1265"/>
      <c r="E866" s="1266"/>
      <c r="F866" s="1287"/>
      <c r="G866" s="1239"/>
      <c r="H866" s="989">
        <f t="shared" si="27"/>
        <v>633732083</v>
      </c>
      <c r="I866" s="1049"/>
      <c r="K866" s="19"/>
    </row>
    <row r="867" spans="1:11" x14ac:dyDescent="0.2">
      <c r="A867" s="1234"/>
      <c r="B867" s="1241"/>
      <c r="C867" s="1187"/>
      <c r="D867" s="1265"/>
      <c r="E867" s="1266"/>
      <c r="F867" s="1287"/>
      <c r="G867" s="1239"/>
      <c r="H867" s="989">
        <f t="shared" si="27"/>
        <v>633732083</v>
      </c>
      <c r="I867" s="1049"/>
      <c r="K867" s="19"/>
    </row>
    <row r="868" spans="1:11" x14ac:dyDescent="0.2">
      <c r="A868" s="1234"/>
      <c r="B868" s="1241"/>
      <c r="C868" s="1187"/>
      <c r="D868" s="1265"/>
      <c r="E868" s="1266"/>
      <c r="F868" s="1287"/>
      <c r="G868" s="1239"/>
      <c r="H868" s="989">
        <f t="shared" si="27"/>
        <v>633732083</v>
      </c>
      <c r="I868" s="1049"/>
      <c r="K868" s="19"/>
    </row>
    <row r="869" spans="1:11" x14ac:dyDescent="0.2">
      <c r="A869" s="1234"/>
      <c r="B869" s="1241"/>
      <c r="C869" s="1187"/>
      <c r="D869" s="1265"/>
      <c r="E869" s="1266"/>
      <c r="F869" s="1287"/>
      <c r="G869" s="1239"/>
      <c r="H869" s="989">
        <f t="shared" si="27"/>
        <v>633732083</v>
      </c>
      <c r="I869" s="1049"/>
      <c r="K869" s="19"/>
    </row>
    <row r="870" spans="1:11" x14ac:dyDescent="0.2">
      <c r="A870" s="1234"/>
      <c r="B870" s="1241"/>
      <c r="C870" s="1187"/>
      <c r="D870" s="1265"/>
      <c r="E870" s="1266"/>
      <c r="F870" s="1287"/>
      <c r="G870" s="1239"/>
      <c r="H870" s="989">
        <f t="shared" si="27"/>
        <v>633732083</v>
      </c>
      <c r="I870" s="1049"/>
      <c r="K870" s="19"/>
    </row>
    <row r="871" spans="1:11" x14ac:dyDescent="0.2">
      <c r="A871" s="1234"/>
      <c r="B871" s="1241"/>
      <c r="C871" s="1187"/>
      <c r="D871" s="1265"/>
      <c r="E871" s="1266"/>
      <c r="F871" s="1287"/>
      <c r="G871" s="1239"/>
      <c r="H871" s="989">
        <f t="shared" si="27"/>
        <v>633732083</v>
      </c>
      <c r="I871" s="1049"/>
      <c r="K871" s="19"/>
    </row>
    <row r="872" spans="1:11" x14ac:dyDescent="0.2">
      <c r="A872" s="1234"/>
      <c r="B872" s="1241"/>
      <c r="C872" s="1187"/>
      <c r="D872" s="1265"/>
      <c r="E872" s="1266"/>
      <c r="F872" s="1287"/>
      <c r="G872" s="1239"/>
      <c r="H872" s="989">
        <f t="shared" si="27"/>
        <v>633732083</v>
      </c>
      <c r="I872" s="1049"/>
      <c r="K872" s="19"/>
    </row>
    <row r="873" spans="1:11" x14ac:dyDescent="0.2">
      <c r="A873" s="1234"/>
      <c r="B873" s="1187"/>
      <c r="C873" s="1187"/>
      <c r="D873" s="1265"/>
      <c r="E873" s="1266"/>
      <c r="F873" s="1287"/>
      <c r="G873" s="1239"/>
      <c r="H873" s="989">
        <f t="shared" si="27"/>
        <v>633732083</v>
      </c>
      <c r="I873" s="1052"/>
      <c r="K873" s="19"/>
    </row>
    <row r="874" spans="1:11" x14ac:dyDescent="0.2">
      <c r="A874" s="1234"/>
      <c r="B874" s="1241"/>
      <c r="C874" s="1187"/>
      <c r="D874" s="1265"/>
      <c r="E874" s="1266"/>
      <c r="F874" s="1287"/>
      <c r="G874" s="1239"/>
      <c r="H874" s="989">
        <f t="shared" si="27"/>
        <v>633732083</v>
      </c>
      <c r="I874" s="1049"/>
      <c r="K874" s="19"/>
    </row>
    <row r="875" spans="1:11" x14ac:dyDescent="0.2">
      <c r="A875" s="1234"/>
      <c r="B875" s="1241"/>
      <c r="C875" s="1187"/>
      <c r="D875" s="1265"/>
      <c r="E875" s="1266"/>
      <c r="F875" s="1287"/>
      <c r="G875" s="1239"/>
      <c r="H875" s="989">
        <f t="shared" si="27"/>
        <v>633732083</v>
      </c>
      <c r="I875" s="1049"/>
      <c r="K875" s="19"/>
    </row>
    <row r="876" spans="1:11" x14ac:dyDescent="0.2">
      <c r="A876" s="1234"/>
      <c r="B876" s="1241"/>
      <c r="C876" s="1187"/>
      <c r="D876" s="1265"/>
      <c r="E876" s="1266"/>
      <c r="F876" s="1287"/>
      <c r="G876" s="1239"/>
      <c r="H876" s="989">
        <f t="shared" si="27"/>
        <v>633732083</v>
      </c>
      <c r="I876" s="1049"/>
      <c r="K876" s="19"/>
    </row>
    <row r="877" spans="1:11" x14ac:dyDescent="0.2">
      <c r="A877" s="1234"/>
      <c r="B877" s="1241"/>
      <c r="C877" s="1187"/>
      <c r="D877" s="1265"/>
      <c r="E877" s="1266"/>
      <c r="F877" s="1287"/>
      <c r="G877" s="1239"/>
      <c r="H877" s="989">
        <f t="shared" si="27"/>
        <v>633732083</v>
      </c>
      <c r="I877" s="1049"/>
      <c r="K877" s="19"/>
    </row>
    <row r="878" spans="1:11" x14ac:dyDescent="0.2">
      <c r="A878" s="1234"/>
      <c r="B878" s="1241"/>
      <c r="C878" s="1187"/>
      <c r="D878" s="1265"/>
      <c r="E878" s="1266"/>
      <c r="F878" s="1287"/>
      <c r="G878" s="1239"/>
      <c r="H878" s="989">
        <f t="shared" si="27"/>
        <v>633732083</v>
      </c>
      <c r="I878" s="1049"/>
      <c r="K878" s="19"/>
    </row>
    <row r="879" spans="1:11" x14ac:dyDescent="0.2">
      <c r="A879" s="1234"/>
      <c r="B879" s="1241"/>
      <c r="C879" s="1187"/>
      <c r="D879" s="1265"/>
      <c r="E879" s="1266"/>
      <c r="F879" s="1287"/>
      <c r="G879" s="1239"/>
      <c r="H879" s="989">
        <f t="shared" si="27"/>
        <v>633732083</v>
      </c>
      <c r="I879" s="1050"/>
      <c r="K879" s="19"/>
    </row>
    <row r="880" spans="1:11" x14ac:dyDescent="0.2">
      <c r="A880" s="1234"/>
      <c r="B880" s="1241"/>
      <c r="C880" s="1187"/>
      <c r="D880" s="1265"/>
      <c r="E880" s="1266"/>
      <c r="F880" s="1287"/>
      <c r="G880" s="1239"/>
      <c r="H880" s="989">
        <f t="shared" si="27"/>
        <v>633732083</v>
      </c>
      <c r="I880" s="1050"/>
      <c r="K880" s="19"/>
    </row>
    <row r="881" spans="1:12" x14ac:dyDescent="0.2">
      <c r="A881" s="1234"/>
      <c r="B881" s="1241"/>
      <c r="C881" s="1187"/>
      <c r="D881" s="1265"/>
      <c r="E881" s="1266"/>
      <c r="F881" s="1287"/>
      <c r="G881" s="1239"/>
      <c r="H881" s="989">
        <f t="shared" si="27"/>
        <v>633732083</v>
      </c>
      <c r="I881" s="1049"/>
      <c r="K881" s="19"/>
    </row>
    <row r="882" spans="1:12" x14ac:dyDescent="0.2">
      <c r="A882" s="1234"/>
      <c r="B882" s="1241"/>
      <c r="C882" s="1187"/>
      <c r="D882" s="1265"/>
      <c r="E882" s="1266"/>
      <c r="F882" s="1287"/>
      <c r="G882" s="1239"/>
      <c r="H882" s="989">
        <f t="shared" si="27"/>
        <v>633732083</v>
      </c>
      <c r="I882" s="1049"/>
      <c r="K882" s="19"/>
    </row>
    <row r="883" spans="1:12" x14ac:dyDescent="0.2">
      <c r="A883" s="1234"/>
      <c r="B883" s="1241"/>
      <c r="C883" s="1187"/>
      <c r="D883" s="1265"/>
      <c r="E883" s="1266"/>
      <c r="F883" s="1287"/>
      <c r="G883" s="1239"/>
      <c r="H883" s="989">
        <f t="shared" si="27"/>
        <v>633732083</v>
      </c>
      <c r="I883" s="1049"/>
      <c r="K883" s="19"/>
    </row>
    <row r="884" spans="1:12" x14ac:dyDescent="0.2">
      <c r="A884" s="1234"/>
      <c r="B884" s="1241"/>
      <c r="C884" s="1187"/>
      <c r="D884" s="1265"/>
      <c r="E884" s="1266"/>
      <c r="F884" s="1287"/>
      <c r="G884" s="1239"/>
      <c r="H884" s="989">
        <f t="shared" si="27"/>
        <v>633732083</v>
      </c>
      <c r="I884" s="1052"/>
      <c r="K884" s="19"/>
    </row>
    <row r="885" spans="1:12" x14ac:dyDescent="0.2">
      <c r="A885" s="1234"/>
      <c r="B885" s="1241"/>
      <c r="C885" s="1187"/>
      <c r="D885" s="1265"/>
      <c r="E885" s="1266"/>
      <c r="F885" s="1287"/>
      <c r="G885" s="1239"/>
      <c r="H885" s="989">
        <f t="shared" si="27"/>
        <v>633732083</v>
      </c>
      <c r="I885" s="1049"/>
      <c r="K885" s="19"/>
    </row>
    <row r="886" spans="1:12" x14ac:dyDescent="0.2">
      <c r="A886" s="1234"/>
      <c r="B886" s="1241"/>
      <c r="C886" s="1187"/>
      <c r="D886" s="1265"/>
      <c r="E886" s="1266"/>
      <c r="F886" s="1287"/>
      <c r="G886" s="1239"/>
      <c r="H886" s="989">
        <f t="shared" si="27"/>
        <v>633732083</v>
      </c>
      <c r="I886" s="1052"/>
      <c r="K886" s="19"/>
    </row>
    <row r="887" spans="1:12" x14ac:dyDescent="0.2">
      <c r="A887" s="1234"/>
      <c r="B887" s="1241"/>
      <c r="C887" s="1187"/>
      <c r="D887" s="1265"/>
      <c r="E887" s="1266"/>
      <c r="F887" s="1287"/>
      <c r="G887" s="1239"/>
      <c r="H887" s="989">
        <f t="shared" si="27"/>
        <v>633732083</v>
      </c>
      <c r="I887" s="1049"/>
      <c r="K887" s="19"/>
    </row>
    <row r="888" spans="1:12" x14ac:dyDescent="0.2">
      <c r="A888" s="1234"/>
      <c r="B888" s="1241"/>
      <c r="C888" s="1187"/>
      <c r="D888" s="1265"/>
      <c r="E888" s="1266"/>
      <c r="F888" s="1287"/>
      <c r="G888" s="1239"/>
      <c r="H888" s="989">
        <f t="shared" si="27"/>
        <v>633732083</v>
      </c>
      <c r="I888" s="1049"/>
      <c r="K888" s="19"/>
    </row>
    <row r="889" spans="1:12" x14ac:dyDescent="0.2">
      <c r="A889" s="1234"/>
      <c r="B889" s="1241"/>
      <c r="C889" s="1187"/>
      <c r="D889" s="1265"/>
      <c r="E889" s="1266"/>
      <c r="F889" s="1287"/>
      <c r="G889" s="1239"/>
      <c r="H889" s="989">
        <f t="shared" si="27"/>
        <v>633732083</v>
      </c>
      <c r="I889" s="1049"/>
      <c r="K889" s="19"/>
    </row>
    <row r="890" spans="1:12" x14ac:dyDescent="0.2">
      <c r="A890" s="1234"/>
      <c r="B890" s="1241"/>
      <c r="C890" s="1187"/>
      <c r="D890" s="1265"/>
      <c r="E890" s="1266"/>
      <c r="F890" s="1287"/>
      <c r="G890" s="1239"/>
      <c r="H890" s="989">
        <f t="shared" si="27"/>
        <v>633732083</v>
      </c>
      <c r="I890" s="1049"/>
      <c r="K890" s="19"/>
    </row>
    <row r="891" spans="1:12" x14ac:dyDescent="0.2">
      <c r="A891" s="1234"/>
      <c r="B891" s="1241"/>
      <c r="C891" s="1187"/>
      <c r="D891" s="1265"/>
      <c r="E891" s="1266"/>
      <c r="F891" s="1287"/>
      <c r="G891" s="1239"/>
      <c r="H891" s="989">
        <f t="shared" si="27"/>
        <v>633732083</v>
      </c>
      <c r="I891" s="1049"/>
      <c r="K891" s="19"/>
    </row>
    <row r="892" spans="1:12" x14ac:dyDescent="0.2">
      <c r="A892" s="1234"/>
      <c r="B892" s="1241"/>
      <c r="C892" s="1187"/>
      <c r="D892" s="1265"/>
      <c r="E892" s="1266"/>
      <c r="F892" s="1287"/>
      <c r="G892" s="1239"/>
      <c r="H892" s="989">
        <f t="shared" si="27"/>
        <v>633732083</v>
      </c>
      <c r="I892" s="1049"/>
      <c r="K892" s="19"/>
      <c r="L892" s="134"/>
    </row>
    <row r="893" spans="1:12" x14ac:dyDescent="0.2">
      <c r="A893" s="1234"/>
      <c r="B893" s="1241"/>
      <c r="C893" s="1187"/>
      <c r="D893" s="1265"/>
      <c r="E893" s="1266"/>
      <c r="F893" s="1287"/>
      <c r="G893" s="1239"/>
      <c r="H893" s="989">
        <f t="shared" si="27"/>
        <v>633732083</v>
      </c>
      <c r="I893" s="1049"/>
      <c r="K893" s="19"/>
      <c r="L893" s="134"/>
    </row>
    <row r="894" spans="1:12" x14ac:dyDescent="0.2">
      <c r="A894" s="1234"/>
      <c r="B894" s="1241"/>
      <c r="C894" s="1187"/>
      <c r="D894" s="1265"/>
      <c r="E894" s="1266"/>
      <c r="F894" s="1287"/>
      <c r="G894" s="1239"/>
      <c r="H894" s="989">
        <f t="shared" si="27"/>
        <v>633732083</v>
      </c>
      <c r="I894" s="1049"/>
      <c r="K894" s="19"/>
    </row>
    <row r="895" spans="1:12" x14ac:dyDescent="0.2">
      <c r="A895" s="1234"/>
      <c r="B895" s="1241"/>
      <c r="C895" s="1187"/>
      <c r="D895" s="1265"/>
      <c r="E895" s="1266"/>
      <c r="F895" s="1287"/>
      <c r="G895" s="1239"/>
      <c r="H895" s="989">
        <f t="shared" si="27"/>
        <v>633732083</v>
      </c>
      <c r="I895" s="1049"/>
      <c r="K895" s="19"/>
    </row>
    <row r="896" spans="1:12" x14ac:dyDescent="0.2">
      <c r="A896" s="1234"/>
      <c r="B896" s="1241"/>
      <c r="C896" s="1187"/>
      <c r="D896" s="1265"/>
      <c r="E896" s="1266"/>
      <c r="F896" s="1287"/>
      <c r="G896" s="1239"/>
      <c r="H896" s="989">
        <f t="shared" si="27"/>
        <v>633732083</v>
      </c>
      <c r="I896" s="1049"/>
      <c r="K896" s="19"/>
    </row>
    <row r="897" spans="1:11" x14ac:dyDescent="0.2">
      <c r="A897" s="1234"/>
      <c r="B897" s="1241"/>
      <c r="C897" s="1187"/>
      <c r="D897" s="1265"/>
      <c r="E897" s="1266"/>
      <c r="F897" s="1287"/>
      <c r="G897" s="1239"/>
      <c r="H897" s="989">
        <f t="shared" si="27"/>
        <v>633732083</v>
      </c>
      <c r="I897" s="1049"/>
      <c r="K897" s="19"/>
    </row>
    <row r="898" spans="1:11" x14ac:dyDescent="0.2">
      <c r="A898" s="1234"/>
      <c r="B898" s="1187"/>
      <c r="C898" s="1187"/>
      <c r="D898" s="1265"/>
      <c r="E898" s="1266"/>
      <c r="F898" s="1287"/>
      <c r="G898" s="1239"/>
      <c r="H898" s="989">
        <f t="shared" si="27"/>
        <v>633732083</v>
      </c>
      <c r="I898" s="1049"/>
      <c r="K898" s="19"/>
    </row>
    <row r="899" spans="1:11" x14ac:dyDescent="0.2">
      <c r="A899" s="1234"/>
      <c r="B899" s="1241"/>
      <c r="C899" s="1187"/>
      <c r="D899" s="1265"/>
      <c r="E899" s="1266"/>
      <c r="F899" s="1287"/>
      <c r="G899" s="1239"/>
      <c r="H899" s="989">
        <f t="shared" si="27"/>
        <v>633732083</v>
      </c>
      <c r="I899" s="1049"/>
      <c r="K899" s="19"/>
    </row>
    <row r="900" spans="1:11" x14ac:dyDescent="0.2">
      <c r="A900" s="1234"/>
      <c r="B900" s="1241"/>
      <c r="C900" s="1187"/>
      <c r="D900" s="1265"/>
      <c r="E900" s="1266"/>
      <c r="F900" s="1287"/>
      <c r="G900" s="1239"/>
      <c r="H900" s="989">
        <f t="shared" si="27"/>
        <v>633732083</v>
      </c>
      <c r="I900" s="1049"/>
      <c r="K900" s="19"/>
    </row>
    <row r="901" spans="1:11" x14ac:dyDescent="0.2">
      <c r="A901" s="1234"/>
      <c r="B901" s="1241"/>
      <c r="C901" s="1187"/>
      <c r="D901" s="1265"/>
      <c r="E901" s="1266"/>
      <c r="F901" s="1287"/>
      <c r="G901" s="1239"/>
      <c r="H901" s="989">
        <f t="shared" si="27"/>
        <v>633732083</v>
      </c>
      <c r="I901" s="1049"/>
      <c r="K901" s="19"/>
    </row>
    <row r="902" spans="1:11" x14ac:dyDescent="0.2">
      <c r="A902" s="1234"/>
      <c r="B902" s="1241"/>
      <c r="C902" s="1187"/>
      <c r="D902" s="1265"/>
      <c r="E902" s="1266"/>
      <c r="F902" s="1287"/>
      <c r="G902" s="1239"/>
      <c r="H902" s="989">
        <f t="shared" si="27"/>
        <v>633732083</v>
      </c>
      <c r="I902" s="1052"/>
      <c r="K902" s="19"/>
    </row>
    <row r="903" spans="1:11" x14ac:dyDescent="0.2">
      <c r="A903" s="1234"/>
      <c r="B903" s="1241"/>
      <c r="C903" s="1187"/>
      <c r="D903" s="1265"/>
      <c r="E903" s="1266"/>
      <c r="F903" s="1287"/>
      <c r="G903" s="1239"/>
      <c r="H903" s="989">
        <f t="shared" si="27"/>
        <v>633732083</v>
      </c>
      <c r="I903" s="1049"/>
      <c r="K903" s="19"/>
    </row>
    <row r="904" spans="1:11" x14ac:dyDescent="0.2">
      <c r="A904" s="1234"/>
      <c r="B904" s="1241"/>
      <c r="C904" s="1187"/>
      <c r="D904" s="1265"/>
      <c r="E904" s="1266"/>
      <c r="F904" s="1287"/>
      <c r="G904" s="1239"/>
      <c r="H904" s="989">
        <f t="shared" si="27"/>
        <v>633732083</v>
      </c>
      <c r="I904" s="1049"/>
      <c r="K904" s="19"/>
    </row>
    <row r="905" spans="1:11" x14ac:dyDescent="0.2">
      <c r="A905" s="1234"/>
      <c r="B905" s="1241"/>
      <c r="C905" s="1187"/>
      <c r="D905" s="1265"/>
      <c r="E905" s="1266"/>
      <c r="F905" s="1287"/>
      <c r="G905" s="1239"/>
      <c r="H905" s="989">
        <f t="shared" si="27"/>
        <v>633732083</v>
      </c>
      <c r="I905" s="1049"/>
      <c r="K905" s="19"/>
    </row>
    <row r="906" spans="1:11" x14ac:dyDescent="0.2">
      <c r="A906" s="1234"/>
      <c r="B906" s="1241"/>
      <c r="C906" s="1187"/>
      <c r="D906" s="1265"/>
      <c r="E906" s="1266"/>
      <c r="F906" s="1287"/>
      <c r="G906" s="1239"/>
      <c r="H906" s="989">
        <f t="shared" si="27"/>
        <v>633732083</v>
      </c>
      <c r="I906" s="1049"/>
      <c r="K906" s="19"/>
    </row>
    <row r="907" spans="1:11" x14ac:dyDescent="0.2">
      <c r="A907" s="1234"/>
      <c r="B907" s="1241"/>
      <c r="C907" s="1187"/>
      <c r="D907" s="1265"/>
      <c r="E907" s="1266"/>
      <c r="F907" s="1287"/>
      <c r="G907" s="1239"/>
      <c r="H907" s="989">
        <f t="shared" si="27"/>
        <v>633732083</v>
      </c>
      <c r="I907" s="1049"/>
      <c r="K907" s="19"/>
    </row>
    <row r="908" spans="1:11" x14ac:dyDescent="0.2">
      <c r="A908" s="1234"/>
      <c r="B908" s="1241"/>
      <c r="C908" s="1187"/>
      <c r="D908" s="1265"/>
      <c r="E908" s="1266"/>
      <c r="F908" s="1287"/>
      <c r="G908" s="1239"/>
      <c r="H908" s="989">
        <f t="shared" si="27"/>
        <v>633732083</v>
      </c>
      <c r="I908" s="1049"/>
      <c r="K908" s="19"/>
    </row>
    <row r="909" spans="1:11" x14ac:dyDescent="0.2">
      <c r="A909" s="1234"/>
      <c r="B909" s="1241"/>
      <c r="C909" s="1187"/>
      <c r="D909" s="1265"/>
      <c r="E909" s="1266"/>
      <c r="F909" s="1287"/>
      <c r="G909" s="1239"/>
      <c r="H909" s="989">
        <f t="shared" si="27"/>
        <v>633732083</v>
      </c>
      <c r="I909" s="1049"/>
      <c r="K909" s="19"/>
    </row>
    <row r="910" spans="1:11" x14ac:dyDescent="0.2">
      <c r="A910" s="1234"/>
      <c r="B910" s="1241"/>
      <c r="C910" s="1187"/>
      <c r="D910" s="1265"/>
      <c r="E910" s="1266"/>
      <c r="F910" s="1287"/>
      <c r="G910" s="1239"/>
      <c r="H910" s="989">
        <f t="shared" ref="H910:H974" si="28">+H909+G910</f>
        <v>633732083</v>
      </c>
      <c r="I910" s="1049"/>
      <c r="K910" s="19"/>
    </row>
    <row r="911" spans="1:11" x14ac:dyDescent="0.2">
      <c r="A911" s="1234"/>
      <c r="B911" s="1241"/>
      <c r="C911" s="1187"/>
      <c r="D911" s="1265"/>
      <c r="E911" s="1266"/>
      <c r="F911" s="1287"/>
      <c r="G911" s="1239"/>
      <c r="H911" s="989">
        <f t="shared" si="28"/>
        <v>633732083</v>
      </c>
      <c r="I911" s="1052"/>
      <c r="K911" s="19"/>
    </row>
    <row r="912" spans="1:11" x14ac:dyDescent="0.2">
      <c r="A912" s="1234"/>
      <c r="B912" s="1241"/>
      <c r="C912" s="1187"/>
      <c r="D912" s="1265"/>
      <c r="E912" s="1266"/>
      <c r="F912" s="1287"/>
      <c r="G912" s="1239"/>
      <c r="H912" s="989">
        <f t="shared" si="28"/>
        <v>633732083</v>
      </c>
      <c r="I912" s="1049"/>
      <c r="K912" s="19"/>
    </row>
    <row r="913" spans="1:11" x14ac:dyDescent="0.2">
      <c r="A913" s="1234"/>
      <c r="B913" s="1241"/>
      <c r="C913" s="1187"/>
      <c r="D913" s="1265"/>
      <c r="E913" s="1266"/>
      <c r="F913" s="1287"/>
      <c r="G913" s="1239"/>
      <c r="H913" s="989">
        <f t="shared" si="28"/>
        <v>633732083</v>
      </c>
      <c r="I913" s="1049"/>
      <c r="K913" s="19"/>
    </row>
    <row r="914" spans="1:11" x14ac:dyDescent="0.2">
      <c r="A914" s="1234"/>
      <c r="B914" s="1241"/>
      <c r="C914" s="1187"/>
      <c r="D914" s="1265"/>
      <c r="E914" s="1266"/>
      <c r="F914" s="1287"/>
      <c r="G914" s="1239"/>
      <c r="H914" s="989">
        <f t="shared" si="28"/>
        <v>633732083</v>
      </c>
      <c r="I914" s="1052"/>
      <c r="K914" s="19"/>
    </row>
    <row r="915" spans="1:11" x14ac:dyDescent="0.2">
      <c r="A915" s="1234"/>
      <c r="B915" s="1241"/>
      <c r="C915" s="1187"/>
      <c r="D915" s="1265"/>
      <c r="E915" s="1266"/>
      <c r="F915" s="1287"/>
      <c r="G915" s="1239"/>
      <c r="H915" s="989">
        <f t="shared" si="28"/>
        <v>633732083</v>
      </c>
      <c r="I915" s="1049"/>
      <c r="K915" s="19"/>
    </row>
    <row r="916" spans="1:11" x14ac:dyDescent="0.2">
      <c r="A916" s="1234"/>
      <c r="B916" s="1241"/>
      <c r="C916" s="1187"/>
      <c r="D916" s="1265"/>
      <c r="E916" s="1266"/>
      <c r="F916" s="1287"/>
      <c r="G916" s="1239"/>
      <c r="H916" s="989">
        <f t="shared" si="28"/>
        <v>633732083</v>
      </c>
      <c r="I916" s="1049"/>
      <c r="K916" s="19"/>
    </row>
    <row r="917" spans="1:11" x14ac:dyDescent="0.2">
      <c r="A917" s="1234"/>
      <c r="B917" s="1241"/>
      <c r="C917" s="1187"/>
      <c r="D917" s="1265"/>
      <c r="E917" s="1266"/>
      <c r="F917" s="1287"/>
      <c r="G917" s="1239"/>
      <c r="H917" s="989">
        <f t="shared" si="28"/>
        <v>633732083</v>
      </c>
      <c r="I917" s="1049"/>
      <c r="K917" s="19"/>
    </row>
    <row r="918" spans="1:11" x14ac:dyDescent="0.2">
      <c r="A918" s="1234"/>
      <c r="B918" s="1187"/>
      <c r="C918" s="1187"/>
      <c r="D918" s="1265"/>
      <c r="E918" s="1266"/>
      <c r="F918" s="1287"/>
      <c r="G918" s="1239"/>
      <c r="H918" s="989">
        <f t="shared" si="28"/>
        <v>633732083</v>
      </c>
      <c r="I918" s="1049"/>
      <c r="K918" s="19"/>
    </row>
    <row r="919" spans="1:11" x14ac:dyDescent="0.2">
      <c r="A919" s="1234"/>
      <c r="B919" s="1241"/>
      <c r="C919" s="1187"/>
      <c r="D919" s="1265"/>
      <c r="E919" s="1266"/>
      <c r="F919" s="1287"/>
      <c r="G919" s="1239"/>
      <c r="H919" s="989">
        <f t="shared" si="28"/>
        <v>633732083</v>
      </c>
      <c r="I919" s="1049"/>
      <c r="K919" s="19"/>
    </row>
    <row r="920" spans="1:11" x14ac:dyDescent="0.2">
      <c r="A920" s="1234"/>
      <c r="B920" s="1241"/>
      <c r="C920" s="1187"/>
      <c r="D920" s="1265"/>
      <c r="E920" s="1266"/>
      <c r="F920" s="1287"/>
      <c r="G920" s="1239"/>
      <c r="H920" s="989">
        <f t="shared" si="28"/>
        <v>633732083</v>
      </c>
      <c r="I920" s="1049"/>
      <c r="K920" s="19"/>
    </row>
    <row r="921" spans="1:11" x14ac:dyDescent="0.2">
      <c r="A921" s="1234"/>
      <c r="B921" s="1241"/>
      <c r="C921" s="1187"/>
      <c r="D921" s="1265"/>
      <c r="E921" s="1266"/>
      <c r="F921" s="1287"/>
      <c r="G921" s="1239"/>
      <c r="H921" s="989">
        <f t="shared" si="28"/>
        <v>633732083</v>
      </c>
      <c r="I921" s="1049"/>
      <c r="K921" s="19"/>
    </row>
    <row r="922" spans="1:11" x14ac:dyDescent="0.2">
      <c r="A922" s="1234"/>
      <c r="B922" s="1187"/>
      <c r="C922" s="1187"/>
      <c r="D922" s="1265"/>
      <c r="E922" s="1266"/>
      <c r="F922" s="1287"/>
      <c r="G922" s="1239"/>
      <c r="H922" s="989">
        <f t="shared" si="28"/>
        <v>633732083</v>
      </c>
      <c r="I922" s="1050"/>
      <c r="K922" s="19"/>
    </row>
    <row r="923" spans="1:11" x14ac:dyDescent="0.2">
      <c r="A923" s="1234"/>
      <c r="B923" s="1241"/>
      <c r="C923" s="1187"/>
      <c r="D923" s="1265"/>
      <c r="E923" s="1266"/>
      <c r="F923" s="1287"/>
      <c r="G923" s="1239"/>
      <c r="H923" s="989">
        <f t="shared" si="28"/>
        <v>633732083</v>
      </c>
      <c r="I923" s="1049"/>
      <c r="K923" s="19"/>
    </row>
    <row r="924" spans="1:11" x14ac:dyDescent="0.2">
      <c r="A924" s="1234"/>
      <c r="B924" s="1241"/>
      <c r="C924" s="1187"/>
      <c r="D924" s="1265"/>
      <c r="E924" s="1266"/>
      <c r="F924" s="1287"/>
      <c r="G924" s="1239"/>
      <c r="H924" s="989">
        <f t="shared" si="28"/>
        <v>633732083</v>
      </c>
      <c r="I924" s="1049"/>
      <c r="K924" s="19"/>
    </row>
    <row r="925" spans="1:11" x14ac:dyDescent="0.2">
      <c r="A925" s="1236"/>
      <c r="B925" s="1241"/>
      <c r="C925" s="1187"/>
      <c r="D925" s="1265"/>
      <c r="E925" s="1266"/>
      <c r="F925" s="1287"/>
      <c r="G925" s="1239"/>
      <c r="H925" s="989">
        <f t="shared" si="28"/>
        <v>633732083</v>
      </c>
      <c r="I925" s="1049"/>
      <c r="K925" s="19"/>
    </row>
    <row r="926" spans="1:11" x14ac:dyDescent="0.2">
      <c r="A926" s="1236"/>
      <c r="B926" s="1241"/>
      <c r="C926" s="1187"/>
      <c r="D926" s="1265"/>
      <c r="E926" s="1266"/>
      <c r="F926" s="1287"/>
      <c r="G926" s="1239"/>
      <c r="H926" s="989">
        <f t="shared" si="28"/>
        <v>633732083</v>
      </c>
      <c r="I926" s="1049"/>
      <c r="K926" s="19"/>
    </row>
    <row r="927" spans="1:11" x14ac:dyDescent="0.2">
      <c r="A927" s="1236"/>
      <c r="B927" s="1187"/>
      <c r="C927" s="1187"/>
      <c r="D927" s="1265"/>
      <c r="E927" s="1266"/>
      <c r="F927" s="1287"/>
      <c r="G927" s="1239"/>
      <c r="H927" s="989">
        <f t="shared" si="28"/>
        <v>633732083</v>
      </c>
      <c r="I927" s="1052"/>
      <c r="K927" s="19"/>
    </row>
    <row r="928" spans="1:11" x14ac:dyDescent="0.2">
      <c r="A928" s="1236"/>
      <c r="B928" s="1241"/>
      <c r="C928" s="1187"/>
      <c r="D928" s="1265"/>
      <c r="E928" s="1266"/>
      <c r="F928" s="1287"/>
      <c r="G928" s="1239"/>
      <c r="H928" s="989">
        <f t="shared" si="28"/>
        <v>633732083</v>
      </c>
      <c r="I928" s="1049"/>
      <c r="K928" s="19"/>
    </row>
    <row r="929" spans="1:11" x14ac:dyDescent="0.2">
      <c r="A929" s="1236"/>
      <c r="B929" s="1241"/>
      <c r="C929" s="1187"/>
      <c r="D929" s="1265"/>
      <c r="E929" s="1266"/>
      <c r="F929" s="1287"/>
      <c r="G929" s="1239"/>
      <c r="H929" s="989">
        <f t="shared" si="28"/>
        <v>633732083</v>
      </c>
      <c r="I929" s="1049"/>
      <c r="K929" s="19"/>
    </row>
    <row r="930" spans="1:11" x14ac:dyDescent="0.2">
      <c r="A930" s="1236"/>
      <c r="B930" s="1241"/>
      <c r="C930" s="1187"/>
      <c r="D930" s="1265"/>
      <c r="E930" s="1266"/>
      <c r="F930" s="1287"/>
      <c r="G930" s="1239"/>
      <c r="H930" s="989">
        <f t="shared" si="28"/>
        <v>633732083</v>
      </c>
      <c r="I930" s="1049"/>
      <c r="K930" s="19"/>
    </row>
    <row r="931" spans="1:11" x14ac:dyDescent="0.2">
      <c r="A931" s="1234"/>
      <c r="B931" s="1241"/>
      <c r="C931" s="1187"/>
      <c r="D931" s="1265"/>
      <c r="E931" s="1266"/>
      <c r="F931" s="1287"/>
      <c r="G931" s="1239"/>
      <c r="H931" s="989">
        <f t="shared" si="28"/>
        <v>633732083</v>
      </c>
      <c r="I931" s="1049"/>
      <c r="K931" s="19"/>
    </row>
    <row r="932" spans="1:11" x14ac:dyDescent="0.2">
      <c r="A932" s="1234"/>
      <c r="B932" s="1241"/>
      <c r="C932" s="1187"/>
      <c r="D932" s="1265"/>
      <c r="E932" s="1266"/>
      <c r="F932" s="1287"/>
      <c r="G932" s="1239"/>
      <c r="H932" s="989">
        <f t="shared" si="28"/>
        <v>633732083</v>
      </c>
      <c r="I932" s="1049"/>
      <c r="K932" s="19"/>
    </row>
    <row r="933" spans="1:11" x14ac:dyDescent="0.2">
      <c r="A933" s="1234"/>
      <c r="B933" s="1241"/>
      <c r="C933" s="1187"/>
      <c r="D933" s="1265"/>
      <c r="E933" s="1266"/>
      <c r="F933" s="1287"/>
      <c r="G933" s="1239"/>
      <c r="H933" s="989">
        <f t="shared" si="28"/>
        <v>633732083</v>
      </c>
      <c r="I933" s="1052"/>
      <c r="K933" s="19"/>
    </row>
    <row r="934" spans="1:11" x14ac:dyDescent="0.2">
      <c r="A934" s="1234"/>
      <c r="B934" s="1241"/>
      <c r="C934" s="1187"/>
      <c r="D934" s="1265"/>
      <c r="E934" s="1266"/>
      <c r="F934" s="1287"/>
      <c r="G934" s="1239"/>
      <c r="H934" s="989">
        <f t="shared" si="28"/>
        <v>633732083</v>
      </c>
      <c r="I934" s="1049"/>
      <c r="K934" s="19"/>
    </row>
    <row r="935" spans="1:11" x14ac:dyDescent="0.2">
      <c r="A935" s="1234"/>
      <c r="B935" s="1241"/>
      <c r="C935" s="1187"/>
      <c r="D935" s="1265"/>
      <c r="E935" s="1266"/>
      <c r="F935" s="1287"/>
      <c r="G935" s="1239"/>
      <c r="H935" s="989">
        <f t="shared" si="28"/>
        <v>633732083</v>
      </c>
      <c r="I935" s="1049"/>
      <c r="K935" s="19"/>
    </row>
    <row r="936" spans="1:11" x14ac:dyDescent="0.2">
      <c r="A936" s="1234"/>
      <c r="B936" s="1241"/>
      <c r="C936" s="1187"/>
      <c r="D936" s="1265"/>
      <c r="E936" s="1266"/>
      <c r="F936" s="1287"/>
      <c r="G936" s="1239"/>
      <c r="H936" s="989">
        <f t="shared" si="28"/>
        <v>633732083</v>
      </c>
      <c r="I936" s="1049"/>
      <c r="K936" s="19"/>
    </row>
    <row r="937" spans="1:11" x14ac:dyDescent="0.2">
      <c r="A937" s="1234"/>
      <c r="B937" s="1241"/>
      <c r="C937" s="1187"/>
      <c r="D937" s="1265"/>
      <c r="E937" s="1266"/>
      <c r="F937" s="1287"/>
      <c r="G937" s="1239"/>
      <c r="H937" s="989">
        <f t="shared" si="28"/>
        <v>633732083</v>
      </c>
      <c r="I937" s="1049"/>
      <c r="K937" s="19"/>
    </row>
    <row r="938" spans="1:11" x14ac:dyDescent="0.2">
      <c r="A938" s="1234"/>
      <c r="B938" s="1241"/>
      <c r="C938" s="1187"/>
      <c r="D938" s="1265"/>
      <c r="E938" s="1266"/>
      <c r="F938" s="1287"/>
      <c r="G938" s="1239"/>
      <c r="H938" s="989">
        <f t="shared" si="28"/>
        <v>633732083</v>
      </c>
      <c r="I938" s="1049"/>
      <c r="K938" s="19"/>
    </row>
    <row r="939" spans="1:11" x14ac:dyDescent="0.2">
      <c r="A939" s="1234"/>
      <c r="B939" s="1241"/>
      <c r="C939" s="1187"/>
      <c r="D939" s="1265"/>
      <c r="E939" s="1266"/>
      <c r="F939" s="1287"/>
      <c r="G939" s="1239"/>
      <c r="H939" s="989">
        <f t="shared" si="28"/>
        <v>633732083</v>
      </c>
      <c r="I939" s="1049"/>
      <c r="K939" s="19"/>
    </row>
    <row r="940" spans="1:11" x14ac:dyDescent="0.2">
      <c r="A940" s="1234"/>
      <c r="B940" s="1241"/>
      <c r="C940" s="1187"/>
      <c r="D940" s="1265"/>
      <c r="E940" s="1266"/>
      <c r="F940" s="1287"/>
      <c r="G940" s="1239"/>
      <c r="H940" s="989">
        <f t="shared" si="28"/>
        <v>633732083</v>
      </c>
      <c r="I940" s="1049"/>
      <c r="K940" s="19"/>
    </row>
    <row r="941" spans="1:11" x14ac:dyDescent="0.2">
      <c r="A941" s="1234"/>
      <c r="B941" s="1187"/>
      <c r="C941" s="1187"/>
      <c r="D941" s="1265"/>
      <c r="E941" s="1266"/>
      <c r="F941" s="1287"/>
      <c r="G941" s="1239"/>
      <c r="H941" s="989">
        <f t="shared" si="28"/>
        <v>633732083</v>
      </c>
      <c r="I941" s="1052"/>
      <c r="K941" s="19"/>
    </row>
    <row r="942" spans="1:11" x14ac:dyDescent="0.2">
      <c r="A942" s="1234"/>
      <c r="B942" s="1241"/>
      <c r="C942" s="1187"/>
      <c r="D942" s="1265"/>
      <c r="E942" s="1266"/>
      <c r="F942" s="1287"/>
      <c r="G942" s="1239"/>
      <c r="H942" s="989">
        <f t="shared" si="28"/>
        <v>633732083</v>
      </c>
      <c r="I942" s="1049"/>
      <c r="K942" s="19"/>
    </row>
    <row r="943" spans="1:11" x14ac:dyDescent="0.2">
      <c r="A943" s="1234"/>
      <c r="B943" s="1241"/>
      <c r="C943" s="1187"/>
      <c r="D943" s="1265"/>
      <c r="E943" s="1266"/>
      <c r="F943" s="1287"/>
      <c r="G943" s="1239"/>
      <c r="H943" s="989">
        <f t="shared" si="28"/>
        <v>633732083</v>
      </c>
      <c r="I943" s="1049"/>
      <c r="K943" s="19"/>
    </row>
    <row r="944" spans="1:11" x14ac:dyDescent="0.2">
      <c r="A944" s="1234"/>
      <c r="B944" s="1241"/>
      <c r="C944" s="1187"/>
      <c r="D944" s="1265"/>
      <c r="E944" s="1266"/>
      <c r="F944" s="1287"/>
      <c r="G944" s="1239"/>
      <c r="H944" s="989">
        <f t="shared" si="28"/>
        <v>633732083</v>
      </c>
      <c r="I944" s="1049"/>
      <c r="K944" s="19"/>
    </row>
    <row r="945" spans="1:11" x14ac:dyDescent="0.2">
      <c r="A945" s="1234"/>
      <c r="B945" s="1241"/>
      <c r="C945" s="1187"/>
      <c r="D945" s="1265"/>
      <c r="E945" s="1266"/>
      <c r="F945" s="1287"/>
      <c r="G945" s="1239"/>
      <c r="H945" s="989">
        <f t="shared" si="28"/>
        <v>633732083</v>
      </c>
      <c r="I945" s="1049"/>
      <c r="K945" s="19"/>
    </row>
    <row r="946" spans="1:11" x14ac:dyDescent="0.2">
      <c r="A946" s="1234"/>
      <c r="B946" s="1241"/>
      <c r="C946" s="1187"/>
      <c r="D946" s="1265"/>
      <c r="E946" s="1266"/>
      <c r="F946" s="1287"/>
      <c r="G946" s="1239"/>
      <c r="H946" s="989">
        <f t="shared" si="28"/>
        <v>633732083</v>
      </c>
      <c r="I946" s="1049"/>
      <c r="K946" s="19"/>
    </row>
    <row r="947" spans="1:11" x14ac:dyDescent="0.2">
      <c r="A947" s="1234"/>
      <c r="B947" s="1241"/>
      <c r="C947" s="1187"/>
      <c r="D947" s="1265"/>
      <c r="E947" s="1266"/>
      <c r="F947" s="1287"/>
      <c r="G947" s="1239"/>
      <c r="H947" s="989">
        <f t="shared" si="28"/>
        <v>633732083</v>
      </c>
      <c r="I947" s="1049"/>
      <c r="K947" s="19"/>
    </row>
    <row r="948" spans="1:11" x14ac:dyDescent="0.2">
      <c r="A948" s="1234"/>
      <c r="B948" s="1241"/>
      <c r="C948" s="1187"/>
      <c r="D948" s="1265"/>
      <c r="E948" s="1266"/>
      <c r="F948" s="1287"/>
      <c r="G948" s="1239"/>
      <c r="H948" s="989">
        <f t="shared" si="28"/>
        <v>633732083</v>
      </c>
      <c r="I948" s="1049"/>
      <c r="K948" s="19"/>
    </row>
    <row r="949" spans="1:11" x14ac:dyDescent="0.2">
      <c r="A949" s="1234"/>
      <c r="B949" s="1241"/>
      <c r="C949" s="1187"/>
      <c r="D949" s="1265"/>
      <c r="E949" s="1266"/>
      <c r="F949" s="1287"/>
      <c r="G949" s="1239"/>
      <c r="H949" s="989">
        <f t="shared" si="28"/>
        <v>633732083</v>
      </c>
      <c r="I949" s="1049"/>
      <c r="K949" s="19"/>
    </row>
    <row r="950" spans="1:11" x14ac:dyDescent="0.2">
      <c r="A950" s="1234"/>
      <c r="B950" s="1241"/>
      <c r="C950" s="1187"/>
      <c r="D950" s="1265"/>
      <c r="E950" s="1266"/>
      <c r="F950" s="1287"/>
      <c r="G950" s="1239"/>
      <c r="H950" s="989">
        <f t="shared" si="28"/>
        <v>633732083</v>
      </c>
      <c r="I950" s="853"/>
      <c r="K950" s="19"/>
    </row>
    <row r="951" spans="1:11" x14ac:dyDescent="0.2">
      <c r="A951" s="1234"/>
      <c r="B951" s="1241"/>
      <c r="C951" s="1187"/>
      <c r="D951" s="1265"/>
      <c r="E951" s="1266"/>
      <c r="F951" s="1287"/>
      <c r="G951" s="1239"/>
      <c r="H951" s="989">
        <f t="shared" si="28"/>
        <v>633732083</v>
      </c>
      <c r="I951" s="1049"/>
      <c r="K951" s="19"/>
    </row>
    <row r="952" spans="1:11" x14ac:dyDescent="0.2">
      <c r="A952" s="1234"/>
      <c r="B952" s="1241"/>
      <c r="C952" s="1187"/>
      <c r="D952" s="1265"/>
      <c r="E952" s="1266"/>
      <c r="F952" s="1287"/>
      <c r="G952" s="1239"/>
      <c r="H952" s="989">
        <f t="shared" si="28"/>
        <v>633732083</v>
      </c>
      <c r="I952" s="1049"/>
      <c r="K952" s="19"/>
    </row>
    <row r="953" spans="1:11" x14ac:dyDescent="0.2">
      <c r="A953" s="1234"/>
      <c r="B953" s="1241"/>
      <c r="C953" s="1187"/>
      <c r="D953" s="1265"/>
      <c r="E953" s="1266"/>
      <c r="F953" s="1287"/>
      <c r="G953" s="1239"/>
      <c r="H953" s="989">
        <f t="shared" si="28"/>
        <v>633732083</v>
      </c>
      <c r="I953" s="1049"/>
      <c r="K953" s="19"/>
    </row>
    <row r="954" spans="1:11" x14ac:dyDescent="0.2">
      <c r="A954" s="1234"/>
      <c r="B954" s="1241"/>
      <c r="C954" s="1187"/>
      <c r="D954" s="1265"/>
      <c r="E954" s="1266"/>
      <c r="F954" s="1287"/>
      <c r="G954" s="1239"/>
      <c r="H954" s="989">
        <f t="shared" si="28"/>
        <v>633732083</v>
      </c>
      <c r="I954" s="1049"/>
      <c r="K954" s="19"/>
    </row>
    <row r="955" spans="1:11" x14ac:dyDescent="0.2">
      <c r="A955" s="1236"/>
      <c r="B955" s="1241"/>
      <c r="C955" s="1187"/>
      <c r="D955" s="1265"/>
      <c r="E955" s="1266"/>
      <c r="F955" s="1287"/>
      <c r="G955" s="1239"/>
      <c r="H955" s="989">
        <f t="shared" si="28"/>
        <v>633732083</v>
      </c>
      <c r="I955" s="1049"/>
      <c r="K955" s="19"/>
    </row>
    <row r="956" spans="1:11" x14ac:dyDescent="0.2">
      <c r="A956" s="1236"/>
      <c r="B956" s="1241"/>
      <c r="C956" s="1187"/>
      <c r="D956" s="1265"/>
      <c r="E956" s="1266"/>
      <c r="F956" s="1287"/>
      <c r="G956" s="1239"/>
      <c r="H956" s="989">
        <f t="shared" si="28"/>
        <v>633732083</v>
      </c>
      <c r="I956" s="1049"/>
      <c r="K956" s="19"/>
    </row>
    <row r="957" spans="1:11" x14ac:dyDescent="0.2">
      <c r="A957" s="1236"/>
      <c r="B957" s="1241"/>
      <c r="C957" s="1187"/>
      <c r="D957" s="1265"/>
      <c r="E957" s="1266"/>
      <c r="F957" s="1287"/>
      <c r="G957" s="1239"/>
      <c r="H957" s="989">
        <f t="shared" si="28"/>
        <v>633732083</v>
      </c>
      <c r="I957" s="1049"/>
      <c r="K957" s="19"/>
    </row>
    <row r="958" spans="1:11" x14ac:dyDescent="0.2">
      <c r="A958" s="1236"/>
      <c r="B958" s="1241"/>
      <c r="C958" s="1187"/>
      <c r="D958" s="1265"/>
      <c r="E958" s="1266"/>
      <c r="F958" s="1287"/>
      <c r="G958" s="1239"/>
      <c r="H958" s="989">
        <f t="shared" si="28"/>
        <v>633732083</v>
      </c>
      <c r="I958" s="1049"/>
      <c r="K958" s="19"/>
    </row>
    <row r="959" spans="1:11" x14ac:dyDescent="0.2">
      <c r="A959" s="1236"/>
      <c r="B959" s="1241"/>
      <c r="C959" s="1187"/>
      <c r="D959" s="1265"/>
      <c r="E959" s="1266"/>
      <c r="F959" s="1287"/>
      <c r="G959" s="1239"/>
      <c r="H959" s="989">
        <f t="shared" si="28"/>
        <v>633732083</v>
      </c>
      <c r="I959" s="1049"/>
      <c r="K959" s="19"/>
    </row>
    <row r="960" spans="1:11" x14ac:dyDescent="0.2">
      <c r="A960" s="1236"/>
      <c r="B960" s="1241"/>
      <c r="C960" s="1187"/>
      <c r="D960" s="1265"/>
      <c r="E960" s="1266"/>
      <c r="F960" s="1287"/>
      <c r="G960" s="1239"/>
      <c r="H960" s="989">
        <f t="shared" si="28"/>
        <v>633732083</v>
      </c>
      <c r="I960" s="1049"/>
      <c r="K960" s="19"/>
    </row>
    <row r="961" spans="1:11" x14ac:dyDescent="0.2">
      <c r="A961" s="1236"/>
      <c r="B961" s="1241"/>
      <c r="C961" s="1187"/>
      <c r="D961" s="1265"/>
      <c r="E961" s="1266"/>
      <c r="F961" s="1287"/>
      <c r="G961" s="1239"/>
      <c r="H961" s="989">
        <f t="shared" si="28"/>
        <v>633732083</v>
      </c>
      <c r="I961" s="1049"/>
      <c r="K961" s="19"/>
    </row>
    <row r="962" spans="1:11" x14ac:dyDescent="0.2">
      <c r="A962" s="1234"/>
      <c r="B962" s="1241"/>
      <c r="C962" s="1187"/>
      <c r="D962" s="1265"/>
      <c r="E962" s="1266"/>
      <c r="F962" s="1287"/>
      <c r="G962" s="1239"/>
      <c r="H962" s="989">
        <f t="shared" si="28"/>
        <v>633732083</v>
      </c>
      <c r="I962" s="1049"/>
      <c r="K962" s="19"/>
    </row>
    <row r="963" spans="1:11" x14ac:dyDescent="0.2">
      <c r="A963" s="1234"/>
      <c r="B963" s="1241"/>
      <c r="C963" s="1187"/>
      <c r="D963" s="1265"/>
      <c r="E963" s="1266"/>
      <c r="F963" s="1287"/>
      <c r="G963" s="1239"/>
      <c r="H963" s="989">
        <f t="shared" si="28"/>
        <v>633732083</v>
      </c>
      <c r="I963" s="1049"/>
      <c r="K963" s="19"/>
    </row>
    <row r="964" spans="1:11" x14ac:dyDescent="0.2">
      <c r="A964" s="1234"/>
      <c r="B964" s="1241"/>
      <c r="C964" s="1187"/>
      <c r="D964" s="1265"/>
      <c r="E964" s="1266"/>
      <c r="F964" s="1287"/>
      <c r="G964" s="1239"/>
      <c r="H964" s="989">
        <f t="shared" si="28"/>
        <v>633732083</v>
      </c>
      <c r="I964" s="1049"/>
      <c r="K964" s="19"/>
    </row>
    <row r="965" spans="1:11" x14ac:dyDescent="0.2">
      <c r="A965" s="1234"/>
      <c r="B965" s="1241"/>
      <c r="C965" s="1187"/>
      <c r="D965" s="1265"/>
      <c r="E965" s="1266"/>
      <c r="F965" s="1287"/>
      <c r="G965" s="1239"/>
      <c r="H965" s="989">
        <f t="shared" si="28"/>
        <v>633732083</v>
      </c>
      <c r="I965" s="1049"/>
      <c r="K965" s="19"/>
    </row>
    <row r="966" spans="1:11" x14ac:dyDescent="0.2">
      <c r="A966" s="1234"/>
      <c r="B966" s="1241"/>
      <c r="C966" s="1187"/>
      <c r="D966" s="1265"/>
      <c r="E966" s="1266"/>
      <c r="F966" s="1287"/>
      <c r="G966" s="1239"/>
      <c r="H966" s="989">
        <f t="shared" si="28"/>
        <v>633732083</v>
      </c>
      <c r="I966" s="1051"/>
      <c r="K966" s="19"/>
    </row>
    <row r="967" spans="1:11" x14ac:dyDescent="0.2">
      <c r="A967" s="1234"/>
      <c r="B967" s="1241"/>
      <c r="C967" s="1187"/>
      <c r="D967" s="1265"/>
      <c r="E967" s="1266"/>
      <c r="F967" s="1287"/>
      <c r="G967" s="1239"/>
      <c r="H967" s="989">
        <f t="shared" si="28"/>
        <v>633732083</v>
      </c>
      <c r="I967" s="1049"/>
      <c r="K967" s="19"/>
    </row>
    <row r="968" spans="1:11" x14ac:dyDescent="0.2">
      <c r="A968" s="1234"/>
      <c r="B968" s="1187"/>
      <c r="C968" s="1187"/>
      <c r="D968" s="1265"/>
      <c r="E968" s="1266"/>
      <c r="F968" s="1287"/>
      <c r="G968" s="1239"/>
      <c r="H968" s="989">
        <f t="shared" si="28"/>
        <v>633732083</v>
      </c>
      <c r="I968" s="1049"/>
      <c r="K968" s="19"/>
    </row>
    <row r="969" spans="1:11" x14ac:dyDescent="0.2">
      <c r="A969" s="1234"/>
      <c r="B969" s="1241"/>
      <c r="C969" s="1187"/>
      <c r="D969" s="1265"/>
      <c r="E969" s="1266"/>
      <c r="F969" s="1287"/>
      <c r="G969" s="1239"/>
      <c r="H969" s="989">
        <f t="shared" si="28"/>
        <v>633732083</v>
      </c>
      <c r="I969" s="1049"/>
      <c r="K969" s="19"/>
    </row>
    <row r="970" spans="1:11" x14ac:dyDescent="0.2">
      <c r="A970" s="1234"/>
      <c r="B970" s="1187"/>
      <c r="C970" s="1187"/>
      <c r="D970" s="1265"/>
      <c r="E970" s="1266"/>
      <c r="F970" s="1287"/>
      <c r="G970" s="1239"/>
      <c r="H970" s="989">
        <f t="shared" si="28"/>
        <v>633732083</v>
      </c>
      <c r="I970" s="1049"/>
      <c r="K970" s="19"/>
    </row>
    <row r="971" spans="1:11" x14ac:dyDescent="0.2">
      <c r="A971" s="1234"/>
      <c r="B971" s="1241"/>
      <c r="C971" s="1187"/>
      <c r="D971" s="1265"/>
      <c r="E971" s="1266"/>
      <c r="F971" s="1287"/>
      <c r="G971" s="1239"/>
      <c r="H971" s="989">
        <f t="shared" si="28"/>
        <v>633732083</v>
      </c>
      <c r="I971" s="1051"/>
      <c r="K971" s="19"/>
    </row>
    <row r="972" spans="1:11" x14ac:dyDescent="0.2">
      <c r="A972" s="1234"/>
      <c r="B972" s="1187"/>
      <c r="C972" s="1187"/>
      <c r="D972" s="1265"/>
      <c r="E972" s="1266"/>
      <c r="F972" s="1287"/>
      <c r="G972" s="1239"/>
      <c r="H972" s="989">
        <f t="shared" si="28"/>
        <v>633732083</v>
      </c>
      <c r="I972" s="1052"/>
      <c r="K972" s="19"/>
    </row>
    <row r="973" spans="1:11" x14ac:dyDescent="0.2">
      <c r="A973" s="1234"/>
      <c r="B973" s="1241"/>
      <c r="C973" s="1187"/>
      <c r="D973" s="1265"/>
      <c r="E973" s="1266"/>
      <c r="F973" s="1287"/>
      <c r="G973" s="1239"/>
      <c r="H973" s="989">
        <f t="shared" si="28"/>
        <v>633732083</v>
      </c>
      <c r="I973" s="1049"/>
      <c r="K973" s="19"/>
    </row>
    <row r="974" spans="1:11" x14ac:dyDescent="0.2">
      <c r="A974" s="1234"/>
      <c r="B974" s="1241"/>
      <c r="C974" s="1187"/>
      <c r="D974" s="1265"/>
      <c r="E974" s="1266"/>
      <c r="F974" s="1287"/>
      <c r="G974" s="1239"/>
      <c r="H974" s="989">
        <f t="shared" si="28"/>
        <v>633732083</v>
      </c>
      <c r="I974" s="1049"/>
      <c r="K974" s="19"/>
    </row>
    <row r="975" spans="1:11" x14ac:dyDescent="0.2">
      <c r="A975" s="1234"/>
      <c r="B975" s="1241"/>
      <c r="C975" s="1187"/>
      <c r="D975" s="1265"/>
      <c r="E975" s="1266"/>
      <c r="F975" s="1287"/>
      <c r="G975" s="1239"/>
      <c r="H975" s="989">
        <f t="shared" ref="H975" si="29">+H974+G975</f>
        <v>633732083</v>
      </c>
      <c r="I975" s="1049"/>
      <c r="K975" s="19"/>
    </row>
    <row r="976" spans="1:11" x14ac:dyDescent="0.2">
      <c r="A976" s="1234"/>
      <c r="B976" s="1241"/>
      <c r="C976" s="1187"/>
      <c r="D976" s="1265"/>
      <c r="E976" s="1266"/>
      <c r="F976" s="1287"/>
      <c r="G976" s="1239"/>
      <c r="H976" s="989">
        <f t="shared" ref="H976:H978" si="30">+H975+G976</f>
        <v>633732083</v>
      </c>
      <c r="I976" s="1049"/>
      <c r="K976" s="19"/>
    </row>
    <row r="977" spans="1:11" x14ac:dyDescent="0.2">
      <c r="A977" s="1234"/>
      <c r="B977" s="1241"/>
      <c r="C977" s="1187"/>
      <c r="D977" s="1265"/>
      <c r="E977" s="1266"/>
      <c r="F977" s="1287"/>
      <c r="G977" s="1239"/>
      <c r="H977" s="989">
        <f t="shared" si="30"/>
        <v>633732083</v>
      </c>
      <c r="I977" s="1049"/>
      <c r="K977" s="19"/>
    </row>
    <row r="978" spans="1:11" x14ac:dyDescent="0.2">
      <c r="A978" s="1234"/>
      <c r="B978" s="1187"/>
      <c r="C978" s="1187"/>
      <c r="D978" s="1265"/>
      <c r="E978" s="1266"/>
      <c r="F978" s="1287"/>
      <c r="G978" s="1239"/>
      <c r="H978" s="989">
        <f t="shared" si="30"/>
        <v>633732083</v>
      </c>
      <c r="I978" s="1052"/>
      <c r="K978" s="19"/>
    </row>
    <row r="979" spans="1:11" x14ac:dyDescent="0.2">
      <c r="A979" s="1234"/>
      <c r="B979" s="1241"/>
      <c r="C979" s="1187"/>
      <c r="D979" s="1265"/>
      <c r="E979" s="1266"/>
      <c r="F979" s="1287"/>
      <c r="G979" s="1239"/>
      <c r="H979" s="989">
        <f t="shared" ref="H979:H1007" si="31">+H978+G979</f>
        <v>633732083</v>
      </c>
      <c r="I979" s="1051"/>
      <c r="K979" s="19"/>
    </row>
    <row r="980" spans="1:11" x14ac:dyDescent="0.2">
      <c r="A980" s="1234"/>
      <c r="B980" s="1241"/>
      <c r="C980" s="1187"/>
      <c r="D980" s="1265"/>
      <c r="E980" s="1266"/>
      <c r="F980" s="1287"/>
      <c r="G980" s="1239"/>
      <c r="H980" s="989">
        <f t="shared" si="31"/>
        <v>633732083</v>
      </c>
      <c r="I980" s="1049"/>
      <c r="K980" s="19"/>
    </row>
    <row r="981" spans="1:11" x14ac:dyDescent="0.2">
      <c r="A981" s="1236"/>
      <c r="B981" s="1241"/>
      <c r="C981" s="1187"/>
      <c r="D981" s="1265"/>
      <c r="E981" s="1266"/>
      <c r="F981" s="1287"/>
      <c r="G981" s="1239"/>
      <c r="H981" s="1239">
        <f t="shared" si="31"/>
        <v>633732083</v>
      </c>
      <c r="I981" s="1049"/>
      <c r="K981" s="19"/>
    </row>
    <row r="982" spans="1:11" x14ac:dyDescent="0.2">
      <c r="A982" s="1232"/>
      <c r="B982" s="1241"/>
      <c r="C982" s="1187"/>
      <c r="D982" s="1265"/>
      <c r="E982" s="1266"/>
      <c r="F982" s="1287"/>
      <c r="G982" s="1239"/>
      <c r="H982" s="1239">
        <f t="shared" si="31"/>
        <v>633732083</v>
      </c>
      <c r="I982" s="1049"/>
      <c r="K982" s="19"/>
    </row>
    <row r="983" spans="1:11" x14ac:dyDescent="0.2">
      <c r="A983" s="1232"/>
      <c r="B983" s="1241"/>
      <c r="C983" s="1187"/>
      <c r="D983" s="1265"/>
      <c r="E983" s="1266"/>
      <c r="F983" s="1287"/>
      <c r="G983" s="1239"/>
      <c r="H983" s="1239">
        <f t="shared" si="31"/>
        <v>633732083</v>
      </c>
      <c r="I983" s="1049"/>
      <c r="K983" s="19"/>
    </row>
    <row r="984" spans="1:11" x14ac:dyDescent="0.2">
      <c r="A984" s="1232"/>
      <c r="B984" s="1241"/>
      <c r="C984" s="1187"/>
      <c r="D984" s="1265"/>
      <c r="E984" s="1266"/>
      <c r="F984" s="1287"/>
      <c r="G984" s="1239"/>
      <c r="H984" s="1239">
        <f t="shared" si="31"/>
        <v>633732083</v>
      </c>
      <c r="I984" s="1049"/>
      <c r="K984" s="19"/>
    </row>
    <row r="985" spans="1:11" x14ac:dyDescent="0.2">
      <c r="A985" s="1234"/>
      <c r="B985" s="1241"/>
      <c r="C985" s="1187"/>
      <c r="D985" s="1265"/>
      <c r="E985" s="1266"/>
      <c r="F985" s="1287"/>
      <c r="G985" s="1239"/>
      <c r="H985" s="989">
        <f t="shared" si="31"/>
        <v>633732083</v>
      </c>
      <c r="I985" s="1050"/>
      <c r="K985" s="19"/>
    </row>
    <row r="986" spans="1:11" x14ac:dyDescent="0.2">
      <c r="A986" s="1234"/>
      <c r="B986" s="1241"/>
      <c r="C986" s="1187"/>
      <c r="D986" s="1265"/>
      <c r="E986" s="1266"/>
      <c r="F986" s="1287"/>
      <c r="G986" s="1239"/>
      <c r="H986" s="989">
        <f t="shared" si="31"/>
        <v>633732083</v>
      </c>
      <c r="I986" s="1050"/>
      <c r="K986" s="19"/>
    </row>
    <row r="987" spans="1:11" x14ac:dyDescent="0.2">
      <c r="A987" s="1234"/>
      <c r="B987" s="1241"/>
      <c r="C987" s="1187"/>
      <c r="D987" s="1265"/>
      <c r="E987" s="1266"/>
      <c r="F987" s="1287"/>
      <c r="G987" s="1239"/>
      <c r="H987" s="989">
        <f t="shared" si="31"/>
        <v>633732083</v>
      </c>
      <c r="I987" s="1049"/>
      <c r="K987" s="19"/>
    </row>
    <row r="988" spans="1:11" x14ac:dyDescent="0.2">
      <c r="A988" s="1234"/>
      <c r="B988" s="1241"/>
      <c r="C988" s="1187"/>
      <c r="D988" s="1265"/>
      <c r="E988" s="1266"/>
      <c r="F988" s="1287"/>
      <c r="G988" s="1239"/>
      <c r="H988" s="1239">
        <f t="shared" si="31"/>
        <v>633732083</v>
      </c>
      <c r="I988" s="1049"/>
      <c r="K988" s="19"/>
    </row>
    <row r="989" spans="1:11" x14ac:dyDescent="0.2">
      <c r="A989" s="1234"/>
      <c r="B989" s="1241"/>
      <c r="C989" s="1187"/>
      <c r="D989" s="1265"/>
      <c r="E989" s="1266"/>
      <c r="F989" s="1287"/>
      <c r="G989" s="1239"/>
      <c r="H989" s="1239">
        <f t="shared" si="31"/>
        <v>633732083</v>
      </c>
      <c r="I989" s="1049"/>
      <c r="K989" s="19"/>
    </row>
    <row r="990" spans="1:11" x14ac:dyDescent="0.2">
      <c r="A990" s="1234"/>
      <c r="B990" s="1241"/>
      <c r="C990" s="1187"/>
      <c r="D990" s="1265"/>
      <c r="E990" s="1266"/>
      <c r="F990" s="1287"/>
      <c r="G990" s="1239"/>
      <c r="H990" s="1239">
        <f t="shared" si="31"/>
        <v>633732083</v>
      </c>
      <c r="I990" s="1049"/>
      <c r="K990" s="19"/>
    </row>
    <row r="991" spans="1:11" x14ac:dyDescent="0.2">
      <c r="A991" s="1234"/>
      <c r="B991" s="1241"/>
      <c r="C991" s="1187"/>
      <c r="D991" s="1265"/>
      <c r="E991" s="1266"/>
      <c r="F991" s="1287"/>
      <c r="G991" s="1239"/>
      <c r="H991" s="1239">
        <f t="shared" si="31"/>
        <v>633732083</v>
      </c>
      <c r="I991" s="1049"/>
      <c r="K991" s="19"/>
    </row>
    <row r="992" spans="1:11" x14ac:dyDescent="0.2">
      <c r="A992" s="1234"/>
      <c r="B992" s="1241"/>
      <c r="C992" s="1187"/>
      <c r="D992" s="1265"/>
      <c r="E992" s="1266"/>
      <c r="F992" s="1287"/>
      <c r="G992" s="1239"/>
      <c r="H992" s="1239">
        <f t="shared" si="31"/>
        <v>633732083</v>
      </c>
      <c r="I992" s="1049"/>
      <c r="K992" s="19"/>
    </row>
    <row r="993" spans="1:11" x14ac:dyDescent="0.2">
      <c r="A993" s="1234"/>
      <c r="B993" s="1241"/>
      <c r="C993" s="1187"/>
      <c r="D993" s="1265"/>
      <c r="E993" s="1266"/>
      <c r="F993" s="1287"/>
      <c r="G993" s="1239"/>
      <c r="H993" s="1239">
        <f t="shared" si="31"/>
        <v>633732083</v>
      </c>
      <c r="I993" s="1049"/>
      <c r="K993" s="19"/>
    </row>
    <row r="994" spans="1:11" x14ac:dyDescent="0.2">
      <c r="A994" s="1234"/>
      <c r="B994" s="1241"/>
      <c r="C994" s="1187"/>
      <c r="D994" s="1265"/>
      <c r="E994" s="1266"/>
      <c r="F994" s="1287"/>
      <c r="G994" s="1239"/>
      <c r="H994" s="1239">
        <f t="shared" si="31"/>
        <v>633732083</v>
      </c>
      <c r="I994" s="1049"/>
      <c r="K994" s="19"/>
    </row>
    <row r="995" spans="1:11" x14ac:dyDescent="0.2">
      <c r="A995" s="1234"/>
      <c r="B995" s="1241"/>
      <c r="C995" s="1187"/>
      <c r="D995" s="1265"/>
      <c r="E995" s="1266"/>
      <c r="F995" s="1287"/>
      <c r="G995" s="1239"/>
      <c r="H995" s="1239">
        <f t="shared" si="31"/>
        <v>633732083</v>
      </c>
      <c r="I995" s="1049"/>
      <c r="K995" s="19"/>
    </row>
    <row r="996" spans="1:11" x14ac:dyDescent="0.2">
      <c r="A996" s="1234"/>
      <c r="B996" s="1241"/>
      <c r="C996" s="1187"/>
      <c r="D996" s="1265"/>
      <c r="E996" s="1266"/>
      <c r="F996" s="1287"/>
      <c r="G996" s="1239"/>
      <c r="H996" s="989">
        <f t="shared" si="31"/>
        <v>633732083</v>
      </c>
      <c r="I996" s="1049"/>
      <c r="K996" s="19"/>
    </row>
    <row r="997" spans="1:11" x14ac:dyDescent="0.2">
      <c r="A997" s="1234"/>
      <c r="B997" s="1241"/>
      <c r="C997" s="1187"/>
      <c r="D997" s="1265"/>
      <c r="E997" s="1266"/>
      <c r="F997" s="1287"/>
      <c r="G997" s="1239"/>
      <c r="H997" s="1239">
        <f t="shared" si="31"/>
        <v>633732083</v>
      </c>
      <c r="I997" s="1049"/>
      <c r="K997" s="19"/>
    </row>
    <row r="998" spans="1:11" x14ac:dyDescent="0.2">
      <c r="A998" s="1234"/>
      <c r="B998" s="1241"/>
      <c r="C998" s="1187"/>
      <c r="D998" s="1265"/>
      <c r="E998" s="1266"/>
      <c r="F998" s="1287"/>
      <c r="G998" s="1239"/>
      <c r="H998" s="989">
        <f t="shared" si="31"/>
        <v>633732083</v>
      </c>
      <c r="I998" s="1052"/>
      <c r="K998" s="19"/>
    </row>
    <row r="999" spans="1:11" x14ac:dyDescent="0.2">
      <c r="A999" s="1234"/>
      <c r="B999" s="1241"/>
      <c r="C999" s="1187"/>
      <c r="D999" s="1265"/>
      <c r="E999" s="1266"/>
      <c r="F999" s="1287"/>
      <c r="G999" s="1239"/>
      <c r="H999" s="989">
        <f t="shared" si="31"/>
        <v>633732083</v>
      </c>
      <c r="I999" s="1052"/>
      <c r="K999" s="19"/>
    </row>
    <row r="1000" spans="1:11" x14ac:dyDescent="0.2">
      <c r="A1000" s="1234"/>
      <c r="B1000" s="1241"/>
      <c r="C1000" s="1187"/>
      <c r="D1000" s="1265"/>
      <c r="E1000" s="1266"/>
      <c r="F1000" s="1287"/>
      <c r="G1000" s="1239"/>
      <c r="H1000" s="989">
        <f t="shared" si="31"/>
        <v>633732083</v>
      </c>
      <c r="I1000" s="1052"/>
      <c r="K1000" s="19"/>
    </row>
    <row r="1001" spans="1:11" x14ac:dyDescent="0.2">
      <c r="A1001" s="1234"/>
      <c r="B1001" s="1241"/>
      <c r="C1001" s="1187"/>
      <c r="D1001" s="1265"/>
      <c r="E1001" s="1266"/>
      <c r="F1001" s="1287"/>
      <c r="G1001" s="1239"/>
      <c r="H1001" s="989">
        <f t="shared" si="31"/>
        <v>633732083</v>
      </c>
      <c r="I1001" s="1049"/>
      <c r="K1001" s="19"/>
    </row>
    <row r="1002" spans="1:11" x14ac:dyDescent="0.2">
      <c r="A1002" s="1234"/>
      <c r="B1002" s="1241"/>
      <c r="C1002" s="1187"/>
      <c r="D1002" s="1265"/>
      <c r="E1002" s="1266"/>
      <c r="F1002" s="1287"/>
      <c r="G1002" s="1239"/>
      <c r="H1002" s="989">
        <f t="shared" si="31"/>
        <v>633732083</v>
      </c>
      <c r="I1002" s="1049"/>
      <c r="K1002" s="19"/>
    </row>
    <row r="1003" spans="1:11" x14ac:dyDescent="0.2">
      <c r="A1003" s="1234"/>
      <c r="B1003" s="1241"/>
      <c r="C1003" s="1187"/>
      <c r="D1003" s="1265"/>
      <c r="E1003" s="1266"/>
      <c r="F1003" s="1287"/>
      <c r="G1003" s="1239"/>
      <c r="H1003" s="989">
        <f t="shared" si="31"/>
        <v>633732083</v>
      </c>
      <c r="I1003" s="1049"/>
      <c r="K1003" s="19"/>
    </row>
    <row r="1004" spans="1:11" x14ac:dyDescent="0.2">
      <c r="A1004" s="1234"/>
      <c r="B1004" s="1241"/>
      <c r="C1004" s="1187"/>
      <c r="D1004" s="1265"/>
      <c r="E1004" s="1266"/>
      <c r="F1004" s="1287"/>
      <c r="G1004" s="1239"/>
      <c r="H1004" s="989">
        <f t="shared" si="31"/>
        <v>633732083</v>
      </c>
      <c r="I1004" s="1049"/>
      <c r="K1004" s="19"/>
    </row>
    <row r="1005" spans="1:11" x14ac:dyDescent="0.2">
      <c r="A1005" s="1234"/>
      <c r="B1005" s="1241"/>
      <c r="C1005" s="1187"/>
      <c r="D1005" s="1265"/>
      <c r="E1005" s="1266"/>
      <c r="F1005" s="1287"/>
      <c r="G1005" s="1239"/>
      <c r="H1005" s="989">
        <f t="shared" si="31"/>
        <v>633732083</v>
      </c>
      <c r="I1005" s="1049"/>
      <c r="K1005" s="19"/>
    </row>
    <row r="1006" spans="1:11" x14ac:dyDescent="0.2">
      <c r="A1006" s="1234"/>
      <c r="B1006" s="1241"/>
      <c r="C1006" s="1187"/>
      <c r="D1006" s="1265"/>
      <c r="E1006" s="1266"/>
      <c r="F1006" s="1287"/>
      <c r="G1006" s="1239"/>
      <c r="H1006" s="989">
        <f t="shared" si="31"/>
        <v>633732083</v>
      </c>
      <c r="I1006" s="1049"/>
      <c r="K1006" s="19"/>
    </row>
    <row r="1007" spans="1:11" x14ac:dyDescent="0.2">
      <c r="A1007" s="1234"/>
      <c r="B1007" s="1241"/>
      <c r="C1007" s="1187"/>
      <c r="D1007" s="1265"/>
      <c r="E1007" s="1266"/>
      <c r="F1007" s="1287"/>
      <c r="G1007" s="1239"/>
      <c r="H1007" s="989">
        <f t="shared" si="31"/>
        <v>633732083</v>
      </c>
      <c r="I1007" s="1049"/>
      <c r="K1007" s="19"/>
    </row>
    <row r="1008" spans="1:11" x14ac:dyDescent="0.2">
      <c r="A1008" s="1234"/>
      <c r="B1008" s="1241"/>
      <c r="C1008" s="1187"/>
      <c r="D1008" s="1265"/>
      <c r="E1008" s="1266"/>
      <c r="F1008" s="1287"/>
      <c r="G1008" s="1239"/>
      <c r="H1008" s="1239">
        <f t="shared" ref="H1008:H1015" si="32">+H1007+G1008</f>
        <v>633732083</v>
      </c>
      <c r="I1008" s="1049"/>
      <c r="K1008" s="19"/>
    </row>
    <row r="1009" spans="1:11" x14ac:dyDescent="0.2">
      <c r="A1009" s="1234"/>
      <c r="B1009" s="1241"/>
      <c r="C1009" s="1187"/>
      <c r="D1009" s="1265"/>
      <c r="E1009" s="1266"/>
      <c r="F1009" s="1287"/>
      <c r="G1009" s="1239"/>
      <c r="H1009" s="1239">
        <f t="shared" si="32"/>
        <v>633732083</v>
      </c>
      <c r="I1009" s="1049"/>
      <c r="K1009" s="19"/>
    </row>
    <row r="1010" spans="1:11" x14ac:dyDescent="0.2">
      <c r="A1010" s="1234"/>
      <c r="B1010" s="1241"/>
      <c r="C1010" s="1187"/>
      <c r="D1010" s="1265"/>
      <c r="E1010" s="1266"/>
      <c r="F1010" s="1287"/>
      <c r="G1010" s="1239"/>
      <c r="H1010" s="1239">
        <f t="shared" si="32"/>
        <v>633732083</v>
      </c>
      <c r="I1010" s="1051"/>
      <c r="K1010" s="19"/>
    </row>
    <row r="1011" spans="1:11" x14ac:dyDescent="0.2">
      <c r="A1011" s="1234"/>
      <c r="B1011" s="1241"/>
      <c r="C1011" s="1187"/>
      <c r="D1011" s="1265"/>
      <c r="E1011" s="1266"/>
      <c r="F1011" s="1287"/>
      <c r="G1011" s="1239"/>
      <c r="H1011" s="1239">
        <f t="shared" si="32"/>
        <v>633732083</v>
      </c>
      <c r="I1011" s="1051"/>
      <c r="K1011" s="19"/>
    </row>
    <row r="1012" spans="1:11" x14ac:dyDescent="0.2">
      <c r="A1012" s="1234"/>
      <c r="B1012" s="1241"/>
      <c r="C1012" s="1187"/>
      <c r="D1012" s="1265"/>
      <c r="E1012" s="1266"/>
      <c r="F1012" s="1287"/>
      <c r="G1012" s="1239"/>
      <c r="H1012" s="1239">
        <f t="shared" si="32"/>
        <v>633732083</v>
      </c>
      <c r="I1012" s="1051"/>
      <c r="K1012" s="19"/>
    </row>
    <row r="1013" spans="1:11" x14ac:dyDescent="0.2">
      <c r="A1013" s="1234"/>
      <c r="B1013" s="1241"/>
      <c r="C1013" s="1187"/>
      <c r="D1013" s="1265"/>
      <c r="E1013" s="1266"/>
      <c r="F1013" s="1287"/>
      <c r="G1013" s="1239"/>
      <c r="H1013" s="1239">
        <f t="shared" si="32"/>
        <v>633732083</v>
      </c>
      <c r="I1013" s="1051"/>
      <c r="K1013" s="19"/>
    </row>
    <row r="1014" spans="1:11" x14ac:dyDescent="0.2">
      <c r="A1014" s="1234"/>
      <c r="B1014" s="1241"/>
      <c r="C1014" s="1187"/>
      <c r="D1014" s="1265"/>
      <c r="E1014" s="1266"/>
      <c r="F1014" s="1287"/>
      <c r="G1014" s="1239"/>
      <c r="H1014" s="1239">
        <f t="shared" si="32"/>
        <v>633732083</v>
      </c>
      <c r="I1014" s="1049"/>
      <c r="K1014" s="19"/>
    </row>
    <row r="1015" spans="1:11" x14ac:dyDescent="0.2">
      <c r="A1015" s="1234"/>
      <c r="B1015" s="1241"/>
      <c r="C1015" s="1187"/>
      <c r="D1015" s="1265"/>
      <c r="E1015" s="1266"/>
      <c r="F1015" s="1287"/>
      <c r="G1015" s="1239"/>
      <c r="H1015" s="1239">
        <f t="shared" si="32"/>
        <v>633732083</v>
      </c>
      <c r="I1015" s="1049"/>
      <c r="K1015" s="19"/>
    </row>
    <row r="1016" spans="1:11" x14ac:dyDescent="0.2">
      <c r="A1016" s="1234"/>
      <c r="B1016" s="1241"/>
      <c r="C1016" s="1187"/>
      <c r="D1016" s="1265"/>
      <c r="E1016" s="1266"/>
      <c r="F1016" s="1287"/>
      <c r="G1016" s="1239"/>
      <c r="H1016" s="1239">
        <f t="shared" ref="H1016:H1025" si="33">+H1015+G1016</f>
        <v>633732083</v>
      </c>
      <c r="I1016" s="1049"/>
      <c r="K1016" s="19"/>
    </row>
    <row r="1017" spans="1:11" x14ac:dyDescent="0.2">
      <c r="A1017" s="1234"/>
      <c r="B1017" s="1241"/>
      <c r="C1017" s="1187"/>
      <c r="D1017" s="1265"/>
      <c r="E1017" s="1266"/>
      <c r="F1017" s="1287"/>
      <c r="G1017" s="1239"/>
      <c r="H1017" s="1239">
        <f t="shared" si="33"/>
        <v>633732083</v>
      </c>
      <c r="I1017" s="1049"/>
      <c r="K1017" s="19"/>
    </row>
    <row r="1018" spans="1:11" x14ac:dyDescent="0.2">
      <c r="A1018" s="1234"/>
      <c r="B1018" s="1241"/>
      <c r="C1018" s="1187"/>
      <c r="D1018" s="1265"/>
      <c r="E1018" s="1266"/>
      <c r="F1018" s="1287"/>
      <c r="G1018" s="1239"/>
      <c r="H1018" s="989">
        <f t="shared" si="33"/>
        <v>633732083</v>
      </c>
      <c r="I1018" s="1049"/>
      <c r="K1018" s="19"/>
    </row>
    <row r="1019" spans="1:11" x14ac:dyDescent="0.2">
      <c r="A1019" s="1234"/>
      <c r="B1019" s="1241"/>
      <c r="C1019" s="1187"/>
      <c r="D1019" s="1265"/>
      <c r="E1019" s="1266"/>
      <c r="F1019" s="1287"/>
      <c r="G1019" s="1239"/>
      <c r="H1019" s="989">
        <f t="shared" si="33"/>
        <v>633732083</v>
      </c>
      <c r="I1019" s="1049"/>
      <c r="K1019" s="19"/>
    </row>
    <row r="1020" spans="1:11" x14ac:dyDescent="0.2">
      <c r="A1020" s="1234"/>
      <c r="B1020" s="1241"/>
      <c r="C1020" s="1187"/>
      <c r="D1020" s="1265"/>
      <c r="E1020" s="1266"/>
      <c r="F1020" s="1287"/>
      <c r="G1020" s="1239"/>
      <c r="H1020" s="989">
        <f t="shared" si="33"/>
        <v>633732083</v>
      </c>
      <c r="I1020" s="1049"/>
      <c r="K1020" s="19"/>
    </row>
    <row r="1021" spans="1:11" x14ac:dyDescent="0.2">
      <c r="A1021" s="1234"/>
      <c r="B1021" s="1241"/>
      <c r="C1021" s="1187"/>
      <c r="D1021" s="1265"/>
      <c r="E1021" s="1266"/>
      <c r="F1021" s="1287"/>
      <c r="G1021" s="1239"/>
      <c r="H1021" s="989">
        <f t="shared" si="33"/>
        <v>633732083</v>
      </c>
      <c r="I1021" s="1049"/>
      <c r="K1021" s="19"/>
    </row>
    <row r="1022" spans="1:11" x14ac:dyDescent="0.2">
      <c r="A1022" s="1234"/>
      <c r="B1022" s="1241"/>
      <c r="C1022" s="1187"/>
      <c r="D1022" s="1265"/>
      <c r="E1022" s="1266"/>
      <c r="F1022" s="1287"/>
      <c r="G1022" s="1239"/>
      <c r="H1022" s="989">
        <f t="shared" si="33"/>
        <v>633732083</v>
      </c>
      <c r="I1022" s="1049"/>
      <c r="K1022" s="19"/>
    </row>
    <row r="1023" spans="1:11" x14ac:dyDescent="0.2">
      <c r="A1023" s="1234"/>
      <c r="B1023" s="1241"/>
      <c r="C1023" s="1187"/>
      <c r="D1023" s="1265"/>
      <c r="E1023" s="1266"/>
      <c r="F1023" s="1287"/>
      <c r="G1023" s="1239"/>
      <c r="H1023" s="1239">
        <f t="shared" si="33"/>
        <v>633732083</v>
      </c>
      <c r="I1023" s="1049"/>
      <c r="K1023" s="19"/>
    </row>
    <row r="1024" spans="1:11" x14ac:dyDescent="0.2">
      <c r="A1024" s="1234"/>
      <c r="B1024" s="1241"/>
      <c r="C1024" s="1187"/>
      <c r="D1024" s="1265"/>
      <c r="E1024" s="1266"/>
      <c r="F1024" s="1287"/>
      <c r="G1024" s="1239"/>
      <c r="H1024" s="1239">
        <f t="shared" si="33"/>
        <v>633732083</v>
      </c>
      <c r="I1024" s="1049"/>
      <c r="K1024" s="19"/>
    </row>
    <row r="1025" spans="1:12" x14ac:dyDescent="0.2">
      <c r="A1025" s="1234"/>
      <c r="B1025" s="1241"/>
      <c r="C1025" s="1187"/>
      <c r="D1025" s="1265"/>
      <c r="E1025" s="1266"/>
      <c r="F1025" s="1287"/>
      <c r="G1025" s="1239"/>
      <c r="H1025" s="1239">
        <f t="shared" si="33"/>
        <v>633732083</v>
      </c>
      <c r="I1025" s="1049"/>
      <c r="K1025" s="19"/>
    </row>
    <row r="1026" spans="1:12" x14ac:dyDescent="0.2">
      <c r="A1026" s="1234"/>
      <c r="B1026" s="1241"/>
      <c r="C1026" s="1187"/>
      <c r="D1026" s="1265"/>
      <c r="E1026" s="1266"/>
      <c r="F1026" s="1287"/>
      <c r="G1026" s="1239"/>
      <c r="H1026" s="1239">
        <f t="shared" ref="H1026:H1087" si="34">+H1025+G1026</f>
        <v>633732083</v>
      </c>
      <c r="I1026" s="1052"/>
      <c r="K1026" s="19"/>
    </row>
    <row r="1027" spans="1:12" x14ac:dyDescent="0.2">
      <c r="A1027" s="1234"/>
      <c r="B1027" s="1187"/>
      <c r="C1027" s="1187"/>
      <c r="D1027" s="1265"/>
      <c r="E1027" s="1266"/>
      <c r="F1027" s="1287"/>
      <c r="G1027" s="1239"/>
      <c r="H1027" s="989">
        <f t="shared" si="34"/>
        <v>633732083</v>
      </c>
      <c r="I1027" s="1049"/>
      <c r="K1027" s="19"/>
    </row>
    <row r="1028" spans="1:12" x14ac:dyDescent="0.2">
      <c r="A1028" s="1234"/>
      <c r="B1028" s="1241"/>
      <c r="C1028" s="1187"/>
      <c r="D1028" s="1265"/>
      <c r="E1028" s="1266"/>
      <c r="F1028" s="1287"/>
      <c r="G1028" s="1239"/>
      <c r="H1028" s="989">
        <f t="shared" si="34"/>
        <v>633732083</v>
      </c>
      <c r="I1028" s="1049"/>
      <c r="K1028" s="19"/>
    </row>
    <row r="1029" spans="1:12" x14ac:dyDescent="0.2">
      <c r="A1029" s="1234"/>
      <c r="B1029" s="1241"/>
      <c r="C1029" s="1187"/>
      <c r="D1029" s="1265"/>
      <c r="E1029" s="1266"/>
      <c r="F1029" s="1287"/>
      <c r="G1029" s="1239"/>
      <c r="H1029" s="989">
        <f t="shared" si="34"/>
        <v>633732083</v>
      </c>
      <c r="I1029" s="1049"/>
      <c r="K1029" s="19"/>
    </row>
    <row r="1030" spans="1:12" x14ac:dyDescent="0.2">
      <c r="A1030" s="1234"/>
      <c r="B1030" s="1187"/>
      <c r="C1030" s="1187"/>
      <c r="D1030" s="1265"/>
      <c r="E1030" s="1266"/>
      <c r="F1030" s="1287"/>
      <c r="G1030" s="1239"/>
      <c r="H1030" s="989">
        <f t="shared" si="34"/>
        <v>633732083</v>
      </c>
      <c r="I1030" s="1052"/>
      <c r="K1030" s="19"/>
    </row>
    <row r="1031" spans="1:12" x14ac:dyDescent="0.2">
      <c r="A1031" s="1234"/>
      <c r="B1031" s="1241"/>
      <c r="C1031" s="1187"/>
      <c r="D1031" s="1265"/>
      <c r="E1031" s="1266"/>
      <c r="F1031" s="1287"/>
      <c r="G1031" s="1239"/>
      <c r="H1031" s="989">
        <f t="shared" si="34"/>
        <v>633732083</v>
      </c>
      <c r="I1031" s="1049"/>
      <c r="K1031" s="19"/>
    </row>
    <row r="1032" spans="1:12" x14ac:dyDescent="0.2">
      <c r="A1032" s="1236"/>
      <c r="B1032" s="1241"/>
      <c r="C1032" s="1187"/>
      <c r="D1032" s="1265"/>
      <c r="E1032" s="1266"/>
      <c r="F1032" s="1287"/>
      <c r="G1032" s="1239"/>
      <c r="H1032" s="989">
        <f t="shared" si="34"/>
        <v>633732083</v>
      </c>
      <c r="I1032" s="1049"/>
      <c r="K1032" s="19"/>
    </row>
    <row r="1033" spans="1:12" x14ac:dyDescent="0.2">
      <c r="A1033" s="1236"/>
      <c r="B1033" s="1241"/>
      <c r="C1033" s="1187"/>
      <c r="D1033" s="1265"/>
      <c r="E1033" s="1266"/>
      <c r="F1033" s="1287"/>
      <c r="G1033" s="1239"/>
      <c r="H1033" s="989">
        <f t="shared" si="34"/>
        <v>633732083</v>
      </c>
      <c r="I1033" s="1049"/>
      <c r="K1033" s="19"/>
    </row>
    <row r="1034" spans="1:12" x14ac:dyDescent="0.2">
      <c r="A1034" s="1236"/>
      <c r="B1034" s="1241"/>
      <c r="C1034" s="1187"/>
      <c r="D1034" s="1265"/>
      <c r="E1034" s="1266"/>
      <c r="F1034" s="1287"/>
      <c r="G1034" s="1239"/>
      <c r="H1034" s="989">
        <f t="shared" si="34"/>
        <v>633732083</v>
      </c>
      <c r="I1034" s="1049"/>
      <c r="K1034" s="19"/>
    </row>
    <row r="1035" spans="1:12" x14ac:dyDescent="0.2">
      <c r="A1035" s="1236"/>
      <c r="B1035" s="1241"/>
      <c r="C1035" s="1187"/>
      <c r="D1035" s="1265"/>
      <c r="E1035" s="1266"/>
      <c r="F1035" s="1287"/>
      <c r="G1035" s="1239"/>
      <c r="H1035" s="989">
        <f t="shared" si="34"/>
        <v>633732083</v>
      </c>
      <c r="I1035" s="1049"/>
      <c r="K1035" s="19"/>
    </row>
    <row r="1036" spans="1:12" x14ac:dyDescent="0.2">
      <c r="A1036" s="1236"/>
      <c r="B1036" s="1241"/>
      <c r="C1036" s="1187"/>
      <c r="D1036" s="1265"/>
      <c r="E1036" s="1266"/>
      <c r="F1036" s="1287"/>
      <c r="G1036" s="1239"/>
      <c r="H1036" s="989">
        <f t="shared" si="34"/>
        <v>633732083</v>
      </c>
      <c r="I1036" s="1049"/>
      <c r="K1036" s="19"/>
    </row>
    <row r="1037" spans="1:12" x14ac:dyDescent="0.2">
      <c r="A1037" s="1236"/>
      <c r="B1037" s="1241"/>
      <c r="C1037" s="1187"/>
      <c r="D1037" s="1265"/>
      <c r="E1037" s="1266"/>
      <c r="F1037" s="1287"/>
      <c r="G1037" s="1239"/>
      <c r="H1037" s="1239">
        <f t="shared" si="34"/>
        <v>633732083</v>
      </c>
      <c r="I1037" s="1052"/>
      <c r="K1037" s="19"/>
    </row>
    <row r="1038" spans="1:12" x14ac:dyDescent="0.2">
      <c r="A1038" s="1236"/>
      <c r="B1038" s="1241"/>
      <c r="C1038" s="1187"/>
      <c r="D1038" s="1265"/>
      <c r="E1038" s="1266"/>
      <c r="F1038" s="1287"/>
      <c r="G1038" s="1239"/>
      <c r="H1038" s="1239">
        <f t="shared" si="34"/>
        <v>633732083</v>
      </c>
      <c r="I1038" s="1052"/>
      <c r="K1038" s="19"/>
      <c r="L1038" s="995"/>
    </row>
    <row r="1039" spans="1:12" x14ac:dyDescent="0.2">
      <c r="A1039" s="1236"/>
      <c r="B1039" s="1187"/>
      <c r="C1039" s="1187"/>
      <c r="D1039" s="1265"/>
      <c r="E1039" s="1266"/>
      <c r="F1039" s="1287"/>
      <c r="G1039" s="1239"/>
      <c r="H1039" s="989">
        <f t="shared" si="34"/>
        <v>633732083</v>
      </c>
      <c r="I1039" s="1050"/>
      <c r="K1039" s="19"/>
    </row>
    <row r="1040" spans="1:12" x14ac:dyDescent="0.2">
      <c r="A1040" s="1236"/>
      <c r="B1040" s="1241"/>
      <c r="C1040" s="1187"/>
      <c r="D1040" s="1265"/>
      <c r="E1040" s="1266"/>
      <c r="F1040" s="1287"/>
      <c r="G1040" s="1239"/>
      <c r="H1040" s="1239">
        <f t="shared" si="34"/>
        <v>633732083</v>
      </c>
      <c r="I1040" s="1049"/>
      <c r="K1040" s="19"/>
    </row>
    <row r="1041" spans="1:11" x14ac:dyDescent="0.2">
      <c r="A1041" s="1236"/>
      <c r="B1041" s="1241"/>
      <c r="C1041" s="1187"/>
      <c r="D1041" s="1265"/>
      <c r="E1041" s="1266"/>
      <c r="F1041" s="1287"/>
      <c r="G1041" s="1239"/>
      <c r="H1041" s="1239">
        <f t="shared" si="34"/>
        <v>633732083</v>
      </c>
      <c r="I1041" s="1049"/>
      <c r="K1041" s="19"/>
    </row>
    <row r="1042" spans="1:11" x14ac:dyDescent="0.2">
      <c r="A1042" s="1236"/>
      <c r="B1042" s="1241"/>
      <c r="C1042" s="1187"/>
      <c r="D1042" s="1265"/>
      <c r="E1042" s="1266"/>
      <c r="F1042" s="1287"/>
      <c r="G1042" s="1239"/>
      <c r="H1042" s="989">
        <f t="shared" si="34"/>
        <v>633732083</v>
      </c>
      <c r="I1042" s="1049"/>
      <c r="K1042" s="19"/>
    </row>
    <row r="1043" spans="1:11" x14ac:dyDescent="0.2">
      <c r="A1043" s="1236"/>
      <c r="B1043" s="1241"/>
      <c r="C1043" s="1187"/>
      <c r="D1043" s="1265"/>
      <c r="E1043" s="1266"/>
      <c r="F1043" s="1287"/>
      <c r="G1043" s="1239"/>
      <c r="H1043" s="1239">
        <f t="shared" si="34"/>
        <v>633732083</v>
      </c>
      <c r="I1043" s="1049"/>
      <c r="K1043" s="19"/>
    </row>
    <row r="1044" spans="1:11" x14ac:dyDescent="0.2">
      <c r="A1044" s="1236"/>
      <c r="B1044" s="1241"/>
      <c r="C1044" s="1187"/>
      <c r="D1044" s="1265"/>
      <c r="E1044" s="1266"/>
      <c r="F1044" s="1287"/>
      <c r="G1044" s="1239"/>
      <c r="H1044" s="1239">
        <f t="shared" si="34"/>
        <v>633732083</v>
      </c>
      <c r="I1044" s="1049"/>
      <c r="K1044" s="19"/>
    </row>
    <row r="1045" spans="1:11" x14ac:dyDescent="0.2">
      <c r="A1045" s="1236"/>
      <c r="B1045" s="1241"/>
      <c r="C1045" s="1187"/>
      <c r="D1045" s="1265"/>
      <c r="E1045" s="1266"/>
      <c r="F1045" s="1287"/>
      <c r="G1045" s="1239"/>
      <c r="H1045" s="1239">
        <f t="shared" si="34"/>
        <v>633732083</v>
      </c>
      <c r="I1045" s="1049"/>
      <c r="K1045" s="19"/>
    </row>
    <row r="1046" spans="1:11" x14ac:dyDescent="0.2">
      <c r="A1046" s="1236"/>
      <c r="B1046" s="1241"/>
      <c r="C1046" s="1187"/>
      <c r="D1046" s="1265"/>
      <c r="E1046" s="1266"/>
      <c r="F1046" s="1287"/>
      <c r="G1046" s="1239"/>
      <c r="H1046" s="1239">
        <f t="shared" si="34"/>
        <v>633732083</v>
      </c>
      <c r="I1046" s="1049"/>
      <c r="K1046" s="19"/>
    </row>
    <row r="1047" spans="1:11" x14ac:dyDescent="0.2">
      <c r="A1047" s="1236"/>
      <c r="B1047" s="1241"/>
      <c r="C1047" s="1187"/>
      <c r="D1047" s="1265"/>
      <c r="E1047" s="1266"/>
      <c r="F1047" s="1287"/>
      <c r="G1047" s="1239"/>
      <c r="H1047" s="1239">
        <f t="shared" si="34"/>
        <v>633732083</v>
      </c>
      <c r="I1047" s="1049"/>
      <c r="K1047" s="19"/>
    </row>
    <row r="1048" spans="1:11" x14ac:dyDescent="0.2">
      <c r="A1048" s="1236"/>
      <c r="B1048" s="1241"/>
      <c r="C1048" s="1187"/>
      <c r="D1048" s="1265"/>
      <c r="E1048" s="1266"/>
      <c r="F1048" s="1287"/>
      <c r="G1048" s="1239"/>
      <c r="H1048" s="1239">
        <f t="shared" si="34"/>
        <v>633732083</v>
      </c>
      <c r="I1048" s="1049"/>
      <c r="K1048" s="19"/>
    </row>
    <row r="1049" spans="1:11" x14ac:dyDescent="0.2">
      <c r="A1049" s="1236"/>
      <c r="B1049" s="1241"/>
      <c r="C1049" s="1187"/>
      <c r="D1049" s="1265"/>
      <c r="E1049" s="1266"/>
      <c r="F1049" s="1287"/>
      <c r="G1049" s="1239"/>
      <c r="H1049" s="1239">
        <f t="shared" si="34"/>
        <v>633732083</v>
      </c>
      <c r="I1049" s="1049"/>
      <c r="K1049" s="19"/>
    </row>
    <row r="1050" spans="1:11" x14ac:dyDescent="0.2">
      <c r="A1050" s="1236"/>
      <c r="B1050" s="1241"/>
      <c r="C1050" s="1187"/>
      <c r="D1050" s="1265"/>
      <c r="E1050" s="1266"/>
      <c r="F1050" s="1287"/>
      <c r="G1050" s="1239"/>
      <c r="H1050" s="1239">
        <f t="shared" si="34"/>
        <v>633732083</v>
      </c>
      <c r="I1050" s="1049"/>
      <c r="K1050" s="19"/>
    </row>
    <row r="1051" spans="1:11" x14ac:dyDescent="0.2">
      <c r="A1051" s="1236"/>
      <c r="B1051" s="1241"/>
      <c r="C1051" s="1187"/>
      <c r="D1051" s="1265"/>
      <c r="E1051" s="1266"/>
      <c r="F1051" s="1287"/>
      <c r="G1051" s="1239"/>
      <c r="H1051" s="1239">
        <f t="shared" si="34"/>
        <v>633732083</v>
      </c>
      <c r="I1051" s="1049"/>
      <c r="K1051" s="19"/>
    </row>
    <row r="1052" spans="1:11" x14ac:dyDescent="0.2">
      <c r="A1052" s="1236"/>
      <c r="B1052" s="1241"/>
      <c r="C1052" s="1187"/>
      <c r="D1052" s="1265"/>
      <c r="E1052" s="1266"/>
      <c r="F1052" s="1287"/>
      <c r="G1052" s="1239"/>
      <c r="H1052" s="1239">
        <f t="shared" si="34"/>
        <v>633732083</v>
      </c>
      <c r="I1052" s="1049"/>
      <c r="K1052" s="19"/>
    </row>
    <row r="1053" spans="1:11" x14ac:dyDescent="0.2">
      <c r="A1053" s="1236"/>
      <c r="B1053" s="1241"/>
      <c r="C1053" s="1187"/>
      <c r="D1053" s="1265"/>
      <c r="E1053" s="1266"/>
      <c r="F1053" s="1287"/>
      <c r="G1053" s="1239"/>
      <c r="H1053" s="1239">
        <f t="shared" si="34"/>
        <v>633732083</v>
      </c>
      <c r="I1053" s="1049"/>
      <c r="K1053" s="19"/>
    </row>
    <row r="1054" spans="1:11" x14ac:dyDescent="0.2">
      <c r="A1054" s="1236"/>
      <c r="B1054" s="1241"/>
      <c r="C1054" s="1187"/>
      <c r="D1054" s="1265"/>
      <c r="E1054" s="1266"/>
      <c r="F1054" s="1287"/>
      <c r="G1054" s="1239"/>
      <c r="H1054" s="1239">
        <f t="shared" si="34"/>
        <v>633732083</v>
      </c>
      <c r="I1054" s="1049"/>
      <c r="K1054" s="19"/>
    </row>
    <row r="1055" spans="1:11" x14ac:dyDescent="0.2">
      <c r="A1055" s="1234"/>
      <c r="B1055" s="1241"/>
      <c r="C1055" s="1187"/>
      <c r="D1055" s="443">
        <f>_xlfn.XLOOKUP(B1055,Códigos!$A$421:$A$483,Códigos!$B$421:$B$483,"Verificar",0)</f>
        <v>0</v>
      </c>
      <c r="E1055" s="444">
        <f>_xlfn.XLOOKUP(C1055,Códigos!$A$11:$A$415,Códigos!$B$11:$B$415,"Verificar",0)</f>
        <v>0</v>
      </c>
      <c r="F1055" s="1286"/>
      <c r="G1055" s="1239"/>
      <c r="H1055" s="1239">
        <f t="shared" si="34"/>
        <v>633732083</v>
      </c>
      <c r="I1055" s="1049"/>
      <c r="K1055" s="19"/>
    </row>
    <row r="1056" spans="1:11" x14ac:dyDescent="0.2">
      <c r="A1056" s="1234"/>
      <c r="B1056" s="1241"/>
      <c r="C1056" s="1187"/>
      <c r="D1056" s="443">
        <f>_xlfn.XLOOKUP(B1056,Códigos!$A$421:$A$483,Códigos!$B$421:$B$483,"Verificar",0)</f>
        <v>0</v>
      </c>
      <c r="E1056" s="444">
        <f>_xlfn.XLOOKUP(C1056,Códigos!$A$11:$A$415,Códigos!$B$11:$B$415,"Verificar",0)</f>
        <v>0</v>
      </c>
      <c r="F1056" s="1286"/>
      <c r="G1056" s="1239"/>
      <c r="H1056" s="1239">
        <f t="shared" si="34"/>
        <v>633732083</v>
      </c>
      <c r="I1056" s="1049"/>
      <c r="K1056" s="19"/>
    </row>
    <row r="1057" spans="1:11" x14ac:dyDescent="0.2">
      <c r="A1057" s="1234"/>
      <c r="B1057" s="1241"/>
      <c r="C1057" s="1187"/>
      <c r="D1057" s="443">
        <f>_xlfn.XLOOKUP(B1057,Códigos!$A$421:$A$483,Códigos!$B$421:$B$483,"Verificar",0)</f>
        <v>0</v>
      </c>
      <c r="E1057" s="444">
        <f>_xlfn.XLOOKUP(C1057,Códigos!$A$11:$A$415,Códigos!$B$11:$B$415,"Verificar",0)</f>
        <v>0</v>
      </c>
      <c r="F1057" s="1286"/>
      <c r="G1057" s="1239"/>
      <c r="H1057" s="1239">
        <f t="shared" si="34"/>
        <v>633732083</v>
      </c>
      <c r="I1057" s="1049"/>
      <c r="K1057" s="19"/>
    </row>
    <row r="1058" spans="1:11" x14ac:dyDescent="0.2">
      <c r="A1058" s="1234"/>
      <c r="B1058" s="1241"/>
      <c r="C1058" s="1187"/>
      <c r="D1058" s="443">
        <f>_xlfn.XLOOKUP(B1058,Códigos!$A$421:$A$483,Códigos!$B$421:$B$483,"Verificar",0)</f>
        <v>0</v>
      </c>
      <c r="E1058" s="444">
        <f>_xlfn.XLOOKUP(C1058,Códigos!$A$11:$A$415,Códigos!$B$11:$B$415,"Verificar",0)</f>
        <v>0</v>
      </c>
      <c r="F1058" s="1286"/>
      <c r="G1058" s="1239"/>
      <c r="H1058" s="1239">
        <f t="shared" si="34"/>
        <v>633732083</v>
      </c>
      <c r="I1058" s="1049"/>
      <c r="K1058" s="19"/>
    </row>
    <row r="1059" spans="1:11" x14ac:dyDescent="0.2">
      <c r="A1059" s="1234"/>
      <c r="B1059" s="1241"/>
      <c r="C1059" s="1187"/>
      <c r="D1059" s="443">
        <f>_xlfn.XLOOKUP(B1059,Códigos!$A$421:$A$483,Códigos!$B$421:$B$483,"Verificar",0)</f>
        <v>0</v>
      </c>
      <c r="E1059" s="444">
        <f>_xlfn.XLOOKUP(C1059,Códigos!$A$11:$A$415,Códigos!$B$11:$B$415,"Verificar",0)</f>
        <v>0</v>
      </c>
      <c r="F1059" s="1286"/>
      <c r="G1059" s="1239"/>
      <c r="H1059" s="1239">
        <f t="shared" si="34"/>
        <v>633732083</v>
      </c>
      <c r="I1059" s="1049"/>
      <c r="K1059" s="19"/>
    </row>
    <row r="1060" spans="1:11" x14ac:dyDescent="0.2">
      <c r="A1060" s="1234"/>
      <c r="B1060" s="1241"/>
      <c r="C1060" s="1187"/>
      <c r="D1060" s="443">
        <f>_xlfn.XLOOKUP(B1060,Códigos!$A$421:$A$483,Códigos!$B$421:$B$483,"Verificar",0)</f>
        <v>0</v>
      </c>
      <c r="E1060" s="444">
        <f>_xlfn.XLOOKUP(C1060,Códigos!$A$11:$A$415,Códigos!$B$11:$B$415,"Verificar",0)</f>
        <v>0</v>
      </c>
      <c r="F1060" s="1286"/>
      <c r="G1060" s="1239"/>
      <c r="H1060" s="1239">
        <f t="shared" si="34"/>
        <v>633732083</v>
      </c>
      <c r="I1060" s="1049"/>
      <c r="K1060" s="19"/>
    </row>
    <row r="1061" spans="1:11" x14ac:dyDescent="0.2">
      <c r="A1061" s="1234"/>
      <c r="B1061" s="1241"/>
      <c r="C1061" s="1187"/>
      <c r="D1061" s="443">
        <f>_xlfn.XLOOKUP(B1061,Códigos!$A$421:$A$483,Códigos!$B$421:$B$483,"Verificar",0)</f>
        <v>0</v>
      </c>
      <c r="E1061" s="444">
        <f>_xlfn.XLOOKUP(C1061,Códigos!$A$11:$A$415,Códigos!$B$11:$B$415,"Verificar",0)</f>
        <v>0</v>
      </c>
      <c r="F1061" s="1286"/>
      <c r="G1061" s="1239"/>
      <c r="H1061" s="1239">
        <f t="shared" si="34"/>
        <v>633732083</v>
      </c>
      <c r="I1061" s="1049"/>
      <c r="K1061" s="19"/>
    </row>
    <row r="1062" spans="1:11" x14ac:dyDescent="0.2">
      <c r="A1062" s="1234"/>
      <c r="B1062" s="1241"/>
      <c r="C1062" s="1187"/>
      <c r="D1062" s="443">
        <f>_xlfn.XLOOKUP(B1062,Códigos!$A$421:$A$483,Códigos!$B$421:$B$483,"Verificar",0)</f>
        <v>0</v>
      </c>
      <c r="E1062" s="444">
        <f>_xlfn.XLOOKUP(C1062,Códigos!$A$11:$A$415,Códigos!$B$11:$B$415,"Verificar",0)</f>
        <v>0</v>
      </c>
      <c r="F1062" s="1286"/>
      <c r="G1062" s="1239"/>
      <c r="H1062" s="1239">
        <f t="shared" si="34"/>
        <v>633732083</v>
      </c>
      <c r="I1062" s="1049"/>
      <c r="K1062" s="19"/>
    </row>
    <row r="1063" spans="1:11" x14ac:dyDescent="0.2">
      <c r="A1063" s="1234"/>
      <c r="B1063" s="1241"/>
      <c r="C1063" s="1187"/>
      <c r="D1063" s="443">
        <f>_xlfn.XLOOKUP(B1063,Códigos!$A$421:$A$483,Códigos!$B$421:$B$483,"Verificar",0)</f>
        <v>0</v>
      </c>
      <c r="E1063" s="444">
        <f>_xlfn.XLOOKUP(C1063,Códigos!$A$11:$A$415,Códigos!$B$11:$B$415,"Verificar",0)</f>
        <v>0</v>
      </c>
      <c r="F1063" s="1286"/>
      <c r="G1063" s="1239"/>
      <c r="H1063" s="1239">
        <f t="shared" si="34"/>
        <v>633732083</v>
      </c>
      <c r="I1063" s="1049"/>
      <c r="K1063" s="19"/>
    </row>
    <row r="1064" spans="1:11" x14ac:dyDescent="0.2">
      <c r="A1064" s="1234"/>
      <c r="B1064" s="1241"/>
      <c r="C1064" s="1187"/>
      <c r="D1064" s="443">
        <f>_xlfn.XLOOKUP(B1064,Códigos!$A$421:$A$483,Códigos!$B$421:$B$483,"Verificar",0)</f>
        <v>0</v>
      </c>
      <c r="E1064" s="444">
        <f>_xlfn.XLOOKUP(C1064,Códigos!$A$11:$A$415,Códigos!$B$11:$B$415,"Verificar",0)</f>
        <v>0</v>
      </c>
      <c r="F1064" s="1286"/>
      <c r="G1064" s="1239"/>
      <c r="H1064" s="1239">
        <f t="shared" si="34"/>
        <v>633732083</v>
      </c>
      <c r="I1064" s="1051"/>
      <c r="K1064" s="19"/>
    </row>
    <row r="1065" spans="1:11" x14ac:dyDescent="0.2">
      <c r="A1065" s="1234"/>
      <c r="B1065" s="1241"/>
      <c r="C1065" s="1187"/>
      <c r="D1065" s="443">
        <f>_xlfn.XLOOKUP(B1065,Códigos!$A$421:$A$483,Códigos!$B$421:$B$483,"Verificar",0)</f>
        <v>0</v>
      </c>
      <c r="E1065" s="444">
        <f>_xlfn.XLOOKUP(C1065,Códigos!$A$11:$A$415,Códigos!$B$11:$B$415,"Verificar",0)</f>
        <v>0</v>
      </c>
      <c r="F1065" s="1286"/>
      <c r="G1065" s="1239"/>
      <c r="H1065" s="1239">
        <f t="shared" si="34"/>
        <v>633732083</v>
      </c>
      <c r="I1065" s="1051"/>
      <c r="K1065" s="19"/>
    </row>
    <row r="1066" spans="1:11" x14ac:dyDescent="0.2">
      <c r="A1066" s="1234"/>
      <c r="B1066" s="1241"/>
      <c r="C1066" s="1187"/>
      <c r="D1066" s="443">
        <f>_xlfn.XLOOKUP(B1066,Códigos!$A$421:$A$483,Códigos!$B$421:$B$483,"Verificar",0)</f>
        <v>0</v>
      </c>
      <c r="E1066" s="444">
        <f>_xlfn.XLOOKUP(C1066,Códigos!$A$11:$A$415,Códigos!$B$11:$B$415,"Verificar",0)</f>
        <v>0</v>
      </c>
      <c r="F1066" s="1286"/>
      <c r="G1066" s="1239"/>
      <c r="H1066" s="1239">
        <f t="shared" si="34"/>
        <v>633732083</v>
      </c>
      <c r="I1066" s="1049"/>
      <c r="K1066" s="19"/>
    </row>
    <row r="1067" spans="1:11" x14ac:dyDescent="0.2">
      <c r="A1067" s="1234"/>
      <c r="B1067" s="1241"/>
      <c r="C1067" s="1187"/>
      <c r="D1067" s="443">
        <f>_xlfn.XLOOKUP(B1067,Códigos!$A$421:$A$483,Códigos!$B$421:$B$483,"Verificar",0)</f>
        <v>0</v>
      </c>
      <c r="E1067" s="444">
        <f>_xlfn.XLOOKUP(C1067,Códigos!$A$11:$A$415,Códigos!$B$11:$B$415,"Verificar",0)</f>
        <v>0</v>
      </c>
      <c r="F1067" s="1286"/>
      <c r="G1067" s="1239"/>
      <c r="H1067" s="1239">
        <f t="shared" si="34"/>
        <v>633732083</v>
      </c>
      <c r="I1067" s="1049"/>
      <c r="K1067" s="19"/>
    </row>
    <row r="1068" spans="1:11" x14ac:dyDescent="0.2">
      <c r="A1068" s="1234"/>
      <c r="B1068" s="1241"/>
      <c r="C1068" s="1187"/>
      <c r="D1068" s="443">
        <f>_xlfn.XLOOKUP(B1068,Códigos!$A$421:$A$483,Códigos!$B$421:$B$483,"Verificar",0)</f>
        <v>0</v>
      </c>
      <c r="E1068" s="444">
        <f>_xlfn.XLOOKUP(C1068,Códigos!$A$11:$A$415,Códigos!$B$11:$B$415,"Verificar",0)</f>
        <v>0</v>
      </c>
      <c r="F1068" s="1286"/>
      <c r="G1068" s="1239"/>
      <c r="H1068" s="1239">
        <f t="shared" si="34"/>
        <v>633732083</v>
      </c>
      <c r="I1068" s="1049"/>
      <c r="K1068" s="19"/>
    </row>
    <row r="1069" spans="1:11" x14ac:dyDescent="0.2">
      <c r="A1069" s="1234"/>
      <c r="B1069" s="1241"/>
      <c r="C1069" s="1187"/>
      <c r="D1069" s="443">
        <f>_xlfn.XLOOKUP(B1069,Códigos!$A$421:$A$483,Códigos!$B$421:$B$483,"Verificar",0)</f>
        <v>0</v>
      </c>
      <c r="E1069" s="444">
        <f>_xlfn.XLOOKUP(C1069,Códigos!$A$11:$A$415,Códigos!$B$11:$B$415,"Verificar",0)</f>
        <v>0</v>
      </c>
      <c r="F1069" s="1286"/>
      <c r="G1069" s="1239"/>
      <c r="H1069" s="1239">
        <f t="shared" si="34"/>
        <v>633732083</v>
      </c>
      <c r="I1069" s="1049"/>
      <c r="K1069" s="19"/>
    </row>
    <row r="1070" spans="1:11" x14ac:dyDescent="0.2">
      <c r="A1070" s="1234"/>
      <c r="B1070" s="1241"/>
      <c r="C1070" s="1187"/>
      <c r="D1070" s="443">
        <f>_xlfn.XLOOKUP(B1070,Códigos!$A$421:$A$483,Códigos!$B$421:$B$483,"Verificar",0)</f>
        <v>0</v>
      </c>
      <c r="E1070" s="444">
        <f>_xlfn.XLOOKUP(C1070,Códigos!$A$11:$A$415,Códigos!$B$11:$B$415,"Verificar",0)</f>
        <v>0</v>
      </c>
      <c r="F1070" s="1286"/>
      <c r="G1070" s="1239"/>
      <c r="H1070" s="1239">
        <f t="shared" si="34"/>
        <v>633732083</v>
      </c>
      <c r="I1070" s="1049"/>
      <c r="K1070" s="19"/>
    </row>
    <row r="1071" spans="1:11" x14ac:dyDescent="0.2">
      <c r="A1071" s="1234"/>
      <c r="B1071" s="1241"/>
      <c r="C1071" s="1187"/>
      <c r="D1071" s="443">
        <f>_xlfn.XLOOKUP(B1071,Códigos!$A$421:$A$483,Códigos!$B$421:$B$483,"Verificar",0)</f>
        <v>0</v>
      </c>
      <c r="E1071" s="444">
        <f>_xlfn.XLOOKUP(C1071,Códigos!$A$11:$A$415,Códigos!$B$11:$B$415,"Verificar",0)</f>
        <v>0</v>
      </c>
      <c r="F1071" s="1286"/>
      <c r="G1071" s="1239"/>
      <c r="H1071" s="1239">
        <f t="shared" si="34"/>
        <v>633732083</v>
      </c>
      <c r="I1071" s="1049"/>
      <c r="K1071" s="19"/>
    </row>
    <row r="1072" spans="1:11" x14ac:dyDescent="0.2">
      <c r="A1072" s="1234"/>
      <c r="B1072" s="1241"/>
      <c r="C1072" s="1187"/>
      <c r="D1072" s="443">
        <f>_xlfn.XLOOKUP(B1072,Códigos!$A$421:$A$483,Códigos!$B$421:$B$483,"Verificar",0)</f>
        <v>0</v>
      </c>
      <c r="E1072" s="444">
        <f>_xlfn.XLOOKUP(C1072,Códigos!$A$11:$A$415,Códigos!$B$11:$B$415,"Verificar",0)</f>
        <v>0</v>
      </c>
      <c r="F1072" s="1286"/>
      <c r="G1072" s="1239"/>
      <c r="H1072" s="1239">
        <f t="shared" si="34"/>
        <v>633732083</v>
      </c>
      <c r="I1072" s="1049"/>
      <c r="K1072" s="19"/>
    </row>
    <row r="1073" spans="1:11" x14ac:dyDescent="0.2">
      <c r="A1073" s="1234"/>
      <c r="B1073" s="1241"/>
      <c r="C1073" s="1187"/>
      <c r="D1073" s="443">
        <f>_xlfn.XLOOKUP(B1073,Códigos!$A$421:$A$483,Códigos!$B$421:$B$483,"Verificar",0)</f>
        <v>0</v>
      </c>
      <c r="E1073" s="444">
        <f>_xlfn.XLOOKUP(C1073,Códigos!$A$11:$A$415,Códigos!$B$11:$B$415,"Verificar",0)</f>
        <v>0</v>
      </c>
      <c r="F1073" s="1286"/>
      <c r="G1073" s="1239"/>
      <c r="H1073" s="1239">
        <f t="shared" si="34"/>
        <v>633732083</v>
      </c>
      <c r="I1073" s="1049"/>
      <c r="K1073" s="19"/>
    </row>
    <row r="1074" spans="1:11" x14ac:dyDescent="0.2">
      <c r="A1074" s="1234"/>
      <c r="B1074" s="1241"/>
      <c r="C1074" s="1187"/>
      <c r="D1074" s="443">
        <f>_xlfn.XLOOKUP(B1074,Códigos!$A$421:$A$483,Códigos!$B$421:$B$483,"Verificar",0)</f>
        <v>0</v>
      </c>
      <c r="E1074" s="444">
        <f>_xlfn.XLOOKUP(C1074,Códigos!$A$11:$A$415,Códigos!$B$11:$B$415,"Verificar",0)</f>
        <v>0</v>
      </c>
      <c r="F1074" s="1286"/>
      <c r="G1074" s="1239"/>
      <c r="H1074" s="1239">
        <f t="shared" si="34"/>
        <v>633732083</v>
      </c>
      <c r="I1074" s="1049"/>
      <c r="K1074" s="19"/>
    </row>
    <row r="1075" spans="1:11" x14ac:dyDescent="0.2">
      <c r="A1075" s="1234"/>
      <c r="B1075" s="1241"/>
      <c r="C1075" s="1187"/>
      <c r="D1075" s="443">
        <f>_xlfn.XLOOKUP(B1075,Códigos!$A$421:$A$483,Códigos!$B$421:$B$483,"Verificar",0)</f>
        <v>0</v>
      </c>
      <c r="E1075" s="444">
        <f>_xlfn.XLOOKUP(C1075,Códigos!$A$11:$A$415,Códigos!$B$11:$B$415,"Verificar",0)</f>
        <v>0</v>
      </c>
      <c r="F1075" s="1286"/>
      <c r="G1075" s="1239"/>
      <c r="H1075" s="1239">
        <f t="shared" si="34"/>
        <v>633732083</v>
      </c>
      <c r="I1075" s="1049"/>
      <c r="K1075" s="19"/>
    </row>
    <row r="1076" spans="1:11" x14ac:dyDescent="0.2">
      <c r="A1076" s="1234"/>
      <c r="B1076" s="1241"/>
      <c r="C1076" s="1187"/>
      <c r="D1076" s="443">
        <f>_xlfn.XLOOKUP(B1076,Códigos!$A$421:$A$483,Códigos!$B$421:$B$483,"Verificar",0)</f>
        <v>0</v>
      </c>
      <c r="E1076" s="444">
        <f>_xlfn.XLOOKUP(C1076,Códigos!$A$11:$A$415,Códigos!$B$11:$B$415,"Verificar",0)</f>
        <v>0</v>
      </c>
      <c r="F1076" s="1286"/>
      <c r="G1076" s="1239"/>
      <c r="H1076" s="1239">
        <f t="shared" si="34"/>
        <v>633732083</v>
      </c>
      <c r="I1076" s="1049"/>
      <c r="K1076" s="19"/>
    </row>
    <row r="1077" spans="1:11" x14ac:dyDescent="0.2">
      <c r="A1077" s="1234"/>
      <c r="B1077" s="1241"/>
      <c r="C1077" s="1187"/>
      <c r="D1077" s="443">
        <f>_xlfn.XLOOKUP(B1077,Códigos!$A$421:$A$483,Códigos!$B$421:$B$483,"Verificar",0)</f>
        <v>0</v>
      </c>
      <c r="E1077" s="444">
        <f>_xlfn.XLOOKUP(C1077,Códigos!$A$11:$A$415,Códigos!$B$11:$B$415,"Verificar",0)</f>
        <v>0</v>
      </c>
      <c r="F1077" s="1286"/>
      <c r="G1077" s="1239"/>
      <c r="H1077" s="1239">
        <f t="shared" si="34"/>
        <v>633732083</v>
      </c>
      <c r="I1077" s="1049"/>
      <c r="K1077" s="19"/>
    </row>
    <row r="1078" spans="1:11" x14ac:dyDescent="0.2">
      <c r="A1078" s="1234"/>
      <c r="B1078" s="1241"/>
      <c r="C1078" s="1187"/>
      <c r="D1078" s="443">
        <f>_xlfn.XLOOKUP(B1078,Códigos!$A$421:$A$483,Códigos!$B$421:$B$483,"Verificar",0)</f>
        <v>0</v>
      </c>
      <c r="E1078" s="444">
        <f>_xlfn.XLOOKUP(C1078,Códigos!$A$11:$A$415,Códigos!$B$11:$B$415,"Verificar",0)</f>
        <v>0</v>
      </c>
      <c r="F1078" s="1286"/>
      <c r="G1078" s="1239"/>
      <c r="H1078" s="1239">
        <f t="shared" si="34"/>
        <v>633732083</v>
      </c>
      <c r="I1078" s="1049"/>
      <c r="K1078" s="19"/>
    </row>
    <row r="1079" spans="1:11" x14ac:dyDescent="0.2">
      <c r="A1079" s="1234"/>
      <c r="B1079" s="1241"/>
      <c r="C1079" s="1187"/>
      <c r="D1079" s="443">
        <f>_xlfn.XLOOKUP(B1079,Códigos!$A$421:$A$483,Códigos!$B$421:$B$483,"Verificar",0)</f>
        <v>0</v>
      </c>
      <c r="E1079" s="444">
        <f>_xlfn.XLOOKUP(C1079,Códigos!$A$11:$A$415,Códigos!$B$11:$B$415,"Verificar",0)</f>
        <v>0</v>
      </c>
      <c r="F1079" s="1286"/>
      <c r="G1079" s="1239"/>
      <c r="H1079" s="1239">
        <f t="shared" si="34"/>
        <v>633732083</v>
      </c>
      <c r="I1079" s="1049"/>
      <c r="K1079" s="19"/>
    </row>
    <row r="1080" spans="1:11" x14ac:dyDescent="0.2">
      <c r="A1080" s="1234"/>
      <c r="B1080" s="1241"/>
      <c r="C1080" s="1187"/>
      <c r="D1080" s="443">
        <f>_xlfn.XLOOKUP(B1080,Códigos!$A$421:$A$483,Códigos!$B$421:$B$483,"Verificar",0)</f>
        <v>0</v>
      </c>
      <c r="E1080" s="444">
        <f>_xlfn.XLOOKUP(C1080,Códigos!$A$11:$A$415,Códigos!$B$11:$B$415,"Verificar",0)</f>
        <v>0</v>
      </c>
      <c r="F1080" s="1286"/>
      <c r="G1080" s="1239"/>
      <c r="H1080" s="1239">
        <f t="shared" si="34"/>
        <v>633732083</v>
      </c>
      <c r="I1080" s="1049"/>
      <c r="K1080" s="19"/>
    </row>
    <row r="1081" spans="1:11" x14ac:dyDescent="0.2">
      <c r="A1081" s="999"/>
      <c r="B1081" s="1000"/>
      <c r="C1081" s="996"/>
      <c r="D1081" s="443">
        <f>_xlfn.XLOOKUP(B1081,Códigos!$A$421:$A$483,Códigos!$B$421:$B$483,"Verificar",0)</f>
        <v>0</v>
      </c>
      <c r="E1081" s="444">
        <f>_xlfn.XLOOKUP(C1081,Códigos!$A$11:$A$415,Códigos!$B$11:$B$415,"Verificar",0)</f>
        <v>0</v>
      </c>
      <c r="F1081" s="1286"/>
      <c r="G1081" s="1239"/>
      <c r="H1081" s="1239">
        <f t="shared" si="34"/>
        <v>633732083</v>
      </c>
      <c r="I1081" s="1049"/>
      <c r="K1081" s="19"/>
    </row>
    <row r="1082" spans="1:11" x14ac:dyDescent="0.2">
      <c r="A1082" s="999"/>
      <c r="B1082" s="1000"/>
      <c r="C1082" s="996"/>
      <c r="D1082" s="443">
        <f>_xlfn.XLOOKUP(B1082,Códigos!$A$421:$A$483,Códigos!$B$421:$B$483,"Verificar",0)</f>
        <v>0</v>
      </c>
      <c r="E1082" s="444">
        <f>_xlfn.XLOOKUP(C1082,Códigos!$A$11:$A$415,Códigos!$B$11:$B$415,"Verificar",0)</f>
        <v>0</v>
      </c>
      <c r="F1082" s="1286"/>
      <c r="G1082" s="1239"/>
      <c r="H1082" s="1239">
        <f t="shared" si="34"/>
        <v>633732083</v>
      </c>
      <c r="I1082" s="1049"/>
      <c r="K1082" s="19"/>
    </row>
    <row r="1083" spans="1:11" x14ac:dyDescent="0.2">
      <c r="A1083" s="999"/>
      <c r="B1083" s="1000"/>
      <c r="C1083" s="996"/>
      <c r="D1083" s="443">
        <f>_xlfn.XLOOKUP(B1083,Códigos!$A$421:$A$483,Códigos!$B$421:$B$483,"Verificar",0)</f>
        <v>0</v>
      </c>
      <c r="E1083" s="444">
        <f>_xlfn.XLOOKUP(C1083,Códigos!$A$11:$A$415,Códigos!$B$11:$B$415,"Verificar",0)</f>
        <v>0</v>
      </c>
      <c r="F1083" s="1286"/>
      <c r="G1083" s="1239"/>
      <c r="H1083" s="1239">
        <f t="shared" si="34"/>
        <v>633732083</v>
      </c>
      <c r="I1083" s="1049"/>
      <c r="K1083" s="19"/>
    </row>
    <row r="1084" spans="1:11" x14ac:dyDescent="0.2">
      <c r="A1084" s="999"/>
      <c r="B1084" s="1000"/>
      <c r="C1084" s="996"/>
      <c r="D1084" s="443">
        <f>_xlfn.XLOOKUP(B1084,Códigos!$A$421:$A$483,Códigos!$B$421:$B$483,"Verificar",0)</f>
        <v>0</v>
      </c>
      <c r="E1084" s="444">
        <f>_xlfn.XLOOKUP(C1084,Códigos!$A$11:$A$415,Códigos!$B$11:$B$415,"Verificar",0)</f>
        <v>0</v>
      </c>
      <c r="F1084" s="1286"/>
      <c r="G1084" s="1239"/>
      <c r="H1084" s="1239">
        <f t="shared" si="34"/>
        <v>633732083</v>
      </c>
      <c r="I1084" s="1049"/>
      <c r="K1084" s="19"/>
    </row>
    <row r="1085" spans="1:11" x14ac:dyDescent="0.2">
      <c r="A1085" s="999"/>
      <c r="B1085" s="1000"/>
      <c r="C1085" s="996"/>
      <c r="D1085" s="443">
        <f>_xlfn.XLOOKUP(B1085,Códigos!$A$421:$A$483,Códigos!$B$421:$B$483,"Verificar",0)</f>
        <v>0</v>
      </c>
      <c r="E1085" s="444">
        <f>_xlfn.XLOOKUP(C1085,Códigos!$A$11:$A$415,Códigos!$B$11:$B$415,"Verificar",0)</f>
        <v>0</v>
      </c>
      <c r="F1085" s="1286"/>
      <c r="G1085" s="1239"/>
      <c r="H1085" s="1239">
        <f t="shared" si="34"/>
        <v>633732083</v>
      </c>
      <c r="I1085" s="1049"/>
      <c r="K1085" s="19"/>
    </row>
    <row r="1086" spans="1:11" x14ac:dyDescent="0.2">
      <c r="A1086" s="999"/>
      <c r="B1086" s="1000"/>
      <c r="C1086" s="996"/>
      <c r="D1086" s="443">
        <f>_xlfn.XLOOKUP(B1086,Códigos!$A$421:$A$483,Códigos!$B$421:$B$483,"Verificar",0)</f>
        <v>0</v>
      </c>
      <c r="E1086" s="444">
        <f>_xlfn.XLOOKUP(C1086,Códigos!$A$11:$A$415,Códigos!$B$11:$B$415,"Verificar",0)</f>
        <v>0</v>
      </c>
      <c r="F1086" s="1286"/>
      <c r="G1086" s="1239"/>
      <c r="H1086" s="1239">
        <f t="shared" si="34"/>
        <v>633732083</v>
      </c>
      <c r="I1086" s="1049"/>
      <c r="K1086" s="19"/>
    </row>
    <row r="1087" spans="1:11" x14ac:dyDescent="0.2">
      <c r="A1087" s="999"/>
      <c r="B1087" s="1000"/>
      <c r="C1087" s="996"/>
      <c r="D1087" s="443">
        <f>_xlfn.XLOOKUP(B1087,Códigos!$A$421:$A$483,Códigos!$B$421:$B$483,"Verificar",0)</f>
        <v>0</v>
      </c>
      <c r="E1087" s="444">
        <f>_xlfn.XLOOKUP(C1087,Códigos!$A$11:$A$415,Códigos!$B$11:$B$415,"Verificar",0)</f>
        <v>0</v>
      </c>
      <c r="F1087" s="1286"/>
      <c r="G1087" s="1239"/>
      <c r="H1087" s="1239">
        <f t="shared" si="34"/>
        <v>633732083</v>
      </c>
      <c r="I1087" s="1049"/>
      <c r="K1087" s="19"/>
    </row>
    <row r="1088" spans="1:11" x14ac:dyDescent="0.2">
      <c r="A1088" s="999"/>
      <c r="B1088" s="1000"/>
      <c r="C1088" s="996"/>
      <c r="D1088" s="443">
        <f>_xlfn.XLOOKUP(B1088,Códigos!$A$421:$A$483,Códigos!$B$421:$B$483,"Verificar",0)</f>
        <v>0</v>
      </c>
      <c r="E1088" s="444">
        <f>_xlfn.XLOOKUP(C1088,Códigos!$A$11:$A$415,Códigos!$B$11:$B$415,"Verificar",0)</f>
        <v>0</v>
      </c>
      <c r="F1088" s="1286"/>
      <c r="G1088" s="1239"/>
      <c r="H1088" s="1239">
        <f t="shared" ref="H1088:H1151" si="35">+H1087+G1088</f>
        <v>633732083</v>
      </c>
      <c r="I1088" s="1049"/>
      <c r="K1088" s="19"/>
    </row>
    <row r="1089" spans="1:11" x14ac:dyDescent="0.2">
      <c r="A1089" s="999"/>
      <c r="B1089" s="1000"/>
      <c r="C1089" s="996"/>
      <c r="D1089" s="443">
        <f>_xlfn.XLOOKUP(B1089,Códigos!$A$421:$A$483,Códigos!$B$421:$B$483,"Verificar",0)</f>
        <v>0</v>
      </c>
      <c r="E1089" s="444">
        <f>_xlfn.XLOOKUP(C1089,Códigos!$A$11:$A$415,Códigos!$B$11:$B$415,"Verificar",0)</f>
        <v>0</v>
      </c>
      <c r="F1089" s="1286"/>
      <c r="G1089" s="1239"/>
      <c r="H1089" s="1239">
        <f t="shared" si="35"/>
        <v>633732083</v>
      </c>
      <c r="I1089" s="1049"/>
      <c r="K1089" s="19"/>
    </row>
    <row r="1090" spans="1:11" x14ac:dyDescent="0.2">
      <c r="A1090" s="999"/>
      <c r="B1090" s="1000"/>
      <c r="C1090" s="996"/>
      <c r="D1090" s="443">
        <f>_xlfn.XLOOKUP(B1090,Códigos!$A$421:$A$483,Códigos!$B$421:$B$483,"Verificar",0)</f>
        <v>0</v>
      </c>
      <c r="E1090" s="444">
        <f>_xlfn.XLOOKUP(C1090,Códigos!$A$11:$A$415,Códigos!$B$11:$B$415,"Verificar",0)</f>
        <v>0</v>
      </c>
      <c r="F1090" s="1286"/>
      <c r="G1090" s="1239"/>
      <c r="H1090" s="1239">
        <f t="shared" si="35"/>
        <v>633732083</v>
      </c>
      <c r="I1090" s="1049"/>
      <c r="K1090" s="19"/>
    </row>
    <row r="1091" spans="1:11" x14ac:dyDescent="0.2">
      <c r="A1091" s="999"/>
      <c r="B1091" s="1000"/>
      <c r="C1091" s="996"/>
      <c r="D1091" s="443">
        <f>_xlfn.XLOOKUP(B1091,Códigos!$A$421:$A$483,Códigos!$B$421:$B$483,"Verificar",0)</f>
        <v>0</v>
      </c>
      <c r="E1091" s="444">
        <f>_xlfn.XLOOKUP(C1091,Códigos!$A$11:$A$415,Códigos!$B$11:$B$415,"Verificar",0)</f>
        <v>0</v>
      </c>
      <c r="F1091" s="1286"/>
      <c r="G1091" s="1239"/>
      <c r="H1091" s="1239">
        <f t="shared" si="35"/>
        <v>633732083</v>
      </c>
      <c r="I1091" s="1049"/>
      <c r="K1091" s="19"/>
    </row>
    <row r="1092" spans="1:11" x14ac:dyDescent="0.2">
      <c r="A1092" s="999"/>
      <c r="B1092" s="1000"/>
      <c r="C1092" s="996"/>
      <c r="D1092" s="443">
        <f>_xlfn.XLOOKUP(B1092,Códigos!$A$421:$A$483,Códigos!$B$421:$B$483,"Verificar",0)</f>
        <v>0</v>
      </c>
      <c r="E1092" s="444">
        <f>_xlfn.XLOOKUP(C1092,Códigos!$A$11:$A$415,Códigos!$B$11:$B$415,"Verificar",0)</f>
        <v>0</v>
      </c>
      <c r="F1092" s="1286"/>
      <c r="G1092" s="1239"/>
      <c r="H1092" s="1239">
        <f t="shared" si="35"/>
        <v>633732083</v>
      </c>
      <c r="I1092" s="1049"/>
      <c r="K1092" s="19"/>
    </row>
    <row r="1093" spans="1:11" x14ac:dyDescent="0.2">
      <c r="A1093" s="999"/>
      <c r="B1093" s="1000"/>
      <c r="C1093" s="996"/>
      <c r="D1093" s="443">
        <f>_xlfn.XLOOKUP(B1093,Códigos!$A$421:$A$483,Códigos!$B$421:$B$483,"Verificar",0)</f>
        <v>0</v>
      </c>
      <c r="E1093" s="444">
        <f>_xlfn.XLOOKUP(C1093,Códigos!$A$11:$A$415,Códigos!$B$11:$B$415,"Verificar",0)</f>
        <v>0</v>
      </c>
      <c r="F1093" s="1286"/>
      <c r="G1093" s="1239"/>
      <c r="H1093" s="1239">
        <f t="shared" si="35"/>
        <v>633732083</v>
      </c>
      <c r="I1093" s="1049"/>
      <c r="K1093" s="19"/>
    </row>
    <row r="1094" spans="1:11" x14ac:dyDescent="0.2">
      <c r="A1094" s="999"/>
      <c r="B1094" s="1000"/>
      <c r="C1094" s="996"/>
      <c r="D1094" s="443">
        <f>_xlfn.XLOOKUP(B1094,Códigos!$A$421:$A$483,Códigos!$B$421:$B$483,"Verificar",0)</f>
        <v>0</v>
      </c>
      <c r="E1094" s="444">
        <f>_xlfn.XLOOKUP(C1094,Códigos!$A$11:$A$415,Códigos!$B$11:$B$415,"Verificar",0)</f>
        <v>0</v>
      </c>
      <c r="F1094" s="1286"/>
      <c r="G1094" s="1239"/>
      <c r="H1094" s="1239">
        <f t="shared" si="35"/>
        <v>633732083</v>
      </c>
      <c r="I1094" s="1049"/>
      <c r="K1094" s="19"/>
    </row>
    <row r="1095" spans="1:11" x14ac:dyDescent="0.2">
      <c r="A1095" s="999"/>
      <c r="B1095" s="1000"/>
      <c r="C1095" s="996"/>
      <c r="D1095" s="443">
        <f>_xlfn.XLOOKUP(B1095,Códigos!$A$421:$A$483,Códigos!$B$421:$B$483,"Verificar",0)</f>
        <v>0</v>
      </c>
      <c r="E1095" s="444">
        <f>_xlfn.XLOOKUP(C1095,Códigos!$A$11:$A$415,Códigos!$B$11:$B$415,"Verificar",0)</f>
        <v>0</v>
      </c>
      <c r="F1095" s="1286"/>
      <c r="G1095" s="1239"/>
      <c r="H1095" s="1239">
        <f t="shared" si="35"/>
        <v>633732083</v>
      </c>
      <c r="I1095" s="1049"/>
      <c r="K1095" s="19"/>
    </row>
    <row r="1096" spans="1:11" x14ac:dyDescent="0.2">
      <c r="A1096" s="999"/>
      <c r="B1096" s="1000"/>
      <c r="C1096" s="996"/>
      <c r="D1096" s="443">
        <f>_xlfn.XLOOKUP(B1096,Códigos!$A$421:$A$483,Códigos!$B$421:$B$483,"Verificar",0)</f>
        <v>0</v>
      </c>
      <c r="E1096" s="444">
        <f>_xlfn.XLOOKUP(C1096,Códigos!$A$11:$A$415,Códigos!$B$11:$B$415,"Verificar",0)</f>
        <v>0</v>
      </c>
      <c r="F1096" s="1286"/>
      <c r="G1096" s="1239"/>
      <c r="H1096" s="1239">
        <f t="shared" si="35"/>
        <v>633732083</v>
      </c>
      <c r="I1096" s="1049"/>
      <c r="K1096" s="19"/>
    </row>
    <row r="1097" spans="1:11" x14ac:dyDescent="0.2">
      <c r="A1097" s="999"/>
      <c r="B1097" s="1000"/>
      <c r="C1097" s="996"/>
      <c r="D1097" s="443">
        <f>_xlfn.XLOOKUP(B1097,Códigos!$A$421:$A$483,Códigos!$B$421:$B$483,"Verificar",0)</f>
        <v>0</v>
      </c>
      <c r="E1097" s="444">
        <f>_xlfn.XLOOKUP(C1097,Códigos!$A$11:$A$415,Códigos!$B$11:$B$415,"Verificar",0)</f>
        <v>0</v>
      </c>
      <c r="F1097" s="1286"/>
      <c r="G1097" s="1239"/>
      <c r="H1097" s="1239">
        <f t="shared" si="35"/>
        <v>633732083</v>
      </c>
      <c r="I1097" s="1049"/>
      <c r="K1097" s="19"/>
    </row>
    <row r="1098" spans="1:11" x14ac:dyDescent="0.2">
      <c r="A1098" s="999"/>
      <c r="B1098" s="1000"/>
      <c r="C1098" s="996"/>
      <c r="D1098" s="443">
        <f>_xlfn.XLOOKUP(B1098,Códigos!$A$421:$A$483,Códigos!$B$421:$B$483,"Verificar",0)</f>
        <v>0</v>
      </c>
      <c r="E1098" s="444">
        <f>_xlfn.XLOOKUP(C1098,Códigos!$A$11:$A$415,Códigos!$B$11:$B$415,"Verificar",0)</f>
        <v>0</v>
      </c>
      <c r="F1098" s="1286"/>
      <c r="G1098" s="1239"/>
      <c r="H1098" s="1239">
        <f t="shared" si="35"/>
        <v>633732083</v>
      </c>
      <c r="I1098" s="1049"/>
      <c r="K1098" s="19"/>
    </row>
    <row r="1099" spans="1:11" x14ac:dyDescent="0.2">
      <c r="A1099" s="999"/>
      <c r="B1099" s="1000"/>
      <c r="C1099" s="996"/>
      <c r="D1099" s="443">
        <f>_xlfn.XLOOKUP(B1099,Códigos!$A$421:$A$483,Códigos!$B$421:$B$483,"Verificar",0)</f>
        <v>0</v>
      </c>
      <c r="E1099" s="444">
        <f>_xlfn.XLOOKUP(C1099,Códigos!$A$11:$A$415,Códigos!$B$11:$B$415,"Verificar",0)</f>
        <v>0</v>
      </c>
      <c r="F1099" s="1286"/>
      <c r="G1099" s="1239"/>
      <c r="H1099" s="1239">
        <f t="shared" si="35"/>
        <v>633732083</v>
      </c>
      <c r="I1099" s="1049"/>
      <c r="K1099" s="19"/>
    </row>
    <row r="1100" spans="1:11" x14ac:dyDescent="0.2">
      <c r="A1100" s="999"/>
      <c r="B1100" s="1000"/>
      <c r="C1100" s="996"/>
      <c r="D1100" s="443">
        <f>_xlfn.XLOOKUP(B1100,Códigos!$A$421:$A$483,Códigos!$B$421:$B$483,"Verificar",0)</f>
        <v>0</v>
      </c>
      <c r="E1100" s="444">
        <f>_xlfn.XLOOKUP(C1100,Códigos!$A$11:$A$415,Códigos!$B$11:$B$415,"Verificar",0)</f>
        <v>0</v>
      </c>
      <c r="F1100" s="1286"/>
      <c r="G1100" s="1239"/>
      <c r="H1100" s="1239">
        <f t="shared" si="35"/>
        <v>633732083</v>
      </c>
      <c r="I1100" s="1049"/>
      <c r="K1100" s="19"/>
    </row>
    <row r="1101" spans="1:11" x14ac:dyDescent="0.2">
      <c r="A1101" s="999"/>
      <c r="B1101" s="1000"/>
      <c r="C1101" s="996"/>
      <c r="D1101" s="443">
        <f>_xlfn.XLOOKUP(B1101,Códigos!$A$421:$A$483,Códigos!$B$421:$B$483,"Verificar",0)</f>
        <v>0</v>
      </c>
      <c r="E1101" s="444">
        <f>_xlfn.XLOOKUP(C1101,Códigos!$A$11:$A$415,Códigos!$B$11:$B$415,"Verificar",0)</f>
        <v>0</v>
      </c>
      <c r="F1101" s="1286"/>
      <c r="G1101" s="1239"/>
      <c r="H1101" s="1239">
        <f t="shared" si="35"/>
        <v>633732083</v>
      </c>
      <c r="I1101" s="1049"/>
      <c r="K1101" s="19"/>
    </row>
    <row r="1102" spans="1:11" x14ac:dyDescent="0.2">
      <c r="A1102" s="999"/>
      <c r="B1102" s="1000"/>
      <c r="C1102" s="996"/>
      <c r="D1102" s="443">
        <f>_xlfn.XLOOKUP(B1102,Códigos!$A$421:$A$483,Códigos!$B$421:$B$483,"Verificar",0)</f>
        <v>0</v>
      </c>
      <c r="E1102" s="444">
        <f>_xlfn.XLOOKUP(C1102,Códigos!$A$11:$A$415,Códigos!$B$11:$B$415,"Verificar",0)</f>
        <v>0</v>
      </c>
      <c r="F1102" s="1286"/>
      <c r="G1102" s="1239"/>
      <c r="H1102" s="1239">
        <f t="shared" si="35"/>
        <v>633732083</v>
      </c>
      <c r="I1102" s="1049"/>
      <c r="K1102" s="19"/>
    </row>
    <row r="1103" spans="1:11" x14ac:dyDescent="0.2">
      <c r="A1103" s="999"/>
      <c r="B1103" s="1000"/>
      <c r="C1103" s="996"/>
      <c r="D1103" s="443">
        <f>_xlfn.XLOOKUP(B1103,Códigos!$A$421:$A$483,Códigos!$B$421:$B$483,"Verificar",0)</f>
        <v>0</v>
      </c>
      <c r="E1103" s="444">
        <f>_xlfn.XLOOKUP(C1103,Códigos!$A$11:$A$415,Códigos!$B$11:$B$415,"Verificar",0)</f>
        <v>0</v>
      </c>
      <c r="F1103" s="1286"/>
      <c r="G1103" s="1239"/>
      <c r="H1103" s="1239">
        <f t="shared" si="35"/>
        <v>633732083</v>
      </c>
      <c r="I1103" s="1049"/>
      <c r="K1103" s="19"/>
    </row>
    <row r="1104" spans="1:11" x14ac:dyDescent="0.2">
      <c r="A1104" s="999"/>
      <c r="B1104" s="1000"/>
      <c r="C1104" s="996"/>
      <c r="D1104" s="443">
        <f>_xlfn.XLOOKUP(B1104,Códigos!$A$421:$A$483,Códigos!$B$421:$B$483,"Verificar",0)</f>
        <v>0</v>
      </c>
      <c r="E1104" s="444">
        <f>_xlfn.XLOOKUP(C1104,Códigos!$A$11:$A$415,Códigos!$B$11:$B$415,"Verificar",0)</f>
        <v>0</v>
      </c>
      <c r="F1104" s="1286"/>
      <c r="G1104" s="1239"/>
      <c r="H1104" s="1239">
        <f t="shared" si="35"/>
        <v>633732083</v>
      </c>
      <c r="I1104" s="1049"/>
      <c r="K1104" s="19"/>
    </row>
    <row r="1105" spans="1:11" x14ac:dyDescent="0.2">
      <c r="A1105" s="999"/>
      <c r="B1105" s="1000"/>
      <c r="C1105" s="996"/>
      <c r="D1105" s="443">
        <f>_xlfn.XLOOKUP(B1105,Códigos!$A$421:$A$483,Códigos!$B$421:$B$483,"Verificar",0)</f>
        <v>0</v>
      </c>
      <c r="E1105" s="444">
        <f>_xlfn.XLOOKUP(C1105,Códigos!$A$11:$A$415,Códigos!$B$11:$B$415,"Verificar",0)</f>
        <v>0</v>
      </c>
      <c r="F1105" s="1286"/>
      <c r="G1105" s="1239"/>
      <c r="H1105" s="1239">
        <f t="shared" si="35"/>
        <v>633732083</v>
      </c>
      <c r="I1105" s="1049"/>
      <c r="K1105" s="19"/>
    </row>
    <row r="1106" spans="1:11" x14ac:dyDescent="0.2">
      <c r="A1106" s="999"/>
      <c r="B1106" s="1000"/>
      <c r="C1106" s="996"/>
      <c r="D1106" s="443">
        <f>_xlfn.XLOOKUP(B1106,Códigos!$A$421:$A$483,Códigos!$B$421:$B$483,"Verificar",0)</f>
        <v>0</v>
      </c>
      <c r="E1106" s="444">
        <f>_xlfn.XLOOKUP(C1106,Códigos!$A$11:$A$415,Códigos!$B$11:$B$415,"Verificar",0)</f>
        <v>0</v>
      </c>
      <c r="F1106" s="1286"/>
      <c r="G1106" s="1239"/>
      <c r="H1106" s="1239">
        <f t="shared" si="35"/>
        <v>633732083</v>
      </c>
      <c r="I1106" s="1049"/>
      <c r="K1106" s="19"/>
    </row>
    <row r="1107" spans="1:11" x14ac:dyDescent="0.2">
      <c r="A1107" s="999"/>
      <c r="B1107" s="1000"/>
      <c r="C1107" s="996"/>
      <c r="D1107" s="443">
        <f>_xlfn.XLOOKUP(B1107,Códigos!$A$421:$A$483,Códigos!$B$421:$B$483,"Verificar",0)</f>
        <v>0</v>
      </c>
      <c r="E1107" s="444">
        <f>_xlfn.XLOOKUP(C1107,Códigos!$A$11:$A$415,Códigos!$B$11:$B$415,"Verificar",0)</f>
        <v>0</v>
      </c>
      <c r="F1107" s="1286"/>
      <c r="G1107" s="1239"/>
      <c r="H1107" s="1239">
        <f t="shared" si="35"/>
        <v>633732083</v>
      </c>
      <c r="I1107" s="1049"/>
      <c r="K1107" s="19"/>
    </row>
    <row r="1108" spans="1:11" x14ac:dyDescent="0.2">
      <c r="A1108" s="999"/>
      <c r="B1108" s="1000"/>
      <c r="C1108" s="996"/>
      <c r="D1108" s="443">
        <f>_xlfn.XLOOKUP(B1108,Códigos!$A$421:$A$483,Códigos!$B$421:$B$483,"Verificar",0)</f>
        <v>0</v>
      </c>
      <c r="E1108" s="444">
        <f>_xlfn.XLOOKUP(C1108,Códigos!$A$11:$A$415,Códigos!$B$11:$B$415,"Verificar",0)</f>
        <v>0</v>
      </c>
      <c r="F1108" s="1286"/>
      <c r="G1108" s="1239"/>
      <c r="H1108" s="1239">
        <f t="shared" si="35"/>
        <v>633732083</v>
      </c>
      <c r="I1108" s="1049"/>
      <c r="K1108" s="19"/>
    </row>
    <row r="1109" spans="1:11" x14ac:dyDescent="0.2">
      <c r="A1109" s="999"/>
      <c r="B1109" s="1000"/>
      <c r="C1109" s="996"/>
      <c r="D1109" s="443">
        <f>_xlfn.XLOOKUP(B1109,Códigos!$A$421:$A$483,Códigos!$B$421:$B$483,"Verificar",0)</f>
        <v>0</v>
      </c>
      <c r="E1109" s="444">
        <f>_xlfn.XLOOKUP(C1109,Códigos!$A$11:$A$415,Códigos!$B$11:$B$415,"Verificar",0)</f>
        <v>0</v>
      </c>
      <c r="F1109" s="1286"/>
      <c r="G1109" s="1239"/>
      <c r="H1109" s="1239">
        <f t="shared" si="35"/>
        <v>633732083</v>
      </c>
      <c r="I1109" s="1049"/>
      <c r="K1109" s="19"/>
    </row>
    <row r="1110" spans="1:11" x14ac:dyDescent="0.2">
      <c r="A1110" s="999"/>
      <c r="B1110" s="1000"/>
      <c r="C1110" s="996"/>
      <c r="D1110" s="443">
        <f>_xlfn.XLOOKUP(B1110,Códigos!$A$421:$A$483,Códigos!$B$421:$B$483,"Verificar",0)</f>
        <v>0</v>
      </c>
      <c r="E1110" s="444">
        <f>_xlfn.XLOOKUP(C1110,Códigos!$A$11:$A$415,Códigos!$B$11:$B$415,"Verificar",0)</f>
        <v>0</v>
      </c>
      <c r="F1110" s="1286"/>
      <c r="G1110" s="1239"/>
      <c r="H1110" s="1239">
        <f t="shared" si="35"/>
        <v>633732083</v>
      </c>
      <c r="I1110" s="1049"/>
      <c r="K1110" s="19"/>
    </row>
    <row r="1111" spans="1:11" x14ac:dyDescent="0.2">
      <c r="A1111" s="999"/>
      <c r="B1111" s="1000"/>
      <c r="C1111" s="996"/>
      <c r="D1111" s="443">
        <f>_xlfn.XLOOKUP(B1111,Códigos!$A$421:$A$483,Códigos!$B$421:$B$483,"Verificar",0)</f>
        <v>0</v>
      </c>
      <c r="E1111" s="444">
        <f>_xlfn.XLOOKUP(C1111,Códigos!$A$11:$A$415,Códigos!$B$11:$B$415,"Verificar",0)</f>
        <v>0</v>
      </c>
      <c r="F1111" s="1286"/>
      <c r="G1111" s="1239"/>
      <c r="H1111" s="1239">
        <f t="shared" si="35"/>
        <v>633732083</v>
      </c>
      <c r="I1111" s="1049"/>
      <c r="K1111" s="19"/>
    </row>
    <row r="1112" spans="1:11" x14ac:dyDescent="0.2">
      <c r="A1112" s="999"/>
      <c r="B1112" s="1000"/>
      <c r="C1112" s="996"/>
      <c r="D1112" s="443">
        <f>_xlfn.XLOOKUP(B1112,Códigos!$A$421:$A$483,Códigos!$B$421:$B$483,"Verificar",0)</f>
        <v>0</v>
      </c>
      <c r="E1112" s="444">
        <f>_xlfn.XLOOKUP(C1112,Códigos!$A$11:$A$415,Códigos!$B$11:$B$415,"Verificar",0)</f>
        <v>0</v>
      </c>
      <c r="F1112" s="1286"/>
      <c r="G1112" s="1239"/>
      <c r="H1112" s="1239">
        <f t="shared" si="35"/>
        <v>633732083</v>
      </c>
      <c r="I1112" s="1049"/>
      <c r="K1112" s="19"/>
    </row>
    <row r="1113" spans="1:11" x14ac:dyDescent="0.2">
      <c r="A1113" s="999"/>
      <c r="B1113" s="1000"/>
      <c r="C1113" s="996"/>
      <c r="D1113" s="443">
        <f>_xlfn.XLOOKUP(B1113,Códigos!$A$421:$A$483,Códigos!$B$421:$B$483,"Verificar",0)</f>
        <v>0</v>
      </c>
      <c r="E1113" s="444">
        <f>_xlfn.XLOOKUP(C1113,Códigos!$A$11:$A$415,Códigos!$B$11:$B$415,"Verificar",0)</f>
        <v>0</v>
      </c>
      <c r="F1113" s="1286"/>
      <c r="G1113" s="1239"/>
      <c r="H1113" s="1239">
        <f t="shared" si="35"/>
        <v>633732083</v>
      </c>
      <c r="I1113" s="1049"/>
      <c r="K1113" s="19"/>
    </row>
    <row r="1114" spans="1:11" x14ac:dyDescent="0.2">
      <c r="A1114" s="999"/>
      <c r="B1114" s="1000"/>
      <c r="C1114" s="996"/>
      <c r="D1114" s="443">
        <f>_xlfn.XLOOKUP(B1114,Códigos!$A$421:$A$483,Códigos!$B$421:$B$483,"Verificar",0)</f>
        <v>0</v>
      </c>
      <c r="E1114" s="444">
        <f>_xlfn.XLOOKUP(C1114,Códigos!$A$11:$A$415,Códigos!$B$11:$B$415,"Verificar",0)</f>
        <v>0</v>
      </c>
      <c r="F1114" s="1286"/>
      <c r="G1114" s="1239"/>
      <c r="H1114" s="1239">
        <f t="shared" si="35"/>
        <v>633732083</v>
      </c>
      <c r="I1114" s="1049"/>
      <c r="K1114" s="19"/>
    </row>
    <row r="1115" spans="1:11" x14ac:dyDescent="0.2">
      <c r="A1115" s="999"/>
      <c r="B1115" s="1000"/>
      <c r="C1115" s="996"/>
      <c r="D1115" s="443">
        <f>_xlfn.XLOOKUP(B1115,Códigos!$A$421:$A$483,Códigos!$B$421:$B$483,"Verificar",0)</f>
        <v>0</v>
      </c>
      <c r="E1115" s="444">
        <f>_xlfn.XLOOKUP(C1115,Códigos!$A$11:$A$415,Códigos!$B$11:$B$415,"Verificar",0)</f>
        <v>0</v>
      </c>
      <c r="F1115" s="1286"/>
      <c r="G1115" s="1239"/>
      <c r="H1115" s="1239">
        <f t="shared" si="35"/>
        <v>633732083</v>
      </c>
      <c r="I1115" s="1049"/>
      <c r="K1115" s="19"/>
    </row>
    <row r="1116" spans="1:11" x14ac:dyDescent="0.2">
      <c r="A1116" s="999"/>
      <c r="B1116" s="1000"/>
      <c r="C1116" s="996"/>
      <c r="D1116" s="443">
        <f>_xlfn.XLOOKUP(B1116,Códigos!$A$421:$A$483,Códigos!$B$421:$B$483,"Verificar",0)</f>
        <v>0</v>
      </c>
      <c r="E1116" s="444">
        <f>_xlfn.XLOOKUP(C1116,Códigos!$A$11:$A$415,Códigos!$B$11:$B$415,"Verificar",0)</f>
        <v>0</v>
      </c>
      <c r="F1116" s="1286"/>
      <c r="G1116" s="1239"/>
      <c r="H1116" s="1239">
        <f t="shared" si="35"/>
        <v>633732083</v>
      </c>
      <c r="I1116" s="1049"/>
      <c r="K1116" s="19"/>
    </row>
    <row r="1117" spans="1:11" x14ac:dyDescent="0.2">
      <c r="A1117" s="999"/>
      <c r="B1117" s="1000"/>
      <c r="C1117" s="996"/>
      <c r="D1117" s="443">
        <f>_xlfn.XLOOKUP(B1117,Códigos!$A$421:$A$483,Códigos!$B$421:$B$483,"Verificar",0)</f>
        <v>0</v>
      </c>
      <c r="E1117" s="444">
        <f>_xlfn.XLOOKUP(C1117,Códigos!$A$11:$A$415,Códigos!$B$11:$B$415,"Verificar",0)</f>
        <v>0</v>
      </c>
      <c r="F1117" s="1286"/>
      <c r="G1117" s="1239"/>
      <c r="H1117" s="1239">
        <f t="shared" si="35"/>
        <v>633732083</v>
      </c>
      <c r="I1117" s="1049"/>
      <c r="K1117" s="19"/>
    </row>
    <row r="1118" spans="1:11" x14ac:dyDescent="0.2">
      <c r="A1118" s="999"/>
      <c r="B1118" s="1000"/>
      <c r="C1118" s="996"/>
      <c r="D1118" s="443">
        <f>_xlfn.XLOOKUP(B1118,Códigos!$A$421:$A$483,Códigos!$B$421:$B$483,"Verificar",0)</f>
        <v>0</v>
      </c>
      <c r="E1118" s="444">
        <f>_xlfn.XLOOKUP(C1118,Códigos!$A$11:$A$415,Códigos!$B$11:$B$415,"Verificar",0)</f>
        <v>0</v>
      </c>
      <c r="F1118" s="1286"/>
      <c r="G1118" s="1239"/>
      <c r="H1118" s="1239">
        <f t="shared" si="35"/>
        <v>633732083</v>
      </c>
      <c r="I1118" s="1049"/>
      <c r="K1118" s="19"/>
    </row>
    <row r="1119" spans="1:11" x14ac:dyDescent="0.2">
      <c r="A1119" s="999"/>
      <c r="B1119" s="1000"/>
      <c r="C1119" s="996"/>
      <c r="D1119" s="443">
        <f>_xlfn.XLOOKUP(B1119,Códigos!$A$421:$A$483,Códigos!$B$421:$B$483,"Verificar",0)</f>
        <v>0</v>
      </c>
      <c r="E1119" s="444">
        <f>_xlfn.XLOOKUP(C1119,Códigos!$A$11:$A$415,Códigos!$B$11:$B$415,"Verificar",0)</f>
        <v>0</v>
      </c>
      <c r="F1119" s="1286"/>
      <c r="G1119" s="1239"/>
      <c r="H1119" s="1239">
        <f t="shared" si="35"/>
        <v>633732083</v>
      </c>
      <c r="I1119" s="1049"/>
      <c r="K1119" s="19"/>
    </row>
    <row r="1120" spans="1:11" x14ac:dyDescent="0.2">
      <c r="A1120" s="999"/>
      <c r="B1120" s="1000"/>
      <c r="C1120" s="996"/>
      <c r="D1120" s="443">
        <f>_xlfn.XLOOKUP(B1120,Códigos!$A$421:$A$483,Códigos!$B$421:$B$483,"Verificar",0)</f>
        <v>0</v>
      </c>
      <c r="E1120" s="444">
        <f>_xlfn.XLOOKUP(C1120,Códigos!$A$11:$A$415,Códigos!$B$11:$B$415,"Verificar",0)</f>
        <v>0</v>
      </c>
      <c r="F1120" s="1286"/>
      <c r="G1120" s="1239"/>
      <c r="H1120" s="1239">
        <f t="shared" si="35"/>
        <v>633732083</v>
      </c>
      <c r="I1120" s="1049"/>
      <c r="K1120" s="19"/>
    </row>
    <row r="1121" spans="1:11" x14ac:dyDescent="0.2">
      <c r="A1121" s="999"/>
      <c r="B1121" s="1000"/>
      <c r="C1121" s="996"/>
      <c r="D1121" s="443">
        <f>_xlfn.XLOOKUP(B1121,Códigos!$A$421:$A$483,Códigos!$B$421:$B$483,"Verificar",0)</f>
        <v>0</v>
      </c>
      <c r="E1121" s="444">
        <f>_xlfn.XLOOKUP(C1121,Códigos!$A$11:$A$415,Códigos!$B$11:$B$415,"Verificar",0)</f>
        <v>0</v>
      </c>
      <c r="F1121" s="1286"/>
      <c r="G1121" s="1239"/>
      <c r="H1121" s="1239">
        <f t="shared" si="35"/>
        <v>633732083</v>
      </c>
      <c r="I1121" s="1049"/>
      <c r="K1121" s="19"/>
    </row>
    <row r="1122" spans="1:11" x14ac:dyDescent="0.2">
      <c r="A1122" s="999"/>
      <c r="B1122" s="1000"/>
      <c r="C1122" s="996"/>
      <c r="D1122" s="443">
        <f>_xlfn.XLOOKUP(B1122,Códigos!$A$421:$A$483,Códigos!$B$421:$B$483,"Verificar",0)</f>
        <v>0</v>
      </c>
      <c r="E1122" s="444">
        <f>_xlfn.XLOOKUP(C1122,Códigos!$A$11:$A$415,Códigos!$B$11:$B$415,"Verificar",0)</f>
        <v>0</v>
      </c>
      <c r="F1122" s="1286"/>
      <c r="G1122" s="1239"/>
      <c r="H1122" s="1239">
        <f t="shared" si="35"/>
        <v>633732083</v>
      </c>
      <c r="I1122" s="1049"/>
      <c r="K1122" s="19"/>
    </row>
    <row r="1123" spans="1:11" x14ac:dyDescent="0.2">
      <c r="A1123" s="999"/>
      <c r="B1123" s="1000"/>
      <c r="C1123" s="996"/>
      <c r="D1123" s="443">
        <f>_xlfn.XLOOKUP(B1123,Códigos!$A$421:$A$483,Códigos!$B$421:$B$483,"Verificar",0)</f>
        <v>0</v>
      </c>
      <c r="E1123" s="444">
        <f>_xlfn.XLOOKUP(C1123,Códigos!$A$11:$A$415,Códigos!$B$11:$B$415,"Verificar",0)</f>
        <v>0</v>
      </c>
      <c r="F1123" s="1286"/>
      <c r="G1123" s="1239"/>
      <c r="H1123" s="1239">
        <f t="shared" si="35"/>
        <v>633732083</v>
      </c>
      <c r="I1123" s="1049"/>
      <c r="K1123" s="19"/>
    </row>
    <row r="1124" spans="1:11" x14ac:dyDescent="0.2">
      <c r="A1124" s="999"/>
      <c r="B1124" s="1000"/>
      <c r="C1124" s="996"/>
      <c r="D1124" s="443">
        <f>_xlfn.XLOOKUP(B1124,Códigos!$A$421:$A$483,Códigos!$B$421:$B$483,"Verificar",0)</f>
        <v>0</v>
      </c>
      <c r="E1124" s="444">
        <f>_xlfn.XLOOKUP(C1124,Códigos!$A$11:$A$415,Códigos!$B$11:$B$415,"Verificar",0)</f>
        <v>0</v>
      </c>
      <c r="F1124" s="1286"/>
      <c r="G1124" s="1239"/>
      <c r="H1124" s="1239">
        <f t="shared" si="35"/>
        <v>633732083</v>
      </c>
      <c r="I1124" s="1049"/>
      <c r="K1124" s="19"/>
    </row>
    <row r="1125" spans="1:11" x14ac:dyDescent="0.2">
      <c r="A1125" s="999"/>
      <c r="B1125" s="1000"/>
      <c r="C1125" s="996"/>
      <c r="D1125" s="443">
        <f>_xlfn.XLOOKUP(B1125,Códigos!$A$421:$A$483,Códigos!$B$421:$B$483,"Verificar",0)</f>
        <v>0</v>
      </c>
      <c r="E1125" s="444">
        <f>_xlfn.XLOOKUP(C1125,Códigos!$A$11:$A$415,Códigos!$B$11:$B$415,"Verificar",0)</f>
        <v>0</v>
      </c>
      <c r="F1125" s="1286"/>
      <c r="G1125" s="1239"/>
      <c r="H1125" s="1239">
        <f t="shared" si="35"/>
        <v>633732083</v>
      </c>
      <c r="I1125" s="1049"/>
      <c r="K1125" s="19"/>
    </row>
    <row r="1126" spans="1:11" x14ac:dyDescent="0.2">
      <c r="A1126" s="999"/>
      <c r="B1126" s="1000"/>
      <c r="C1126" s="996"/>
      <c r="D1126" s="443">
        <f>_xlfn.XLOOKUP(B1126,Códigos!$A$421:$A$483,Códigos!$B$421:$B$483,"Verificar",0)</f>
        <v>0</v>
      </c>
      <c r="E1126" s="444">
        <f>_xlfn.XLOOKUP(C1126,Códigos!$A$11:$A$415,Códigos!$B$11:$B$415,"Verificar",0)</f>
        <v>0</v>
      </c>
      <c r="F1126" s="1286"/>
      <c r="G1126" s="1239"/>
      <c r="H1126" s="1239">
        <f t="shared" si="35"/>
        <v>633732083</v>
      </c>
      <c r="I1126" s="1049"/>
      <c r="K1126" s="19"/>
    </row>
    <row r="1127" spans="1:11" x14ac:dyDescent="0.2">
      <c r="A1127" s="999"/>
      <c r="B1127" s="1000"/>
      <c r="C1127" s="996"/>
      <c r="D1127" s="443">
        <f>_xlfn.XLOOKUP(B1127,Códigos!$A$421:$A$483,Códigos!$B$421:$B$483,"Verificar",0)</f>
        <v>0</v>
      </c>
      <c r="E1127" s="444">
        <f>_xlfn.XLOOKUP(C1127,Códigos!$A$11:$A$415,Códigos!$B$11:$B$415,"Verificar",0)</f>
        <v>0</v>
      </c>
      <c r="F1127" s="1286"/>
      <c r="G1127" s="1239"/>
      <c r="H1127" s="1239">
        <f t="shared" si="35"/>
        <v>633732083</v>
      </c>
      <c r="I1127" s="1049"/>
      <c r="K1127" s="19"/>
    </row>
    <row r="1128" spans="1:11" x14ac:dyDescent="0.2">
      <c r="A1128" s="999"/>
      <c r="B1128" s="1000"/>
      <c r="C1128" s="996"/>
      <c r="D1128" s="443">
        <f>_xlfn.XLOOKUP(B1128,Códigos!$A$421:$A$483,Códigos!$B$421:$B$483,"Verificar",0)</f>
        <v>0</v>
      </c>
      <c r="E1128" s="444">
        <f>_xlfn.XLOOKUP(C1128,Códigos!$A$11:$A$415,Códigos!$B$11:$B$415,"Verificar",0)</f>
        <v>0</v>
      </c>
      <c r="F1128" s="1286"/>
      <c r="G1128" s="1239"/>
      <c r="H1128" s="1239">
        <f t="shared" si="35"/>
        <v>633732083</v>
      </c>
      <c r="I1128" s="1049"/>
      <c r="K1128" s="19"/>
    </row>
    <row r="1129" spans="1:11" x14ac:dyDescent="0.2">
      <c r="A1129" s="999"/>
      <c r="B1129" s="1000"/>
      <c r="C1129" s="996"/>
      <c r="D1129" s="443">
        <f>_xlfn.XLOOKUP(B1129,Códigos!$A$421:$A$483,Códigos!$B$421:$B$483,"Verificar",0)</f>
        <v>0</v>
      </c>
      <c r="E1129" s="444">
        <f>_xlfn.XLOOKUP(C1129,Códigos!$A$11:$A$415,Códigos!$B$11:$B$415,"Verificar",0)</f>
        <v>0</v>
      </c>
      <c r="F1129" s="1286"/>
      <c r="G1129" s="1239"/>
      <c r="H1129" s="1239">
        <f t="shared" si="35"/>
        <v>633732083</v>
      </c>
      <c r="I1129" s="1049"/>
      <c r="K1129" s="19"/>
    </row>
    <row r="1130" spans="1:11" x14ac:dyDescent="0.2">
      <c r="A1130" s="999"/>
      <c r="B1130" s="1000"/>
      <c r="C1130" s="996"/>
      <c r="D1130" s="443">
        <f>_xlfn.XLOOKUP(B1130,Códigos!$A$421:$A$483,Códigos!$B$421:$B$483,"Verificar",0)</f>
        <v>0</v>
      </c>
      <c r="E1130" s="444">
        <f>_xlfn.XLOOKUP(C1130,Códigos!$A$11:$A$415,Códigos!$B$11:$B$415,"Verificar",0)</f>
        <v>0</v>
      </c>
      <c r="F1130" s="1286"/>
      <c r="G1130" s="1239"/>
      <c r="H1130" s="1239">
        <f t="shared" si="35"/>
        <v>633732083</v>
      </c>
      <c r="I1130" s="1049"/>
      <c r="K1130" s="19"/>
    </row>
    <row r="1131" spans="1:11" x14ac:dyDescent="0.2">
      <c r="A1131" s="999"/>
      <c r="B1131" s="1000"/>
      <c r="C1131" s="996"/>
      <c r="D1131" s="443">
        <f>_xlfn.XLOOKUP(B1131,Códigos!$A$421:$A$483,Códigos!$B$421:$B$483,"Verificar",0)</f>
        <v>0</v>
      </c>
      <c r="E1131" s="444">
        <f>_xlfn.XLOOKUP(C1131,Códigos!$A$11:$A$415,Códigos!$B$11:$B$415,"Verificar",0)</f>
        <v>0</v>
      </c>
      <c r="F1131" s="1286"/>
      <c r="G1131" s="1239"/>
      <c r="H1131" s="1239">
        <f t="shared" si="35"/>
        <v>633732083</v>
      </c>
      <c r="I1131" s="1049"/>
      <c r="K1131" s="19"/>
    </row>
    <row r="1132" spans="1:11" x14ac:dyDescent="0.2">
      <c r="A1132" s="999"/>
      <c r="B1132" s="1000"/>
      <c r="C1132" s="996"/>
      <c r="D1132" s="443">
        <f>_xlfn.XLOOKUP(B1132,Códigos!$A$421:$A$483,Códigos!$B$421:$B$483,"Verificar",0)</f>
        <v>0</v>
      </c>
      <c r="E1132" s="444">
        <f>_xlfn.XLOOKUP(C1132,Códigos!$A$11:$A$415,Códigos!$B$11:$B$415,"Verificar",0)</f>
        <v>0</v>
      </c>
      <c r="F1132" s="1286"/>
      <c r="G1132" s="1239"/>
      <c r="H1132" s="1239">
        <f t="shared" si="35"/>
        <v>633732083</v>
      </c>
      <c r="I1132" s="1049"/>
      <c r="K1132" s="19"/>
    </row>
    <row r="1133" spans="1:11" x14ac:dyDescent="0.2">
      <c r="A1133" s="999"/>
      <c r="B1133" s="1000"/>
      <c r="C1133" s="996"/>
      <c r="D1133" s="443">
        <f>_xlfn.XLOOKUP(B1133,Códigos!$A$421:$A$483,Códigos!$B$421:$B$483,"Verificar",0)</f>
        <v>0</v>
      </c>
      <c r="E1133" s="444">
        <f>_xlfn.XLOOKUP(C1133,Códigos!$A$11:$A$415,Códigos!$B$11:$B$415,"Verificar",0)</f>
        <v>0</v>
      </c>
      <c r="F1133" s="1286"/>
      <c r="G1133" s="1239"/>
      <c r="H1133" s="1239">
        <f t="shared" si="35"/>
        <v>633732083</v>
      </c>
      <c r="I1133" s="1049"/>
      <c r="K1133" s="19"/>
    </row>
    <row r="1134" spans="1:11" x14ac:dyDescent="0.2">
      <c r="A1134" s="999"/>
      <c r="B1134" s="1000"/>
      <c r="C1134" s="996"/>
      <c r="D1134" s="443">
        <f>_xlfn.XLOOKUP(B1134,Códigos!$A$421:$A$483,Códigos!$B$421:$B$483,"Verificar",0)</f>
        <v>0</v>
      </c>
      <c r="E1134" s="444">
        <f>_xlfn.XLOOKUP(C1134,Códigos!$A$11:$A$415,Códigos!$B$11:$B$415,"Verificar",0)</f>
        <v>0</v>
      </c>
      <c r="F1134" s="1286"/>
      <c r="G1134" s="1239"/>
      <c r="H1134" s="1239">
        <f t="shared" si="35"/>
        <v>633732083</v>
      </c>
      <c r="I1134" s="1049"/>
      <c r="K1134" s="19"/>
    </row>
    <row r="1135" spans="1:11" x14ac:dyDescent="0.2">
      <c r="A1135" s="999"/>
      <c r="B1135" s="1000"/>
      <c r="C1135" s="996"/>
      <c r="D1135" s="443">
        <f>_xlfn.XLOOKUP(B1135,Códigos!$A$421:$A$483,Códigos!$B$421:$B$483,"Verificar",0)</f>
        <v>0</v>
      </c>
      <c r="E1135" s="444">
        <f>_xlfn.XLOOKUP(C1135,Códigos!$A$11:$A$415,Códigos!$B$11:$B$415,"Verificar",0)</f>
        <v>0</v>
      </c>
      <c r="F1135" s="1286"/>
      <c r="G1135" s="1239"/>
      <c r="H1135" s="1239">
        <f t="shared" si="35"/>
        <v>633732083</v>
      </c>
      <c r="I1135" s="1049"/>
      <c r="K1135" s="19"/>
    </row>
    <row r="1136" spans="1:11" x14ac:dyDescent="0.2">
      <c r="A1136" s="999"/>
      <c r="B1136" s="1000"/>
      <c r="C1136" s="996"/>
      <c r="D1136" s="443">
        <f>_xlfn.XLOOKUP(B1136,Códigos!$A$421:$A$483,Códigos!$B$421:$B$483,"Verificar",0)</f>
        <v>0</v>
      </c>
      <c r="E1136" s="444">
        <f>_xlfn.XLOOKUP(C1136,Códigos!$A$11:$A$415,Códigos!$B$11:$B$415,"Verificar",0)</f>
        <v>0</v>
      </c>
      <c r="F1136" s="1286"/>
      <c r="G1136" s="1239"/>
      <c r="H1136" s="1239">
        <f t="shared" si="35"/>
        <v>633732083</v>
      </c>
      <c r="I1136" s="1049"/>
      <c r="K1136" s="19"/>
    </row>
    <row r="1137" spans="1:11" x14ac:dyDescent="0.2">
      <c r="A1137" s="999"/>
      <c r="B1137" s="1000"/>
      <c r="C1137" s="996"/>
      <c r="D1137" s="443">
        <f>_xlfn.XLOOKUP(B1137,Códigos!$A$421:$A$483,Códigos!$B$421:$B$483,"Verificar",0)</f>
        <v>0</v>
      </c>
      <c r="E1137" s="444">
        <f>_xlfn.XLOOKUP(C1137,Códigos!$A$11:$A$415,Códigos!$B$11:$B$415,"Verificar",0)</f>
        <v>0</v>
      </c>
      <c r="F1137" s="1286"/>
      <c r="G1137" s="1239"/>
      <c r="H1137" s="1239">
        <f t="shared" si="35"/>
        <v>633732083</v>
      </c>
      <c r="I1137" s="1049"/>
      <c r="K1137" s="19"/>
    </row>
    <row r="1138" spans="1:11" x14ac:dyDescent="0.2">
      <c r="A1138" s="999"/>
      <c r="B1138" s="1000"/>
      <c r="C1138" s="996"/>
      <c r="D1138" s="443">
        <f>_xlfn.XLOOKUP(B1138,Códigos!$A$421:$A$483,Códigos!$B$421:$B$483,"Verificar",0)</f>
        <v>0</v>
      </c>
      <c r="E1138" s="444">
        <f>_xlfn.XLOOKUP(C1138,Códigos!$A$11:$A$415,Códigos!$B$11:$B$415,"Verificar",0)</f>
        <v>0</v>
      </c>
      <c r="F1138" s="1286"/>
      <c r="G1138" s="1239"/>
      <c r="H1138" s="1239">
        <f t="shared" si="35"/>
        <v>633732083</v>
      </c>
      <c r="I1138" s="1049"/>
      <c r="K1138" s="19"/>
    </row>
    <row r="1139" spans="1:11" x14ac:dyDescent="0.2">
      <c r="A1139" s="999"/>
      <c r="B1139" s="1000"/>
      <c r="C1139" s="996"/>
      <c r="D1139" s="443">
        <f>_xlfn.XLOOKUP(B1139,Códigos!$A$421:$A$483,Códigos!$B$421:$B$483,"Verificar",0)</f>
        <v>0</v>
      </c>
      <c r="E1139" s="444">
        <f>_xlfn.XLOOKUP(C1139,Códigos!$A$11:$A$415,Códigos!$B$11:$B$415,"Verificar",0)</f>
        <v>0</v>
      </c>
      <c r="F1139" s="1286"/>
      <c r="G1139" s="1239"/>
      <c r="H1139" s="1239">
        <f t="shared" si="35"/>
        <v>633732083</v>
      </c>
      <c r="I1139" s="1049"/>
      <c r="K1139" s="19"/>
    </row>
    <row r="1140" spans="1:11" x14ac:dyDescent="0.2">
      <c r="A1140" s="999"/>
      <c r="B1140" s="1000"/>
      <c r="C1140" s="996"/>
      <c r="D1140" s="443">
        <f>_xlfn.XLOOKUP(B1140,Códigos!$A$421:$A$483,Códigos!$B$421:$B$483,"Verificar",0)</f>
        <v>0</v>
      </c>
      <c r="E1140" s="444">
        <f>_xlfn.XLOOKUP(C1140,Códigos!$A$11:$A$415,Códigos!$B$11:$B$415,"Verificar",0)</f>
        <v>0</v>
      </c>
      <c r="F1140" s="1286"/>
      <c r="G1140" s="1239"/>
      <c r="H1140" s="1239">
        <f t="shared" si="35"/>
        <v>633732083</v>
      </c>
      <c r="I1140" s="1049"/>
      <c r="K1140" s="19"/>
    </row>
    <row r="1141" spans="1:11" x14ac:dyDescent="0.2">
      <c r="A1141" s="999"/>
      <c r="B1141" s="1000"/>
      <c r="C1141" s="996"/>
      <c r="D1141" s="443">
        <f>_xlfn.XLOOKUP(B1141,Códigos!$A$421:$A$483,Códigos!$B$421:$B$483,"Verificar",0)</f>
        <v>0</v>
      </c>
      <c r="E1141" s="444">
        <f>_xlfn.XLOOKUP(C1141,Códigos!$A$11:$A$415,Códigos!$B$11:$B$415,"Verificar",0)</f>
        <v>0</v>
      </c>
      <c r="F1141" s="1286"/>
      <c r="G1141" s="1239"/>
      <c r="H1141" s="1239">
        <f t="shared" si="35"/>
        <v>633732083</v>
      </c>
      <c r="I1141" s="1049"/>
      <c r="K1141" s="19"/>
    </row>
    <row r="1142" spans="1:11" x14ac:dyDescent="0.2">
      <c r="A1142" s="999"/>
      <c r="B1142" s="1000"/>
      <c r="C1142" s="996"/>
      <c r="D1142" s="443">
        <f>_xlfn.XLOOKUP(B1142,Códigos!$A$421:$A$483,Códigos!$B$421:$B$483,"Verificar",0)</f>
        <v>0</v>
      </c>
      <c r="E1142" s="444">
        <f>_xlfn.XLOOKUP(C1142,Códigos!$A$11:$A$415,Códigos!$B$11:$B$415,"Verificar",0)</f>
        <v>0</v>
      </c>
      <c r="F1142" s="1286"/>
      <c r="G1142" s="1239"/>
      <c r="H1142" s="1239">
        <f t="shared" si="35"/>
        <v>633732083</v>
      </c>
      <c r="I1142" s="1049"/>
      <c r="K1142" s="19"/>
    </row>
    <row r="1143" spans="1:11" x14ac:dyDescent="0.2">
      <c r="A1143" s="999"/>
      <c r="B1143" s="1000"/>
      <c r="C1143" s="996"/>
      <c r="D1143" s="443">
        <f>_xlfn.XLOOKUP(B1143,Códigos!$A$421:$A$483,Códigos!$B$421:$B$483,"Verificar",0)</f>
        <v>0</v>
      </c>
      <c r="E1143" s="444">
        <f>_xlfn.XLOOKUP(C1143,Códigos!$A$11:$A$415,Códigos!$B$11:$B$415,"Verificar",0)</f>
        <v>0</v>
      </c>
      <c r="F1143" s="1286"/>
      <c r="G1143" s="1239"/>
      <c r="H1143" s="1239">
        <f t="shared" si="35"/>
        <v>633732083</v>
      </c>
      <c r="I1143" s="1049"/>
      <c r="K1143" s="19"/>
    </row>
    <row r="1144" spans="1:11" x14ac:dyDescent="0.2">
      <c r="A1144" s="999"/>
      <c r="B1144" s="1000"/>
      <c r="C1144" s="996"/>
      <c r="D1144" s="443">
        <f>_xlfn.XLOOKUP(B1144,Códigos!$A$421:$A$483,Códigos!$B$421:$B$483,"Verificar",0)</f>
        <v>0</v>
      </c>
      <c r="E1144" s="444">
        <f>_xlfn.XLOOKUP(C1144,Códigos!$A$11:$A$415,Códigos!$B$11:$B$415,"Verificar",0)</f>
        <v>0</v>
      </c>
      <c r="F1144" s="1286"/>
      <c r="G1144" s="1239"/>
      <c r="H1144" s="1239">
        <f t="shared" si="35"/>
        <v>633732083</v>
      </c>
      <c r="I1144" s="1049"/>
      <c r="K1144" s="19"/>
    </row>
    <row r="1145" spans="1:11" x14ac:dyDescent="0.2">
      <c r="A1145" s="999"/>
      <c r="B1145" s="1000"/>
      <c r="C1145" s="996"/>
      <c r="D1145" s="443">
        <f>_xlfn.XLOOKUP(B1145,Códigos!$A$421:$A$483,Códigos!$B$421:$B$483,"Verificar",0)</f>
        <v>0</v>
      </c>
      <c r="E1145" s="444">
        <f>_xlfn.XLOOKUP(C1145,Códigos!$A$11:$A$415,Códigos!$B$11:$B$415,"Verificar",0)</f>
        <v>0</v>
      </c>
      <c r="F1145" s="1286"/>
      <c r="G1145" s="1239"/>
      <c r="H1145" s="1239">
        <f t="shared" si="35"/>
        <v>633732083</v>
      </c>
      <c r="I1145" s="1049"/>
      <c r="K1145" s="19"/>
    </row>
    <row r="1146" spans="1:11" x14ac:dyDescent="0.2">
      <c r="A1146" s="999"/>
      <c r="B1146" s="1000"/>
      <c r="C1146" s="996"/>
      <c r="D1146" s="443">
        <f>_xlfn.XLOOKUP(B1146,Códigos!$A$421:$A$483,Códigos!$B$421:$B$483,"Verificar",0)</f>
        <v>0</v>
      </c>
      <c r="E1146" s="444">
        <f>_xlfn.XLOOKUP(C1146,Códigos!$A$11:$A$415,Códigos!$B$11:$B$415,"Verificar",0)</f>
        <v>0</v>
      </c>
      <c r="F1146" s="1286"/>
      <c r="G1146" s="990">
        <v>0</v>
      </c>
      <c r="H1146" s="1239">
        <f t="shared" si="35"/>
        <v>633732083</v>
      </c>
      <c r="I1146" s="997"/>
      <c r="K1146" s="19"/>
    </row>
    <row r="1147" spans="1:11" x14ac:dyDescent="0.2">
      <c r="A1147" s="999"/>
      <c r="B1147" s="1000"/>
      <c r="C1147" s="996"/>
      <c r="D1147" s="443">
        <f>_xlfn.XLOOKUP(B1147,Códigos!$A$421:$A$483,Códigos!$B$421:$B$483,"Verificar",0)</f>
        <v>0</v>
      </c>
      <c r="E1147" s="444">
        <f>_xlfn.XLOOKUP(C1147,Códigos!$A$11:$A$415,Códigos!$B$11:$B$415,"Verificar",0)</f>
        <v>0</v>
      </c>
      <c r="F1147" s="1286"/>
      <c r="G1147" s="990">
        <v>0</v>
      </c>
      <c r="H1147" s="1239">
        <f t="shared" si="35"/>
        <v>633732083</v>
      </c>
      <c r="I1147" s="997"/>
      <c r="K1147" s="19"/>
    </row>
    <row r="1148" spans="1:11" x14ac:dyDescent="0.2">
      <c r="A1148" s="999"/>
      <c r="B1148" s="1000"/>
      <c r="C1148" s="996"/>
      <c r="D1148" s="443">
        <f>_xlfn.XLOOKUP(B1148,Códigos!$A$421:$A$483,Códigos!$B$421:$B$483,"Verificar",0)</f>
        <v>0</v>
      </c>
      <c r="E1148" s="444">
        <f>_xlfn.XLOOKUP(C1148,Códigos!$A$11:$A$415,Códigos!$B$11:$B$415,"Verificar",0)</f>
        <v>0</v>
      </c>
      <c r="F1148" s="1286"/>
      <c r="G1148" s="990">
        <v>0</v>
      </c>
      <c r="H1148" s="1239">
        <f t="shared" si="35"/>
        <v>633732083</v>
      </c>
      <c r="I1148" s="997"/>
      <c r="K1148" s="19"/>
    </row>
    <row r="1149" spans="1:11" x14ac:dyDescent="0.2">
      <c r="A1149" s="999"/>
      <c r="B1149" s="1000"/>
      <c r="C1149" s="996"/>
      <c r="D1149" s="443">
        <f>_xlfn.XLOOKUP(B1149,Códigos!$A$421:$A$483,Códigos!$B$421:$B$483,"Verificar",0)</f>
        <v>0</v>
      </c>
      <c r="E1149" s="444">
        <f>_xlfn.XLOOKUP(C1149,Códigos!$A$11:$A$415,Códigos!$B$11:$B$415,"Verificar",0)</f>
        <v>0</v>
      </c>
      <c r="F1149" s="1286"/>
      <c r="G1149" s="990">
        <v>0</v>
      </c>
      <c r="H1149" s="1239">
        <f t="shared" si="35"/>
        <v>633732083</v>
      </c>
      <c r="I1149" s="997"/>
      <c r="K1149" s="19"/>
    </row>
    <row r="1150" spans="1:11" x14ac:dyDescent="0.2">
      <c r="A1150" s="999"/>
      <c r="B1150" s="1000"/>
      <c r="C1150" s="996"/>
      <c r="D1150" s="443">
        <f>_xlfn.XLOOKUP(B1150,Códigos!$A$421:$A$483,Códigos!$B$421:$B$483,"Verificar",0)</f>
        <v>0</v>
      </c>
      <c r="E1150" s="444">
        <f>_xlfn.XLOOKUP(C1150,Códigos!$A$11:$A$415,Códigos!$B$11:$B$415,"Verificar",0)</f>
        <v>0</v>
      </c>
      <c r="F1150" s="1286"/>
      <c r="G1150" s="990">
        <v>0</v>
      </c>
      <c r="H1150" s="1239">
        <f t="shared" si="35"/>
        <v>633732083</v>
      </c>
      <c r="I1150" s="997"/>
      <c r="K1150" s="19"/>
    </row>
    <row r="1151" spans="1:11" x14ac:dyDescent="0.2">
      <c r="A1151" s="999"/>
      <c r="B1151" s="1000"/>
      <c r="C1151" s="996"/>
      <c r="D1151" s="443">
        <f>_xlfn.XLOOKUP(B1151,Códigos!$A$421:$A$483,Códigos!$B$421:$B$483,"Verificar",0)</f>
        <v>0</v>
      </c>
      <c r="E1151" s="444">
        <f>_xlfn.XLOOKUP(C1151,Códigos!$A$11:$A$415,Códigos!$B$11:$B$415,"Verificar",0)</f>
        <v>0</v>
      </c>
      <c r="F1151" s="1286"/>
      <c r="G1151" s="990">
        <v>0</v>
      </c>
      <c r="H1151" s="1239">
        <f t="shared" si="35"/>
        <v>633732083</v>
      </c>
      <c r="I1151" s="997"/>
      <c r="K1151" s="19"/>
    </row>
    <row r="1152" spans="1:11" x14ac:dyDescent="0.2">
      <c r="A1152" s="999"/>
      <c r="B1152" s="1000"/>
      <c r="C1152" s="996"/>
      <c r="D1152" s="443">
        <f>_xlfn.XLOOKUP(B1152,Códigos!$A$421:$A$483,Códigos!$B$421:$B$483,"Verificar",0)</f>
        <v>0</v>
      </c>
      <c r="E1152" s="444">
        <f>_xlfn.XLOOKUP(C1152,Códigos!$A$11:$A$415,Códigos!$B$11:$B$415,"Verificar",0)</f>
        <v>0</v>
      </c>
      <c r="F1152" s="1286"/>
      <c r="G1152" s="990">
        <v>0</v>
      </c>
      <c r="H1152" s="1239">
        <f t="shared" ref="H1152:H1215" si="36">+H1151+G1152</f>
        <v>633732083</v>
      </c>
      <c r="I1152" s="997"/>
      <c r="K1152" s="19"/>
    </row>
    <row r="1153" spans="1:11" x14ac:dyDescent="0.2">
      <c r="A1153" s="999"/>
      <c r="B1153" s="1000"/>
      <c r="C1153" s="996"/>
      <c r="D1153" s="443">
        <f>_xlfn.XLOOKUP(B1153,Códigos!$A$421:$A$483,Códigos!$B$421:$B$483,"Verificar",0)</f>
        <v>0</v>
      </c>
      <c r="E1153" s="444">
        <f>_xlfn.XLOOKUP(C1153,Códigos!$A$11:$A$415,Códigos!$B$11:$B$415,"Verificar",0)</f>
        <v>0</v>
      </c>
      <c r="F1153" s="1286"/>
      <c r="G1153" s="990">
        <v>0</v>
      </c>
      <c r="H1153" s="1239">
        <f t="shared" si="36"/>
        <v>633732083</v>
      </c>
      <c r="I1153" s="997"/>
      <c r="K1153" s="19"/>
    </row>
    <row r="1154" spans="1:11" x14ac:dyDescent="0.2">
      <c r="A1154" s="999"/>
      <c r="B1154" s="1000"/>
      <c r="C1154" s="996"/>
      <c r="D1154" s="443">
        <f>_xlfn.XLOOKUP(B1154,Códigos!$A$421:$A$483,Códigos!$B$421:$B$483,"Verificar",0)</f>
        <v>0</v>
      </c>
      <c r="E1154" s="444">
        <f>_xlfn.XLOOKUP(C1154,Códigos!$A$11:$A$415,Códigos!$B$11:$B$415,"Verificar",0)</f>
        <v>0</v>
      </c>
      <c r="F1154" s="1286"/>
      <c r="G1154" s="990">
        <v>0</v>
      </c>
      <c r="H1154" s="1239">
        <f t="shared" si="36"/>
        <v>633732083</v>
      </c>
      <c r="I1154" s="997"/>
      <c r="K1154" s="19"/>
    </row>
    <row r="1155" spans="1:11" x14ac:dyDescent="0.2">
      <c r="A1155" s="999"/>
      <c r="B1155" s="1000"/>
      <c r="C1155" s="996"/>
      <c r="D1155" s="443">
        <f>_xlfn.XLOOKUP(B1155,Códigos!$A$421:$A$483,Códigos!$B$421:$B$483,"Verificar",0)</f>
        <v>0</v>
      </c>
      <c r="E1155" s="444">
        <f>_xlfn.XLOOKUP(C1155,Códigos!$A$11:$A$415,Códigos!$B$11:$B$415,"Verificar",0)</f>
        <v>0</v>
      </c>
      <c r="F1155" s="1286"/>
      <c r="G1155" s="990">
        <v>0</v>
      </c>
      <c r="H1155" s="1239">
        <f t="shared" si="36"/>
        <v>633732083</v>
      </c>
      <c r="I1155" s="997"/>
      <c r="K1155" s="19"/>
    </row>
    <row r="1156" spans="1:11" x14ac:dyDescent="0.2">
      <c r="A1156" s="999"/>
      <c r="B1156" s="1000"/>
      <c r="C1156" s="996"/>
      <c r="D1156" s="443">
        <f>_xlfn.XLOOKUP(B1156,Códigos!$A$421:$A$483,Códigos!$B$421:$B$483,"Verificar",0)</f>
        <v>0</v>
      </c>
      <c r="E1156" s="444">
        <f>_xlfn.XLOOKUP(C1156,Códigos!$A$11:$A$415,Códigos!$B$11:$B$415,"Verificar",0)</f>
        <v>0</v>
      </c>
      <c r="F1156" s="1286"/>
      <c r="G1156" s="990">
        <v>0</v>
      </c>
      <c r="H1156" s="1239">
        <f t="shared" si="36"/>
        <v>633732083</v>
      </c>
      <c r="I1156" s="997"/>
      <c r="K1156" s="19"/>
    </row>
    <row r="1157" spans="1:11" x14ac:dyDescent="0.2">
      <c r="A1157" s="999"/>
      <c r="B1157" s="1000"/>
      <c r="C1157" s="996"/>
      <c r="D1157" s="443">
        <f>_xlfn.XLOOKUP(B1157,Códigos!$A$421:$A$483,Códigos!$B$421:$B$483,"Verificar",0)</f>
        <v>0</v>
      </c>
      <c r="E1157" s="444">
        <f>_xlfn.XLOOKUP(C1157,Códigos!$A$11:$A$415,Códigos!$B$11:$B$415,"Verificar",0)</f>
        <v>0</v>
      </c>
      <c r="F1157" s="1286"/>
      <c r="G1157" s="990">
        <v>0</v>
      </c>
      <c r="H1157" s="1239">
        <f t="shared" si="36"/>
        <v>633732083</v>
      </c>
      <c r="I1157" s="997"/>
      <c r="K1157" s="19"/>
    </row>
    <row r="1158" spans="1:11" x14ac:dyDescent="0.2">
      <c r="A1158" s="999"/>
      <c r="B1158" s="1000"/>
      <c r="C1158" s="996"/>
      <c r="D1158" s="443">
        <f>_xlfn.XLOOKUP(B1158,Códigos!$A$421:$A$483,Códigos!$B$421:$B$483,"Verificar",0)</f>
        <v>0</v>
      </c>
      <c r="E1158" s="444">
        <f>_xlfn.XLOOKUP(C1158,Códigos!$A$11:$A$415,Códigos!$B$11:$B$415,"Verificar",0)</f>
        <v>0</v>
      </c>
      <c r="F1158" s="1286"/>
      <c r="G1158" s="990">
        <v>0</v>
      </c>
      <c r="H1158" s="1239">
        <f t="shared" si="36"/>
        <v>633732083</v>
      </c>
      <c r="I1158" s="997"/>
      <c r="K1158" s="19"/>
    </row>
    <row r="1159" spans="1:11" x14ac:dyDescent="0.2">
      <c r="A1159" s="999"/>
      <c r="B1159" s="1000"/>
      <c r="C1159" s="996"/>
      <c r="D1159" s="443">
        <f>_xlfn.XLOOKUP(B1159,Códigos!$A$421:$A$483,Códigos!$B$421:$B$483,"Verificar",0)</f>
        <v>0</v>
      </c>
      <c r="E1159" s="444">
        <f>_xlfn.XLOOKUP(C1159,Códigos!$A$11:$A$415,Códigos!$B$11:$B$415,"Verificar",0)</f>
        <v>0</v>
      </c>
      <c r="F1159" s="1286"/>
      <c r="G1159" s="990">
        <v>0</v>
      </c>
      <c r="H1159" s="1239">
        <f t="shared" si="36"/>
        <v>633732083</v>
      </c>
      <c r="I1159" s="997"/>
      <c r="K1159" s="19"/>
    </row>
    <row r="1160" spans="1:11" x14ac:dyDescent="0.2">
      <c r="A1160" s="999"/>
      <c r="B1160" s="1000"/>
      <c r="C1160" s="996"/>
      <c r="D1160" s="443">
        <f>_xlfn.XLOOKUP(B1160,Códigos!$A$421:$A$483,Códigos!$B$421:$B$483,"Verificar",0)</f>
        <v>0</v>
      </c>
      <c r="E1160" s="444">
        <f>_xlfn.XLOOKUP(C1160,Códigos!$A$11:$A$415,Códigos!$B$11:$B$415,"Verificar",0)</f>
        <v>0</v>
      </c>
      <c r="F1160" s="1286"/>
      <c r="G1160" s="990">
        <v>0</v>
      </c>
      <c r="H1160" s="1239">
        <f t="shared" si="36"/>
        <v>633732083</v>
      </c>
      <c r="I1160" s="997"/>
      <c r="K1160" s="19"/>
    </row>
    <row r="1161" spans="1:11" x14ac:dyDescent="0.2">
      <c r="A1161" s="999"/>
      <c r="B1161" s="1000"/>
      <c r="C1161" s="996"/>
      <c r="D1161" s="443">
        <f>_xlfn.XLOOKUP(B1161,Códigos!$A$421:$A$483,Códigos!$B$421:$B$483,"Verificar",0)</f>
        <v>0</v>
      </c>
      <c r="E1161" s="444">
        <f>_xlfn.XLOOKUP(C1161,Códigos!$A$11:$A$415,Códigos!$B$11:$B$415,"Verificar",0)</f>
        <v>0</v>
      </c>
      <c r="F1161" s="1286"/>
      <c r="G1161" s="990">
        <v>0</v>
      </c>
      <c r="H1161" s="1239">
        <f t="shared" si="36"/>
        <v>633732083</v>
      </c>
      <c r="I1161" s="997"/>
      <c r="K1161" s="19"/>
    </row>
    <row r="1162" spans="1:11" x14ac:dyDescent="0.2">
      <c r="A1162" s="999"/>
      <c r="B1162" s="1000"/>
      <c r="C1162" s="996"/>
      <c r="D1162" s="443">
        <f>_xlfn.XLOOKUP(B1162,Códigos!$A$421:$A$483,Códigos!$B$421:$B$483,"Verificar",0)</f>
        <v>0</v>
      </c>
      <c r="E1162" s="444">
        <f>_xlfn.XLOOKUP(C1162,Códigos!$A$11:$A$415,Códigos!$B$11:$B$415,"Verificar",0)</f>
        <v>0</v>
      </c>
      <c r="F1162" s="1286"/>
      <c r="G1162" s="990">
        <v>0</v>
      </c>
      <c r="H1162" s="1239">
        <f t="shared" si="36"/>
        <v>633732083</v>
      </c>
      <c r="I1162" s="997"/>
      <c r="K1162" s="19"/>
    </row>
    <row r="1163" spans="1:11" x14ac:dyDescent="0.2">
      <c r="A1163" s="999"/>
      <c r="B1163" s="1000"/>
      <c r="C1163" s="996"/>
      <c r="D1163" s="443">
        <f>_xlfn.XLOOKUP(B1163,Códigos!$A$421:$A$483,Códigos!$B$421:$B$483,"Verificar",0)</f>
        <v>0</v>
      </c>
      <c r="E1163" s="444">
        <f>_xlfn.XLOOKUP(C1163,Códigos!$A$11:$A$415,Códigos!$B$11:$B$415,"Verificar",0)</f>
        <v>0</v>
      </c>
      <c r="F1163" s="1286"/>
      <c r="G1163" s="990">
        <v>0</v>
      </c>
      <c r="H1163" s="1239">
        <f t="shared" si="36"/>
        <v>633732083</v>
      </c>
      <c r="I1163" s="997"/>
      <c r="K1163" s="19"/>
    </row>
    <row r="1164" spans="1:11" x14ac:dyDescent="0.2">
      <c r="A1164" s="999"/>
      <c r="B1164" s="1000"/>
      <c r="C1164" s="996"/>
      <c r="D1164" s="443">
        <f>_xlfn.XLOOKUP(B1164,Códigos!$A$421:$A$483,Códigos!$B$421:$B$483,"Verificar",0)</f>
        <v>0</v>
      </c>
      <c r="E1164" s="444">
        <f>_xlfn.XLOOKUP(C1164,Códigos!$A$11:$A$415,Códigos!$B$11:$B$415,"Verificar",0)</f>
        <v>0</v>
      </c>
      <c r="F1164" s="1286"/>
      <c r="G1164" s="990">
        <v>0</v>
      </c>
      <c r="H1164" s="1239">
        <f t="shared" si="36"/>
        <v>633732083</v>
      </c>
      <c r="I1164" s="997"/>
      <c r="K1164" s="19"/>
    </row>
    <row r="1165" spans="1:11" x14ac:dyDescent="0.2">
      <c r="A1165" s="999"/>
      <c r="B1165" s="1000"/>
      <c r="C1165" s="996"/>
      <c r="D1165" s="443">
        <f>_xlfn.XLOOKUP(B1165,Códigos!$A$421:$A$483,Códigos!$B$421:$B$483,"Verificar",0)</f>
        <v>0</v>
      </c>
      <c r="E1165" s="444">
        <f>_xlfn.XLOOKUP(C1165,Códigos!$A$11:$A$415,Códigos!$B$11:$B$415,"Verificar",0)</f>
        <v>0</v>
      </c>
      <c r="F1165" s="1286"/>
      <c r="G1165" s="990">
        <v>0</v>
      </c>
      <c r="H1165" s="1239">
        <f t="shared" si="36"/>
        <v>633732083</v>
      </c>
      <c r="I1165" s="997"/>
      <c r="K1165" s="19"/>
    </row>
    <row r="1166" spans="1:11" x14ac:dyDescent="0.2">
      <c r="A1166" s="999"/>
      <c r="B1166" s="1000"/>
      <c r="C1166" s="996"/>
      <c r="D1166" s="443">
        <f>_xlfn.XLOOKUP(B1166,Códigos!$A$421:$A$483,Códigos!$B$421:$B$483,"Verificar",0)</f>
        <v>0</v>
      </c>
      <c r="E1166" s="444">
        <f>_xlfn.XLOOKUP(C1166,Códigos!$A$11:$A$415,Códigos!$B$11:$B$415,"Verificar",0)</f>
        <v>0</v>
      </c>
      <c r="F1166" s="1286"/>
      <c r="G1166" s="990">
        <v>0</v>
      </c>
      <c r="H1166" s="1239">
        <f t="shared" si="36"/>
        <v>633732083</v>
      </c>
      <c r="I1166" s="997"/>
      <c r="K1166" s="19"/>
    </row>
    <row r="1167" spans="1:11" x14ac:dyDescent="0.2">
      <c r="A1167" s="999"/>
      <c r="B1167" s="1000"/>
      <c r="C1167" s="996"/>
      <c r="D1167" s="443">
        <f>_xlfn.XLOOKUP(B1167,Códigos!$A$421:$A$483,Códigos!$B$421:$B$483,"Verificar",0)</f>
        <v>0</v>
      </c>
      <c r="E1167" s="444">
        <f>_xlfn.XLOOKUP(C1167,Códigos!$A$11:$A$415,Códigos!$B$11:$B$415,"Verificar",0)</f>
        <v>0</v>
      </c>
      <c r="F1167" s="1286"/>
      <c r="G1167" s="990">
        <v>0</v>
      </c>
      <c r="H1167" s="1239">
        <f t="shared" si="36"/>
        <v>633732083</v>
      </c>
      <c r="I1167" s="997"/>
      <c r="K1167" s="19"/>
    </row>
    <row r="1168" spans="1:11" x14ac:dyDescent="0.2">
      <c r="A1168" s="999"/>
      <c r="B1168" s="1000"/>
      <c r="C1168" s="996"/>
      <c r="D1168" s="443">
        <f>_xlfn.XLOOKUP(B1168,Códigos!$A$421:$A$483,Códigos!$B$421:$B$483,"Verificar",0)</f>
        <v>0</v>
      </c>
      <c r="E1168" s="444">
        <f>_xlfn.XLOOKUP(C1168,Códigos!$A$11:$A$415,Códigos!$B$11:$B$415,"Verificar",0)</f>
        <v>0</v>
      </c>
      <c r="F1168" s="1286"/>
      <c r="G1168" s="990">
        <v>0</v>
      </c>
      <c r="H1168" s="1239">
        <f t="shared" si="36"/>
        <v>633732083</v>
      </c>
      <c r="I1168" s="997"/>
      <c r="K1168" s="19"/>
    </row>
    <row r="1169" spans="1:11" x14ac:dyDescent="0.2">
      <c r="A1169" s="999"/>
      <c r="B1169" s="1000"/>
      <c r="C1169" s="996"/>
      <c r="D1169" s="443">
        <f>_xlfn.XLOOKUP(B1169,Códigos!$A$421:$A$483,Códigos!$B$421:$B$483,"Verificar",0)</f>
        <v>0</v>
      </c>
      <c r="E1169" s="444">
        <f>_xlfn.XLOOKUP(C1169,Códigos!$A$11:$A$415,Códigos!$B$11:$B$415,"Verificar",0)</f>
        <v>0</v>
      </c>
      <c r="F1169" s="1286"/>
      <c r="G1169" s="990">
        <v>0</v>
      </c>
      <c r="H1169" s="1239">
        <f t="shared" si="36"/>
        <v>633732083</v>
      </c>
      <c r="I1169" s="997"/>
      <c r="K1169" s="19"/>
    </row>
    <row r="1170" spans="1:11" x14ac:dyDescent="0.2">
      <c r="A1170" s="999"/>
      <c r="B1170" s="1000"/>
      <c r="C1170" s="996"/>
      <c r="D1170" s="443">
        <f>_xlfn.XLOOKUP(B1170,Códigos!$A$421:$A$483,Códigos!$B$421:$B$483,"Verificar",0)</f>
        <v>0</v>
      </c>
      <c r="E1170" s="444">
        <f>_xlfn.XLOOKUP(C1170,Códigos!$A$11:$A$415,Códigos!$B$11:$B$415,"Verificar",0)</f>
        <v>0</v>
      </c>
      <c r="F1170" s="1286"/>
      <c r="G1170" s="990">
        <v>0</v>
      </c>
      <c r="H1170" s="1239">
        <f t="shared" si="36"/>
        <v>633732083</v>
      </c>
      <c r="I1170" s="997"/>
      <c r="K1170" s="19"/>
    </row>
    <row r="1171" spans="1:11" x14ac:dyDescent="0.2">
      <c r="A1171" s="999"/>
      <c r="B1171" s="1000"/>
      <c r="C1171" s="996"/>
      <c r="D1171" s="443">
        <f>_xlfn.XLOOKUP(B1171,Códigos!$A$421:$A$483,Códigos!$B$421:$B$483,"Verificar",0)</f>
        <v>0</v>
      </c>
      <c r="E1171" s="444">
        <f>_xlfn.XLOOKUP(C1171,Códigos!$A$11:$A$415,Códigos!$B$11:$B$415,"Verificar",0)</f>
        <v>0</v>
      </c>
      <c r="F1171" s="1286"/>
      <c r="G1171" s="990">
        <v>0</v>
      </c>
      <c r="H1171" s="1239">
        <f t="shared" si="36"/>
        <v>633732083</v>
      </c>
      <c r="I1171" s="997"/>
      <c r="K1171" s="19"/>
    </row>
    <row r="1172" spans="1:11" x14ac:dyDescent="0.2">
      <c r="A1172" s="999"/>
      <c r="B1172" s="1000"/>
      <c r="C1172" s="996"/>
      <c r="D1172" s="443">
        <f>_xlfn.XLOOKUP(B1172,Códigos!$A$421:$A$483,Códigos!$B$421:$B$483,"Verificar",0)</f>
        <v>0</v>
      </c>
      <c r="E1172" s="444">
        <f>_xlfn.XLOOKUP(C1172,Códigos!$A$11:$A$415,Códigos!$B$11:$B$415,"Verificar",0)</f>
        <v>0</v>
      </c>
      <c r="F1172" s="1286"/>
      <c r="G1172" s="990">
        <v>0</v>
      </c>
      <c r="H1172" s="1239">
        <f t="shared" si="36"/>
        <v>633732083</v>
      </c>
      <c r="I1172" s="997"/>
      <c r="K1172" s="19"/>
    </row>
    <row r="1173" spans="1:11" x14ac:dyDescent="0.2">
      <c r="A1173" s="999"/>
      <c r="B1173" s="1000"/>
      <c r="C1173" s="996"/>
      <c r="D1173" s="443">
        <f>_xlfn.XLOOKUP(B1173,Códigos!$A$421:$A$483,Códigos!$B$421:$B$483,"Verificar",0)</f>
        <v>0</v>
      </c>
      <c r="E1173" s="444">
        <f>_xlfn.XLOOKUP(C1173,Códigos!$A$11:$A$415,Códigos!$B$11:$B$415,"Verificar",0)</f>
        <v>0</v>
      </c>
      <c r="F1173" s="1286"/>
      <c r="G1173" s="990">
        <v>0</v>
      </c>
      <c r="H1173" s="1239">
        <f t="shared" si="36"/>
        <v>633732083</v>
      </c>
      <c r="I1173" s="997"/>
      <c r="K1173" s="19"/>
    </row>
    <row r="1174" spans="1:11" x14ac:dyDescent="0.2">
      <c r="A1174" s="999"/>
      <c r="B1174" s="1000"/>
      <c r="C1174" s="996"/>
      <c r="D1174" s="443">
        <f>_xlfn.XLOOKUP(B1174,Códigos!$A$421:$A$483,Códigos!$B$421:$B$483,"Verificar",0)</f>
        <v>0</v>
      </c>
      <c r="E1174" s="444">
        <f>_xlfn.XLOOKUP(C1174,Códigos!$A$11:$A$415,Códigos!$B$11:$B$415,"Verificar",0)</f>
        <v>0</v>
      </c>
      <c r="F1174" s="1286"/>
      <c r="G1174" s="990">
        <v>0</v>
      </c>
      <c r="H1174" s="1239">
        <f t="shared" si="36"/>
        <v>633732083</v>
      </c>
      <c r="I1174" s="997"/>
      <c r="K1174" s="19"/>
    </row>
    <row r="1175" spans="1:11" x14ac:dyDescent="0.2">
      <c r="A1175" s="999"/>
      <c r="B1175" s="1000"/>
      <c r="C1175" s="996"/>
      <c r="D1175" s="443">
        <f>_xlfn.XLOOKUP(B1175,Códigos!$A$421:$A$483,Códigos!$B$421:$B$483,"Verificar",0)</f>
        <v>0</v>
      </c>
      <c r="E1175" s="444">
        <f>_xlfn.XLOOKUP(C1175,Códigos!$A$11:$A$415,Códigos!$B$11:$B$415,"Verificar",0)</f>
        <v>0</v>
      </c>
      <c r="F1175" s="1286"/>
      <c r="G1175" s="990">
        <v>0</v>
      </c>
      <c r="H1175" s="1239">
        <f t="shared" si="36"/>
        <v>633732083</v>
      </c>
      <c r="I1175" s="997"/>
      <c r="K1175" s="19"/>
    </row>
    <row r="1176" spans="1:11" x14ac:dyDescent="0.2">
      <c r="A1176" s="999"/>
      <c r="B1176" s="1000"/>
      <c r="C1176" s="996"/>
      <c r="D1176" s="443">
        <f>_xlfn.XLOOKUP(B1176,Códigos!$A$421:$A$483,Códigos!$B$421:$B$483,"Verificar",0)</f>
        <v>0</v>
      </c>
      <c r="E1176" s="444">
        <f>_xlfn.XLOOKUP(C1176,Códigos!$A$11:$A$415,Códigos!$B$11:$B$415,"Verificar",0)</f>
        <v>0</v>
      </c>
      <c r="F1176" s="1286"/>
      <c r="G1176" s="990">
        <v>0</v>
      </c>
      <c r="H1176" s="1239">
        <f t="shared" si="36"/>
        <v>633732083</v>
      </c>
      <c r="I1176" s="997"/>
      <c r="K1176" s="19"/>
    </row>
    <row r="1177" spans="1:11" x14ac:dyDescent="0.2">
      <c r="A1177" s="999"/>
      <c r="B1177" s="1000"/>
      <c r="C1177" s="996"/>
      <c r="D1177" s="443">
        <f>_xlfn.XLOOKUP(B1177,Códigos!$A$421:$A$483,Códigos!$B$421:$B$483,"Verificar",0)</f>
        <v>0</v>
      </c>
      <c r="E1177" s="444">
        <f>_xlfn.XLOOKUP(C1177,Códigos!$A$11:$A$415,Códigos!$B$11:$B$415,"Verificar",0)</f>
        <v>0</v>
      </c>
      <c r="F1177" s="1286"/>
      <c r="G1177" s="990">
        <v>0</v>
      </c>
      <c r="H1177" s="1239">
        <f t="shared" si="36"/>
        <v>633732083</v>
      </c>
      <c r="I1177" s="997"/>
      <c r="K1177" s="19"/>
    </row>
    <row r="1178" spans="1:11" x14ac:dyDescent="0.2">
      <c r="A1178" s="999"/>
      <c r="B1178" s="1000"/>
      <c r="C1178" s="996"/>
      <c r="D1178" s="443">
        <f>_xlfn.XLOOKUP(B1178,Códigos!$A$421:$A$483,Códigos!$B$421:$B$483,"Verificar",0)</f>
        <v>0</v>
      </c>
      <c r="E1178" s="444">
        <f>_xlfn.XLOOKUP(C1178,Códigos!$A$11:$A$415,Códigos!$B$11:$B$415,"Verificar",0)</f>
        <v>0</v>
      </c>
      <c r="F1178" s="1286"/>
      <c r="G1178" s="990">
        <v>0</v>
      </c>
      <c r="H1178" s="1239">
        <f t="shared" si="36"/>
        <v>633732083</v>
      </c>
      <c r="I1178" s="997"/>
      <c r="K1178" s="19"/>
    </row>
    <row r="1179" spans="1:11" x14ac:dyDescent="0.2">
      <c r="A1179" s="999"/>
      <c r="B1179" s="1000"/>
      <c r="C1179" s="996"/>
      <c r="D1179" s="443">
        <f>_xlfn.XLOOKUP(B1179,Códigos!$A$421:$A$483,Códigos!$B$421:$B$483,"Verificar",0)</f>
        <v>0</v>
      </c>
      <c r="E1179" s="444">
        <f>_xlfn.XLOOKUP(C1179,Códigos!$A$11:$A$415,Códigos!$B$11:$B$415,"Verificar",0)</f>
        <v>0</v>
      </c>
      <c r="F1179" s="1286"/>
      <c r="G1179" s="990">
        <v>0</v>
      </c>
      <c r="H1179" s="1239">
        <f t="shared" si="36"/>
        <v>633732083</v>
      </c>
      <c r="I1179" s="997"/>
      <c r="K1179" s="19"/>
    </row>
    <row r="1180" spans="1:11" x14ac:dyDescent="0.2">
      <c r="A1180" s="999"/>
      <c r="B1180" s="1000"/>
      <c r="C1180" s="996"/>
      <c r="D1180" s="443">
        <f>_xlfn.XLOOKUP(B1180,Códigos!$A$421:$A$483,Códigos!$B$421:$B$483,"Verificar",0)</f>
        <v>0</v>
      </c>
      <c r="E1180" s="444">
        <f>_xlfn.XLOOKUP(C1180,Códigos!$A$11:$A$415,Códigos!$B$11:$B$415,"Verificar",0)</f>
        <v>0</v>
      </c>
      <c r="F1180" s="1286"/>
      <c r="G1180" s="990">
        <v>0</v>
      </c>
      <c r="H1180" s="1239">
        <f t="shared" si="36"/>
        <v>633732083</v>
      </c>
      <c r="I1180" s="997"/>
      <c r="K1180" s="19"/>
    </row>
    <row r="1181" spans="1:11" x14ac:dyDescent="0.2">
      <c r="A1181" s="999"/>
      <c r="B1181" s="1000"/>
      <c r="C1181" s="996"/>
      <c r="D1181" s="443">
        <f>_xlfn.XLOOKUP(B1181,Códigos!$A$421:$A$483,Códigos!$B$421:$B$483,"Verificar",0)</f>
        <v>0</v>
      </c>
      <c r="E1181" s="444">
        <f>_xlfn.XLOOKUP(C1181,Códigos!$A$11:$A$415,Códigos!$B$11:$B$415,"Verificar",0)</f>
        <v>0</v>
      </c>
      <c r="F1181" s="1286"/>
      <c r="G1181" s="990">
        <v>0</v>
      </c>
      <c r="H1181" s="1239">
        <f t="shared" si="36"/>
        <v>633732083</v>
      </c>
      <c r="I1181" s="997"/>
      <c r="K1181" s="19"/>
    </row>
    <row r="1182" spans="1:11" x14ac:dyDescent="0.2">
      <c r="A1182" s="999"/>
      <c r="B1182" s="1000"/>
      <c r="C1182" s="996"/>
      <c r="D1182" s="443">
        <f>_xlfn.XLOOKUP(B1182,Códigos!$A$421:$A$483,Códigos!$B$421:$B$483,"Verificar",0)</f>
        <v>0</v>
      </c>
      <c r="E1182" s="444">
        <f>_xlfn.XLOOKUP(C1182,Códigos!$A$11:$A$415,Códigos!$B$11:$B$415,"Verificar",0)</f>
        <v>0</v>
      </c>
      <c r="F1182" s="1286"/>
      <c r="G1182" s="990">
        <v>0</v>
      </c>
      <c r="H1182" s="1239">
        <f t="shared" si="36"/>
        <v>633732083</v>
      </c>
      <c r="I1182" s="997"/>
      <c r="K1182" s="19"/>
    </row>
    <row r="1183" spans="1:11" x14ac:dyDescent="0.2">
      <c r="A1183" s="999"/>
      <c r="B1183" s="1000"/>
      <c r="C1183" s="996"/>
      <c r="D1183" s="443">
        <f>_xlfn.XLOOKUP(B1183,Códigos!$A$421:$A$483,Códigos!$B$421:$B$483,"Verificar",0)</f>
        <v>0</v>
      </c>
      <c r="E1183" s="444">
        <f>_xlfn.XLOOKUP(C1183,Códigos!$A$11:$A$415,Códigos!$B$11:$B$415,"Verificar",0)</f>
        <v>0</v>
      </c>
      <c r="F1183" s="1286"/>
      <c r="G1183" s="990">
        <v>0</v>
      </c>
      <c r="H1183" s="1239">
        <f t="shared" si="36"/>
        <v>633732083</v>
      </c>
      <c r="I1183" s="997"/>
      <c r="K1183" s="19"/>
    </row>
    <row r="1184" spans="1:11" x14ac:dyDescent="0.2">
      <c r="A1184" s="999"/>
      <c r="B1184" s="1000"/>
      <c r="C1184" s="996"/>
      <c r="D1184" s="443">
        <f>_xlfn.XLOOKUP(B1184,Códigos!$A$421:$A$483,Códigos!$B$421:$B$483,"Verificar",0)</f>
        <v>0</v>
      </c>
      <c r="E1184" s="444">
        <f>_xlfn.XLOOKUP(C1184,Códigos!$A$11:$A$415,Códigos!$B$11:$B$415,"Verificar",0)</f>
        <v>0</v>
      </c>
      <c r="F1184" s="1286"/>
      <c r="G1184" s="990">
        <v>0</v>
      </c>
      <c r="H1184" s="1239">
        <f t="shared" si="36"/>
        <v>633732083</v>
      </c>
      <c r="I1184" s="997"/>
      <c r="K1184" s="19"/>
    </row>
    <row r="1185" spans="1:11" x14ac:dyDescent="0.2">
      <c r="A1185" s="999"/>
      <c r="B1185" s="1000"/>
      <c r="C1185" s="996"/>
      <c r="D1185" s="443">
        <f>_xlfn.XLOOKUP(B1185,Códigos!$A$421:$A$483,Códigos!$B$421:$B$483,"Verificar",0)</f>
        <v>0</v>
      </c>
      <c r="E1185" s="444">
        <f>_xlfn.XLOOKUP(C1185,Códigos!$A$11:$A$415,Códigos!$B$11:$B$415,"Verificar",0)</f>
        <v>0</v>
      </c>
      <c r="F1185" s="1286"/>
      <c r="G1185" s="990">
        <v>0</v>
      </c>
      <c r="H1185" s="1239">
        <f t="shared" si="36"/>
        <v>633732083</v>
      </c>
      <c r="I1185" s="997"/>
      <c r="K1185" s="19"/>
    </row>
    <row r="1186" spans="1:11" x14ac:dyDescent="0.2">
      <c r="A1186" s="999"/>
      <c r="B1186" s="1000"/>
      <c r="C1186" s="996"/>
      <c r="D1186" s="443">
        <f>_xlfn.XLOOKUP(B1186,Códigos!$A$421:$A$483,Códigos!$B$421:$B$483,"Verificar",0)</f>
        <v>0</v>
      </c>
      <c r="E1186" s="444">
        <f>_xlfn.XLOOKUP(C1186,Códigos!$A$11:$A$415,Códigos!$B$11:$B$415,"Verificar",0)</f>
        <v>0</v>
      </c>
      <c r="F1186" s="1286"/>
      <c r="G1186" s="990">
        <v>0</v>
      </c>
      <c r="H1186" s="1239">
        <f t="shared" si="36"/>
        <v>633732083</v>
      </c>
      <c r="I1186" s="997"/>
      <c r="K1186" s="19"/>
    </row>
    <row r="1187" spans="1:11" x14ac:dyDescent="0.2">
      <c r="A1187" s="999"/>
      <c r="B1187" s="1000"/>
      <c r="C1187" s="996"/>
      <c r="D1187" s="443">
        <f>_xlfn.XLOOKUP(B1187,Códigos!$A$421:$A$483,Códigos!$B$421:$B$483,"Verificar",0)</f>
        <v>0</v>
      </c>
      <c r="E1187" s="444">
        <f>_xlfn.XLOOKUP(C1187,Códigos!$A$11:$A$415,Códigos!$B$11:$B$415,"Verificar",0)</f>
        <v>0</v>
      </c>
      <c r="F1187" s="1286"/>
      <c r="G1187" s="990">
        <v>0</v>
      </c>
      <c r="H1187" s="1239">
        <f t="shared" si="36"/>
        <v>633732083</v>
      </c>
      <c r="I1187" s="997"/>
      <c r="K1187" s="19"/>
    </row>
    <row r="1188" spans="1:11" x14ac:dyDescent="0.2">
      <c r="A1188" s="999"/>
      <c r="B1188" s="1000"/>
      <c r="C1188" s="996"/>
      <c r="D1188" s="443">
        <f>_xlfn.XLOOKUP(B1188,Códigos!$A$421:$A$483,Códigos!$B$421:$B$483,"Verificar",0)</f>
        <v>0</v>
      </c>
      <c r="E1188" s="444">
        <f>_xlfn.XLOOKUP(C1188,Códigos!$A$11:$A$415,Códigos!$B$11:$B$415,"Verificar",0)</f>
        <v>0</v>
      </c>
      <c r="F1188" s="1286"/>
      <c r="G1188" s="990">
        <v>0</v>
      </c>
      <c r="H1188" s="1239">
        <f t="shared" si="36"/>
        <v>633732083</v>
      </c>
      <c r="I1188" s="997"/>
      <c r="K1188" s="19"/>
    </row>
    <row r="1189" spans="1:11" x14ac:dyDescent="0.2">
      <c r="A1189" s="999"/>
      <c r="B1189" s="1000"/>
      <c r="C1189" s="996"/>
      <c r="D1189" s="443">
        <f>_xlfn.XLOOKUP(B1189,Códigos!$A$421:$A$483,Códigos!$B$421:$B$483,"Verificar",0)</f>
        <v>0</v>
      </c>
      <c r="E1189" s="444">
        <f>_xlfn.XLOOKUP(C1189,Códigos!$A$11:$A$415,Códigos!$B$11:$B$415,"Verificar",0)</f>
        <v>0</v>
      </c>
      <c r="F1189" s="1286"/>
      <c r="G1189" s="990">
        <v>0</v>
      </c>
      <c r="H1189" s="1239">
        <f t="shared" si="36"/>
        <v>633732083</v>
      </c>
      <c r="I1189" s="997"/>
      <c r="K1189" s="19"/>
    </row>
    <row r="1190" spans="1:11" x14ac:dyDescent="0.2">
      <c r="A1190" s="999"/>
      <c r="B1190" s="1000"/>
      <c r="C1190" s="996"/>
      <c r="D1190" s="443">
        <f>_xlfn.XLOOKUP(B1190,Códigos!$A$421:$A$483,Códigos!$B$421:$B$483,"Verificar",0)</f>
        <v>0</v>
      </c>
      <c r="E1190" s="444">
        <f>_xlfn.XLOOKUP(C1190,Códigos!$A$11:$A$415,Códigos!$B$11:$B$415,"Verificar",0)</f>
        <v>0</v>
      </c>
      <c r="F1190" s="1286"/>
      <c r="G1190" s="990">
        <v>0</v>
      </c>
      <c r="H1190" s="1239">
        <f t="shared" si="36"/>
        <v>633732083</v>
      </c>
      <c r="I1190" s="997"/>
      <c r="K1190" s="19"/>
    </row>
    <row r="1191" spans="1:11" x14ac:dyDescent="0.2">
      <c r="A1191" s="999"/>
      <c r="B1191" s="1000"/>
      <c r="C1191" s="996"/>
      <c r="D1191" s="443">
        <f>_xlfn.XLOOKUP(B1191,Códigos!$A$421:$A$483,Códigos!$B$421:$B$483,"Verificar",0)</f>
        <v>0</v>
      </c>
      <c r="E1191" s="444">
        <f>_xlfn.XLOOKUP(C1191,Códigos!$A$11:$A$415,Códigos!$B$11:$B$415,"Verificar",0)</f>
        <v>0</v>
      </c>
      <c r="F1191" s="1286"/>
      <c r="G1191" s="990">
        <v>0</v>
      </c>
      <c r="H1191" s="1239">
        <f t="shared" si="36"/>
        <v>633732083</v>
      </c>
      <c r="I1191" s="997"/>
      <c r="K1191" s="19"/>
    </row>
    <row r="1192" spans="1:11" x14ac:dyDescent="0.2">
      <c r="A1192" s="999"/>
      <c r="B1192" s="1000"/>
      <c r="C1192" s="996"/>
      <c r="D1192" s="443">
        <f>_xlfn.XLOOKUP(B1192,Códigos!$A$421:$A$483,Códigos!$B$421:$B$483,"Verificar",0)</f>
        <v>0</v>
      </c>
      <c r="E1192" s="444">
        <f>_xlfn.XLOOKUP(C1192,Códigos!$A$11:$A$415,Códigos!$B$11:$B$415,"Verificar",0)</f>
        <v>0</v>
      </c>
      <c r="F1192" s="1286"/>
      <c r="G1192" s="990">
        <v>0</v>
      </c>
      <c r="H1192" s="1239">
        <f t="shared" si="36"/>
        <v>633732083</v>
      </c>
      <c r="I1192" s="997"/>
      <c r="K1192" s="19"/>
    </row>
    <row r="1193" spans="1:11" x14ac:dyDescent="0.2">
      <c r="A1193" s="999"/>
      <c r="B1193" s="1000"/>
      <c r="C1193" s="996"/>
      <c r="D1193" s="443">
        <f>_xlfn.XLOOKUP(B1193,Códigos!$A$421:$A$483,Códigos!$B$421:$B$483,"Verificar",0)</f>
        <v>0</v>
      </c>
      <c r="E1193" s="444">
        <f>_xlfn.XLOOKUP(C1193,Códigos!$A$11:$A$415,Códigos!$B$11:$B$415,"Verificar",0)</f>
        <v>0</v>
      </c>
      <c r="F1193" s="1286"/>
      <c r="G1193" s="990">
        <v>0</v>
      </c>
      <c r="H1193" s="1239">
        <f t="shared" si="36"/>
        <v>633732083</v>
      </c>
      <c r="I1193" s="997"/>
      <c r="K1193" s="19"/>
    </row>
    <row r="1194" spans="1:11" ht="15" customHeight="1" x14ac:dyDescent="0.2">
      <c r="A1194" s="999"/>
      <c r="B1194" s="1000"/>
      <c r="C1194" s="996"/>
      <c r="D1194" s="443">
        <f>_xlfn.XLOOKUP(B1194,Códigos!$A$421:$A$483,Códigos!$B$421:$B$483,"Verificar",0)</f>
        <v>0</v>
      </c>
      <c r="E1194" s="444">
        <f>_xlfn.XLOOKUP(C1194,Códigos!$A$11:$A$415,Códigos!$B$11:$B$415,"Verificar",0)</f>
        <v>0</v>
      </c>
      <c r="F1194" s="1286"/>
      <c r="G1194" s="990">
        <v>0</v>
      </c>
      <c r="H1194" s="1239">
        <f t="shared" si="36"/>
        <v>633732083</v>
      </c>
      <c r="I1194" s="997"/>
      <c r="K1194" s="19"/>
    </row>
    <row r="1195" spans="1:11" ht="15" customHeight="1" x14ac:dyDescent="0.2">
      <c r="A1195" s="999"/>
      <c r="B1195" s="1000"/>
      <c r="C1195" s="996"/>
      <c r="D1195" s="443">
        <f>_xlfn.XLOOKUP(B1195,Códigos!$A$421:$A$483,Códigos!$B$421:$B$483,"Verificar",0)</f>
        <v>0</v>
      </c>
      <c r="E1195" s="444">
        <f>_xlfn.XLOOKUP(C1195,Códigos!$A$11:$A$415,Códigos!$B$11:$B$415,"Verificar",0)</f>
        <v>0</v>
      </c>
      <c r="F1195" s="1286"/>
      <c r="G1195" s="990">
        <v>0</v>
      </c>
      <c r="H1195" s="1239">
        <f t="shared" si="36"/>
        <v>633732083</v>
      </c>
      <c r="I1195" s="997"/>
      <c r="K1195" s="19"/>
    </row>
    <row r="1196" spans="1:11" ht="15" customHeight="1" x14ac:dyDescent="0.2">
      <c r="A1196" s="999"/>
      <c r="B1196" s="1000"/>
      <c r="C1196" s="996"/>
      <c r="D1196" s="443">
        <f>_xlfn.XLOOKUP(B1196,Códigos!$A$421:$A$483,Códigos!$B$421:$B$483,"Verificar",0)</f>
        <v>0</v>
      </c>
      <c r="E1196" s="444">
        <f>_xlfn.XLOOKUP(C1196,Códigos!$A$11:$A$415,Códigos!$B$11:$B$415,"Verificar",0)</f>
        <v>0</v>
      </c>
      <c r="F1196" s="1286"/>
      <c r="G1196" s="990">
        <v>0</v>
      </c>
      <c r="H1196" s="1239">
        <f t="shared" si="36"/>
        <v>633732083</v>
      </c>
      <c r="I1196" s="997"/>
      <c r="K1196" s="19"/>
    </row>
    <row r="1197" spans="1:11" ht="15" customHeight="1" x14ac:dyDescent="0.2">
      <c r="A1197" s="999"/>
      <c r="B1197" s="1000"/>
      <c r="C1197" s="996"/>
      <c r="D1197" s="443">
        <f>_xlfn.XLOOKUP(B1197,Códigos!$A$421:$A$483,Códigos!$B$421:$B$483,"Verificar",0)</f>
        <v>0</v>
      </c>
      <c r="E1197" s="444">
        <f>_xlfn.XLOOKUP(C1197,Códigos!$A$11:$A$415,Códigos!$B$11:$B$415,"Verificar",0)</f>
        <v>0</v>
      </c>
      <c r="F1197" s="1286"/>
      <c r="G1197" s="990">
        <v>0</v>
      </c>
      <c r="H1197" s="1239">
        <f t="shared" si="36"/>
        <v>633732083</v>
      </c>
      <c r="I1197" s="997"/>
      <c r="K1197" s="19"/>
    </row>
    <row r="1198" spans="1:11" x14ac:dyDescent="0.2">
      <c r="A1198" s="999"/>
      <c r="B1198" s="1000"/>
      <c r="C1198" s="996"/>
      <c r="D1198" s="443">
        <f>_xlfn.XLOOKUP(B1198,Códigos!$A$421:$A$483,Códigos!$B$421:$B$483,"Verificar",0)</f>
        <v>0</v>
      </c>
      <c r="E1198" s="444">
        <f>_xlfn.XLOOKUP(C1198,Códigos!$A$11:$A$415,Códigos!$B$11:$B$415,"Verificar",0)</f>
        <v>0</v>
      </c>
      <c r="F1198" s="1286"/>
      <c r="G1198" s="990">
        <v>0</v>
      </c>
      <c r="H1198" s="1239">
        <f t="shared" si="36"/>
        <v>633732083</v>
      </c>
      <c r="I1198" s="997"/>
      <c r="K1198" s="19"/>
    </row>
    <row r="1199" spans="1:11" x14ac:dyDescent="0.2">
      <c r="A1199" s="999"/>
      <c r="B1199" s="1000"/>
      <c r="C1199" s="996"/>
      <c r="D1199" s="443">
        <f>_xlfn.XLOOKUP(B1199,Códigos!$A$421:$A$483,Códigos!$B$421:$B$483,"Verificar",0)</f>
        <v>0</v>
      </c>
      <c r="E1199" s="444">
        <f>_xlfn.XLOOKUP(C1199,Códigos!$A$11:$A$415,Códigos!$B$11:$B$415,"Verificar",0)</f>
        <v>0</v>
      </c>
      <c r="F1199" s="1286"/>
      <c r="G1199" s="990">
        <v>0</v>
      </c>
      <c r="H1199" s="1239">
        <f t="shared" si="36"/>
        <v>633732083</v>
      </c>
      <c r="I1199" s="997"/>
      <c r="K1199" s="19"/>
    </row>
    <row r="1200" spans="1:11" x14ac:dyDescent="0.2">
      <c r="A1200" s="999"/>
      <c r="B1200" s="1000"/>
      <c r="C1200" s="996"/>
      <c r="D1200" s="443">
        <f>_xlfn.XLOOKUP(B1200,Códigos!$A$421:$A$483,Códigos!$B$421:$B$483,"Verificar",0)</f>
        <v>0</v>
      </c>
      <c r="E1200" s="444">
        <f>_xlfn.XLOOKUP(C1200,Códigos!$A$11:$A$415,Códigos!$B$11:$B$415,"Verificar",0)</f>
        <v>0</v>
      </c>
      <c r="F1200" s="1286"/>
      <c r="G1200" s="990">
        <v>0</v>
      </c>
      <c r="H1200" s="1239">
        <f t="shared" si="36"/>
        <v>633732083</v>
      </c>
      <c r="I1200" s="997"/>
      <c r="K1200" s="19"/>
    </row>
    <row r="1201" spans="1:11" x14ac:dyDescent="0.2">
      <c r="A1201" s="999"/>
      <c r="B1201" s="1000"/>
      <c r="C1201" s="996"/>
      <c r="D1201" s="443">
        <f>_xlfn.XLOOKUP(B1201,Códigos!$A$421:$A$483,Códigos!$B$421:$B$483,"Verificar",0)</f>
        <v>0</v>
      </c>
      <c r="E1201" s="444">
        <f>_xlfn.XLOOKUP(C1201,Códigos!$A$11:$A$415,Códigos!$B$11:$B$415,"Verificar",0)</f>
        <v>0</v>
      </c>
      <c r="F1201" s="1286"/>
      <c r="G1201" s="990">
        <v>0</v>
      </c>
      <c r="H1201" s="1239">
        <f t="shared" si="36"/>
        <v>633732083</v>
      </c>
      <c r="I1201" s="997"/>
      <c r="K1201" s="19"/>
    </row>
    <row r="1202" spans="1:11" x14ac:dyDescent="0.2">
      <c r="A1202" s="999"/>
      <c r="B1202" s="1000"/>
      <c r="C1202" s="996"/>
      <c r="D1202" s="443">
        <f>_xlfn.XLOOKUP(B1202,Códigos!$A$421:$A$483,Códigos!$B$421:$B$483,"Verificar",0)</f>
        <v>0</v>
      </c>
      <c r="E1202" s="444">
        <f>_xlfn.XLOOKUP(C1202,Códigos!$A$11:$A$415,Códigos!$B$11:$B$415,"Verificar",0)</f>
        <v>0</v>
      </c>
      <c r="F1202" s="1286"/>
      <c r="G1202" s="990">
        <v>0</v>
      </c>
      <c r="H1202" s="1239">
        <f t="shared" si="36"/>
        <v>633732083</v>
      </c>
      <c r="I1202" s="997"/>
      <c r="K1202" s="19"/>
    </row>
    <row r="1203" spans="1:11" x14ac:dyDescent="0.2">
      <c r="A1203" s="999"/>
      <c r="B1203" s="1000"/>
      <c r="C1203" s="996"/>
      <c r="D1203" s="443">
        <f>_xlfn.XLOOKUP(B1203,Códigos!$A$421:$A$483,Códigos!$B$421:$B$483,"Verificar",0)</f>
        <v>0</v>
      </c>
      <c r="E1203" s="444">
        <f>_xlfn.XLOOKUP(C1203,Códigos!$A$11:$A$415,Códigos!$B$11:$B$415,"Verificar",0)</f>
        <v>0</v>
      </c>
      <c r="F1203" s="1286"/>
      <c r="G1203" s="990">
        <v>0</v>
      </c>
      <c r="H1203" s="1239">
        <f t="shared" si="36"/>
        <v>633732083</v>
      </c>
      <c r="I1203" s="997"/>
      <c r="K1203" s="19"/>
    </row>
    <row r="1204" spans="1:11" x14ac:dyDescent="0.2">
      <c r="A1204" s="999"/>
      <c r="B1204" s="1000"/>
      <c r="C1204" s="996"/>
      <c r="D1204" s="443">
        <f>_xlfn.XLOOKUP(B1204,Códigos!$A$421:$A$483,Códigos!$B$421:$B$483,"Verificar",0)</f>
        <v>0</v>
      </c>
      <c r="E1204" s="444">
        <f>_xlfn.XLOOKUP(C1204,Códigos!$A$11:$A$415,Códigos!$B$11:$B$415,"Verificar",0)</f>
        <v>0</v>
      </c>
      <c r="F1204" s="1286"/>
      <c r="G1204" s="990">
        <v>0</v>
      </c>
      <c r="H1204" s="1239">
        <f t="shared" si="36"/>
        <v>633732083</v>
      </c>
      <c r="I1204" s="997"/>
      <c r="K1204" s="19"/>
    </row>
    <row r="1205" spans="1:11" x14ac:dyDescent="0.2">
      <c r="A1205" s="999"/>
      <c r="B1205" s="1000"/>
      <c r="C1205" s="996"/>
      <c r="D1205" s="443">
        <f>_xlfn.XLOOKUP(B1205,Códigos!$A$421:$A$483,Códigos!$B$421:$B$483,"Verificar",0)</f>
        <v>0</v>
      </c>
      <c r="E1205" s="444">
        <f>_xlfn.XLOOKUP(C1205,Códigos!$A$11:$A$415,Códigos!$B$11:$B$415,"Verificar",0)</f>
        <v>0</v>
      </c>
      <c r="F1205" s="1286"/>
      <c r="G1205" s="990">
        <v>0</v>
      </c>
      <c r="H1205" s="1239">
        <f t="shared" si="36"/>
        <v>633732083</v>
      </c>
      <c r="I1205" s="997"/>
      <c r="K1205" s="19"/>
    </row>
    <row r="1206" spans="1:11" x14ac:dyDescent="0.2">
      <c r="A1206" s="999"/>
      <c r="B1206" s="1000"/>
      <c r="C1206" s="996"/>
      <c r="D1206" s="443">
        <f>_xlfn.XLOOKUP(B1206,Códigos!$A$421:$A$483,Códigos!$B$421:$B$483,"Verificar",0)</f>
        <v>0</v>
      </c>
      <c r="E1206" s="444">
        <f>_xlfn.XLOOKUP(C1206,Códigos!$A$11:$A$415,Códigos!$B$11:$B$415,"Verificar",0)</f>
        <v>0</v>
      </c>
      <c r="F1206" s="1286"/>
      <c r="G1206" s="990">
        <v>0</v>
      </c>
      <c r="H1206" s="1239">
        <f t="shared" si="36"/>
        <v>633732083</v>
      </c>
      <c r="I1206" s="997"/>
      <c r="K1206" s="19"/>
    </row>
    <row r="1207" spans="1:11" x14ac:dyDescent="0.2">
      <c r="A1207" s="999"/>
      <c r="B1207" s="1000"/>
      <c r="C1207" s="996"/>
      <c r="D1207" s="443">
        <f>_xlfn.XLOOKUP(B1207,Códigos!$A$421:$A$483,Códigos!$B$421:$B$483,"Verificar",0)</f>
        <v>0</v>
      </c>
      <c r="E1207" s="444">
        <f>_xlfn.XLOOKUP(C1207,Códigos!$A$11:$A$415,Códigos!$B$11:$B$415,"Verificar",0)</f>
        <v>0</v>
      </c>
      <c r="F1207" s="1286"/>
      <c r="G1207" s="990">
        <v>0</v>
      </c>
      <c r="H1207" s="1239">
        <f t="shared" si="36"/>
        <v>633732083</v>
      </c>
      <c r="I1207" s="997"/>
      <c r="K1207" s="19"/>
    </row>
    <row r="1208" spans="1:11" x14ac:dyDescent="0.2">
      <c r="A1208" s="999"/>
      <c r="B1208" s="1000"/>
      <c r="C1208" s="996"/>
      <c r="D1208" s="443">
        <f>_xlfn.XLOOKUP(B1208,Códigos!$A$421:$A$483,Códigos!$B$421:$B$483,"Verificar",0)</f>
        <v>0</v>
      </c>
      <c r="E1208" s="444">
        <f>_xlfn.XLOOKUP(C1208,Códigos!$A$11:$A$415,Códigos!$B$11:$B$415,"Verificar",0)</f>
        <v>0</v>
      </c>
      <c r="F1208" s="1286"/>
      <c r="G1208" s="990">
        <v>0</v>
      </c>
      <c r="H1208" s="1239">
        <f t="shared" si="36"/>
        <v>633732083</v>
      </c>
      <c r="I1208" s="997"/>
      <c r="K1208" s="19"/>
    </row>
    <row r="1209" spans="1:11" x14ac:dyDescent="0.2">
      <c r="A1209" s="999"/>
      <c r="B1209" s="1000"/>
      <c r="C1209" s="996"/>
      <c r="D1209" s="443">
        <f>_xlfn.XLOOKUP(B1209,Códigos!$A$421:$A$483,Códigos!$B$421:$B$483,"Verificar",0)</f>
        <v>0</v>
      </c>
      <c r="E1209" s="444">
        <f>_xlfn.XLOOKUP(C1209,Códigos!$A$11:$A$415,Códigos!$B$11:$B$415,"Verificar",0)</f>
        <v>0</v>
      </c>
      <c r="F1209" s="1286"/>
      <c r="G1209" s="990">
        <v>0</v>
      </c>
      <c r="H1209" s="1239">
        <f t="shared" si="36"/>
        <v>633732083</v>
      </c>
      <c r="I1209" s="997"/>
      <c r="K1209" s="19"/>
    </row>
    <row r="1210" spans="1:11" x14ac:dyDescent="0.2">
      <c r="A1210" s="999"/>
      <c r="B1210" s="1000"/>
      <c r="C1210" s="996"/>
      <c r="D1210" s="443">
        <f>_xlfn.XLOOKUP(B1210,Códigos!$A$421:$A$483,Códigos!$B$421:$B$483,"Verificar",0)</f>
        <v>0</v>
      </c>
      <c r="E1210" s="444">
        <f>_xlfn.XLOOKUP(C1210,Códigos!$A$11:$A$415,Códigos!$B$11:$B$415,"Verificar",0)</f>
        <v>0</v>
      </c>
      <c r="F1210" s="1286"/>
      <c r="G1210" s="990">
        <v>0</v>
      </c>
      <c r="H1210" s="1239">
        <f t="shared" si="36"/>
        <v>633732083</v>
      </c>
      <c r="I1210" s="997"/>
      <c r="K1210" s="19"/>
    </row>
    <row r="1211" spans="1:11" x14ac:dyDescent="0.2">
      <c r="A1211" s="999"/>
      <c r="B1211" s="1000"/>
      <c r="C1211" s="996"/>
      <c r="D1211" s="443">
        <f>_xlfn.XLOOKUP(B1211,Códigos!$A$421:$A$483,Códigos!$B$421:$B$483,"Verificar",0)</f>
        <v>0</v>
      </c>
      <c r="E1211" s="444">
        <f>_xlfn.XLOOKUP(C1211,Códigos!$A$11:$A$415,Códigos!$B$11:$B$415,"Verificar",0)</f>
        <v>0</v>
      </c>
      <c r="F1211" s="1286"/>
      <c r="G1211" s="990">
        <v>0</v>
      </c>
      <c r="H1211" s="1239">
        <f t="shared" si="36"/>
        <v>633732083</v>
      </c>
      <c r="I1211" s="997"/>
      <c r="K1211" s="19"/>
    </row>
    <row r="1212" spans="1:11" x14ac:dyDescent="0.2">
      <c r="A1212" s="999"/>
      <c r="B1212" s="1000"/>
      <c r="C1212" s="996"/>
      <c r="D1212" s="443">
        <f>_xlfn.XLOOKUP(B1212,Códigos!$A$421:$A$483,Códigos!$B$421:$B$483,"Verificar",0)</f>
        <v>0</v>
      </c>
      <c r="E1212" s="444">
        <f>_xlfn.XLOOKUP(C1212,Códigos!$A$11:$A$415,Códigos!$B$11:$B$415,"Verificar",0)</f>
        <v>0</v>
      </c>
      <c r="F1212" s="1286"/>
      <c r="G1212" s="990">
        <v>0</v>
      </c>
      <c r="H1212" s="1239">
        <f t="shared" si="36"/>
        <v>633732083</v>
      </c>
      <c r="I1212" s="997"/>
      <c r="K1212" s="19"/>
    </row>
    <row r="1213" spans="1:11" x14ac:dyDescent="0.2">
      <c r="A1213" s="999"/>
      <c r="B1213" s="1000"/>
      <c r="C1213" s="996"/>
      <c r="D1213" s="443">
        <f>_xlfn.XLOOKUP(B1213,Códigos!$A$421:$A$483,Códigos!$B$421:$B$483,"Verificar",0)</f>
        <v>0</v>
      </c>
      <c r="E1213" s="444">
        <f>_xlfn.XLOOKUP(C1213,Códigos!$A$11:$A$415,Códigos!$B$11:$B$415,"Verificar",0)</f>
        <v>0</v>
      </c>
      <c r="F1213" s="1286"/>
      <c r="G1213" s="990">
        <v>0</v>
      </c>
      <c r="H1213" s="1239">
        <f t="shared" si="36"/>
        <v>633732083</v>
      </c>
      <c r="I1213" s="997"/>
      <c r="K1213" s="19"/>
    </row>
    <row r="1214" spans="1:11" x14ac:dyDescent="0.2">
      <c r="A1214" s="999"/>
      <c r="B1214" s="1000"/>
      <c r="C1214" s="996"/>
      <c r="D1214" s="443">
        <f>_xlfn.XLOOKUP(B1214,Códigos!$A$421:$A$483,Códigos!$B$421:$B$483,"Verificar",0)</f>
        <v>0</v>
      </c>
      <c r="E1214" s="444">
        <f>_xlfn.XLOOKUP(C1214,Códigos!$A$11:$A$415,Códigos!$B$11:$B$415,"Verificar",0)</f>
        <v>0</v>
      </c>
      <c r="F1214" s="1286"/>
      <c r="G1214" s="990">
        <v>0</v>
      </c>
      <c r="H1214" s="1239">
        <f t="shared" si="36"/>
        <v>633732083</v>
      </c>
      <c r="I1214" s="997"/>
      <c r="K1214" s="19"/>
    </row>
    <row r="1215" spans="1:11" x14ac:dyDescent="0.2">
      <c r="A1215" s="999"/>
      <c r="B1215" s="1000"/>
      <c r="C1215" s="996"/>
      <c r="D1215" s="443">
        <f>_xlfn.XLOOKUP(B1215,Códigos!$A$421:$A$483,Códigos!$B$421:$B$483,"Verificar",0)</f>
        <v>0</v>
      </c>
      <c r="E1215" s="444">
        <f>_xlfn.XLOOKUP(C1215,Códigos!$A$11:$A$415,Códigos!$B$11:$B$415,"Verificar",0)</f>
        <v>0</v>
      </c>
      <c r="F1215" s="1286"/>
      <c r="G1215" s="990">
        <v>0</v>
      </c>
      <c r="H1215" s="1239">
        <f t="shared" si="36"/>
        <v>633732083</v>
      </c>
      <c r="I1215" s="997"/>
      <c r="K1215" s="19"/>
    </row>
    <row r="1216" spans="1:11" x14ac:dyDescent="0.2">
      <c r="A1216" s="999"/>
      <c r="B1216" s="1000"/>
      <c r="C1216" s="996"/>
      <c r="D1216" s="443">
        <f>_xlfn.XLOOKUP(B1216,Códigos!$A$421:$A$483,Códigos!$B$421:$B$483,"Verificar",0)</f>
        <v>0</v>
      </c>
      <c r="E1216" s="444">
        <f>_xlfn.XLOOKUP(C1216,Códigos!$A$11:$A$415,Códigos!$B$11:$B$415,"Verificar",0)</f>
        <v>0</v>
      </c>
      <c r="F1216" s="1286"/>
      <c r="G1216" s="990">
        <v>0</v>
      </c>
      <c r="H1216" s="1239">
        <f t="shared" ref="H1216:H1226" si="37">+H1215+G1216</f>
        <v>633732083</v>
      </c>
      <c r="I1216" s="997"/>
      <c r="K1216" s="19"/>
    </row>
    <row r="1217" spans="1:11" x14ac:dyDescent="0.2">
      <c r="A1217" s="999"/>
      <c r="B1217" s="1000"/>
      <c r="C1217" s="996"/>
      <c r="D1217" s="443">
        <f>_xlfn.XLOOKUP(B1217,Códigos!$A$421:$A$483,Códigos!$B$421:$B$483,"Verificar",0)</f>
        <v>0</v>
      </c>
      <c r="E1217" s="444">
        <f>_xlfn.XLOOKUP(C1217,Códigos!$A$11:$A$415,Códigos!$B$11:$B$415,"Verificar",0)</f>
        <v>0</v>
      </c>
      <c r="F1217" s="1286"/>
      <c r="G1217" s="990">
        <v>0</v>
      </c>
      <c r="H1217" s="1239">
        <f t="shared" si="37"/>
        <v>633732083</v>
      </c>
      <c r="I1217" s="997"/>
      <c r="K1217" s="19"/>
    </row>
    <row r="1218" spans="1:11" x14ac:dyDescent="0.2">
      <c r="A1218" s="999"/>
      <c r="B1218" s="1000"/>
      <c r="C1218" s="996"/>
      <c r="D1218" s="443">
        <f>_xlfn.XLOOKUP(B1218,Códigos!$A$421:$A$483,Códigos!$B$421:$B$483,"Verificar",0)</f>
        <v>0</v>
      </c>
      <c r="E1218" s="444">
        <f>_xlfn.XLOOKUP(C1218,Códigos!$A$11:$A$415,Códigos!$B$11:$B$415,"Verificar",0)</f>
        <v>0</v>
      </c>
      <c r="F1218" s="1286"/>
      <c r="G1218" s="990">
        <v>0</v>
      </c>
      <c r="H1218" s="1239">
        <f t="shared" si="37"/>
        <v>633732083</v>
      </c>
      <c r="I1218" s="997"/>
      <c r="K1218" s="19"/>
    </row>
    <row r="1219" spans="1:11" x14ac:dyDescent="0.2">
      <c r="A1219" s="999"/>
      <c r="B1219" s="1000"/>
      <c r="C1219" s="996"/>
      <c r="D1219" s="443">
        <f>_xlfn.XLOOKUP(B1219,Códigos!$A$421:$A$483,Códigos!$B$421:$B$483,"Verificar",0)</f>
        <v>0</v>
      </c>
      <c r="E1219" s="444">
        <f>_xlfn.XLOOKUP(C1219,Códigos!$A$11:$A$415,Códigos!$B$11:$B$415,"Verificar",0)</f>
        <v>0</v>
      </c>
      <c r="F1219" s="1286"/>
      <c r="G1219" s="990">
        <v>0</v>
      </c>
      <c r="H1219" s="1239">
        <f t="shared" si="37"/>
        <v>633732083</v>
      </c>
      <c r="I1219" s="997"/>
      <c r="K1219" s="19"/>
    </row>
    <row r="1220" spans="1:11" x14ac:dyDescent="0.2">
      <c r="A1220" s="999"/>
      <c r="B1220" s="1000"/>
      <c r="C1220" s="996"/>
      <c r="D1220" s="443">
        <f>_xlfn.XLOOKUP(B1220,Códigos!$A$421:$A$483,Códigos!$B$421:$B$483,"Verificar",0)</f>
        <v>0</v>
      </c>
      <c r="E1220" s="444">
        <f>_xlfn.XLOOKUP(C1220,Códigos!$A$11:$A$415,Códigos!$B$11:$B$415,"Verificar",0)</f>
        <v>0</v>
      </c>
      <c r="F1220" s="1286"/>
      <c r="G1220" s="990">
        <v>0</v>
      </c>
      <c r="H1220" s="1239">
        <f t="shared" si="37"/>
        <v>633732083</v>
      </c>
      <c r="I1220" s="997"/>
      <c r="K1220" s="19"/>
    </row>
    <row r="1221" spans="1:11" x14ac:dyDescent="0.2">
      <c r="A1221" s="999"/>
      <c r="B1221" s="1000"/>
      <c r="C1221" s="996"/>
      <c r="D1221" s="443">
        <f>_xlfn.XLOOKUP(B1221,Códigos!$A$421:$A$483,Códigos!$B$421:$B$483,"Verificar",0)</f>
        <v>0</v>
      </c>
      <c r="E1221" s="444">
        <f>_xlfn.XLOOKUP(C1221,Códigos!$A$11:$A$415,Códigos!$B$11:$B$415,"Verificar",0)</f>
        <v>0</v>
      </c>
      <c r="F1221" s="1286"/>
      <c r="G1221" s="990">
        <v>0</v>
      </c>
      <c r="H1221" s="1239">
        <f t="shared" si="37"/>
        <v>633732083</v>
      </c>
      <c r="I1221" s="997"/>
      <c r="K1221" s="19"/>
    </row>
    <row r="1222" spans="1:11" x14ac:dyDescent="0.2">
      <c r="A1222" s="999"/>
      <c r="B1222" s="1000"/>
      <c r="C1222" s="996"/>
      <c r="D1222" s="443">
        <f>_xlfn.XLOOKUP(B1222,Códigos!$A$421:$A$483,Códigos!$B$421:$B$483,"Verificar",0)</f>
        <v>0</v>
      </c>
      <c r="E1222" s="444">
        <f>_xlfn.XLOOKUP(C1222,Códigos!$A$11:$A$415,Códigos!$B$11:$B$415,"Verificar",0)</f>
        <v>0</v>
      </c>
      <c r="F1222" s="1286"/>
      <c r="G1222" s="990">
        <v>0</v>
      </c>
      <c r="H1222" s="1239">
        <f t="shared" si="37"/>
        <v>633732083</v>
      </c>
      <c r="I1222" s="997"/>
      <c r="K1222" s="19"/>
    </row>
    <row r="1223" spans="1:11" x14ac:dyDescent="0.2">
      <c r="A1223" s="999"/>
      <c r="B1223" s="1000"/>
      <c r="C1223" s="996"/>
      <c r="D1223" s="443">
        <f>_xlfn.XLOOKUP(B1223,Códigos!$A$421:$A$483,Códigos!$B$421:$B$483,"Verificar",0)</f>
        <v>0</v>
      </c>
      <c r="E1223" s="444">
        <f>_xlfn.XLOOKUP(C1223,Códigos!$A$11:$A$415,Códigos!$B$11:$B$415,"Verificar",0)</f>
        <v>0</v>
      </c>
      <c r="F1223" s="1286"/>
      <c r="G1223" s="990">
        <v>0</v>
      </c>
      <c r="H1223" s="1239">
        <f t="shared" si="37"/>
        <v>633732083</v>
      </c>
      <c r="I1223" s="997"/>
      <c r="K1223" s="19"/>
    </row>
    <row r="1224" spans="1:11" x14ac:dyDescent="0.2">
      <c r="A1224" s="999"/>
      <c r="B1224" s="1000"/>
      <c r="C1224" s="996"/>
      <c r="D1224" s="443">
        <f>_xlfn.XLOOKUP(B1224,Códigos!$A$421:$A$483,Códigos!$B$421:$B$483,"Verificar",0)</f>
        <v>0</v>
      </c>
      <c r="E1224" s="444">
        <f>_xlfn.XLOOKUP(C1224,Códigos!$A$11:$A$415,Códigos!$B$11:$B$415,"Verificar",0)</f>
        <v>0</v>
      </c>
      <c r="F1224" s="1286"/>
      <c r="G1224" s="441">
        <v>0</v>
      </c>
      <c r="H1224" s="1239">
        <f t="shared" si="37"/>
        <v>633732083</v>
      </c>
      <c r="I1224" s="997"/>
      <c r="K1224" s="19"/>
    </row>
    <row r="1225" spans="1:11" x14ac:dyDescent="0.2">
      <c r="A1225" s="999"/>
      <c r="B1225" s="1000"/>
      <c r="C1225" s="996"/>
      <c r="D1225" s="443">
        <f>_xlfn.XLOOKUP(B1225,Códigos!$A$421:$A$483,Códigos!$B$421:$B$483,"Verificar",0)</f>
        <v>0</v>
      </c>
      <c r="E1225" s="444">
        <f>_xlfn.XLOOKUP(C1225,Códigos!$A$11:$A$415,Códigos!$B$11:$B$415,"Verificar",0)</f>
        <v>0</v>
      </c>
      <c r="F1225" s="1286"/>
      <c r="G1225" s="441">
        <v>0</v>
      </c>
      <c r="H1225" s="1239">
        <f t="shared" si="37"/>
        <v>633732083</v>
      </c>
      <c r="I1225" s="997"/>
      <c r="K1225" s="19"/>
    </row>
    <row r="1226" spans="1:11" x14ac:dyDescent="0.2">
      <c r="A1226" s="999"/>
      <c r="B1226" s="1000"/>
      <c r="C1226" s="996"/>
      <c r="D1226" s="443">
        <f>_xlfn.XLOOKUP(B1226,Códigos!$A$421:$A$483,Códigos!$B$421:$B$483,"Verificar",0)</f>
        <v>0</v>
      </c>
      <c r="E1226" s="444">
        <f>_xlfn.XLOOKUP(C1226,Códigos!$A$11:$A$415,Códigos!$B$11:$B$415,"Verificar",0)</f>
        <v>0</v>
      </c>
      <c r="F1226" s="1286"/>
      <c r="G1226" s="441">
        <v>0</v>
      </c>
      <c r="H1226" s="1239">
        <f t="shared" si="37"/>
        <v>633732083</v>
      </c>
      <c r="I1226" s="997"/>
      <c r="K1226" s="19"/>
    </row>
    <row r="1227" spans="1:11" x14ac:dyDescent="0.2">
      <c r="A1227" s="999"/>
      <c r="B1227" s="1000"/>
      <c r="C1227" s="996"/>
      <c r="D1227" s="443">
        <f>_xlfn.XLOOKUP(B1227,Códigos!$A$421:$A$483,Códigos!$B$421:$B$483,"Verificar",0)</f>
        <v>0</v>
      </c>
      <c r="E1227" s="444">
        <f>_xlfn.XLOOKUP(C1227,Códigos!$A$11:$A$415,Códigos!$B$11:$B$415,"Verificar",0)</f>
        <v>0</v>
      </c>
      <c r="F1227" s="1286"/>
      <c r="G1227" s="441">
        <v>0</v>
      </c>
      <c r="H1227" s="441">
        <f t="shared" ref="H1227:H1236" si="38">+H1226+G1227</f>
        <v>633732083</v>
      </c>
      <c r="I1227" s="997"/>
      <c r="K1227" s="19"/>
    </row>
    <row r="1228" spans="1:11" x14ac:dyDescent="0.2">
      <c r="A1228" s="999"/>
      <c r="B1228" s="1000"/>
      <c r="C1228" s="996"/>
      <c r="D1228" s="443">
        <f>_xlfn.XLOOKUP(B1228,Códigos!$A$421:$A$483,Códigos!$B$421:$B$483,"Verificar",0)</f>
        <v>0</v>
      </c>
      <c r="E1228" s="444">
        <f>_xlfn.XLOOKUP(C1228,Códigos!$A$11:$A$415,Códigos!$B$11:$B$415,"Verificar",0)</f>
        <v>0</v>
      </c>
      <c r="F1228" s="1286"/>
      <c r="G1228" s="441">
        <v>0</v>
      </c>
      <c r="H1228" s="441">
        <f t="shared" si="38"/>
        <v>633732083</v>
      </c>
      <c r="I1228" s="997"/>
      <c r="K1228" s="19"/>
    </row>
    <row r="1229" spans="1:11" x14ac:dyDescent="0.2">
      <c r="A1229" s="999"/>
      <c r="B1229" s="1000"/>
      <c r="C1229" s="996"/>
      <c r="D1229" s="443">
        <f>_xlfn.XLOOKUP(B1229,Códigos!$A$421:$A$483,Códigos!$B$421:$B$483,"Verificar",0)</f>
        <v>0</v>
      </c>
      <c r="E1229" s="444">
        <f>_xlfn.XLOOKUP(C1229,Códigos!$A$11:$A$415,Códigos!$B$11:$B$415,"Verificar",0)</f>
        <v>0</v>
      </c>
      <c r="F1229" s="1286"/>
      <c r="G1229" s="441">
        <v>0</v>
      </c>
      <c r="H1229" s="441">
        <f t="shared" si="38"/>
        <v>633732083</v>
      </c>
      <c r="I1229" s="997"/>
      <c r="K1229" s="19"/>
    </row>
    <row r="1230" spans="1:11" x14ac:dyDescent="0.2">
      <c r="A1230" s="999"/>
      <c r="B1230" s="1000"/>
      <c r="C1230" s="996"/>
      <c r="D1230" s="443">
        <f>_xlfn.XLOOKUP(B1230,Códigos!$A$421:$A$483,Códigos!$B$421:$B$483,"Verificar",0)</f>
        <v>0</v>
      </c>
      <c r="E1230" s="444">
        <f>_xlfn.XLOOKUP(C1230,Códigos!$A$11:$A$415,Códigos!$B$11:$B$415,"Verificar",0)</f>
        <v>0</v>
      </c>
      <c r="F1230" s="1286"/>
      <c r="G1230" s="441">
        <v>0</v>
      </c>
      <c r="H1230" s="441">
        <f t="shared" si="38"/>
        <v>633732083</v>
      </c>
      <c r="I1230" s="997"/>
      <c r="K1230" s="19"/>
    </row>
    <row r="1231" spans="1:11" x14ac:dyDescent="0.2">
      <c r="A1231" s="999"/>
      <c r="B1231" s="1000"/>
      <c r="C1231" s="996"/>
      <c r="D1231" s="443">
        <f>_xlfn.XLOOKUP(B1231,Códigos!$A$421:$A$483,Códigos!$B$421:$B$483,"Verificar",0)</f>
        <v>0</v>
      </c>
      <c r="E1231" s="444">
        <f>_xlfn.XLOOKUP(C1231,Códigos!$A$11:$A$415,Códigos!$B$11:$B$415,"Verificar",0)</f>
        <v>0</v>
      </c>
      <c r="F1231" s="1286"/>
      <c r="G1231" s="441">
        <v>0</v>
      </c>
      <c r="H1231" s="441">
        <f t="shared" si="38"/>
        <v>633732083</v>
      </c>
      <c r="I1231" s="997"/>
      <c r="K1231" s="19"/>
    </row>
    <row r="1232" spans="1:11" x14ac:dyDescent="0.2">
      <c r="A1232" s="999"/>
      <c r="B1232" s="1000"/>
      <c r="C1232" s="996"/>
      <c r="D1232" s="443">
        <f>_xlfn.XLOOKUP(B1232,Códigos!$A$421:$A$483,Códigos!$B$421:$B$483,"Verificar",0)</f>
        <v>0</v>
      </c>
      <c r="E1232" s="444">
        <f>_xlfn.XLOOKUP(C1232,Códigos!$A$11:$A$415,Códigos!$B$11:$B$415,"Verificar",0)</f>
        <v>0</v>
      </c>
      <c r="F1232" s="1286"/>
      <c r="G1232" s="441">
        <v>0</v>
      </c>
      <c r="H1232" s="441">
        <f t="shared" si="38"/>
        <v>633732083</v>
      </c>
      <c r="I1232" s="997"/>
      <c r="K1232" s="19"/>
    </row>
    <row r="1233" spans="1:11" x14ac:dyDescent="0.2">
      <c r="A1233" s="999"/>
      <c r="B1233" s="1000"/>
      <c r="C1233" s="996"/>
      <c r="D1233" s="443">
        <f>_xlfn.XLOOKUP(B1233,Códigos!$A$421:$A$483,Códigos!$B$421:$B$483,"Verificar",0)</f>
        <v>0</v>
      </c>
      <c r="E1233" s="444">
        <f>_xlfn.XLOOKUP(C1233,Códigos!$A$11:$A$415,Códigos!$B$11:$B$415,"Verificar",0)</f>
        <v>0</v>
      </c>
      <c r="F1233" s="1286"/>
      <c r="G1233" s="441">
        <v>0</v>
      </c>
      <c r="H1233" s="441">
        <f t="shared" si="38"/>
        <v>633732083</v>
      </c>
      <c r="I1233" s="997"/>
      <c r="K1233" s="19"/>
    </row>
    <row r="1234" spans="1:11" x14ac:dyDescent="0.2">
      <c r="A1234" s="999"/>
      <c r="B1234" s="1000"/>
      <c r="C1234" s="996"/>
      <c r="D1234" s="443">
        <f>_xlfn.XLOOKUP(B1234,Códigos!$A$421:$A$483,Códigos!$B$421:$B$483,"Verificar",0)</f>
        <v>0</v>
      </c>
      <c r="E1234" s="444">
        <f>_xlfn.XLOOKUP(C1234,Códigos!$A$11:$A$415,Códigos!$B$11:$B$415,"Verificar",0)</f>
        <v>0</v>
      </c>
      <c r="F1234" s="1286"/>
      <c r="G1234" s="441">
        <v>0</v>
      </c>
      <c r="H1234" s="441">
        <f t="shared" si="38"/>
        <v>633732083</v>
      </c>
      <c r="I1234" s="997"/>
      <c r="K1234" s="19"/>
    </row>
    <row r="1235" spans="1:11" x14ac:dyDescent="0.2">
      <c r="A1235" s="999"/>
      <c r="B1235" s="1000"/>
      <c r="C1235" s="996"/>
      <c r="D1235" s="443">
        <f>_xlfn.XLOOKUP(B1235,Códigos!$A$421:$A$483,Códigos!$B$421:$B$483,"Verificar",0)</f>
        <v>0</v>
      </c>
      <c r="E1235" s="444">
        <f>_xlfn.XLOOKUP(C1235,Códigos!$A$11:$A$415,Códigos!$B$11:$B$415,"Verificar",0)</f>
        <v>0</v>
      </c>
      <c r="F1235" s="1286"/>
      <c r="G1235" s="441">
        <v>0</v>
      </c>
      <c r="H1235" s="441">
        <f t="shared" si="38"/>
        <v>633732083</v>
      </c>
      <c r="I1235" s="997"/>
      <c r="K1235" s="19"/>
    </row>
    <row r="1236" spans="1:11" x14ac:dyDescent="0.2">
      <c r="A1236" s="999"/>
      <c r="B1236" s="1000"/>
      <c r="C1236" s="996"/>
      <c r="D1236" s="443">
        <f>_xlfn.XLOOKUP(B1236,Códigos!$A$421:$A$483,Códigos!$B$421:$B$483,"Verificar",0)</f>
        <v>0</v>
      </c>
      <c r="E1236" s="444">
        <f>_xlfn.XLOOKUP(C1236,Códigos!$A$11:$A$415,Códigos!$B$11:$B$415,"Verificar",0)</f>
        <v>0</v>
      </c>
      <c r="F1236" s="1286"/>
      <c r="G1236" s="441">
        <v>0</v>
      </c>
      <c r="H1236" s="441">
        <f t="shared" si="38"/>
        <v>633732083</v>
      </c>
      <c r="I1236" s="997"/>
      <c r="K1236" s="19"/>
    </row>
    <row r="1237" spans="1:11" x14ac:dyDescent="0.2">
      <c r="A1237" s="999"/>
      <c r="B1237" s="1000"/>
      <c r="C1237" s="996"/>
      <c r="D1237" s="443">
        <f>_xlfn.XLOOKUP(B1237,Códigos!$A$421:$A$483,Códigos!$B$421:$B$483,"Verificar",0)</f>
        <v>0</v>
      </c>
      <c r="E1237" s="444">
        <f>_xlfn.XLOOKUP(C1237,Códigos!$A$11:$A$415,Códigos!$B$11:$B$415,"Verificar",0)</f>
        <v>0</v>
      </c>
      <c r="F1237" s="1286"/>
      <c r="G1237" s="441">
        <v>0</v>
      </c>
      <c r="H1237" s="441">
        <f t="shared" ref="H1237:H1300" si="39">+H1236+G1237</f>
        <v>633732083</v>
      </c>
      <c r="I1237" s="997"/>
      <c r="K1237" s="19"/>
    </row>
    <row r="1238" spans="1:11" x14ac:dyDescent="0.2">
      <c r="A1238" s="999"/>
      <c r="B1238" s="1000"/>
      <c r="C1238" s="996"/>
      <c r="D1238" s="443">
        <f>_xlfn.XLOOKUP(B1238,Códigos!$A$421:$A$483,Códigos!$B$421:$B$483,"Verificar",0)</f>
        <v>0</v>
      </c>
      <c r="E1238" s="444">
        <f>_xlfn.XLOOKUP(C1238,Códigos!$A$11:$A$415,Códigos!$B$11:$B$415,"Verificar",0)</f>
        <v>0</v>
      </c>
      <c r="F1238" s="1286"/>
      <c r="G1238" s="441">
        <v>0</v>
      </c>
      <c r="H1238" s="441">
        <f t="shared" si="39"/>
        <v>633732083</v>
      </c>
      <c r="I1238" s="997"/>
      <c r="K1238" s="19"/>
    </row>
    <row r="1239" spans="1:11" x14ac:dyDescent="0.2">
      <c r="A1239" s="999"/>
      <c r="B1239" s="1000"/>
      <c r="C1239" s="996"/>
      <c r="D1239" s="443">
        <f>_xlfn.XLOOKUP(B1239,Códigos!$A$421:$A$483,Códigos!$B$421:$B$483,"Verificar",0)</f>
        <v>0</v>
      </c>
      <c r="E1239" s="444">
        <f>_xlfn.XLOOKUP(C1239,Códigos!$A$11:$A$415,Códigos!$B$11:$B$415,"Verificar",0)</f>
        <v>0</v>
      </c>
      <c r="F1239" s="1286"/>
      <c r="G1239" s="441">
        <v>0</v>
      </c>
      <c r="H1239" s="441">
        <f t="shared" si="39"/>
        <v>633732083</v>
      </c>
      <c r="I1239" s="997"/>
      <c r="K1239" s="19"/>
    </row>
    <row r="1240" spans="1:11" x14ac:dyDescent="0.2">
      <c r="A1240" s="999"/>
      <c r="B1240" s="1000"/>
      <c r="C1240" s="996"/>
      <c r="D1240" s="443">
        <f>_xlfn.XLOOKUP(B1240,Códigos!$A$421:$A$483,Códigos!$B$421:$B$483,"Verificar",0)</f>
        <v>0</v>
      </c>
      <c r="E1240" s="444">
        <f>_xlfn.XLOOKUP(C1240,Códigos!$A$11:$A$415,Códigos!$B$11:$B$415,"Verificar",0)</f>
        <v>0</v>
      </c>
      <c r="F1240" s="1286"/>
      <c r="G1240" s="441">
        <v>0</v>
      </c>
      <c r="H1240" s="441">
        <f t="shared" si="39"/>
        <v>633732083</v>
      </c>
      <c r="I1240" s="997"/>
      <c r="K1240" s="19"/>
    </row>
    <row r="1241" spans="1:11" x14ac:dyDescent="0.2">
      <c r="A1241" s="999"/>
      <c r="B1241" s="1000"/>
      <c r="C1241" s="996"/>
      <c r="D1241" s="443">
        <f>_xlfn.XLOOKUP(B1241,Códigos!$A$421:$A$483,Códigos!$B$421:$B$483,"Verificar",0)</f>
        <v>0</v>
      </c>
      <c r="E1241" s="444">
        <f>_xlfn.XLOOKUP(C1241,Códigos!$A$11:$A$415,Códigos!$B$11:$B$415,"Verificar",0)</f>
        <v>0</v>
      </c>
      <c r="F1241" s="1286"/>
      <c r="G1241" s="441">
        <v>0</v>
      </c>
      <c r="H1241" s="441">
        <f t="shared" si="39"/>
        <v>633732083</v>
      </c>
      <c r="I1241" s="997"/>
      <c r="K1241" s="19"/>
    </row>
    <row r="1242" spans="1:11" x14ac:dyDescent="0.2">
      <c r="A1242" s="999"/>
      <c r="B1242" s="1000"/>
      <c r="C1242" s="996"/>
      <c r="D1242" s="443">
        <f>_xlfn.XLOOKUP(B1242,Códigos!$A$421:$A$483,Códigos!$B$421:$B$483,"Verificar",0)</f>
        <v>0</v>
      </c>
      <c r="E1242" s="444">
        <f>_xlfn.XLOOKUP(C1242,Códigos!$A$11:$A$415,Códigos!$B$11:$B$415,"Verificar",0)</f>
        <v>0</v>
      </c>
      <c r="F1242" s="1286"/>
      <c r="G1242" s="441">
        <v>0</v>
      </c>
      <c r="H1242" s="441">
        <f t="shared" si="39"/>
        <v>633732083</v>
      </c>
      <c r="I1242" s="997"/>
      <c r="K1242" s="19"/>
    </row>
    <row r="1243" spans="1:11" x14ac:dyDescent="0.2">
      <c r="A1243" s="999"/>
      <c r="B1243" s="1000"/>
      <c r="C1243" s="996"/>
      <c r="D1243" s="443">
        <f>_xlfn.XLOOKUP(B1243,Códigos!$A$421:$A$483,Códigos!$B$421:$B$483,"Verificar",0)</f>
        <v>0</v>
      </c>
      <c r="E1243" s="444">
        <f>_xlfn.XLOOKUP(C1243,Códigos!$A$11:$A$415,Códigos!$B$11:$B$415,"Verificar",0)</f>
        <v>0</v>
      </c>
      <c r="F1243" s="1286"/>
      <c r="G1243" s="441">
        <v>0</v>
      </c>
      <c r="H1243" s="441">
        <f t="shared" si="39"/>
        <v>633732083</v>
      </c>
      <c r="I1243" s="997"/>
      <c r="K1243" s="19"/>
    </row>
    <row r="1244" spans="1:11" x14ac:dyDescent="0.2">
      <c r="A1244" s="999"/>
      <c r="B1244" s="1000"/>
      <c r="C1244" s="996"/>
      <c r="D1244" s="443">
        <f>_xlfn.XLOOKUP(B1244,Códigos!$A$421:$A$483,Códigos!$B$421:$B$483,"Verificar",0)</f>
        <v>0</v>
      </c>
      <c r="E1244" s="444">
        <f>_xlfn.XLOOKUP(C1244,Códigos!$A$11:$A$415,Códigos!$B$11:$B$415,"Verificar",0)</f>
        <v>0</v>
      </c>
      <c r="F1244" s="1286"/>
      <c r="G1244" s="441">
        <v>0</v>
      </c>
      <c r="H1244" s="441">
        <f t="shared" si="39"/>
        <v>633732083</v>
      </c>
      <c r="I1244" s="997"/>
      <c r="K1244" s="19"/>
    </row>
    <row r="1245" spans="1:11" x14ac:dyDescent="0.2">
      <c r="A1245" s="999"/>
      <c r="B1245" s="1000"/>
      <c r="C1245" s="996"/>
      <c r="D1245" s="443">
        <f>_xlfn.XLOOKUP(B1245,Códigos!$A$421:$A$483,Códigos!$B$421:$B$483,"Verificar",0)</f>
        <v>0</v>
      </c>
      <c r="E1245" s="444">
        <f>_xlfn.XLOOKUP(C1245,Códigos!$A$11:$A$415,Códigos!$B$11:$B$415,"Verificar",0)</f>
        <v>0</v>
      </c>
      <c r="F1245" s="1286"/>
      <c r="G1245" s="441">
        <v>0</v>
      </c>
      <c r="H1245" s="441">
        <f t="shared" si="39"/>
        <v>633732083</v>
      </c>
      <c r="I1245" s="997"/>
      <c r="K1245" s="19"/>
    </row>
    <row r="1246" spans="1:11" x14ac:dyDescent="0.2">
      <c r="A1246" s="999"/>
      <c r="B1246" s="1000"/>
      <c r="C1246" s="996"/>
      <c r="D1246" s="443">
        <f>_xlfn.XLOOKUP(B1246,Códigos!$A$421:$A$483,Códigos!$B$421:$B$483,"Verificar",0)</f>
        <v>0</v>
      </c>
      <c r="E1246" s="444">
        <f>_xlfn.XLOOKUP(C1246,Códigos!$A$11:$A$415,Códigos!$B$11:$B$415,"Verificar",0)</f>
        <v>0</v>
      </c>
      <c r="F1246" s="1286"/>
      <c r="G1246" s="441">
        <v>0</v>
      </c>
      <c r="H1246" s="441">
        <f t="shared" si="39"/>
        <v>633732083</v>
      </c>
      <c r="I1246" s="997"/>
      <c r="K1246" s="19"/>
    </row>
    <row r="1247" spans="1:11" x14ac:dyDescent="0.2">
      <c r="A1247" s="999"/>
      <c r="B1247" s="1000"/>
      <c r="C1247" s="996"/>
      <c r="D1247" s="443">
        <f>_xlfn.XLOOKUP(B1247,Códigos!$A$421:$A$483,Códigos!$B$421:$B$483,"Verificar",0)</f>
        <v>0</v>
      </c>
      <c r="E1247" s="444">
        <f>_xlfn.XLOOKUP(C1247,Códigos!$A$11:$A$415,Códigos!$B$11:$B$415,"Verificar",0)</f>
        <v>0</v>
      </c>
      <c r="F1247" s="1286"/>
      <c r="G1247" s="441">
        <v>0</v>
      </c>
      <c r="H1247" s="441">
        <f t="shared" si="39"/>
        <v>633732083</v>
      </c>
      <c r="I1247" s="997"/>
      <c r="K1247" s="19"/>
    </row>
    <row r="1248" spans="1:11" x14ac:dyDescent="0.2">
      <c r="A1248" s="999"/>
      <c r="B1248" s="1000"/>
      <c r="C1248" s="996"/>
      <c r="D1248" s="443">
        <f>_xlfn.XLOOKUP(B1248,Códigos!$A$421:$A$483,Códigos!$B$421:$B$483,"Verificar",0)</f>
        <v>0</v>
      </c>
      <c r="E1248" s="444">
        <f>_xlfn.XLOOKUP(C1248,Códigos!$A$11:$A$415,Códigos!$B$11:$B$415,"Verificar",0)</f>
        <v>0</v>
      </c>
      <c r="F1248" s="1286"/>
      <c r="G1248" s="441">
        <v>0</v>
      </c>
      <c r="H1248" s="441">
        <f t="shared" si="39"/>
        <v>633732083</v>
      </c>
      <c r="I1248" s="997"/>
      <c r="K1248" s="19"/>
    </row>
    <row r="1249" spans="1:11" x14ac:dyDescent="0.2">
      <c r="A1249" s="999"/>
      <c r="B1249" s="1000"/>
      <c r="C1249" s="996"/>
      <c r="D1249" s="443">
        <f>_xlfn.XLOOKUP(B1249,Códigos!$A$421:$A$483,Códigos!$B$421:$B$483,"Verificar",0)</f>
        <v>0</v>
      </c>
      <c r="E1249" s="444">
        <f>_xlfn.XLOOKUP(C1249,Códigos!$A$11:$A$415,Códigos!$B$11:$B$415,"Verificar",0)</f>
        <v>0</v>
      </c>
      <c r="F1249" s="1286"/>
      <c r="G1249" s="441">
        <v>0</v>
      </c>
      <c r="H1249" s="441">
        <f t="shared" si="39"/>
        <v>633732083</v>
      </c>
      <c r="I1249" s="997"/>
      <c r="K1249" s="19"/>
    </row>
    <row r="1250" spans="1:11" x14ac:dyDescent="0.2">
      <c r="A1250" s="999"/>
      <c r="B1250" s="1000"/>
      <c r="C1250" s="996"/>
      <c r="D1250" s="443">
        <f>_xlfn.XLOOKUP(B1250,Códigos!$A$421:$A$483,Códigos!$B$421:$B$483,"Verificar",0)</f>
        <v>0</v>
      </c>
      <c r="E1250" s="444">
        <f>_xlfn.XLOOKUP(C1250,Códigos!$A$11:$A$415,Códigos!$B$11:$B$415,"Verificar",0)</f>
        <v>0</v>
      </c>
      <c r="F1250" s="1286"/>
      <c r="G1250" s="441">
        <v>0</v>
      </c>
      <c r="H1250" s="441">
        <f t="shared" si="39"/>
        <v>633732083</v>
      </c>
      <c r="I1250" s="997"/>
      <c r="K1250" s="19"/>
    </row>
    <row r="1251" spans="1:11" x14ac:dyDescent="0.2">
      <c r="A1251" s="999"/>
      <c r="B1251" s="1000"/>
      <c r="C1251" s="996"/>
      <c r="D1251" s="443">
        <f>_xlfn.XLOOKUP(B1251,Códigos!$A$421:$A$483,Códigos!$B$421:$B$483,"Verificar",0)</f>
        <v>0</v>
      </c>
      <c r="E1251" s="444">
        <f>_xlfn.XLOOKUP(C1251,Códigos!$A$11:$A$415,Códigos!$B$11:$B$415,"Verificar",0)</f>
        <v>0</v>
      </c>
      <c r="F1251" s="1286"/>
      <c r="G1251" s="441">
        <v>0</v>
      </c>
      <c r="H1251" s="441">
        <f t="shared" si="39"/>
        <v>633732083</v>
      </c>
      <c r="I1251" s="997"/>
      <c r="K1251" s="19"/>
    </row>
    <row r="1252" spans="1:11" x14ac:dyDescent="0.2">
      <c r="A1252" s="999"/>
      <c r="B1252" s="1000"/>
      <c r="C1252" s="996"/>
      <c r="D1252" s="443">
        <f>_xlfn.XLOOKUP(B1252,Códigos!$A$421:$A$483,Códigos!$B$421:$B$483,"Verificar",0)</f>
        <v>0</v>
      </c>
      <c r="E1252" s="444">
        <f>_xlfn.XLOOKUP(C1252,Códigos!$A$11:$A$415,Códigos!$B$11:$B$415,"Verificar",0)</f>
        <v>0</v>
      </c>
      <c r="F1252" s="1286"/>
      <c r="G1252" s="441">
        <v>0</v>
      </c>
      <c r="H1252" s="441">
        <f t="shared" si="39"/>
        <v>633732083</v>
      </c>
      <c r="I1252" s="997"/>
      <c r="K1252" s="19"/>
    </row>
    <row r="1253" spans="1:11" x14ac:dyDescent="0.2">
      <c r="A1253" s="999"/>
      <c r="B1253" s="1000"/>
      <c r="C1253" s="996"/>
      <c r="D1253" s="443">
        <f>_xlfn.XLOOKUP(B1253,Códigos!$A$421:$A$483,Códigos!$B$421:$B$483,"Verificar",0)</f>
        <v>0</v>
      </c>
      <c r="E1253" s="444">
        <f>_xlfn.XLOOKUP(C1253,Códigos!$A$11:$A$415,Códigos!$B$11:$B$415,"Verificar",0)</f>
        <v>0</v>
      </c>
      <c r="F1253" s="1286"/>
      <c r="G1253" s="441">
        <v>0</v>
      </c>
      <c r="H1253" s="441">
        <f t="shared" si="39"/>
        <v>633732083</v>
      </c>
      <c r="I1253" s="997"/>
      <c r="K1253" s="19"/>
    </row>
    <row r="1254" spans="1:11" x14ac:dyDescent="0.2">
      <c r="A1254" s="293"/>
      <c r="B1254" s="490"/>
      <c r="C1254" s="288"/>
      <c r="D1254" s="443">
        <f>_xlfn.XLOOKUP(B1254,Códigos!$A$421:$A$483,Códigos!$B$421:$B$483,"Verificar",0)</f>
        <v>0</v>
      </c>
      <c r="E1254" s="444">
        <f>_xlfn.XLOOKUP(C1254,Códigos!$A$11:$A$415,Códigos!$B$11:$B$415,"Verificar",0)</f>
        <v>0</v>
      </c>
      <c r="F1254" s="1286"/>
      <c r="G1254" s="441">
        <v>0</v>
      </c>
      <c r="H1254" s="441">
        <f t="shared" si="39"/>
        <v>633732083</v>
      </c>
      <c r="I1254" s="997"/>
      <c r="K1254" s="19"/>
    </row>
    <row r="1255" spans="1:11" x14ac:dyDescent="0.2">
      <c r="A1255" s="293"/>
      <c r="B1255" s="490"/>
      <c r="C1255" s="288"/>
      <c r="D1255" s="443">
        <f>_xlfn.XLOOKUP(B1255,Códigos!$A$421:$A$483,Códigos!$B$421:$B$483,"Verificar",0)</f>
        <v>0</v>
      </c>
      <c r="E1255" s="444">
        <f>_xlfn.XLOOKUP(C1255,Códigos!$A$11:$A$415,Códigos!$B$11:$B$415,"Verificar",0)</f>
        <v>0</v>
      </c>
      <c r="F1255" s="1286"/>
      <c r="G1255" s="441">
        <v>0</v>
      </c>
      <c r="H1255" s="441">
        <f t="shared" si="39"/>
        <v>633732083</v>
      </c>
      <c r="I1255" s="997"/>
      <c r="K1255" s="19"/>
    </row>
    <row r="1256" spans="1:11" x14ac:dyDescent="0.2">
      <c r="A1256" s="293"/>
      <c r="B1256" s="490"/>
      <c r="C1256" s="288"/>
      <c r="D1256" s="443">
        <f>_xlfn.XLOOKUP(B1256,Códigos!$A$421:$A$483,Códigos!$B$421:$B$483,"Verificar",0)</f>
        <v>0</v>
      </c>
      <c r="E1256" s="444">
        <f>_xlfn.XLOOKUP(C1256,Códigos!$A$11:$A$415,Códigos!$B$11:$B$415,"Verificar",0)</f>
        <v>0</v>
      </c>
      <c r="F1256" s="1286"/>
      <c r="G1256" s="441">
        <v>0</v>
      </c>
      <c r="H1256" s="441">
        <f t="shared" si="39"/>
        <v>633732083</v>
      </c>
      <c r="I1256" s="997"/>
      <c r="K1256" s="19"/>
    </row>
    <row r="1257" spans="1:11" x14ac:dyDescent="0.2">
      <c r="A1257" s="293"/>
      <c r="B1257" s="490"/>
      <c r="C1257" s="288"/>
      <c r="D1257" s="443">
        <f>_xlfn.XLOOKUP(B1257,Códigos!$A$421:$A$483,Códigos!$B$421:$B$483,"Verificar",0)</f>
        <v>0</v>
      </c>
      <c r="E1257" s="444">
        <f>_xlfn.XLOOKUP(C1257,Códigos!$A$11:$A$415,Códigos!$B$11:$B$415,"Verificar",0)</f>
        <v>0</v>
      </c>
      <c r="F1257" s="1286"/>
      <c r="G1257" s="441">
        <v>0</v>
      </c>
      <c r="H1257" s="441">
        <f t="shared" si="39"/>
        <v>633732083</v>
      </c>
      <c r="I1257" s="997"/>
      <c r="K1257" s="19"/>
    </row>
    <row r="1258" spans="1:11" x14ac:dyDescent="0.2">
      <c r="A1258" s="293"/>
      <c r="B1258" s="490"/>
      <c r="C1258" s="288"/>
      <c r="D1258" s="443">
        <f>_xlfn.XLOOKUP(B1258,Códigos!$A$421:$A$483,Códigos!$B$421:$B$483,"Verificar",0)</f>
        <v>0</v>
      </c>
      <c r="E1258" s="444">
        <f>_xlfn.XLOOKUP(C1258,Códigos!$A$11:$A$415,Códigos!$B$11:$B$415,"Verificar",0)</f>
        <v>0</v>
      </c>
      <c r="F1258" s="1286"/>
      <c r="G1258" s="441">
        <v>0</v>
      </c>
      <c r="H1258" s="441">
        <f t="shared" si="39"/>
        <v>633732083</v>
      </c>
      <c r="I1258" s="997"/>
      <c r="K1258" s="19"/>
    </row>
    <row r="1259" spans="1:11" x14ac:dyDescent="0.2">
      <c r="A1259" s="293"/>
      <c r="B1259" s="490"/>
      <c r="C1259" s="288"/>
      <c r="D1259" s="443">
        <f>_xlfn.XLOOKUP(B1259,Códigos!$A$421:$A$483,Códigos!$B$421:$B$483,"Verificar",0)</f>
        <v>0</v>
      </c>
      <c r="E1259" s="444">
        <f>_xlfn.XLOOKUP(C1259,Códigos!$A$11:$A$415,Códigos!$B$11:$B$415,"Verificar",0)</f>
        <v>0</v>
      </c>
      <c r="F1259" s="1286"/>
      <c r="G1259" s="441">
        <v>0</v>
      </c>
      <c r="H1259" s="441">
        <f t="shared" si="39"/>
        <v>633732083</v>
      </c>
      <c r="I1259" s="997"/>
      <c r="K1259" s="19"/>
    </row>
    <row r="1260" spans="1:11" x14ac:dyDescent="0.2">
      <c r="A1260" s="293"/>
      <c r="B1260" s="490"/>
      <c r="C1260" s="288"/>
      <c r="D1260" s="443">
        <f>_xlfn.XLOOKUP(B1260,Códigos!$A$421:$A$483,Códigos!$B$421:$B$483,"Verificar",0)</f>
        <v>0</v>
      </c>
      <c r="E1260" s="444">
        <f>_xlfn.XLOOKUP(C1260,Códigos!$A$11:$A$415,Códigos!$B$11:$B$415,"Verificar",0)</f>
        <v>0</v>
      </c>
      <c r="F1260" s="1286"/>
      <c r="G1260" s="441">
        <v>0</v>
      </c>
      <c r="H1260" s="441">
        <f t="shared" si="39"/>
        <v>633732083</v>
      </c>
      <c r="I1260" s="997"/>
      <c r="K1260" s="19"/>
    </row>
    <row r="1261" spans="1:11" x14ac:dyDescent="0.2">
      <c r="A1261" s="293"/>
      <c r="B1261" s="490"/>
      <c r="C1261" s="288"/>
      <c r="D1261" s="443">
        <f>_xlfn.XLOOKUP(B1261,Códigos!$A$421:$A$483,Códigos!$B$421:$B$483,"Verificar",0)</f>
        <v>0</v>
      </c>
      <c r="E1261" s="444">
        <f>_xlfn.XLOOKUP(C1261,Códigos!$A$11:$A$415,Códigos!$B$11:$B$415,"Verificar",0)</f>
        <v>0</v>
      </c>
      <c r="F1261" s="1286"/>
      <c r="G1261" s="441">
        <v>0</v>
      </c>
      <c r="H1261" s="441">
        <f t="shared" si="39"/>
        <v>633732083</v>
      </c>
      <c r="I1261" s="997"/>
      <c r="K1261" s="19"/>
    </row>
    <row r="1262" spans="1:11" x14ac:dyDescent="0.2">
      <c r="A1262" s="293"/>
      <c r="B1262" s="490"/>
      <c r="C1262" s="288"/>
      <c r="D1262" s="443">
        <f>_xlfn.XLOOKUP(B1262,Códigos!$A$421:$A$483,Códigos!$B$421:$B$483,"Verificar",0)</f>
        <v>0</v>
      </c>
      <c r="E1262" s="444">
        <f>_xlfn.XLOOKUP(C1262,Códigos!$A$11:$A$415,Códigos!$B$11:$B$415,"Verificar",0)</f>
        <v>0</v>
      </c>
      <c r="F1262" s="1286"/>
      <c r="G1262" s="441">
        <v>0</v>
      </c>
      <c r="H1262" s="441">
        <f t="shared" si="39"/>
        <v>633732083</v>
      </c>
      <c r="I1262" s="997"/>
      <c r="K1262" s="19"/>
    </row>
    <row r="1263" spans="1:11" x14ac:dyDescent="0.2">
      <c r="A1263" s="293"/>
      <c r="B1263" s="490"/>
      <c r="C1263" s="288"/>
      <c r="D1263" s="443">
        <f>_xlfn.XLOOKUP(B1263,Códigos!$A$421:$A$483,Códigos!$B$421:$B$483,"Verificar",0)</f>
        <v>0</v>
      </c>
      <c r="E1263" s="444">
        <f>_xlfn.XLOOKUP(C1263,Códigos!$A$11:$A$415,Códigos!$B$11:$B$415,"Verificar",0)</f>
        <v>0</v>
      </c>
      <c r="F1263" s="1286"/>
      <c r="G1263" s="441">
        <v>0</v>
      </c>
      <c r="H1263" s="441">
        <f t="shared" si="39"/>
        <v>633732083</v>
      </c>
      <c r="I1263" s="997"/>
      <c r="K1263" s="19"/>
    </row>
    <row r="1264" spans="1:11" x14ac:dyDescent="0.2">
      <c r="A1264" s="293"/>
      <c r="B1264" s="490"/>
      <c r="C1264" s="288"/>
      <c r="D1264" s="443">
        <f>_xlfn.XLOOKUP(B1264,Códigos!$A$421:$A$483,Códigos!$B$421:$B$483,"Verificar",0)</f>
        <v>0</v>
      </c>
      <c r="E1264" s="444">
        <f>_xlfn.XLOOKUP(C1264,Códigos!$A$11:$A$415,Códigos!$B$11:$B$415,"Verificar",0)</f>
        <v>0</v>
      </c>
      <c r="F1264" s="1286"/>
      <c r="G1264" s="441">
        <v>0</v>
      </c>
      <c r="H1264" s="441">
        <f t="shared" si="39"/>
        <v>633732083</v>
      </c>
      <c r="I1264" s="997"/>
      <c r="K1264" s="19"/>
    </row>
    <row r="1265" spans="1:11" x14ac:dyDescent="0.2">
      <c r="A1265" s="293"/>
      <c r="B1265" s="490"/>
      <c r="C1265" s="288"/>
      <c r="D1265" s="443">
        <f>_xlfn.XLOOKUP(B1265,Códigos!$A$421:$A$483,Códigos!$B$421:$B$483,"Verificar",0)</f>
        <v>0</v>
      </c>
      <c r="E1265" s="444">
        <f>_xlfn.XLOOKUP(C1265,Códigos!$A$11:$A$415,Códigos!$B$11:$B$415,"Verificar",0)</f>
        <v>0</v>
      </c>
      <c r="F1265" s="1286"/>
      <c r="G1265" s="441">
        <v>0</v>
      </c>
      <c r="H1265" s="441">
        <f t="shared" si="39"/>
        <v>633732083</v>
      </c>
      <c r="I1265" s="997"/>
      <c r="K1265" s="19"/>
    </row>
    <row r="1266" spans="1:11" x14ac:dyDescent="0.2">
      <c r="A1266" s="293"/>
      <c r="B1266" s="490"/>
      <c r="C1266" s="288"/>
      <c r="D1266" s="443">
        <f>_xlfn.XLOOKUP(B1266,Códigos!$A$421:$A$483,Códigos!$B$421:$B$483,"Verificar",0)</f>
        <v>0</v>
      </c>
      <c r="E1266" s="444">
        <f>_xlfn.XLOOKUP(C1266,Códigos!$A$11:$A$415,Códigos!$B$11:$B$415,"Verificar",0)</f>
        <v>0</v>
      </c>
      <c r="F1266" s="1286"/>
      <c r="G1266" s="441">
        <v>0</v>
      </c>
      <c r="H1266" s="441">
        <f t="shared" si="39"/>
        <v>633732083</v>
      </c>
      <c r="I1266" s="997"/>
      <c r="K1266" s="19"/>
    </row>
    <row r="1267" spans="1:11" x14ac:dyDescent="0.2">
      <c r="A1267" s="293"/>
      <c r="B1267" s="490"/>
      <c r="C1267" s="288"/>
      <c r="D1267" s="443">
        <f>_xlfn.XLOOKUP(B1267,Códigos!$A$421:$A$483,Códigos!$B$421:$B$483,"Verificar",0)</f>
        <v>0</v>
      </c>
      <c r="E1267" s="444">
        <f>_xlfn.XLOOKUP(C1267,Códigos!$A$11:$A$415,Códigos!$B$11:$B$415,"Verificar",0)</f>
        <v>0</v>
      </c>
      <c r="F1267" s="1286"/>
      <c r="G1267" s="441">
        <v>0</v>
      </c>
      <c r="H1267" s="441">
        <f t="shared" si="39"/>
        <v>633732083</v>
      </c>
      <c r="I1267" s="997"/>
      <c r="K1267" s="19"/>
    </row>
    <row r="1268" spans="1:11" x14ac:dyDescent="0.2">
      <c r="A1268" s="293"/>
      <c r="B1268" s="490"/>
      <c r="C1268" s="288"/>
      <c r="D1268" s="443">
        <f>_xlfn.XLOOKUP(B1268,Códigos!$A$421:$A$483,Códigos!$B$421:$B$483,"Verificar",0)</f>
        <v>0</v>
      </c>
      <c r="E1268" s="444">
        <f>_xlfn.XLOOKUP(C1268,Códigos!$A$11:$A$415,Códigos!$B$11:$B$415,"Verificar",0)</f>
        <v>0</v>
      </c>
      <c r="F1268" s="1286"/>
      <c r="G1268" s="441">
        <v>0</v>
      </c>
      <c r="H1268" s="441">
        <f t="shared" si="39"/>
        <v>633732083</v>
      </c>
      <c r="I1268" s="997"/>
      <c r="K1268" s="19"/>
    </row>
    <row r="1269" spans="1:11" x14ac:dyDescent="0.2">
      <c r="A1269" s="293"/>
      <c r="B1269" s="490"/>
      <c r="C1269" s="288"/>
      <c r="D1269" s="443">
        <f>_xlfn.XLOOKUP(B1269,Códigos!$A$421:$A$483,Códigos!$B$421:$B$483,"Verificar",0)</f>
        <v>0</v>
      </c>
      <c r="E1269" s="444">
        <f>_xlfn.XLOOKUP(C1269,Códigos!$A$11:$A$415,Códigos!$B$11:$B$415,"Verificar",0)</f>
        <v>0</v>
      </c>
      <c r="F1269" s="1286"/>
      <c r="G1269" s="441">
        <v>0</v>
      </c>
      <c r="H1269" s="441">
        <f t="shared" si="39"/>
        <v>633732083</v>
      </c>
      <c r="I1269" s="997"/>
      <c r="K1269" s="19"/>
    </row>
    <row r="1270" spans="1:11" x14ac:dyDescent="0.2">
      <c r="A1270" s="293"/>
      <c r="B1270" s="490"/>
      <c r="C1270" s="288"/>
      <c r="D1270" s="443">
        <f>_xlfn.XLOOKUP(B1270,Códigos!$A$421:$A$483,Códigos!$B$421:$B$483,"Verificar",0)</f>
        <v>0</v>
      </c>
      <c r="E1270" s="444">
        <f>_xlfn.XLOOKUP(C1270,Códigos!$A$11:$A$415,Códigos!$B$11:$B$415,"Verificar",0)</f>
        <v>0</v>
      </c>
      <c r="F1270" s="1286"/>
      <c r="G1270" s="441">
        <v>0</v>
      </c>
      <c r="H1270" s="441">
        <f t="shared" si="39"/>
        <v>633732083</v>
      </c>
      <c r="I1270" s="997"/>
      <c r="K1270" s="19"/>
    </row>
    <row r="1271" spans="1:11" x14ac:dyDescent="0.2">
      <c r="A1271" s="293"/>
      <c r="B1271" s="490"/>
      <c r="C1271" s="288"/>
      <c r="D1271" s="443">
        <f>_xlfn.XLOOKUP(B1271,Códigos!$A$421:$A$483,Códigos!$B$421:$B$483,"Verificar",0)</f>
        <v>0</v>
      </c>
      <c r="E1271" s="444">
        <f>_xlfn.XLOOKUP(C1271,Códigos!$A$11:$A$415,Códigos!$B$11:$B$415,"Verificar",0)</f>
        <v>0</v>
      </c>
      <c r="F1271" s="1286"/>
      <c r="G1271" s="441">
        <v>0</v>
      </c>
      <c r="H1271" s="441">
        <f t="shared" si="39"/>
        <v>633732083</v>
      </c>
      <c r="I1271" s="997"/>
      <c r="K1271" s="19"/>
    </row>
    <row r="1272" spans="1:11" x14ac:dyDescent="0.2">
      <c r="A1272" s="293"/>
      <c r="B1272" s="490"/>
      <c r="C1272" s="288"/>
      <c r="D1272" s="443">
        <f>_xlfn.XLOOKUP(B1272,Códigos!$A$421:$A$483,Códigos!$B$421:$B$483,"Verificar",0)</f>
        <v>0</v>
      </c>
      <c r="E1272" s="444">
        <f>_xlfn.XLOOKUP(C1272,Códigos!$A$11:$A$415,Códigos!$B$11:$B$415,"Verificar",0)</f>
        <v>0</v>
      </c>
      <c r="F1272" s="1286"/>
      <c r="G1272" s="441">
        <v>0</v>
      </c>
      <c r="H1272" s="441">
        <f t="shared" si="39"/>
        <v>633732083</v>
      </c>
      <c r="I1272" s="997"/>
      <c r="K1272" s="19"/>
    </row>
    <row r="1273" spans="1:11" x14ac:dyDescent="0.2">
      <c r="A1273" s="293"/>
      <c r="B1273" s="490"/>
      <c r="C1273" s="288"/>
      <c r="D1273" s="443">
        <f>_xlfn.XLOOKUP(B1273,Códigos!$A$421:$A$483,Códigos!$B$421:$B$483,"Verificar",0)</f>
        <v>0</v>
      </c>
      <c r="E1273" s="444">
        <f>_xlfn.XLOOKUP(C1273,Códigos!$A$11:$A$415,Códigos!$B$11:$B$415,"Verificar",0)</f>
        <v>0</v>
      </c>
      <c r="F1273" s="1286"/>
      <c r="G1273" s="441">
        <v>0</v>
      </c>
      <c r="H1273" s="441">
        <f t="shared" si="39"/>
        <v>633732083</v>
      </c>
      <c r="I1273" s="997"/>
      <c r="K1273" s="19"/>
    </row>
    <row r="1274" spans="1:11" x14ac:dyDescent="0.2">
      <c r="A1274" s="293"/>
      <c r="B1274" s="490"/>
      <c r="C1274" s="288"/>
      <c r="D1274" s="443">
        <f>_xlfn.XLOOKUP(B1274,Códigos!$A$421:$A$483,Códigos!$B$421:$B$483,"Verificar",0)</f>
        <v>0</v>
      </c>
      <c r="E1274" s="444">
        <f>_xlfn.XLOOKUP(C1274,Códigos!$A$11:$A$415,Códigos!$B$11:$B$415,"Verificar",0)</f>
        <v>0</v>
      </c>
      <c r="F1274" s="1286"/>
      <c r="G1274" s="441">
        <v>0</v>
      </c>
      <c r="H1274" s="441">
        <f t="shared" si="39"/>
        <v>633732083</v>
      </c>
      <c r="I1274" s="997"/>
      <c r="K1274" s="19"/>
    </row>
    <row r="1275" spans="1:11" x14ac:dyDescent="0.2">
      <c r="A1275" s="293"/>
      <c r="B1275" s="490"/>
      <c r="C1275" s="288"/>
      <c r="D1275" s="443">
        <f>_xlfn.XLOOKUP(B1275,Códigos!$A$421:$A$483,Códigos!$B$421:$B$483,"Verificar",0)</f>
        <v>0</v>
      </c>
      <c r="E1275" s="444">
        <f>_xlfn.XLOOKUP(C1275,Códigos!$A$11:$A$415,Códigos!$B$11:$B$415,"Verificar",0)</f>
        <v>0</v>
      </c>
      <c r="F1275" s="1286"/>
      <c r="G1275" s="441">
        <v>0</v>
      </c>
      <c r="H1275" s="441">
        <f t="shared" si="39"/>
        <v>633732083</v>
      </c>
      <c r="I1275" s="997"/>
      <c r="K1275" s="19"/>
    </row>
    <row r="1276" spans="1:11" x14ac:dyDescent="0.2">
      <c r="A1276" s="293"/>
      <c r="B1276" s="490"/>
      <c r="C1276" s="288"/>
      <c r="D1276" s="443">
        <f>_xlfn.XLOOKUP(B1276,Códigos!$A$421:$A$483,Códigos!$B$421:$B$483,"Verificar",0)</f>
        <v>0</v>
      </c>
      <c r="E1276" s="444">
        <f>_xlfn.XLOOKUP(C1276,Códigos!$A$11:$A$415,Códigos!$B$11:$B$415,"Verificar",0)</f>
        <v>0</v>
      </c>
      <c r="F1276" s="1286"/>
      <c r="G1276" s="441">
        <v>0</v>
      </c>
      <c r="H1276" s="441">
        <f t="shared" si="39"/>
        <v>633732083</v>
      </c>
      <c r="I1276" s="997"/>
      <c r="K1276" s="19"/>
    </row>
    <row r="1277" spans="1:11" x14ac:dyDescent="0.2">
      <c r="A1277" s="293"/>
      <c r="B1277" s="490"/>
      <c r="C1277" s="288"/>
      <c r="D1277" s="443">
        <f>_xlfn.XLOOKUP(B1277,Códigos!$A$421:$A$483,Códigos!$B$421:$B$483,"Verificar",0)</f>
        <v>0</v>
      </c>
      <c r="E1277" s="444">
        <f>_xlfn.XLOOKUP(C1277,Códigos!$A$11:$A$415,Códigos!$B$11:$B$415,"Verificar",0)</f>
        <v>0</v>
      </c>
      <c r="F1277" s="1286"/>
      <c r="G1277" s="441">
        <v>0</v>
      </c>
      <c r="H1277" s="441">
        <f t="shared" si="39"/>
        <v>633732083</v>
      </c>
      <c r="I1277" s="997"/>
      <c r="K1277" s="19"/>
    </row>
    <row r="1278" spans="1:11" x14ac:dyDescent="0.2">
      <c r="A1278" s="293"/>
      <c r="B1278" s="490"/>
      <c r="C1278" s="288"/>
      <c r="D1278" s="443">
        <f>_xlfn.XLOOKUP(B1278,Códigos!$A$421:$A$483,Códigos!$B$421:$B$483,"Verificar",0)</f>
        <v>0</v>
      </c>
      <c r="E1278" s="444">
        <f>_xlfn.XLOOKUP(C1278,Códigos!$A$11:$A$415,Códigos!$B$11:$B$415,"Verificar",0)</f>
        <v>0</v>
      </c>
      <c r="F1278" s="1286"/>
      <c r="G1278" s="441">
        <v>0</v>
      </c>
      <c r="H1278" s="441">
        <f t="shared" si="39"/>
        <v>633732083</v>
      </c>
      <c r="I1278" s="997"/>
      <c r="K1278" s="19"/>
    </row>
    <row r="1279" spans="1:11" x14ac:dyDescent="0.2">
      <c r="A1279" s="293"/>
      <c r="B1279" s="490"/>
      <c r="C1279" s="288"/>
      <c r="D1279" s="443">
        <f>_xlfn.XLOOKUP(B1279,Códigos!$A$421:$A$483,Códigos!$B$421:$B$483,"Verificar",0)</f>
        <v>0</v>
      </c>
      <c r="E1279" s="444">
        <f>_xlfn.XLOOKUP(C1279,Códigos!$A$11:$A$415,Códigos!$B$11:$B$415,"Verificar",0)</f>
        <v>0</v>
      </c>
      <c r="F1279" s="1286"/>
      <c r="G1279" s="441">
        <v>0</v>
      </c>
      <c r="H1279" s="441">
        <f t="shared" si="39"/>
        <v>633732083</v>
      </c>
      <c r="I1279" s="997"/>
      <c r="K1279" s="19"/>
    </row>
    <row r="1280" spans="1:11" x14ac:dyDescent="0.2">
      <c r="A1280" s="293"/>
      <c r="B1280" s="490"/>
      <c r="C1280" s="288"/>
      <c r="D1280" s="443">
        <f>_xlfn.XLOOKUP(B1280,Códigos!$A$421:$A$483,Códigos!$B$421:$B$483,"Verificar",0)</f>
        <v>0</v>
      </c>
      <c r="E1280" s="444">
        <f>_xlfn.XLOOKUP(C1280,Códigos!$A$11:$A$415,Códigos!$B$11:$B$415,"Verificar",0)</f>
        <v>0</v>
      </c>
      <c r="F1280" s="1286"/>
      <c r="G1280" s="441">
        <v>0</v>
      </c>
      <c r="H1280" s="441">
        <f t="shared" si="39"/>
        <v>633732083</v>
      </c>
      <c r="I1280" s="997"/>
      <c r="K1280" s="19"/>
    </row>
    <row r="1281" spans="1:11" x14ac:dyDescent="0.2">
      <c r="A1281" s="293"/>
      <c r="B1281" s="490"/>
      <c r="C1281" s="288"/>
      <c r="D1281" s="443">
        <f>_xlfn.XLOOKUP(B1281,Códigos!$A$421:$A$483,Códigos!$B$421:$B$483,"Verificar",0)</f>
        <v>0</v>
      </c>
      <c r="E1281" s="444">
        <f>_xlfn.XLOOKUP(C1281,Códigos!$A$11:$A$415,Códigos!$B$11:$B$415,"Verificar",0)</f>
        <v>0</v>
      </c>
      <c r="F1281" s="1286"/>
      <c r="G1281" s="441">
        <v>0</v>
      </c>
      <c r="H1281" s="441">
        <f t="shared" si="39"/>
        <v>633732083</v>
      </c>
      <c r="I1281" s="997"/>
      <c r="K1281" s="19"/>
    </row>
    <row r="1282" spans="1:11" x14ac:dyDescent="0.2">
      <c r="A1282" s="293"/>
      <c r="B1282" s="490"/>
      <c r="C1282" s="288"/>
      <c r="D1282" s="443">
        <f>_xlfn.XLOOKUP(B1282,Códigos!$A$421:$A$483,Códigos!$B$421:$B$483,"Verificar",0)</f>
        <v>0</v>
      </c>
      <c r="E1282" s="444">
        <f>_xlfn.XLOOKUP(C1282,Códigos!$A$11:$A$415,Códigos!$B$11:$B$415,"Verificar",0)</f>
        <v>0</v>
      </c>
      <c r="F1282" s="1286"/>
      <c r="G1282" s="441">
        <v>0</v>
      </c>
      <c r="H1282" s="441">
        <f t="shared" si="39"/>
        <v>633732083</v>
      </c>
      <c r="I1282" s="997"/>
      <c r="K1282" s="19"/>
    </row>
    <row r="1283" spans="1:11" x14ac:dyDescent="0.2">
      <c r="A1283" s="293"/>
      <c r="B1283" s="490"/>
      <c r="C1283" s="288"/>
      <c r="D1283" s="443">
        <f>_xlfn.XLOOKUP(B1283,Códigos!$A$421:$A$483,Códigos!$B$421:$B$483,"Verificar",0)</f>
        <v>0</v>
      </c>
      <c r="E1283" s="444">
        <f>_xlfn.XLOOKUP(C1283,Códigos!$A$11:$A$415,Códigos!$B$11:$B$415,"Verificar",0)</f>
        <v>0</v>
      </c>
      <c r="F1283" s="1286"/>
      <c r="G1283" s="441">
        <v>0</v>
      </c>
      <c r="H1283" s="441">
        <f t="shared" si="39"/>
        <v>633732083</v>
      </c>
      <c r="I1283" s="997"/>
      <c r="K1283" s="19"/>
    </row>
    <row r="1284" spans="1:11" x14ac:dyDescent="0.2">
      <c r="A1284" s="293"/>
      <c r="B1284" s="490"/>
      <c r="C1284" s="288"/>
      <c r="D1284" s="443">
        <f>_xlfn.XLOOKUP(B1284,Códigos!$A$421:$A$483,Códigos!$B$421:$B$483,"Verificar",0)</f>
        <v>0</v>
      </c>
      <c r="E1284" s="444">
        <f>_xlfn.XLOOKUP(C1284,Códigos!$A$11:$A$415,Códigos!$B$11:$B$415,"Verificar",0)</f>
        <v>0</v>
      </c>
      <c r="F1284" s="1286"/>
      <c r="G1284" s="441">
        <v>0</v>
      </c>
      <c r="H1284" s="441">
        <f t="shared" si="39"/>
        <v>633732083</v>
      </c>
      <c r="I1284" s="997"/>
      <c r="K1284" s="19"/>
    </row>
    <row r="1285" spans="1:11" x14ac:dyDescent="0.2">
      <c r="A1285" s="293"/>
      <c r="B1285" s="490"/>
      <c r="C1285" s="288"/>
      <c r="D1285" s="443">
        <f>_xlfn.XLOOKUP(B1285,Códigos!$A$421:$A$483,Códigos!$B$421:$B$483,"Verificar",0)</f>
        <v>0</v>
      </c>
      <c r="E1285" s="444">
        <f>_xlfn.XLOOKUP(C1285,Códigos!$A$11:$A$415,Códigos!$B$11:$B$415,"Verificar",0)</f>
        <v>0</v>
      </c>
      <c r="F1285" s="1286"/>
      <c r="G1285" s="441">
        <v>0</v>
      </c>
      <c r="H1285" s="441">
        <f t="shared" si="39"/>
        <v>633732083</v>
      </c>
      <c r="I1285" s="997"/>
      <c r="K1285" s="19"/>
    </row>
    <row r="1286" spans="1:11" x14ac:dyDescent="0.2">
      <c r="A1286" s="293"/>
      <c r="B1286" s="490"/>
      <c r="C1286" s="288"/>
      <c r="D1286" s="443">
        <f>_xlfn.XLOOKUP(B1286,Códigos!$A$421:$A$483,Códigos!$B$421:$B$483,"Verificar",0)</f>
        <v>0</v>
      </c>
      <c r="E1286" s="444">
        <f>_xlfn.XLOOKUP(C1286,Códigos!$A$11:$A$415,Códigos!$B$11:$B$415,"Verificar",0)</f>
        <v>0</v>
      </c>
      <c r="F1286" s="1286"/>
      <c r="G1286" s="441">
        <v>0</v>
      </c>
      <c r="H1286" s="441">
        <f t="shared" si="39"/>
        <v>633732083</v>
      </c>
      <c r="I1286" s="997"/>
      <c r="K1286" s="19"/>
    </row>
    <row r="1287" spans="1:11" x14ac:dyDescent="0.2">
      <c r="A1287" s="293"/>
      <c r="B1287" s="490"/>
      <c r="C1287" s="288"/>
      <c r="D1287" s="443">
        <f>_xlfn.XLOOKUP(B1287,Códigos!$A$421:$A$483,Códigos!$B$421:$B$483,"Verificar",0)</f>
        <v>0</v>
      </c>
      <c r="E1287" s="444">
        <f>_xlfn.XLOOKUP(C1287,Códigos!$A$11:$A$415,Códigos!$B$11:$B$415,"Verificar",0)</f>
        <v>0</v>
      </c>
      <c r="F1287" s="1286"/>
      <c r="G1287" s="441">
        <v>0</v>
      </c>
      <c r="H1287" s="441">
        <f t="shared" si="39"/>
        <v>633732083</v>
      </c>
      <c r="I1287" s="997"/>
      <c r="K1287" s="19"/>
    </row>
    <row r="1288" spans="1:11" x14ac:dyDescent="0.2">
      <c r="A1288" s="293"/>
      <c r="B1288" s="490"/>
      <c r="C1288" s="288"/>
      <c r="D1288" s="443">
        <f>_xlfn.XLOOKUP(B1288,Códigos!$A$421:$A$483,Códigos!$B$421:$B$483,"Verificar",0)</f>
        <v>0</v>
      </c>
      <c r="E1288" s="444">
        <f>_xlfn.XLOOKUP(C1288,Códigos!$A$11:$A$415,Códigos!$B$11:$B$415,"Verificar",0)</f>
        <v>0</v>
      </c>
      <c r="F1288" s="1286"/>
      <c r="G1288" s="441">
        <v>0</v>
      </c>
      <c r="H1288" s="441">
        <f t="shared" si="39"/>
        <v>633732083</v>
      </c>
      <c r="I1288" s="997"/>
      <c r="K1288" s="19"/>
    </row>
    <row r="1289" spans="1:11" x14ac:dyDescent="0.2">
      <c r="A1289" s="293"/>
      <c r="B1289" s="490"/>
      <c r="C1289" s="288"/>
      <c r="D1289" s="443">
        <f>_xlfn.XLOOKUP(B1289,Códigos!$A$421:$A$483,Códigos!$B$421:$B$483,"Verificar",0)</f>
        <v>0</v>
      </c>
      <c r="E1289" s="444">
        <f>_xlfn.XLOOKUP(C1289,Códigos!$A$11:$A$415,Códigos!$B$11:$B$415,"Verificar",0)</f>
        <v>0</v>
      </c>
      <c r="F1289" s="1286"/>
      <c r="G1289" s="441">
        <v>0</v>
      </c>
      <c r="H1289" s="441">
        <f t="shared" si="39"/>
        <v>633732083</v>
      </c>
      <c r="I1289" s="997"/>
      <c r="K1289" s="19"/>
    </row>
    <row r="1290" spans="1:11" x14ac:dyDescent="0.2">
      <c r="A1290" s="293"/>
      <c r="B1290" s="490"/>
      <c r="C1290" s="288"/>
      <c r="D1290" s="443">
        <f>_xlfn.XLOOKUP(B1290,Códigos!$A$421:$A$483,Códigos!$B$421:$B$483,"Verificar",0)</f>
        <v>0</v>
      </c>
      <c r="E1290" s="444">
        <f>_xlfn.XLOOKUP(C1290,Códigos!$A$11:$A$415,Códigos!$B$11:$B$415,"Verificar",0)</f>
        <v>0</v>
      </c>
      <c r="F1290" s="1286"/>
      <c r="G1290" s="441">
        <v>0</v>
      </c>
      <c r="H1290" s="441">
        <f t="shared" si="39"/>
        <v>633732083</v>
      </c>
      <c r="I1290" s="997"/>
      <c r="K1290" s="19"/>
    </row>
    <row r="1291" spans="1:11" x14ac:dyDescent="0.2">
      <c r="A1291" s="293"/>
      <c r="B1291" s="490"/>
      <c r="C1291" s="288"/>
      <c r="D1291" s="443">
        <f>_xlfn.XLOOKUP(B1291,Códigos!$A$421:$A$483,Códigos!$B$421:$B$483,"Verificar",0)</f>
        <v>0</v>
      </c>
      <c r="E1291" s="444">
        <f>_xlfn.XLOOKUP(C1291,Códigos!$A$11:$A$415,Códigos!$B$11:$B$415,"Verificar",0)</f>
        <v>0</v>
      </c>
      <c r="F1291" s="1286"/>
      <c r="G1291" s="441">
        <v>0</v>
      </c>
      <c r="H1291" s="441">
        <f t="shared" si="39"/>
        <v>633732083</v>
      </c>
      <c r="I1291" s="997"/>
      <c r="K1291" s="19"/>
    </row>
    <row r="1292" spans="1:11" x14ac:dyDescent="0.2">
      <c r="A1292" s="293"/>
      <c r="B1292" s="490"/>
      <c r="C1292" s="288"/>
      <c r="D1292" s="443">
        <f>_xlfn.XLOOKUP(B1292,Códigos!$A$421:$A$483,Códigos!$B$421:$B$483,"Verificar",0)</f>
        <v>0</v>
      </c>
      <c r="E1292" s="444">
        <f>_xlfn.XLOOKUP(C1292,Códigos!$A$11:$A$415,Códigos!$B$11:$B$415,"Verificar",0)</f>
        <v>0</v>
      </c>
      <c r="F1292" s="1286"/>
      <c r="G1292" s="441">
        <v>0</v>
      </c>
      <c r="H1292" s="441">
        <f t="shared" si="39"/>
        <v>633732083</v>
      </c>
      <c r="I1292" s="997"/>
      <c r="K1292" s="19"/>
    </row>
    <row r="1293" spans="1:11" x14ac:dyDescent="0.2">
      <c r="A1293" s="293"/>
      <c r="B1293" s="490"/>
      <c r="C1293" s="288"/>
      <c r="D1293" s="443">
        <f>_xlfn.XLOOKUP(B1293,Códigos!$A$421:$A$483,Códigos!$B$421:$B$483,"Verificar",0)</f>
        <v>0</v>
      </c>
      <c r="E1293" s="444">
        <f>_xlfn.XLOOKUP(C1293,Códigos!$A$11:$A$415,Códigos!$B$11:$B$415,"Verificar",0)</f>
        <v>0</v>
      </c>
      <c r="F1293" s="1286"/>
      <c r="G1293" s="441">
        <v>0</v>
      </c>
      <c r="H1293" s="441">
        <f t="shared" si="39"/>
        <v>633732083</v>
      </c>
      <c r="I1293" s="997"/>
      <c r="K1293" s="19"/>
    </row>
    <row r="1294" spans="1:11" x14ac:dyDescent="0.2">
      <c r="A1294" s="293"/>
      <c r="B1294" s="490"/>
      <c r="C1294" s="288"/>
      <c r="D1294" s="443">
        <f>_xlfn.XLOOKUP(B1294,Códigos!$A$421:$A$483,Códigos!$B$421:$B$483,"Verificar",0)</f>
        <v>0</v>
      </c>
      <c r="E1294" s="444">
        <f>_xlfn.XLOOKUP(C1294,Códigos!$A$11:$A$415,Códigos!$B$11:$B$415,"Verificar",0)</f>
        <v>0</v>
      </c>
      <c r="F1294" s="1286"/>
      <c r="G1294" s="441">
        <v>0</v>
      </c>
      <c r="H1294" s="441">
        <f t="shared" si="39"/>
        <v>633732083</v>
      </c>
      <c r="I1294" s="997"/>
      <c r="K1294" s="19"/>
    </row>
    <row r="1295" spans="1:11" x14ac:dyDescent="0.2">
      <c r="A1295" s="293"/>
      <c r="B1295" s="490"/>
      <c r="C1295" s="288"/>
      <c r="D1295" s="443">
        <f>_xlfn.XLOOKUP(B1295,Códigos!$A$421:$A$483,Códigos!$B$421:$B$483,"Verificar",0)</f>
        <v>0</v>
      </c>
      <c r="E1295" s="444">
        <f>_xlfn.XLOOKUP(C1295,Códigos!$A$11:$A$415,Códigos!$B$11:$B$415,"Verificar",0)</f>
        <v>0</v>
      </c>
      <c r="F1295" s="1286"/>
      <c r="G1295" s="441">
        <v>0</v>
      </c>
      <c r="H1295" s="441">
        <f t="shared" si="39"/>
        <v>633732083</v>
      </c>
      <c r="I1295" s="997"/>
      <c r="K1295" s="19"/>
    </row>
    <row r="1296" spans="1:11" x14ac:dyDescent="0.2">
      <c r="A1296" s="293"/>
      <c r="B1296" s="490"/>
      <c r="C1296" s="288"/>
      <c r="D1296" s="443">
        <f>_xlfn.XLOOKUP(B1296,Códigos!$A$421:$A$483,Códigos!$B$421:$B$483,"Verificar",0)</f>
        <v>0</v>
      </c>
      <c r="E1296" s="444">
        <f>_xlfn.XLOOKUP(C1296,Códigos!$A$11:$A$415,Códigos!$B$11:$B$415,"Verificar",0)</f>
        <v>0</v>
      </c>
      <c r="F1296" s="1286"/>
      <c r="G1296" s="441">
        <v>0</v>
      </c>
      <c r="H1296" s="441">
        <f t="shared" si="39"/>
        <v>633732083</v>
      </c>
      <c r="I1296" s="997"/>
      <c r="K1296" s="19"/>
    </row>
    <row r="1297" spans="1:11" x14ac:dyDescent="0.2">
      <c r="A1297" s="293"/>
      <c r="B1297" s="490"/>
      <c r="C1297" s="288"/>
      <c r="D1297" s="443">
        <f>_xlfn.XLOOKUP(B1297,Códigos!$A$421:$A$483,Códigos!$B$421:$B$483,"Verificar",0)</f>
        <v>0</v>
      </c>
      <c r="E1297" s="444">
        <f>_xlfn.XLOOKUP(C1297,Códigos!$A$11:$A$415,Códigos!$B$11:$B$415,"Verificar",0)</f>
        <v>0</v>
      </c>
      <c r="F1297" s="1286"/>
      <c r="G1297" s="441">
        <v>0</v>
      </c>
      <c r="H1297" s="441">
        <f t="shared" si="39"/>
        <v>633732083</v>
      </c>
      <c r="I1297" s="997"/>
      <c r="K1297" s="19"/>
    </row>
    <row r="1298" spans="1:11" x14ac:dyDescent="0.2">
      <c r="A1298" s="293"/>
      <c r="B1298" s="490"/>
      <c r="C1298" s="288"/>
      <c r="D1298" s="443">
        <f>_xlfn.XLOOKUP(B1298,Códigos!$A$421:$A$483,Códigos!$B$421:$B$483,"Verificar",0)</f>
        <v>0</v>
      </c>
      <c r="E1298" s="444">
        <f>_xlfn.XLOOKUP(C1298,Códigos!$A$11:$A$415,Códigos!$B$11:$B$415,"Verificar",0)</f>
        <v>0</v>
      </c>
      <c r="F1298" s="1286"/>
      <c r="G1298" s="441">
        <v>0</v>
      </c>
      <c r="H1298" s="441">
        <f t="shared" si="39"/>
        <v>633732083</v>
      </c>
      <c r="I1298" s="997"/>
      <c r="K1298" s="19"/>
    </row>
    <row r="1299" spans="1:11" x14ac:dyDescent="0.2">
      <c r="A1299" s="293"/>
      <c r="B1299" s="490"/>
      <c r="C1299" s="288"/>
      <c r="D1299" s="443">
        <f>_xlfn.XLOOKUP(B1299,Códigos!$A$421:$A$483,Códigos!$B$421:$B$483,"Verificar",0)</f>
        <v>0</v>
      </c>
      <c r="E1299" s="444">
        <f>_xlfn.XLOOKUP(C1299,Códigos!$A$11:$A$415,Códigos!$B$11:$B$415,"Verificar",0)</f>
        <v>0</v>
      </c>
      <c r="F1299" s="1286"/>
      <c r="G1299" s="441">
        <v>0</v>
      </c>
      <c r="H1299" s="441">
        <f t="shared" si="39"/>
        <v>633732083</v>
      </c>
      <c r="I1299" s="997"/>
      <c r="K1299" s="19"/>
    </row>
    <row r="1300" spans="1:11" x14ac:dyDescent="0.2">
      <c r="A1300" s="293"/>
      <c r="B1300" s="490"/>
      <c r="C1300" s="288"/>
      <c r="D1300" s="443">
        <f>_xlfn.XLOOKUP(B1300,Códigos!$A$421:$A$483,Códigos!$B$421:$B$483,"Verificar",0)</f>
        <v>0</v>
      </c>
      <c r="E1300" s="444">
        <f>_xlfn.XLOOKUP(C1300,Códigos!$A$11:$A$415,Códigos!$B$11:$B$415,"Verificar",0)</f>
        <v>0</v>
      </c>
      <c r="F1300" s="1286"/>
      <c r="G1300" s="441">
        <v>0</v>
      </c>
      <c r="H1300" s="441">
        <f t="shared" si="39"/>
        <v>633732083</v>
      </c>
      <c r="I1300" s="997"/>
      <c r="K1300" s="19"/>
    </row>
    <row r="1301" spans="1:11" x14ac:dyDescent="0.2">
      <c r="A1301" s="293"/>
      <c r="B1301" s="490"/>
      <c r="C1301" s="288"/>
      <c r="D1301" s="443">
        <f>_xlfn.XLOOKUP(B1301,Códigos!$A$421:$A$483,Códigos!$B$421:$B$483,"Verificar",0)</f>
        <v>0</v>
      </c>
      <c r="E1301" s="444">
        <f>_xlfn.XLOOKUP(C1301,Códigos!$A$11:$A$415,Códigos!$B$11:$B$415,"Verificar",0)</f>
        <v>0</v>
      </c>
      <c r="F1301" s="1286"/>
      <c r="G1301" s="441">
        <v>0</v>
      </c>
      <c r="H1301" s="441">
        <f t="shared" ref="H1301:H1364" si="40">+H1300+G1301</f>
        <v>633732083</v>
      </c>
      <c r="I1301" s="997"/>
      <c r="K1301" s="19"/>
    </row>
    <row r="1302" spans="1:11" x14ac:dyDescent="0.2">
      <c r="A1302" s="293"/>
      <c r="B1302" s="490"/>
      <c r="C1302" s="288"/>
      <c r="D1302" s="443">
        <f>_xlfn.XLOOKUP(B1302,Códigos!$A$421:$A$483,Códigos!$B$421:$B$483,"Verificar",0)</f>
        <v>0</v>
      </c>
      <c r="E1302" s="444">
        <f>_xlfn.XLOOKUP(C1302,Códigos!$A$11:$A$415,Códigos!$B$11:$B$415,"Verificar",0)</f>
        <v>0</v>
      </c>
      <c r="F1302" s="1286"/>
      <c r="G1302" s="441">
        <v>0</v>
      </c>
      <c r="H1302" s="441">
        <f t="shared" si="40"/>
        <v>633732083</v>
      </c>
      <c r="I1302" s="997"/>
      <c r="K1302" s="19"/>
    </row>
    <row r="1303" spans="1:11" x14ac:dyDescent="0.2">
      <c r="A1303" s="293"/>
      <c r="B1303" s="490"/>
      <c r="C1303" s="288"/>
      <c r="D1303" s="443">
        <f>_xlfn.XLOOKUP(B1303,Códigos!$A$421:$A$483,Códigos!$B$421:$B$483,"Verificar",0)</f>
        <v>0</v>
      </c>
      <c r="E1303" s="444">
        <f>_xlfn.XLOOKUP(C1303,Códigos!$A$11:$A$415,Códigos!$B$11:$B$415,"Verificar",0)</f>
        <v>0</v>
      </c>
      <c r="F1303" s="1286"/>
      <c r="G1303" s="441">
        <v>0</v>
      </c>
      <c r="H1303" s="441">
        <f t="shared" si="40"/>
        <v>633732083</v>
      </c>
      <c r="I1303" s="997"/>
      <c r="K1303" s="19"/>
    </row>
    <row r="1304" spans="1:11" x14ac:dyDescent="0.2">
      <c r="A1304" s="293"/>
      <c r="B1304" s="490"/>
      <c r="C1304" s="288"/>
      <c r="D1304" s="443">
        <f>_xlfn.XLOOKUP(B1304,Códigos!$A$421:$A$483,Códigos!$B$421:$B$483,"Verificar",0)</f>
        <v>0</v>
      </c>
      <c r="E1304" s="444">
        <f>_xlfn.XLOOKUP(C1304,Códigos!$A$11:$A$415,Códigos!$B$11:$B$415,"Verificar",0)</f>
        <v>0</v>
      </c>
      <c r="F1304" s="1286"/>
      <c r="G1304" s="441">
        <v>0</v>
      </c>
      <c r="H1304" s="441">
        <f t="shared" si="40"/>
        <v>633732083</v>
      </c>
      <c r="I1304" s="997"/>
      <c r="K1304" s="19"/>
    </row>
    <row r="1305" spans="1:11" x14ac:dyDescent="0.2">
      <c r="A1305" s="293"/>
      <c r="B1305" s="490"/>
      <c r="C1305" s="288"/>
      <c r="D1305" s="443">
        <f>_xlfn.XLOOKUP(B1305,Códigos!$A$421:$A$483,Códigos!$B$421:$B$483,"Verificar",0)</f>
        <v>0</v>
      </c>
      <c r="E1305" s="444">
        <f>_xlfn.XLOOKUP(C1305,Códigos!$A$11:$A$415,Códigos!$B$11:$B$415,"Verificar",0)</f>
        <v>0</v>
      </c>
      <c r="F1305" s="1286"/>
      <c r="G1305" s="441">
        <v>0</v>
      </c>
      <c r="H1305" s="441">
        <f t="shared" si="40"/>
        <v>633732083</v>
      </c>
      <c r="I1305" s="997"/>
      <c r="K1305" s="19"/>
    </row>
    <row r="1306" spans="1:11" x14ac:dyDescent="0.2">
      <c r="A1306" s="293"/>
      <c r="B1306" s="490"/>
      <c r="C1306" s="288"/>
      <c r="D1306" s="443">
        <f>_xlfn.XLOOKUP(B1306,Códigos!$A$421:$A$483,Códigos!$B$421:$B$483,"Verificar",0)</f>
        <v>0</v>
      </c>
      <c r="E1306" s="444">
        <f>_xlfn.XLOOKUP(C1306,Códigos!$A$11:$A$415,Códigos!$B$11:$B$415,"Verificar",0)</f>
        <v>0</v>
      </c>
      <c r="F1306" s="1286"/>
      <c r="G1306" s="441">
        <v>0</v>
      </c>
      <c r="H1306" s="441">
        <f t="shared" si="40"/>
        <v>633732083</v>
      </c>
      <c r="I1306" s="997"/>
      <c r="K1306" s="19"/>
    </row>
    <row r="1307" spans="1:11" x14ac:dyDescent="0.2">
      <c r="A1307" s="293"/>
      <c r="B1307" s="490"/>
      <c r="C1307" s="288"/>
      <c r="D1307" s="443">
        <f>_xlfn.XLOOKUP(B1307,Códigos!$A$421:$A$483,Códigos!$B$421:$B$483,"Verificar",0)</f>
        <v>0</v>
      </c>
      <c r="E1307" s="444">
        <f>_xlfn.XLOOKUP(C1307,Códigos!$A$11:$A$415,Códigos!$B$11:$B$415,"Verificar",0)</f>
        <v>0</v>
      </c>
      <c r="F1307" s="1286"/>
      <c r="G1307" s="441">
        <v>0</v>
      </c>
      <c r="H1307" s="441">
        <f t="shared" si="40"/>
        <v>633732083</v>
      </c>
      <c r="I1307" s="997"/>
      <c r="K1307" s="19"/>
    </row>
    <row r="1308" spans="1:11" x14ac:dyDescent="0.2">
      <c r="A1308" s="293"/>
      <c r="B1308" s="490"/>
      <c r="C1308" s="288"/>
      <c r="D1308" s="443">
        <f>_xlfn.XLOOKUP(B1308,Códigos!$A$421:$A$483,Códigos!$B$421:$B$483,"Verificar",0)</f>
        <v>0</v>
      </c>
      <c r="E1308" s="444">
        <f>_xlfn.XLOOKUP(C1308,Códigos!$A$11:$A$415,Códigos!$B$11:$B$415,"Verificar",0)</f>
        <v>0</v>
      </c>
      <c r="F1308" s="1286"/>
      <c r="G1308" s="441">
        <v>0</v>
      </c>
      <c r="H1308" s="441">
        <f t="shared" si="40"/>
        <v>633732083</v>
      </c>
      <c r="I1308" s="997"/>
      <c r="K1308" s="19"/>
    </row>
    <row r="1309" spans="1:11" x14ac:dyDescent="0.2">
      <c r="A1309" s="293"/>
      <c r="B1309" s="490"/>
      <c r="C1309" s="288"/>
      <c r="D1309" s="443">
        <f>_xlfn.XLOOKUP(B1309,Códigos!$A$421:$A$483,Códigos!$B$421:$B$483,"Verificar",0)</f>
        <v>0</v>
      </c>
      <c r="E1309" s="444">
        <f>_xlfn.XLOOKUP(C1309,Códigos!$A$11:$A$415,Códigos!$B$11:$B$415,"Verificar",0)</f>
        <v>0</v>
      </c>
      <c r="F1309" s="1286"/>
      <c r="G1309" s="441">
        <v>0</v>
      </c>
      <c r="H1309" s="441">
        <f t="shared" si="40"/>
        <v>633732083</v>
      </c>
      <c r="I1309" s="997"/>
      <c r="K1309" s="19"/>
    </row>
    <row r="1310" spans="1:11" x14ac:dyDescent="0.2">
      <c r="A1310" s="293"/>
      <c r="B1310" s="490"/>
      <c r="C1310" s="288"/>
      <c r="D1310" s="443">
        <f>_xlfn.XLOOKUP(B1310,Códigos!$A$421:$A$483,Códigos!$B$421:$B$483,"Verificar",0)</f>
        <v>0</v>
      </c>
      <c r="E1310" s="444">
        <f>_xlfn.XLOOKUP(C1310,Códigos!$A$11:$A$415,Códigos!$B$11:$B$415,"Verificar",0)</f>
        <v>0</v>
      </c>
      <c r="F1310" s="1286"/>
      <c r="G1310" s="441">
        <v>0</v>
      </c>
      <c r="H1310" s="441">
        <f t="shared" si="40"/>
        <v>633732083</v>
      </c>
      <c r="I1310" s="997"/>
      <c r="K1310" s="19"/>
    </row>
    <row r="1311" spans="1:11" x14ac:dyDescent="0.2">
      <c r="A1311" s="293"/>
      <c r="B1311" s="490"/>
      <c r="C1311" s="288"/>
      <c r="D1311" s="443">
        <f>_xlfn.XLOOKUP(B1311,Códigos!$A$421:$A$483,Códigos!$B$421:$B$483,"Verificar",0)</f>
        <v>0</v>
      </c>
      <c r="E1311" s="444">
        <f>_xlfn.XLOOKUP(C1311,Códigos!$A$11:$A$415,Códigos!$B$11:$B$415,"Verificar",0)</f>
        <v>0</v>
      </c>
      <c r="F1311" s="1286"/>
      <c r="G1311" s="441">
        <v>0</v>
      </c>
      <c r="H1311" s="441">
        <f t="shared" si="40"/>
        <v>633732083</v>
      </c>
      <c r="I1311" s="997"/>
      <c r="K1311" s="19"/>
    </row>
    <row r="1312" spans="1:11" x14ac:dyDescent="0.2">
      <c r="A1312" s="293"/>
      <c r="B1312" s="490"/>
      <c r="C1312" s="288"/>
      <c r="D1312" s="443">
        <f>_xlfn.XLOOKUP(B1312,Códigos!$A$421:$A$483,Códigos!$B$421:$B$483,"Verificar",0)</f>
        <v>0</v>
      </c>
      <c r="E1312" s="444">
        <f>_xlfn.XLOOKUP(C1312,Códigos!$A$11:$A$415,Códigos!$B$11:$B$415,"Verificar",0)</f>
        <v>0</v>
      </c>
      <c r="F1312" s="1286"/>
      <c r="G1312" s="441">
        <v>0</v>
      </c>
      <c r="H1312" s="441">
        <f t="shared" si="40"/>
        <v>633732083</v>
      </c>
      <c r="I1312" s="997"/>
      <c r="K1312" s="19"/>
    </row>
    <row r="1313" spans="1:11" x14ac:dyDescent="0.2">
      <c r="A1313" s="293"/>
      <c r="B1313" s="490"/>
      <c r="C1313" s="288"/>
      <c r="D1313" s="443">
        <f>_xlfn.XLOOKUP(B1313,Códigos!$A$421:$A$483,Códigos!$B$421:$B$483,"Verificar",0)</f>
        <v>0</v>
      </c>
      <c r="E1313" s="444">
        <f>_xlfn.XLOOKUP(C1313,Códigos!$A$11:$A$415,Códigos!$B$11:$B$415,"Verificar",0)</f>
        <v>0</v>
      </c>
      <c r="F1313" s="1286"/>
      <c r="G1313" s="441">
        <v>0</v>
      </c>
      <c r="H1313" s="441">
        <f t="shared" si="40"/>
        <v>633732083</v>
      </c>
      <c r="I1313" s="997"/>
      <c r="K1313" s="19"/>
    </row>
    <row r="1314" spans="1:11" x14ac:dyDescent="0.2">
      <c r="A1314" s="293"/>
      <c r="B1314" s="490"/>
      <c r="C1314" s="288"/>
      <c r="D1314" s="443">
        <f>_xlfn.XLOOKUP(B1314,Códigos!$A$421:$A$483,Códigos!$B$421:$B$483,"Verificar",0)</f>
        <v>0</v>
      </c>
      <c r="E1314" s="444">
        <f>_xlfn.XLOOKUP(C1314,Códigos!$A$11:$A$415,Códigos!$B$11:$B$415,"Verificar",0)</f>
        <v>0</v>
      </c>
      <c r="F1314" s="1286"/>
      <c r="G1314" s="441">
        <v>0</v>
      </c>
      <c r="H1314" s="441">
        <f t="shared" si="40"/>
        <v>633732083</v>
      </c>
      <c r="I1314" s="997"/>
      <c r="K1314" s="19"/>
    </row>
    <row r="1315" spans="1:11" x14ac:dyDescent="0.2">
      <c r="A1315" s="293"/>
      <c r="B1315" s="490"/>
      <c r="C1315" s="288"/>
      <c r="D1315" s="443">
        <f>_xlfn.XLOOKUP(B1315,Códigos!$A$421:$A$483,Códigos!$B$421:$B$483,"Verificar",0)</f>
        <v>0</v>
      </c>
      <c r="E1315" s="444">
        <f>_xlfn.XLOOKUP(C1315,Códigos!$A$11:$A$415,Códigos!$B$11:$B$415,"Verificar",0)</f>
        <v>0</v>
      </c>
      <c r="F1315" s="1286"/>
      <c r="G1315" s="441">
        <v>0</v>
      </c>
      <c r="H1315" s="441">
        <f t="shared" si="40"/>
        <v>633732083</v>
      </c>
      <c r="I1315" s="997"/>
      <c r="K1315" s="19"/>
    </row>
    <row r="1316" spans="1:11" x14ac:dyDescent="0.2">
      <c r="A1316" s="293"/>
      <c r="B1316" s="490"/>
      <c r="C1316" s="288"/>
      <c r="D1316" s="443">
        <f>_xlfn.XLOOKUP(B1316,Códigos!$A$421:$A$483,Códigos!$B$421:$B$483,"Verificar",0)</f>
        <v>0</v>
      </c>
      <c r="E1316" s="444">
        <f>_xlfn.XLOOKUP(C1316,Códigos!$A$11:$A$415,Códigos!$B$11:$B$415,"Verificar",0)</f>
        <v>0</v>
      </c>
      <c r="F1316" s="1286"/>
      <c r="G1316" s="441">
        <v>0</v>
      </c>
      <c r="H1316" s="441">
        <f t="shared" si="40"/>
        <v>633732083</v>
      </c>
      <c r="I1316" s="997"/>
      <c r="K1316" s="19"/>
    </row>
    <row r="1317" spans="1:11" x14ac:dyDescent="0.2">
      <c r="A1317" s="293"/>
      <c r="B1317" s="490"/>
      <c r="C1317" s="288"/>
      <c r="D1317" s="443">
        <f>_xlfn.XLOOKUP(B1317,Códigos!$A$421:$A$483,Códigos!$B$421:$B$483,"Verificar",0)</f>
        <v>0</v>
      </c>
      <c r="E1317" s="444">
        <f>_xlfn.XLOOKUP(C1317,Códigos!$A$11:$A$415,Códigos!$B$11:$B$415,"Verificar",0)</f>
        <v>0</v>
      </c>
      <c r="F1317" s="1286"/>
      <c r="G1317" s="441">
        <v>0</v>
      </c>
      <c r="H1317" s="441">
        <f t="shared" si="40"/>
        <v>633732083</v>
      </c>
      <c r="I1317" s="997"/>
      <c r="K1317" s="19"/>
    </row>
    <row r="1318" spans="1:11" x14ac:dyDescent="0.2">
      <c r="A1318" s="293"/>
      <c r="B1318" s="490"/>
      <c r="C1318" s="288"/>
      <c r="D1318" s="443">
        <f>_xlfn.XLOOKUP(B1318,Códigos!$A$421:$A$483,Códigos!$B$421:$B$483,"Verificar",0)</f>
        <v>0</v>
      </c>
      <c r="E1318" s="444">
        <f>_xlfn.XLOOKUP(C1318,Códigos!$A$11:$A$415,Códigos!$B$11:$B$415,"Verificar",0)</f>
        <v>0</v>
      </c>
      <c r="F1318" s="1286"/>
      <c r="G1318" s="441">
        <v>0</v>
      </c>
      <c r="H1318" s="441">
        <f t="shared" si="40"/>
        <v>633732083</v>
      </c>
      <c r="I1318" s="997"/>
      <c r="K1318" s="19"/>
    </row>
    <row r="1319" spans="1:11" x14ac:dyDescent="0.2">
      <c r="A1319" s="293"/>
      <c r="B1319" s="490"/>
      <c r="C1319" s="288"/>
      <c r="D1319" s="443">
        <f>_xlfn.XLOOKUP(B1319,Códigos!$A$421:$A$483,Códigos!$B$421:$B$483,"Verificar",0)</f>
        <v>0</v>
      </c>
      <c r="E1319" s="444">
        <f>_xlfn.XLOOKUP(C1319,Códigos!$A$11:$A$415,Códigos!$B$11:$B$415,"Verificar",0)</f>
        <v>0</v>
      </c>
      <c r="F1319" s="1286"/>
      <c r="G1319" s="441">
        <v>0</v>
      </c>
      <c r="H1319" s="441">
        <f t="shared" si="40"/>
        <v>633732083</v>
      </c>
      <c r="I1319" s="997"/>
      <c r="K1319" s="19"/>
    </row>
    <row r="1320" spans="1:11" x14ac:dyDescent="0.2">
      <c r="A1320" s="293"/>
      <c r="B1320" s="490"/>
      <c r="C1320" s="288"/>
      <c r="D1320" s="443">
        <f>_xlfn.XLOOKUP(B1320,Códigos!$A$421:$A$483,Códigos!$B$421:$B$483,"Verificar",0)</f>
        <v>0</v>
      </c>
      <c r="E1320" s="444">
        <f>_xlfn.XLOOKUP(C1320,Códigos!$A$11:$A$415,Códigos!$B$11:$B$415,"Verificar",0)</f>
        <v>0</v>
      </c>
      <c r="F1320" s="1286"/>
      <c r="G1320" s="441">
        <v>0</v>
      </c>
      <c r="H1320" s="441">
        <f t="shared" si="40"/>
        <v>633732083</v>
      </c>
      <c r="I1320" s="997"/>
      <c r="K1320" s="19"/>
    </row>
    <row r="1321" spans="1:11" x14ac:dyDescent="0.2">
      <c r="A1321" s="293"/>
      <c r="B1321" s="490"/>
      <c r="C1321" s="288"/>
      <c r="D1321" s="443">
        <f>_xlfn.XLOOKUP(B1321,Códigos!$A$421:$A$483,Códigos!$B$421:$B$483,"Verificar",0)</f>
        <v>0</v>
      </c>
      <c r="E1321" s="444">
        <f>_xlfn.XLOOKUP(C1321,Códigos!$A$11:$A$415,Códigos!$B$11:$B$415,"Verificar",0)</f>
        <v>0</v>
      </c>
      <c r="F1321" s="1286"/>
      <c r="G1321" s="441">
        <v>0</v>
      </c>
      <c r="H1321" s="441">
        <f t="shared" si="40"/>
        <v>633732083</v>
      </c>
      <c r="I1321" s="997"/>
      <c r="K1321" s="19"/>
    </row>
    <row r="1322" spans="1:11" x14ac:dyDescent="0.2">
      <c r="A1322" s="293"/>
      <c r="B1322" s="490"/>
      <c r="C1322" s="288"/>
      <c r="D1322" s="443">
        <f>_xlfn.XLOOKUP(B1322,Códigos!$A$421:$A$483,Códigos!$B$421:$B$483,"Verificar",0)</f>
        <v>0</v>
      </c>
      <c r="E1322" s="444">
        <f>_xlfn.XLOOKUP(C1322,Códigos!$A$11:$A$415,Códigos!$B$11:$B$415,"Verificar",0)</f>
        <v>0</v>
      </c>
      <c r="F1322" s="1286"/>
      <c r="G1322" s="441">
        <v>0</v>
      </c>
      <c r="H1322" s="441">
        <f t="shared" si="40"/>
        <v>633732083</v>
      </c>
      <c r="I1322" s="997"/>
      <c r="K1322" s="19"/>
    </row>
    <row r="1323" spans="1:11" x14ac:dyDescent="0.2">
      <c r="A1323" s="293"/>
      <c r="B1323" s="490"/>
      <c r="C1323" s="288"/>
      <c r="D1323" s="443">
        <f>_xlfn.XLOOKUP(B1323,Códigos!$A$421:$A$483,Códigos!$B$421:$B$483,"Verificar",0)</f>
        <v>0</v>
      </c>
      <c r="E1323" s="444">
        <f>_xlfn.XLOOKUP(C1323,Códigos!$A$11:$A$415,Códigos!$B$11:$B$415,"Verificar",0)</f>
        <v>0</v>
      </c>
      <c r="F1323" s="1286"/>
      <c r="G1323" s="441">
        <v>0</v>
      </c>
      <c r="H1323" s="441">
        <f t="shared" si="40"/>
        <v>633732083</v>
      </c>
      <c r="I1323" s="997"/>
      <c r="K1323" s="19"/>
    </row>
    <row r="1324" spans="1:11" x14ac:dyDescent="0.2">
      <c r="A1324" s="293"/>
      <c r="B1324" s="490"/>
      <c r="C1324" s="288"/>
      <c r="D1324" s="443">
        <f>_xlfn.XLOOKUP(B1324,Códigos!$A$421:$A$483,Códigos!$B$421:$B$483,"Verificar",0)</f>
        <v>0</v>
      </c>
      <c r="E1324" s="444">
        <f>_xlfn.XLOOKUP(C1324,Códigos!$A$11:$A$415,Códigos!$B$11:$B$415,"Verificar",0)</f>
        <v>0</v>
      </c>
      <c r="F1324" s="1286"/>
      <c r="G1324" s="441">
        <v>0</v>
      </c>
      <c r="H1324" s="441">
        <f t="shared" si="40"/>
        <v>633732083</v>
      </c>
      <c r="I1324" s="997"/>
      <c r="K1324" s="19"/>
    </row>
    <row r="1325" spans="1:11" x14ac:dyDescent="0.2">
      <c r="A1325" s="293"/>
      <c r="B1325" s="490"/>
      <c r="C1325" s="288"/>
      <c r="D1325" s="443">
        <f>_xlfn.XLOOKUP(B1325,Códigos!$A$421:$A$483,Códigos!$B$421:$B$483,"Verificar",0)</f>
        <v>0</v>
      </c>
      <c r="E1325" s="444">
        <f>_xlfn.XLOOKUP(C1325,Códigos!$A$11:$A$415,Códigos!$B$11:$B$415,"Verificar",0)</f>
        <v>0</v>
      </c>
      <c r="F1325" s="1286"/>
      <c r="G1325" s="441">
        <v>0</v>
      </c>
      <c r="H1325" s="441">
        <f t="shared" si="40"/>
        <v>633732083</v>
      </c>
      <c r="I1325" s="997"/>
      <c r="K1325" s="19"/>
    </row>
    <row r="1326" spans="1:11" x14ac:dyDescent="0.2">
      <c r="A1326" s="293"/>
      <c r="B1326" s="490"/>
      <c r="C1326" s="288"/>
      <c r="D1326" s="443">
        <f>_xlfn.XLOOKUP(B1326,Códigos!$A$421:$A$483,Códigos!$B$421:$B$483,"Verificar",0)</f>
        <v>0</v>
      </c>
      <c r="E1326" s="444">
        <f>_xlfn.XLOOKUP(C1326,Códigos!$A$11:$A$415,Códigos!$B$11:$B$415,"Verificar",0)</f>
        <v>0</v>
      </c>
      <c r="F1326" s="1286"/>
      <c r="G1326" s="441">
        <v>0</v>
      </c>
      <c r="H1326" s="441">
        <f t="shared" si="40"/>
        <v>633732083</v>
      </c>
      <c r="I1326" s="997"/>
      <c r="K1326" s="19"/>
    </row>
    <row r="1327" spans="1:11" x14ac:dyDescent="0.2">
      <c r="A1327" s="293"/>
      <c r="B1327" s="490"/>
      <c r="C1327" s="288"/>
      <c r="D1327" s="443">
        <f>_xlfn.XLOOKUP(B1327,Códigos!$A$421:$A$483,Códigos!$B$421:$B$483,"Verificar",0)</f>
        <v>0</v>
      </c>
      <c r="E1327" s="444">
        <f>_xlfn.XLOOKUP(C1327,Códigos!$A$11:$A$415,Códigos!$B$11:$B$415,"Verificar",0)</f>
        <v>0</v>
      </c>
      <c r="F1327" s="1286"/>
      <c r="G1327" s="441">
        <v>0</v>
      </c>
      <c r="H1327" s="441">
        <f t="shared" si="40"/>
        <v>633732083</v>
      </c>
      <c r="I1327" s="997"/>
      <c r="K1327" s="19"/>
    </row>
    <row r="1328" spans="1:11" x14ac:dyDescent="0.2">
      <c r="A1328" s="293"/>
      <c r="B1328" s="490"/>
      <c r="C1328" s="288"/>
      <c r="D1328" s="443">
        <f>_xlfn.XLOOKUP(B1328,Códigos!$A$421:$A$483,Códigos!$B$421:$B$483,"Verificar",0)</f>
        <v>0</v>
      </c>
      <c r="E1328" s="444">
        <f>_xlfn.XLOOKUP(C1328,Códigos!$A$11:$A$415,Códigos!$B$11:$B$415,"Verificar",0)</f>
        <v>0</v>
      </c>
      <c r="F1328" s="1286"/>
      <c r="G1328" s="441">
        <v>0</v>
      </c>
      <c r="H1328" s="441">
        <f t="shared" si="40"/>
        <v>633732083</v>
      </c>
      <c r="I1328" s="997"/>
      <c r="K1328" s="19"/>
    </row>
    <row r="1329" spans="1:11" x14ac:dyDescent="0.2">
      <c r="A1329" s="293"/>
      <c r="B1329" s="490"/>
      <c r="C1329" s="288"/>
      <c r="D1329" s="443">
        <f>_xlfn.XLOOKUP(B1329,Códigos!$A$421:$A$483,Códigos!$B$421:$B$483,"Verificar",0)</f>
        <v>0</v>
      </c>
      <c r="E1329" s="444">
        <f>_xlfn.XLOOKUP(C1329,Códigos!$A$11:$A$415,Códigos!$B$11:$B$415,"Verificar",0)</f>
        <v>0</v>
      </c>
      <c r="F1329" s="1286"/>
      <c r="G1329" s="441">
        <v>0</v>
      </c>
      <c r="H1329" s="441">
        <f t="shared" si="40"/>
        <v>633732083</v>
      </c>
      <c r="I1329" s="997"/>
      <c r="K1329" s="19"/>
    </row>
    <row r="1330" spans="1:11" x14ac:dyDescent="0.2">
      <c r="A1330" s="293"/>
      <c r="B1330" s="490"/>
      <c r="C1330" s="288"/>
      <c r="D1330" s="443">
        <f>_xlfn.XLOOKUP(B1330,Códigos!$A$421:$A$483,Códigos!$B$421:$B$483,"Verificar",0)</f>
        <v>0</v>
      </c>
      <c r="E1330" s="444">
        <f>_xlfn.XLOOKUP(C1330,Códigos!$A$11:$A$415,Códigos!$B$11:$B$415,"Verificar",0)</f>
        <v>0</v>
      </c>
      <c r="F1330" s="1286"/>
      <c r="G1330" s="441">
        <v>0</v>
      </c>
      <c r="H1330" s="441">
        <f t="shared" si="40"/>
        <v>633732083</v>
      </c>
      <c r="I1330" s="997"/>
      <c r="K1330" s="19"/>
    </row>
    <row r="1331" spans="1:11" x14ac:dyDescent="0.2">
      <c r="A1331" s="293"/>
      <c r="B1331" s="490"/>
      <c r="C1331" s="288"/>
      <c r="D1331" s="443">
        <f>_xlfn.XLOOKUP(B1331,Códigos!$A$421:$A$483,Códigos!$B$421:$B$483,"Verificar",0)</f>
        <v>0</v>
      </c>
      <c r="E1331" s="444">
        <f>_xlfn.XLOOKUP(C1331,Códigos!$A$11:$A$415,Códigos!$B$11:$B$415,"Verificar",0)</f>
        <v>0</v>
      </c>
      <c r="F1331" s="1286"/>
      <c r="G1331" s="441">
        <v>0</v>
      </c>
      <c r="H1331" s="441">
        <f t="shared" si="40"/>
        <v>633732083</v>
      </c>
      <c r="I1331" s="997"/>
      <c r="K1331" s="19"/>
    </row>
    <row r="1332" spans="1:11" x14ac:dyDescent="0.2">
      <c r="A1332" s="293"/>
      <c r="B1332" s="490"/>
      <c r="C1332" s="288"/>
      <c r="D1332" s="443">
        <f>_xlfn.XLOOKUP(B1332,Códigos!$A$421:$A$483,Códigos!$B$421:$B$483,"Verificar",0)</f>
        <v>0</v>
      </c>
      <c r="E1332" s="444">
        <f>_xlfn.XLOOKUP(C1332,Códigos!$A$11:$A$415,Códigos!$B$11:$B$415,"Verificar",0)</f>
        <v>0</v>
      </c>
      <c r="F1332" s="1286"/>
      <c r="G1332" s="441">
        <v>0</v>
      </c>
      <c r="H1332" s="441">
        <f t="shared" si="40"/>
        <v>633732083</v>
      </c>
      <c r="I1332" s="997"/>
      <c r="K1332" s="19"/>
    </row>
    <row r="1333" spans="1:11" x14ac:dyDescent="0.2">
      <c r="A1333" s="293"/>
      <c r="B1333" s="490"/>
      <c r="C1333" s="288"/>
      <c r="D1333" s="443">
        <f>_xlfn.XLOOKUP(B1333,Códigos!$A$421:$A$483,Códigos!$B$421:$B$483,"Verificar",0)</f>
        <v>0</v>
      </c>
      <c r="E1333" s="444">
        <f>_xlfn.XLOOKUP(C1333,Códigos!$A$11:$A$415,Códigos!$B$11:$B$415,"Verificar",0)</f>
        <v>0</v>
      </c>
      <c r="F1333" s="1286"/>
      <c r="G1333" s="441">
        <v>0</v>
      </c>
      <c r="H1333" s="441">
        <f t="shared" si="40"/>
        <v>633732083</v>
      </c>
      <c r="I1333" s="997"/>
      <c r="K1333" s="19"/>
    </row>
    <row r="1334" spans="1:11" x14ac:dyDescent="0.2">
      <c r="A1334" s="293"/>
      <c r="B1334" s="490"/>
      <c r="C1334" s="288"/>
      <c r="D1334" s="443">
        <f>_xlfn.XLOOKUP(B1334,Códigos!$A$421:$A$483,Códigos!$B$421:$B$483,"Verificar",0)</f>
        <v>0</v>
      </c>
      <c r="E1334" s="444">
        <f>_xlfn.XLOOKUP(C1334,Códigos!$A$11:$A$415,Códigos!$B$11:$B$415,"Verificar",0)</f>
        <v>0</v>
      </c>
      <c r="F1334" s="1286"/>
      <c r="G1334" s="441">
        <v>0</v>
      </c>
      <c r="H1334" s="441">
        <f t="shared" si="40"/>
        <v>633732083</v>
      </c>
      <c r="I1334" s="997"/>
      <c r="K1334" s="19"/>
    </row>
    <row r="1335" spans="1:11" x14ac:dyDescent="0.2">
      <c r="A1335" s="293"/>
      <c r="B1335" s="490"/>
      <c r="C1335" s="288"/>
      <c r="D1335" s="443">
        <f>_xlfn.XLOOKUP(B1335,Códigos!$A$421:$A$483,Códigos!$B$421:$B$483,"Verificar",0)</f>
        <v>0</v>
      </c>
      <c r="E1335" s="444">
        <f>_xlfn.XLOOKUP(C1335,Códigos!$A$11:$A$415,Códigos!$B$11:$B$415,"Verificar",0)</f>
        <v>0</v>
      </c>
      <c r="F1335" s="1286"/>
      <c r="G1335" s="441">
        <v>0</v>
      </c>
      <c r="H1335" s="441">
        <f t="shared" si="40"/>
        <v>633732083</v>
      </c>
      <c r="I1335" s="997"/>
      <c r="K1335" s="19"/>
    </row>
    <row r="1336" spans="1:11" x14ac:dyDescent="0.2">
      <c r="A1336" s="293"/>
      <c r="B1336" s="490"/>
      <c r="C1336" s="288"/>
      <c r="D1336" s="443">
        <f>_xlfn.XLOOKUP(B1336,Códigos!$A$421:$A$483,Códigos!$B$421:$B$483,"Verificar",0)</f>
        <v>0</v>
      </c>
      <c r="E1336" s="444">
        <f>_xlfn.XLOOKUP(C1336,Códigos!$A$11:$A$415,Códigos!$B$11:$B$415,"Verificar",0)</f>
        <v>0</v>
      </c>
      <c r="F1336" s="1286"/>
      <c r="G1336" s="441">
        <v>0</v>
      </c>
      <c r="H1336" s="441">
        <f t="shared" si="40"/>
        <v>633732083</v>
      </c>
      <c r="I1336" s="997"/>
      <c r="K1336" s="19"/>
    </row>
    <row r="1337" spans="1:11" x14ac:dyDescent="0.2">
      <c r="A1337" s="293"/>
      <c r="B1337" s="490"/>
      <c r="C1337" s="288"/>
      <c r="D1337" s="443">
        <f>_xlfn.XLOOKUP(B1337,Códigos!$A$421:$A$483,Códigos!$B$421:$B$483,"Verificar",0)</f>
        <v>0</v>
      </c>
      <c r="E1337" s="444">
        <f>_xlfn.XLOOKUP(C1337,Códigos!$A$11:$A$415,Códigos!$B$11:$B$415,"Verificar",0)</f>
        <v>0</v>
      </c>
      <c r="F1337" s="1286"/>
      <c r="G1337" s="441">
        <v>0</v>
      </c>
      <c r="H1337" s="441">
        <f t="shared" si="40"/>
        <v>633732083</v>
      </c>
      <c r="I1337" s="997"/>
      <c r="K1337" s="19"/>
    </row>
    <row r="1338" spans="1:11" x14ac:dyDescent="0.2">
      <c r="A1338" s="293"/>
      <c r="B1338" s="490"/>
      <c r="C1338" s="288"/>
      <c r="D1338" s="443">
        <f>_xlfn.XLOOKUP(B1338,Códigos!$A$421:$A$483,Códigos!$B$421:$B$483,"Verificar",0)</f>
        <v>0</v>
      </c>
      <c r="E1338" s="444">
        <f>_xlfn.XLOOKUP(C1338,Códigos!$A$11:$A$415,Códigos!$B$11:$B$415,"Verificar",0)</f>
        <v>0</v>
      </c>
      <c r="F1338" s="1286"/>
      <c r="G1338" s="441">
        <v>0</v>
      </c>
      <c r="H1338" s="441">
        <f t="shared" si="40"/>
        <v>633732083</v>
      </c>
      <c r="I1338" s="997"/>
      <c r="K1338" s="19"/>
    </row>
    <row r="1339" spans="1:11" x14ac:dyDescent="0.2">
      <c r="A1339" s="293"/>
      <c r="B1339" s="490"/>
      <c r="C1339" s="288"/>
      <c r="D1339" s="443">
        <f>_xlfn.XLOOKUP(B1339,Códigos!$A$421:$A$483,Códigos!$B$421:$B$483,"Verificar",0)</f>
        <v>0</v>
      </c>
      <c r="E1339" s="444">
        <f>_xlfn.XLOOKUP(C1339,Códigos!$A$11:$A$415,Códigos!$B$11:$B$415,"Verificar",0)</f>
        <v>0</v>
      </c>
      <c r="F1339" s="1286"/>
      <c r="G1339" s="441">
        <v>0</v>
      </c>
      <c r="H1339" s="441">
        <f t="shared" si="40"/>
        <v>633732083</v>
      </c>
      <c r="I1339" s="997"/>
      <c r="K1339" s="19"/>
    </row>
    <row r="1340" spans="1:11" x14ac:dyDescent="0.2">
      <c r="A1340" s="293"/>
      <c r="B1340" s="490"/>
      <c r="C1340" s="288"/>
      <c r="D1340" s="443">
        <f>_xlfn.XLOOKUP(B1340,Códigos!$A$421:$A$483,Códigos!$B$421:$B$483,"Verificar",0)</f>
        <v>0</v>
      </c>
      <c r="E1340" s="444">
        <f>_xlfn.XLOOKUP(C1340,Códigos!$A$11:$A$415,Códigos!$B$11:$B$415,"Verificar",0)</f>
        <v>0</v>
      </c>
      <c r="F1340" s="1286"/>
      <c r="G1340" s="441">
        <v>0</v>
      </c>
      <c r="H1340" s="441">
        <f t="shared" si="40"/>
        <v>633732083</v>
      </c>
      <c r="I1340" s="997"/>
      <c r="K1340" s="19"/>
    </row>
    <row r="1341" spans="1:11" x14ac:dyDescent="0.2">
      <c r="A1341" s="293"/>
      <c r="B1341" s="490"/>
      <c r="C1341" s="288"/>
      <c r="D1341" s="443">
        <f>_xlfn.XLOOKUP(B1341,Códigos!$A$421:$A$483,Códigos!$B$421:$B$483,"Verificar",0)</f>
        <v>0</v>
      </c>
      <c r="E1341" s="444">
        <f>_xlfn.XLOOKUP(C1341,Códigos!$A$11:$A$415,Códigos!$B$11:$B$415,"Verificar",0)</f>
        <v>0</v>
      </c>
      <c r="F1341" s="1286"/>
      <c r="G1341" s="441">
        <v>0</v>
      </c>
      <c r="H1341" s="441">
        <f t="shared" si="40"/>
        <v>633732083</v>
      </c>
      <c r="I1341" s="997"/>
      <c r="K1341" s="19"/>
    </row>
    <row r="1342" spans="1:11" x14ac:dyDescent="0.2">
      <c r="A1342" s="293"/>
      <c r="B1342" s="490"/>
      <c r="C1342" s="288"/>
      <c r="D1342" s="443">
        <f>_xlfn.XLOOKUP(B1342,Códigos!$A$421:$A$483,Códigos!$B$421:$B$483,"Verificar",0)</f>
        <v>0</v>
      </c>
      <c r="E1342" s="444">
        <f>_xlfn.XLOOKUP(C1342,Códigos!$A$11:$A$415,Códigos!$B$11:$B$415,"Verificar",0)</f>
        <v>0</v>
      </c>
      <c r="F1342" s="1286"/>
      <c r="G1342" s="441">
        <v>0</v>
      </c>
      <c r="H1342" s="441">
        <f t="shared" si="40"/>
        <v>633732083</v>
      </c>
      <c r="I1342" s="997"/>
      <c r="K1342" s="19"/>
    </row>
    <row r="1343" spans="1:11" x14ac:dyDescent="0.2">
      <c r="A1343" s="293"/>
      <c r="B1343" s="490"/>
      <c r="C1343" s="288"/>
      <c r="D1343" s="443">
        <f>_xlfn.XLOOKUP(B1343,Códigos!$A$421:$A$483,Códigos!$B$421:$B$483,"Verificar",0)</f>
        <v>0</v>
      </c>
      <c r="E1343" s="444">
        <f>_xlfn.XLOOKUP(C1343,Códigos!$A$11:$A$415,Códigos!$B$11:$B$415,"Verificar",0)</f>
        <v>0</v>
      </c>
      <c r="F1343" s="1286"/>
      <c r="G1343" s="441">
        <v>0</v>
      </c>
      <c r="H1343" s="441">
        <f t="shared" si="40"/>
        <v>633732083</v>
      </c>
      <c r="I1343" s="997"/>
      <c r="K1343" s="19"/>
    </row>
    <row r="1344" spans="1:11" x14ac:dyDescent="0.2">
      <c r="A1344" s="293"/>
      <c r="B1344" s="490"/>
      <c r="C1344" s="288"/>
      <c r="D1344" s="443">
        <f>_xlfn.XLOOKUP(B1344,Códigos!$A$421:$A$483,Códigos!$B$421:$B$483,"Verificar",0)</f>
        <v>0</v>
      </c>
      <c r="E1344" s="444">
        <f>_xlfn.XLOOKUP(C1344,Códigos!$A$11:$A$415,Códigos!$B$11:$B$415,"Verificar",0)</f>
        <v>0</v>
      </c>
      <c r="F1344" s="1286"/>
      <c r="G1344" s="441">
        <v>0</v>
      </c>
      <c r="H1344" s="441">
        <f t="shared" si="40"/>
        <v>633732083</v>
      </c>
      <c r="I1344" s="997"/>
      <c r="K1344" s="19"/>
    </row>
    <row r="1345" spans="1:11" x14ac:dyDescent="0.2">
      <c r="A1345" s="293"/>
      <c r="B1345" s="490"/>
      <c r="C1345" s="288"/>
      <c r="D1345" s="443">
        <f>_xlfn.XLOOKUP(B1345,Códigos!$A$421:$A$483,Códigos!$B$421:$B$483,"Verificar",0)</f>
        <v>0</v>
      </c>
      <c r="E1345" s="444">
        <f>_xlfn.XLOOKUP(C1345,Códigos!$A$11:$A$415,Códigos!$B$11:$B$415,"Verificar",0)</f>
        <v>0</v>
      </c>
      <c r="F1345" s="1286"/>
      <c r="G1345" s="441">
        <v>0</v>
      </c>
      <c r="H1345" s="441">
        <f t="shared" si="40"/>
        <v>633732083</v>
      </c>
      <c r="I1345" s="997"/>
      <c r="K1345" s="19"/>
    </row>
    <row r="1346" spans="1:11" x14ac:dyDescent="0.2">
      <c r="A1346" s="293"/>
      <c r="B1346" s="490"/>
      <c r="C1346" s="288"/>
      <c r="D1346" s="443">
        <f>_xlfn.XLOOKUP(B1346,Códigos!$A$421:$A$483,Códigos!$B$421:$B$483,"Verificar",0)</f>
        <v>0</v>
      </c>
      <c r="E1346" s="444">
        <f>_xlfn.XLOOKUP(C1346,Códigos!$A$11:$A$415,Códigos!$B$11:$B$415,"Verificar",0)</f>
        <v>0</v>
      </c>
      <c r="F1346" s="1286"/>
      <c r="G1346" s="441">
        <v>0</v>
      </c>
      <c r="H1346" s="441">
        <f t="shared" si="40"/>
        <v>633732083</v>
      </c>
      <c r="I1346" s="997"/>
      <c r="K1346" s="19"/>
    </row>
    <row r="1347" spans="1:11" x14ac:dyDescent="0.2">
      <c r="A1347" s="293"/>
      <c r="B1347" s="490"/>
      <c r="C1347" s="288"/>
      <c r="D1347" s="443">
        <f>_xlfn.XLOOKUP(B1347,Códigos!$A$421:$A$483,Códigos!$B$421:$B$483,"Verificar",0)</f>
        <v>0</v>
      </c>
      <c r="E1347" s="444">
        <f>_xlfn.XLOOKUP(C1347,Códigos!$A$11:$A$415,Códigos!$B$11:$B$415,"Verificar",0)</f>
        <v>0</v>
      </c>
      <c r="F1347" s="1286"/>
      <c r="G1347" s="441">
        <v>0</v>
      </c>
      <c r="H1347" s="441">
        <f t="shared" si="40"/>
        <v>633732083</v>
      </c>
      <c r="I1347" s="997"/>
      <c r="K1347" s="19"/>
    </row>
    <row r="1348" spans="1:11" x14ac:dyDescent="0.2">
      <c r="A1348" s="293"/>
      <c r="B1348" s="490"/>
      <c r="C1348" s="288"/>
      <c r="D1348" s="443">
        <f>_xlfn.XLOOKUP(B1348,Códigos!$A$421:$A$483,Códigos!$B$421:$B$483,"Verificar",0)</f>
        <v>0</v>
      </c>
      <c r="E1348" s="444">
        <f>_xlfn.XLOOKUP(C1348,Códigos!$A$11:$A$415,Códigos!$B$11:$B$415,"Verificar",0)</f>
        <v>0</v>
      </c>
      <c r="F1348" s="1286"/>
      <c r="G1348" s="441">
        <v>0</v>
      </c>
      <c r="H1348" s="441">
        <f t="shared" si="40"/>
        <v>633732083</v>
      </c>
      <c r="I1348" s="997"/>
      <c r="K1348" s="19"/>
    </row>
    <row r="1349" spans="1:11" x14ac:dyDescent="0.2">
      <c r="A1349" s="293"/>
      <c r="B1349" s="490"/>
      <c r="C1349" s="288"/>
      <c r="D1349" s="443">
        <f>_xlfn.XLOOKUP(B1349,Códigos!$A$421:$A$483,Códigos!$B$421:$B$483,"Verificar",0)</f>
        <v>0</v>
      </c>
      <c r="E1349" s="444">
        <f>_xlfn.XLOOKUP(C1349,Códigos!$A$11:$A$415,Códigos!$B$11:$B$415,"Verificar",0)</f>
        <v>0</v>
      </c>
      <c r="F1349" s="1286"/>
      <c r="G1349" s="441">
        <v>0</v>
      </c>
      <c r="H1349" s="441">
        <f t="shared" si="40"/>
        <v>633732083</v>
      </c>
      <c r="I1349" s="997"/>
      <c r="K1349" s="19"/>
    </row>
    <row r="1350" spans="1:11" x14ac:dyDescent="0.2">
      <c r="A1350" s="293"/>
      <c r="B1350" s="490"/>
      <c r="C1350" s="288"/>
      <c r="D1350" s="443">
        <f>_xlfn.XLOOKUP(B1350,Códigos!$A$421:$A$483,Códigos!$B$421:$B$483,"Verificar",0)</f>
        <v>0</v>
      </c>
      <c r="E1350" s="444">
        <f>_xlfn.XLOOKUP(C1350,Códigos!$A$11:$A$415,Códigos!$B$11:$B$415,"Verificar",0)</f>
        <v>0</v>
      </c>
      <c r="F1350" s="1286"/>
      <c r="G1350" s="441">
        <v>0</v>
      </c>
      <c r="H1350" s="441">
        <f t="shared" si="40"/>
        <v>633732083</v>
      </c>
      <c r="I1350" s="997"/>
      <c r="K1350" s="19"/>
    </row>
    <row r="1351" spans="1:11" x14ac:dyDescent="0.2">
      <c r="A1351" s="293"/>
      <c r="B1351" s="490"/>
      <c r="C1351" s="288"/>
      <c r="D1351" s="443">
        <f>_xlfn.XLOOKUP(B1351,Códigos!$A$421:$A$483,Códigos!$B$421:$B$483,"Verificar",0)</f>
        <v>0</v>
      </c>
      <c r="E1351" s="444">
        <f>_xlfn.XLOOKUP(C1351,Códigos!$A$11:$A$415,Códigos!$B$11:$B$415,"Verificar",0)</f>
        <v>0</v>
      </c>
      <c r="F1351" s="1286"/>
      <c r="G1351" s="441">
        <v>0</v>
      </c>
      <c r="H1351" s="441">
        <f t="shared" si="40"/>
        <v>633732083</v>
      </c>
      <c r="I1351" s="997"/>
      <c r="K1351" s="19"/>
    </row>
    <row r="1352" spans="1:11" x14ac:dyDescent="0.2">
      <c r="A1352" s="293"/>
      <c r="B1352" s="490"/>
      <c r="C1352" s="288"/>
      <c r="D1352" s="443">
        <f>_xlfn.XLOOKUP(B1352,Códigos!$A$421:$A$483,Códigos!$B$421:$B$483,"Verificar",0)</f>
        <v>0</v>
      </c>
      <c r="E1352" s="444">
        <f>_xlfn.XLOOKUP(C1352,Códigos!$A$11:$A$415,Códigos!$B$11:$B$415,"Verificar",0)</f>
        <v>0</v>
      </c>
      <c r="F1352" s="1286"/>
      <c r="G1352" s="441">
        <v>0</v>
      </c>
      <c r="H1352" s="441">
        <f t="shared" si="40"/>
        <v>633732083</v>
      </c>
      <c r="I1352" s="997"/>
      <c r="K1352" s="19"/>
    </row>
    <row r="1353" spans="1:11" x14ac:dyDescent="0.2">
      <c r="A1353" s="293"/>
      <c r="B1353" s="490"/>
      <c r="C1353" s="288"/>
      <c r="D1353" s="443">
        <f>_xlfn.XLOOKUP(B1353,Códigos!$A$421:$A$483,Códigos!$B$421:$B$483,"Verificar",0)</f>
        <v>0</v>
      </c>
      <c r="E1353" s="444">
        <f>_xlfn.XLOOKUP(C1353,Códigos!$A$11:$A$415,Códigos!$B$11:$B$415,"Verificar",0)</f>
        <v>0</v>
      </c>
      <c r="F1353" s="1286"/>
      <c r="G1353" s="441">
        <v>0</v>
      </c>
      <c r="H1353" s="441">
        <f t="shared" si="40"/>
        <v>633732083</v>
      </c>
      <c r="I1353" s="997"/>
      <c r="K1353" s="19"/>
    </row>
    <row r="1354" spans="1:11" x14ac:dyDescent="0.2">
      <c r="A1354" s="293"/>
      <c r="B1354" s="490"/>
      <c r="C1354" s="288"/>
      <c r="D1354" s="443">
        <f>_xlfn.XLOOKUP(B1354,Códigos!$A$421:$A$483,Códigos!$B$421:$B$483,"Verificar",0)</f>
        <v>0</v>
      </c>
      <c r="E1354" s="444">
        <f>_xlfn.XLOOKUP(C1354,Códigos!$A$11:$A$415,Códigos!$B$11:$B$415,"Verificar",0)</f>
        <v>0</v>
      </c>
      <c r="F1354" s="1286"/>
      <c r="G1354" s="441">
        <v>0</v>
      </c>
      <c r="H1354" s="441">
        <f t="shared" si="40"/>
        <v>633732083</v>
      </c>
      <c r="I1354" s="997"/>
      <c r="K1354" s="19"/>
    </row>
    <row r="1355" spans="1:11" x14ac:dyDescent="0.2">
      <c r="A1355" s="293"/>
      <c r="B1355" s="490"/>
      <c r="C1355" s="288"/>
      <c r="D1355" s="443">
        <f>_xlfn.XLOOKUP(B1355,Códigos!$A$421:$A$483,Códigos!$B$421:$B$483,"Verificar",0)</f>
        <v>0</v>
      </c>
      <c r="E1355" s="444">
        <f>_xlfn.XLOOKUP(C1355,Códigos!$A$11:$A$415,Códigos!$B$11:$B$415,"Verificar",0)</f>
        <v>0</v>
      </c>
      <c r="F1355" s="1286"/>
      <c r="G1355" s="441">
        <v>0</v>
      </c>
      <c r="H1355" s="441">
        <f t="shared" si="40"/>
        <v>633732083</v>
      </c>
      <c r="I1355" s="997"/>
      <c r="K1355" s="19"/>
    </row>
    <row r="1356" spans="1:11" x14ac:dyDescent="0.2">
      <c r="A1356" s="293"/>
      <c r="B1356" s="490"/>
      <c r="C1356" s="288"/>
      <c r="D1356" s="443">
        <f>_xlfn.XLOOKUP(B1356,Códigos!$A$421:$A$483,Códigos!$B$421:$B$483,"Verificar",0)</f>
        <v>0</v>
      </c>
      <c r="E1356" s="444">
        <f>_xlfn.XLOOKUP(C1356,Códigos!$A$11:$A$415,Códigos!$B$11:$B$415,"Verificar",0)</f>
        <v>0</v>
      </c>
      <c r="F1356" s="1286"/>
      <c r="G1356" s="441">
        <v>0</v>
      </c>
      <c r="H1356" s="441">
        <f t="shared" si="40"/>
        <v>633732083</v>
      </c>
      <c r="I1356" s="997"/>
      <c r="K1356" s="19"/>
    </row>
    <row r="1357" spans="1:11" x14ac:dyDescent="0.2">
      <c r="A1357" s="293"/>
      <c r="B1357" s="490"/>
      <c r="C1357" s="288"/>
      <c r="D1357" s="443">
        <f>_xlfn.XLOOKUP(B1357,Códigos!$A$421:$A$483,Códigos!$B$421:$B$483,"Verificar",0)</f>
        <v>0</v>
      </c>
      <c r="E1357" s="444">
        <f>_xlfn.XLOOKUP(C1357,Códigos!$A$11:$A$415,Códigos!$B$11:$B$415,"Verificar",0)</f>
        <v>0</v>
      </c>
      <c r="F1357" s="1286"/>
      <c r="G1357" s="441">
        <v>0</v>
      </c>
      <c r="H1357" s="441">
        <f t="shared" si="40"/>
        <v>633732083</v>
      </c>
      <c r="I1357" s="997"/>
      <c r="K1357" s="19"/>
    </row>
    <row r="1358" spans="1:11" x14ac:dyDescent="0.2">
      <c r="A1358" s="293"/>
      <c r="B1358" s="490"/>
      <c r="C1358" s="288"/>
      <c r="D1358" s="443">
        <f>_xlfn.XLOOKUP(B1358,Códigos!$A$421:$A$483,Códigos!$B$421:$B$483,"Verificar",0)</f>
        <v>0</v>
      </c>
      <c r="E1358" s="444">
        <f>_xlfn.XLOOKUP(C1358,Códigos!$A$11:$A$415,Códigos!$B$11:$B$415,"Verificar",0)</f>
        <v>0</v>
      </c>
      <c r="F1358" s="1286"/>
      <c r="G1358" s="441">
        <v>0</v>
      </c>
      <c r="H1358" s="441">
        <f t="shared" si="40"/>
        <v>633732083</v>
      </c>
      <c r="I1358" s="997"/>
      <c r="K1358" s="19"/>
    </row>
    <row r="1359" spans="1:11" x14ac:dyDescent="0.2">
      <c r="A1359" s="293"/>
      <c r="B1359" s="490"/>
      <c r="C1359" s="288"/>
      <c r="D1359" s="443">
        <f>_xlfn.XLOOKUP(B1359,Códigos!$A$421:$A$483,Códigos!$B$421:$B$483,"Verificar",0)</f>
        <v>0</v>
      </c>
      <c r="E1359" s="444">
        <f>_xlfn.XLOOKUP(C1359,Códigos!$A$11:$A$415,Códigos!$B$11:$B$415,"Verificar",0)</f>
        <v>0</v>
      </c>
      <c r="F1359" s="1286"/>
      <c r="G1359" s="441">
        <v>0</v>
      </c>
      <c r="H1359" s="441">
        <f t="shared" si="40"/>
        <v>633732083</v>
      </c>
      <c r="I1359" s="997"/>
      <c r="K1359" s="19"/>
    </row>
    <row r="1360" spans="1:11" x14ac:dyDescent="0.2">
      <c r="A1360" s="293"/>
      <c r="B1360" s="490"/>
      <c r="C1360" s="288"/>
      <c r="D1360" s="443">
        <f>_xlfn.XLOOKUP(B1360,Códigos!$A$421:$A$483,Códigos!$B$421:$B$483,"Verificar",0)</f>
        <v>0</v>
      </c>
      <c r="E1360" s="444">
        <f>_xlfn.XLOOKUP(C1360,Códigos!$A$11:$A$415,Códigos!$B$11:$B$415,"Verificar",0)</f>
        <v>0</v>
      </c>
      <c r="F1360" s="1286"/>
      <c r="G1360" s="441">
        <v>0</v>
      </c>
      <c r="H1360" s="441">
        <f t="shared" si="40"/>
        <v>633732083</v>
      </c>
      <c r="I1360" s="997"/>
      <c r="K1360" s="19"/>
    </row>
    <row r="1361" spans="1:11" x14ac:dyDescent="0.2">
      <c r="A1361" s="293"/>
      <c r="B1361" s="490"/>
      <c r="C1361" s="288"/>
      <c r="D1361" s="443">
        <f>_xlfn.XLOOKUP(B1361,Códigos!$A$421:$A$483,Códigos!$B$421:$B$483,"Verificar",0)</f>
        <v>0</v>
      </c>
      <c r="E1361" s="444">
        <f>_xlfn.XLOOKUP(C1361,Códigos!$A$11:$A$415,Códigos!$B$11:$B$415,"Verificar",0)</f>
        <v>0</v>
      </c>
      <c r="F1361" s="1286"/>
      <c r="G1361" s="441">
        <v>0</v>
      </c>
      <c r="H1361" s="441">
        <f t="shared" si="40"/>
        <v>633732083</v>
      </c>
      <c r="I1361" s="997"/>
      <c r="K1361" s="19"/>
    </row>
    <row r="1362" spans="1:11" x14ac:dyDescent="0.2">
      <c r="A1362" s="293"/>
      <c r="B1362" s="490"/>
      <c r="C1362" s="288"/>
      <c r="D1362" s="443">
        <f>_xlfn.XLOOKUP(B1362,Códigos!$A$421:$A$483,Códigos!$B$421:$B$483,"Verificar",0)</f>
        <v>0</v>
      </c>
      <c r="E1362" s="444">
        <f>_xlfn.XLOOKUP(C1362,Códigos!$A$11:$A$415,Códigos!$B$11:$B$415,"Verificar",0)</f>
        <v>0</v>
      </c>
      <c r="F1362" s="1286"/>
      <c r="G1362" s="441">
        <v>0</v>
      </c>
      <c r="H1362" s="441">
        <f t="shared" si="40"/>
        <v>633732083</v>
      </c>
      <c r="I1362" s="997"/>
      <c r="K1362" s="19"/>
    </row>
    <row r="1363" spans="1:11" x14ac:dyDescent="0.2">
      <c r="A1363" s="293"/>
      <c r="B1363" s="490"/>
      <c r="C1363" s="288"/>
      <c r="D1363" s="443">
        <f>_xlfn.XLOOKUP(B1363,Códigos!$A$421:$A$483,Códigos!$B$421:$B$483,"Verificar",0)</f>
        <v>0</v>
      </c>
      <c r="E1363" s="444">
        <f>_xlfn.XLOOKUP(C1363,Códigos!$A$11:$A$415,Códigos!$B$11:$B$415,"Verificar",0)</f>
        <v>0</v>
      </c>
      <c r="F1363" s="1286"/>
      <c r="G1363" s="441">
        <v>0</v>
      </c>
      <c r="H1363" s="441">
        <f t="shared" si="40"/>
        <v>633732083</v>
      </c>
      <c r="I1363" s="997"/>
      <c r="K1363" s="19"/>
    </row>
    <row r="1364" spans="1:11" x14ac:dyDescent="0.2">
      <c r="A1364" s="293"/>
      <c r="B1364" s="490"/>
      <c r="C1364" s="288"/>
      <c r="D1364" s="443">
        <f>_xlfn.XLOOKUP(B1364,Códigos!$A$421:$A$483,Códigos!$B$421:$B$483,"Verificar",0)</f>
        <v>0</v>
      </c>
      <c r="E1364" s="444">
        <f>_xlfn.XLOOKUP(C1364,Códigos!$A$11:$A$415,Códigos!$B$11:$B$415,"Verificar",0)</f>
        <v>0</v>
      </c>
      <c r="F1364" s="1286"/>
      <c r="G1364" s="441">
        <v>0</v>
      </c>
      <c r="H1364" s="441">
        <f t="shared" si="40"/>
        <v>633732083</v>
      </c>
      <c r="I1364" s="997"/>
      <c r="K1364" s="19"/>
    </row>
    <row r="1365" spans="1:11" x14ac:dyDescent="0.2">
      <c r="A1365" s="293"/>
      <c r="B1365" s="490"/>
      <c r="C1365" s="288"/>
      <c r="D1365" s="443">
        <f>_xlfn.XLOOKUP(B1365,Códigos!$A$421:$A$483,Códigos!$B$421:$B$483,"Verificar",0)</f>
        <v>0</v>
      </c>
      <c r="E1365" s="444">
        <f>_xlfn.XLOOKUP(C1365,Códigos!$A$11:$A$415,Códigos!$B$11:$B$415,"Verificar",0)</f>
        <v>0</v>
      </c>
      <c r="F1365" s="1286"/>
      <c r="G1365" s="441">
        <v>0</v>
      </c>
      <c r="H1365" s="441">
        <f t="shared" ref="H1365:H1428" si="41">+H1364+G1365</f>
        <v>633732083</v>
      </c>
      <c r="I1365" s="997"/>
      <c r="K1365" s="19"/>
    </row>
    <row r="1366" spans="1:11" x14ac:dyDescent="0.2">
      <c r="A1366" s="293"/>
      <c r="B1366" s="490"/>
      <c r="C1366" s="288"/>
      <c r="D1366" s="443">
        <f>_xlfn.XLOOKUP(B1366,Códigos!$A$421:$A$483,Códigos!$B$421:$B$483,"Verificar",0)</f>
        <v>0</v>
      </c>
      <c r="E1366" s="444">
        <f>_xlfn.XLOOKUP(C1366,Códigos!$A$11:$A$415,Códigos!$B$11:$B$415,"Verificar",0)</f>
        <v>0</v>
      </c>
      <c r="F1366" s="1286"/>
      <c r="G1366" s="441">
        <v>0</v>
      </c>
      <c r="H1366" s="441">
        <f t="shared" si="41"/>
        <v>633732083</v>
      </c>
      <c r="I1366" s="997"/>
      <c r="K1366" s="19"/>
    </row>
    <row r="1367" spans="1:11" x14ac:dyDescent="0.2">
      <c r="A1367" s="293"/>
      <c r="B1367" s="490"/>
      <c r="C1367" s="288"/>
      <c r="D1367" s="443">
        <f>_xlfn.XLOOKUP(B1367,Códigos!$A$421:$A$483,Códigos!$B$421:$B$483,"Verificar",0)</f>
        <v>0</v>
      </c>
      <c r="E1367" s="444">
        <f>_xlfn.XLOOKUP(C1367,Códigos!$A$11:$A$415,Códigos!$B$11:$B$415,"Verificar",0)</f>
        <v>0</v>
      </c>
      <c r="F1367" s="1286"/>
      <c r="G1367" s="441">
        <v>0</v>
      </c>
      <c r="H1367" s="441">
        <f t="shared" si="41"/>
        <v>633732083</v>
      </c>
      <c r="I1367" s="997"/>
      <c r="K1367" s="19"/>
    </row>
    <row r="1368" spans="1:11" x14ac:dyDescent="0.2">
      <c r="A1368" s="293"/>
      <c r="B1368" s="490"/>
      <c r="C1368" s="288"/>
      <c r="D1368" s="443">
        <f>_xlfn.XLOOKUP(B1368,Códigos!$A$421:$A$483,Códigos!$B$421:$B$483,"Verificar",0)</f>
        <v>0</v>
      </c>
      <c r="E1368" s="444">
        <f>_xlfn.XLOOKUP(C1368,Códigos!$A$11:$A$415,Códigos!$B$11:$B$415,"Verificar",0)</f>
        <v>0</v>
      </c>
      <c r="F1368" s="1286"/>
      <c r="G1368" s="441">
        <v>0</v>
      </c>
      <c r="H1368" s="441">
        <f t="shared" si="41"/>
        <v>633732083</v>
      </c>
      <c r="I1368" s="997"/>
      <c r="K1368" s="19"/>
    </row>
    <row r="1369" spans="1:11" x14ac:dyDescent="0.2">
      <c r="A1369" s="293"/>
      <c r="B1369" s="490"/>
      <c r="C1369" s="288"/>
      <c r="D1369" s="443">
        <f>_xlfn.XLOOKUP(B1369,Códigos!$A$421:$A$483,Códigos!$B$421:$B$483,"Verificar",0)</f>
        <v>0</v>
      </c>
      <c r="E1369" s="444">
        <f>_xlfn.XLOOKUP(C1369,Códigos!$A$11:$A$415,Códigos!$B$11:$B$415,"Verificar",0)</f>
        <v>0</v>
      </c>
      <c r="F1369" s="1286"/>
      <c r="G1369" s="441">
        <v>0</v>
      </c>
      <c r="H1369" s="441">
        <f t="shared" si="41"/>
        <v>633732083</v>
      </c>
      <c r="I1369" s="997"/>
      <c r="K1369" s="19"/>
    </row>
    <row r="1370" spans="1:11" x14ac:dyDescent="0.2">
      <c r="A1370" s="293"/>
      <c r="B1370" s="490"/>
      <c r="C1370" s="288"/>
      <c r="D1370" s="443">
        <f>_xlfn.XLOOKUP(B1370,Códigos!$A$421:$A$483,Códigos!$B$421:$B$483,"Verificar",0)</f>
        <v>0</v>
      </c>
      <c r="E1370" s="444">
        <f>_xlfn.XLOOKUP(C1370,Códigos!$A$11:$A$415,Códigos!$B$11:$B$415,"Verificar",0)</f>
        <v>0</v>
      </c>
      <c r="F1370" s="1286"/>
      <c r="G1370" s="441">
        <v>0</v>
      </c>
      <c r="H1370" s="441">
        <f t="shared" si="41"/>
        <v>633732083</v>
      </c>
      <c r="I1370" s="997"/>
      <c r="K1370" s="19"/>
    </row>
    <row r="1371" spans="1:11" x14ac:dyDescent="0.2">
      <c r="A1371" s="293"/>
      <c r="B1371" s="490"/>
      <c r="C1371" s="288"/>
      <c r="D1371" s="443">
        <f>_xlfn.XLOOKUP(B1371,Códigos!$A$421:$A$483,Códigos!$B$421:$B$483,"Verificar",0)</f>
        <v>0</v>
      </c>
      <c r="E1371" s="444">
        <f>_xlfn.XLOOKUP(C1371,Códigos!$A$11:$A$415,Códigos!$B$11:$B$415,"Verificar",0)</f>
        <v>0</v>
      </c>
      <c r="F1371" s="1286"/>
      <c r="G1371" s="441">
        <v>0</v>
      </c>
      <c r="H1371" s="441">
        <f t="shared" si="41"/>
        <v>633732083</v>
      </c>
      <c r="I1371" s="997"/>
      <c r="K1371" s="19"/>
    </row>
    <row r="1372" spans="1:11" x14ac:dyDescent="0.2">
      <c r="A1372" s="293"/>
      <c r="B1372" s="490"/>
      <c r="C1372" s="288"/>
      <c r="D1372" s="443">
        <f>_xlfn.XLOOKUP(B1372,Códigos!$A$421:$A$483,Códigos!$B$421:$B$483,"Verificar",0)</f>
        <v>0</v>
      </c>
      <c r="E1372" s="444">
        <f>_xlfn.XLOOKUP(C1372,Códigos!$A$11:$A$415,Códigos!$B$11:$B$415,"Verificar",0)</f>
        <v>0</v>
      </c>
      <c r="F1372" s="1286"/>
      <c r="G1372" s="441">
        <v>0</v>
      </c>
      <c r="H1372" s="441">
        <f t="shared" si="41"/>
        <v>633732083</v>
      </c>
      <c r="I1372" s="997"/>
      <c r="K1372" s="19"/>
    </row>
    <row r="1373" spans="1:11" x14ac:dyDescent="0.2">
      <c r="A1373" s="293"/>
      <c r="B1373" s="490"/>
      <c r="C1373" s="288"/>
      <c r="D1373" s="443">
        <f>_xlfn.XLOOKUP(B1373,Códigos!$A$421:$A$483,Códigos!$B$421:$B$483,"Verificar",0)</f>
        <v>0</v>
      </c>
      <c r="E1373" s="444">
        <f>_xlfn.XLOOKUP(C1373,Códigos!$A$11:$A$415,Códigos!$B$11:$B$415,"Verificar",0)</f>
        <v>0</v>
      </c>
      <c r="F1373" s="1286"/>
      <c r="G1373" s="441">
        <v>0</v>
      </c>
      <c r="H1373" s="441">
        <f t="shared" si="41"/>
        <v>633732083</v>
      </c>
      <c r="I1373" s="997"/>
      <c r="K1373" s="19"/>
    </row>
    <row r="1374" spans="1:11" x14ac:dyDescent="0.2">
      <c r="A1374" s="293"/>
      <c r="B1374" s="490"/>
      <c r="C1374" s="288"/>
      <c r="D1374" s="443">
        <f>_xlfn.XLOOKUP(B1374,Códigos!$A$421:$A$483,Códigos!$B$421:$B$483,"Verificar",0)</f>
        <v>0</v>
      </c>
      <c r="E1374" s="444">
        <f>_xlfn.XLOOKUP(C1374,Códigos!$A$11:$A$415,Códigos!$B$11:$B$415,"Verificar",0)</f>
        <v>0</v>
      </c>
      <c r="F1374" s="1286"/>
      <c r="G1374" s="441">
        <v>0</v>
      </c>
      <c r="H1374" s="441">
        <f t="shared" si="41"/>
        <v>633732083</v>
      </c>
      <c r="I1374" s="997"/>
      <c r="K1374" s="19"/>
    </row>
    <row r="1375" spans="1:11" x14ac:dyDescent="0.2">
      <c r="A1375" s="293"/>
      <c r="B1375" s="490"/>
      <c r="C1375" s="288"/>
      <c r="D1375" s="443">
        <f>_xlfn.XLOOKUP(B1375,Códigos!$A$421:$A$483,Códigos!$B$421:$B$483,"Verificar",0)</f>
        <v>0</v>
      </c>
      <c r="E1375" s="444">
        <f>_xlfn.XLOOKUP(C1375,Códigos!$A$11:$A$415,Códigos!$B$11:$B$415,"Verificar",0)</f>
        <v>0</v>
      </c>
      <c r="F1375" s="1286"/>
      <c r="G1375" s="441">
        <v>0</v>
      </c>
      <c r="H1375" s="441">
        <f t="shared" si="41"/>
        <v>633732083</v>
      </c>
      <c r="I1375" s="997"/>
      <c r="K1375" s="19"/>
    </row>
    <row r="1376" spans="1:11" x14ac:dyDescent="0.2">
      <c r="A1376" s="293"/>
      <c r="B1376" s="490"/>
      <c r="C1376" s="288"/>
      <c r="D1376" s="443">
        <f>_xlfn.XLOOKUP(B1376,Códigos!$A$421:$A$483,Códigos!$B$421:$B$483,"Verificar",0)</f>
        <v>0</v>
      </c>
      <c r="E1376" s="444">
        <f>_xlfn.XLOOKUP(C1376,Códigos!$A$11:$A$415,Códigos!$B$11:$B$415,"Verificar",0)</f>
        <v>0</v>
      </c>
      <c r="F1376" s="1286"/>
      <c r="G1376" s="441">
        <v>0</v>
      </c>
      <c r="H1376" s="441">
        <f t="shared" si="41"/>
        <v>633732083</v>
      </c>
      <c r="I1376" s="997"/>
      <c r="K1376" s="19"/>
    </row>
    <row r="1377" spans="1:11" x14ac:dyDescent="0.2">
      <c r="A1377" s="293"/>
      <c r="B1377" s="490"/>
      <c r="C1377" s="288"/>
      <c r="D1377" s="443">
        <f>_xlfn.XLOOKUP(B1377,Códigos!$A$421:$A$483,Códigos!$B$421:$B$483,"Verificar",0)</f>
        <v>0</v>
      </c>
      <c r="E1377" s="444">
        <f>_xlfn.XLOOKUP(C1377,Códigos!$A$11:$A$415,Códigos!$B$11:$B$415,"Verificar",0)</f>
        <v>0</v>
      </c>
      <c r="F1377" s="1286"/>
      <c r="G1377" s="441">
        <v>0</v>
      </c>
      <c r="H1377" s="441">
        <f t="shared" si="41"/>
        <v>633732083</v>
      </c>
      <c r="I1377" s="997"/>
      <c r="K1377" s="19"/>
    </row>
    <row r="1378" spans="1:11" x14ac:dyDescent="0.2">
      <c r="A1378" s="293"/>
      <c r="B1378" s="490"/>
      <c r="C1378" s="288"/>
      <c r="D1378" s="443">
        <f>_xlfn.XLOOKUP(B1378,Códigos!$A$421:$A$483,Códigos!$B$421:$B$483,"Verificar",0)</f>
        <v>0</v>
      </c>
      <c r="E1378" s="444">
        <f>_xlfn.XLOOKUP(C1378,Códigos!$A$11:$A$415,Códigos!$B$11:$B$415,"Verificar",0)</f>
        <v>0</v>
      </c>
      <c r="F1378" s="1286"/>
      <c r="G1378" s="441">
        <v>0</v>
      </c>
      <c r="H1378" s="441">
        <f t="shared" si="41"/>
        <v>633732083</v>
      </c>
      <c r="I1378" s="997"/>
      <c r="K1378" s="19"/>
    </row>
    <row r="1379" spans="1:11" x14ac:dyDescent="0.2">
      <c r="A1379" s="293"/>
      <c r="B1379" s="490"/>
      <c r="C1379" s="288"/>
      <c r="D1379" s="443">
        <f>_xlfn.XLOOKUP(B1379,Códigos!$A$421:$A$483,Códigos!$B$421:$B$483,"Verificar",0)</f>
        <v>0</v>
      </c>
      <c r="E1379" s="444">
        <f>_xlfn.XLOOKUP(C1379,Códigos!$A$11:$A$415,Códigos!$B$11:$B$415,"Verificar",0)</f>
        <v>0</v>
      </c>
      <c r="F1379" s="1286"/>
      <c r="G1379" s="441">
        <v>0</v>
      </c>
      <c r="H1379" s="441">
        <f t="shared" si="41"/>
        <v>633732083</v>
      </c>
      <c r="I1379" s="997"/>
      <c r="K1379" s="19"/>
    </row>
    <row r="1380" spans="1:11" x14ac:dyDescent="0.2">
      <c r="A1380" s="293"/>
      <c r="B1380" s="490"/>
      <c r="C1380" s="288"/>
      <c r="D1380" s="443">
        <f>_xlfn.XLOOKUP(B1380,Códigos!$A$421:$A$483,Códigos!$B$421:$B$483,"Verificar",0)</f>
        <v>0</v>
      </c>
      <c r="E1380" s="444">
        <f>_xlfn.XLOOKUP(C1380,Códigos!$A$11:$A$415,Códigos!$B$11:$B$415,"Verificar",0)</f>
        <v>0</v>
      </c>
      <c r="F1380" s="1286"/>
      <c r="G1380" s="441">
        <v>0</v>
      </c>
      <c r="H1380" s="441">
        <f t="shared" si="41"/>
        <v>633732083</v>
      </c>
      <c r="I1380" s="997"/>
      <c r="K1380" s="19"/>
    </row>
    <row r="1381" spans="1:11" x14ac:dyDescent="0.2">
      <c r="A1381" s="293"/>
      <c r="B1381" s="490"/>
      <c r="C1381" s="288"/>
      <c r="D1381" s="443">
        <f>_xlfn.XLOOKUP(B1381,Códigos!$A$421:$A$483,Códigos!$B$421:$B$483,"Verificar",0)</f>
        <v>0</v>
      </c>
      <c r="E1381" s="444">
        <f>_xlfn.XLOOKUP(C1381,Códigos!$A$11:$A$415,Códigos!$B$11:$B$415,"Verificar",0)</f>
        <v>0</v>
      </c>
      <c r="F1381" s="1286"/>
      <c r="G1381" s="441">
        <v>0</v>
      </c>
      <c r="H1381" s="441">
        <f t="shared" si="41"/>
        <v>633732083</v>
      </c>
      <c r="I1381" s="997"/>
      <c r="K1381" s="19"/>
    </row>
    <row r="1382" spans="1:11" x14ac:dyDescent="0.2">
      <c r="A1382" s="293"/>
      <c r="B1382" s="490"/>
      <c r="C1382" s="288"/>
      <c r="D1382" s="443">
        <f>_xlfn.XLOOKUP(B1382,Códigos!$A$421:$A$483,Códigos!$B$421:$B$483,"Verificar",0)</f>
        <v>0</v>
      </c>
      <c r="E1382" s="444">
        <f>_xlfn.XLOOKUP(C1382,Códigos!$A$11:$A$415,Códigos!$B$11:$B$415,"Verificar",0)</f>
        <v>0</v>
      </c>
      <c r="F1382" s="1286"/>
      <c r="G1382" s="441">
        <v>0</v>
      </c>
      <c r="H1382" s="441">
        <f t="shared" si="41"/>
        <v>633732083</v>
      </c>
      <c r="I1382" s="997"/>
      <c r="K1382" s="19"/>
    </row>
    <row r="1383" spans="1:11" x14ac:dyDescent="0.2">
      <c r="A1383" s="293"/>
      <c r="B1383" s="490"/>
      <c r="C1383" s="288"/>
      <c r="D1383" s="443">
        <f>_xlfn.XLOOKUP(B1383,Códigos!$A$421:$A$483,Códigos!$B$421:$B$483,"Verificar",0)</f>
        <v>0</v>
      </c>
      <c r="E1383" s="444">
        <f>_xlfn.XLOOKUP(C1383,Códigos!$A$11:$A$415,Códigos!$B$11:$B$415,"Verificar",0)</f>
        <v>0</v>
      </c>
      <c r="F1383" s="1286"/>
      <c r="G1383" s="441">
        <v>0</v>
      </c>
      <c r="H1383" s="441">
        <f t="shared" si="41"/>
        <v>633732083</v>
      </c>
      <c r="I1383" s="997"/>
      <c r="K1383" s="19"/>
    </row>
    <row r="1384" spans="1:11" x14ac:dyDescent="0.2">
      <c r="A1384" s="293"/>
      <c r="B1384" s="490"/>
      <c r="C1384" s="288"/>
      <c r="D1384" s="443">
        <f>_xlfn.XLOOKUP(B1384,Códigos!$A$421:$A$483,Códigos!$B$421:$B$483,"Verificar",0)</f>
        <v>0</v>
      </c>
      <c r="E1384" s="444">
        <f>_xlfn.XLOOKUP(C1384,Códigos!$A$11:$A$415,Códigos!$B$11:$B$415,"Verificar",0)</f>
        <v>0</v>
      </c>
      <c r="F1384" s="1286"/>
      <c r="G1384" s="441">
        <v>0</v>
      </c>
      <c r="H1384" s="441">
        <f t="shared" si="41"/>
        <v>633732083</v>
      </c>
      <c r="I1384" s="997"/>
      <c r="K1384" s="19"/>
    </row>
    <row r="1385" spans="1:11" x14ac:dyDescent="0.2">
      <c r="A1385" s="293"/>
      <c r="B1385" s="490"/>
      <c r="C1385" s="288"/>
      <c r="D1385" s="443">
        <f>_xlfn.XLOOKUP(B1385,Códigos!$A$421:$A$483,Códigos!$B$421:$B$483,"Verificar",0)</f>
        <v>0</v>
      </c>
      <c r="E1385" s="444">
        <f>_xlfn.XLOOKUP(C1385,Códigos!$A$11:$A$415,Códigos!$B$11:$B$415,"Verificar",0)</f>
        <v>0</v>
      </c>
      <c r="F1385" s="1286"/>
      <c r="G1385" s="441">
        <v>0</v>
      </c>
      <c r="H1385" s="441">
        <f t="shared" si="41"/>
        <v>633732083</v>
      </c>
      <c r="I1385" s="997"/>
      <c r="K1385" s="19"/>
    </row>
    <row r="1386" spans="1:11" x14ac:dyDescent="0.2">
      <c r="A1386" s="293"/>
      <c r="B1386" s="490"/>
      <c r="C1386" s="288"/>
      <c r="D1386" s="443">
        <f>_xlfn.XLOOKUP(B1386,Códigos!$A$421:$A$483,Códigos!$B$421:$B$483,"Verificar",0)</f>
        <v>0</v>
      </c>
      <c r="E1386" s="444">
        <f>_xlfn.XLOOKUP(C1386,Códigos!$A$11:$A$415,Códigos!$B$11:$B$415,"Verificar",0)</f>
        <v>0</v>
      </c>
      <c r="F1386" s="1286"/>
      <c r="G1386" s="441">
        <v>0</v>
      </c>
      <c r="H1386" s="441">
        <f t="shared" si="41"/>
        <v>633732083</v>
      </c>
      <c r="I1386" s="997"/>
      <c r="K1386" s="19"/>
    </row>
    <row r="1387" spans="1:11" x14ac:dyDescent="0.2">
      <c r="A1387" s="293"/>
      <c r="B1387" s="490"/>
      <c r="C1387" s="288"/>
      <c r="D1387" s="443">
        <f>_xlfn.XLOOKUP(B1387,Códigos!$A$421:$A$483,Códigos!$B$421:$B$483,"Verificar",0)</f>
        <v>0</v>
      </c>
      <c r="E1387" s="444">
        <f>_xlfn.XLOOKUP(C1387,Códigos!$A$11:$A$415,Códigos!$B$11:$B$415,"Verificar",0)</f>
        <v>0</v>
      </c>
      <c r="F1387" s="1286"/>
      <c r="G1387" s="441">
        <v>0</v>
      </c>
      <c r="H1387" s="441">
        <f t="shared" si="41"/>
        <v>633732083</v>
      </c>
      <c r="I1387" s="997"/>
      <c r="K1387" s="19"/>
    </row>
    <row r="1388" spans="1:11" x14ac:dyDescent="0.2">
      <c r="A1388" s="293"/>
      <c r="B1388" s="490"/>
      <c r="C1388" s="288"/>
      <c r="D1388" s="443">
        <f>_xlfn.XLOOKUP(B1388,Códigos!$A$421:$A$483,Códigos!$B$421:$B$483,"Verificar",0)</f>
        <v>0</v>
      </c>
      <c r="E1388" s="444">
        <f>_xlfn.XLOOKUP(C1388,Códigos!$A$11:$A$415,Códigos!$B$11:$B$415,"Verificar",0)</f>
        <v>0</v>
      </c>
      <c r="F1388" s="1286"/>
      <c r="G1388" s="441">
        <v>0</v>
      </c>
      <c r="H1388" s="441">
        <f t="shared" si="41"/>
        <v>633732083</v>
      </c>
      <c r="I1388" s="997"/>
      <c r="K1388" s="19"/>
    </row>
    <row r="1389" spans="1:11" x14ac:dyDescent="0.2">
      <c r="A1389" s="293"/>
      <c r="B1389" s="490"/>
      <c r="C1389" s="288"/>
      <c r="D1389" s="443">
        <f>_xlfn.XLOOKUP(B1389,Códigos!$A$421:$A$483,Códigos!$B$421:$B$483,"Verificar",0)</f>
        <v>0</v>
      </c>
      <c r="E1389" s="444">
        <f>_xlfn.XLOOKUP(C1389,Códigos!$A$11:$A$415,Códigos!$B$11:$B$415,"Verificar",0)</f>
        <v>0</v>
      </c>
      <c r="F1389" s="1286"/>
      <c r="G1389" s="441">
        <v>0</v>
      </c>
      <c r="H1389" s="441">
        <f t="shared" si="41"/>
        <v>633732083</v>
      </c>
      <c r="I1389" s="997"/>
      <c r="K1389" s="19"/>
    </row>
    <row r="1390" spans="1:11" x14ac:dyDescent="0.2">
      <c r="A1390" s="293"/>
      <c r="B1390" s="490"/>
      <c r="C1390" s="288"/>
      <c r="D1390" s="443">
        <f>_xlfn.XLOOKUP(B1390,Códigos!$A$421:$A$483,Códigos!$B$421:$B$483,"Verificar",0)</f>
        <v>0</v>
      </c>
      <c r="E1390" s="444">
        <f>_xlfn.XLOOKUP(C1390,Códigos!$A$11:$A$415,Códigos!$B$11:$B$415,"Verificar",0)</f>
        <v>0</v>
      </c>
      <c r="F1390" s="1286"/>
      <c r="G1390" s="441">
        <v>0</v>
      </c>
      <c r="H1390" s="441">
        <f t="shared" si="41"/>
        <v>633732083</v>
      </c>
      <c r="I1390" s="997"/>
      <c r="K1390" s="19"/>
    </row>
    <row r="1391" spans="1:11" x14ac:dyDescent="0.2">
      <c r="A1391" s="293"/>
      <c r="B1391" s="490"/>
      <c r="C1391" s="288"/>
      <c r="D1391" s="443">
        <f>_xlfn.XLOOKUP(B1391,Códigos!$A$421:$A$483,Códigos!$B$421:$B$483,"Verificar",0)</f>
        <v>0</v>
      </c>
      <c r="E1391" s="444">
        <f>_xlfn.XLOOKUP(C1391,Códigos!$A$11:$A$415,Códigos!$B$11:$B$415,"Verificar",0)</f>
        <v>0</v>
      </c>
      <c r="F1391" s="1286"/>
      <c r="G1391" s="441">
        <v>0</v>
      </c>
      <c r="H1391" s="441">
        <f t="shared" si="41"/>
        <v>633732083</v>
      </c>
      <c r="I1391" s="997"/>
      <c r="K1391" s="19"/>
    </row>
    <row r="1392" spans="1:11" x14ac:dyDescent="0.2">
      <c r="A1392" s="293"/>
      <c r="B1392" s="490"/>
      <c r="C1392" s="288"/>
      <c r="D1392" s="443">
        <f>_xlfn.XLOOKUP(B1392,Códigos!$A$421:$A$483,Códigos!$B$421:$B$483,"Verificar",0)</f>
        <v>0</v>
      </c>
      <c r="E1392" s="444">
        <f>_xlfn.XLOOKUP(C1392,Códigos!$A$11:$A$415,Códigos!$B$11:$B$415,"Verificar",0)</f>
        <v>0</v>
      </c>
      <c r="F1392" s="1286"/>
      <c r="G1392" s="441">
        <v>0</v>
      </c>
      <c r="H1392" s="441">
        <f t="shared" si="41"/>
        <v>633732083</v>
      </c>
      <c r="I1392" s="997"/>
      <c r="K1392" s="19"/>
    </row>
    <row r="1393" spans="1:11" x14ac:dyDescent="0.2">
      <c r="A1393" s="293"/>
      <c r="B1393" s="490"/>
      <c r="C1393" s="288"/>
      <c r="D1393" s="443">
        <f>_xlfn.XLOOKUP(B1393,Códigos!$A$421:$A$483,Códigos!$B$421:$B$483,"Verificar",0)</f>
        <v>0</v>
      </c>
      <c r="E1393" s="444">
        <f>_xlfn.XLOOKUP(C1393,Códigos!$A$11:$A$415,Códigos!$B$11:$B$415,"Verificar",0)</f>
        <v>0</v>
      </c>
      <c r="F1393" s="1286"/>
      <c r="G1393" s="441">
        <v>0</v>
      </c>
      <c r="H1393" s="441">
        <f t="shared" si="41"/>
        <v>633732083</v>
      </c>
      <c r="I1393" s="997"/>
      <c r="K1393" s="19"/>
    </row>
    <row r="1394" spans="1:11" x14ac:dyDescent="0.2">
      <c r="A1394" s="293"/>
      <c r="B1394" s="490"/>
      <c r="C1394" s="288"/>
      <c r="D1394" s="443">
        <f>_xlfn.XLOOKUP(B1394,Códigos!$A$421:$A$483,Códigos!$B$421:$B$483,"Verificar",0)</f>
        <v>0</v>
      </c>
      <c r="E1394" s="444">
        <f>_xlfn.XLOOKUP(C1394,Códigos!$A$11:$A$415,Códigos!$B$11:$B$415,"Verificar",0)</f>
        <v>0</v>
      </c>
      <c r="F1394" s="1286"/>
      <c r="G1394" s="441">
        <v>0</v>
      </c>
      <c r="H1394" s="441">
        <f t="shared" si="41"/>
        <v>633732083</v>
      </c>
      <c r="I1394" s="997"/>
      <c r="K1394" s="19"/>
    </row>
    <row r="1395" spans="1:11" x14ac:dyDescent="0.2">
      <c r="A1395" s="293"/>
      <c r="B1395" s="490"/>
      <c r="C1395" s="288"/>
      <c r="D1395" s="443">
        <f>_xlfn.XLOOKUP(B1395,Códigos!$A$421:$A$483,Códigos!$B$421:$B$483,"Verificar",0)</f>
        <v>0</v>
      </c>
      <c r="E1395" s="444">
        <f>_xlfn.XLOOKUP(C1395,Códigos!$A$11:$A$415,Códigos!$B$11:$B$415,"Verificar",0)</f>
        <v>0</v>
      </c>
      <c r="F1395" s="1286"/>
      <c r="G1395" s="441">
        <v>0</v>
      </c>
      <c r="H1395" s="441">
        <f t="shared" si="41"/>
        <v>633732083</v>
      </c>
      <c r="I1395" s="997"/>
      <c r="K1395" s="19"/>
    </row>
    <row r="1396" spans="1:11" x14ac:dyDescent="0.2">
      <c r="A1396" s="293"/>
      <c r="B1396" s="490"/>
      <c r="C1396" s="288"/>
      <c r="D1396" s="443">
        <f>_xlfn.XLOOKUP(B1396,Códigos!$A$421:$A$483,Códigos!$B$421:$B$483,"Verificar",0)</f>
        <v>0</v>
      </c>
      <c r="E1396" s="444">
        <f>_xlfn.XLOOKUP(C1396,Códigos!$A$11:$A$415,Códigos!$B$11:$B$415,"Verificar",0)</f>
        <v>0</v>
      </c>
      <c r="F1396" s="1286"/>
      <c r="G1396" s="441">
        <v>0</v>
      </c>
      <c r="H1396" s="441">
        <f t="shared" si="41"/>
        <v>633732083</v>
      </c>
      <c r="I1396" s="997"/>
      <c r="K1396" s="19"/>
    </row>
    <row r="1397" spans="1:11" x14ac:dyDescent="0.2">
      <c r="A1397" s="293"/>
      <c r="B1397" s="490"/>
      <c r="C1397" s="288"/>
      <c r="D1397" s="443">
        <f>_xlfn.XLOOKUP(B1397,Códigos!$A$421:$A$483,Códigos!$B$421:$B$483,"Verificar",0)</f>
        <v>0</v>
      </c>
      <c r="E1397" s="444">
        <f>_xlfn.XLOOKUP(C1397,Códigos!$A$11:$A$415,Códigos!$B$11:$B$415,"Verificar",0)</f>
        <v>0</v>
      </c>
      <c r="F1397" s="1286"/>
      <c r="G1397" s="441">
        <v>0</v>
      </c>
      <c r="H1397" s="441">
        <f t="shared" si="41"/>
        <v>633732083</v>
      </c>
      <c r="I1397" s="997"/>
      <c r="K1397" s="19"/>
    </row>
    <row r="1398" spans="1:11" x14ac:dyDescent="0.2">
      <c r="A1398" s="293"/>
      <c r="B1398" s="490"/>
      <c r="C1398" s="288"/>
      <c r="D1398" s="443">
        <f>_xlfn.XLOOKUP(B1398,Códigos!$A$421:$A$483,Códigos!$B$421:$B$483,"Verificar",0)</f>
        <v>0</v>
      </c>
      <c r="E1398" s="444">
        <f>_xlfn.XLOOKUP(C1398,Códigos!$A$11:$A$415,Códigos!$B$11:$B$415,"Verificar",0)</f>
        <v>0</v>
      </c>
      <c r="F1398" s="1286"/>
      <c r="G1398" s="441">
        <v>0</v>
      </c>
      <c r="H1398" s="441">
        <f t="shared" si="41"/>
        <v>633732083</v>
      </c>
      <c r="I1398" s="997"/>
      <c r="K1398" s="19"/>
    </row>
    <row r="1399" spans="1:11" x14ac:dyDescent="0.2">
      <c r="A1399" s="293"/>
      <c r="B1399" s="490"/>
      <c r="C1399" s="288"/>
      <c r="D1399" s="443">
        <f>_xlfn.XLOOKUP(B1399,Códigos!$A$421:$A$483,Códigos!$B$421:$B$483,"Verificar",0)</f>
        <v>0</v>
      </c>
      <c r="E1399" s="444">
        <f>_xlfn.XLOOKUP(C1399,Códigos!$A$11:$A$415,Códigos!$B$11:$B$415,"Verificar",0)</f>
        <v>0</v>
      </c>
      <c r="F1399" s="1286"/>
      <c r="G1399" s="441">
        <v>0</v>
      </c>
      <c r="H1399" s="441">
        <f t="shared" si="41"/>
        <v>633732083</v>
      </c>
      <c r="I1399" s="997"/>
      <c r="K1399" s="19"/>
    </row>
    <row r="1400" spans="1:11" x14ac:dyDescent="0.2">
      <c r="A1400" s="293"/>
      <c r="B1400" s="490"/>
      <c r="C1400" s="288"/>
      <c r="D1400" s="443">
        <f>_xlfn.XLOOKUP(B1400,Códigos!$A$421:$A$483,Códigos!$B$421:$B$483,"Verificar",0)</f>
        <v>0</v>
      </c>
      <c r="E1400" s="444">
        <f>_xlfn.XLOOKUP(C1400,Códigos!$A$11:$A$415,Códigos!$B$11:$B$415,"Verificar",0)</f>
        <v>0</v>
      </c>
      <c r="F1400" s="1286"/>
      <c r="G1400" s="441">
        <v>0</v>
      </c>
      <c r="H1400" s="441">
        <f t="shared" si="41"/>
        <v>633732083</v>
      </c>
      <c r="I1400" s="997"/>
      <c r="K1400" s="19"/>
    </row>
    <row r="1401" spans="1:11" x14ac:dyDescent="0.2">
      <c r="A1401" s="293"/>
      <c r="B1401" s="490"/>
      <c r="C1401" s="288"/>
      <c r="D1401" s="443">
        <f>_xlfn.XLOOKUP(B1401,Códigos!$A$421:$A$483,Códigos!$B$421:$B$483,"Verificar",0)</f>
        <v>0</v>
      </c>
      <c r="E1401" s="444">
        <f>_xlfn.XLOOKUP(C1401,Códigos!$A$11:$A$415,Códigos!$B$11:$B$415,"Verificar",0)</f>
        <v>0</v>
      </c>
      <c r="F1401" s="1286"/>
      <c r="G1401" s="441">
        <v>0</v>
      </c>
      <c r="H1401" s="441">
        <f t="shared" si="41"/>
        <v>633732083</v>
      </c>
      <c r="I1401" s="997"/>
      <c r="K1401" s="19"/>
    </row>
    <row r="1402" spans="1:11" x14ac:dyDescent="0.2">
      <c r="A1402" s="293"/>
      <c r="B1402" s="490"/>
      <c r="C1402" s="288"/>
      <c r="D1402" s="443">
        <f>_xlfn.XLOOKUP(B1402,Códigos!$A$421:$A$483,Códigos!$B$421:$B$483,"Verificar",0)</f>
        <v>0</v>
      </c>
      <c r="E1402" s="444">
        <f>_xlfn.XLOOKUP(C1402,Códigos!$A$11:$A$415,Códigos!$B$11:$B$415,"Verificar",0)</f>
        <v>0</v>
      </c>
      <c r="F1402" s="1286"/>
      <c r="G1402" s="441">
        <v>0</v>
      </c>
      <c r="H1402" s="441">
        <f t="shared" si="41"/>
        <v>633732083</v>
      </c>
      <c r="I1402" s="997"/>
      <c r="K1402" s="19"/>
    </row>
    <row r="1403" spans="1:11" x14ac:dyDescent="0.2">
      <c r="A1403" s="293"/>
      <c r="B1403" s="490"/>
      <c r="C1403" s="288"/>
      <c r="D1403" s="443">
        <f>_xlfn.XLOOKUP(B1403,Códigos!$A$421:$A$483,Códigos!$B$421:$B$483,"Verificar",0)</f>
        <v>0</v>
      </c>
      <c r="E1403" s="444">
        <f>_xlfn.XLOOKUP(C1403,Códigos!$A$11:$A$415,Códigos!$B$11:$B$415,"Verificar",0)</f>
        <v>0</v>
      </c>
      <c r="F1403" s="1286"/>
      <c r="G1403" s="441">
        <v>0</v>
      </c>
      <c r="H1403" s="441">
        <f t="shared" si="41"/>
        <v>633732083</v>
      </c>
      <c r="I1403" s="997"/>
      <c r="K1403" s="19"/>
    </row>
    <row r="1404" spans="1:11" x14ac:dyDescent="0.2">
      <c r="A1404" s="293"/>
      <c r="B1404" s="490"/>
      <c r="C1404" s="288"/>
      <c r="D1404" s="443">
        <f>_xlfn.XLOOKUP(B1404,Códigos!$A$421:$A$483,Códigos!$B$421:$B$483,"Verificar",0)</f>
        <v>0</v>
      </c>
      <c r="E1404" s="444">
        <f>_xlfn.XLOOKUP(C1404,Códigos!$A$11:$A$415,Códigos!$B$11:$B$415,"Verificar",0)</f>
        <v>0</v>
      </c>
      <c r="F1404" s="1286"/>
      <c r="G1404" s="441">
        <v>0</v>
      </c>
      <c r="H1404" s="441">
        <f t="shared" si="41"/>
        <v>633732083</v>
      </c>
      <c r="I1404" s="997"/>
      <c r="K1404" s="19"/>
    </row>
    <row r="1405" spans="1:11" x14ac:dyDescent="0.2">
      <c r="A1405" s="293"/>
      <c r="B1405" s="490"/>
      <c r="C1405" s="288"/>
      <c r="D1405" s="443">
        <f>_xlfn.XLOOKUP(B1405,Códigos!$A$421:$A$483,Códigos!$B$421:$B$483,"Verificar",0)</f>
        <v>0</v>
      </c>
      <c r="E1405" s="444">
        <f>_xlfn.XLOOKUP(C1405,Códigos!$A$11:$A$415,Códigos!$B$11:$B$415,"Verificar",0)</f>
        <v>0</v>
      </c>
      <c r="F1405" s="1286"/>
      <c r="G1405" s="441">
        <v>0</v>
      </c>
      <c r="H1405" s="441">
        <f t="shared" si="41"/>
        <v>633732083</v>
      </c>
      <c r="I1405" s="997"/>
      <c r="K1405" s="19"/>
    </row>
    <row r="1406" spans="1:11" x14ac:dyDescent="0.2">
      <c r="A1406" s="293"/>
      <c r="B1406" s="490"/>
      <c r="C1406" s="288"/>
      <c r="D1406" s="443">
        <f>_xlfn.XLOOKUP(B1406,Códigos!$A$421:$A$483,Códigos!$B$421:$B$483,"Verificar",0)</f>
        <v>0</v>
      </c>
      <c r="E1406" s="444">
        <f>_xlfn.XLOOKUP(C1406,Códigos!$A$11:$A$415,Códigos!$B$11:$B$415,"Verificar",0)</f>
        <v>0</v>
      </c>
      <c r="F1406" s="1286"/>
      <c r="G1406" s="441">
        <v>0</v>
      </c>
      <c r="H1406" s="441">
        <f t="shared" si="41"/>
        <v>633732083</v>
      </c>
      <c r="I1406" s="997"/>
      <c r="K1406" s="19"/>
    </row>
    <row r="1407" spans="1:11" x14ac:dyDescent="0.2">
      <c r="A1407" s="293"/>
      <c r="B1407" s="490"/>
      <c r="C1407" s="288"/>
      <c r="D1407" s="443">
        <f>_xlfn.XLOOKUP(B1407,Códigos!$A$421:$A$483,Códigos!$B$421:$B$483,"Verificar",0)</f>
        <v>0</v>
      </c>
      <c r="E1407" s="444">
        <f>_xlfn.XLOOKUP(C1407,Códigos!$A$11:$A$415,Códigos!$B$11:$B$415,"Verificar",0)</f>
        <v>0</v>
      </c>
      <c r="F1407" s="1286"/>
      <c r="G1407" s="441">
        <v>0</v>
      </c>
      <c r="H1407" s="441">
        <f t="shared" si="41"/>
        <v>633732083</v>
      </c>
      <c r="I1407" s="997"/>
      <c r="K1407" s="19"/>
    </row>
    <row r="1408" spans="1:11" x14ac:dyDescent="0.2">
      <c r="A1408" s="293"/>
      <c r="B1408" s="490"/>
      <c r="C1408" s="288"/>
      <c r="D1408" s="443">
        <f>_xlfn.XLOOKUP(B1408,Códigos!$A$421:$A$483,Códigos!$B$421:$B$483,"Verificar",0)</f>
        <v>0</v>
      </c>
      <c r="E1408" s="444">
        <f>_xlfn.XLOOKUP(C1408,Códigos!$A$11:$A$415,Códigos!$B$11:$B$415,"Verificar",0)</f>
        <v>0</v>
      </c>
      <c r="F1408" s="1286"/>
      <c r="G1408" s="441">
        <v>0</v>
      </c>
      <c r="H1408" s="441">
        <f t="shared" si="41"/>
        <v>633732083</v>
      </c>
      <c r="I1408" s="997"/>
      <c r="K1408" s="19"/>
    </row>
    <row r="1409" spans="1:11" x14ac:dyDescent="0.2">
      <c r="A1409" s="293"/>
      <c r="B1409" s="490"/>
      <c r="C1409" s="288"/>
      <c r="D1409" s="443">
        <f>_xlfn.XLOOKUP(B1409,Códigos!$A$421:$A$483,Códigos!$B$421:$B$483,"Verificar",0)</f>
        <v>0</v>
      </c>
      <c r="E1409" s="444">
        <f>_xlfn.XLOOKUP(C1409,Códigos!$A$11:$A$415,Códigos!$B$11:$B$415,"Verificar",0)</f>
        <v>0</v>
      </c>
      <c r="F1409" s="1286"/>
      <c r="G1409" s="441">
        <v>0</v>
      </c>
      <c r="H1409" s="441">
        <f t="shared" si="41"/>
        <v>633732083</v>
      </c>
      <c r="I1409" s="997"/>
      <c r="K1409" s="19"/>
    </row>
    <row r="1410" spans="1:11" x14ac:dyDescent="0.2">
      <c r="A1410" s="293"/>
      <c r="B1410" s="490"/>
      <c r="C1410" s="288"/>
      <c r="D1410" s="443">
        <f>_xlfn.XLOOKUP(B1410,Códigos!$A$421:$A$483,Códigos!$B$421:$B$483,"Verificar",0)</f>
        <v>0</v>
      </c>
      <c r="E1410" s="444">
        <f>_xlfn.XLOOKUP(C1410,Códigos!$A$11:$A$415,Códigos!$B$11:$B$415,"Verificar",0)</f>
        <v>0</v>
      </c>
      <c r="F1410" s="1286"/>
      <c r="G1410" s="441">
        <v>0</v>
      </c>
      <c r="H1410" s="441">
        <f t="shared" si="41"/>
        <v>633732083</v>
      </c>
      <c r="I1410" s="997"/>
      <c r="K1410" s="19"/>
    </row>
    <row r="1411" spans="1:11" x14ac:dyDescent="0.2">
      <c r="A1411" s="293"/>
      <c r="B1411" s="490"/>
      <c r="C1411" s="288"/>
      <c r="D1411" s="443">
        <f>_xlfn.XLOOKUP(B1411,Códigos!$A$421:$A$483,Códigos!$B$421:$B$483,"Verificar",0)</f>
        <v>0</v>
      </c>
      <c r="E1411" s="444">
        <f>_xlfn.XLOOKUP(C1411,Códigos!$A$11:$A$415,Códigos!$B$11:$B$415,"Verificar",0)</f>
        <v>0</v>
      </c>
      <c r="F1411" s="1286"/>
      <c r="G1411" s="441">
        <v>0</v>
      </c>
      <c r="H1411" s="441">
        <f t="shared" si="41"/>
        <v>633732083</v>
      </c>
      <c r="I1411" s="997"/>
      <c r="K1411" s="19"/>
    </row>
    <row r="1412" spans="1:11" x14ac:dyDescent="0.2">
      <c r="A1412" s="293"/>
      <c r="B1412" s="490"/>
      <c r="C1412" s="288"/>
      <c r="D1412" s="443">
        <f>_xlfn.XLOOKUP(B1412,Códigos!$A$421:$A$483,Códigos!$B$421:$B$483,"Verificar",0)</f>
        <v>0</v>
      </c>
      <c r="E1412" s="444">
        <f>_xlfn.XLOOKUP(C1412,Códigos!$A$11:$A$415,Códigos!$B$11:$B$415,"Verificar",0)</f>
        <v>0</v>
      </c>
      <c r="F1412" s="1286"/>
      <c r="G1412" s="441">
        <v>0</v>
      </c>
      <c r="H1412" s="441">
        <f t="shared" si="41"/>
        <v>633732083</v>
      </c>
      <c r="I1412" s="997"/>
      <c r="K1412" s="19"/>
    </row>
    <row r="1413" spans="1:11" x14ac:dyDescent="0.2">
      <c r="A1413" s="293"/>
      <c r="B1413" s="490"/>
      <c r="C1413" s="288"/>
      <c r="D1413" s="443">
        <f>_xlfn.XLOOKUP(B1413,Códigos!$A$421:$A$483,Códigos!$B$421:$B$483,"Verificar",0)</f>
        <v>0</v>
      </c>
      <c r="E1413" s="444">
        <f>_xlfn.XLOOKUP(C1413,Códigos!$A$11:$A$415,Códigos!$B$11:$B$415,"Verificar",0)</f>
        <v>0</v>
      </c>
      <c r="F1413" s="1286"/>
      <c r="G1413" s="441">
        <v>0</v>
      </c>
      <c r="H1413" s="441">
        <f t="shared" si="41"/>
        <v>633732083</v>
      </c>
      <c r="I1413" s="997"/>
      <c r="K1413" s="19"/>
    </row>
    <row r="1414" spans="1:11" x14ac:dyDescent="0.2">
      <c r="A1414" s="293"/>
      <c r="B1414" s="490"/>
      <c r="C1414" s="288"/>
      <c r="D1414" s="443">
        <f>_xlfn.XLOOKUP(B1414,Códigos!$A$421:$A$483,Códigos!$B$421:$B$483,"Verificar",0)</f>
        <v>0</v>
      </c>
      <c r="E1414" s="444">
        <f>_xlfn.XLOOKUP(C1414,Códigos!$A$11:$A$415,Códigos!$B$11:$B$415,"Verificar",0)</f>
        <v>0</v>
      </c>
      <c r="F1414" s="1286"/>
      <c r="G1414" s="441">
        <v>0</v>
      </c>
      <c r="H1414" s="441">
        <f t="shared" si="41"/>
        <v>633732083</v>
      </c>
      <c r="I1414" s="997"/>
      <c r="K1414" s="19"/>
    </row>
    <row r="1415" spans="1:11" x14ac:dyDescent="0.2">
      <c r="A1415" s="293"/>
      <c r="B1415" s="490"/>
      <c r="C1415" s="288"/>
      <c r="D1415" s="443">
        <f>_xlfn.XLOOKUP(B1415,Códigos!$A$421:$A$483,Códigos!$B$421:$B$483,"Verificar",0)</f>
        <v>0</v>
      </c>
      <c r="E1415" s="444">
        <f>_xlfn.XLOOKUP(C1415,Códigos!$A$11:$A$415,Códigos!$B$11:$B$415,"Verificar",0)</f>
        <v>0</v>
      </c>
      <c r="F1415" s="1286"/>
      <c r="G1415" s="441">
        <v>0</v>
      </c>
      <c r="H1415" s="441">
        <f t="shared" si="41"/>
        <v>633732083</v>
      </c>
      <c r="I1415" s="997"/>
      <c r="K1415" s="19"/>
    </row>
    <row r="1416" spans="1:11" x14ac:dyDescent="0.2">
      <c r="A1416" s="293"/>
      <c r="B1416" s="490"/>
      <c r="C1416" s="288"/>
      <c r="D1416" s="443">
        <f>_xlfn.XLOOKUP(B1416,Códigos!$A$421:$A$483,Códigos!$B$421:$B$483,"Verificar",0)</f>
        <v>0</v>
      </c>
      <c r="E1416" s="444">
        <f>_xlfn.XLOOKUP(C1416,Códigos!$A$11:$A$415,Códigos!$B$11:$B$415,"Verificar",0)</f>
        <v>0</v>
      </c>
      <c r="F1416" s="1286"/>
      <c r="G1416" s="441">
        <v>0</v>
      </c>
      <c r="H1416" s="441">
        <f t="shared" si="41"/>
        <v>633732083</v>
      </c>
      <c r="I1416" s="997"/>
      <c r="K1416" s="19"/>
    </row>
    <row r="1417" spans="1:11" x14ac:dyDescent="0.2">
      <c r="A1417" s="293"/>
      <c r="B1417" s="490"/>
      <c r="C1417" s="288"/>
      <c r="D1417" s="443">
        <f>_xlfn.XLOOKUP(B1417,Códigos!$A$421:$A$483,Códigos!$B$421:$B$483,"Verificar",0)</f>
        <v>0</v>
      </c>
      <c r="E1417" s="444">
        <f>_xlfn.XLOOKUP(C1417,Códigos!$A$11:$A$415,Códigos!$B$11:$B$415,"Verificar",0)</f>
        <v>0</v>
      </c>
      <c r="F1417" s="1286"/>
      <c r="G1417" s="441">
        <v>0</v>
      </c>
      <c r="H1417" s="441">
        <f t="shared" si="41"/>
        <v>633732083</v>
      </c>
      <c r="I1417" s="997"/>
      <c r="K1417" s="19"/>
    </row>
    <row r="1418" spans="1:11" x14ac:dyDescent="0.2">
      <c r="A1418" s="293"/>
      <c r="B1418" s="490"/>
      <c r="C1418" s="288"/>
      <c r="D1418" s="443">
        <f>_xlfn.XLOOKUP(B1418,Códigos!$A$421:$A$483,Códigos!$B$421:$B$483,"Verificar",0)</f>
        <v>0</v>
      </c>
      <c r="E1418" s="444">
        <f>_xlfn.XLOOKUP(C1418,Códigos!$A$11:$A$415,Códigos!$B$11:$B$415,"Verificar",0)</f>
        <v>0</v>
      </c>
      <c r="F1418" s="1286"/>
      <c r="G1418" s="441">
        <v>0</v>
      </c>
      <c r="H1418" s="441">
        <f t="shared" si="41"/>
        <v>633732083</v>
      </c>
      <c r="I1418" s="997"/>
      <c r="K1418" s="19"/>
    </row>
    <row r="1419" spans="1:11" x14ac:dyDescent="0.2">
      <c r="A1419" s="293"/>
      <c r="B1419" s="490"/>
      <c r="C1419" s="288"/>
      <c r="D1419" s="443">
        <f>_xlfn.XLOOKUP(B1419,Códigos!$A$421:$A$483,Códigos!$B$421:$B$483,"Verificar",0)</f>
        <v>0</v>
      </c>
      <c r="E1419" s="444">
        <f>_xlfn.XLOOKUP(C1419,Códigos!$A$11:$A$415,Códigos!$B$11:$B$415,"Verificar",0)</f>
        <v>0</v>
      </c>
      <c r="F1419" s="1286"/>
      <c r="G1419" s="441">
        <v>0</v>
      </c>
      <c r="H1419" s="441">
        <f t="shared" si="41"/>
        <v>633732083</v>
      </c>
      <c r="I1419" s="997"/>
      <c r="K1419" s="19"/>
    </row>
    <row r="1420" spans="1:11" x14ac:dyDescent="0.2">
      <c r="A1420" s="293"/>
      <c r="B1420" s="490"/>
      <c r="C1420" s="288"/>
      <c r="D1420" s="443">
        <f>_xlfn.XLOOKUP(B1420,Códigos!$A$421:$A$483,Códigos!$B$421:$B$483,"Verificar",0)</f>
        <v>0</v>
      </c>
      <c r="E1420" s="444">
        <f>_xlfn.XLOOKUP(C1420,Códigos!$A$11:$A$415,Códigos!$B$11:$B$415,"Verificar",0)</f>
        <v>0</v>
      </c>
      <c r="F1420" s="1286"/>
      <c r="G1420" s="441">
        <v>0</v>
      </c>
      <c r="H1420" s="441">
        <f t="shared" si="41"/>
        <v>633732083</v>
      </c>
      <c r="I1420" s="997"/>
      <c r="K1420" s="19"/>
    </row>
    <row r="1421" spans="1:11" x14ac:dyDescent="0.2">
      <c r="A1421" s="293"/>
      <c r="B1421" s="490"/>
      <c r="C1421" s="288"/>
      <c r="D1421" s="443">
        <f>_xlfn.XLOOKUP(B1421,Códigos!$A$421:$A$483,Códigos!$B$421:$B$483,"Verificar",0)</f>
        <v>0</v>
      </c>
      <c r="E1421" s="444">
        <f>_xlfn.XLOOKUP(C1421,Códigos!$A$11:$A$415,Códigos!$B$11:$B$415,"Verificar",0)</f>
        <v>0</v>
      </c>
      <c r="F1421" s="1286"/>
      <c r="G1421" s="441">
        <v>0</v>
      </c>
      <c r="H1421" s="441">
        <f t="shared" si="41"/>
        <v>633732083</v>
      </c>
      <c r="I1421" s="997"/>
      <c r="K1421" s="19"/>
    </row>
    <row r="1422" spans="1:11" x14ac:dyDescent="0.2">
      <c r="A1422" s="293"/>
      <c r="B1422" s="490"/>
      <c r="C1422" s="288"/>
      <c r="D1422" s="443">
        <f>_xlfn.XLOOKUP(B1422,Códigos!$A$421:$A$483,Códigos!$B$421:$B$483,"Verificar",0)</f>
        <v>0</v>
      </c>
      <c r="E1422" s="444">
        <f>_xlfn.XLOOKUP(C1422,Códigos!$A$11:$A$415,Códigos!$B$11:$B$415,"Verificar",0)</f>
        <v>0</v>
      </c>
      <c r="F1422" s="1286"/>
      <c r="G1422" s="441">
        <v>0</v>
      </c>
      <c r="H1422" s="441">
        <f t="shared" si="41"/>
        <v>633732083</v>
      </c>
      <c r="I1422" s="997"/>
      <c r="K1422" s="19"/>
    </row>
    <row r="1423" spans="1:11" x14ac:dyDescent="0.2">
      <c r="A1423" s="293"/>
      <c r="B1423" s="490"/>
      <c r="C1423" s="288"/>
      <c r="D1423" s="443">
        <f>_xlfn.XLOOKUP(B1423,Códigos!$A$421:$A$483,Códigos!$B$421:$B$483,"Verificar",0)</f>
        <v>0</v>
      </c>
      <c r="E1423" s="444">
        <f>_xlfn.XLOOKUP(C1423,Códigos!$A$11:$A$415,Códigos!$B$11:$B$415,"Verificar",0)</f>
        <v>0</v>
      </c>
      <c r="F1423" s="1286"/>
      <c r="G1423" s="441">
        <v>0</v>
      </c>
      <c r="H1423" s="441">
        <f t="shared" si="41"/>
        <v>633732083</v>
      </c>
      <c r="I1423" s="997"/>
      <c r="K1423" s="19"/>
    </row>
    <row r="1424" spans="1:11" x14ac:dyDescent="0.2">
      <c r="A1424" s="293"/>
      <c r="B1424" s="490"/>
      <c r="C1424" s="288"/>
      <c r="D1424" s="443">
        <f>_xlfn.XLOOKUP(B1424,Códigos!$A$421:$A$483,Códigos!$B$421:$B$483,"Verificar",0)</f>
        <v>0</v>
      </c>
      <c r="E1424" s="444">
        <f>_xlfn.XLOOKUP(C1424,Códigos!$A$11:$A$415,Códigos!$B$11:$B$415,"Verificar",0)</f>
        <v>0</v>
      </c>
      <c r="F1424" s="1286"/>
      <c r="G1424" s="441">
        <v>0</v>
      </c>
      <c r="H1424" s="441">
        <f t="shared" si="41"/>
        <v>633732083</v>
      </c>
      <c r="I1424" s="997"/>
      <c r="K1424" s="19"/>
    </row>
    <row r="1425" spans="1:11" x14ac:dyDescent="0.2">
      <c r="A1425" s="293"/>
      <c r="B1425" s="490"/>
      <c r="C1425" s="288"/>
      <c r="D1425" s="443">
        <f>_xlfn.XLOOKUP(B1425,Códigos!$A$421:$A$483,Códigos!$B$421:$B$483,"Verificar",0)</f>
        <v>0</v>
      </c>
      <c r="E1425" s="444">
        <f>_xlfn.XLOOKUP(C1425,Códigos!$A$11:$A$415,Códigos!$B$11:$B$415,"Verificar",0)</f>
        <v>0</v>
      </c>
      <c r="F1425" s="1286"/>
      <c r="G1425" s="441">
        <v>0</v>
      </c>
      <c r="H1425" s="441">
        <f t="shared" si="41"/>
        <v>633732083</v>
      </c>
      <c r="I1425" s="997"/>
      <c r="K1425" s="19"/>
    </row>
    <row r="1426" spans="1:11" x14ac:dyDescent="0.2">
      <c r="A1426" s="293"/>
      <c r="B1426" s="490"/>
      <c r="C1426" s="288"/>
      <c r="D1426" s="443">
        <f>_xlfn.XLOOKUP(B1426,Códigos!$A$421:$A$483,Códigos!$B$421:$B$483,"Verificar",0)</f>
        <v>0</v>
      </c>
      <c r="E1426" s="444">
        <f>_xlfn.XLOOKUP(C1426,Códigos!$A$11:$A$415,Códigos!$B$11:$B$415,"Verificar",0)</f>
        <v>0</v>
      </c>
      <c r="F1426" s="1286"/>
      <c r="G1426" s="441">
        <v>0</v>
      </c>
      <c r="H1426" s="441">
        <f t="shared" si="41"/>
        <v>633732083</v>
      </c>
      <c r="I1426" s="997"/>
      <c r="K1426" s="19"/>
    </row>
    <row r="1427" spans="1:11" x14ac:dyDescent="0.2">
      <c r="A1427" s="293"/>
      <c r="B1427" s="490"/>
      <c r="C1427" s="288"/>
      <c r="D1427" s="443">
        <f>_xlfn.XLOOKUP(B1427,Códigos!$A$421:$A$483,Códigos!$B$421:$B$483,"Verificar",0)</f>
        <v>0</v>
      </c>
      <c r="E1427" s="444">
        <f>_xlfn.XLOOKUP(C1427,Códigos!$A$11:$A$415,Códigos!$B$11:$B$415,"Verificar",0)</f>
        <v>0</v>
      </c>
      <c r="F1427" s="1286"/>
      <c r="G1427" s="441">
        <v>0</v>
      </c>
      <c r="H1427" s="441">
        <f t="shared" si="41"/>
        <v>633732083</v>
      </c>
      <c r="I1427" s="997"/>
      <c r="K1427" s="19"/>
    </row>
    <row r="1428" spans="1:11" x14ac:dyDescent="0.2">
      <c r="A1428" s="293"/>
      <c r="B1428" s="490"/>
      <c r="C1428" s="288"/>
      <c r="D1428" s="443">
        <f>_xlfn.XLOOKUP(B1428,Códigos!$A$421:$A$483,Códigos!$B$421:$B$483,"Verificar",0)</f>
        <v>0</v>
      </c>
      <c r="E1428" s="444">
        <f>_xlfn.XLOOKUP(C1428,Códigos!$A$11:$A$415,Códigos!$B$11:$B$415,"Verificar",0)</f>
        <v>0</v>
      </c>
      <c r="F1428" s="1286"/>
      <c r="G1428" s="441">
        <v>0</v>
      </c>
      <c r="H1428" s="441">
        <f t="shared" si="41"/>
        <v>633732083</v>
      </c>
      <c r="I1428" s="997"/>
      <c r="K1428" s="19"/>
    </row>
    <row r="1429" spans="1:11" x14ac:dyDescent="0.2">
      <c r="A1429" s="293"/>
      <c r="B1429" s="490"/>
      <c r="C1429" s="288"/>
      <c r="D1429" s="443">
        <f>_xlfn.XLOOKUP(B1429,Códigos!$A$421:$A$483,Códigos!$B$421:$B$483,"Verificar",0)</f>
        <v>0</v>
      </c>
      <c r="E1429" s="444">
        <f>_xlfn.XLOOKUP(C1429,Códigos!$A$11:$A$415,Códigos!$B$11:$B$415,"Verificar",0)</f>
        <v>0</v>
      </c>
      <c r="F1429" s="1286"/>
      <c r="G1429" s="441">
        <v>0</v>
      </c>
      <c r="H1429" s="441">
        <f t="shared" ref="H1429:H1492" si="42">+H1428+G1429</f>
        <v>633732083</v>
      </c>
      <c r="I1429" s="997"/>
      <c r="K1429" s="19"/>
    </row>
    <row r="1430" spans="1:11" x14ac:dyDescent="0.2">
      <c r="A1430" s="293"/>
      <c r="B1430" s="490"/>
      <c r="C1430" s="288"/>
      <c r="D1430" s="443">
        <f>_xlfn.XLOOKUP(B1430,Códigos!$A$421:$A$483,Códigos!$B$421:$B$483,"Verificar",0)</f>
        <v>0</v>
      </c>
      <c r="E1430" s="444">
        <f>_xlfn.XLOOKUP(C1430,Códigos!$A$11:$A$415,Códigos!$B$11:$B$415,"Verificar",0)</f>
        <v>0</v>
      </c>
      <c r="F1430" s="1286"/>
      <c r="G1430" s="441">
        <v>0</v>
      </c>
      <c r="H1430" s="441">
        <f t="shared" si="42"/>
        <v>633732083</v>
      </c>
      <c r="I1430" s="997"/>
      <c r="K1430" s="19"/>
    </row>
    <row r="1431" spans="1:11" x14ac:dyDescent="0.2">
      <c r="A1431" s="293"/>
      <c r="B1431" s="490"/>
      <c r="C1431" s="288"/>
      <c r="D1431" s="443">
        <f>_xlfn.XLOOKUP(B1431,Códigos!$A$421:$A$483,Códigos!$B$421:$B$483,"Verificar",0)</f>
        <v>0</v>
      </c>
      <c r="E1431" s="444">
        <f>_xlfn.XLOOKUP(C1431,Códigos!$A$11:$A$415,Códigos!$B$11:$B$415,"Verificar",0)</f>
        <v>0</v>
      </c>
      <c r="F1431" s="1286"/>
      <c r="G1431" s="441">
        <v>0</v>
      </c>
      <c r="H1431" s="441">
        <f t="shared" si="42"/>
        <v>633732083</v>
      </c>
      <c r="I1431" s="997"/>
      <c r="K1431" s="19"/>
    </row>
    <row r="1432" spans="1:11" x14ac:dyDescent="0.2">
      <c r="A1432" s="293"/>
      <c r="B1432" s="490"/>
      <c r="C1432" s="288"/>
      <c r="D1432" s="443">
        <f>_xlfn.XLOOKUP(B1432,Códigos!$A$421:$A$483,Códigos!$B$421:$B$483,"Verificar",0)</f>
        <v>0</v>
      </c>
      <c r="E1432" s="444">
        <f>_xlfn.XLOOKUP(C1432,Códigos!$A$11:$A$415,Códigos!$B$11:$B$415,"Verificar",0)</f>
        <v>0</v>
      </c>
      <c r="F1432" s="1286"/>
      <c r="G1432" s="441">
        <v>0</v>
      </c>
      <c r="H1432" s="441">
        <f t="shared" si="42"/>
        <v>633732083</v>
      </c>
      <c r="I1432" s="997"/>
      <c r="K1432" s="19"/>
    </row>
    <row r="1433" spans="1:11" x14ac:dyDescent="0.2">
      <c r="A1433" s="293"/>
      <c r="B1433" s="490"/>
      <c r="C1433" s="288"/>
      <c r="D1433" s="443">
        <f>_xlfn.XLOOKUP(B1433,Códigos!$A$421:$A$483,Códigos!$B$421:$B$483,"Verificar",0)</f>
        <v>0</v>
      </c>
      <c r="E1433" s="444">
        <f>_xlfn.XLOOKUP(C1433,Códigos!$A$11:$A$415,Códigos!$B$11:$B$415,"Verificar",0)</f>
        <v>0</v>
      </c>
      <c r="F1433" s="1286"/>
      <c r="G1433" s="441">
        <v>0</v>
      </c>
      <c r="H1433" s="441">
        <f t="shared" si="42"/>
        <v>633732083</v>
      </c>
      <c r="I1433" s="997"/>
      <c r="K1433" s="19"/>
    </row>
    <row r="1434" spans="1:11" x14ac:dyDescent="0.2">
      <c r="A1434" s="293"/>
      <c r="B1434" s="490"/>
      <c r="C1434" s="288"/>
      <c r="D1434" s="443">
        <f>_xlfn.XLOOKUP(B1434,Códigos!$A$421:$A$483,Códigos!$B$421:$B$483,"Verificar",0)</f>
        <v>0</v>
      </c>
      <c r="E1434" s="444">
        <f>_xlfn.XLOOKUP(C1434,Códigos!$A$11:$A$415,Códigos!$B$11:$B$415,"Verificar",0)</f>
        <v>0</v>
      </c>
      <c r="F1434" s="1286"/>
      <c r="G1434" s="441">
        <v>0</v>
      </c>
      <c r="H1434" s="441">
        <f t="shared" si="42"/>
        <v>633732083</v>
      </c>
      <c r="I1434" s="997"/>
      <c r="K1434" s="19"/>
    </row>
    <row r="1435" spans="1:11" x14ac:dyDescent="0.2">
      <c r="A1435" s="293"/>
      <c r="B1435" s="490"/>
      <c r="C1435" s="288"/>
      <c r="D1435" s="443">
        <f>_xlfn.XLOOKUP(B1435,Códigos!$A$421:$A$483,Códigos!$B$421:$B$483,"Verificar",0)</f>
        <v>0</v>
      </c>
      <c r="E1435" s="444">
        <f>_xlfn.XLOOKUP(C1435,Códigos!$A$11:$A$415,Códigos!$B$11:$B$415,"Verificar",0)</f>
        <v>0</v>
      </c>
      <c r="F1435" s="1286"/>
      <c r="G1435" s="441">
        <v>0</v>
      </c>
      <c r="H1435" s="441">
        <f t="shared" si="42"/>
        <v>633732083</v>
      </c>
      <c r="I1435" s="997"/>
      <c r="K1435" s="19"/>
    </row>
    <row r="1436" spans="1:11" x14ac:dyDescent="0.2">
      <c r="A1436" s="293"/>
      <c r="B1436" s="490"/>
      <c r="C1436" s="288"/>
      <c r="D1436" s="443">
        <f>_xlfn.XLOOKUP(B1436,Códigos!$A$421:$A$483,Códigos!$B$421:$B$483,"Verificar",0)</f>
        <v>0</v>
      </c>
      <c r="E1436" s="444">
        <f>_xlfn.XLOOKUP(C1436,Códigos!$A$11:$A$415,Códigos!$B$11:$B$415,"Verificar",0)</f>
        <v>0</v>
      </c>
      <c r="F1436" s="1286"/>
      <c r="G1436" s="441">
        <v>0</v>
      </c>
      <c r="H1436" s="441">
        <f t="shared" si="42"/>
        <v>633732083</v>
      </c>
      <c r="I1436" s="997"/>
      <c r="K1436" s="19"/>
    </row>
    <row r="1437" spans="1:11" x14ac:dyDescent="0.2">
      <c r="A1437" s="293"/>
      <c r="B1437" s="490"/>
      <c r="C1437" s="288"/>
      <c r="D1437" s="443">
        <f>_xlfn.XLOOKUP(B1437,Códigos!$A$421:$A$483,Códigos!$B$421:$B$483,"Verificar",0)</f>
        <v>0</v>
      </c>
      <c r="E1437" s="444">
        <f>_xlfn.XLOOKUP(C1437,Códigos!$A$11:$A$415,Códigos!$B$11:$B$415,"Verificar",0)</f>
        <v>0</v>
      </c>
      <c r="F1437" s="1286"/>
      <c r="G1437" s="441">
        <v>0</v>
      </c>
      <c r="H1437" s="441">
        <f t="shared" si="42"/>
        <v>633732083</v>
      </c>
      <c r="I1437" s="997"/>
      <c r="K1437" s="19"/>
    </row>
    <row r="1438" spans="1:11" x14ac:dyDescent="0.2">
      <c r="A1438" s="293"/>
      <c r="B1438" s="490"/>
      <c r="C1438" s="288"/>
      <c r="D1438" s="443">
        <f>_xlfn.XLOOKUP(B1438,Códigos!$A$421:$A$483,Códigos!$B$421:$B$483,"Verificar",0)</f>
        <v>0</v>
      </c>
      <c r="E1438" s="444">
        <f>_xlfn.XLOOKUP(C1438,Códigos!$A$11:$A$415,Códigos!$B$11:$B$415,"Verificar",0)</f>
        <v>0</v>
      </c>
      <c r="F1438" s="1286"/>
      <c r="G1438" s="441">
        <v>0</v>
      </c>
      <c r="H1438" s="441">
        <f t="shared" si="42"/>
        <v>633732083</v>
      </c>
      <c r="I1438" s="997"/>
      <c r="K1438" s="19"/>
    </row>
    <row r="1439" spans="1:11" x14ac:dyDescent="0.2">
      <c r="A1439" s="293"/>
      <c r="B1439" s="490"/>
      <c r="C1439" s="288"/>
      <c r="D1439" s="443">
        <f>_xlfn.XLOOKUP(B1439,Códigos!$A$421:$A$483,Códigos!$B$421:$B$483,"Verificar",0)</f>
        <v>0</v>
      </c>
      <c r="E1439" s="444">
        <f>_xlfn.XLOOKUP(C1439,Códigos!$A$11:$A$415,Códigos!$B$11:$B$415,"Verificar",0)</f>
        <v>0</v>
      </c>
      <c r="F1439" s="1286"/>
      <c r="G1439" s="441">
        <v>0</v>
      </c>
      <c r="H1439" s="441">
        <f t="shared" si="42"/>
        <v>633732083</v>
      </c>
      <c r="I1439" s="997"/>
      <c r="K1439" s="19"/>
    </row>
    <row r="1440" spans="1:11" x14ac:dyDescent="0.2">
      <c r="A1440" s="293"/>
      <c r="B1440" s="490"/>
      <c r="C1440" s="288"/>
      <c r="D1440" s="443">
        <f>_xlfn.XLOOKUP(B1440,Códigos!$A$421:$A$483,Códigos!$B$421:$B$483,"Verificar",0)</f>
        <v>0</v>
      </c>
      <c r="E1440" s="444">
        <f>_xlfn.XLOOKUP(C1440,Códigos!$A$11:$A$415,Códigos!$B$11:$B$415,"Verificar",0)</f>
        <v>0</v>
      </c>
      <c r="F1440" s="1286"/>
      <c r="G1440" s="441">
        <v>0</v>
      </c>
      <c r="H1440" s="441">
        <f t="shared" si="42"/>
        <v>633732083</v>
      </c>
      <c r="I1440" s="997"/>
      <c r="K1440" s="19"/>
    </row>
    <row r="1441" spans="1:11" x14ac:dyDescent="0.2">
      <c r="A1441" s="293"/>
      <c r="B1441" s="490"/>
      <c r="C1441" s="288"/>
      <c r="D1441" s="443">
        <f>_xlfn.XLOOKUP(B1441,Códigos!$A$421:$A$483,Códigos!$B$421:$B$483,"Verificar",0)</f>
        <v>0</v>
      </c>
      <c r="E1441" s="444">
        <f>_xlfn.XLOOKUP(C1441,Códigos!$A$11:$A$415,Códigos!$B$11:$B$415,"Verificar",0)</f>
        <v>0</v>
      </c>
      <c r="F1441" s="1286"/>
      <c r="G1441" s="441">
        <v>0</v>
      </c>
      <c r="H1441" s="441">
        <f t="shared" si="42"/>
        <v>633732083</v>
      </c>
      <c r="I1441" s="997"/>
      <c r="K1441" s="19"/>
    </row>
    <row r="1442" spans="1:11" x14ac:dyDescent="0.2">
      <c r="A1442" s="293"/>
      <c r="B1442" s="490"/>
      <c r="C1442" s="288"/>
      <c r="D1442" s="443">
        <f>_xlfn.XLOOKUP(B1442,Códigos!$A$421:$A$483,Códigos!$B$421:$B$483,"Verificar",0)</f>
        <v>0</v>
      </c>
      <c r="E1442" s="444">
        <f>_xlfn.XLOOKUP(C1442,Códigos!$A$11:$A$415,Códigos!$B$11:$B$415,"Verificar",0)</f>
        <v>0</v>
      </c>
      <c r="F1442" s="1286"/>
      <c r="G1442" s="441">
        <v>0</v>
      </c>
      <c r="H1442" s="441">
        <f t="shared" si="42"/>
        <v>633732083</v>
      </c>
      <c r="I1442" s="997"/>
      <c r="K1442" s="19"/>
    </row>
    <row r="1443" spans="1:11" x14ac:dyDescent="0.2">
      <c r="A1443" s="293"/>
      <c r="B1443" s="490"/>
      <c r="C1443" s="288"/>
      <c r="D1443" s="443">
        <f>_xlfn.XLOOKUP(B1443,Códigos!$A$421:$A$483,Códigos!$B$421:$B$483,"Verificar",0)</f>
        <v>0</v>
      </c>
      <c r="E1443" s="444">
        <f>_xlfn.XLOOKUP(C1443,Códigos!$A$11:$A$415,Códigos!$B$11:$B$415,"Verificar",0)</f>
        <v>0</v>
      </c>
      <c r="F1443" s="1286"/>
      <c r="G1443" s="441">
        <v>0</v>
      </c>
      <c r="H1443" s="441">
        <f t="shared" si="42"/>
        <v>633732083</v>
      </c>
      <c r="I1443" s="997"/>
      <c r="K1443" s="19"/>
    </row>
    <row r="1444" spans="1:11" x14ac:dyDescent="0.2">
      <c r="A1444" s="293"/>
      <c r="B1444" s="490"/>
      <c r="C1444" s="288"/>
      <c r="D1444" s="443">
        <f>_xlfn.XLOOKUP(B1444,Códigos!$A$421:$A$483,Códigos!$B$421:$B$483,"Verificar",0)</f>
        <v>0</v>
      </c>
      <c r="E1444" s="444">
        <f>_xlfn.XLOOKUP(C1444,Códigos!$A$11:$A$415,Códigos!$B$11:$B$415,"Verificar",0)</f>
        <v>0</v>
      </c>
      <c r="F1444" s="1286"/>
      <c r="G1444" s="441">
        <v>0</v>
      </c>
      <c r="H1444" s="441">
        <f t="shared" si="42"/>
        <v>633732083</v>
      </c>
      <c r="I1444" s="997"/>
      <c r="K1444" s="19"/>
    </row>
    <row r="1445" spans="1:11" x14ac:dyDescent="0.2">
      <c r="A1445" s="293"/>
      <c r="B1445" s="490"/>
      <c r="C1445" s="288"/>
      <c r="D1445" s="443">
        <f>_xlfn.XLOOKUP(B1445,Códigos!$A$421:$A$483,Códigos!$B$421:$B$483,"Verificar",0)</f>
        <v>0</v>
      </c>
      <c r="E1445" s="444">
        <f>_xlfn.XLOOKUP(C1445,Códigos!$A$11:$A$415,Códigos!$B$11:$B$415,"Verificar",0)</f>
        <v>0</v>
      </c>
      <c r="F1445" s="1286"/>
      <c r="G1445" s="441">
        <v>0</v>
      </c>
      <c r="H1445" s="441">
        <f t="shared" si="42"/>
        <v>633732083</v>
      </c>
      <c r="I1445" s="997"/>
      <c r="K1445" s="19"/>
    </row>
    <row r="1446" spans="1:11" x14ac:dyDescent="0.2">
      <c r="A1446" s="293"/>
      <c r="B1446" s="490"/>
      <c r="C1446" s="288"/>
      <c r="D1446" s="443">
        <f>_xlfn.XLOOKUP(B1446,Códigos!$A$421:$A$483,Códigos!$B$421:$B$483,"Verificar",0)</f>
        <v>0</v>
      </c>
      <c r="E1446" s="444">
        <f>_xlfn.XLOOKUP(C1446,Códigos!$A$11:$A$415,Códigos!$B$11:$B$415,"Verificar",0)</f>
        <v>0</v>
      </c>
      <c r="F1446" s="1286"/>
      <c r="G1446" s="441">
        <v>0</v>
      </c>
      <c r="H1446" s="441">
        <f t="shared" si="42"/>
        <v>633732083</v>
      </c>
      <c r="I1446" s="997"/>
      <c r="K1446" s="19"/>
    </row>
    <row r="1447" spans="1:11" x14ac:dyDescent="0.2">
      <c r="A1447" s="293"/>
      <c r="B1447" s="490"/>
      <c r="C1447" s="288"/>
      <c r="D1447" s="443">
        <f>_xlfn.XLOOKUP(B1447,Códigos!$A$421:$A$483,Códigos!$B$421:$B$483,"Verificar",0)</f>
        <v>0</v>
      </c>
      <c r="E1447" s="444">
        <f>_xlfn.XLOOKUP(C1447,Códigos!$A$11:$A$415,Códigos!$B$11:$B$415,"Verificar",0)</f>
        <v>0</v>
      </c>
      <c r="F1447" s="1286"/>
      <c r="G1447" s="441">
        <v>0</v>
      </c>
      <c r="H1447" s="441">
        <f t="shared" si="42"/>
        <v>633732083</v>
      </c>
      <c r="I1447" s="997"/>
      <c r="K1447" s="19"/>
    </row>
    <row r="1448" spans="1:11" x14ac:dyDescent="0.2">
      <c r="A1448" s="293"/>
      <c r="B1448" s="490"/>
      <c r="C1448" s="288"/>
      <c r="D1448" s="443">
        <f>_xlfn.XLOOKUP(B1448,Códigos!$A$421:$A$483,Códigos!$B$421:$B$483,"Verificar",0)</f>
        <v>0</v>
      </c>
      <c r="E1448" s="444">
        <f>_xlfn.XLOOKUP(C1448,Códigos!$A$11:$A$415,Códigos!$B$11:$B$415,"Verificar",0)</f>
        <v>0</v>
      </c>
      <c r="F1448" s="1286"/>
      <c r="G1448" s="441">
        <v>0</v>
      </c>
      <c r="H1448" s="441">
        <f t="shared" si="42"/>
        <v>633732083</v>
      </c>
      <c r="I1448" s="997"/>
      <c r="K1448" s="19"/>
    </row>
    <row r="1449" spans="1:11" x14ac:dyDescent="0.2">
      <c r="A1449" s="293"/>
      <c r="B1449" s="490"/>
      <c r="C1449" s="288"/>
      <c r="D1449" s="443">
        <f>_xlfn.XLOOKUP(B1449,Códigos!$A$421:$A$483,Códigos!$B$421:$B$483,"Verificar",0)</f>
        <v>0</v>
      </c>
      <c r="E1449" s="444">
        <f>_xlfn.XLOOKUP(C1449,Códigos!$A$11:$A$415,Códigos!$B$11:$B$415,"Verificar",0)</f>
        <v>0</v>
      </c>
      <c r="F1449" s="1286"/>
      <c r="G1449" s="441">
        <v>0</v>
      </c>
      <c r="H1449" s="441">
        <f t="shared" si="42"/>
        <v>633732083</v>
      </c>
      <c r="I1449" s="997"/>
      <c r="K1449" s="19"/>
    </row>
    <row r="1450" spans="1:11" x14ac:dyDescent="0.2">
      <c r="A1450" s="293"/>
      <c r="B1450" s="490"/>
      <c r="C1450" s="288"/>
      <c r="D1450" s="443">
        <f>_xlfn.XLOOKUP(B1450,Códigos!$A$421:$A$483,Códigos!$B$421:$B$483,"Verificar",0)</f>
        <v>0</v>
      </c>
      <c r="E1450" s="444">
        <f>_xlfn.XLOOKUP(C1450,Códigos!$A$11:$A$415,Códigos!$B$11:$B$415,"Verificar",0)</f>
        <v>0</v>
      </c>
      <c r="F1450" s="1286"/>
      <c r="G1450" s="441">
        <v>0</v>
      </c>
      <c r="H1450" s="441">
        <f t="shared" si="42"/>
        <v>633732083</v>
      </c>
      <c r="I1450" s="997"/>
      <c r="K1450" s="19"/>
    </row>
    <row r="1451" spans="1:11" x14ac:dyDescent="0.2">
      <c r="A1451" s="293"/>
      <c r="B1451" s="490"/>
      <c r="C1451" s="288"/>
      <c r="D1451" s="443">
        <f>_xlfn.XLOOKUP(B1451,Códigos!$A$421:$A$483,Códigos!$B$421:$B$483,"Verificar",0)</f>
        <v>0</v>
      </c>
      <c r="E1451" s="444">
        <f>_xlfn.XLOOKUP(C1451,Códigos!$A$11:$A$415,Códigos!$B$11:$B$415,"Verificar",0)</f>
        <v>0</v>
      </c>
      <c r="F1451" s="1286"/>
      <c r="G1451" s="441">
        <v>0</v>
      </c>
      <c r="H1451" s="441">
        <f t="shared" si="42"/>
        <v>633732083</v>
      </c>
      <c r="I1451" s="997"/>
      <c r="K1451" s="19"/>
    </row>
    <row r="1452" spans="1:11" x14ac:dyDescent="0.2">
      <c r="A1452" s="293"/>
      <c r="B1452" s="490"/>
      <c r="C1452" s="288"/>
      <c r="D1452" s="443">
        <f>_xlfn.XLOOKUP(B1452,Códigos!$A$421:$A$483,Códigos!$B$421:$B$483,"Verificar",0)</f>
        <v>0</v>
      </c>
      <c r="E1452" s="444">
        <f>_xlfn.XLOOKUP(C1452,Códigos!$A$11:$A$415,Códigos!$B$11:$B$415,"Verificar",0)</f>
        <v>0</v>
      </c>
      <c r="F1452" s="1286"/>
      <c r="G1452" s="441">
        <v>0</v>
      </c>
      <c r="H1452" s="441">
        <f t="shared" si="42"/>
        <v>633732083</v>
      </c>
      <c r="I1452" s="997"/>
      <c r="K1452" s="19"/>
    </row>
    <row r="1453" spans="1:11" x14ac:dyDescent="0.2">
      <c r="A1453" s="293"/>
      <c r="B1453" s="490"/>
      <c r="C1453" s="288"/>
      <c r="D1453" s="443">
        <f>_xlfn.XLOOKUP(B1453,Códigos!$A$421:$A$483,Códigos!$B$421:$B$483,"Verificar",0)</f>
        <v>0</v>
      </c>
      <c r="E1453" s="444">
        <f>_xlfn.XLOOKUP(C1453,Códigos!$A$11:$A$415,Códigos!$B$11:$B$415,"Verificar",0)</f>
        <v>0</v>
      </c>
      <c r="F1453" s="1286"/>
      <c r="G1453" s="441">
        <v>0</v>
      </c>
      <c r="H1453" s="441">
        <f t="shared" si="42"/>
        <v>633732083</v>
      </c>
      <c r="I1453" s="997"/>
      <c r="K1453" s="19"/>
    </row>
    <row r="1454" spans="1:11" x14ac:dyDescent="0.2">
      <c r="A1454" s="293"/>
      <c r="B1454" s="490"/>
      <c r="C1454" s="288"/>
      <c r="D1454" s="443">
        <f>_xlfn.XLOOKUP(B1454,Códigos!$A$421:$A$483,Códigos!$B$421:$B$483,"Verificar",0)</f>
        <v>0</v>
      </c>
      <c r="E1454" s="444">
        <f>_xlfn.XLOOKUP(C1454,Códigos!$A$11:$A$415,Códigos!$B$11:$B$415,"Verificar",0)</f>
        <v>0</v>
      </c>
      <c r="F1454" s="1286"/>
      <c r="G1454" s="441">
        <v>0</v>
      </c>
      <c r="H1454" s="441">
        <f t="shared" si="42"/>
        <v>633732083</v>
      </c>
      <c r="I1454" s="997"/>
      <c r="K1454" s="19"/>
    </row>
    <row r="1455" spans="1:11" x14ac:dyDescent="0.2">
      <c r="A1455" s="293"/>
      <c r="B1455" s="490"/>
      <c r="C1455" s="288"/>
      <c r="D1455" s="443">
        <f>_xlfn.XLOOKUP(B1455,Códigos!$A$421:$A$483,Códigos!$B$421:$B$483,"Verificar",0)</f>
        <v>0</v>
      </c>
      <c r="E1455" s="444">
        <f>_xlfn.XLOOKUP(C1455,Códigos!$A$11:$A$415,Códigos!$B$11:$B$415,"Verificar",0)</f>
        <v>0</v>
      </c>
      <c r="F1455" s="1286"/>
      <c r="G1455" s="441">
        <v>0</v>
      </c>
      <c r="H1455" s="441">
        <f t="shared" si="42"/>
        <v>633732083</v>
      </c>
      <c r="I1455" s="997"/>
      <c r="K1455" s="19"/>
    </row>
    <row r="1456" spans="1:11" x14ac:dyDescent="0.2">
      <c r="A1456" s="293"/>
      <c r="B1456" s="490"/>
      <c r="C1456" s="288"/>
      <c r="D1456" s="443">
        <f>_xlfn.XLOOKUP(B1456,Códigos!$A$421:$A$483,Códigos!$B$421:$B$483,"Verificar",0)</f>
        <v>0</v>
      </c>
      <c r="E1456" s="444">
        <f>_xlfn.XLOOKUP(C1456,Códigos!$A$11:$A$415,Códigos!$B$11:$B$415,"Verificar",0)</f>
        <v>0</v>
      </c>
      <c r="F1456" s="1286"/>
      <c r="G1456" s="441">
        <v>0</v>
      </c>
      <c r="H1456" s="441">
        <f t="shared" si="42"/>
        <v>633732083</v>
      </c>
      <c r="I1456" s="997"/>
      <c r="K1456" s="19"/>
    </row>
    <row r="1457" spans="1:11" x14ac:dyDescent="0.2">
      <c r="A1457" s="293"/>
      <c r="B1457" s="490"/>
      <c r="C1457" s="288"/>
      <c r="D1457" s="443">
        <f>_xlfn.XLOOKUP(B1457,Códigos!$A$421:$A$483,Códigos!$B$421:$B$483,"Verificar",0)</f>
        <v>0</v>
      </c>
      <c r="E1457" s="444">
        <f>_xlfn.XLOOKUP(C1457,Códigos!$A$11:$A$415,Códigos!$B$11:$B$415,"Verificar",0)</f>
        <v>0</v>
      </c>
      <c r="F1457" s="1286"/>
      <c r="G1457" s="441">
        <v>0</v>
      </c>
      <c r="H1457" s="441">
        <f t="shared" si="42"/>
        <v>633732083</v>
      </c>
      <c r="I1457" s="997"/>
      <c r="K1457" s="19"/>
    </row>
    <row r="1458" spans="1:11" x14ac:dyDescent="0.2">
      <c r="A1458" s="293"/>
      <c r="B1458" s="490"/>
      <c r="C1458" s="288"/>
      <c r="D1458" s="443">
        <f>_xlfn.XLOOKUP(B1458,Códigos!$A$421:$A$483,Códigos!$B$421:$B$483,"Verificar",0)</f>
        <v>0</v>
      </c>
      <c r="E1458" s="444">
        <f>_xlfn.XLOOKUP(C1458,Códigos!$A$11:$A$415,Códigos!$B$11:$B$415,"Verificar",0)</f>
        <v>0</v>
      </c>
      <c r="F1458" s="1286"/>
      <c r="G1458" s="441">
        <v>0</v>
      </c>
      <c r="H1458" s="441">
        <f t="shared" si="42"/>
        <v>633732083</v>
      </c>
      <c r="I1458" s="997"/>
      <c r="K1458" s="19"/>
    </row>
    <row r="1459" spans="1:11" x14ac:dyDescent="0.2">
      <c r="A1459" s="293"/>
      <c r="B1459" s="490"/>
      <c r="C1459" s="288"/>
      <c r="D1459" s="443">
        <f>_xlfn.XLOOKUP(B1459,Códigos!$A$421:$A$483,Códigos!$B$421:$B$483,"Verificar",0)</f>
        <v>0</v>
      </c>
      <c r="E1459" s="444">
        <f>_xlfn.XLOOKUP(C1459,Códigos!$A$11:$A$415,Códigos!$B$11:$B$415,"Verificar",0)</f>
        <v>0</v>
      </c>
      <c r="F1459" s="1286"/>
      <c r="G1459" s="441">
        <v>0</v>
      </c>
      <c r="H1459" s="441">
        <f t="shared" si="42"/>
        <v>633732083</v>
      </c>
      <c r="I1459" s="997"/>
      <c r="K1459" s="19"/>
    </row>
    <row r="1460" spans="1:11" x14ac:dyDescent="0.2">
      <c r="A1460" s="293"/>
      <c r="B1460" s="490"/>
      <c r="C1460" s="288"/>
      <c r="D1460" s="443">
        <f>_xlfn.XLOOKUP(B1460,Códigos!$A$421:$A$483,Códigos!$B$421:$B$483,"Verificar",0)</f>
        <v>0</v>
      </c>
      <c r="E1460" s="444">
        <f>_xlfn.XLOOKUP(C1460,Códigos!$A$11:$A$415,Códigos!$B$11:$B$415,"Verificar",0)</f>
        <v>0</v>
      </c>
      <c r="F1460" s="1286"/>
      <c r="G1460" s="441">
        <v>0</v>
      </c>
      <c r="H1460" s="441">
        <f t="shared" si="42"/>
        <v>633732083</v>
      </c>
      <c r="I1460" s="997"/>
      <c r="K1460" s="19"/>
    </row>
    <row r="1461" spans="1:11" x14ac:dyDescent="0.2">
      <c r="A1461" s="293"/>
      <c r="B1461" s="490"/>
      <c r="C1461" s="288"/>
      <c r="D1461" s="443">
        <f>_xlfn.XLOOKUP(B1461,Códigos!$A$421:$A$483,Códigos!$B$421:$B$483,"Verificar",0)</f>
        <v>0</v>
      </c>
      <c r="E1461" s="444">
        <f>_xlfn.XLOOKUP(C1461,Códigos!$A$11:$A$415,Códigos!$B$11:$B$415,"Verificar",0)</f>
        <v>0</v>
      </c>
      <c r="F1461" s="1286"/>
      <c r="G1461" s="441">
        <v>0</v>
      </c>
      <c r="H1461" s="441">
        <f t="shared" si="42"/>
        <v>633732083</v>
      </c>
      <c r="I1461" s="997"/>
      <c r="K1461" s="19"/>
    </row>
    <row r="1462" spans="1:11" x14ac:dyDescent="0.2">
      <c r="A1462" s="293"/>
      <c r="B1462" s="490"/>
      <c r="C1462" s="288"/>
      <c r="D1462" s="443">
        <f>_xlfn.XLOOKUP(B1462,Códigos!$A$421:$A$483,Códigos!$B$421:$B$483,"Verificar",0)</f>
        <v>0</v>
      </c>
      <c r="E1462" s="444">
        <f>_xlfn.XLOOKUP(C1462,Códigos!$A$11:$A$415,Códigos!$B$11:$B$415,"Verificar",0)</f>
        <v>0</v>
      </c>
      <c r="F1462" s="1286"/>
      <c r="G1462" s="441">
        <v>0</v>
      </c>
      <c r="H1462" s="441">
        <f t="shared" si="42"/>
        <v>633732083</v>
      </c>
      <c r="I1462" s="997"/>
      <c r="K1462" s="19"/>
    </row>
    <row r="1463" spans="1:11" x14ac:dyDescent="0.2">
      <c r="A1463" s="293"/>
      <c r="B1463" s="490"/>
      <c r="C1463" s="288"/>
      <c r="D1463" s="443">
        <f>_xlfn.XLOOKUP(B1463,Códigos!$A$421:$A$483,Códigos!$B$421:$B$483,"Verificar",0)</f>
        <v>0</v>
      </c>
      <c r="E1463" s="444">
        <f>_xlfn.XLOOKUP(C1463,Códigos!$A$11:$A$415,Códigos!$B$11:$B$415,"Verificar",0)</f>
        <v>0</v>
      </c>
      <c r="F1463" s="1286"/>
      <c r="G1463" s="441">
        <v>0</v>
      </c>
      <c r="H1463" s="441">
        <f t="shared" si="42"/>
        <v>633732083</v>
      </c>
      <c r="I1463" s="997"/>
      <c r="K1463" s="19"/>
    </row>
    <row r="1464" spans="1:11" x14ac:dyDescent="0.2">
      <c r="A1464" s="293"/>
      <c r="B1464" s="490"/>
      <c r="C1464" s="288"/>
      <c r="D1464" s="443">
        <f>_xlfn.XLOOKUP(B1464,Códigos!$A$421:$A$483,Códigos!$B$421:$B$483,"Verificar",0)</f>
        <v>0</v>
      </c>
      <c r="E1464" s="444">
        <f>_xlfn.XLOOKUP(C1464,Códigos!$A$11:$A$415,Códigos!$B$11:$B$415,"Verificar",0)</f>
        <v>0</v>
      </c>
      <c r="F1464" s="1286"/>
      <c r="G1464" s="441">
        <v>0</v>
      </c>
      <c r="H1464" s="441">
        <f t="shared" si="42"/>
        <v>633732083</v>
      </c>
      <c r="I1464" s="997"/>
      <c r="K1464" s="19"/>
    </row>
    <row r="1465" spans="1:11" x14ac:dyDescent="0.2">
      <c r="A1465" s="293"/>
      <c r="B1465" s="490"/>
      <c r="C1465" s="288"/>
      <c r="D1465" s="443">
        <f>_xlfn.XLOOKUP(B1465,Códigos!$A$421:$A$483,Códigos!$B$421:$B$483,"Verificar",0)</f>
        <v>0</v>
      </c>
      <c r="E1465" s="444">
        <f>_xlfn.XLOOKUP(C1465,Códigos!$A$11:$A$415,Códigos!$B$11:$B$415,"Verificar",0)</f>
        <v>0</v>
      </c>
      <c r="F1465" s="1286"/>
      <c r="G1465" s="441">
        <v>0</v>
      </c>
      <c r="H1465" s="441">
        <f t="shared" si="42"/>
        <v>633732083</v>
      </c>
      <c r="I1465" s="997"/>
      <c r="K1465" s="19"/>
    </row>
    <row r="1466" spans="1:11" x14ac:dyDescent="0.2">
      <c r="A1466" s="293"/>
      <c r="B1466" s="490"/>
      <c r="C1466" s="288"/>
      <c r="D1466" s="443">
        <f>_xlfn.XLOOKUP(B1466,Códigos!$A$421:$A$483,Códigos!$B$421:$B$483,"Verificar",0)</f>
        <v>0</v>
      </c>
      <c r="E1466" s="444">
        <f>_xlfn.XLOOKUP(C1466,Códigos!$A$11:$A$415,Códigos!$B$11:$B$415,"Verificar",0)</f>
        <v>0</v>
      </c>
      <c r="F1466" s="1286"/>
      <c r="G1466" s="441">
        <v>0</v>
      </c>
      <c r="H1466" s="441">
        <f t="shared" si="42"/>
        <v>633732083</v>
      </c>
      <c r="I1466" s="997"/>
      <c r="K1466" s="19"/>
    </row>
    <row r="1467" spans="1:11" x14ac:dyDescent="0.2">
      <c r="A1467" s="293"/>
      <c r="B1467" s="490"/>
      <c r="C1467" s="288"/>
      <c r="D1467" s="443">
        <f>_xlfn.XLOOKUP(B1467,Códigos!$A$421:$A$483,Códigos!$B$421:$B$483,"Verificar",0)</f>
        <v>0</v>
      </c>
      <c r="E1467" s="444">
        <f>_xlfn.XLOOKUP(C1467,Códigos!$A$11:$A$415,Códigos!$B$11:$B$415,"Verificar",0)</f>
        <v>0</v>
      </c>
      <c r="F1467" s="1286"/>
      <c r="G1467" s="441">
        <v>0</v>
      </c>
      <c r="H1467" s="441">
        <f t="shared" si="42"/>
        <v>633732083</v>
      </c>
      <c r="I1467" s="997"/>
      <c r="K1467" s="19"/>
    </row>
    <row r="1468" spans="1:11" x14ac:dyDescent="0.2">
      <c r="A1468" s="293"/>
      <c r="B1468" s="490"/>
      <c r="C1468" s="288"/>
      <c r="D1468" s="443">
        <f>_xlfn.XLOOKUP(B1468,Códigos!$A$421:$A$483,Códigos!$B$421:$B$483,"Verificar",0)</f>
        <v>0</v>
      </c>
      <c r="E1468" s="444">
        <f>_xlfn.XLOOKUP(C1468,Códigos!$A$11:$A$415,Códigos!$B$11:$B$415,"Verificar",0)</f>
        <v>0</v>
      </c>
      <c r="F1468" s="1286"/>
      <c r="G1468" s="441">
        <v>0</v>
      </c>
      <c r="H1468" s="441">
        <f t="shared" si="42"/>
        <v>633732083</v>
      </c>
      <c r="I1468" s="997"/>
      <c r="K1468" s="19"/>
    </row>
    <row r="1469" spans="1:11" x14ac:dyDescent="0.2">
      <c r="A1469" s="293"/>
      <c r="B1469" s="490"/>
      <c r="C1469" s="288"/>
      <c r="D1469" s="443">
        <f>_xlfn.XLOOKUP(B1469,Códigos!$A$421:$A$483,Códigos!$B$421:$B$483,"Verificar",0)</f>
        <v>0</v>
      </c>
      <c r="E1469" s="444">
        <f>_xlfn.XLOOKUP(C1469,Códigos!$A$11:$A$415,Códigos!$B$11:$B$415,"Verificar",0)</f>
        <v>0</v>
      </c>
      <c r="F1469" s="1286"/>
      <c r="G1469" s="441">
        <v>0</v>
      </c>
      <c r="H1469" s="441">
        <f t="shared" si="42"/>
        <v>633732083</v>
      </c>
      <c r="I1469" s="997"/>
      <c r="K1469" s="19"/>
    </row>
    <row r="1470" spans="1:11" x14ac:dyDescent="0.2">
      <c r="A1470" s="293"/>
      <c r="B1470" s="490"/>
      <c r="C1470" s="288"/>
      <c r="D1470" s="443">
        <f>_xlfn.XLOOKUP(B1470,Códigos!$A$421:$A$483,Códigos!$B$421:$B$483,"Verificar",0)</f>
        <v>0</v>
      </c>
      <c r="E1470" s="444">
        <f>_xlfn.XLOOKUP(C1470,Códigos!$A$11:$A$415,Códigos!$B$11:$B$415,"Verificar",0)</f>
        <v>0</v>
      </c>
      <c r="F1470" s="1286"/>
      <c r="G1470" s="441">
        <v>0</v>
      </c>
      <c r="H1470" s="441">
        <f t="shared" si="42"/>
        <v>633732083</v>
      </c>
      <c r="I1470" s="997"/>
      <c r="K1470" s="19"/>
    </row>
    <row r="1471" spans="1:11" x14ac:dyDescent="0.2">
      <c r="A1471" s="293"/>
      <c r="B1471" s="490"/>
      <c r="C1471" s="288"/>
      <c r="D1471" s="443">
        <f>_xlfn.XLOOKUP(B1471,Códigos!$A$421:$A$483,Códigos!$B$421:$B$483,"Verificar",0)</f>
        <v>0</v>
      </c>
      <c r="E1471" s="444">
        <f>_xlfn.XLOOKUP(C1471,Códigos!$A$11:$A$415,Códigos!$B$11:$B$415,"Verificar",0)</f>
        <v>0</v>
      </c>
      <c r="F1471" s="1286"/>
      <c r="G1471" s="441">
        <v>0</v>
      </c>
      <c r="H1471" s="441">
        <f t="shared" si="42"/>
        <v>633732083</v>
      </c>
      <c r="I1471" s="997"/>
      <c r="K1471" s="19"/>
    </row>
    <row r="1472" spans="1:11" x14ac:dyDescent="0.2">
      <c r="A1472" s="293"/>
      <c r="B1472" s="490"/>
      <c r="C1472" s="288"/>
      <c r="D1472" s="443">
        <f>_xlfn.XLOOKUP(B1472,Códigos!$A$421:$A$483,Códigos!$B$421:$B$483,"Verificar",0)</f>
        <v>0</v>
      </c>
      <c r="E1472" s="444">
        <f>_xlfn.XLOOKUP(C1472,Códigos!$A$11:$A$415,Códigos!$B$11:$B$415,"Verificar",0)</f>
        <v>0</v>
      </c>
      <c r="F1472" s="1286"/>
      <c r="G1472" s="441">
        <v>0</v>
      </c>
      <c r="H1472" s="441">
        <f t="shared" si="42"/>
        <v>633732083</v>
      </c>
      <c r="I1472" s="997"/>
      <c r="K1472" s="19"/>
    </row>
    <row r="1473" spans="1:11" x14ac:dyDescent="0.2">
      <c r="A1473" s="293"/>
      <c r="B1473" s="490"/>
      <c r="C1473" s="288"/>
      <c r="D1473" s="443">
        <f>_xlfn.XLOOKUP(B1473,Códigos!$A$421:$A$483,Códigos!$B$421:$B$483,"Verificar",0)</f>
        <v>0</v>
      </c>
      <c r="E1473" s="444">
        <f>_xlfn.XLOOKUP(C1473,Códigos!$A$11:$A$415,Códigos!$B$11:$B$415,"Verificar",0)</f>
        <v>0</v>
      </c>
      <c r="F1473" s="1286"/>
      <c r="G1473" s="441">
        <v>0</v>
      </c>
      <c r="H1473" s="441">
        <f t="shared" si="42"/>
        <v>633732083</v>
      </c>
      <c r="I1473" s="997"/>
      <c r="K1473" s="19"/>
    </row>
    <row r="1474" spans="1:11" x14ac:dyDescent="0.2">
      <c r="A1474" s="293"/>
      <c r="B1474" s="490"/>
      <c r="C1474" s="288"/>
      <c r="D1474" s="443">
        <f>_xlfn.XLOOKUP(B1474,Códigos!$A$421:$A$483,Códigos!$B$421:$B$483,"Verificar",0)</f>
        <v>0</v>
      </c>
      <c r="E1474" s="444">
        <f>_xlfn.XLOOKUP(C1474,Códigos!$A$11:$A$415,Códigos!$B$11:$B$415,"Verificar",0)</f>
        <v>0</v>
      </c>
      <c r="F1474" s="1286"/>
      <c r="G1474" s="441">
        <v>0</v>
      </c>
      <c r="H1474" s="441">
        <f t="shared" si="42"/>
        <v>633732083</v>
      </c>
      <c r="I1474" s="997"/>
      <c r="K1474" s="19"/>
    </row>
    <row r="1475" spans="1:11" x14ac:dyDescent="0.2">
      <c r="A1475" s="293"/>
      <c r="B1475" s="490"/>
      <c r="C1475" s="288"/>
      <c r="D1475" s="443">
        <f>_xlfn.XLOOKUP(B1475,Códigos!$A$421:$A$483,Códigos!$B$421:$B$483,"Verificar",0)</f>
        <v>0</v>
      </c>
      <c r="E1475" s="444">
        <f>_xlfn.XLOOKUP(C1475,Códigos!$A$11:$A$415,Códigos!$B$11:$B$415,"Verificar",0)</f>
        <v>0</v>
      </c>
      <c r="F1475" s="1286"/>
      <c r="G1475" s="441">
        <v>0</v>
      </c>
      <c r="H1475" s="441">
        <f t="shared" si="42"/>
        <v>633732083</v>
      </c>
      <c r="I1475" s="997"/>
      <c r="K1475" s="19"/>
    </row>
    <row r="1476" spans="1:11" x14ac:dyDescent="0.2">
      <c r="A1476" s="293"/>
      <c r="B1476" s="490"/>
      <c r="C1476" s="288"/>
      <c r="D1476" s="443">
        <f>_xlfn.XLOOKUP(B1476,Códigos!$A$421:$A$483,Códigos!$B$421:$B$483,"Verificar",0)</f>
        <v>0</v>
      </c>
      <c r="E1476" s="444">
        <f>_xlfn.XLOOKUP(C1476,Códigos!$A$11:$A$415,Códigos!$B$11:$B$415,"Verificar",0)</f>
        <v>0</v>
      </c>
      <c r="F1476" s="1286"/>
      <c r="G1476" s="441">
        <v>0</v>
      </c>
      <c r="H1476" s="441">
        <f t="shared" si="42"/>
        <v>633732083</v>
      </c>
      <c r="I1476" s="997"/>
      <c r="K1476" s="19"/>
    </row>
    <row r="1477" spans="1:11" x14ac:dyDescent="0.2">
      <c r="A1477" s="293"/>
      <c r="B1477" s="490"/>
      <c r="C1477" s="288"/>
      <c r="D1477" s="443">
        <f>_xlfn.XLOOKUP(B1477,Códigos!$A$421:$A$483,Códigos!$B$421:$B$483,"Verificar",0)</f>
        <v>0</v>
      </c>
      <c r="E1477" s="444">
        <f>_xlfn.XLOOKUP(C1477,Códigos!$A$11:$A$415,Códigos!$B$11:$B$415,"Verificar",0)</f>
        <v>0</v>
      </c>
      <c r="F1477" s="1286"/>
      <c r="G1477" s="441">
        <v>0</v>
      </c>
      <c r="H1477" s="441">
        <f t="shared" si="42"/>
        <v>633732083</v>
      </c>
      <c r="I1477" s="997"/>
      <c r="K1477" s="19"/>
    </row>
    <row r="1478" spans="1:11" x14ac:dyDescent="0.2">
      <c r="A1478" s="293"/>
      <c r="B1478" s="490"/>
      <c r="C1478" s="288"/>
      <c r="D1478" s="443">
        <f>_xlfn.XLOOKUP(B1478,Códigos!$A$421:$A$483,Códigos!$B$421:$B$483,"Verificar",0)</f>
        <v>0</v>
      </c>
      <c r="E1478" s="444">
        <f>_xlfn.XLOOKUP(C1478,Códigos!$A$11:$A$415,Códigos!$B$11:$B$415,"Verificar",0)</f>
        <v>0</v>
      </c>
      <c r="F1478" s="1286"/>
      <c r="G1478" s="441">
        <v>0</v>
      </c>
      <c r="H1478" s="441">
        <f t="shared" si="42"/>
        <v>633732083</v>
      </c>
      <c r="I1478" s="997"/>
      <c r="K1478" s="19"/>
    </row>
    <row r="1479" spans="1:11" x14ac:dyDescent="0.2">
      <c r="A1479" s="293"/>
      <c r="B1479" s="490"/>
      <c r="C1479" s="288"/>
      <c r="D1479" s="443">
        <f>_xlfn.XLOOKUP(B1479,Códigos!$A$421:$A$483,Códigos!$B$421:$B$483,"Verificar",0)</f>
        <v>0</v>
      </c>
      <c r="E1479" s="444">
        <f>_xlfn.XLOOKUP(C1479,Códigos!$A$11:$A$415,Códigos!$B$11:$B$415,"Verificar",0)</f>
        <v>0</v>
      </c>
      <c r="F1479" s="1286"/>
      <c r="G1479" s="441">
        <v>0</v>
      </c>
      <c r="H1479" s="441">
        <f t="shared" si="42"/>
        <v>633732083</v>
      </c>
      <c r="I1479" s="997"/>
      <c r="K1479" s="19"/>
    </row>
    <row r="1480" spans="1:11" x14ac:dyDescent="0.2">
      <c r="A1480" s="293"/>
      <c r="B1480" s="490"/>
      <c r="C1480" s="288"/>
      <c r="D1480" s="443">
        <f>_xlfn.XLOOKUP(B1480,Códigos!$A$421:$A$483,Códigos!$B$421:$B$483,"Verificar",0)</f>
        <v>0</v>
      </c>
      <c r="E1480" s="444">
        <f>_xlfn.XLOOKUP(C1480,Códigos!$A$11:$A$415,Códigos!$B$11:$B$415,"Verificar",0)</f>
        <v>0</v>
      </c>
      <c r="F1480" s="1286"/>
      <c r="G1480" s="441">
        <v>0</v>
      </c>
      <c r="H1480" s="441">
        <f t="shared" si="42"/>
        <v>633732083</v>
      </c>
      <c r="I1480" s="997"/>
      <c r="K1480" s="19"/>
    </row>
    <row r="1481" spans="1:11" x14ac:dyDescent="0.2">
      <c r="A1481" s="293"/>
      <c r="B1481" s="490"/>
      <c r="C1481" s="288"/>
      <c r="D1481" s="443">
        <f>_xlfn.XLOOKUP(B1481,Códigos!$A$421:$A$483,Códigos!$B$421:$B$483,"Verificar",0)</f>
        <v>0</v>
      </c>
      <c r="E1481" s="444">
        <f>_xlfn.XLOOKUP(C1481,Códigos!$A$11:$A$415,Códigos!$B$11:$B$415,"Verificar",0)</f>
        <v>0</v>
      </c>
      <c r="F1481" s="1286"/>
      <c r="G1481" s="441">
        <v>0</v>
      </c>
      <c r="H1481" s="441">
        <f t="shared" si="42"/>
        <v>633732083</v>
      </c>
      <c r="I1481" s="997"/>
      <c r="K1481" s="19"/>
    </row>
    <row r="1482" spans="1:11" x14ac:dyDescent="0.2">
      <c r="A1482" s="293"/>
      <c r="B1482" s="490"/>
      <c r="C1482" s="288"/>
      <c r="D1482" s="443">
        <f>_xlfn.XLOOKUP(B1482,Códigos!$A$421:$A$483,Códigos!$B$421:$B$483,"Verificar",0)</f>
        <v>0</v>
      </c>
      <c r="E1482" s="444">
        <f>_xlfn.XLOOKUP(C1482,Códigos!$A$11:$A$415,Códigos!$B$11:$B$415,"Verificar",0)</f>
        <v>0</v>
      </c>
      <c r="F1482" s="1286"/>
      <c r="G1482" s="441">
        <v>0</v>
      </c>
      <c r="H1482" s="441">
        <f t="shared" si="42"/>
        <v>633732083</v>
      </c>
      <c r="I1482" s="997"/>
      <c r="K1482" s="19"/>
    </row>
    <row r="1483" spans="1:11" x14ac:dyDescent="0.2">
      <c r="A1483" s="293"/>
      <c r="B1483" s="490"/>
      <c r="C1483" s="288"/>
      <c r="D1483" s="443">
        <f>_xlfn.XLOOKUP(B1483,Códigos!$A$421:$A$483,Códigos!$B$421:$B$483,"Verificar",0)</f>
        <v>0</v>
      </c>
      <c r="E1483" s="444">
        <f>_xlfn.XLOOKUP(C1483,Códigos!$A$11:$A$415,Códigos!$B$11:$B$415,"Verificar",0)</f>
        <v>0</v>
      </c>
      <c r="F1483" s="1286"/>
      <c r="G1483" s="441">
        <v>0</v>
      </c>
      <c r="H1483" s="441">
        <f t="shared" si="42"/>
        <v>633732083</v>
      </c>
      <c r="I1483" s="997"/>
      <c r="K1483" s="19"/>
    </row>
    <row r="1484" spans="1:11" x14ac:dyDescent="0.2">
      <c r="A1484" s="293"/>
      <c r="B1484" s="490"/>
      <c r="C1484" s="288"/>
      <c r="D1484" s="443">
        <f>_xlfn.XLOOKUP(B1484,Códigos!$A$421:$A$483,Códigos!$B$421:$B$483,"Verificar",0)</f>
        <v>0</v>
      </c>
      <c r="E1484" s="444">
        <f>_xlfn.XLOOKUP(C1484,Códigos!$A$11:$A$415,Códigos!$B$11:$B$415,"Verificar",0)</f>
        <v>0</v>
      </c>
      <c r="F1484" s="1286"/>
      <c r="G1484" s="441">
        <v>0</v>
      </c>
      <c r="H1484" s="441">
        <f t="shared" si="42"/>
        <v>633732083</v>
      </c>
      <c r="I1484" s="997"/>
      <c r="K1484" s="19"/>
    </row>
    <row r="1485" spans="1:11" x14ac:dyDescent="0.2">
      <c r="A1485" s="293"/>
      <c r="B1485" s="490"/>
      <c r="C1485" s="288"/>
      <c r="D1485" s="443">
        <f>_xlfn.XLOOKUP(B1485,Códigos!$A$421:$A$483,Códigos!$B$421:$B$483,"Verificar",0)</f>
        <v>0</v>
      </c>
      <c r="E1485" s="444">
        <f>_xlfn.XLOOKUP(C1485,Códigos!$A$11:$A$415,Códigos!$B$11:$B$415,"Verificar",0)</f>
        <v>0</v>
      </c>
      <c r="F1485" s="1286"/>
      <c r="G1485" s="441">
        <v>0</v>
      </c>
      <c r="H1485" s="441">
        <f t="shared" si="42"/>
        <v>633732083</v>
      </c>
      <c r="I1485" s="997"/>
      <c r="K1485" s="19"/>
    </row>
    <row r="1486" spans="1:11" x14ac:dyDescent="0.2">
      <c r="A1486" s="293"/>
      <c r="B1486" s="490"/>
      <c r="C1486" s="288"/>
      <c r="D1486" s="443">
        <f>_xlfn.XLOOKUP(B1486,Códigos!$A$421:$A$483,Códigos!$B$421:$B$483,"Verificar",0)</f>
        <v>0</v>
      </c>
      <c r="E1486" s="444">
        <f>_xlfn.XLOOKUP(C1486,Códigos!$A$11:$A$415,Códigos!$B$11:$B$415,"Verificar",0)</f>
        <v>0</v>
      </c>
      <c r="F1486" s="1286"/>
      <c r="G1486" s="441">
        <v>0</v>
      </c>
      <c r="H1486" s="441">
        <f t="shared" si="42"/>
        <v>633732083</v>
      </c>
      <c r="I1486" s="997"/>
      <c r="K1486" s="19"/>
    </row>
    <row r="1487" spans="1:11" x14ac:dyDescent="0.2">
      <c r="A1487" s="293"/>
      <c r="B1487" s="490"/>
      <c r="C1487" s="288"/>
      <c r="D1487" s="443">
        <f>_xlfn.XLOOKUP(B1487,Códigos!$A$421:$A$483,Códigos!$B$421:$B$483,"Verificar",0)</f>
        <v>0</v>
      </c>
      <c r="E1487" s="444">
        <f>_xlfn.XLOOKUP(C1487,Códigos!$A$11:$A$415,Códigos!$B$11:$B$415,"Verificar",0)</f>
        <v>0</v>
      </c>
      <c r="F1487" s="1286"/>
      <c r="G1487" s="441">
        <v>0</v>
      </c>
      <c r="H1487" s="441">
        <f t="shared" si="42"/>
        <v>633732083</v>
      </c>
      <c r="I1487" s="997"/>
      <c r="K1487" s="19"/>
    </row>
    <row r="1488" spans="1:11" x14ac:dyDescent="0.2">
      <c r="A1488" s="293"/>
      <c r="B1488" s="490"/>
      <c r="C1488" s="288"/>
      <c r="D1488" s="443">
        <f>_xlfn.XLOOKUP(B1488,Códigos!$A$421:$A$483,Códigos!$B$421:$B$483,"Verificar",0)</f>
        <v>0</v>
      </c>
      <c r="E1488" s="444">
        <f>_xlfn.XLOOKUP(C1488,Códigos!$A$11:$A$415,Códigos!$B$11:$B$415,"Verificar",0)</f>
        <v>0</v>
      </c>
      <c r="F1488" s="1286"/>
      <c r="G1488" s="441">
        <v>0</v>
      </c>
      <c r="H1488" s="441">
        <f t="shared" si="42"/>
        <v>633732083</v>
      </c>
      <c r="I1488" s="997"/>
      <c r="K1488" s="19"/>
    </row>
    <row r="1489" spans="1:11" x14ac:dyDescent="0.2">
      <c r="A1489" s="293"/>
      <c r="B1489" s="490"/>
      <c r="C1489" s="288"/>
      <c r="D1489" s="443">
        <f>_xlfn.XLOOKUP(B1489,Códigos!$A$421:$A$483,Códigos!$B$421:$B$483,"Verificar",0)</f>
        <v>0</v>
      </c>
      <c r="E1489" s="444">
        <f>_xlfn.XLOOKUP(C1489,Códigos!$A$11:$A$415,Códigos!$B$11:$B$415,"Verificar",0)</f>
        <v>0</v>
      </c>
      <c r="F1489" s="1286"/>
      <c r="G1489" s="441">
        <v>0</v>
      </c>
      <c r="H1489" s="441">
        <f t="shared" si="42"/>
        <v>633732083</v>
      </c>
      <c r="I1489" s="997"/>
      <c r="K1489" s="19"/>
    </row>
    <row r="1490" spans="1:11" x14ac:dyDescent="0.2">
      <c r="A1490" s="293"/>
      <c r="B1490" s="490"/>
      <c r="C1490" s="288"/>
      <c r="D1490" s="443">
        <f>_xlfn.XLOOKUP(B1490,Códigos!$A$421:$A$483,Códigos!$B$421:$B$483,"Verificar",0)</f>
        <v>0</v>
      </c>
      <c r="E1490" s="444">
        <f>_xlfn.XLOOKUP(C1490,Códigos!$A$11:$A$415,Códigos!$B$11:$B$415,"Verificar",0)</f>
        <v>0</v>
      </c>
      <c r="F1490" s="1286"/>
      <c r="G1490" s="441">
        <v>0</v>
      </c>
      <c r="H1490" s="441">
        <f t="shared" si="42"/>
        <v>633732083</v>
      </c>
      <c r="I1490" s="997"/>
      <c r="K1490" s="19"/>
    </row>
    <row r="1491" spans="1:11" x14ac:dyDescent="0.2">
      <c r="A1491" s="293"/>
      <c r="B1491" s="490"/>
      <c r="C1491" s="288"/>
      <c r="D1491" s="443">
        <f>_xlfn.XLOOKUP(B1491,Códigos!$A$421:$A$483,Códigos!$B$421:$B$483,"Verificar",0)</f>
        <v>0</v>
      </c>
      <c r="E1491" s="444">
        <f>_xlfn.XLOOKUP(C1491,Códigos!$A$11:$A$415,Códigos!$B$11:$B$415,"Verificar",0)</f>
        <v>0</v>
      </c>
      <c r="F1491" s="1286"/>
      <c r="G1491" s="441">
        <v>0</v>
      </c>
      <c r="H1491" s="441">
        <f t="shared" si="42"/>
        <v>633732083</v>
      </c>
      <c r="I1491" s="997"/>
      <c r="K1491" s="19"/>
    </row>
    <row r="1492" spans="1:11" x14ac:dyDescent="0.2">
      <c r="A1492" s="293"/>
      <c r="B1492" s="490"/>
      <c r="C1492" s="288"/>
      <c r="D1492" s="443">
        <f>_xlfn.XLOOKUP(B1492,Códigos!$A$421:$A$483,Códigos!$B$421:$B$483,"Verificar",0)</f>
        <v>0</v>
      </c>
      <c r="E1492" s="444">
        <f>_xlfn.XLOOKUP(C1492,Códigos!$A$11:$A$415,Códigos!$B$11:$B$415,"Verificar",0)</f>
        <v>0</v>
      </c>
      <c r="F1492" s="1286"/>
      <c r="G1492" s="441">
        <v>0</v>
      </c>
      <c r="H1492" s="441">
        <f t="shared" si="42"/>
        <v>633732083</v>
      </c>
      <c r="I1492" s="997"/>
      <c r="K1492" s="19"/>
    </row>
    <row r="1493" spans="1:11" x14ac:dyDescent="0.2">
      <c r="A1493" s="293"/>
      <c r="B1493" s="490"/>
      <c r="C1493" s="288"/>
      <c r="D1493" s="443">
        <f>_xlfn.XLOOKUP(B1493,Códigos!$A$421:$A$483,Códigos!$B$421:$B$483,"Verificar",0)</f>
        <v>0</v>
      </c>
      <c r="E1493" s="444">
        <f>_xlfn.XLOOKUP(C1493,Códigos!$A$11:$A$415,Códigos!$B$11:$B$415,"Verificar",0)</f>
        <v>0</v>
      </c>
      <c r="F1493" s="1286"/>
      <c r="G1493" s="441">
        <v>0</v>
      </c>
      <c r="H1493" s="441">
        <f t="shared" ref="H1493:H1556" si="43">+H1492+G1493</f>
        <v>633732083</v>
      </c>
      <c r="I1493" s="997"/>
      <c r="K1493" s="19"/>
    </row>
    <row r="1494" spans="1:11" x14ac:dyDescent="0.2">
      <c r="A1494" s="293"/>
      <c r="B1494" s="490"/>
      <c r="C1494" s="288"/>
      <c r="D1494" s="443">
        <f>_xlfn.XLOOKUP(B1494,Códigos!$A$421:$A$483,Códigos!$B$421:$B$483,"Verificar",0)</f>
        <v>0</v>
      </c>
      <c r="E1494" s="444">
        <f>_xlfn.XLOOKUP(C1494,Códigos!$A$11:$A$415,Códigos!$B$11:$B$415,"Verificar",0)</f>
        <v>0</v>
      </c>
      <c r="F1494" s="1286"/>
      <c r="G1494" s="441">
        <v>0</v>
      </c>
      <c r="H1494" s="441">
        <f t="shared" si="43"/>
        <v>633732083</v>
      </c>
      <c r="I1494" s="997"/>
      <c r="K1494" s="19"/>
    </row>
    <row r="1495" spans="1:11" x14ac:dyDescent="0.2">
      <c r="A1495" s="293"/>
      <c r="B1495" s="490"/>
      <c r="C1495" s="288"/>
      <c r="D1495" s="443">
        <f>_xlfn.XLOOKUP(B1495,Códigos!$A$421:$A$483,Códigos!$B$421:$B$483,"Verificar",0)</f>
        <v>0</v>
      </c>
      <c r="E1495" s="444">
        <f>_xlfn.XLOOKUP(C1495,Códigos!$A$11:$A$415,Códigos!$B$11:$B$415,"Verificar",0)</f>
        <v>0</v>
      </c>
      <c r="F1495" s="1286"/>
      <c r="G1495" s="441">
        <v>0</v>
      </c>
      <c r="H1495" s="441">
        <f t="shared" si="43"/>
        <v>633732083</v>
      </c>
      <c r="I1495" s="997"/>
      <c r="K1495" s="19"/>
    </row>
    <row r="1496" spans="1:11" x14ac:dyDescent="0.2">
      <c r="A1496" s="293"/>
      <c r="B1496" s="490"/>
      <c r="C1496" s="288"/>
      <c r="D1496" s="443">
        <f>_xlfn.XLOOKUP(B1496,Códigos!$A$421:$A$483,Códigos!$B$421:$B$483,"Verificar",0)</f>
        <v>0</v>
      </c>
      <c r="E1496" s="444">
        <f>_xlfn.XLOOKUP(C1496,Códigos!$A$11:$A$415,Códigos!$B$11:$B$415,"Verificar",0)</f>
        <v>0</v>
      </c>
      <c r="F1496" s="1286"/>
      <c r="G1496" s="441">
        <v>0</v>
      </c>
      <c r="H1496" s="441">
        <f t="shared" si="43"/>
        <v>633732083</v>
      </c>
      <c r="I1496" s="997"/>
      <c r="K1496" s="19"/>
    </row>
    <row r="1497" spans="1:11" x14ac:dyDescent="0.2">
      <c r="A1497" s="293"/>
      <c r="B1497" s="490"/>
      <c r="C1497" s="288"/>
      <c r="D1497" s="443">
        <f>_xlfn.XLOOKUP(B1497,Códigos!$A$421:$A$483,Códigos!$B$421:$B$483,"Verificar",0)</f>
        <v>0</v>
      </c>
      <c r="E1497" s="444">
        <f>_xlfn.XLOOKUP(C1497,Códigos!$A$11:$A$415,Códigos!$B$11:$B$415,"Verificar",0)</f>
        <v>0</v>
      </c>
      <c r="F1497" s="1286"/>
      <c r="G1497" s="441">
        <v>0</v>
      </c>
      <c r="H1497" s="441">
        <f t="shared" si="43"/>
        <v>633732083</v>
      </c>
      <c r="I1497" s="997"/>
      <c r="K1497" s="19"/>
    </row>
    <row r="1498" spans="1:11" x14ac:dyDescent="0.2">
      <c r="A1498" s="293"/>
      <c r="B1498" s="490"/>
      <c r="C1498" s="288"/>
      <c r="D1498" s="443">
        <f>_xlfn.XLOOKUP(B1498,Códigos!$A$421:$A$483,Códigos!$B$421:$B$483,"Verificar",0)</f>
        <v>0</v>
      </c>
      <c r="E1498" s="444">
        <f>_xlfn.XLOOKUP(C1498,Códigos!$A$11:$A$415,Códigos!$B$11:$B$415,"Verificar",0)</f>
        <v>0</v>
      </c>
      <c r="F1498" s="1286"/>
      <c r="G1498" s="441">
        <v>0</v>
      </c>
      <c r="H1498" s="441">
        <f t="shared" si="43"/>
        <v>633732083</v>
      </c>
      <c r="I1498" s="997"/>
      <c r="K1498" s="19"/>
    </row>
    <row r="1499" spans="1:11" x14ac:dyDescent="0.2">
      <c r="A1499" s="293"/>
      <c r="B1499" s="490"/>
      <c r="C1499" s="288"/>
      <c r="D1499" s="443">
        <f>_xlfn.XLOOKUP(B1499,Códigos!$A$421:$A$483,Códigos!$B$421:$B$483,"Verificar",0)</f>
        <v>0</v>
      </c>
      <c r="E1499" s="444">
        <f>_xlfn.XLOOKUP(C1499,Códigos!$A$11:$A$415,Códigos!$B$11:$B$415,"Verificar",0)</f>
        <v>0</v>
      </c>
      <c r="F1499" s="1286"/>
      <c r="G1499" s="441">
        <v>0</v>
      </c>
      <c r="H1499" s="441">
        <f t="shared" si="43"/>
        <v>633732083</v>
      </c>
      <c r="I1499" s="997"/>
      <c r="K1499" s="19"/>
    </row>
    <row r="1500" spans="1:11" x14ac:dyDescent="0.2">
      <c r="A1500" s="293"/>
      <c r="B1500" s="490"/>
      <c r="C1500" s="288"/>
      <c r="D1500" s="443">
        <f>_xlfn.XLOOKUP(B1500,Códigos!$A$421:$A$483,Códigos!$B$421:$B$483,"Verificar",0)</f>
        <v>0</v>
      </c>
      <c r="E1500" s="444">
        <f>_xlfn.XLOOKUP(C1500,Códigos!$A$11:$A$415,Códigos!$B$11:$B$415,"Verificar",0)</f>
        <v>0</v>
      </c>
      <c r="F1500" s="1286"/>
      <c r="G1500" s="441">
        <v>0</v>
      </c>
      <c r="H1500" s="441">
        <f t="shared" si="43"/>
        <v>633732083</v>
      </c>
      <c r="I1500" s="997"/>
      <c r="K1500" s="19"/>
    </row>
    <row r="1501" spans="1:11" x14ac:dyDescent="0.2">
      <c r="A1501" s="293"/>
      <c r="B1501" s="490"/>
      <c r="C1501" s="288"/>
      <c r="D1501" s="443">
        <f>_xlfn.XLOOKUP(B1501,Códigos!$A$421:$A$483,Códigos!$B$421:$B$483,"Verificar",0)</f>
        <v>0</v>
      </c>
      <c r="E1501" s="444">
        <f>_xlfn.XLOOKUP(C1501,Códigos!$A$11:$A$415,Códigos!$B$11:$B$415,"Verificar",0)</f>
        <v>0</v>
      </c>
      <c r="F1501" s="1286"/>
      <c r="G1501" s="441">
        <v>0</v>
      </c>
      <c r="H1501" s="441">
        <f t="shared" si="43"/>
        <v>633732083</v>
      </c>
      <c r="I1501" s="997"/>
      <c r="K1501" s="19"/>
    </row>
    <row r="1502" spans="1:11" x14ac:dyDescent="0.2">
      <c r="A1502" s="293"/>
      <c r="B1502" s="490"/>
      <c r="C1502" s="288"/>
      <c r="D1502" s="443">
        <f>_xlfn.XLOOKUP(B1502,Códigos!$A$421:$A$483,Códigos!$B$421:$B$483,"Verificar",0)</f>
        <v>0</v>
      </c>
      <c r="E1502" s="444">
        <f>_xlfn.XLOOKUP(C1502,Códigos!$A$11:$A$415,Códigos!$B$11:$B$415,"Verificar",0)</f>
        <v>0</v>
      </c>
      <c r="F1502" s="1286"/>
      <c r="G1502" s="441">
        <v>0</v>
      </c>
      <c r="H1502" s="441">
        <f t="shared" si="43"/>
        <v>633732083</v>
      </c>
      <c r="I1502" s="997"/>
      <c r="K1502" s="19"/>
    </row>
    <row r="1503" spans="1:11" x14ac:dyDescent="0.2">
      <c r="A1503" s="293"/>
      <c r="B1503" s="490"/>
      <c r="C1503" s="288"/>
      <c r="D1503" s="443">
        <f>_xlfn.XLOOKUP(B1503,Códigos!$A$421:$A$483,Códigos!$B$421:$B$483,"Verificar",0)</f>
        <v>0</v>
      </c>
      <c r="E1503" s="444">
        <f>_xlfn.XLOOKUP(C1503,Códigos!$A$11:$A$415,Códigos!$B$11:$B$415,"Verificar",0)</f>
        <v>0</v>
      </c>
      <c r="F1503" s="1286"/>
      <c r="G1503" s="441">
        <v>0</v>
      </c>
      <c r="H1503" s="441">
        <f t="shared" si="43"/>
        <v>633732083</v>
      </c>
      <c r="I1503" s="997"/>
      <c r="K1503" s="19"/>
    </row>
    <row r="1504" spans="1:11" x14ac:dyDescent="0.2">
      <c r="A1504" s="293"/>
      <c r="B1504" s="490"/>
      <c r="C1504" s="288"/>
      <c r="D1504" s="443">
        <f>_xlfn.XLOOKUP(B1504,Códigos!$A$421:$A$483,Códigos!$B$421:$B$483,"Verificar",0)</f>
        <v>0</v>
      </c>
      <c r="E1504" s="444">
        <f>_xlfn.XLOOKUP(C1504,Códigos!$A$11:$A$415,Códigos!$B$11:$B$415,"Verificar",0)</f>
        <v>0</v>
      </c>
      <c r="F1504" s="1286"/>
      <c r="G1504" s="441">
        <v>0</v>
      </c>
      <c r="H1504" s="441">
        <f t="shared" si="43"/>
        <v>633732083</v>
      </c>
      <c r="I1504" s="997"/>
      <c r="K1504" s="19"/>
    </row>
    <row r="1505" spans="1:11" x14ac:dyDescent="0.2">
      <c r="A1505" s="293"/>
      <c r="B1505" s="490"/>
      <c r="C1505" s="288"/>
      <c r="D1505" s="443">
        <f>_xlfn.XLOOKUP(B1505,Códigos!$A$421:$A$483,Códigos!$B$421:$B$483,"Verificar",0)</f>
        <v>0</v>
      </c>
      <c r="E1505" s="444">
        <f>_xlfn.XLOOKUP(C1505,Códigos!$A$11:$A$415,Códigos!$B$11:$B$415,"Verificar",0)</f>
        <v>0</v>
      </c>
      <c r="F1505" s="1286"/>
      <c r="G1505" s="441">
        <v>0</v>
      </c>
      <c r="H1505" s="441">
        <f t="shared" si="43"/>
        <v>633732083</v>
      </c>
      <c r="I1505" s="997"/>
      <c r="K1505" s="19"/>
    </row>
    <row r="1506" spans="1:11" x14ac:dyDescent="0.2">
      <c r="A1506" s="293"/>
      <c r="B1506" s="490"/>
      <c r="C1506" s="288"/>
      <c r="D1506" s="443">
        <f>_xlfn.XLOOKUP(B1506,Códigos!$A$421:$A$483,Códigos!$B$421:$B$483,"Verificar",0)</f>
        <v>0</v>
      </c>
      <c r="E1506" s="444">
        <f>_xlfn.XLOOKUP(C1506,Códigos!$A$11:$A$415,Códigos!$B$11:$B$415,"Verificar",0)</f>
        <v>0</v>
      </c>
      <c r="F1506" s="1286"/>
      <c r="G1506" s="441">
        <v>0</v>
      </c>
      <c r="H1506" s="441">
        <f t="shared" si="43"/>
        <v>633732083</v>
      </c>
      <c r="I1506" s="997"/>
      <c r="K1506" s="19"/>
    </row>
    <row r="1507" spans="1:11" x14ac:dyDescent="0.2">
      <c r="A1507" s="293"/>
      <c r="B1507" s="490"/>
      <c r="C1507" s="288"/>
      <c r="D1507" s="443">
        <f>_xlfn.XLOOKUP(B1507,Códigos!$A$421:$A$483,Códigos!$B$421:$B$483,"Verificar",0)</f>
        <v>0</v>
      </c>
      <c r="E1507" s="444">
        <f>_xlfn.XLOOKUP(C1507,Códigos!$A$11:$A$415,Códigos!$B$11:$B$415,"Verificar",0)</f>
        <v>0</v>
      </c>
      <c r="F1507" s="1286"/>
      <c r="G1507" s="441">
        <v>0</v>
      </c>
      <c r="H1507" s="441">
        <f t="shared" si="43"/>
        <v>633732083</v>
      </c>
      <c r="I1507" s="997"/>
      <c r="K1507" s="19"/>
    </row>
    <row r="1508" spans="1:11" x14ac:dyDescent="0.2">
      <c r="A1508" s="293"/>
      <c r="B1508" s="490"/>
      <c r="C1508" s="288"/>
      <c r="D1508" s="443">
        <f>_xlfn.XLOOKUP(B1508,Códigos!$A$421:$A$483,Códigos!$B$421:$B$483,"Verificar",0)</f>
        <v>0</v>
      </c>
      <c r="E1508" s="444">
        <f>_xlfn.XLOOKUP(C1508,Códigos!$A$11:$A$415,Códigos!$B$11:$B$415,"Verificar",0)</f>
        <v>0</v>
      </c>
      <c r="F1508" s="1286"/>
      <c r="G1508" s="441">
        <v>0</v>
      </c>
      <c r="H1508" s="441">
        <f t="shared" si="43"/>
        <v>633732083</v>
      </c>
      <c r="I1508" s="997"/>
      <c r="K1508" s="19"/>
    </row>
    <row r="1509" spans="1:11" x14ac:dyDescent="0.2">
      <c r="A1509" s="293"/>
      <c r="B1509" s="490"/>
      <c r="C1509" s="288"/>
      <c r="D1509" s="443">
        <f>_xlfn.XLOOKUP(B1509,Códigos!$A$421:$A$483,Códigos!$B$421:$B$483,"Verificar",0)</f>
        <v>0</v>
      </c>
      <c r="E1509" s="444">
        <f>_xlfn.XLOOKUP(C1509,Códigos!$A$11:$A$415,Códigos!$B$11:$B$415,"Verificar",0)</f>
        <v>0</v>
      </c>
      <c r="F1509" s="1286"/>
      <c r="G1509" s="441">
        <v>0</v>
      </c>
      <c r="H1509" s="441">
        <f t="shared" si="43"/>
        <v>633732083</v>
      </c>
      <c r="I1509" s="997"/>
      <c r="K1509" s="19"/>
    </row>
    <row r="1510" spans="1:11" x14ac:dyDescent="0.2">
      <c r="A1510" s="293"/>
      <c r="B1510" s="490"/>
      <c r="C1510" s="288"/>
      <c r="D1510" s="443">
        <f>_xlfn.XLOOKUP(B1510,Códigos!$A$421:$A$483,Códigos!$B$421:$B$483,"Verificar",0)</f>
        <v>0</v>
      </c>
      <c r="E1510" s="444">
        <f>_xlfn.XLOOKUP(C1510,Códigos!$A$11:$A$415,Códigos!$B$11:$B$415,"Verificar",0)</f>
        <v>0</v>
      </c>
      <c r="F1510" s="1286"/>
      <c r="G1510" s="441">
        <v>0</v>
      </c>
      <c r="H1510" s="441">
        <f t="shared" si="43"/>
        <v>633732083</v>
      </c>
      <c r="I1510" s="997"/>
      <c r="K1510" s="19"/>
    </row>
    <row r="1511" spans="1:11" x14ac:dyDescent="0.2">
      <c r="A1511" s="293"/>
      <c r="B1511" s="490"/>
      <c r="C1511" s="288"/>
      <c r="D1511" s="443">
        <f>_xlfn.XLOOKUP(B1511,Códigos!$A$421:$A$483,Códigos!$B$421:$B$483,"Verificar",0)</f>
        <v>0</v>
      </c>
      <c r="E1511" s="444">
        <f>_xlfn.XLOOKUP(C1511,Códigos!$A$11:$A$415,Códigos!$B$11:$B$415,"Verificar",0)</f>
        <v>0</v>
      </c>
      <c r="F1511" s="1286"/>
      <c r="G1511" s="441">
        <v>0</v>
      </c>
      <c r="H1511" s="441">
        <f t="shared" si="43"/>
        <v>633732083</v>
      </c>
      <c r="I1511" s="997"/>
      <c r="K1511" s="19"/>
    </row>
    <row r="1512" spans="1:11" x14ac:dyDescent="0.2">
      <c r="A1512" s="293"/>
      <c r="B1512" s="490"/>
      <c r="C1512" s="288"/>
      <c r="D1512" s="443">
        <f>_xlfn.XLOOKUP(B1512,Códigos!$A$421:$A$483,Códigos!$B$421:$B$483,"Verificar",0)</f>
        <v>0</v>
      </c>
      <c r="E1512" s="444">
        <f>_xlfn.XLOOKUP(C1512,Códigos!$A$11:$A$415,Códigos!$B$11:$B$415,"Verificar",0)</f>
        <v>0</v>
      </c>
      <c r="F1512" s="1286"/>
      <c r="G1512" s="441">
        <v>0</v>
      </c>
      <c r="H1512" s="441">
        <f t="shared" si="43"/>
        <v>633732083</v>
      </c>
      <c r="I1512" s="997"/>
      <c r="K1512" s="19"/>
    </row>
    <row r="1513" spans="1:11" x14ac:dyDescent="0.2">
      <c r="A1513" s="293"/>
      <c r="B1513" s="490"/>
      <c r="C1513" s="288"/>
      <c r="D1513" s="443">
        <f>_xlfn.XLOOKUP(B1513,Códigos!$A$421:$A$483,Códigos!$B$421:$B$483,"Verificar",0)</f>
        <v>0</v>
      </c>
      <c r="E1513" s="444">
        <f>_xlfn.XLOOKUP(C1513,Códigos!$A$11:$A$415,Códigos!$B$11:$B$415,"Verificar",0)</f>
        <v>0</v>
      </c>
      <c r="F1513" s="1286"/>
      <c r="G1513" s="441">
        <v>0</v>
      </c>
      <c r="H1513" s="441">
        <f t="shared" si="43"/>
        <v>633732083</v>
      </c>
      <c r="I1513" s="997"/>
      <c r="K1513" s="19"/>
    </row>
    <row r="1514" spans="1:11" x14ac:dyDescent="0.2">
      <c r="A1514" s="293"/>
      <c r="B1514" s="490"/>
      <c r="C1514" s="288"/>
      <c r="D1514" s="443">
        <f>_xlfn.XLOOKUP(B1514,Códigos!$A$421:$A$483,Códigos!$B$421:$B$483,"Verificar",0)</f>
        <v>0</v>
      </c>
      <c r="E1514" s="444">
        <f>_xlfn.XLOOKUP(C1514,Códigos!$A$11:$A$415,Códigos!$B$11:$B$415,"Verificar",0)</f>
        <v>0</v>
      </c>
      <c r="F1514" s="1286"/>
      <c r="G1514" s="441">
        <v>0</v>
      </c>
      <c r="H1514" s="441">
        <f t="shared" si="43"/>
        <v>633732083</v>
      </c>
      <c r="I1514" s="997"/>
      <c r="K1514" s="19"/>
    </row>
    <row r="1515" spans="1:11" x14ac:dyDescent="0.2">
      <c r="A1515" s="293"/>
      <c r="B1515" s="490"/>
      <c r="C1515" s="288"/>
      <c r="D1515" s="443">
        <f>_xlfn.XLOOKUP(B1515,Códigos!$A$421:$A$483,Códigos!$B$421:$B$483,"Verificar",0)</f>
        <v>0</v>
      </c>
      <c r="E1515" s="444">
        <f>_xlfn.XLOOKUP(C1515,Códigos!$A$11:$A$415,Códigos!$B$11:$B$415,"Verificar",0)</f>
        <v>0</v>
      </c>
      <c r="F1515" s="1286"/>
      <c r="G1515" s="441">
        <v>0</v>
      </c>
      <c r="H1515" s="441">
        <f t="shared" si="43"/>
        <v>633732083</v>
      </c>
      <c r="I1515" s="997"/>
      <c r="K1515" s="19"/>
    </row>
    <row r="1516" spans="1:11" x14ac:dyDescent="0.2">
      <c r="A1516" s="293"/>
      <c r="B1516" s="490"/>
      <c r="C1516" s="288"/>
      <c r="D1516" s="443">
        <f>_xlfn.XLOOKUP(B1516,Códigos!$A$421:$A$483,Códigos!$B$421:$B$483,"Verificar",0)</f>
        <v>0</v>
      </c>
      <c r="E1516" s="444">
        <f>_xlfn.XLOOKUP(C1516,Códigos!$A$11:$A$415,Códigos!$B$11:$B$415,"Verificar",0)</f>
        <v>0</v>
      </c>
      <c r="F1516" s="1286"/>
      <c r="G1516" s="441">
        <v>0</v>
      </c>
      <c r="H1516" s="441">
        <f t="shared" si="43"/>
        <v>633732083</v>
      </c>
      <c r="I1516" s="997"/>
      <c r="K1516" s="19"/>
    </row>
    <row r="1517" spans="1:11" x14ac:dyDescent="0.2">
      <c r="A1517" s="293"/>
      <c r="B1517" s="490"/>
      <c r="C1517" s="288"/>
      <c r="D1517" s="443">
        <f>_xlfn.XLOOKUP(B1517,Códigos!$A$421:$A$483,Códigos!$B$421:$B$483,"Verificar",0)</f>
        <v>0</v>
      </c>
      <c r="E1517" s="444">
        <f>_xlfn.XLOOKUP(C1517,Códigos!$A$11:$A$415,Códigos!$B$11:$B$415,"Verificar",0)</f>
        <v>0</v>
      </c>
      <c r="F1517" s="1286"/>
      <c r="G1517" s="441">
        <v>0</v>
      </c>
      <c r="H1517" s="441">
        <f t="shared" si="43"/>
        <v>633732083</v>
      </c>
      <c r="I1517" s="997"/>
      <c r="K1517" s="19"/>
    </row>
    <row r="1518" spans="1:11" x14ac:dyDescent="0.2">
      <c r="A1518" s="293"/>
      <c r="B1518" s="490"/>
      <c r="C1518" s="288"/>
      <c r="D1518" s="443">
        <f>_xlfn.XLOOKUP(B1518,Códigos!$A$421:$A$483,Códigos!$B$421:$B$483,"Verificar",0)</f>
        <v>0</v>
      </c>
      <c r="E1518" s="444">
        <f>_xlfn.XLOOKUP(C1518,Códigos!$A$11:$A$415,Códigos!$B$11:$B$415,"Verificar",0)</f>
        <v>0</v>
      </c>
      <c r="F1518" s="1286"/>
      <c r="G1518" s="441">
        <v>0</v>
      </c>
      <c r="H1518" s="441">
        <f t="shared" si="43"/>
        <v>633732083</v>
      </c>
      <c r="I1518" s="997"/>
      <c r="K1518" s="19"/>
    </row>
    <row r="1519" spans="1:11" x14ac:dyDescent="0.2">
      <c r="A1519" s="293"/>
      <c r="B1519" s="490"/>
      <c r="C1519" s="288"/>
      <c r="D1519" s="443">
        <f>_xlfn.XLOOKUP(B1519,Códigos!$A$421:$A$483,Códigos!$B$421:$B$483,"Verificar",0)</f>
        <v>0</v>
      </c>
      <c r="E1519" s="444">
        <f>_xlfn.XLOOKUP(C1519,Códigos!$A$11:$A$415,Códigos!$B$11:$B$415,"Verificar",0)</f>
        <v>0</v>
      </c>
      <c r="F1519" s="1286"/>
      <c r="G1519" s="441">
        <v>0</v>
      </c>
      <c r="H1519" s="441">
        <f t="shared" si="43"/>
        <v>633732083</v>
      </c>
      <c r="I1519" s="997"/>
      <c r="K1519" s="19"/>
    </row>
    <row r="1520" spans="1:11" x14ac:dyDescent="0.2">
      <c r="A1520" s="293"/>
      <c r="B1520" s="490"/>
      <c r="C1520" s="288"/>
      <c r="D1520" s="443">
        <f>_xlfn.XLOOKUP(B1520,Códigos!$A$421:$A$483,Códigos!$B$421:$B$483,"Verificar",0)</f>
        <v>0</v>
      </c>
      <c r="E1520" s="444">
        <f>_xlfn.XLOOKUP(C1520,Códigos!$A$11:$A$415,Códigos!$B$11:$B$415,"Verificar",0)</f>
        <v>0</v>
      </c>
      <c r="F1520" s="1286"/>
      <c r="G1520" s="441">
        <v>0</v>
      </c>
      <c r="H1520" s="441">
        <f t="shared" si="43"/>
        <v>633732083</v>
      </c>
      <c r="I1520" s="997"/>
      <c r="K1520" s="19"/>
    </row>
    <row r="1521" spans="1:11" x14ac:dyDescent="0.2">
      <c r="A1521" s="293"/>
      <c r="B1521" s="490"/>
      <c r="C1521" s="288"/>
      <c r="D1521" s="443">
        <f>_xlfn.XLOOKUP(B1521,Códigos!$A$421:$A$483,Códigos!$B$421:$B$483,"Verificar",0)</f>
        <v>0</v>
      </c>
      <c r="E1521" s="444">
        <f>_xlfn.XLOOKUP(C1521,Códigos!$A$11:$A$415,Códigos!$B$11:$B$415,"Verificar",0)</f>
        <v>0</v>
      </c>
      <c r="F1521" s="1286"/>
      <c r="G1521" s="441">
        <v>0</v>
      </c>
      <c r="H1521" s="441">
        <f t="shared" si="43"/>
        <v>633732083</v>
      </c>
      <c r="I1521" s="997"/>
      <c r="K1521" s="19"/>
    </row>
    <row r="1522" spans="1:11" x14ac:dyDescent="0.2">
      <c r="A1522" s="293"/>
      <c r="B1522" s="490"/>
      <c r="C1522" s="288"/>
      <c r="D1522" s="443">
        <f>_xlfn.XLOOKUP(B1522,Códigos!$A$421:$A$483,Códigos!$B$421:$B$483,"Verificar",0)</f>
        <v>0</v>
      </c>
      <c r="E1522" s="444">
        <f>_xlfn.XLOOKUP(C1522,Códigos!$A$11:$A$415,Códigos!$B$11:$B$415,"Verificar",0)</f>
        <v>0</v>
      </c>
      <c r="F1522" s="1286"/>
      <c r="G1522" s="441">
        <v>0</v>
      </c>
      <c r="H1522" s="441">
        <f t="shared" si="43"/>
        <v>633732083</v>
      </c>
      <c r="I1522" s="997"/>
      <c r="K1522" s="19"/>
    </row>
    <row r="1523" spans="1:11" x14ac:dyDescent="0.2">
      <c r="A1523" s="293"/>
      <c r="B1523" s="490"/>
      <c r="C1523" s="288"/>
      <c r="D1523" s="443">
        <f>_xlfn.XLOOKUP(B1523,Códigos!$A$421:$A$483,Códigos!$B$421:$B$483,"Verificar",0)</f>
        <v>0</v>
      </c>
      <c r="E1523" s="444">
        <f>_xlfn.XLOOKUP(C1523,Códigos!$A$11:$A$415,Códigos!$B$11:$B$415,"Verificar",0)</f>
        <v>0</v>
      </c>
      <c r="F1523" s="1286"/>
      <c r="G1523" s="441">
        <v>0</v>
      </c>
      <c r="H1523" s="441">
        <f t="shared" si="43"/>
        <v>633732083</v>
      </c>
      <c r="I1523" s="997"/>
      <c r="K1523" s="19"/>
    </row>
    <row r="1524" spans="1:11" x14ac:dyDescent="0.2">
      <c r="A1524" s="293"/>
      <c r="B1524" s="490"/>
      <c r="C1524" s="288"/>
      <c r="D1524" s="443">
        <f>_xlfn.XLOOKUP(B1524,Códigos!$A$421:$A$483,Códigos!$B$421:$B$483,"Verificar",0)</f>
        <v>0</v>
      </c>
      <c r="E1524" s="444">
        <f>_xlfn.XLOOKUP(C1524,Códigos!$A$11:$A$415,Códigos!$B$11:$B$415,"Verificar",0)</f>
        <v>0</v>
      </c>
      <c r="F1524" s="1286"/>
      <c r="G1524" s="441">
        <v>0</v>
      </c>
      <c r="H1524" s="441">
        <f t="shared" si="43"/>
        <v>633732083</v>
      </c>
      <c r="I1524" s="997"/>
      <c r="K1524" s="19"/>
    </row>
    <row r="1525" spans="1:11" x14ac:dyDescent="0.2">
      <c r="A1525" s="293"/>
      <c r="B1525" s="490"/>
      <c r="C1525" s="288"/>
      <c r="D1525" s="443">
        <f>_xlfn.XLOOKUP(B1525,Códigos!$A$421:$A$483,Códigos!$B$421:$B$483,"Verificar",0)</f>
        <v>0</v>
      </c>
      <c r="E1525" s="444">
        <f>_xlfn.XLOOKUP(C1525,Códigos!$A$11:$A$415,Códigos!$B$11:$B$415,"Verificar",0)</f>
        <v>0</v>
      </c>
      <c r="F1525" s="1286"/>
      <c r="G1525" s="441">
        <v>0</v>
      </c>
      <c r="H1525" s="441">
        <f t="shared" si="43"/>
        <v>633732083</v>
      </c>
      <c r="I1525" s="997"/>
      <c r="K1525" s="19"/>
    </row>
    <row r="1526" spans="1:11" x14ac:dyDescent="0.2">
      <c r="A1526" s="293"/>
      <c r="B1526" s="490"/>
      <c r="C1526" s="288"/>
      <c r="D1526" s="443">
        <f>_xlfn.XLOOKUP(B1526,Códigos!$A$421:$A$483,Códigos!$B$421:$B$483,"Verificar",0)</f>
        <v>0</v>
      </c>
      <c r="E1526" s="444">
        <f>_xlfn.XLOOKUP(C1526,Códigos!$A$11:$A$415,Códigos!$B$11:$B$415,"Verificar",0)</f>
        <v>0</v>
      </c>
      <c r="F1526" s="1286"/>
      <c r="G1526" s="441">
        <v>0</v>
      </c>
      <c r="H1526" s="441">
        <f t="shared" si="43"/>
        <v>633732083</v>
      </c>
      <c r="I1526" s="997"/>
      <c r="K1526" s="19"/>
    </row>
    <row r="1527" spans="1:11" x14ac:dyDescent="0.2">
      <c r="A1527" s="293"/>
      <c r="B1527" s="490"/>
      <c r="C1527" s="288"/>
      <c r="D1527" s="443">
        <f>_xlfn.XLOOKUP(B1527,Códigos!$A$421:$A$483,Códigos!$B$421:$B$483,"Verificar",0)</f>
        <v>0</v>
      </c>
      <c r="E1527" s="444">
        <f>_xlfn.XLOOKUP(C1527,Códigos!$A$11:$A$415,Códigos!$B$11:$B$415,"Verificar",0)</f>
        <v>0</v>
      </c>
      <c r="F1527" s="1286"/>
      <c r="G1527" s="441">
        <v>0</v>
      </c>
      <c r="H1527" s="441">
        <f t="shared" si="43"/>
        <v>633732083</v>
      </c>
      <c r="I1527" s="997"/>
      <c r="K1527" s="19"/>
    </row>
    <row r="1528" spans="1:11" x14ac:dyDescent="0.2">
      <c r="A1528" s="293"/>
      <c r="B1528" s="490"/>
      <c r="C1528" s="288"/>
      <c r="D1528" s="443">
        <f>_xlfn.XLOOKUP(B1528,Códigos!$A$421:$A$483,Códigos!$B$421:$B$483,"Verificar",0)</f>
        <v>0</v>
      </c>
      <c r="E1528" s="444">
        <f>_xlfn.XLOOKUP(C1528,Códigos!$A$11:$A$415,Códigos!$B$11:$B$415,"Verificar",0)</f>
        <v>0</v>
      </c>
      <c r="F1528" s="1286"/>
      <c r="G1528" s="441">
        <v>0</v>
      </c>
      <c r="H1528" s="441">
        <f t="shared" si="43"/>
        <v>633732083</v>
      </c>
      <c r="I1528" s="997"/>
      <c r="K1528" s="19"/>
    </row>
    <row r="1529" spans="1:11" x14ac:dyDescent="0.2">
      <c r="A1529" s="293"/>
      <c r="B1529" s="490"/>
      <c r="C1529" s="288"/>
      <c r="D1529" s="443">
        <f>_xlfn.XLOOKUP(B1529,Códigos!$A$421:$A$483,Códigos!$B$421:$B$483,"Verificar",0)</f>
        <v>0</v>
      </c>
      <c r="E1529" s="444">
        <f>_xlfn.XLOOKUP(C1529,Códigos!$A$11:$A$415,Códigos!$B$11:$B$415,"Verificar",0)</f>
        <v>0</v>
      </c>
      <c r="F1529" s="1286"/>
      <c r="G1529" s="441">
        <v>0</v>
      </c>
      <c r="H1529" s="441">
        <f t="shared" si="43"/>
        <v>633732083</v>
      </c>
      <c r="I1529" s="997"/>
      <c r="K1529" s="19"/>
    </row>
    <row r="1530" spans="1:11" x14ac:dyDescent="0.2">
      <c r="A1530" s="293"/>
      <c r="B1530" s="490"/>
      <c r="C1530" s="288"/>
      <c r="D1530" s="443">
        <f>_xlfn.XLOOKUP(B1530,Códigos!$A$421:$A$483,Códigos!$B$421:$B$483,"Verificar",0)</f>
        <v>0</v>
      </c>
      <c r="E1530" s="444">
        <f>_xlfn.XLOOKUP(C1530,Códigos!$A$11:$A$415,Códigos!$B$11:$B$415,"Verificar",0)</f>
        <v>0</v>
      </c>
      <c r="F1530" s="1286"/>
      <c r="G1530" s="441">
        <v>0</v>
      </c>
      <c r="H1530" s="441">
        <f t="shared" si="43"/>
        <v>633732083</v>
      </c>
      <c r="I1530" s="997"/>
      <c r="K1530" s="19"/>
    </row>
    <row r="1531" spans="1:11" x14ac:dyDescent="0.2">
      <c r="A1531" s="293"/>
      <c r="B1531" s="490"/>
      <c r="C1531" s="288"/>
      <c r="D1531" s="443">
        <f>_xlfn.XLOOKUP(B1531,Códigos!$A$421:$A$483,Códigos!$B$421:$B$483,"Verificar",0)</f>
        <v>0</v>
      </c>
      <c r="E1531" s="444">
        <f>_xlfn.XLOOKUP(C1531,Códigos!$A$11:$A$415,Códigos!$B$11:$B$415,"Verificar",0)</f>
        <v>0</v>
      </c>
      <c r="F1531" s="1286"/>
      <c r="G1531" s="441">
        <v>0</v>
      </c>
      <c r="H1531" s="441">
        <f t="shared" si="43"/>
        <v>633732083</v>
      </c>
      <c r="I1531" s="997"/>
      <c r="K1531" s="19"/>
    </row>
    <row r="1532" spans="1:11" x14ac:dyDescent="0.2">
      <c r="A1532" s="293"/>
      <c r="B1532" s="490"/>
      <c r="C1532" s="288"/>
      <c r="D1532" s="443">
        <f>_xlfn.XLOOKUP(B1532,Códigos!$A$421:$A$483,Códigos!$B$421:$B$483,"Verificar",0)</f>
        <v>0</v>
      </c>
      <c r="E1532" s="444">
        <f>_xlfn.XLOOKUP(C1532,Códigos!$A$11:$A$415,Códigos!$B$11:$B$415,"Verificar",0)</f>
        <v>0</v>
      </c>
      <c r="F1532" s="1286"/>
      <c r="G1532" s="441">
        <v>0</v>
      </c>
      <c r="H1532" s="441">
        <f t="shared" si="43"/>
        <v>633732083</v>
      </c>
      <c r="I1532" s="997"/>
      <c r="K1532" s="19"/>
    </row>
    <row r="1533" spans="1:11" x14ac:dyDescent="0.2">
      <c r="A1533" s="293"/>
      <c r="B1533" s="490"/>
      <c r="C1533" s="288"/>
      <c r="D1533" s="443">
        <f>_xlfn.XLOOKUP(B1533,Códigos!$A$421:$A$483,Códigos!$B$421:$B$483,"Verificar",0)</f>
        <v>0</v>
      </c>
      <c r="E1533" s="444">
        <f>_xlfn.XLOOKUP(C1533,Códigos!$A$11:$A$415,Códigos!$B$11:$B$415,"Verificar",0)</f>
        <v>0</v>
      </c>
      <c r="F1533" s="1286"/>
      <c r="G1533" s="441">
        <v>0</v>
      </c>
      <c r="H1533" s="441">
        <f t="shared" si="43"/>
        <v>633732083</v>
      </c>
      <c r="I1533" s="997"/>
      <c r="K1533" s="19"/>
    </row>
    <row r="1534" spans="1:11" x14ac:dyDescent="0.2">
      <c r="A1534" s="293"/>
      <c r="B1534" s="490"/>
      <c r="C1534" s="288"/>
      <c r="D1534" s="443">
        <f>_xlfn.XLOOKUP(B1534,Códigos!$A$421:$A$483,Códigos!$B$421:$B$483,"Verificar",0)</f>
        <v>0</v>
      </c>
      <c r="E1534" s="444">
        <f>_xlfn.XLOOKUP(C1534,Códigos!$A$11:$A$415,Códigos!$B$11:$B$415,"Verificar",0)</f>
        <v>0</v>
      </c>
      <c r="F1534" s="1286"/>
      <c r="G1534" s="441">
        <v>0</v>
      </c>
      <c r="H1534" s="441">
        <f t="shared" si="43"/>
        <v>633732083</v>
      </c>
      <c r="I1534" s="997"/>
      <c r="K1534" s="19"/>
    </row>
    <row r="1535" spans="1:11" x14ac:dyDescent="0.2">
      <c r="A1535" s="293"/>
      <c r="B1535" s="490"/>
      <c r="C1535" s="288"/>
      <c r="D1535" s="443">
        <f>_xlfn.XLOOKUP(B1535,Códigos!$A$421:$A$483,Códigos!$B$421:$B$483,"Verificar",0)</f>
        <v>0</v>
      </c>
      <c r="E1535" s="444">
        <f>_xlfn.XLOOKUP(C1535,Códigos!$A$11:$A$415,Códigos!$B$11:$B$415,"Verificar",0)</f>
        <v>0</v>
      </c>
      <c r="F1535" s="1286"/>
      <c r="G1535" s="441">
        <v>0</v>
      </c>
      <c r="H1535" s="441">
        <f t="shared" si="43"/>
        <v>633732083</v>
      </c>
      <c r="I1535" s="997"/>
      <c r="K1535" s="19"/>
    </row>
    <row r="1536" spans="1:11" x14ac:dyDescent="0.2">
      <c r="A1536" s="293"/>
      <c r="B1536" s="490"/>
      <c r="C1536" s="288"/>
      <c r="D1536" s="443">
        <f>_xlfn.XLOOKUP(B1536,Códigos!$A$421:$A$483,Códigos!$B$421:$B$483,"Verificar",0)</f>
        <v>0</v>
      </c>
      <c r="E1536" s="444">
        <f>_xlfn.XLOOKUP(C1536,Códigos!$A$11:$A$415,Códigos!$B$11:$B$415,"Verificar",0)</f>
        <v>0</v>
      </c>
      <c r="F1536" s="1286"/>
      <c r="G1536" s="441">
        <v>0</v>
      </c>
      <c r="H1536" s="441">
        <f t="shared" si="43"/>
        <v>633732083</v>
      </c>
      <c r="I1536" s="997"/>
      <c r="K1536" s="19"/>
    </row>
    <row r="1537" spans="1:11" x14ac:dyDescent="0.2">
      <c r="A1537" s="293"/>
      <c r="B1537" s="490"/>
      <c r="C1537" s="288"/>
      <c r="D1537" s="443">
        <f>_xlfn.XLOOKUP(B1537,Códigos!$A$421:$A$483,Códigos!$B$421:$B$483,"Verificar",0)</f>
        <v>0</v>
      </c>
      <c r="E1537" s="444">
        <f>_xlfn.XLOOKUP(C1537,Códigos!$A$11:$A$415,Códigos!$B$11:$B$415,"Verificar",0)</f>
        <v>0</v>
      </c>
      <c r="F1537" s="1286"/>
      <c r="G1537" s="441">
        <v>0</v>
      </c>
      <c r="H1537" s="441">
        <f t="shared" si="43"/>
        <v>633732083</v>
      </c>
      <c r="I1537" s="997"/>
      <c r="K1537" s="19"/>
    </row>
    <row r="1538" spans="1:11" x14ac:dyDescent="0.2">
      <c r="A1538" s="293"/>
      <c r="B1538" s="490"/>
      <c r="C1538" s="288"/>
      <c r="D1538" s="443">
        <f>_xlfn.XLOOKUP(B1538,Códigos!$A$421:$A$483,Códigos!$B$421:$B$483,"Verificar",0)</f>
        <v>0</v>
      </c>
      <c r="E1538" s="444">
        <f>_xlfn.XLOOKUP(C1538,Códigos!$A$11:$A$415,Códigos!$B$11:$B$415,"Verificar",0)</f>
        <v>0</v>
      </c>
      <c r="F1538" s="1286"/>
      <c r="G1538" s="441">
        <v>0</v>
      </c>
      <c r="H1538" s="441">
        <f t="shared" si="43"/>
        <v>633732083</v>
      </c>
      <c r="I1538" s="997"/>
      <c r="K1538" s="19"/>
    </row>
    <row r="1539" spans="1:11" x14ac:dyDescent="0.2">
      <c r="A1539" s="293"/>
      <c r="B1539" s="490"/>
      <c r="C1539" s="288"/>
      <c r="D1539" s="443">
        <f>_xlfn.XLOOKUP(B1539,Códigos!$A$421:$A$483,Códigos!$B$421:$B$483,"Verificar",0)</f>
        <v>0</v>
      </c>
      <c r="E1539" s="444">
        <f>_xlfn.XLOOKUP(C1539,Códigos!$A$11:$A$415,Códigos!$B$11:$B$415,"Verificar",0)</f>
        <v>0</v>
      </c>
      <c r="F1539" s="1286"/>
      <c r="G1539" s="441">
        <v>0</v>
      </c>
      <c r="H1539" s="441">
        <f t="shared" si="43"/>
        <v>633732083</v>
      </c>
      <c r="I1539" s="997"/>
      <c r="K1539" s="19"/>
    </row>
    <row r="1540" spans="1:11" x14ac:dyDescent="0.2">
      <c r="A1540" s="293"/>
      <c r="B1540" s="490"/>
      <c r="C1540" s="288"/>
      <c r="D1540" s="443">
        <f>_xlfn.XLOOKUP(B1540,Códigos!$A$421:$A$483,Códigos!$B$421:$B$483,"Verificar",0)</f>
        <v>0</v>
      </c>
      <c r="E1540" s="444">
        <f>_xlfn.XLOOKUP(C1540,Códigos!$A$11:$A$415,Códigos!$B$11:$B$415,"Verificar",0)</f>
        <v>0</v>
      </c>
      <c r="F1540" s="1286"/>
      <c r="G1540" s="441">
        <v>0</v>
      </c>
      <c r="H1540" s="441">
        <f t="shared" si="43"/>
        <v>633732083</v>
      </c>
      <c r="I1540" s="997"/>
      <c r="K1540" s="19"/>
    </row>
    <row r="1541" spans="1:11" x14ac:dyDescent="0.2">
      <c r="A1541" s="293"/>
      <c r="B1541" s="490"/>
      <c r="C1541" s="288"/>
      <c r="D1541" s="443">
        <f>_xlfn.XLOOKUP(B1541,Códigos!$A$421:$A$483,Códigos!$B$421:$B$483,"Verificar",0)</f>
        <v>0</v>
      </c>
      <c r="E1541" s="444">
        <f>_xlfn.XLOOKUP(C1541,Códigos!$A$11:$A$415,Códigos!$B$11:$B$415,"Verificar",0)</f>
        <v>0</v>
      </c>
      <c r="F1541" s="1286"/>
      <c r="G1541" s="441">
        <v>0</v>
      </c>
      <c r="H1541" s="441">
        <f t="shared" si="43"/>
        <v>633732083</v>
      </c>
      <c r="I1541" s="997"/>
      <c r="K1541" s="19"/>
    </row>
    <row r="1542" spans="1:11" x14ac:dyDescent="0.2">
      <c r="A1542" s="293"/>
      <c r="B1542" s="490"/>
      <c r="C1542" s="288"/>
      <c r="D1542" s="443">
        <f>_xlfn.XLOOKUP(B1542,Códigos!$A$421:$A$483,Códigos!$B$421:$B$483,"Verificar",0)</f>
        <v>0</v>
      </c>
      <c r="E1542" s="444">
        <f>_xlfn.XLOOKUP(C1542,Códigos!$A$11:$A$415,Códigos!$B$11:$B$415,"Verificar",0)</f>
        <v>0</v>
      </c>
      <c r="F1542" s="1286"/>
      <c r="G1542" s="441">
        <v>0</v>
      </c>
      <c r="H1542" s="441">
        <f t="shared" si="43"/>
        <v>633732083</v>
      </c>
      <c r="I1542" s="997"/>
      <c r="K1542" s="19"/>
    </row>
    <row r="1543" spans="1:11" x14ac:dyDescent="0.2">
      <c r="A1543" s="293"/>
      <c r="B1543" s="490"/>
      <c r="C1543" s="288"/>
      <c r="D1543" s="443">
        <f>_xlfn.XLOOKUP(B1543,Códigos!$A$421:$A$483,Códigos!$B$421:$B$483,"Verificar",0)</f>
        <v>0</v>
      </c>
      <c r="E1543" s="444">
        <f>_xlfn.XLOOKUP(C1543,Códigos!$A$11:$A$415,Códigos!$B$11:$B$415,"Verificar",0)</f>
        <v>0</v>
      </c>
      <c r="F1543" s="1286"/>
      <c r="G1543" s="441">
        <v>0</v>
      </c>
      <c r="H1543" s="441">
        <f t="shared" si="43"/>
        <v>633732083</v>
      </c>
      <c r="I1543" s="997"/>
      <c r="K1543" s="19"/>
    </row>
    <row r="1544" spans="1:11" x14ac:dyDescent="0.2">
      <c r="A1544" s="293"/>
      <c r="B1544" s="490"/>
      <c r="C1544" s="288"/>
      <c r="D1544" s="443">
        <f>_xlfn.XLOOKUP(B1544,Códigos!$A$421:$A$483,Códigos!$B$421:$B$483,"Verificar",0)</f>
        <v>0</v>
      </c>
      <c r="E1544" s="444">
        <f>_xlfn.XLOOKUP(C1544,Códigos!$A$11:$A$415,Códigos!$B$11:$B$415,"Verificar",0)</f>
        <v>0</v>
      </c>
      <c r="F1544" s="1286"/>
      <c r="G1544" s="441">
        <v>0</v>
      </c>
      <c r="H1544" s="441">
        <f t="shared" si="43"/>
        <v>633732083</v>
      </c>
      <c r="I1544" s="997"/>
      <c r="K1544" s="19"/>
    </row>
    <row r="1545" spans="1:11" x14ac:dyDescent="0.2">
      <c r="A1545" s="293"/>
      <c r="B1545" s="490"/>
      <c r="C1545" s="288"/>
      <c r="D1545" s="443">
        <f>_xlfn.XLOOKUP(B1545,Códigos!$A$421:$A$483,Códigos!$B$421:$B$483,"Verificar",0)</f>
        <v>0</v>
      </c>
      <c r="E1545" s="444">
        <f>_xlfn.XLOOKUP(C1545,Códigos!$A$11:$A$415,Códigos!$B$11:$B$415,"Verificar",0)</f>
        <v>0</v>
      </c>
      <c r="F1545" s="1286"/>
      <c r="G1545" s="441">
        <v>0</v>
      </c>
      <c r="H1545" s="441">
        <f t="shared" si="43"/>
        <v>633732083</v>
      </c>
      <c r="I1545" s="997"/>
      <c r="K1545" s="19"/>
    </row>
    <row r="1546" spans="1:11" x14ac:dyDescent="0.2">
      <c r="A1546" s="293"/>
      <c r="B1546" s="490"/>
      <c r="C1546" s="288"/>
      <c r="D1546" s="443">
        <f>_xlfn.XLOOKUP(B1546,Códigos!$A$421:$A$483,Códigos!$B$421:$B$483,"Verificar",0)</f>
        <v>0</v>
      </c>
      <c r="E1546" s="444">
        <f>_xlfn.XLOOKUP(C1546,Códigos!$A$11:$A$415,Códigos!$B$11:$B$415,"Verificar",0)</f>
        <v>0</v>
      </c>
      <c r="F1546" s="1286"/>
      <c r="G1546" s="441">
        <v>0</v>
      </c>
      <c r="H1546" s="441">
        <f t="shared" si="43"/>
        <v>633732083</v>
      </c>
      <c r="I1546" s="997"/>
      <c r="K1546" s="19"/>
    </row>
    <row r="1547" spans="1:11" x14ac:dyDescent="0.2">
      <c r="A1547" s="293"/>
      <c r="B1547" s="490"/>
      <c r="C1547" s="288"/>
      <c r="D1547" s="443">
        <f>_xlfn.XLOOKUP(B1547,Códigos!$A$421:$A$483,Códigos!$B$421:$B$483,"Verificar",0)</f>
        <v>0</v>
      </c>
      <c r="E1547" s="444">
        <f>_xlfn.XLOOKUP(C1547,Códigos!$A$11:$A$415,Códigos!$B$11:$B$415,"Verificar",0)</f>
        <v>0</v>
      </c>
      <c r="F1547" s="1286"/>
      <c r="G1547" s="441">
        <v>0</v>
      </c>
      <c r="H1547" s="441">
        <f t="shared" si="43"/>
        <v>633732083</v>
      </c>
      <c r="I1547" s="997"/>
      <c r="K1547" s="19"/>
    </row>
    <row r="1548" spans="1:11" x14ac:dyDescent="0.2">
      <c r="A1548" s="293"/>
      <c r="B1548" s="490"/>
      <c r="C1548" s="288"/>
      <c r="D1548" s="443">
        <f>_xlfn.XLOOKUP(B1548,Códigos!$A$421:$A$483,Códigos!$B$421:$B$483,"Verificar",0)</f>
        <v>0</v>
      </c>
      <c r="E1548" s="444">
        <f>_xlfn.XLOOKUP(C1548,Códigos!$A$11:$A$415,Códigos!$B$11:$B$415,"Verificar",0)</f>
        <v>0</v>
      </c>
      <c r="F1548" s="1286"/>
      <c r="G1548" s="441">
        <v>0</v>
      </c>
      <c r="H1548" s="441">
        <f t="shared" si="43"/>
        <v>633732083</v>
      </c>
      <c r="I1548" s="997"/>
      <c r="K1548" s="19"/>
    </row>
    <row r="1549" spans="1:11" x14ac:dyDescent="0.2">
      <c r="A1549" s="293"/>
      <c r="B1549" s="490"/>
      <c r="C1549" s="288"/>
      <c r="D1549" s="443">
        <f>_xlfn.XLOOKUP(B1549,Códigos!$A$421:$A$483,Códigos!$B$421:$B$483,"Verificar",0)</f>
        <v>0</v>
      </c>
      <c r="E1549" s="444">
        <f>_xlfn.XLOOKUP(C1549,Códigos!$A$11:$A$415,Códigos!$B$11:$B$415,"Verificar",0)</f>
        <v>0</v>
      </c>
      <c r="F1549" s="1286"/>
      <c r="G1549" s="441">
        <v>0</v>
      </c>
      <c r="H1549" s="441">
        <f t="shared" si="43"/>
        <v>633732083</v>
      </c>
      <c r="I1549" s="997"/>
      <c r="K1549" s="19"/>
    </row>
    <row r="1550" spans="1:11" x14ac:dyDescent="0.2">
      <c r="A1550" s="293"/>
      <c r="B1550" s="490"/>
      <c r="C1550" s="288"/>
      <c r="D1550" s="443">
        <f>_xlfn.XLOOKUP(B1550,Códigos!$A$421:$A$483,Códigos!$B$421:$B$483,"Verificar",0)</f>
        <v>0</v>
      </c>
      <c r="E1550" s="444">
        <f>_xlfn.XLOOKUP(C1550,Códigos!$A$11:$A$415,Códigos!$B$11:$B$415,"Verificar",0)</f>
        <v>0</v>
      </c>
      <c r="F1550" s="1286"/>
      <c r="G1550" s="441">
        <v>0</v>
      </c>
      <c r="H1550" s="441">
        <f t="shared" si="43"/>
        <v>633732083</v>
      </c>
      <c r="I1550" s="997"/>
      <c r="K1550" s="19"/>
    </row>
    <row r="1551" spans="1:11" x14ac:dyDescent="0.2">
      <c r="A1551" s="293"/>
      <c r="B1551" s="490"/>
      <c r="C1551" s="288"/>
      <c r="D1551" s="443">
        <f>_xlfn.XLOOKUP(B1551,Códigos!$A$421:$A$483,Códigos!$B$421:$B$483,"Verificar",0)</f>
        <v>0</v>
      </c>
      <c r="E1551" s="444">
        <f>_xlfn.XLOOKUP(C1551,Códigos!$A$11:$A$415,Códigos!$B$11:$B$415,"Verificar",0)</f>
        <v>0</v>
      </c>
      <c r="F1551" s="1286"/>
      <c r="G1551" s="441">
        <v>0</v>
      </c>
      <c r="H1551" s="441">
        <f t="shared" si="43"/>
        <v>633732083</v>
      </c>
      <c r="I1551" s="997"/>
      <c r="K1551" s="19"/>
    </row>
    <row r="1552" spans="1:11" x14ac:dyDescent="0.2">
      <c r="A1552" s="293"/>
      <c r="B1552" s="490"/>
      <c r="C1552" s="288"/>
      <c r="D1552" s="443">
        <f>_xlfn.XLOOKUP(B1552,Códigos!$A$421:$A$483,Códigos!$B$421:$B$483,"Verificar",0)</f>
        <v>0</v>
      </c>
      <c r="E1552" s="444">
        <f>_xlfn.XLOOKUP(C1552,Códigos!$A$11:$A$415,Códigos!$B$11:$B$415,"Verificar",0)</f>
        <v>0</v>
      </c>
      <c r="F1552" s="1286"/>
      <c r="G1552" s="441">
        <v>0</v>
      </c>
      <c r="H1552" s="441">
        <f t="shared" si="43"/>
        <v>633732083</v>
      </c>
      <c r="I1552" s="997"/>
      <c r="K1552" s="19"/>
    </row>
    <row r="1553" spans="1:11" x14ac:dyDescent="0.2">
      <c r="A1553" s="293"/>
      <c r="B1553" s="490"/>
      <c r="C1553" s="288"/>
      <c r="D1553" s="443">
        <f>_xlfn.XLOOKUP(B1553,Códigos!$A$421:$A$483,Códigos!$B$421:$B$483,"Verificar",0)</f>
        <v>0</v>
      </c>
      <c r="E1553" s="444">
        <f>_xlfn.XLOOKUP(C1553,Códigos!$A$11:$A$415,Códigos!$B$11:$B$415,"Verificar",0)</f>
        <v>0</v>
      </c>
      <c r="F1553" s="1286"/>
      <c r="G1553" s="441">
        <v>0</v>
      </c>
      <c r="H1553" s="441">
        <f t="shared" si="43"/>
        <v>633732083</v>
      </c>
      <c r="I1553" s="997"/>
      <c r="K1553" s="19"/>
    </row>
    <row r="1554" spans="1:11" x14ac:dyDescent="0.2">
      <c r="A1554" s="293"/>
      <c r="B1554" s="490"/>
      <c r="C1554" s="288"/>
      <c r="D1554" s="443">
        <f>_xlfn.XLOOKUP(B1554,Códigos!$A$421:$A$483,Códigos!$B$421:$B$483,"Verificar",0)</f>
        <v>0</v>
      </c>
      <c r="E1554" s="444">
        <f>_xlfn.XLOOKUP(C1554,Códigos!$A$11:$A$415,Códigos!$B$11:$B$415,"Verificar",0)</f>
        <v>0</v>
      </c>
      <c r="F1554" s="1286"/>
      <c r="G1554" s="441">
        <v>0</v>
      </c>
      <c r="H1554" s="441">
        <f t="shared" si="43"/>
        <v>633732083</v>
      </c>
      <c r="I1554" s="997"/>
      <c r="K1554" s="19"/>
    </row>
    <row r="1555" spans="1:11" x14ac:dyDescent="0.2">
      <c r="A1555" s="293"/>
      <c r="B1555" s="490"/>
      <c r="C1555" s="288"/>
      <c r="D1555" s="443">
        <f>_xlfn.XLOOKUP(B1555,Códigos!$A$421:$A$483,Códigos!$B$421:$B$483,"Verificar",0)</f>
        <v>0</v>
      </c>
      <c r="E1555" s="444">
        <f>_xlfn.XLOOKUP(C1555,Códigos!$A$11:$A$415,Códigos!$B$11:$B$415,"Verificar",0)</f>
        <v>0</v>
      </c>
      <c r="F1555" s="1286"/>
      <c r="G1555" s="441">
        <v>0</v>
      </c>
      <c r="H1555" s="441">
        <f t="shared" si="43"/>
        <v>633732083</v>
      </c>
      <c r="I1555" s="997"/>
      <c r="K1555" s="19"/>
    </row>
    <row r="1556" spans="1:11" x14ac:dyDescent="0.2">
      <c r="A1556" s="293"/>
      <c r="B1556" s="490"/>
      <c r="C1556" s="288"/>
      <c r="D1556" s="443">
        <f>_xlfn.XLOOKUP(B1556,Códigos!$A$421:$A$483,Códigos!$B$421:$B$483,"Verificar",0)</f>
        <v>0</v>
      </c>
      <c r="E1556" s="444">
        <f>_xlfn.XLOOKUP(C1556,Códigos!$A$11:$A$415,Códigos!$B$11:$B$415,"Verificar",0)</f>
        <v>0</v>
      </c>
      <c r="F1556" s="1286"/>
      <c r="G1556" s="441">
        <v>0</v>
      </c>
      <c r="H1556" s="441">
        <f t="shared" si="43"/>
        <v>633732083</v>
      </c>
      <c r="I1556" s="997"/>
      <c r="K1556" s="19"/>
    </row>
    <row r="1557" spans="1:11" x14ac:dyDescent="0.2">
      <c r="A1557" s="293"/>
      <c r="B1557" s="490"/>
      <c r="C1557" s="288"/>
      <c r="D1557" s="443">
        <f>_xlfn.XLOOKUP(B1557,Códigos!$A$421:$A$483,Códigos!$B$421:$B$483,"Verificar",0)</f>
        <v>0</v>
      </c>
      <c r="E1557" s="444">
        <f>_xlfn.XLOOKUP(C1557,Códigos!$A$11:$A$415,Códigos!$B$11:$B$415,"Verificar",0)</f>
        <v>0</v>
      </c>
      <c r="F1557" s="1286"/>
      <c r="G1557" s="441">
        <v>0</v>
      </c>
      <c r="H1557" s="441">
        <f t="shared" ref="H1557:H1620" si="44">+H1556+G1557</f>
        <v>633732083</v>
      </c>
      <c r="I1557" s="997"/>
      <c r="K1557" s="19"/>
    </row>
    <row r="1558" spans="1:11" x14ac:dyDescent="0.2">
      <c r="A1558" s="293"/>
      <c r="B1558" s="490"/>
      <c r="C1558" s="288"/>
      <c r="D1558" s="443">
        <f>_xlfn.XLOOKUP(B1558,Códigos!$A$421:$A$483,Códigos!$B$421:$B$483,"Verificar",0)</f>
        <v>0</v>
      </c>
      <c r="E1558" s="444">
        <f>_xlfn.XLOOKUP(C1558,Códigos!$A$11:$A$415,Códigos!$B$11:$B$415,"Verificar",0)</f>
        <v>0</v>
      </c>
      <c r="F1558" s="1286"/>
      <c r="G1558" s="441">
        <v>0</v>
      </c>
      <c r="H1558" s="441">
        <f t="shared" si="44"/>
        <v>633732083</v>
      </c>
      <c r="I1558" s="997"/>
      <c r="K1558" s="19"/>
    </row>
    <row r="1559" spans="1:11" x14ac:dyDescent="0.2">
      <c r="A1559" s="293"/>
      <c r="B1559" s="490"/>
      <c r="C1559" s="288"/>
      <c r="D1559" s="443">
        <f>_xlfn.XLOOKUP(B1559,Códigos!$A$421:$A$483,Códigos!$B$421:$B$483,"Verificar",0)</f>
        <v>0</v>
      </c>
      <c r="E1559" s="444">
        <f>_xlfn.XLOOKUP(C1559,Códigos!$A$11:$A$415,Códigos!$B$11:$B$415,"Verificar",0)</f>
        <v>0</v>
      </c>
      <c r="F1559" s="1286"/>
      <c r="G1559" s="441">
        <v>0</v>
      </c>
      <c r="H1559" s="441">
        <f t="shared" si="44"/>
        <v>633732083</v>
      </c>
      <c r="I1559" s="997"/>
      <c r="K1559" s="19"/>
    </row>
    <row r="1560" spans="1:11" x14ac:dyDescent="0.2">
      <c r="A1560" s="293"/>
      <c r="B1560" s="490"/>
      <c r="C1560" s="288"/>
      <c r="D1560" s="443">
        <f>_xlfn.XLOOKUP(B1560,Códigos!$A$421:$A$483,Códigos!$B$421:$B$483,"Verificar",0)</f>
        <v>0</v>
      </c>
      <c r="E1560" s="444">
        <f>_xlfn.XLOOKUP(C1560,Códigos!$A$11:$A$415,Códigos!$B$11:$B$415,"Verificar",0)</f>
        <v>0</v>
      </c>
      <c r="F1560" s="1286"/>
      <c r="G1560" s="441">
        <v>0</v>
      </c>
      <c r="H1560" s="441">
        <f t="shared" si="44"/>
        <v>633732083</v>
      </c>
      <c r="I1560" s="997"/>
      <c r="K1560" s="19"/>
    </row>
    <row r="1561" spans="1:11" x14ac:dyDescent="0.2">
      <c r="A1561" s="293"/>
      <c r="B1561" s="490"/>
      <c r="C1561" s="288"/>
      <c r="D1561" s="443">
        <f>_xlfn.XLOOKUP(B1561,Códigos!$A$421:$A$483,Códigos!$B$421:$B$483,"Verificar",0)</f>
        <v>0</v>
      </c>
      <c r="E1561" s="444">
        <f>_xlfn.XLOOKUP(C1561,Códigos!$A$11:$A$415,Códigos!$B$11:$B$415,"Verificar",0)</f>
        <v>0</v>
      </c>
      <c r="F1561" s="1286"/>
      <c r="G1561" s="441">
        <v>0</v>
      </c>
      <c r="H1561" s="441">
        <f t="shared" si="44"/>
        <v>633732083</v>
      </c>
      <c r="I1561" s="997"/>
      <c r="K1561" s="19"/>
    </row>
    <row r="1562" spans="1:11" x14ac:dyDescent="0.2">
      <c r="A1562" s="293"/>
      <c r="B1562" s="490"/>
      <c r="C1562" s="288"/>
      <c r="D1562" s="443">
        <f>_xlfn.XLOOKUP(B1562,Códigos!$A$421:$A$483,Códigos!$B$421:$B$483,"Verificar",0)</f>
        <v>0</v>
      </c>
      <c r="E1562" s="444">
        <f>_xlfn.XLOOKUP(C1562,Códigos!$A$11:$A$415,Códigos!$B$11:$B$415,"Verificar",0)</f>
        <v>0</v>
      </c>
      <c r="F1562" s="1286"/>
      <c r="G1562" s="441">
        <v>0</v>
      </c>
      <c r="H1562" s="441">
        <f t="shared" si="44"/>
        <v>633732083</v>
      </c>
      <c r="I1562" s="997"/>
      <c r="K1562" s="19"/>
    </row>
    <row r="1563" spans="1:11" x14ac:dyDescent="0.2">
      <c r="A1563" s="293"/>
      <c r="B1563" s="490"/>
      <c r="C1563" s="288"/>
      <c r="D1563" s="443">
        <f>_xlfn.XLOOKUP(B1563,Códigos!$A$421:$A$483,Códigos!$B$421:$B$483,"Verificar",0)</f>
        <v>0</v>
      </c>
      <c r="E1563" s="444">
        <f>_xlfn.XLOOKUP(C1563,Códigos!$A$11:$A$415,Códigos!$B$11:$B$415,"Verificar",0)</f>
        <v>0</v>
      </c>
      <c r="F1563" s="1286"/>
      <c r="G1563" s="441">
        <v>0</v>
      </c>
      <c r="H1563" s="441">
        <f t="shared" si="44"/>
        <v>633732083</v>
      </c>
      <c r="I1563" s="997"/>
      <c r="K1563" s="19"/>
    </row>
    <row r="1564" spans="1:11" x14ac:dyDescent="0.2">
      <c r="A1564" s="293"/>
      <c r="B1564" s="490"/>
      <c r="C1564" s="288"/>
      <c r="D1564" s="443">
        <f>_xlfn.XLOOKUP(B1564,Códigos!$A$421:$A$483,Códigos!$B$421:$B$483,"Verificar",0)</f>
        <v>0</v>
      </c>
      <c r="E1564" s="444">
        <f>_xlfn.XLOOKUP(C1564,Códigos!$A$11:$A$415,Códigos!$B$11:$B$415,"Verificar",0)</f>
        <v>0</v>
      </c>
      <c r="F1564" s="1286"/>
      <c r="G1564" s="441">
        <v>0</v>
      </c>
      <c r="H1564" s="441">
        <f t="shared" si="44"/>
        <v>633732083</v>
      </c>
      <c r="I1564" s="997"/>
      <c r="K1564" s="19"/>
    </row>
    <row r="1565" spans="1:11" x14ac:dyDescent="0.2">
      <c r="A1565" s="293"/>
      <c r="B1565" s="490"/>
      <c r="C1565" s="288"/>
      <c r="D1565" s="443">
        <f>_xlfn.XLOOKUP(B1565,Códigos!$A$421:$A$483,Códigos!$B$421:$B$483,"Verificar",0)</f>
        <v>0</v>
      </c>
      <c r="E1565" s="444">
        <f>_xlfn.XLOOKUP(C1565,Códigos!$A$11:$A$415,Códigos!$B$11:$B$415,"Verificar",0)</f>
        <v>0</v>
      </c>
      <c r="F1565" s="1286"/>
      <c r="G1565" s="441">
        <v>0</v>
      </c>
      <c r="H1565" s="441">
        <f t="shared" si="44"/>
        <v>633732083</v>
      </c>
      <c r="I1565" s="997"/>
      <c r="K1565" s="19"/>
    </row>
    <row r="1566" spans="1:11" x14ac:dyDescent="0.2">
      <c r="A1566" s="293"/>
      <c r="B1566" s="490"/>
      <c r="C1566" s="288"/>
      <c r="D1566" s="443">
        <f>_xlfn.XLOOKUP(B1566,Códigos!$A$421:$A$483,Códigos!$B$421:$B$483,"Verificar",0)</f>
        <v>0</v>
      </c>
      <c r="E1566" s="444">
        <f>_xlfn.XLOOKUP(C1566,Códigos!$A$11:$A$415,Códigos!$B$11:$B$415,"Verificar",0)</f>
        <v>0</v>
      </c>
      <c r="F1566" s="1286"/>
      <c r="G1566" s="441">
        <v>0</v>
      </c>
      <c r="H1566" s="441">
        <f t="shared" si="44"/>
        <v>633732083</v>
      </c>
      <c r="I1566" s="997"/>
      <c r="K1566" s="19"/>
    </row>
    <row r="1567" spans="1:11" x14ac:dyDescent="0.2">
      <c r="A1567" s="293"/>
      <c r="B1567" s="490"/>
      <c r="C1567" s="288"/>
      <c r="D1567" s="443">
        <f>_xlfn.XLOOKUP(B1567,Códigos!$A$421:$A$483,Códigos!$B$421:$B$483,"Verificar",0)</f>
        <v>0</v>
      </c>
      <c r="E1567" s="444">
        <f>_xlfn.XLOOKUP(C1567,Códigos!$A$11:$A$415,Códigos!$B$11:$B$415,"Verificar",0)</f>
        <v>0</v>
      </c>
      <c r="F1567" s="1286"/>
      <c r="G1567" s="441">
        <v>0</v>
      </c>
      <c r="H1567" s="441">
        <f t="shared" si="44"/>
        <v>633732083</v>
      </c>
      <c r="I1567" s="997"/>
      <c r="K1567" s="19"/>
    </row>
    <row r="1568" spans="1:11" x14ac:dyDescent="0.2">
      <c r="A1568" s="293"/>
      <c r="B1568" s="490"/>
      <c r="C1568" s="288"/>
      <c r="D1568" s="443">
        <f>_xlfn.XLOOKUP(B1568,Códigos!$A$421:$A$483,Códigos!$B$421:$B$483,"Verificar",0)</f>
        <v>0</v>
      </c>
      <c r="E1568" s="444">
        <f>_xlfn.XLOOKUP(C1568,Códigos!$A$11:$A$415,Códigos!$B$11:$B$415,"Verificar",0)</f>
        <v>0</v>
      </c>
      <c r="F1568" s="1286"/>
      <c r="G1568" s="441">
        <v>0</v>
      </c>
      <c r="H1568" s="441">
        <f t="shared" si="44"/>
        <v>633732083</v>
      </c>
      <c r="I1568" s="997"/>
      <c r="K1568" s="19"/>
    </row>
    <row r="1569" spans="1:11" x14ac:dyDescent="0.2">
      <c r="A1569" s="293"/>
      <c r="B1569" s="490"/>
      <c r="C1569" s="288"/>
      <c r="D1569" s="443">
        <f>_xlfn.XLOOKUP(B1569,Códigos!$A$421:$A$483,Códigos!$B$421:$B$483,"Verificar",0)</f>
        <v>0</v>
      </c>
      <c r="E1569" s="444">
        <f>_xlfn.XLOOKUP(C1569,Códigos!$A$11:$A$415,Códigos!$B$11:$B$415,"Verificar",0)</f>
        <v>0</v>
      </c>
      <c r="F1569" s="1286"/>
      <c r="G1569" s="441">
        <v>0</v>
      </c>
      <c r="H1569" s="441">
        <f t="shared" si="44"/>
        <v>633732083</v>
      </c>
      <c r="I1569" s="997"/>
      <c r="K1569" s="19"/>
    </row>
    <row r="1570" spans="1:11" x14ac:dyDescent="0.2">
      <c r="A1570" s="293"/>
      <c r="B1570" s="490"/>
      <c r="C1570" s="288"/>
      <c r="D1570" s="443">
        <f>_xlfn.XLOOKUP(B1570,Códigos!$A$421:$A$483,Códigos!$B$421:$B$483,"Verificar",0)</f>
        <v>0</v>
      </c>
      <c r="E1570" s="444">
        <f>_xlfn.XLOOKUP(C1570,Códigos!$A$11:$A$415,Códigos!$B$11:$B$415,"Verificar",0)</f>
        <v>0</v>
      </c>
      <c r="F1570" s="1286"/>
      <c r="G1570" s="441">
        <v>0</v>
      </c>
      <c r="H1570" s="441">
        <f t="shared" si="44"/>
        <v>633732083</v>
      </c>
      <c r="I1570" s="997"/>
      <c r="K1570" s="19"/>
    </row>
    <row r="1571" spans="1:11" x14ac:dyDescent="0.2">
      <c r="A1571" s="293"/>
      <c r="B1571" s="490"/>
      <c r="C1571" s="288"/>
      <c r="D1571" s="443">
        <f>_xlfn.XLOOKUP(B1571,Códigos!$A$421:$A$483,Códigos!$B$421:$B$483,"Verificar",0)</f>
        <v>0</v>
      </c>
      <c r="E1571" s="444">
        <f>_xlfn.XLOOKUP(C1571,Códigos!$A$11:$A$415,Códigos!$B$11:$B$415,"Verificar",0)</f>
        <v>0</v>
      </c>
      <c r="F1571" s="1286"/>
      <c r="G1571" s="441">
        <v>0</v>
      </c>
      <c r="H1571" s="441">
        <f t="shared" si="44"/>
        <v>633732083</v>
      </c>
      <c r="I1571" s="997"/>
      <c r="K1571" s="19"/>
    </row>
    <row r="1572" spans="1:11" x14ac:dyDescent="0.2">
      <c r="A1572" s="293"/>
      <c r="B1572" s="490"/>
      <c r="C1572" s="288"/>
      <c r="D1572" s="443">
        <f>_xlfn.XLOOKUP(B1572,Códigos!$A$421:$A$483,Códigos!$B$421:$B$483,"Verificar",0)</f>
        <v>0</v>
      </c>
      <c r="E1572" s="444">
        <f>_xlfn.XLOOKUP(C1572,Códigos!$A$11:$A$415,Códigos!$B$11:$B$415,"Verificar",0)</f>
        <v>0</v>
      </c>
      <c r="F1572" s="1286"/>
      <c r="G1572" s="441">
        <v>0</v>
      </c>
      <c r="H1572" s="441">
        <f t="shared" si="44"/>
        <v>633732083</v>
      </c>
      <c r="I1572" s="997"/>
      <c r="K1572" s="19"/>
    </row>
    <row r="1573" spans="1:11" x14ac:dyDescent="0.2">
      <c r="A1573" s="293"/>
      <c r="B1573" s="490"/>
      <c r="C1573" s="288"/>
      <c r="D1573" s="443">
        <f>_xlfn.XLOOKUP(B1573,Códigos!$A$421:$A$483,Códigos!$B$421:$B$483,"Verificar",0)</f>
        <v>0</v>
      </c>
      <c r="E1573" s="444">
        <f>_xlfn.XLOOKUP(C1573,Códigos!$A$11:$A$415,Códigos!$B$11:$B$415,"Verificar",0)</f>
        <v>0</v>
      </c>
      <c r="F1573" s="1286"/>
      <c r="G1573" s="441">
        <v>0</v>
      </c>
      <c r="H1573" s="441">
        <f t="shared" si="44"/>
        <v>633732083</v>
      </c>
      <c r="I1573" s="997"/>
      <c r="K1573" s="19"/>
    </row>
    <row r="1574" spans="1:11" x14ac:dyDescent="0.2">
      <c r="A1574" s="293"/>
      <c r="B1574" s="490"/>
      <c r="C1574" s="288"/>
      <c r="D1574" s="443">
        <f>_xlfn.XLOOKUP(B1574,Códigos!$A$421:$A$483,Códigos!$B$421:$B$483,"Verificar",0)</f>
        <v>0</v>
      </c>
      <c r="E1574" s="444">
        <f>_xlfn.XLOOKUP(C1574,Códigos!$A$11:$A$415,Códigos!$B$11:$B$415,"Verificar",0)</f>
        <v>0</v>
      </c>
      <c r="F1574" s="1286"/>
      <c r="G1574" s="441">
        <v>0</v>
      </c>
      <c r="H1574" s="441">
        <f t="shared" si="44"/>
        <v>633732083</v>
      </c>
      <c r="I1574" s="997"/>
      <c r="K1574" s="19"/>
    </row>
    <row r="1575" spans="1:11" x14ac:dyDescent="0.2">
      <c r="A1575" s="293"/>
      <c r="B1575" s="490"/>
      <c r="C1575" s="288"/>
      <c r="D1575" s="443">
        <f>_xlfn.XLOOKUP(B1575,Códigos!$A$421:$A$483,Códigos!$B$421:$B$483,"Verificar",0)</f>
        <v>0</v>
      </c>
      <c r="E1575" s="444">
        <f>_xlfn.XLOOKUP(C1575,Códigos!$A$11:$A$415,Códigos!$B$11:$B$415,"Verificar",0)</f>
        <v>0</v>
      </c>
      <c r="F1575" s="1286"/>
      <c r="G1575" s="441">
        <v>0</v>
      </c>
      <c r="H1575" s="441">
        <f t="shared" si="44"/>
        <v>633732083</v>
      </c>
      <c r="I1575" s="997"/>
      <c r="K1575" s="19"/>
    </row>
    <row r="1576" spans="1:11" x14ac:dyDescent="0.2">
      <c r="A1576" s="293"/>
      <c r="B1576" s="490"/>
      <c r="C1576" s="288"/>
      <c r="D1576" s="443">
        <f>_xlfn.XLOOKUP(B1576,Códigos!$A$421:$A$483,Códigos!$B$421:$B$483,"Verificar",0)</f>
        <v>0</v>
      </c>
      <c r="E1576" s="444">
        <f>_xlfn.XLOOKUP(C1576,Códigos!$A$11:$A$415,Códigos!$B$11:$B$415,"Verificar",0)</f>
        <v>0</v>
      </c>
      <c r="F1576" s="1286"/>
      <c r="G1576" s="441">
        <v>0</v>
      </c>
      <c r="H1576" s="441">
        <f t="shared" si="44"/>
        <v>633732083</v>
      </c>
      <c r="I1576" s="997"/>
      <c r="K1576" s="19"/>
    </row>
    <row r="1577" spans="1:11" x14ac:dyDescent="0.2">
      <c r="A1577" s="293"/>
      <c r="B1577" s="490"/>
      <c r="C1577" s="288"/>
      <c r="D1577" s="443">
        <f>_xlfn.XLOOKUP(B1577,Códigos!$A$421:$A$483,Códigos!$B$421:$B$483,"Verificar",0)</f>
        <v>0</v>
      </c>
      <c r="E1577" s="444">
        <f>_xlfn.XLOOKUP(C1577,Códigos!$A$11:$A$415,Códigos!$B$11:$B$415,"Verificar",0)</f>
        <v>0</v>
      </c>
      <c r="F1577" s="1286"/>
      <c r="G1577" s="441">
        <v>0</v>
      </c>
      <c r="H1577" s="441">
        <f t="shared" si="44"/>
        <v>633732083</v>
      </c>
      <c r="I1577" s="997"/>
      <c r="K1577" s="19"/>
    </row>
    <row r="1578" spans="1:11" x14ac:dyDescent="0.2">
      <c r="A1578" s="293"/>
      <c r="B1578" s="490"/>
      <c r="C1578" s="288"/>
      <c r="D1578" s="443">
        <f>_xlfn.XLOOKUP(B1578,Códigos!$A$421:$A$483,Códigos!$B$421:$B$483,"Verificar",0)</f>
        <v>0</v>
      </c>
      <c r="E1578" s="444">
        <f>_xlfn.XLOOKUP(C1578,Códigos!$A$11:$A$415,Códigos!$B$11:$B$415,"Verificar",0)</f>
        <v>0</v>
      </c>
      <c r="F1578" s="1286"/>
      <c r="G1578" s="441">
        <v>0</v>
      </c>
      <c r="H1578" s="441">
        <f t="shared" si="44"/>
        <v>633732083</v>
      </c>
      <c r="I1578" s="997"/>
      <c r="K1578" s="19"/>
    </row>
    <row r="1579" spans="1:11" x14ac:dyDescent="0.2">
      <c r="A1579" s="293"/>
      <c r="B1579" s="490"/>
      <c r="C1579" s="288"/>
      <c r="D1579" s="443">
        <f>_xlfn.XLOOKUP(B1579,Códigos!$A$421:$A$483,Códigos!$B$421:$B$483,"Verificar",0)</f>
        <v>0</v>
      </c>
      <c r="E1579" s="444">
        <f>_xlfn.XLOOKUP(C1579,Códigos!$A$11:$A$415,Códigos!$B$11:$B$415,"Verificar",0)</f>
        <v>0</v>
      </c>
      <c r="F1579" s="1286"/>
      <c r="G1579" s="441">
        <v>0</v>
      </c>
      <c r="H1579" s="441">
        <f t="shared" si="44"/>
        <v>633732083</v>
      </c>
      <c r="I1579" s="997"/>
      <c r="K1579" s="19"/>
    </row>
    <row r="1580" spans="1:11" x14ac:dyDescent="0.2">
      <c r="A1580" s="293"/>
      <c r="B1580" s="490"/>
      <c r="C1580" s="288"/>
      <c r="D1580" s="443">
        <f>_xlfn.XLOOKUP(B1580,Códigos!$A$421:$A$483,Códigos!$B$421:$B$483,"Verificar",0)</f>
        <v>0</v>
      </c>
      <c r="E1580" s="444">
        <f>_xlfn.XLOOKUP(C1580,Códigos!$A$11:$A$415,Códigos!$B$11:$B$415,"Verificar",0)</f>
        <v>0</v>
      </c>
      <c r="F1580" s="1286"/>
      <c r="G1580" s="441">
        <v>0</v>
      </c>
      <c r="H1580" s="441">
        <f t="shared" si="44"/>
        <v>633732083</v>
      </c>
      <c r="I1580" s="997"/>
      <c r="K1580" s="19"/>
    </row>
    <row r="1581" spans="1:11" x14ac:dyDescent="0.2">
      <c r="A1581" s="293"/>
      <c r="B1581" s="490"/>
      <c r="C1581" s="288"/>
      <c r="D1581" s="443">
        <f>_xlfn.XLOOKUP(B1581,Códigos!$A$421:$A$483,Códigos!$B$421:$B$483,"Verificar",0)</f>
        <v>0</v>
      </c>
      <c r="E1581" s="444">
        <f>_xlfn.XLOOKUP(C1581,Códigos!$A$11:$A$415,Códigos!$B$11:$B$415,"Verificar",0)</f>
        <v>0</v>
      </c>
      <c r="F1581" s="1286"/>
      <c r="G1581" s="441">
        <v>0</v>
      </c>
      <c r="H1581" s="441">
        <f t="shared" si="44"/>
        <v>633732083</v>
      </c>
      <c r="I1581" s="997"/>
      <c r="K1581" s="19"/>
    </row>
    <row r="1582" spans="1:11" x14ac:dyDescent="0.2">
      <c r="A1582" s="293"/>
      <c r="B1582" s="490"/>
      <c r="C1582" s="288"/>
      <c r="D1582" s="443">
        <f>_xlfn.XLOOKUP(B1582,Códigos!$A$421:$A$483,Códigos!$B$421:$B$483,"Verificar",0)</f>
        <v>0</v>
      </c>
      <c r="E1582" s="444">
        <f>_xlfn.XLOOKUP(C1582,Códigos!$A$11:$A$415,Códigos!$B$11:$B$415,"Verificar",0)</f>
        <v>0</v>
      </c>
      <c r="F1582" s="1286"/>
      <c r="G1582" s="441">
        <v>0</v>
      </c>
      <c r="H1582" s="441">
        <f t="shared" si="44"/>
        <v>633732083</v>
      </c>
      <c r="I1582" s="997"/>
      <c r="K1582" s="19"/>
    </row>
    <row r="1583" spans="1:11" x14ac:dyDescent="0.2">
      <c r="A1583" s="293"/>
      <c r="B1583" s="490"/>
      <c r="C1583" s="288"/>
      <c r="D1583" s="443">
        <f>_xlfn.XLOOKUP(B1583,Códigos!$A$421:$A$483,Códigos!$B$421:$B$483,"Verificar",0)</f>
        <v>0</v>
      </c>
      <c r="E1583" s="444">
        <f>_xlfn.XLOOKUP(C1583,Códigos!$A$11:$A$415,Códigos!$B$11:$B$415,"Verificar",0)</f>
        <v>0</v>
      </c>
      <c r="F1583" s="1286"/>
      <c r="G1583" s="441">
        <v>0</v>
      </c>
      <c r="H1583" s="441">
        <f t="shared" si="44"/>
        <v>633732083</v>
      </c>
      <c r="I1583" s="997"/>
      <c r="K1583" s="19"/>
    </row>
    <row r="1584" spans="1:11" x14ac:dyDescent="0.2">
      <c r="A1584" s="293"/>
      <c r="B1584" s="490"/>
      <c r="C1584" s="288"/>
      <c r="D1584" s="443">
        <f>_xlfn.XLOOKUP(B1584,Códigos!$A$421:$A$483,Códigos!$B$421:$B$483,"Verificar",0)</f>
        <v>0</v>
      </c>
      <c r="E1584" s="444">
        <f>_xlfn.XLOOKUP(C1584,Códigos!$A$11:$A$415,Códigos!$B$11:$B$415,"Verificar",0)</f>
        <v>0</v>
      </c>
      <c r="F1584" s="1286"/>
      <c r="G1584" s="441">
        <v>0</v>
      </c>
      <c r="H1584" s="441">
        <f t="shared" si="44"/>
        <v>633732083</v>
      </c>
      <c r="I1584" s="997"/>
      <c r="K1584" s="19"/>
    </row>
    <row r="1585" spans="1:11" x14ac:dyDescent="0.2">
      <c r="A1585" s="293"/>
      <c r="B1585" s="490"/>
      <c r="C1585" s="288"/>
      <c r="D1585" s="443">
        <f>_xlfn.XLOOKUP(B1585,Códigos!$A$421:$A$483,Códigos!$B$421:$B$483,"Verificar",0)</f>
        <v>0</v>
      </c>
      <c r="E1585" s="444">
        <f>_xlfn.XLOOKUP(C1585,Códigos!$A$11:$A$415,Códigos!$B$11:$B$415,"Verificar",0)</f>
        <v>0</v>
      </c>
      <c r="F1585" s="1286"/>
      <c r="G1585" s="441">
        <v>0</v>
      </c>
      <c r="H1585" s="441">
        <f t="shared" si="44"/>
        <v>633732083</v>
      </c>
      <c r="I1585" s="997"/>
      <c r="K1585" s="19"/>
    </row>
    <row r="1586" spans="1:11" x14ac:dyDescent="0.2">
      <c r="A1586" s="293"/>
      <c r="B1586" s="490"/>
      <c r="C1586" s="288"/>
      <c r="D1586" s="443">
        <f>_xlfn.XLOOKUP(B1586,Códigos!$A$421:$A$483,Códigos!$B$421:$B$483,"Verificar",0)</f>
        <v>0</v>
      </c>
      <c r="E1586" s="444">
        <f>_xlfn.XLOOKUP(C1586,Códigos!$A$11:$A$415,Códigos!$B$11:$B$415,"Verificar",0)</f>
        <v>0</v>
      </c>
      <c r="F1586" s="1286"/>
      <c r="G1586" s="441">
        <v>0</v>
      </c>
      <c r="H1586" s="441">
        <f t="shared" si="44"/>
        <v>633732083</v>
      </c>
      <c r="I1586" s="997"/>
      <c r="K1586" s="19"/>
    </row>
    <row r="1587" spans="1:11" x14ac:dyDescent="0.2">
      <c r="A1587" s="293"/>
      <c r="B1587" s="490"/>
      <c r="C1587" s="288"/>
      <c r="D1587" s="443">
        <f>_xlfn.XLOOKUP(B1587,Códigos!$A$421:$A$483,Códigos!$B$421:$B$483,"Verificar",0)</f>
        <v>0</v>
      </c>
      <c r="E1587" s="444">
        <f>_xlfn.XLOOKUP(C1587,Códigos!$A$11:$A$415,Códigos!$B$11:$B$415,"Verificar",0)</f>
        <v>0</v>
      </c>
      <c r="F1587" s="1286"/>
      <c r="G1587" s="441">
        <v>0</v>
      </c>
      <c r="H1587" s="441">
        <f t="shared" si="44"/>
        <v>633732083</v>
      </c>
      <c r="I1587" s="997"/>
      <c r="K1587" s="19"/>
    </row>
    <row r="1588" spans="1:11" x14ac:dyDescent="0.2">
      <c r="A1588" s="293"/>
      <c r="B1588" s="490"/>
      <c r="C1588" s="288"/>
      <c r="D1588" s="443">
        <f>_xlfn.XLOOKUP(B1588,Códigos!$A$421:$A$483,Códigos!$B$421:$B$483,"Verificar",0)</f>
        <v>0</v>
      </c>
      <c r="E1588" s="444">
        <f>_xlfn.XLOOKUP(C1588,Códigos!$A$11:$A$415,Códigos!$B$11:$B$415,"Verificar",0)</f>
        <v>0</v>
      </c>
      <c r="F1588" s="1286"/>
      <c r="G1588" s="441">
        <v>0</v>
      </c>
      <c r="H1588" s="441">
        <f t="shared" si="44"/>
        <v>633732083</v>
      </c>
      <c r="I1588" s="997"/>
      <c r="K1588" s="19"/>
    </row>
    <row r="1589" spans="1:11" x14ac:dyDescent="0.2">
      <c r="A1589" s="293"/>
      <c r="B1589" s="490"/>
      <c r="C1589" s="288"/>
      <c r="D1589" s="443">
        <f>_xlfn.XLOOKUP(B1589,Códigos!$A$421:$A$483,Códigos!$B$421:$B$483,"Verificar",0)</f>
        <v>0</v>
      </c>
      <c r="E1589" s="444">
        <f>_xlfn.XLOOKUP(C1589,Códigos!$A$11:$A$415,Códigos!$B$11:$B$415,"Verificar",0)</f>
        <v>0</v>
      </c>
      <c r="F1589" s="1286"/>
      <c r="G1589" s="441">
        <v>0</v>
      </c>
      <c r="H1589" s="441">
        <f t="shared" si="44"/>
        <v>633732083</v>
      </c>
      <c r="I1589" s="997"/>
      <c r="K1589" s="19"/>
    </row>
    <row r="1590" spans="1:11" x14ac:dyDescent="0.2">
      <c r="A1590" s="293"/>
      <c r="B1590" s="490"/>
      <c r="C1590" s="288"/>
      <c r="D1590" s="443">
        <f>_xlfn.XLOOKUP(B1590,Códigos!$A$421:$A$483,Códigos!$B$421:$B$483,"Verificar",0)</f>
        <v>0</v>
      </c>
      <c r="E1590" s="444">
        <f>_xlfn.XLOOKUP(C1590,Códigos!$A$11:$A$415,Códigos!$B$11:$B$415,"Verificar",0)</f>
        <v>0</v>
      </c>
      <c r="F1590" s="1286"/>
      <c r="G1590" s="441">
        <v>0</v>
      </c>
      <c r="H1590" s="441">
        <f t="shared" si="44"/>
        <v>633732083</v>
      </c>
      <c r="I1590" s="997"/>
      <c r="K1590" s="19"/>
    </row>
    <row r="1591" spans="1:11" x14ac:dyDescent="0.2">
      <c r="A1591" s="293"/>
      <c r="B1591" s="490"/>
      <c r="C1591" s="288"/>
      <c r="D1591" s="443">
        <f>_xlfn.XLOOKUP(B1591,Códigos!$A$421:$A$483,Códigos!$B$421:$B$483,"Verificar",0)</f>
        <v>0</v>
      </c>
      <c r="E1591" s="444">
        <f>_xlfn.XLOOKUP(C1591,Códigos!$A$11:$A$415,Códigos!$B$11:$B$415,"Verificar",0)</f>
        <v>0</v>
      </c>
      <c r="F1591" s="1286"/>
      <c r="G1591" s="441">
        <v>0</v>
      </c>
      <c r="H1591" s="441">
        <f t="shared" si="44"/>
        <v>633732083</v>
      </c>
      <c r="I1591" s="997"/>
      <c r="K1591" s="19"/>
    </row>
    <row r="1592" spans="1:11" x14ac:dyDescent="0.2">
      <c r="A1592" s="293"/>
      <c r="B1592" s="490"/>
      <c r="C1592" s="288"/>
      <c r="D1592" s="443">
        <f>_xlfn.XLOOKUP(B1592,Códigos!$A$421:$A$483,Códigos!$B$421:$B$483,"Verificar",0)</f>
        <v>0</v>
      </c>
      <c r="E1592" s="444">
        <f>_xlfn.XLOOKUP(C1592,Códigos!$A$11:$A$415,Códigos!$B$11:$B$415,"Verificar",0)</f>
        <v>0</v>
      </c>
      <c r="F1592" s="1286"/>
      <c r="G1592" s="441">
        <v>0</v>
      </c>
      <c r="H1592" s="441">
        <f t="shared" si="44"/>
        <v>633732083</v>
      </c>
      <c r="I1592" s="997"/>
      <c r="K1592" s="19"/>
    </row>
    <row r="1593" spans="1:11" x14ac:dyDescent="0.2">
      <c r="A1593" s="293"/>
      <c r="B1593" s="490"/>
      <c r="C1593" s="288"/>
      <c r="D1593" s="443">
        <f>_xlfn.XLOOKUP(B1593,Códigos!$A$421:$A$483,Códigos!$B$421:$B$483,"Verificar",0)</f>
        <v>0</v>
      </c>
      <c r="E1593" s="444">
        <f>_xlfn.XLOOKUP(C1593,Códigos!$A$11:$A$415,Códigos!$B$11:$B$415,"Verificar",0)</f>
        <v>0</v>
      </c>
      <c r="F1593" s="1286"/>
      <c r="G1593" s="441">
        <v>0</v>
      </c>
      <c r="H1593" s="441">
        <f t="shared" si="44"/>
        <v>633732083</v>
      </c>
      <c r="I1593" s="997"/>
      <c r="K1593" s="19"/>
    </row>
    <row r="1594" spans="1:11" x14ac:dyDescent="0.2">
      <c r="A1594" s="293"/>
      <c r="B1594" s="490"/>
      <c r="C1594" s="288"/>
      <c r="D1594" s="443">
        <f>_xlfn.XLOOKUP(B1594,Códigos!$A$421:$A$483,Códigos!$B$421:$B$483,"Verificar",0)</f>
        <v>0</v>
      </c>
      <c r="E1594" s="444">
        <f>_xlfn.XLOOKUP(C1594,Códigos!$A$11:$A$415,Códigos!$B$11:$B$415,"Verificar",0)</f>
        <v>0</v>
      </c>
      <c r="F1594" s="1286"/>
      <c r="G1594" s="441">
        <v>0</v>
      </c>
      <c r="H1594" s="441">
        <f t="shared" si="44"/>
        <v>633732083</v>
      </c>
      <c r="I1594" s="997"/>
      <c r="K1594" s="19"/>
    </row>
    <row r="1595" spans="1:11" x14ac:dyDescent="0.2">
      <c r="A1595" s="293"/>
      <c r="B1595" s="490"/>
      <c r="C1595" s="288"/>
      <c r="D1595" s="443">
        <f>_xlfn.XLOOKUP(B1595,Códigos!$A$421:$A$483,Códigos!$B$421:$B$483,"Verificar",0)</f>
        <v>0</v>
      </c>
      <c r="E1595" s="444">
        <f>_xlfn.XLOOKUP(C1595,Códigos!$A$11:$A$415,Códigos!$B$11:$B$415,"Verificar",0)</f>
        <v>0</v>
      </c>
      <c r="F1595" s="1286"/>
      <c r="G1595" s="441">
        <v>0</v>
      </c>
      <c r="H1595" s="441">
        <f t="shared" si="44"/>
        <v>633732083</v>
      </c>
      <c r="I1595" s="997"/>
      <c r="K1595" s="19"/>
    </row>
    <row r="1596" spans="1:11" x14ac:dyDescent="0.2">
      <c r="A1596" s="293"/>
      <c r="B1596" s="490"/>
      <c r="C1596" s="288"/>
      <c r="D1596" s="443">
        <f>_xlfn.XLOOKUP(B1596,Códigos!$A$421:$A$483,Códigos!$B$421:$B$483,"Verificar",0)</f>
        <v>0</v>
      </c>
      <c r="E1596" s="444">
        <f>_xlfn.XLOOKUP(C1596,Códigos!$A$11:$A$415,Códigos!$B$11:$B$415,"Verificar",0)</f>
        <v>0</v>
      </c>
      <c r="F1596" s="1286"/>
      <c r="G1596" s="441">
        <v>0</v>
      </c>
      <c r="H1596" s="441">
        <f t="shared" si="44"/>
        <v>633732083</v>
      </c>
      <c r="I1596" s="997"/>
      <c r="K1596" s="19"/>
    </row>
    <row r="1597" spans="1:11" x14ac:dyDescent="0.2">
      <c r="A1597" s="293"/>
      <c r="B1597" s="490"/>
      <c r="C1597" s="288"/>
      <c r="D1597" s="443">
        <f>_xlfn.XLOOKUP(B1597,Códigos!$A$421:$A$483,Códigos!$B$421:$B$483,"Verificar",0)</f>
        <v>0</v>
      </c>
      <c r="E1597" s="444">
        <f>_xlfn.XLOOKUP(C1597,Códigos!$A$11:$A$415,Códigos!$B$11:$B$415,"Verificar",0)</f>
        <v>0</v>
      </c>
      <c r="F1597" s="1286"/>
      <c r="G1597" s="441">
        <v>0</v>
      </c>
      <c r="H1597" s="441">
        <f t="shared" si="44"/>
        <v>633732083</v>
      </c>
      <c r="I1597" s="997"/>
      <c r="K1597" s="19"/>
    </row>
    <row r="1598" spans="1:11" x14ac:dyDescent="0.2">
      <c r="A1598" s="293"/>
      <c r="B1598" s="490"/>
      <c r="C1598" s="288"/>
      <c r="D1598" s="443">
        <f>_xlfn.XLOOKUP(B1598,Códigos!$A$421:$A$483,Códigos!$B$421:$B$483,"Verificar",0)</f>
        <v>0</v>
      </c>
      <c r="E1598" s="444">
        <f>_xlfn.XLOOKUP(C1598,Códigos!$A$11:$A$415,Códigos!$B$11:$B$415,"Verificar",0)</f>
        <v>0</v>
      </c>
      <c r="F1598" s="1286"/>
      <c r="G1598" s="441">
        <v>0</v>
      </c>
      <c r="H1598" s="441">
        <f t="shared" si="44"/>
        <v>633732083</v>
      </c>
      <c r="I1598" s="997"/>
      <c r="K1598" s="19"/>
    </row>
    <row r="1599" spans="1:11" x14ac:dyDescent="0.2">
      <c r="A1599" s="293"/>
      <c r="B1599" s="490"/>
      <c r="C1599" s="288"/>
      <c r="D1599" s="443">
        <f>_xlfn.XLOOKUP(B1599,Códigos!$A$421:$A$483,Códigos!$B$421:$B$483,"Verificar",0)</f>
        <v>0</v>
      </c>
      <c r="E1599" s="444">
        <f>_xlfn.XLOOKUP(C1599,Códigos!$A$11:$A$415,Códigos!$B$11:$B$415,"Verificar",0)</f>
        <v>0</v>
      </c>
      <c r="F1599" s="1286"/>
      <c r="G1599" s="441">
        <v>0</v>
      </c>
      <c r="H1599" s="441">
        <f t="shared" si="44"/>
        <v>633732083</v>
      </c>
      <c r="I1599" s="997"/>
      <c r="K1599" s="19"/>
    </row>
    <row r="1600" spans="1:11" x14ac:dyDescent="0.2">
      <c r="A1600" s="293"/>
      <c r="B1600" s="490"/>
      <c r="C1600" s="288"/>
      <c r="D1600" s="443">
        <f>_xlfn.XLOOKUP(B1600,Códigos!$A$421:$A$483,Códigos!$B$421:$B$483,"Verificar",0)</f>
        <v>0</v>
      </c>
      <c r="E1600" s="444">
        <f>_xlfn.XLOOKUP(C1600,Códigos!$A$11:$A$415,Códigos!$B$11:$B$415,"Verificar",0)</f>
        <v>0</v>
      </c>
      <c r="F1600" s="1286"/>
      <c r="G1600" s="441">
        <v>0</v>
      </c>
      <c r="H1600" s="441">
        <f t="shared" si="44"/>
        <v>633732083</v>
      </c>
      <c r="I1600" s="997"/>
      <c r="K1600" s="19"/>
    </row>
    <row r="1601" spans="1:11" x14ac:dyDescent="0.2">
      <c r="A1601" s="293"/>
      <c r="B1601" s="490"/>
      <c r="C1601" s="288"/>
      <c r="D1601" s="443">
        <f>_xlfn.XLOOKUP(B1601,Códigos!$A$421:$A$483,Códigos!$B$421:$B$483,"Verificar",0)</f>
        <v>0</v>
      </c>
      <c r="E1601" s="444">
        <f>_xlfn.XLOOKUP(C1601,Códigos!$A$11:$A$415,Códigos!$B$11:$B$415,"Verificar",0)</f>
        <v>0</v>
      </c>
      <c r="F1601" s="1286"/>
      <c r="G1601" s="441">
        <v>0</v>
      </c>
      <c r="H1601" s="441">
        <f t="shared" si="44"/>
        <v>633732083</v>
      </c>
      <c r="I1601" s="997"/>
      <c r="K1601" s="19"/>
    </row>
    <row r="1602" spans="1:11" x14ac:dyDescent="0.2">
      <c r="A1602" s="293"/>
      <c r="B1602" s="490"/>
      <c r="C1602" s="288"/>
      <c r="D1602" s="443">
        <f>_xlfn.XLOOKUP(B1602,Códigos!$A$421:$A$483,Códigos!$B$421:$B$483,"Verificar",0)</f>
        <v>0</v>
      </c>
      <c r="E1602" s="444">
        <f>_xlfn.XLOOKUP(C1602,Códigos!$A$11:$A$415,Códigos!$B$11:$B$415,"Verificar",0)</f>
        <v>0</v>
      </c>
      <c r="F1602" s="1286"/>
      <c r="G1602" s="441">
        <v>0</v>
      </c>
      <c r="H1602" s="441">
        <f t="shared" si="44"/>
        <v>633732083</v>
      </c>
      <c r="I1602" s="997"/>
      <c r="K1602" s="19"/>
    </row>
    <row r="1603" spans="1:11" x14ac:dyDescent="0.2">
      <c r="A1603" s="293"/>
      <c r="B1603" s="490"/>
      <c r="C1603" s="288"/>
      <c r="D1603" s="443">
        <f>_xlfn.XLOOKUP(B1603,Códigos!$A$421:$A$483,Códigos!$B$421:$B$483,"Verificar",0)</f>
        <v>0</v>
      </c>
      <c r="E1603" s="444">
        <f>_xlfn.XLOOKUP(C1603,Códigos!$A$11:$A$415,Códigos!$B$11:$B$415,"Verificar",0)</f>
        <v>0</v>
      </c>
      <c r="F1603" s="1286"/>
      <c r="G1603" s="441">
        <v>0</v>
      </c>
      <c r="H1603" s="441">
        <f t="shared" si="44"/>
        <v>633732083</v>
      </c>
      <c r="I1603" s="997"/>
      <c r="K1603" s="19"/>
    </row>
    <row r="1604" spans="1:11" x14ac:dyDescent="0.2">
      <c r="A1604" s="293"/>
      <c r="B1604" s="490"/>
      <c r="C1604" s="288"/>
      <c r="D1604" s="443">
        <f>_xlfn.XLOOKUP(B1604,Códigos!$A$421:$A$483,Códigos!$B$421:$B$483,"Verificar",0)</f>
        <v>0</v>
      </c>
      <c r="E1604" s="444">
        <f>_xlfn.XLOOKUP(C1604,Códigos!$A$11:$A$415,Códigos!$B$11:$B$415,"Verificar",0)</f>
        <v>0</v>
      </c>
      <c r="F1604" s="1286"/>
      <c r="G1604" s="441">
        <v>0</v>
      </c>
      <c r="H1604" s="441">
        <f t="shared" si="44"/>
        <v>633732083</v>
      </c>
      <c r="I1604" s="997"/>
      <c r="K1604" s="19"/>
    </row>
    <row r="1605" spans="1:11" x14ac:dyDescent="0.2">
      <c r="A1605" s="293"/>
      <c r="B1605" s="490"/>
      <c r="C1605" s="288"/>
      <c r="D1605" s="443">
        <f>_xlfn.XLOOKUP(B1605,Códigos!$A$421:$A$483,Códigos!$B$421:$B$483,"Verificar",0)</f>
        <v>0</v>
      </c>
      <c r="E1605" s="444">
        <f>_xlfn.XLOOKUP(C1605,Códigos!$A$11:$A$415,Códigos!$B$11:$B$415,"Verificar",0)</f>
        <v>0</v>
      </c>
      <c r="F1605" s="1286"/>
      <c r="G1605" s="441">
        <v>0</v>
      </c>
      <c r="H1605" s="441">
        <f t="shared" si="44"/>
        <v>633732083</v>
      </c>
      <c r="I1605" s="997"/>
      <c r="K1605" s="19"/>
    </row>
    <row r="1606" spans="1:11" x14ac:dyDescent="0.2">
      <c r="A1606" s="293"/>
      <c r="B1606" s="490"/>
      <c r="C1606" s="288"/>
      <c r="D1606" s="443">
        <f>_xlfn.XLOOKUP(B1606,Códigos!$A$421:$A$483,Códigos!$B$421:$B$483,"Verificar",0)</f>
        <v>0</v>
      </c>
      <c r="E1606" s="444">
        <f>_xlfn.XLOOKUP(C1606,Códigos!$A$11:$A$415,Códigos!$B$11:$B$415,"Verificar",0)</f>
        <v>0</v>
      </c>
      <c r="F1606" s="1286"/>
      <c r="G1606" s="441">
        <v>0</v>
      </c>
      <c r="H1606" s="441">
        <f t="shared" si="44"/>
        <v>633732083</v>
      </c>
      <c r="I1606" s="997"/>
      <c r="K1606" s="19"/>
    </row>
    <row r="1607" spans="1:11" x14ac:dyDescent="0.2">
      <c r="A1607" s="293"/>
      <c r="B1607" s="490"/>
      <c r="C1607" s="288"/>
      <c r="D1607" s="443">
        <f>_xlfn.XLOOKUP(B1607,Códigos!$A$421:$A$483,Códigos!$B$421:$B$483,"Verificar",0)</f>
        <v>0</v>
      </c>
      <c r="E1607" s="444">
        <f>_xlfn.XLOOKUP(C1607,Códigos!$A$11:$A$415,Códigos!$B$11:$B$415,"Verificar",0)</f>
        <v>0</v>
      </c>
      <c r="F1607" s="1286"/>
      <c r="G1607" s="441">
        <v>0</v>
      </c>
      <c r="H1607" s="441">
        <f t="shared" si="44"/>
        <v>633732083</v>
      </c>
      <c r="I1607" s="997"/>
      <c r="K1607" s="19"/>
    </row>
    <row r="1608" spans="1:11" x14ac:dyDescent="0.2">
      <c r="A1608" s="293"/>
      <c r="B1608" s="490"/>
      <c r="C1608" s="288"/>
      <c r="D1608" s="443">
        <f>_xlfn.XLOOKUP(B1608,Códigos!$A$421:$A$483,Códigos!$B$421:$B$483,"Verificar",0)</f>
        <v>0</v>
      </c>
      <c r="E1608" s="444">
        <f>_xlfn.XLOOKUP(C1608,Códigos!$A$11:$A$415,Códigos!$B$11:$B$415,"Verificar",0)</f>
        <v>0</v>
      </c>
      <c r="F1608" s="1286"/>
      <c r="G1608" s="441">
        <v>0</v>
      </c>
      <c r="H1608" s="441">
        <f t="shared" si="44"/>
        <v>633732083</v>
      </c>
      <c r="I1608" s="997"/>
      <c r="K1608" s="19"/>
    </row>
    <row r="1609" spans="1:11" x14ac:dyDescent="0.2">
      <c r="A1609" s="293"/>
      <c r="B1609" s="490"/>
      <c r="C1609" s="288"/>
      <c r="D1609" s="443">
        <f>_xlfn.XLOOKUP(B1609,Códigos!$A$421:$A$483,Códigos!$B$421:$B$483,"Verificar",0)</f>
        <v>0</v>
      </c>
      <c r="E1609" s="444">
        <f>_xlfn.XLOOKUP(C1609,Códigos!$A$11:$A$415,Códigos!$B$11:$B$415,"Verificar",0)</f>
        <v>0</v>
      </c>
      <c r="F1609" s="1286"/>
      <c r="G1609" s="441">
        <v>0</v>
      </c>
      <c r="H1609" s="441">
        <f t="shared" si="44"/>
        <v>633732083</v>
      </c>
      <c r="I1609" s="997"/>
      <c r="K1609" s="19"/>
    </row>
    <row r="1610" spans="1:11" x14ac:dyDescent="0.2">
      <c r="A1610" s="293"/>
      <c r="B1610" s="490"/>
      <c r="C1610" s="288"/>
      <c r="D1610" s="443">
        <f>_xlfn.XLOOKUP(B1610,Códigos!$A$421:$A$483,Códigos!$B$421:$B$483,"Verificar",0)</f>
        <v>0</v>
      </c>
      <c r="E1610" s="444">
        <f>_xlfn.XLOOKUP(C1610,Códigos!$A$11:$A$415,Códigos!$B$11:$B$415,"Verificar",0)</f>
        <v>0</v>
      </c>
      <c r="F1610" s="1286"/>
      <c r="G1610" s="441">
        <v>0</v>
      </c>
      <c r="H1610" s="441">
        <f t="shared" si="44"/>
        <v>633732083</v>
      </c>
      <c r="I1610" s="997"/>
      <c r="K1610" s="19"/>
    </row>
    <row r="1611" spans="1:11" x14ac:dyDescent="0.2">
      <c r="A1611" s="293"/>
      <c r="B1611" s="490"/>
      <c r="C1611" s="288"/>
      <c r="D1611" s="443">
        <f>_xlfn.XLOOKUP(B1611,Códigos!$A$421:$A$483,Códigos!$B$421:$B$483,"Verificar",0)</f>
        <v>0</v>
      </c>
      <c r="E1611" s="444">
        <f>_xlfn.XLOOKUP(C1611,Códigos!$A$11:$A$415,Códigos!$B$11:$B$415,"Verificar",0)</f>
        <v>0</v>
      </c>
      <c r="F1611" s="1286"/>
      <c r="G1611" s="441">
        <v>0</v>
      </c>
      <c r="H1611" s="441">
        <f t="shared" si="44"/>
        <v>633732083</v>
      </c>
      <c r="I1611" s="997"/>
      <c r="K1611" s="19"/>
    </row>
    <row r="1612" spans="1:11" x14ac:dyDescent="0.2">
      <c r="A1612" s="293"/>
      <c r="B1612" s="490"/>
      <c r="C1612" s="288"/>
      <c r="D1612" s="443">
        <f>_xlfn.XLOOKUP(B1612,Códigos!$A$421:$A$483,Códigos!$B$421:$B$483,"Verificar",0)</f>
        <v>0</v>
      </c>
      <c r="E1612" s="444">
        <f>_xlfn.XLOOKUP(C1612,Códigos!$A$11:$A$415,Códigos!$B$11:$B$415,"Verificar",0)</f>
        <v>0</v>
      </c>
      <c r="F1612" s="1286"/>
      <c r="G1612" s="441">
        <v>0</v>
      </c>
      <c r="H1612" s="441">
        <f t="shared" si="44"/>
        <v>633732083</v>
      </c>
      <c r="I1612" s="997"/>
      <c r="K1612" s="19"/>
    </row>
    <row r="1613" spans="1:11" x14ac:dyDescent="0.2">
      <c r="A1613" s="293"/>
      <c r="B1613" s="490"/>
      <c r="C1613" s="288"/>
      <c r="D1613" s="443">
        <f>_xlfn.XLOOKUP(B1613,Códigos!$A$421:$A$483,Códigos!$B$421:$B$483,"Verificar",0)</f>
        <v>0</v>
      </c>
      <c r="E1613" s="444">
        <f>_xlfn.XLOOKUP(C1613,Códigos!$A$11:$A$415,Códigos!$B$11:$B$415,"Verificar",0)</f>
        <v>0</v>
      </c>
      <c r="F1613" s="1286"/>
      <c r="G1613" s="441">
        <v>0</v>
      </c>
      <c r="H1613" s="441">
        <f t="shared" si="44"/>
        <v>633732083</v>
      </c>
      <c r="I1613" s="997"/>
      <c r="K1613" s="19"/>
    </row>
    <row r="1614" spans="1:11" x14ac:dyDescent="0.2">
      <c r="A1614" s="293"/>
      <c r="B1614" s="490"/>
      <c r="C1614" s="288"/>
      <c r="D1614" s="443">
        <f>_xlfn.XLOOKUP(B1614,Códigos!$A$421:$A$483,Códigos!$B$421:$B$483,"Verificar",0)</f>
        <v>0</v>
      </c>
      <c r="E1614" s="444">
        <f>_xlfn.XLOOKUP(C1614,Códigos!$A$11:$A$415,Códigos!$B$11:$B$415,"Verificar",0)</f>
        <v>0</v>
      </c>
      <c r="F1614" s="1286"/>
      <c r="G1614" s="441">
        <v>0</v>
      </c>
      <c r="H1614" s="441">
        <f t="shared" si="44"/>
        <v>633732083</v>
      </c>
      <c r="I1614" s="997"/>
      <c r="K1614" s="19"/>
    </row>
    <row r="1615" spans="1:11" x14ac:dyDescent="0.2">
      <c r="A1615" s="293"/>
      <c r="B1615" s="490"/>
      <c r="C1615" s="288"/>
      <c r="D1615" s="443">
        <f>_xlfn.XLOOKUP(B1615,Códigos!$A$421:$A$483,Códigos!$B$421:$B$483,"Verificar",0)</f>
        <v>0</v>
      </c>
      <c r="E1615" s="444">
        <f>_xlfn.XLOOKUP(C1615,Códigos!$A$11:$A$415,Códigos!$B$11:$B$415,"Verificar",0)</f>
        <v>0</v>
      </c>
      <c r="F1615" s="1286"/>
      <c r="G1615" s="441">
        <v>0</v>
      </c>
      <c r="H1615" s="441">
        <f t="shared" si="44"/>
        <v>633732083</v>
      </c>
      <c r="I1615" s="326"/>
      <c r="K1615" s="19"/>
    </row>
    <row r="1616" spans="1:11" x14ac:dyDescent="0.2">
      <c r="A1616" s="293"/>
      <c r="B1616" s="490"/>
      <c r="C1616" s="288"/>
      <c r="D1616" s="443">
        <f>_xlfn.XLOOKUP(B1616,Códigos!$A$421:$A$483,Códigos!$B$421:$B$483,"Verificar",0)</f>
        <v>0</v>
      </c>
      <c r="E1616" s="444">
        <f>_xlfn.XLOOKUP(C1616,Códigos!$A$11:$A$415,Códigos!$B$11:$B$415,"Verificar",0)</f>
        <v>0</v>
      </c>
      <c r="F1616" s="1286"/>
      <c r="G1616" s="441">
        <v>0</v>
      </c>
      <c r="H1616" s="441">
        <f t="shared" si="44"/>
        <v>633732083</v>
      </c>
      <c r="I1616" s="326"/>
      <c r="K1616" s="19"/>
    </row>
    <row r="1617" spans="1:11" x14ac:dyDescent="0.2">
      <c r="A1617" s="293"/>
      <c r="B1617" s="490"/>
      <c r="C1617" s="288"/>
      <c r="D1617" s="443">
        <f>_xlfn.XLOOKUP(B1617,Códigos!$A$421:$A$483,Códigos!$B$421:$B$483,"Verificar",0)</f>
        <v>0</v>
      </c>
      <c r="E1617" s="444">
        <f>_xlfn.XLOOKUP(C1617,Códigos!$A$11:$A$415,Códigos!$B$11:$B$415,"Verificar",0)</f>
        <v>0</v>
      </c>
      <c r="F1617" s="1286"/>
      <c r="G1617" s="441">
        <v>0</v>
      </c>
      <c r="H1617" s="441">
        <f t="shared" si="44"/>
        <v>633732083</v>
      </c>
      <c r="I1617" s="326"/>
      <c r="K1617" s="19"/>
    </row>
    <row r="1618" spans="1:11" x14ac:dyDescent="0.2">
      <c r="A1618" s="293"/>
      <c r="B1618" s="490"/>
      <c r="C1618" s="288"/>
      <c r="D1618" s="443">
        <f>_xlfn.XLOOKUP(B1618,Códigos!$A$421:$A$483,Códigos!$B$421:$B$483,"Verificar",0)</f>
        <v>0</v>
      </c>
      <c r="E1618" s="444">
        <f>_xlfn.XLOOKUP(C1618,Códigos!$A$11:$A$415,Códigos!$B$11:$B$415,"Verificar",0)</f>
        <v>0</v>
      </c>
      <c r="F1618" s="1286"/>
      <c r="G1618" s="441">
        <v>0</v>
      </c>
      <c r="H1618" s="441">
        <f t="shared" si="44"/>
        <v>633732083</v>
      </c>
      <c r="I1618" s="326"/>
      <c r="K1618" s="19"/>
    </row>
    <row r="1619" spans="1:11" x14ac:dyDescent="0.2">
      <c r="A1619" s="293"/>
      <c r="B1619" s="490"/>
      <c r="C1619" s="288"/>
      <c r="D1619" s="443">
        <f>_xlfn.XLOOKUP(B1619,Códigos!$A$421:$A$483,Códigos!$B$421:$B$483,"Verificar",0)</f>
        <v>0</v>
      </c>
      <c r="E1619" s="444">
        <f>_xlfn.XLOOKUP(C1619,Códigos!$A$11:$A$415,Códigos!$B$11:$B$415,"Verificar",0)</f>
        <v>0</v>
      </c>
      <c r="F1619" s="1286"/>
      <c r="G1619" s="441">
        <v>0</v>
      </c>
      <c r="H1619" s="441">
        <f t="shared" si="44"/>
        <v>633732083</v>
      </c>
      <c r="I1619" s="326"/>
      <c r="K1619" s="19"/>
    </row>
    <row r="1620" spans="1:11" x14ac:dyDescent="0.2">
      <c r="A1620" s="293"/>
      <c r="B1620" s="490"/>
      <c r="C1620" s="288"/>
      <c r="D1620" s="443">
        <f>_xlfn.XLOOKUP(B1620,Códigos!$A$421:$A$483,Códigos!$B$421:$B$483,"Verificar",0)</f>
        <v>0</v>
      </c>
      <c r="E1620" s="444">
        <f>_xlfn.XLOOKUP(C1620,Códigos!$A$11:$A$415,Códigos!$B$11:$B$415,"Verificar",0)</f>
        <v>0</v>
      </c>
      <c r="F1620" s="1286"/>
      <c r="G1620" s="441">
        <v>0</v>
      </c>
      <c r="H1620" s="441">
        <f t="shared" si="44"/>
        <v>633732083</v>
      </c>
      <c r="I1620" s="326"/>
      <c r="K1620" s="19"/>
    </row>
    <row r="1621" spans="1:11" x14ac:dyDescent="0.2">
      <c r="A1621" s="293"/>
      <c r="B1621" s="490"/>
      <c r="C1621" s="288"/>
      <c r="D1621" s="443">
        <f>_xlfn.XLOOKUP(B1621,Códigos!$A$421:$A$483,Códigos!$B$421:$B$483,"Verificar",0)</f>
        <v>0</v>
      </c>
      <c r="E1621" s="444">
        <f>_xlfn.XLOOKUP(C1621,Códigos!$A$11:$A$415,Códigos!$B$11:$B$415,"Verificar",0)</f>
        <v>0</v>
      </c>
      <c r="F1621" s="1286"/>
      <c r="G1621" s="441">
        <v>0</v>
      </c>
      <c r="H1621" s="441">
        <f t="shared" ref="H1621:H1684" si="45">+H1620+G1621</f>
        <v>633732083</v>
      </c>
      <c r="I1621" s="326"/>
      <c r="K1621" s="19"/>
    </row>
    <row r="1622" spans="1:11" x14ac:dyDescent="0.2">
      <c r="A1622" s="293"/>
      <c r="B1622" s="490"/>
      <c r="C1622" s="288"/>
      <c r="D1622" s="443">
        <f>_xlfn.XLOOKUP(B1622,Códigos!$A$421:$A$483,Códigos!$B$421:$B$483,"Verificar",0)</f>
        <v>0</v>
      </c>
      <c r="E1622" s="444">
        <f>_xlfn.XLOOKUP(C1622,Códigos!$A$11:$A$415,Códigos!$B$11:$B$415,"Verificar",0)</f>
        <v>0</v>
      </c>
      <c r="F1622" s="1286"/>
      <c r="G1622" s="441">
        <v>0</v>
      </c>
      <c r="H1622" s="441">
        <f t="shared" si="45"/>
        <v>633732083</v>
      </c>
      <c r="I1622" s="326"/>
      <c r="K1622" s="19"/>
    </row>
    <row r="1623" spans="1:11" x14ac:dyDescent="0.2">
      <c r="A1623" s="293"/>
      <c r="B1623" s="490"/>
      <c r="C1623" s="288"/>
      <c r="D1623" s="443">
        <f>_xlfn.XLOOKUP(B1623,Códigos!$A$421:$A$483,Códigos!$B$421:$B$483,"Verificar",0)</f>
        <v>0</v>
      </c>
      <c r="E1623" s="444">
        <f>_xlfn.XLOOKUP(C1623,Códigos!$A$11:$A$415,Códigos!$B$11:$B$415,"Verificar",0)</f>
        <v>0</v>
      </c>
      <c r="F1623" s="1286"/>
      <c r="G1623" s="441">
        <v>0</v>
      </c>
      <c r="H1623" s="441">
        <f t="shared" si="45"/>
        <v>633732083</v>
      </c>
      <c r="I1623" s="326"/>
      <c r="K1623" s="19"/>
    </row>
    <row r="1624" spans="1:11" x14ac:dyDescent="0.2">
      <c r="A1624" s="293"/>
      <c r="B1624" s="490"/>
      <c r="C1624" s="288"/>
      <c r="D1624" s="443">
        <f>_xlfn.XLOOKUP(B1624,Códigos!$A$421:$A$483,Códigos!$B$421:$B$483,"Verificar",0)</f>
        <v>0</v>
      </c>
      <c r="E1624" s="444">
        <f>_xlfn.XLOOKUP(C1624,Códigos!$A$11:$A$415,Códigos!$B$11:$B$415,"Verificar",0)</f>
        <v>0</v>
      </c>
      <c r="F1624" s="1286"/>
      <c r="G1624" s="441">
        <v>0</v>
      </c>
      <c r="H1624" s="441">
        <f t="shared" si="45"/>
        <v>633732083</v>
      </c>
      <c r="I1624" s="326"/>
      <c r="K1624" s="19"/>
    </row>
    <row r="1625" spans="1:11" x14ac:dyDescent="0.2">
      <c r="A1625" s="293"/>
      <c r="B1625" s="490"/>
      <c r="C1625" s="288"/>
      <c r="D1625" s="443">
        <f>_xlfn.XLOOKUP(B1625,Códigos!$A$421:$A$483,Códigos!$B$421:$B$483,"Verificar",0)</f>
        <v>0</v>
      </c>
      <c r="E1625" s="444">
        <f>_xlfn.XLOOKUP(C1625,Códigos!$A$11:$A$415,Códigos!$B$11:$B$415,"Verificar",0)</f>
        <v>0</v>
      </c>
      <c r="F1625" s="1286"/>
      <c r="G1625" s="441">
        <v>0</v>
      </c>
      <c r="H1625" s="441">
        <f t="shared" si="45"/>
        <v>633732083</v>
      </c>
      <c r="I1625" s="326"/>
      <c r="K1625" s="19"/>
    </row>
    <row r="1626" spans="1:11" x14ac:dyDescent="0.2">
      <c r="A1626" s="293"/>
      <c r="B1626" s="490"/>
      <c r="C1626" s="288"/>
      <c r="D1626" s="443">
        <f>_xlfn.XLOOKUP(B1626,Códigos!$A$421:$A$483,Códigos!$B$421:$B$483,"Verificar",0)</f>
        <v>0</v>
      </c>
      <c r="E1626" s="444">
        <f>_xlfn.XLOOKUP(C1626,Códigos!$A$11:$A$415,Códigos!$B$11:$B$415,"Verificar",0)</f>
        <v>0</v>
      </c>
      <c r="F1626" s="1286"/>
      <c r="G1626" s="441">
        <v>0</v>
      </c>
      <c r="H1626" s="441">
        <f t="shared" si="45"/>
        <v>633732083</v>
      </c>
      <c r="I1626" s="326"/>
      <c r="K1626" s="19"/>
    </row>
    <row r="1627" spans="1:11" x14ac:dyDescent="0.2">
      <c r="A1627" s="293"/>
      <c r="B1627" s="490"/>
      <c r="C1627" s="288"/>
      <c r="D1627" s="443">
        <f>_xlfn.XLOOKUP(B1627,Códigos!$A$421:$A$483,Códigos!$B$421:$B$483,"Verificar",0)</f>
        <v>0</v>
      </c>
      <c r="E1627" s="444">
        <f>_xlfn.XLOOKUP(C1627,Códigos!$A$11:$A$415,Códigos!$B$11:$B$415,"Verificar",0)</f>
        <v>0</v>
      </c>
      <c r="F1627" s="1286"/>
      <c r="G1627" s="441">
        <v>0</v>
      </c>
      <c r="H1627" s="441">
        <f t="shared" si="45"/>
        <v>633732083</v>
      </c>
      <c r="I1627" s="326"/>
      <c r="K1627" s="19"/>
    </row>
    <row r="1628" spans="1:11" x14ac:dyDescent="0.2">
      <c r="A1628" s="293"/>
      <c r="B1628" s="490"/>
      <c r="C1628" s="288"/>
      <c r="D1628" s="443">
        <f>_xlfn.XLOOKUP(B1628,Códigos!$A$421:$A$483,Códigos!$B$421:$B$483,"Verificar",0)</f>
        <v>0</v>
      </c>
      <c r="E1628" s="444">
        <f>_xlfn.XLOOKUP(C1628,Códigos!$A$11:$A$415,Códigos!$B$11:$B$415,"Verificar",0)</f>
        <v>0</v>
      </c>
      <c r="F1628" s="1286"/>
      <c r="G1628" s="441">
        <v>0</v>
      </c>
      <c r="H1628" s="441">
        <f t="shared" si="45"/>
        <v>633732083</v>
      </c>
      <c r="I1628" s="326"/>
      <c r="K1628" s="19"/>
    </row>
    <row r="1629" spans="1:11" x14ac:dyDescent="0.2">
      <c r="A1629" s="293"/>
      <c r="B1629" s="490"/>
      <c r="C1629" s="288"/>
      <c r="D1629" s="443">
        <f>_xlfn.XLOOKUP(B1629,Códigos!$A$421:$A$483,Códigos!$B$421:$B$483,"Verificar",0)</f>
        <v>0</v>
      </c>
      <c r="E1629" s="444">
        <f>_xlfn.XLOOKUP(C1629,Códigos!$A$11:$A$415,Códigos!$B$11:$B$415,"Verificar",0)</f>
        <v>0</v>
      </c>
      <c r="F1629" s="1286"/>
      <c r="G1629" s="441">
        <v>0</v>
      </c>
      <c r="H1629" s="441">
        <f t="shared" si="45"/>
        <v>633732083</v>
      </c>
      <c r="I1629" s="326"/>
      <c r="K1629" s="19"/>
    </row>
    <row r="1630" spans="1:11" x14ac:dyDescent="0.2">
      <c r="A1630" s="293"/>
      <c r="B1630" s="490"/>
      <c r="C1630" s="288"/>
      <c r="D1630" s="443">
        <f>_xlfn.XLOOKUP(B1630,Códigos!$A$421:$A$483,Códigos!$B$421:$B$483,"Verificar",0)</f>
        <v>0</v>
      </c>
      <c r="E1630" s="444">
        <f>_xlfn.XLOOKUP(C1630,Códigos!$A$11:$A$415,Códigos!$B$11:$B$415,"Verificar",0)</f>
        <v>0</v>
      </c>
      <c r="F1630" s="1286"/>
      <c r="G1630" s="441">
        <v>0</v>
      </c>
      <c r="H1630" s="441">
        <f t="shared" si="45"/>
        <v>633732083</v>
      </c>
      <c r="I1630" s="326"/>
      <c r="K1630" s="19"/>
    </row>
    <row r="1631" spans="1:11" x14ac:dyDescent="0.2">
      <c r="A1631" s="293"/>
      <c r="B1631" s="490"/>
      <c r="C1631" s="288"/>
      <c r="D1631" s="443">
        <f>_xlfn.XLOOKUP(B1631,Códigos!$A$421:$A$483,Códigos!$B$421:$B$483,"Verificar",0)</f>
        <v>0</v>
      </c>
      <c r="E1631" s="444">
        <f>_xlfn.XLOOKUP(C1631,Códigos!$A$11:$A$415,Códigos!$B$11:$B$415,"Verificar",0)</f>
        <v>0</v>
      </c>
      <c r="F1631" s="1286"/>
      <c r="G1631" s="441">
        <v>0</v>
      </c>
      <c r="H1631" s="441">
        <f t="shared" si="45"/>
        <v>633732083</v>
      </c>
      <c r="I1631" s="326"/>
      <c r="K1631" s="19"/>
    </row>
    <row r="1632" spans="1:11" x14ac:dyDescent="0.2">
      <c r="A1632" s="293"/>
      <c r="B1632" s="490"/>
      <c r="C1632" s="288"/>
      <c r="D1632" s="443">
        <f>_xlfn.XLOOKUP(B1632,Códigos!$A$421:$A$483,Códigos!$B$421:$B$483,"Verificar",0)</f>
        <v>0</v>
      </c>
      <c r="E1632" s="444">
        <f>_xlfn.XLOOKUP(C1632,Códigos!$A$11:$A$415,Códigos!$B$11:$B$415,"Verificar",0)</f>
        <v>0</v>
      </c>
      <c r="F1632" s="1286"/>
      <c r="G1632" s="441">
        <v>0</v>
      </c>
      <c r="H1632" s="441">
        <f t="shared" si="45"/>
        <v>633732083</v>
      </c>
      <c r="I1632" s="326"/>
      <c r="K1632" s="19"/>
    </row>
    <row r="1633" spans="1:11" x14ac:dyDescent="0.2">
      <c r="A1633" s="293"/>
      <c r="B1633" s="490"/>
      <c r="C1633" s="288"/>
      <c r="D1633" s="443">
        <f>_xlfn.XLOOKUP(B1633,Códigos!$A$421:$A$483,Códigos!$B$421:$B$483,"Verificar",0)</f>
        <v>0</v>
      </c>
      <c r="E1633" s="444">
        <f>_xlfn.XLOOKUP(C1633,Códigos!$A$11:$A$415,Códigos!$B$11:$B$415,"Verificar",0)</f>
        <v>0</v>
      </c>
      <c r="F1633" s="1286"/>
      <c r="G1633" s="441">
        <v>0</v>
      </c>
      <c r="H1633" s="441">
        <f t="shared" si="45"/>
        <v>633732083</v>
      </c>
      <c r="I1633" s="326"/>
      <c r="K1633" s="19"/>
    </row>
    <row r="1634" spans="1:11" x14ac:dyDescent="0.2">
      <c r="A1634" s="293"/>
      <c r="B1634" s="490"/>
      <c r="C1634" s="288"/>
      <c r="D1634" s="443">
        <f>_xlfn.XLOOKUP(B1634,Códigos!$A$421:$A$483,Códigos!$B$421:$B$483,"Verificar",0)</f>
        <v>0</v>
      </c>
      <c r="E1634" s="444">
        <f>_xlfn.XLOOKUP(C1634,Códigos!$A$11:$A$415,Códigos!$B$11:$B$415,"Verificar",0)</f>
        <v>0</v>
      </c>
      <c r="F1634" s="1286"/>
      <c r="G1634" s="441">
        <v>0</v>
      </c>
      <c r="H1634" s="441">
        <f t="shared" si="45"/>
        <v>633732083</v>
      </c>
      <c r="I1634" s="326"/>
      <c r="K1634" s="19"/>
    </row>
    <row r="1635" spans="1:11" x14ac:dyDescent="0.2">
      <c r="A1635" s="293"/>
      <c r="B1635" s="490"/>
      <c r="C1635" s="288"/>
      <c r="D1635" s="443">
        <f>_xlfn.XLOOKUP(B1635,Códigos!$A$421:$A$483,Códigos!$B$421:$B$483,"Verificar",0)</f>
        <v>0</v>
      </c>
      <c r="E1635" s="444">
        <f>_xlfn.XLOOKUP(C1635,Códigos!$A$11:$A$415,Códigos!$B$11:$B$415,"Verificar",0)</f>
        <v>0</v>
      </c>
      <c r="F1635" s="1286"/>
      <c r="G1635" s="441">
        <v>0</v>
      </c>
      <c r="H1635" s="441">
        <f t="shared" si="45"/>
        <v>633732083</v>
      </c>
      <c r="I1635" s="326"/>
      <c r="K1635" s="19"/>
    </row>
    <row r="1636" spans="1:11" x14ac:dyDescent="0.2">
      <c r="A1636" s="293"/>
      <c r="B1636" s="490"/>
      <c r="C1636" s="288"/>
      <c r="D1636" s="443">
        <f>_xlfn.XLOOKUP(B1636,Códigos!$A$421:$A$483,Códigos!$B$421:$B$483,"Verificar",0)</f>
        <v>0</v>
      </c>
      <c r="E1636" s="444">
        <f>_xlfn.XLOOKUP(C1636,Códigos!$A$11:$A$415,Códigos!$B$11:$B$415,"Verificar",0)</f>
        <v>0</v>
      </c>
      <c r="F1636" s="1286"/>
      <c r="G1636" s="441">
        <v>0</v>
      </c>
      <c r="H1636" s="441">
        <f t="shared" si="45"/>
        <v>633732083</v>
      </c>
      <c r="I1636" s="326"/>
      <c r="K1636" s="19"/>
    </row>
    <row r="1637" spans="1:11" x14ac:dyDescent="0.2">
      <c r="A1637" s="293"/>
      <c r="B1637" s="490"/>
      <c r="C1637" s="288"/>
      <c r="D1637" s="443">
        <f>_xlfn.XLOOKUP(B1637,Códigos!$A$421:$A$483,Códigos!$B$421:$B$483,"Verificar",0)</f>
        <v>0</v>
      </c>
      <c r="E1637" s="444">
        <f>_xlfn.XLOOKUP(C1637,Códigos!$A$11:$A$415,Códigos!$B$11:$B$415,"Verificar",0)</f>
        <v>0</v>
      </c>
      <c r="F1637" s="1286"/>
      <c r="G1637" s="441">
        <v>0</v>
      </c>
      <c r="H1637" s="441">
        <f t="shared" si="45"/>
        <v>633732083</v>
      </c>
      <c r="I1637" s="326"/>
      <c r="K1637" s="19"/>
    </row>
    <row r="1638" spans="1:11" x14ac:dyDescent="0.2">
      <c r="A1638" s="293"/>
      <c r="B1638" s="490"/>
      <c r="C1638" s="288"/>
      <c r="D1638" s="443">
        <f>_xlfn.XLOOKUP(B1638,Códigos!$A$421:$A$483,Códigos!$B$421:$B$483,"Verificar",0)</f>
        <v>0</v>
      </c>
      <c r="E1638" s="444">
        <f>_xlfn.XLOOKUP(C1638,Códigos!$A$11:$A$415,Códigos!$B$11:$B$415,"Verificar",0)</f>
        <v>0</v>
      </c>
      <c r="F1638" s="1286"/>
      <c r="G1638" s="441">
        <v>0</v>
      </c>
      <c r="H1638" s="441">
        <f t="shared" si="45"/>
        <v>633732083</v>
      </c>
      <c r="I1638" s="326"/>
      <c r="K1638" s="19"/>
    </row>
    <row r="1639" spans="1:11" x14ac:dyDescent="0.2">
      <c r="A1639" s="293"/>
      <c r="B1639" s="490"/>
      <c r="C1639" s="288"/>
      <c r="D1639" s="443">
        <f>_xlfn.XLOOKUP(B1639,Códigos!$A$421:$A$483,Códigos!$B$421:$B$483,"Verificar",0)</f>
        <v>0</v>
      </c>
      <c r="E1639" s="444">
        <f>_xlfn.XLOOKUP(C1639,Códigos!$A$11:$A$415,Códigos!$B$11:$B$415,"Verificar",0)</f>
        <v>0</v>
      </c>
      <c r="F1639" s="1286"/>
      <c r="G1639" s="441">
        <v>0</v>
      </c>
      <c r="H1639" s="441">
        <f t="shared" si="45"/>
        <v>633732083</v>
      </c>
      <c r="I1639" s="326"/>
      <c r="K1639" s="19"/>
    </row>
    <row r="1640" spans="1:11" x14ac:dyDescent="0.2">
      <c r="A1640" s="293"/>
      <c r="B1640" s="490"/>
      <c r="C1640" s="288"/>
      <c r="D1640" s="443">
        <f>_xlfn.XLOOKUP(B1640,Códigos!$A$421:$A$483,Códigos!$B$421:$B$483,"Verificar",0)</f>
        <v>0</v>
      </c>
      <c r="E1640" s="444">
        <f>_xlfn.XLOOKUP(C1640,Códigos!$A$11:$A$415,Códigos!$B$11:$B$415,"Verificar",0)</f>
        <v>0</v>
      </c>
      <c r="F1640" s="1286"/>
      <c r="G1640" s="441">
        <v>0</v>
      </c>
      <c r="H1640" s="441">
        <f t="shared" si="45"/>
        <v>633732083</v>
      </c>
      <c r="I1640" s="326"/>
      <c r="K1640" s="19"/>
    </row>
    <row r="1641" spans="1:11" x14ac:dyDescent="0.2">
      <c r="A1641" s="293"/>
      <c r="B1641" s="490"/>
      <c r="C1641" s="288"/>
      <c r="D1641" s="443">
        <f>_xlfn.XLOOKUP(B1641,Códigos!$A$421:$A$483,Códigos!$B$421:$B$483,"Verificar",0)</f>
        <v>0</v>
      </c>
      <c r="E1641" s="444">
        <f>_xlfn.XLOOKUP(C1641,Códigos!$A$11:$A$415,Códigos!$B$11:$B$415,"Verificar",0)</f>
        <v>0</v>
      </c>
      <c r="F1641" s="1286"/>
      <c r="G1641" s="441">
        <v>0</v>
      </c>
      <c r="H1641" s="441">
        <f t="shared" si="45"/>
        <v>633732083</v>
      </c>
      <c r="I1641" s="326"/>
      <c r="K1641" s="19"/>
    </row>
    <row r="1642" spans="1:11" x14ac:dyDescent="0.2">
      <c r="A1642" s="293"/>
      <c r="B1642" s="490"/>
      <c r="C1642" s="288"/>
      <c r="D1642" s="443">
        <f>_xlfn.XLOOKUP(B1642,Códigos!$A$421:$A$483,Códigos!$B$421:$B$483,"Verificar",0)</f>
        <v>0</v>
      </c>
      <c r="E1642" s="444">
        <f>_xlfn.XLOOKUP(C1642,Códigos!$A$11:$A$415,Códigos!$B$11:$B$415,"Verificar",0)</f>
        <v>0</v>
      </c>
      <c r="F1642" s="1286"/>
      <c r="G1642" s="441">
        <v>0</v>
      </c>
      <c r="H1642" s="441">
        <f t="shared" si="45"/>
        <v>633732083</v>
      </c>
      <c r="I1642" s="326"/>
      <c r="K1642" s="19"/>
    </row>
    <row r="1643" spans="1:11" x14ac:dyDescent="0.2">
      <c r="A1643" s="293"/>
      <c r="B1643" s="490"/>
      <c r="C1643" s="288"/>
      <c r="D1643" s="443">
        <f>_xlfn.XLOOKUP(B1643,Códigos!$A$421:$A$483,Códigos!$B$421:$B$483,"Verificar",0)</f>
        <v>0</v>
      </c>
      <c r="E1643" s="444">
        <f>_xlfn.XLOOKUP(C1643,Códigos!$A$11:$A$415,Códigos!$B$11:$B$415,"Verificar",0)</f>
        <v>0</v>
      </c>
      <c r="F1643" s="1286"/>
      <c r="G1643" s="441">
        <v>0</v>
      </c>
      <c r="H1643" s="441">
        <f t="shared" si="45"/>
        <v>633732083</v>
      </c>
      <c r="I1643" s="326"/>
      <c r="K1643" s="19"/>
    </row>
    <row r="1644" spans="1:11" x14ac:dyDescent="0.2">
      <c r="A1644" s="293"/>
      <c r="B1644" s="490"/>
      <c r="C1644" s="288"/>
      <c r="D1644" s="443">
        <f>_xlfn.XLOOKUP(B1644,Códigos!$A$421:$A$483,Códigos!$B$421:$B$483,"Verificar",0)</f>
        <v>0</v>
      </c>
      <c r="E1644" s="444">
        <f>_xlfn.XLOOKUP(C1644,Códigos!$A$11:$A$415,Códigos!$B$11:$B$415,"Verificar",0)</f>
        <v>0</v>
      </c>
      <c r="F1644" s="1286"/>
      <c r="G1644" s="441">
        <v>0</v>
      </c>
      <c r="H1644" s="441">
        <f t="shared" si="45"/>
        <v>633732083</v>
      </c>
      <c r="I1644" s="326"/>
      <c r="K1644" s="19"/>
    </row>
    <row r="1645" spans="1:11" x14ac:dyDescent="0.2">
      <c r="A1645" s="293"/>
      <c r="B1645" s="490"/>
      <c r="C1645" s="288"/>
      <c r="D1645" s="443">
        <f>_xlfn.XLOOKUP(B1645,Códigos!$A$421:$A$483,Códigos!$B$421:$B$483,"Verificar",0)</f>
        <v>0</v>
      </c>
      <c r="E1645" s="444">
        <f>_xlfn.XLOOKUP(C1645,Códigos!$A$11:$A$415,Códigos!$B$11:$B$415,"Verificar",0)</f>
        <v>0</v>
      </c>
      <c r="F1645" s="1286"/>
      <c r="G1645" s="441">
        <v>0</v>
      </c>
      <c r="H1645" s="441">
        <f t="shared" si="45"/>
        <v>633732083</v>
      </c>
      <c r="I1645" s="326"/>
      <c r="K1645" s="19"/>
    </row>
    <row r="1646" spans="1:11" x14ac:dyDescent="0.2">
      <c r="A1646" s="293"/>
      <c r="B1646" s="490"/>
      <c r="C1646" s="288"/>
      <c r="D1646" s="443">
        <f>_xlfn.XLOOKUP(B1646,Códigos!$A$421:$A$483,Códigos!$B$421:$B$483,"Verificar",0)</f>
        <v>0</v>
      </c>
      <c r="E1646" s="444">
        <f>_xlfn.XLOOKUP(C1646,Códigos!$A$11:$A$415,Códigos!$B$11:$B$415,"Verificar",0)</f>
        <v>0</v>
      </c>
      <c r="F1646" s="1286"/>
      <c r="G1646" s="441">
        <v>0</v>
      </c>
      <c r="H1646" s="441">
        <f t="shared" si="45"/>
        <v>633732083</v>
      </c>
      <c r="I1646" s="326"/>
      <c r="K1646" s="19"/>
    </row>
    <row r="1647" spans="1:11" x14ac:dyDescent="0.2">
      <c r="A1647" s="293"/>
      <c r="B1647" s="490"/>
      <c r="C1647" s="288"/>
      <c r="D1647" s="443">
        <f>_xlfn.XLOOKUP(B1647,Códigos!$A$421:$A$483,Códigos!$B$421:$B$483,"Verificar",0)</f>
        <v>0</v>
      </c>
      <c r="E1647" s="444">
        <f>_xlfn.XLOOKUP(C1647,Códigos!$A$11:$A$415,Códigos!$B$11:$B$415,"Verificar",0)</f>
        <v>0</v>
      </c>
      <c r="F1647" s="1286"/>
      <c r="G1647" s="441">
        <v>0</v>
      </c>
      <c r="H1647" s="441">
        <f t="shared" si="45"/>
        <v>633732083</v>
      </c>
      <c r="I1647" s="326"/>
      <c r="K1647" s="19"/>
    </row>
    <row r="1648" spans="1:11" x14ac:dyDescent="0.2">
      <c r="A1648" s="293"/>
      <c r="B1648" s="490"/>
      <c r="C1648" s="288"/>
      <c r="D1648" s="443">
        <f>_xlfn.XLOOKUP(B1648,Códigos!$A$421:$A$483,Códigos!$B$421:$B$483,"Verificar",0)</f>
        <v>0</v>
      </c>
      <c r="E1648" s="444">
        <f>_xlfn.XLOOKUP(C1648,Códigos!$A$11:$A$415,Códigos!$B$11:$B$415,"Verificar",0)</f>
        <v>0</v>
      </c>
      <c r="F1648" s="1286"/>
      <c r="G1648" s="441">
        <v>0</v>
      </c>
      <c r="H1648" s="441">
        <f t="shared" si="45"/>
        <v>633732083</v>
      </c>
      <c r="I1648" s="326"/>
      <c r="K1648" s="19"/>
    </row>
    <row r="1649" spans="1:11" x14ac:dyDescent="0.2">
      <c r="A1649" s="293"/>
      <c r="B1649" s="490"/>
      <c r="C1649" s="288"/>
      <c r="D1649" s="443">
        <f>_xlfn.XLOOKUP(B1649,Códigos!$A$421:$A$483,Códigos!$B$421:$B$483,"Verificar",0)</f>
        <v>0</v>
      </c>
      <c r="E1649" s="444">
        <f>_xlfn.XLOOKUP(C1649,Códigos!$A$11:$A$415,Códigos!$B$11:$B$415,"Verificar",0)</f>
        <v>0</v>
      </c>
      <c r="F1649" s="1286"/>
      <c r="G1649" s="441">
        <v>0</v>
      </c>
      <c r="H1649" s="441">
        <f t="shared" si="45"/>
        <v>633732083</v>
      </c>
      <c r="I1649" s="326"/>
      <c r="K1649" s="19"/>
    </row>
    <row r="1650" spans="1:11" x14ac:dyDescent="0.2">
      <c r="A1650" s="293"/>
      <c r="B1650" s="490"/>
      <c r="C1650" s="288"/>
      <c r="D1650" s="443">
        <f>_xlfn.XLOOKUP(B1650,Códigos!$A$421:$A$483,Códigos!$B$421:$B$483,"Verificar",0)</f>
        <v>0</v>
      </c>
      <c r="E1650" s="444">
        <f>_xlfn.XLOOKUP(C1650,Códigos!$A$11:$A$415,Códigos!$B$11:$B$415,"Verificar",0)</f>
        <v>0</v>
      </c>
      <c r="F1650" s="1286"/>
      <c r="G1650" s="441">
        <v>0</v>
      </c>
      <c r="H1650" s="441">
        <f t="shared" si="45"/>
        <v>633732083</v>
      </c>
      <c r="I1650" s="326"/>
      <c r="K1650" s="19"/>
    </row>
    <row r="1651" spans="1:11" x14ac:dyDescent="0.2">
      <c r="A1651" s="293"/>
      <c r="B1651" s="490"/>
      <c r="C1651" s="288"/>
      <c r="D1651" s="443">
        <f>_xlfn.XLOOKUP(B1651,Códigos!$A$421:$A$483,Códigos!$B$421:$B$483,"Verificar",0)</f>
        <v>0</v>
      </c>
      <c r="E1651" s="444">
        <f>_xlfn.XLOOKUP(C1651,Códigos!$A$11:$A$415,Códigos!$B$11:$B$415,"Verificar",0)</f>
        <v>0</v>
      </c>
      <c r="F1651" s="1286"/>
      <c r="G1651" s="441">
        <v>0</v>
      </c>
      <c r="H1651" s="441">
        <f t="shared" si="45"/>
        <v>633732083</v>
      </c>
      <c r="I1651" s="326"/>
      <c r="K1651" s="19"/>
    </row>
    <row r="1652" spans="1:11" x14ac:dyDescent="0.2">
      <c r="A1652" s="293"/>
      <c r="B1652" s="490"/>
      <c r="C1652" s="288"/>
      <c r="D1652" s="443">
        <f>_xlfn.XLOOKUP(B1652,Códigos!$A$421:$A$483,Códigos!$B$421:$B$483,"Verificar",0)</f>
        <v>0</v>
      </c>
      <c r="E1652" s="444">
        <f>_xlfn.XLOOKUP(C1652,Códigos!$A$11:$A$415,Códigos!$B$11:$B$415,"Verificar",0)</f>
        <v>0</v>
      </c>
      <c r="F1652" s="1286"/>
      <c r="G1652" s="441">
        <v>0</v>
      </c>
      <c r="H1652" s="441">
        <f t="shared" si="45"/>
        <v>633732083</v>
      </c>
      <c r="I1652" s="326"/>
      <c r="K1652" s="19"/>
    </row>
    <row r="1653" spans="1:11" x14ac:dyDescent="0.2">
      <c r="A1653" s="293"/>
      <c r="B1653" s="490"/>
      <c r="C1653" s="288"/>
      <c r="D1653" s="443">
        <f>_xlfn.XLOOKUP(B1653,Códigos!$A$421:$A$483,Códigos!$B$421:$B$483,"Verificar",0)</f>
        <v>0</v>
      </c>
      <c r="E1653" s="444">
        <f>_xlfn.XLOOKUP(C1653,Códigos!$A$11:$A$415,Códigos!$B$11:$B$415,"Verificar",0)</f>
        <v>0</v>
      </c>
      <c r="F1653" s="1286"/>
      <c r="G1653" s="441">
        <v>0</v>
      </c>
      <c r="H1653" s="441">
        <f t="shared" si="45"/>
        <v>633732083</v>
      </c>
      <c r="I1653" s="326"/>
      <c r="K1653" s="19"/>
    </row>
    <row r="1654" spans="1:11" x14ac:dyDescent="0.2">
      <c r="A1654" s="293"/>
      <c r="B1654" s="490"/>
      <c r="C1654" s="288"/>
      <c r="D1654" s="443">
        <f>_xlfn.XLOOKUP(B1654,Códigos!$A$421:$A$483,Códigos!$B$421:$B$483,"Verificar",0)</f>
        <v>0</v>
      </c>
      <c r="E1654" s="444">
        <f>_xlfn.XLOOKUP(C1654,Códigos!$A$11:$A$415,Códigos!$B$11:$B$415,"Verificar",0)</f>
        <v>0</v>
      </c>
      <c r="F1654" s="1286"/>
      <c r="G1654" s="441">
        <v>0</v>
      </c>
      <c r="H1654" s="441">
        <f t="shared" si="45"/>
        <v>633732083</v>
      </c>
      <c r="I1654" s="326"/>
      <c r="K1654" s="19"/>
    </row>
    <row r="1655" spans="1:11" x14ac:dyDescent="0.2">
      <c r="A1655" s="293"/>
      <c r="B1655" s="490"/>
      <c r="C1655" s="288"/>
      <c r="D1655" s="443">
        <f>_xlfn.XLOOKUP(B1655,Códigos!$A$421:$A$483,Códigos!$B$421:$B$483,"Verificar",0)</f>
        <v>0</v>
      </c>
      <c r="E1655" s="444">
        <f>_xlfn.XLOOKUP(C1655,Códigos!$A$11:$A$415,Códigos!$B$11:$B$415,"Verificar",0)</f>
        <v>0</v>
      </c>
      <c r="F1655" s="1286"/>
      <c r="G1655" s="441">
        <v>0</v>
      </c>
      <c r="H1655" s="441">
        <f t="shared" si="45"/>
        <v>633732083</v>
      </c>
      <c r="I1655" s="326"/>
      <c r="K1655" s="19"/>
    </row>
    <row r="1656" spans="1:11" x14ac:dyDescent="0.2">
      <c r="A1656" s="293"/>
      <c r="B1656" s="490"/>
      <c r="C1656" s="288"/>
      <c r="D1656" s="443">
        <f>_xlfn.XLOOKUP(B1656,Códigos!$A$421:$A$483,Códigos!$B$421:$B$483,"Verificar",0)</f>
        <v>0</v>
      </c>
      <c r="E1656" s="444">
        <f>_xlfn.XLOOKUP(C1656,Códigos!$A$11:$A$415,Códigos!$B$11:$B$415,"Verificar",0)</f>
        <v>0</v>
      </c>
      <c r="F1656" s="1286"/>
      <c r="G1656" s="441">
        <v>0</v>
      </c>
      <c r="H1656" s="441">
        <f t="shared" si="45"/>
        <v>633732083</v>
      </c>
      <c r="I1656" s="326"/>
      <c r="K1656" s="19"/>
    </row>
    <row r="1657" spans="1:11" x14ac:dyDescent="0.2">
      <c r="A1657" s="293"/>
      <c r="B1657" s="490"/>
      <c r="C1657" s="288"/>
      <c r="D1657" s="443">
        <f>_xlfn.XLOOKUP(B1657,Códigos!$A$421:$A$483,Códigos!$B$421:$B$483,"Verificar",0)</f>
        <v>0</v>
      </c>
      <c r="E1657" s="444">
        <f>_xlfn.XLOOKUP(C1657,Códigos!$A$11:$A$415,Códigos!$B$11:$B$415,"Verificar",0)</f>
        <v>0</v>
      </c>
      <c r="F1657" s="1286"/>
      <c r="G1657" s="441">
        <v>0</v>
      </c>
      <c r="H1657" s="441">
        <f t="shared" si="45"/>
        <v>633732083</v>
      </c>
      <c r="I1657" s="326"/>
      <c r="K1657" s="19"/>
    </row>
    <row r="1658" spans="1:11" x14ac:dyDescent="0.2">
      <c r="A1658" s="293"/>
      <c r="B1658" s="490"/>
      <c r="C1658" s="288"/>
      <c r="D1658" s="443">
        <f>_xlfn.XLOOKUP(B1658,Códigos!$A$421:$A$483,Códigos!$B$421:$B$483,"Verificar",0)</f>
        <v>0</v>
      </c>
      <c r="E1658" s="444">
        <f>_xlfn.XLOOKUP(C1658,Códigos!$A$11:$A$415,Códigos!$B$11:$B$415,"Verificar",0)</f>
        <v>0</v>
      </c>
      <c r="F1658" s="1286"/>
      <c r="G1658" s="441">
        <v>0</v>
      </c>
      <c r="H1658" s="441">
        <f t="shared" si="45"/>
        <v>633732083</v>
      </c>
      <c r="I1658" s="326"/>
      <c r="K1658" s="19"/>
    </row>
    <row r="1659" spans="1:11" x14ac:dyDescent="0.2">
      <c r="A1659" s="293"/>
      <c r="B1659" s="490"/>
      <c r="C1659" s="288"/>
      <c r="D1659" s="443">
        <f>_xlfn.XLOOKUP(B1659,Códigos!$A$421:$A$483,Códigos!$B$421:$B$483,"Verificar",0)</f>
        <v>0</v>
      </c>
      <c r="E1659" s="444">
        <f>_xlfn.XLOOKUP(C1659,Códigos!$A$11:$A$415,Códigos!$B$11:$B$415,"Verificar",0)</f>
        <v>0</v>
      </c>
      <c r="F1659" s="1286"/>
      <c r="G1659" s="441">
        <v>0</v>
      </c>
      <c r="H1659" s="441">
        <f t="shared" si="45"/>
        <v>633732083</v>
      </c>
      <c r="I1659" s="326"/>
      <c r="K1659" s="19"/>
    </row>
    <row r="1660" spans="1:11" x14ac:dyDescent="0.2">
      <c r="A1660" s="293"/>
      <c r="B1660" s="490"/>
      <c r="C1660" s="288"/>
      <c r="D1660" s="443">
        <f>_xlfn.XLOOKUP(B1660,Códigos!$A$421:$A$483,Códigos!$B$421:$B$483,"Verificar",0)</f>
        <v>0</v>
      </c>
      <c r="E1660" s="444">
        <f>_xlfn.XLOOKUP(C1660,Códigos!$A$11:$A$415,Códigos!$B$11:$B$415,"Verificar",0)</f>
        <v>0</v>
      </c>
      <c r="F1660" s="1286"/>
      <c r="G1660" s="441">
        <v>0</v>
      </c>
      <c r="H1660" s="441">
        <f t="shared" si="45"/>
        <v>633732083</v>
      </c>
      <c r="I1660" s="326"/>
      <c r="K1660" s="19"/>
    </row>
    <row r="1661" spans="1:11" x14ac:dyDescent="0.2">
      <c r="A1661" s="293"/>
      <c r="B1661" s="490"/>
      <c r="C1661" s="288"/>
      <c r="D1661" s="443">
        <f>_xlfn.XLOOKUP(B1661,Códigos!$A$421:$A$483,Códigos!$B$421:$B$483,"Verificar",0)</f>
        <v>0</v>
      </c>
      <c r="E1661" s="444">
        <f>_xlfn.XLOOKUP(C1661,Códigos!$A$11:$A$415,Códigos!$B$11:$B$415,"Verificar",0)</f>
        <v>0</v>
      </c>
      <c r="F1661" s="1286"/>
      <c r="G1661" s="441">
        <v>0</v>
      </c>
      <c r="H1661" s="441">
        <f t="shared" si="45"/>
        <v>633732083</v>
      </c>
      <c r="I1661" s="326"/>
      <c r="K1661" s="19"/>
    </row>
    <row r="1662" spans="1:11" x14ac:dyDescent="0.2">
      <c r="A1662" s="293"/>
      <c r="B1662" s="490"/>
      <c r="C1662" s="288"/>
      <c r="D1662" s="443">
        <f>_xlfn.XLOOKUP(B1662,Códigos!$A$421:$A$483,Códigos!$B$421:$B$483,"Verificar",0)</f>
        <v>0</v>
      </c>
      <c r="E1662" s="444">
        <f>_xlfn.XLOOKUP(C1662,Códigos!$A$11:$A$415,Códigos!$B$11:$B$415,"Verificar",0)</f>
        <v>0</v>
      </c>
      <c r="F1662" s="1286"/>
      <c r="G1662" s="441">
        <v>0</v>
      </c>
      <c r="H1662" s="441">
        <f t="shared" si="45"/>
        <v>633732083</v>
      </c>
      <c r="I1662" s="326"/>
      <c r="K1662" s="19"/>
    </row>
    <row r="1663" spans="1:11" x14ac:dyDescent="0.2">
      <c r="A1663" s="293"/>
      <c r="B1663" s="490"/>
      <c r="C1663" s="288"/>
      <c r="D1663" s="443">
        <f>_xlfn.XLOOKUP(B1663,Códigos!$A$421:$A$483,Códigos!$B$421:$B$483,"Verificar",0)</f>
        <v>0</v>
      </c>
      <c r="E1663" s="444">
        <f>_xlfn.XLOOKUP(C1663,Códigos!$A$11:$A$415,Códigos!$B$11:$B$415,"Verificar",0)</f>
        <v>0</v>
      </c>
      <c r="F1663" s="1286"/>
      <c r="G1663" s="441">
        <v>0</v>
      </c>
      <c r="H1663" s="441">
        <f t="shared" si="45"/>
        <v>633732083</v>
      </c>
      <c r="I1663" s="326"/>
      <c r="K1663" s="19"/>
    </row>
    <row r="1664" spans="1:11" x14ac:dyDescent="0.2">
      <c r="A1664" s="293"/>
      <c r="B1664" s="490"/>
      <c r="C1664" s="288"/>
      <c r="D1664" s="443">
        <f>_xlfn.XLOOKUP(B1664,Códigos!$A$421:$A$483,Códigos!$B$421:$B$483,"Verificar",0)</f>
        <v>0</v>
      </c>
      <c r="E1664" s="444">
        <f>_xlfn.XLOOKUP(C1664,Códigos!$A$11:$A$415,Códigos!$B$11:$B$415,"Verificar",0)</f>
        <v>0</v>
      </c>
      <c r="F1664" s="1286"/>
      <c r="G1664" s="441">
        <v>0</v>
      </c>
      <c r="H1664" s="441">
        <f t="shared" si="45"/>
        <v>633732083</v>
      </c>
      <c r="I1664" s="326"/>
      <c r="K1664" s="19"/>
    </row>
    <row r="1665" spans="1:11" x14ac:dyDescent="0.2">
      <c r="A1665" s="293"/>
      <c r="B1665" s="490"/>
      <c r="C1665" s="288"/>
      <c r="D1665" s="443">
        <f>_xlfn.XLOOKUP(B1665,Códigos!$A$421:$A$483,Códigos!$B$421:$B$483,"Verificar",0)</f>
        <v>0</v>
      </c>
      <c r="E1665" s="444">
        <f>_xlfn.XLOOKUP(C1665,Códigos!$A$11:$A$415,Códigos!$B$11:$B$415,"Verificar",0)</f>
        <v>0</v>
      </c>
      <c r="F1665" s="1286"/>
      <c r="G1665" s="441">
        <v>0</v>
      </c>
      <c r="H1665" s="441">
        <f t="shared" si="45"/>
        <v>633732083</v>
      </c>
      <c r="I1665" s="326"/>
      <c r="K1665" s="19"/>
    </row>
    <row r="1666" spans="1:11" x14ac:dyDescent="0.2">
      <c r="A1666" s="293"/>
      <c r="B1666" s="490"/>
      <c r="C1666" s="288"/>
      <c r="D1666" s="443">
        <f>_xlfn.XLOOKUP(B1666,Códigos!$A$421:$A$483,Códigos!$B$421:$B$483,"Verificar",0)</f>
        <v>0</v>
      </c>
      <c r="E1666" s="444">
        <f>_xlfn.XLOOKUP(C1666,Códigos!$A$11:$A$415,Códigos!$B$11:$B$415,"Verificar",0)</f>
        <v>0</v>
      </c>
      <c r="F1666" s="1286"/>
      <c r="G1666" s="441">
        <v>0</v>
      </c>
      <c r="H1666" s="441">
        <f t="shared" si="45"/>
        <v>633732083</v>
      </c>
      <c r="I1666" s="326"/>
      <c r="K1666" s="19"/>
    </row>
    <row r="1667" spans="1:11" x14ac:dyDescent="0.2">
      <c r="A1667" s="293"/>
      <c r="B1667" s="490"/>
      <c r="C1667" s="288"/>
      <c r="D1667" s="443">
        <f>_xlfn.XLOOKUP(B1667,Códigos!$A$421:$A$483,Códigos!$B$421:$B$483,"Verificar",0)</f>
        <v>0</v>
      </c>
      <c r="E1667" s="444">
        <f>_xlfn.XLOOKUP(C1667,Códigos!$A$11:$A$415,Códigos!$B$11:$B$415,"Verificar",0)</f>
        <v>0</v>
      </c>
      <c r="F1667" s="1286"/>
      <c r="G1667" s="441">
        <v>0</v>
      </c>
      <c r="H1667" s="441">
        <f t="shared" si="45"/>
        <v>633732083</v>
      </c>
      <c r="I1667" s="326"/>
      <c r="K1667" s="19"/>
    </row>
    <row r="1668" spans="1:11" x14ac:dyDescent="0.2">
      <c r="A1668" s="293"/>
      <c r="B1668" s="490"/>
      <c r="C1668" s="288"/>
      <c r="D1668" s="443">
        <f>_xlfn.XLOOKUP(B1668,Códigos!$A$421:$A$483,Códigos!$B$421:$B$483,"Verificar",0)</f>
        <v>0</v>
      </c>
      <c r="E1668" s="444">
        <f>_xlfn.XLOOKUP(C1668,Códigos!$A$11:$A$415,Códigos!$B$11:$B$415,"Verificar",0)</f>
        <v>0</v>
      </c>
      <c r="F1668" s="1286"/>
      <c r="G1668" s="441">
        <v>0</v>
      </c>
      <c r="H1668" s="441">
        <f t="shared" si="45"/>
        <v>633732083</v>
      </c>
      <c r="I1668" s="326"/>
      <c r="K1668" s="19"/>
    </row>
    <row r="1669" spans="1:11" x14ac:dyDescent="0.2">
      <c r="A1669" s="293"/>
      <c r="B1669" s="490"/>
      <c r="C1669" s="288"/>
      <c r="D1669" s="443">
        <f>_xlfn.XLOOKUP(B1669,Códigos!$A$421:$A$483,Códigos!$B$421:$B$483,"Verificar",0)</f>
        <v>0</v>
      </c>
      <c r="E1669" s="444">
        <f>_xlfn.XLOOKUP(C1669,Códigos!$A$11:$A$415,Códigos!$B$11:$B$415,"Verificar",0)</f>
        <v>0</v>
      </c>
      <c r="F1669" s="1286"/>
      <c r="G1669" s="441">
        <v>0</v>
      </c>
      <c r="H1669" s="441">
        <f t="shared" si="45"/>
        <v>633732083</v>
      </c>
      <c r="I1669" s="326"/>
      <c r="K1669" s="19"/>
    </row>
    <row r="1670" spans="1:11" x14ac:dyDescent="0.2">
      <c r="A1670" s="293"/>
      <c r="B1670" s="490"/>
      <c r="C1670" s="288"/>
      <c r="D1670" s="443">
        <f>_xlfn.XLOOKUP(B1670,Códigos!$A$421:$A$483,Códigos!$B$421:$B$483,"Verificar",0)</f>
        <v>0</v>
      </c>
      <c r="E1670" s="444">
        <f>_xlfn.XLOOKUP(C1670,Códigos!$A$11:$A$415,Códigos!$B$11:$B$415,"Verificar",0)</f>
        <v>0</v>
      </c>
      <c r="F1670" s="1286"/>
      <c r="G1670" s="441">
        <v>0</v>
      </c>
      <c r="H1670" s="441">
        <f t="shared" si="45"/>
        <v>633732083</v>
      </c>
      <c r="I1670" s="326"/>
      <c r="K1670" s="19"/>
    </row>
    <row r="1671" spans="1:11" x14ac:dyDescent="0.2">
      <c r="A1671" s="293"/>
      <c r="B1671" s="490"/>
      <c r="C1671" s="288"/>
      <c r="D1671" s="443">
        <f>_xlfn.XLOOKUP(B1671,Códigos!$A$421:$A$483,Códigos!$B$421:$B$483,"Verificar",0)</f>
        <v>0</v>
      </c>
      <c r="E1671" s="444">
        <f>_xlfn.XLOOKUP(C1671,Códigos!$A$11:$A$415,Códigos!$B$11:$B$415,"Verificar",0)</f>
        <v>0</v>
      </c>
      <c r="F1671" s="1286"/>
      <c r="G1671" s="441">
        <v>0</v>
      </c>
      <c r="H1671" s="441">
        <f t="shared" si="45"/>
        <v>633732083</v>
      </c>
      <c r="I1671" s="326"/>
      <c r="K1671" s="19"/>
    </row>
    <row r="1672" spans="1:11" x14ac:dyDescent="0.2">
      <c r="A1672" s="293"/>
      <c r="B1672" s="490"/>
      <c r="C1672" s="288"/>
      <c r="D1672" s="443">
        <f>_xlfn.XLOOKUP(B1672,Códigos!$A$421:$A$483,Códigos!$B$421:$B$483,"Verificar",0)</f>
        <v>0</v>
      </c>
      <c r="E1672" s="444">
        <f>_xlfn.XLOOKUP(C1672,Códigos!$A$11:$A$415,Códigos!$B$11:$B$415,"Verificar",0)</f>
        <v>0</v>
      </c>
      <c r="F1672" s="1286"/>
      <c r="G1672" s="441">
        <v>0</v>
      </c>
      <c r="H1672" s="441">
        <f t="shared" si="45"/>
        <v>633732083</v>
      </c>
      <c r="I1672" s="326"/>
      <c r="K1672" s="19"/>
    </row>
    <row r="1673" spans="1:11" x14ac:dyDescent="0.2">
      <c r="A1673" s="293"/>
      <c r="B1673" s="490"/>
      <c r="C1673" s="288"/>
      <c r="D1673" s="443">
        <f>_xlfn.XLOOKUP(B1673,Códigos!$A$421:$A$483,Códigos!$B$421:$B$483,"Verificar",0)</f>
        <v>0</v>
      </c>
      <c r="E1673" s="444">
        <f>_xlfn.XLOOKUP(C1673,Códigos!$A$11:$A$415,Códigos!$B$11:$B$415,"Verificar",0)</f>
        <v>0</v>
      </c>
      <c r="F1673" s="1286"/>
      <c r="G1673" s="441">
        <v>0</v>
      </c>
      <c r="H1673" s="441">
        <f t="shared" si="45"/>
        <v>633732083</v>
      </c>
      <c r="I1673" s="326"/>
      <c r="K1673" s="19"/>
    </row>
    <row r="1674" spans="1:11" x14ac:dyDescent="0.2">
      <c r="A1674" s="293"/>
      <c r="B1674" s="490"/>
      <c r="C1674" s="288"/>
      <c r="D1674" s="443">
        <f>_xlfn.XLOOKUP(B1674,Códigos!$A$421:$A$483,Códigos!$B$421:$B$483,"Verificar",0)</f>
        <v>0</v>
      </c>
      <c r="E1674" s="444">
        <f>_xlfn.XLOOKUP(C1674,Códigos!$A$11:$A$415,Códigos!$B$11:$B$415,"Verificar",0)</f>
        <v>0</v>
      </c>
      <c r="F1674" s="1286"/>
      <c r="G1674" s="441">
        <v>0</v>
      </c>
      <c r="H1674" s="441">
        <f t="shared" si="45"/>
        <v>633732083</v>
      </c>
      <c r="I1674" s="326"/>
      <c r="K1674" s="19"/>
    </row>
    <row r="1675" spans="1:11" x14ac:dyDescent="0.2">
      <c r="A1675" s="293"/>
      <c r="B1675" s="490"/>
      <c r="C1675" s="288"/>
      <c r="D1675" s="443">
        <f>_xlfn.XLOOKUP(B1675,Códigos!$A$421:$A$483,Códigos!$B$421:$B$483,"Verificar",0)</f>
        <v>0</v>
      </c>
      <c r="E1675" s="444">
        <f>_xlfn.XLOOKUP(C1675,Códigos!$A$11:$A$415,Códigos!$B$11:$B$415,"Verificar",0)</f>
        <v>0</v>
      </c>
      <c r="F1675" s="1286"/>
      <c r="G1675" s="441">
        <v>0</v>
      </c>
      <c r="H1675" s="441">
        <f t="shared" si="45"/>
        <v>633732083</v>
      </c>
      <c r="I1675" s="326"/>
      <c r="K1675" s="19"/>
    </row>
    <row r="1676" spans="1:11" x14ac:dyDescent="0.2">
      <c r="A1676" s="293"/>
      <c r="B1676" s="490"/>
      <c r="C1676" s="288"/>
      <c r="D1676" s="443">
        <f>_xlfn.XLOOKUP(B1676,Códigos!$A$421:$A$483,Códigos!$B$421:$B$483,"Verificar",0)</f>
        <v>0</v>
      </c>
      <c r="E1676" s="444">
        <f>_xlfn.XLOOKUP(C1676,Códigos!$A$11:$A$415,Códigos!$B$11:$B$415,"Verificar",0)</f>
        <v>0</v>
      </c>
      <c r="F1676" s="1286"/>
      <c r="G1676" s="441">
        <v>0</v>
      </c>
      <c r="H1676" s="441">
        <f t="shared" si="45"/>
        <v>633732083</v>
      </c>
      <c r="I1676" s="326"/>
      <c r="K1676" s="19"/>
    </row>
    <row r="1677" spans="1:11" x14ac:dyDescent="0.2">
      <c r="A1677" s="293"/>
      <c r="B1677" s="490"/>
      <c r="C1677" s="288"/>
      <c r="D1677" s="443">
        <f>_xlfn.XLOOKUP(B1677,Códigos!$A$421:$A$483,Códigos!$B$421:$B$483,"Verificar",0)</f>
        <v>0</v>
      </c>
      <c r="E1677" s="444">
        <f>_xlfn.XLOOKUP(C1677,Códigos!$A$11:$A$415,Códigos!$B$11:$B$415,"Verificar",0)</f>
        <v>0</v>
      </c>
      <c r="F1677" s="1286"/>
      <c r="G1677" s="441">
        <v>0</v>
      </c>
      <c r="H1677" s="441">
        <f t="shared" si="45"/>
        <v>633732083</v>
      </c>
      <c r="I1677" s="326"/>
      <c r="K1677" s="19"/>
    </row>
    <row r="1678" spans="1:11" x14ac:dyDescent="0.2">
      <c r="A1678" s="293"/>
      <c r="B1678" s="490"/>
      <c r="C1678" s="288"/>
      <c r="D1678" s="443">
        <f>_xlfn.XLOOKUP(B1678,Códigos!$A$421:$A$483,Códigos!$B$421:$B$483,"Verificar",0)</f>
        <v>0</v>
      </c>
      <c r="E1678" s="444">
        <f>_xlfn.XLOOKUP(C1678,Códigos!$A$11:$A$415,Códigos!$B$11:$B$415,"Verificar",0)</f>
        <v>0</v>
      </c>
      <c r="F1678" s="1286"/>
      <c r="G1678" s="441">
        <v>0</v>
      </c>
      <c r="H1678" s="441">
        <f t="shared" si="45"/>
        <v>633732083</v>
      </c>
      <c r="I1678" s="326"/>
      <c r="K1678" s="19"/>
    </row>
    <row r="1679" spans="1:11" x14ac:dyDescent="0.2">
      <c r="A1679" s="293"/>
      <c r="B1679" s="490"/>
      <c r="C1679" s="288"/>
      <c r="D1679" s="443">
        <f>_xlfn.XLOOKUP(B1679,Códigos!$A$421:$A$483,Códigos!$B$421:$B$483,"Verificar",0)</f>
        <v>0</v>
      </c>
      <c r="E1679" s="444">
        <f>_xlfn.XLOOKUP(C1679,Códigos!$A$11:$A$415,Códigos!$B$11:$B$415,"Verificar",0)</f>
        <v>0</v>
      </c>
      <c r="F1679" s="1286"/>
      <c r="G1679" s="441">
        <v>0</v>
      </c>
      <c r="H1679" s="441">
        <f t="shared" si="45"/>
        <v>633732083</v>
      </c>
      <c r="I1679" s="326"/>
      <c r="K1679" s="19"/>
    </row>
    <row r="1680" spans="1:11" x14ac:dyDescent="0.2">
      <c r="A1680" s="293"/>
      <c r="B1680" s="490"/>
      <c r="C1680" s="288"/>
      <c r="D1680" s="443">
        <f>_xlfn.XLOOKUP(B1680,Códigos!$A$421:$A$483,Códigos!$B$421:$B$483,"Verificar",0)</f>
        <v>0</v>
      </c>
      <c r="E1680" s="444">
        <f>_xlfn.XLOOKUP(C1680,Códigos!$A$11:$A$415,Códigos!$B$11:$B$415,"Verificar",0)</f>
        <v>0</v>
      </c>
      <c r="F1680" s="1286"/>
      <c r="G1680" s="441">
        <v>0</v>
      </c>
      <c r="H1680" s="441">
        <f t="shared" si="45"/>
        <v>633732083</v>
      </c>
      <c r="I1680" s="326"/>
      <c r="K1680" s="19"/>
    </row>
    <row r="1681" spans="1:11" x14ac:dyDescent="0.2">
      <c r="A1681" s="293"/>
      <c r="B1681" s="490"/>
      <c r="C1681" s="288"/>
      <c r="D1681" s="443">
        <f>_xlfn.XLOOKUP(B1681,Códigos!$A$421:$A$483,Códigos!$B$421:$B$483,"Verificar",0)</f>
        <v>0</v>
      </c>
      <c r="E1681" s="444">
        <f>_xlfn.XLOOKUP(C1681,Códigos!$A$11:$A$415,Códigos!$B$11:$B$415,"Verificar",0)</f>
        <v>0</v>
      </c>
      <c r="F1681" s="1286"/>
      <c r="G1681" s="441">
        <v>0</v>
      </c>
      <c r="H1681" s="441">
        <f t="shared" si="45"/>
        <v>633732083</v>
      </c>
      <c r="I1681" s="326"/>
      <c r="K1681" s="19"/>
    </row>
    <row r="1682" spans="1:11" x14ac:dyDescent="0.2">
      <c r="A1682" s="293"/>
      <c r="B1682" s="490"/>
      <c r="C1682" s="288"/>
      <c r="D1682" s="443">
        <f>_xlfn.XLOOKUP(B1682,Códigos!$A$421:$A$483,Códigos!$B$421:$B$483,"Verificar",0)</f>
        <v>0</v>
      </c>
      <c r="E1682" s="444">
        <f>_xlfn.XLOOKUP(C1682,Códigos!$A$11:$A$415,Códigos!$B$11:$B$415,"Verificar",0)</f>
        <v>0</v>
      </c>
      <c r="F1682" s="1286"/>
      <c r="G1682" s="441">
        <v>0</v>
      </c>
      <c r="H1682" s="441">
        <f t="shared" si="45"/>
        <v>633732083</v>
      </c>
      <c r="I1682" s="326"/>
      <c r="K1682" s="19"/>
    </row>
    <row r="1683" spans="1:11" x14ac:dyDescent="0.2">
      <c r="A1683" s="293"/>
      <c r="B1683" s="490"/>
      <c r="C1683" s="288"/>
      <c r="D1683" s="443">
        <f>_xlfn.XLOOKUP(B1683,Códigos!$A$421:$A$483,Códigos!$B$421:$B$483,"Verificar",0)</f>
        <v>0</v>
      </c>
      <c r="E1683" s="444">
        <f>_xlfn.XLOOKUP(C1683,Códigos!$A$11:$A$415,Códigos!$B$11:$B$415,"Verificar",0)</f>
        <v>0</v>
      </c>
      <c r="F1683" s="1286"/>
      <c r="G1683" s="441">
        <v>0</v>
      </c>
      <c r="H1683" s="441">
        <f t="shared" si="45"/>
        <v>633732083</v>
      </c>
      <c r="I1683" s="326"/>
      <c r="K1683" s="19"/>
    </row>
    <row r="1684" spans="1:11" x14ac:dyDescent="0.2">
      <c r="A1684" s="293"/>
      <c r="B1684" s="490"/>
      <c r="C1684" s="288"/>
      <c r="D1684" s="443">
        <f>_xlfn.XLOOKUP(B1684,Códigos!$A$421:$A$483,Códigos!$B$421:$B$483,"Verificar",0)</f>
        <v>0</v>
      </c>
      <c r="E1684" s="444">
        <f>_xlfn.XLOOKUP(C1684,Códigos!$A$11:$A$415,Códigos!$B$11:$B$415,"Verificar",0)</f>
        <v>0</v>
      </c>
      <c r="F1684" s="1286"/>
      <c r="G1684" s="441">
        <v>0</v>
      </c>
      <c r="H1684" s="441">
        <f t="shared" si="45"/>
        <v>633732083</v>
      </c>
      <c r="I1684" s="326"/>
      <c r="K1684" s="19"/>
    </row>
    <row r="1685" spans="1:11" x14ac:dyDescent="0.2">
      <c r="A1685" s="293"/>
      <c r="B1685" s="490"/>
      <c r="C1685" s="288"/>
      <c r="D1685" s="443">
        <f>_xlfn.XLOOKUP(B1685,Códigos!$A$421:$A$483,Códigos!$B$421:$B$483,"Verificar",0)</f>
        <v>0</v>
      </c>
      <c r="E1685" s="444">
        <f>_xlfn.XLOOKUP(C1685,Códigos!$A$11:$A$415,Códigos!$B$11:$B$415,"Verificar",0)</f>
        <v>0</v>
      </c>
      <c r="F1685" s="1286"/>
      <c r="G1685" s="441">
        <v>0</v>
      </c>
      <c r="H1685" s="441">
        <f t="shared" ref="H1685:H1748" si="46">+H1684+G1685</f>
        <v>633732083</v>
      </c>
      <c r="I1685" s="326"/>
      <c r="K1685" s="19"/>
    </row>
    <row r="1686" spans="1:11" x14ac:dyDescent="0.2">
      <c r="A1686" s="293"/>
      <c r="B1686" s="490"/>
      <c r="C1686" s="288"/>
      <c r="D1686" s="443">
        <f>_xlfn.XLOOKUP(B1686,Códigos!$A$421:$A$483,Códigos!$B$421:$B$483,"Verificar",0)</f>
        <v>0</v>
      </c>
      <c r="E1686" s="444">
        <f>_xlfn.XLOOKUP(C1686,Códigos!$A$11:$A$415,Códigos!$B$11:$B$415,"Verificar",0)</f>
        <v>0</v>
      </c>
      <c r="F1686" s="1286"/>
      <c r="G1686" s="441">
        <v>0</v>
      </c>
      <c r="H1686" s="441">
        <f t="shared" si="46"/>
        <v>633732083</v>
      </c>
      <c r="I1686" s="326"/>
      <c r="K1686" s="19"/>
    </row>
    <row r="1687" spans="1:11" x14ac:dyDescent="0.2">
      <c r="A1687" s="293"/>
      <c r="B1687" s="490"/>
      <c r="C1687" s="288"/>
      <c r="D1687" s="443">
        <f>_xlfn.XLOOKUP(B1687,Códigos!$A$421:$A$483,Códigos!$B$421:$B$483,"Verificar",0)</f>
        <v>0</v>
      </c>
      <c r="E1687" s="444">
        <f>_xlfn.XLOOKUP(C1687,Códigos!$A$11:$A$415,Códigos!$B$11:$B$415,"Verificar",0)</f>
        <v>0</v>
      </c>
      <c r="F1687" s="1286"/>
      <c r="G1687" s="441">
        <v>0</v>
      </c>
      <c r="H1687" s="441">
        <f t="shared" si="46"/>
        <v>633732083</v>
      </c>
      <c r="I1687" s="326"/>
      <c r="K1687" s="19"/>
    </row>
    <row r="1688" spans="1:11" x14ac:dyDescent="0.2">
      <c r="A1688" s="293"/>
      <c r="B1688" s="490"/>
      <c r="C1688" s="288"/>
      <c r="D1688" s="443">
        <f>_xlfn.XLOOKUP(B1688,Códigos!$A$421:$A$483,Códigos!$B$421:$B$483,"Verificar",0)</f>
        <v>0</v>
      </c>
      <c r="E1688" s="444">
        <f>_xlfn.XLOOKUP(C1688,Códigos!$A$11:$A$415,Códigos!$B$11:$B$415,"Verificar",0)</f>
        <v>0</v>
      </c>
      <c r="F1688" s="1286"/>
      <c r="G1688" s="441">
        <v>0</v>
      </c>
      <c r="H1688" s="441">
        <f t="shared" si="46"/>
        <v>633732083</v>
      </c>
      <c r="I1688" s="326"/>
      <c r="K1688" s="19"/>
    </row>
    <row r="1689" spans="1:11" x14ac:dyDescent="0.2">
      <c r="A1689" s="293"/>
      <c r="B1689" s="490"/>
      <c r="C1689" s="288"/>
      <c r="D1689" s="443">
        <f>_xlfn.XLOOKUP(B1689,Códigos!$A$421:$A$483,Códigos!$B$421:$B$483,"Verificar",0)</f>
        <v>0</v>
      </c>
      <c r="E1689" s="444">
        <f>_xlfn.XLOOKUP(C1689,Códigos!$A$11:$A$415,Códigos!$B$11:$B$415,"Verificar",0)</f>
        <v>0</v>
      </c>
      <c r="F1689" s="1286"/>
      <c r="G1689" s="441">
        <v>0</v>
      </c>
      <c r="H1689" s="441">
        <f t="shared" si="46"/>
        <v>633732083</v>
      </c>
      <c r="I1689" s="326"/>
      <c r="K1689" s="19"/>
    </row>
    <row r="1690" spans="1:11" x14ac:dyDescent="0.2">
      <c r="A1690" s="293"/>
      <c r="B1690" s="490"/>
      <c r="C1690" s="288"/>
      <c r="D1690" s="443">
        <f>_xlfn.XLOOKUP(B1690,Códigos!$A$421:$A$483,Códigos!$B$421:$B$483,"Verificar",0)</f>
        <v>0</v>
      </c>
      <c r="E1690" s="444">
        <f>_xlfn.XLOOKUP(C1690,Códigos!$A$11:$A$415,Códigos!$B$11:$B$415,"Verificar",0)</f>
        <v>0</v>
      </c>
      <c r="F1690" s="1286"/>
      <c r="G1690" s="441">
        <v>0</v>
      </c>
      <c r="H1690" s="441">
        <f t="shared" si="46"/>
        <v>633732083</v>
      </c>
      <c r="I1690" s="326"/>
      <c r="K1690" s="19"/>
    </row>
    <row r="1691" spans="1:11" x14ac:dyDescent="0.2">
      <c r="A1691" s="293"/>
      <c r="B1691" s="490"/>
      <c r="C1691" s="288"/>
      <c r="D1691" s="443">
        <f>_xlfn.XLOOKUP(B1691,Códigos!$A$421:$A$483,Códigos!$B$421:$B$483,"Verificar",0)</f>
        <v>0</v>
      </c>
      <c r="E1691" s="444">
        <f>_xlfn.XLOOKUP(C1691,Códigos!$A$11:$A$415,Códigos!$B$11:$B$415,"Verificar",0)</f>
        <v>0</v>
      </c>
      <c r="F1691" s="1286"/>
      <c r="G1691" s="441">
        <v>0</v>
      </c>
      <c r="H1691" s="441">
        <f t="shared" si="46"/>
        <v>633732083</v>
      </c>
      <c r="I1691" s="326"/>
      <c r="K1691" s="19"/>
    </row>
    <row r="1692" spans="1:11" x14ac:dyDescent="0.2">
      <c r="A1692" s="293"/>
      <c r="B1692" s="490"/>
      <c r="C1692" s="288"/>
      <c r="D1692" s="443">
        <f>_xlfn.XLOOKUP(B1692,Códigos!$A$421:$A$483,Códigos!$B$421:$B$483,"Verificar",0)</f>
        <v>0</v>
      </c>
      <c r="E1692" s="444">
        <f>_xlfn.XLOOKUP(C1692,Códigos!$A$11:$A$415,Códigos!$B$11:$B$415,"Verificar",0)</f>
        <v>0</v>
      </c>
      <c r="F1692" s="1286"/>
      <c r="G1692" s="441">
        <v>0</v>
      </c>
      <c r="H1692" s="441">
        <f t="shared" si="46"/>
        <v>633732083</v>
      </c>
      <c r="I1692" s="326"/>
      <c r="K1692" s="19"/>
    </row>
    <row r="1693" spans="1:11" x14ac:dyDescent="0.2">
      <c r="A1693" s="293"/>
      <c r="B1693" s="490"/>
      <c r="C1693" s="288"/>
      <c r="D1693" s="443">
        <f>_xlfn.XLOOKUP(B1693,Códigos!$A$421:$A$483,Códigos!$B$421:$B$483,"Verificar",0)</f>
        <v>0</v>
      </c>
      <c r="E1693" s="444">
        <f>_xlfn.XLOOKUP(C1693,Códigos!$A$11:$A$415,Códigos!$B$11:$B$415,"Verificar",0)</f>
        <v>0</v>
      </c>
      <c r="F1693" s="1286"/>
      <c r="G1693" s="441">
        <v>0</v>
      </c>
      <c r="H1693" s="441">
        <f t="shared" si="46"/>
        <v>633732083</v>
      </c>
      <c r="I1693" s="326"/>
      <c r="K1693" s="19"/>
    </row>
    <row r="1694" spans="1:11" x14ac:dyDescent="0.2">
      <c r="A1694" s="293"/>
      <c r="B1694" s="490"/>
      <c r="C1694" s="288"/>
      <c r="D1694" s="443">
        <f>_xlfn.XLOOKUP(B1694,Códigos!$A$421:$A$483,Códigos!$B$421:$B$483,"Verificar",0)</f>
        <v>0</v>
      </c>
      <c r="E1694" s="444">
        <f>_xlfn.XLOOKUP(C1694,Códigos!$A$11:$A$415,Códigos!$B$11:$B$415,"Verificar",0)</f>
        <v>0</v>
      </c>
      <c r="F1694" s="1286"/>
      <c r="G1694" s="441">
        <v>0</v>
      </c>
      <c r="H1694" s="441">
        <f t="shared" si="46"/>
        <v>633732083</v>
      </c>
      <c r="I1694" s="326"/>
      <c r="K1694" s="19"/>
    </row>
    <row r="1695" spans="1:11" x14ac:dyDescent="0.2">
      <c r="A1695" s="293"/>
      <c r="B1695" s="490"/>
      <c r="C1695" s="288"/>
      <c r="D1695" s="443">
        <f>_xlfn.XLOOKUP(B1695,Códigos!$A$421:$A$483,Códigos!$B$421:$B$483,"Verificar",0)</f>
        <v>0</v>
      </c>
      <c r="E1695" s="444">
        <f>_xlfn.XLOOKUP(C1695,Códigos!$A$11:$A$415,Códigos!$B$11:$B$415,"Verificar",0)</f>
        <v>0</v>
      </c>
      <c r="F1695" s="1286"/>
      <c r="G1695" s="441">
        <v>0</v>
      </c>
      <c r="H1695" s="441">
        <f t="shared" si="46"/>
        <v>633732083</v>
      </c>
      <c r="I1695" s="326"/>
      <c r="K1695" s="19"/>
    </row>
    <row r="1696" spans="1:11" x14ac:dyDescent="0.2">
      <c r="A1696" s="293"/>
      <c r="B1696" s="490"/>
      <c r="C1696" s="288"/>
      <c r="D1696" s="443">
        <f>_xlfn.XLOOKUP(B1696,Códigos!$A$421:$A$483,Códigos!$B$421:$B$483,"Verificar",0)</f>
        <v>0</v>
      </c>
      <c r="E1696" s="444">
        <f>_xlfn.XLOOKUP(C1696,Códigos!$A$11:$A$415,Códigos!$B$11:$B$415,"Verificar",0)</f>
        <v>0</v>
      </c>
      <c r="F1696" s="1286"/>
      <c r="G1696" s="441">
        <v>0</v>
      </c>
      <c r="H1696" s="441">
        <f t="shared" si="46"/>
        <v>633732083</v>
      </c>
      <c r="I1696" s="326"/>
      <c r="K1696" s="19"/>
    </row>
    <row r="1697" spans="1:11" x14ac:dyDescent="0.2">
      <c r="A1697" s="293"/>
      <c r="B1697" s="490"/>
      <c r="C1697" s="288"/>
      <c r="D1697" s="443">
        <f>_xlfn.XLOOKUP(B1697,Códigos!$A$421:$A$483,Códigos!$B$421:$B$483,"Verificar",0)</f>
        <v>0</v>
      </c>
      <c r="E1697" s="444">
        <f>_xlfn.XLOOKUP(C1697,Códigos!$A$11:$A$415,Códigos!$B$11:$B$415,"Verificar",0)</f>
        <v>0</v>
      </c>
      <c r="F1697" s="1286"/>
      <c r="G1697" s="441">
        <v>0</v>
      </c>
      <c r="H1697" s="441">
        <f t="shared" si="46"/>
        <v>633732083</v>
      </c>
      <c r="I1697" s="326"/>
      <c r="K1697" s="19"/>
    </row>
    <row r="1698" spans="1:11" x14ac:dyDescent="0.2">
      <c r="A1698" s="293"/>
      <c r="B1698" s="490"/>
      <c r="C1698" s="288"/>
      <c r="D1698" s="443">
        <f>_xlfn.XLOOKUP(B1698,Códigos!$A$421:$A$483,Códigos!$B$421:$B$483,"Verificar",0)</f>
        <v>0</v>
      </c>
      <c r="E1698" s="444">
        <f>_xlfn.XLOOKUP(C1698,Códigos!$A$11:$A$415,Códigos!$B$11:$B$415,"Verificar",0)</f>
        <v>0</v>
      </c>
      <c r="F1698" s="1286"/>
      <c r="G1698" s="441">
        <v>0</v>
      </c>
      <c r="H1698" s="441">
        <f t="shared" si="46"/>
        <v>633732083</v>
      </c>
      <c r="I1698" s="326"/>
      <c r="K1698" s="19"/>
    </row>
    <row r="1699" spans="1:11" x14ac:dyDescent="0.2">
      <c r="A1699" s="293"/>
      <c r="B1699" s="490"/>
      <c r="C1699" s="288"/>
      <c r="D1699" s="443">
        <f>_xlfn.XLOOKUP(B1699,Códigos!$A$421:$A$483,Códigos!$B$421:$B$483,"Verificar",0)</f>
        <v>0</v>
      </c>
      <c r="E1699" s="444">
        <f>_xlfn.XLOOKUP(C1699,Códigos!$A$11:$A$415,Códigos!$B$11:$B$415,"Verificar",0)</f>
        <v>0</v>
      </c>
      <c r="F1699" s="1286"/>
      <c r="G1699" s="441">
        <v>0</v>
      </c>
      <c r="H1699" s="441">
        <f t="shared" si="46"/>
        <v>633732083</v>
      </c>
      <c r="I1699" s="326"/>
      <c r="K1699" s="19"/>
    </row>
    <row r="1700" spans="1:11" x14ac:dyDescent="0.2">
      <c r="A1700" s="293"/>
      <c r="B1700" s="490"/>
      <c r="C1700" s="288"/>
      <c r="D1700" s="443">
        <f>_xlfn.XLOOKUP(B1700,Códigos!$A$421:$A$483,Códigos!$B$421:$B$483,"Verificar",0)</f>
        <v>0</v>
      </c>
      <c r="E1700" s="444">
        <f>_xlfn.XLOOKUP(C1700,Códigos!$A$11:$A$415,Códigos!$B$11:$B$415,"Verificar",0)</f>
        <v>0</v>
      </c>
      <c r="F1700" s="1286"/>
      <c r="G1700" s="441">
        <v>0</v>
      </c>
      <c r="H1700" s="441">
        <f t="shared" si="46"/>
        <v>633732083</v>
      </c>
      <c r="I1700" s="326"/>
      <c r="K1700" s="19"/>
    </row>
    <row r="1701" spans="1:11" x14ac:dyDescent="0.2">
      <c r="A1701" s="293"/>
      <c r="B1701" s="490"/>
      <c r="C1701" s="288"/>
      <c r="D1701" s="443">
        <f>_xlfn.XLOOKUP(B1701,Códigos!$A$421:$A$483,Códigos!$B$421:$B$483,"Verificar",0)</f>
        <v>0</v>
      </c>
      <c r="E1701" s="444">
        <f>_xlfn.XLOOKUP(C1701,Códigos!$A$11:$A$415,Códigos!$B$11:$B$415,"Verificar",0)</f>
        <v>0</v>
      </c>
      <c r="F1701" s="1286"/>
      <c r="G1701" s="441">
        <v>0</v>
      </c>
      <c r="H1701" s="441">
        <f t="shared" si="46"/>
        <v>633732083</v>
      </c>
      <c r="I1701" s="326"/>
      <c r="K1701" s="19"/>
    </row>
    <row r="1702" spans="1:11" x14ac:dyDescent="0.2">
      <c r="A1702" s="293"/>
      <c r="B1702" s="490"/>
      <c r="C1702" s="288"/>
      <c r="D1702" s="443">
        <f>_xlfn.XLOOKUP(B1702,Códigos!$A$421:$A$483,Códigos!$B$421:$B$483,"Verificar",0)</f>
        <v>0</v>
      </c>
      <c r="E1702" s="444">
        <f>_xlfn.XLOOKUP(C1702,Códigos!$A$11:$A$415,Códigos!$B$11:$B$415,"Verificar",0)</f>
        <v>0</v>
      </c>
      <c r="F1702" s="1286"/>
      <c r="G1702" s="441">
        <v>0</v>
      </c>
      <c r="H1702" s="441">
        <f t="shared" si="46"/>
        <v>633732083</v>
      </c>
      <c r="I1702" s="326"/>
      <c r="K1702" s="19"/>
    </row>
    <row r="1703" spans="1:11" x14ac:dyDescent="0.2">
      <c r="A1703" s="293"/>
      <c r="B1703" s="490"/>
      <c r="C1703" s="288"/>
      <c r="D1703" s="443">
        <f>_xlfn.XLOOKUP(B1703,Códigos!$A$421:$A$483,Códigos!$B$421:$B$483,"Verificar",0)</f>
        <v>0</v>
      </c>
      <c r="E1703" s="444">
        <f>_xlfn.XLOOKUP(C1703,Códigos!$A$11:$A$415,Códigos!$B$11:$B$415,"Verificar",0)</f>
        <v>0</v>
      </c>
      <c r="F1703" s="1286"/>
      <c r="G1703" s="441">
        <v>0</v>
      </c>
      <c r="H1703" s="441">
        <f t="shared" si="46"/>
        <v>633732083</v>
      </c>
      <c r="I1703" s="326"/>
      <c r="K1703" s="19"/>
    </row>
    <row r="1704" spans="1:11" x14ac:dyDescent="0.2">
      <c r="A1704" s="293"/>
      <c r="B1704" s="490"/>
      <c r="C1704" s="288"/>
      <c r="D1704" s="443">
        <f>_xlfn.XLOOKUP(B1704,Códigos!$A$421:$A$483,Códigos!$B$421:$B$483,"Verificar",0)</f>
        <v>0</v>
      </c>
      <c r="E1704" s="444">
        <f>_xlfn.XLOOKUP(C1704,Códigos!$A$11:$A$415,Códigos!$B$11:$B$415,"Verificar",0)</f>
        <v>0</v>
      </c>
      <c r="F1704" s="1286"/>
      <c r="G1704" s="441">
        <v>0</v>
      </c>
      <c r="H1704" s="441">
        <f t="shared" si="46"/>
        <v>633732083</v>
      </c>
      <c r="I1704" s="326"/>
      <c r="K1704" s="19"/>
    </row>
    <row r="1705" spans="1:11" x14ac:dyDescent="0.2">
      <c r="A1705" s="293"/>
      <c r="B1705" s="490"/>
      <c r="C1705" s="288"/>
      <c r="D1705" s="443">
        <f>_xlfn.XLOOKUP(B1705,Códigos!$A$421:$A$483,Códigos!$B$421:$B$483,"Verificar",0)</f>
        <v>0</v>
      </c>
      <c r="E1705" s="444">
        <f>_xlfn.XLOOKUP(C1705,Códigos!$A$11:$A$415,Códigos!$B$11:$B$415,"Verificar",0)</f>
        <v>0</v>
      </c>
      <c r="F1705" s="1286"/>
      <c r="G1705" s="441">
        <v>0</v>
      </c>
      <c r="H1705" s="441">
        <f t="shared" si="46"/>
        <v>633732083</v>
      </c>
      <c r="I1705" s="326"/>
      <c r="K1705" s="19"/>
    </row>
    <row r="1706" spans="1:11" x14ac:dyDescent="0.2">
      <c r="A1706" s="293"/>
      <c r="B1706" s="490"/>
      <c r="C1706" s="288"/>
      <c r="D1706" s="443">
        <f>_xlfn.XLOOKUP(B1706,Códigos!$A$421:$A$483,Códigos!$B$421:$B$483,"Verificar",0)</f>
        <v>0</v>
      </c>
      <c r="E1706" s="444">
        <f>_xlfn.XLOOKUP(C1706,Códigos!$A$11:$A$415,Códigos!$B$11:$B$415,"Verificar",0)</f>
        <v>0</v>
      </c>
      <c r="F1706" s="1286"/>
      <c r="G1706" s="441">
        <v>0</v>
      </c>
      <c r="H1706" s="441">
        <f t="shared" si="46"/>
        <v>633732083</v>
      </c>
      <c r="I1706" s="326"/>
      <c r="K1706" s="19"/>
    </row>
    <row r="1707" spans="1:11" x14ac:dyDescent="0.2">
      <c r="A1707" s="293"/>
      <c r="B1707" s="490"/>
      <c r="C1707" s="288"/>
      <c r="D1707" s="443">
        <f>_xlfn.XLOOKUP(B1707,Códigos!$A$421:$A$483,Códigos!$B$421:$B$483,"Verificar",0)</f>
        <v>0</v>
      </c>
      <c r="E1707" s="444">
        <f>_xlfn.XLOOKUP(C1707,Códigos!$A$11:$A$415,Códigos!$B$11:$B$415,"Verificar",0)</f>
        <v>0</v>
      </c>
      <c r="F1707" s="1286"/>
      <c r="G1707" s="441">
        <v>0</v>
      </c>
      <c r="H1707" s="441">
        <f t="shared" si="46"/>
        <v>633732083</v>
      </c>
      <c r="I1707" s="326"/>
      <c r="K1707" s="19"/>
    </row>
    <row r="1708" spans="1:11" x14ac:dyDescent="0.2">
      <c r="A1708" s="293"/>
      <c r="B1708" s="490"/>
      <c r="C1708" s="288"/>
      <c r="D1708" s="443">
        <f>_xlfn.XLOOKUP(B1708,Códigos!$A$421:$A$483,Códigos!$B$421:$B$483,"Verificar",0)</f>
        <v>0</v>
      </c>
      <c r="E1708" s="444">
        <f>_xlfn.XLOOKUP(C1708,Códigos!$A$11:$A$415,Códigos!$B$11:$B$415,"Verificar",0)</f>
        <v>0</v>
      </c>
      <c r="F1708" s="1286"/>
      <c r="G1708" s="441">
        <v>0</v>
      </c>
      <c r="H1708" s="441">
        <f t="shared" si="46"/>
        <v>633732083</v>
      </c>
      <c r="I1708" s="326"/>
      <c r="K1708" s="19"/>
    </row>
    <row r="1709" spans="1:11" x14ac:dyDescent="0.2">
      <c r="A1709" s="293"/>
      <c r="B1709" s="490"/>
      <c r="C1709" s="288"/>
      <c r="D1709" s="443">
        <f>_xlfn.XLOOKUP(B1709,Códigos!$A$421:$A$483,Códigos!$B$421:$B$483,"Verificar",0)</f>
        <v>0</v>
      </c>
      <c r="E1709" s="444">
        <f>_xlfn.XLOOKUP(C1709,Códigos!$A$11:$A$415,Códigos!$B$11:$B$415,"Verificar",0)</f>
        <v>0</v>
      </c>
      <c r="F1709" s="1286"/>
      <c r="G1709" s="441">
        <v>0</v>
      </c>
      <c r="H1709" s="441">
        <f t="shared" si="46"/>
        <v>633732083</v>
      </c>
      <c r="I1709" s="326"/>
      <c r="K1709" s="19"/>
    </row>
    <row r="1710" spans="1:11" x14ac:dyDescent="0.2">
      <c r="A1710" s="293"/>
      <c r="B1710" s="490"/>
      <c r="C1710" s="288"/>
      <c r="D1710" s="443">
        <f>_xlfn.XLOOKUP(B1710,Códigos!$A$421:$A$483,Códigos!$B$421:$B$483,"Verificar",0)</f>
        <v>0</v>
      </c>
      <c r="E1710" s="444">
        <f>_xlfn.XLOOKUP(C1710,Códigos!$A$11:$A$415,Códigos!$B$11:$B$415,"Verificar",0)</f>
        <v>0</v>
      </c>
      <c r="F1710" s="1286"/>
      <c r="G1710" s="441">
        <v>0</v>
      </c>
      <c r="H1710" s="441">
        <f t="shared" si="46"/>
        <v>633732083</v>
      </c>
      <c r="I1710" s="326"/>
      <c r="K1710" s="19"/>
    </row>
    <row r="1711" spans="1:11" x14ac:dyDescent="0.2">
      <c r="A1711" s="293"/>
      <c r="B1711" s="490"/>
      <c r="C1711" s="288"/>
      <c r="D1711" s="443">
        <f>_xlfn.XLOOKUP(B1711,Códigos!$A$421:$A$483,Códigos!$B$421:$B$483,"Verificar",0)</f>
        <v>0</v>
      </c>
      <c r="E1711" s="444">
        <f>_xlfn.XLOOKUP(C1711,Códigos!$A$11:$A$415,Códigos!$B$11:$B$415,"Verificar",0)</f>
        <v>0</v>
      </c>
      <c r="F1711" s="1286"/>
      <c r="G1711" s="441">
        <v>0</v>
      </c>
      <c r="H1711" s="441">
        <f t="shared" si="46"/>
        <v>633732083</v>
      </c>
      <c r="I1711" s="326"/>
      <c r="K1711" s="19"/>
    </row>
    <row r="1712" spans="1:11" x14ac:dyDescent="0.2">
      <c r="A1712" s="293"/>
      <c r="B1712" s="490"/>
      <c r="C1712" s="288"/>
      <c r="D1712" s="443">
        <f>_xlfn.XLOOKUP(B1712,Códigos!$A$421:$A$483,Códigos!$B$421:$B$483,"Verificar",0)</f>
        <v>0</v>
      </c>
      <c r="E1712" s="444">
        <f>_xlfn.XLOOKUP(C1712,Códigos!$A$11:$A$415,Códigos!$B$11:$B$415,"Verificar",0)</f>
        <v>0</v>
      </c>
      <c r="F1712" s="1286"/>
      <c r="G1712" s="441">
        <v>0</v>
      </c>
      <c r="H1712" s="441">
        <f t="shared" si="46"/>
        <v>633732083</v>
      </c>
      <c r="I1712" s="326"/>
      <c r="K1712" s="19"/>
    </row>
    <row r="1713" spans="1:11" x14ac:dyDescent="0.2">
      <c r="A1713" s="293"/>
      <c r="B1713" s="490"/>
      <c r="C1713" s="288"/>
      <c r="D1713" s="443">
        <f>_xlfn.XLOOKUP(B1713,Códigos!$A$421:$A$483,Códigos!$B$421:$B$483,"Verificar",0)</f>
        <v>0</v>
      </c>
      <c r="E1713" s="444">
        <f>_xlfn.XLOOKUP(C1713,Códigos!$A$11:$A$415,Códigos!$B$11:$B$415,"Verificar",0)</f>
        <v>0</v>
      </c>
      <c r="F1713" s="1286"/>
      <c r="G1713" s="441">
        <v>0</v>
      </c>
      <c r="H1713" s="441">
        <f t="shared" si="46"/>
        <v>633732083</v>
      </c>
      <c r="I1713" s="326"/>
      <c r="K1713" s="19"/>
    </row>
    <row r="1714" spans="1:11" x14ac:dyDescent="0.2">
      <c r="A1714" s="293"/>
      <c r="B1714" s="490"/>
      <c r="C1714" s="288"/>
      <c r="D1714" s="443">
        <f>_xlfn.XLOOKUP(B1714,Códigos!$A$421:$A$483,Códigos!$B$421:$B$483,"Verificar",0)</f>
        <v>0</v>
      </c>
      <c r="E1714" s="444">
        <f>_xlfn.XLOOKUP(C1714,Códigos!$A$11:$A$415,Códigos!$B$11:$B$415,"Verificar",0)</f>
        <v>0</v>
      </c>
      <c r="F1714" s="1286"/>
      <c r="G1714" s="441">
        <v>0</v>
      </c>
      <c r="H1714" s="441">
        <f t="shared" si="46"/>
        <v>633732083</v>
      </c>
      <c r="I1714" s="326"/>
      <c r="K1714" s="19"/>
    </row>
    <row r="1715" spans="1:11" x14ac:dyDescent="0.2">
      <c r="A1715" s="293"/>
      <c r="B1715" s="490"/>
      <c r="C1715" s="288"/>
      <c r="D1715" s="443">
        <f>_xlfn.XLOOKUP(B1715,Códigos!$A$421:$A$483,Códigos!$B$421:$B$483,"Verificar",0)</f>
        <v>0</v>
      </c>
      <c r="E1715" s="444">
        <f>_xlfn.XLOOKUP(C1715,Códigos!$A$11:$A$415,Códigos!$B$11:$B$415,"Verificar",0)</f>
        <v>0</v>
      </c>
      <c r="F1715" s="1286"/>
      <c r="G1715" s="441">
        <v>0</v>
      </c>
      <c r="H1715" s="441">
        <f t="shared" si="46"/>
        <v>633732083</v>
      </c>
      <c r="I1715" s="326"/>
      <c r="K1715" s="19"/>
    </row>
    <row r="1716" spans="1:11" x14ac:dyDescent="0.2">
      <c r="A1716" s="293"/>
      <c r="B1716" s="490"/>
      <c r="C1716" s="288"/>
      <c r="D1716" s="443">
        <f>_xlfn.XLOOKUP(B1716,Códigos!$A$421:$A$483,Códigos!$B$421:$B$483,"Verificar",0)</f>
        <v>0</v>
      </c>
      <c r="E1716" s="444">
        <f>_xlfn.XLOOKUP(C1716,Códigos!$A$11:$A$415,Códigos!$B$11:$B$415,"Verificar",0)</f>
        <v>0</v>
      </c>
      <c r="F1716" s="1286"/>
      <c r="G1716" s="441">
        <v>0</v>
      </c>
      <c r="H1716" s="441">
        <f t="shared" si="46"/>
        <v>633732083</v>
      </c>
      <c r="I1716" s="326"/>
      <c r="K1716" s="19"/>
    </row>
    <row r="1717" spans="1:11" x14ac:dyDescent="0.2">
      <c r="A1717" s="293"/>
      <c r="B1717" s="490"/>
      <c r="C1717" s="288"/>
      <c r="D1717" s="443">
        <f>_xlfn.XLOOKUP(B1717,Códigos!$A$421:$A$483,Códigos!$B$421:$B$483,"Verificar",0)</f>
        <v>0</v>
      </c>
      <c r="E1717" s="444">
        <f>_xlfn.XLOOKUP(C1717,Códigos!$A$11:$A$415,Códigos!$B$11:$B$415,"Verificar",0)</f>
        <v>0</v>
      </c>
      <c r="F1717" s="1286"/>
      <c r="G1717" s="441">
        <v>0</v>
      </c>
      <c r="H1717" s="441">
        <f t="shared" si="46"/>
        <v>633732083</v>
      </c>
      <c r="I1717" s="326"/>
      <c r="K1717" s="19"/>
    </row>
    <row r="1718" spans="1:11" x14ac:dyDescent="0.2">
      <c r="A1718" s="293"/>
      <c r="B1718" s="490"/>
      <c r="C1718" s="288"/>
      <c r="D1718" s="443">
        <f>_xlfn.XLOOKUP(B1718,Códigos!$A$421:$A$483,Códigos!$B$421:$B$483,"Verificar",0)</f>
        <v>0</v>
      </c>
      <c r="E1718" s="444">
        <f>_xlfn.XLOOKUP(C1718,Códigos!$A$11:$A$415,Códigos!$B$11:$B$415,"Verificar",0)</f>
        <v>0</v>
      </c>
      <c r="F1718" s="1286"/>
      <c r="G1718" s="441">
        <v>0</v>
      </c>
      <c r="H1718" s="441">
        <f t="shared" si="46"/>
        <v>633732083</v>
      </c>
      <c r="I1718" s="326"/>
      <c r="K1718" s="19"/>
    </row>
    <row r="1719" spans="1:11" x14ac:dyDescent="0.2">
      <c r="A1719" s="293"/>
      <c r="B1719" s="490"/>
      <c r="C1719" s="288"/>
      <c r="D1719" s="443">
        <f>_xlfn.XLOOKUP(B1719,Códigos!$A$421:$A$483,Códigos!$B$421:$B$483,"Verificar",0)</f>
        <v>0</v>
      </c>
      <c r="E1719" s="444">
        <f>_xlfn.XLOOKUP(C1719,Códigos!$A$11:$A$415,Códigos!$B$11:$B$415,"Verificar",0)</f>
        <v>0</v>
      </c>
      <c r="F1719" s="1286"/>
      <c r="G1719" s="441">
        <v>0</v>
      </c>
      <c r="H1719" s="441">
        <f t="shared" si="46"/>
        <v>633732083</v>
      </c>
      <c r="I1719" s="326"/>
      <c r="K1719" s="19"/>
    </row>
    <row r="1720" spans="1:11" x14ac:dyDescent="0.2">
      <c r="A1720" s="293"/>
      <c r="B1720" s="490"/>
      <c r="C1720" s="288"/>
      <c r="D1720" s="443">
        <f>_xlfn.XLOOKUP(B1720,Códigos!$A$421:$A$483,Códigos!$B$421:$B$483,"Verificar",0)</f>
        <v>0</v>
      </c>
      <c r="E1720" s="444">
        <f>_xlfn.XLOOKUP(C1720,Códigos!$A$11:$A$415,Códigos!$B$11:$B$415,"Verificar",0)</f>
        <v>0</v>
      </c>
      <c r="F1720" s="1286"/>
      <c r="G1720" s="441">
        <v>0</v>
      </c>
      <c r="H1720" s="441">
        <f t="shared" si="46"/>
        <v>633732083</v>
      </c>
      <c r="I1720" s="326"/>
      <c r="K1720" s="19"/>
    </row>
    <row r="1721" spans="1:11" x14ac:dyDescent="0.2">
      <c r="A1721" s="293"/>
      <c r="B1721" s="490"/>
      <c r="C1721" s="288"/>
      <c r="D1721" s="443">
        <f>_xlfn.XLOOKUP(B1721,Códigos!$A$421:$A$483,Códigos!$B$421:$B$483,"Verificar",0)</f>
        <v>0</v>
      </c>
      <c r="E1721" s="444">
        <f>_xlfn.XLOOKUP(C1721,Códigos!$A$11:$A$415,Códigos!$B$11:$B$415,"Verificar",0)</f>
        <v>0</v>
      </c>
      <c r="F1721" s="1286"/>
      <c r="G1721" s="441">
        <v>0</v>
      </c>
      <c r="H1721" s="441">
        <f t="shared" si="46"/>
        <v>633732083</v>
      </c>
      <c r="I1721" s="326"/>
      <c r="K1721" s="19"/>
    </row>
    <row r="1722" spans="1:11" x14ac:dyDescent="0.2">
      <c r="A1722" s="293"/>
      <c r="B1722" s="490"/>
      <c r="C1722" s="288"/>
      <c r="D1722" s="443">
        <f>_xlfn.XLOOKUP(B1722,Códigos!$A$421:$A$483,Códigos!$B$421:$B$483,"Verificar",0)</f>
        <v>0</v>
      </c>
      <c r="E1722" s="444">
        <f>_xlfn.XLOOKUP(C1722,Códigos!$A$11:$A$415,Códigos!$B$11:$B$415,"Verificar",0)</f>
        <v>0</v>
      </c>
      <c r="F1722" s="1286"/>
      <c r="G1722" s="441">
        <v>0</v>
      </c>
      <c r="H1722" s="441">
        <f t="shared" si="46"/>
        <v>633732083</v>
      </c>
      <c r="I1722" s="326"/>
      <c r="K1722" s="19"/>
    </row>
    <row r="1723" spans="1:11" x14ac:dyDescent="0.2">
      <c r="A1723" s="293"/>
      <c r="B1723" s="490"/>
      <c r="C1723" s="288"/>
      <c r="D1723" s="443">
        <f>_xlfn.XLOOKUP(B1723,Códigos!$A$421:$A$483,Códigos!$B$421:$B$483,"Verificar",0)</f>
        <v>0</v>
      </c>
      <c r="E1723" s="444">
        <f>_xlfn.XLOOKUP(C1723,Códigos!$A$11:$A$415,Códigos!$B$11:$B$415,"Verificar",0)</f>
        <v>0</v>
      </c>
      <c r="F1723" s="1286"/>
      <c r="G1723" s="441">
        <v>0</v>
      </c>
      <c r="H1723" s="441">
        <f t="shared" si="46"/>
        <v>633732083</v>
      </c>
      <c r="I1723" s="326"/>
      <c r="K1723" s="19"/>
    </row>
    <row r="1724" spans="1:11" x14ac:dyDescent="0.2">
      <c r="A1724" s="293"/>
      <c r="B1724" s="490"/>
      <c r="C1724" s="288"/>
      <c r="D1724" s="443">
        <f>_xlfn.XLOOKUP(B1724,Códigos!$A$421:$A$483,Códigos!$B$421:$B$483,"Verificar",0)</f>
        <v>0</v>
      </c>
      <c r="E1724" s="444">
        <f>_xlfn.XLOOKUP(C1724,Códigos!$A$11:$A$415,Códigos!$B$11:$B$415,"Verificar",0)</f>
        <v>0</v>
      </c>
      <c r="F1724" s="1286"/>
      <c r="G1724" s="441">
        <v>0</v>
      </c>
      <c r="H1724" s="441">
        <f t="shared" si="46"/>
        <v>633732083</v>
      </c>
      <c r="I1724" s="326"/>
      <c r="K1724" s="19"/>
    </row>
    <row r="1725" spans="1:11" x14ac:dyDescent="0.2">
      <c r="A1725" s="293"/>
      <c r="B1725" s="490"/>
      <c r="C1725" s="288"/>
      <c r="D1725" s="443">
        <f>_xlfn.XLOOKUP(B1725,Códigos!$A$421:$A$483,Códigos!$B$421:$B$483,"Verificar",0)</f>
        <v>0</v>
      </c>
      <c r="E1725" s="444">
        <f>_xlfn.XLOOKUP(C1725,Códigos!$A$11:$A$415,Códigos!$B$11:$B$415,"Verificar",0)</f>
        <v>0</v>
      </c>
      <c r="F1725" s="1286"/>
      <c r="G1725" s="441">
        <v>0</v>
      </c>
      <c r="H1725" s="441">
        <f t="shared" si="46"/>
        <v>633732083</v>
      </c>
      <c r="I1725" s="326"/>
      <c r="K1725" s="19"/>
    </row>
    <row r="1726" spans="1:11" x14ac:dyDescent="0.2">
      <c r="A1726" s="293"/>
      <c r="B1726" s="490"/>
      <c r="C1726" s="288"/>
      <c r="D1726" s="443">
        <f>_xlfn.XLOOKUP(B1726,Códigos!$A$421:$A$483,Códigos!$B$421:$B$483,"Verificar",0)</f>
        <v>0</v>
      </c>
      <c r="E1726" s="444">
        <f>_xlfn.XLOOKUP(C1726,Códigos!$A$11:$A$415,Códigos!$B$11:$B$415,"Verificar",0)</f>
        <v>0</v>
      </c>
      <c r="F1726" s="1286"/>
      <c r="G1726" s="441">
        <v>0</v>
      </c>
      <c r="H1726" s="441">
        <f t="shared" si="46"/>
        <v>633732083</v>
      </c>
      <c r="I1726" s="326"/>
      <c r="K1726" s="19"/>
    </row>
    <row r="1727" spans="1:11" x14ac:dyDescent="0.2">
      <c r="A1727" s="293"/>
      <c r="B1727" s="490"/>
      <c r="C1727" s="288"/>
      <c r="D1727" s="443">
        <f>_xlfn.XLOOKUP(B1727,Códigos!$A$421:$A$483,Códigos!$B$421:$B$483,"Verificar",0)</f>
        <v>0</v>
      </c>
      <c r="E1727" s="444">
        <f>_xlfn.XLOOKUP(C1727,Códigos!$A$11:$A$415,Códigos!$B$11:$B$415,"Verificar",0)</f>
        <v>0</v>
      </c>
      <c r="F1727" s="1286"/>
      <c r="G1727" s="441">
        <v>0</v>
      </c>
      <c r="H1727" s="441">
        <f t="shared" si="46"/>
        <v>633732083</v>
      </c>
      <c r="I1727" s="326"/>
      <c r="K1727" s="19"/>
    </row>
    <row r="1728" spans="1:11" x14ac:dyDescent="0.2">
      <c r="A1728" s="293"/>
      <c r="B1728" s="490"/>
      <c r="C1728" s="288"/>
      <c r="D1728" s="443">
        <f>_xlfn.XLOOKUP(B1728,Códigos!$A$421:$A$483,Códigos!$B$421:$B$483,"Verificar",0)</f>
        <v>0</v>
      </c>
      <c r="E1728" s="444">
        <f>_xlfn.XLOOKUP(C1728,Códigos!$A$11:$A$415,Códigos!$B$11:$B$415,"Verificar",0)</f>
        <v>0</v>
      </c>
      <c r="F1728" s="1286"/>
      <c r="G1728" s="441">
        <v>0</v>
      </c>
      <c r="H1728" s="441">
        <f t="shared" si="46"/>
        <v>633732083</v>
      </c>
      <c r="I1728" s="326"/>
      <c r="K1728" s="19"/>
    </row>
    <row r="1729" spans="1:11" x14ac:dyDescent="0.2">
      <c r="A1729" s="293"/>
      <c r="B1729" s="490"/>
      <c r="C1729" s="288"/>
      <c r="D1729" s="443">
        <f>_xlfn.XLOOKUP(B1729,Códigos!$A$421:$A$483,Códigos!$B$421:$B$483,"Verificar",0)</f>
        <v>0</v>
      </c>
      <c r="E1729" s="444">
        <f>_xlfn.XLOOKUP(C1729,Códigos!$A$11:$A$415,Códigos!$B$11:$B$415,"Verificar",0)</f>
        <v>0</v>
      </c>
      <c r="F1729" s="1286"/>
      <c r="G1729" s="441">
        <v>0</v>
      </c>
      <c r="H1729" s="441">
        <f t="shared" si="46"/>
        <v>633732083</v>
      </c>
      <c r="I1729" s="326"/>
      <c r="K1729" s="19"/>
    </row>
    <row r="1730" spans="1:11" x14ac:dyDescent="0.2">
      <c r="A1730" s="293"/>
      <c r="B1730" s="490"/>
      <c r="C1730" s="288"/>
      <c r="D1730" s="443">
        <f>_xlfn.XLOOKUP(B1730,Códigos!$A$421:$A$483,Códigos!$B$421:$B$483,"Verificar",0)</f>
        <v>0</v>
      </c>
      <c r="E1730" s="444">
        <f>_xlfn.XLOOKUP(C1730,Códigos!$A$11:$A$415,Códigos!$B$11:$B$415,"Verificar",0)</f>
        <v>0</v>
      </c>
      <c r="F1730" s="1286"/>
      <c r="G1730" s="441">
        <v>0</v>
      </c>
      <c r="H1730" s="441">
        <f t="shared" si="46"/>
        <v>633732083</v>
      </c>
      <c r="I1730" s="326"/>
      <c r="K1730" s="19"/>
    </row>
    <row r="1731" spans="1:11" x14ac:dyDescent="0.2">
      <c r="A1731" s="293"/>
      <c r="B1731" s="490"/>
      <c r="C1731" s="288"/>
      <c r="D1731" s="443">
        <f>_xlfn.XLOOKUP(B1731,Códigos!$A$421:$A$483,Códigos!$B$421:$B$483,"Verificar",0)</f>
        <v>0</v>
      </c>
      <c r="E1731" s="444">
        <f>_xlfn.XLOOKUP(C1731,Códigos!$A$11:$A$415,Códigos!$B$11:$B$415,"Verificar",0)</f>
        <v>0</v>
      </c>
      <c r="F1731" s="1286"/>
      <c r="G1731" s="441">
        <v>0</v>
      </c>
      <c r="H1731" s="441">
        <f t="shared" si="46"/>
        <v>633732083</v>
      </c>
      <c r="I1731" s="326"/>
      <c r="K1731" s="19"/>
    </row>
    <row r="1732" spans="1:11" x14ac:dyDescent="0.2">
      <c r="A1732" s="293"/>
      <c r="B1732" s="490"/>
      <c r="C1732" s="288"/>
      <c r="D1732" s="443">
        <f>_xlfn.XLOOKUP(B1732,Códigos!$A$421:$A$483,Códigos!$B$421:$B$483,"Verificar",0)</f>
        <v>0</v>
      </c>
      <c r="E1732" s="444">
        <f>_xlfn.XLOOKUP(C1732,Códigos!$A$11:$A$415,Códigos!$B$11:$B$415,"Verificar",0)</f>
        <v>0</v>
      </c>
      <c r="F1732" s="1286"/>
      <c r="G1732" s="441">
        <v>0</v>
      </c>
      <c r="H1732" s="441">
        <f t="shared" si="46"/>
        <v>633732083</v>
      </c>
      <c r="I1732" s="326"/>
      <c r="K1732" s="19"/>
    </row>
    <row r="1733" spans="1:11" x14ac:dyDescent="0.2">
      <c r="A1733" s="293"/>
      <c r="B1733" s="490"/>
      <c r="C1733" s="288"/>
      <c r="D1733" s="443">
        <f>_xlfn.XLOOKUP(B1733,Códigos!$A$421:$A$483,Códigos!$B$421:$B$483,"Verificar",0)</f>
        <v>0</v>
      </c>
      <c r="E1733" s="444">
        <f>_xlfn.XLOOKUP(C1733,Códigos!$A$11:$A$415,Códigos!$B$11:$B$415,"Verificar",0)</f>
        <v>0</v>
      </c>
      <c r="F1733" s="1286"/>
      <c r="G1733" s="441">
        <v>0</v>
      </c>
      <c r="H1733" s="441">
        <f t="shared" si="46"/>
        <v>633732083</v>
      </c>
      <c r="I1733" s="326"/>
      <c r="K1733" s="19"/>
    </row>
    <row r="1734" spans="1:11" x14ac:dyDescent="0.2">
      <c r="A1734" s="293"/>
      <c r="B1734" s="490"/>
      <c r="C1734" s="288"/>
      <c r="D1734" s="443">
        <f>_xlfn.XLOOKUP(B1734,Códigos!$A$421:$A$483,Códigos!$B$421:$B$483,"Verificar",0)</f>
        <v>0</v>
      </c>
      <c r="E1734" s="444">
        <f>_xlfn.XLOOKUP(C1734,Códigos!$A$11:$A$415,Códigos!$B$11:$B$415,"Verificar",0)</f>
        <v>0</v>
      </c>
      <c r="F1734" s="1286"/>
      <c r="G1734" s="441">
        <v>0</v>
      </c>
      <c r="H1734" s="441">
        <f t="shared" si="46"/>
        <v>633732083</v>
      </c>
      <c r="I1734" s="326"/>
      <c r="K1734" s="19"/>
    </row>
    <row r="1735" spans="1:11" x14ac:dyDescent="0.2">
      <c r="A1735" s="293"/>
      <c r="B1735" s="490"/>
      <c r="C1735" s="288"/>
      <c r="D1735" s="443">
        <f>_xlfn.XLOOKUP(B1735,Códigos!$A$421:$A$483,Códigos!$B$421:$B$483,"Verificar",0)</f>
        <v>0</v>
      </c>
      <c r="E1735" s="444">
        <f>_xlfn.XLOOKUP(C1735,Códigos!$A$11:$A$415,Códigos!$B$11:$B$415,"Verificar",0)</f>
        <v>0</v>
      </c>
      <c r="F1735" s="1286"/>
      <c r="G1735" s="441">
        <v>0</v>
      </c>
      <c r="H1735" s="441">
        <f t="shared" si="46"/>
        <v>633732083</v>
      </c>
      <c r="I1735" s="326"/>
      <c r="K1735" s="19"/>
    </row>
    <row r="1736" spans="1:11" x14ac:dyDescent="0.2">
      <c r="A1736" s="293"/>
      <c r="B1736" s="490"/>
      <c r="C1736" s="288"/>
      <c r="D1736" s="443">
        <f>_xlfn.XLOOKUP(B1736,Códigos!$A$421:$A$483,Códigos!$B$421:$B$483,"Verificar",0)</f>
        <v>0</v>
      </c>
      <c r="E1736" s="444">
        <f>_xlfn.XLOOKUP(C1736,Códigos!$A$11:$A$415,Códigos!$B$11:$B$415,"Verificar",0)</f>
        <v>0</v>
      </c>
      <c r="F1736" s="1286"/>
      <c r="G1736" s="441">
        <v>0</v>
      </c>
      <c r="H1736" s="441">
        <f t="shared" si="46"/>
        <v>633732083</v>
      </c>
      <c r="I1736" s="326"/>
      <c r="K1736" s="19"/>
    </row>
    <row r="1737" spans="1:11" x14ac:dyDescent="0.2">
      <c r="A1737" s="293"/>
      <c r="B1737" s="490"/>
      <c r="C1737" s="288"/>
      <c r="D1737" s="443">
        <f>_xlfn.XLOOKUP(B1737,Códigos!$A$421:$A$483,Códigos!$B$421:$B$483,"Verificar",0)</f>
        <v>0</v>
      </c>
      <c r="E1737" s="444">
        <f>_xlfn.XLOOKUP(C1737,Códigos!$A$11:$A$415,Códigos!$B$11:$B$415,"Verificar",0)</f>
        <v>0</v>
      </c>
      <c r="F1737" s="1286"/>
      <c r="G1737" s="441">
        <v>0</v>
      </c>
      <c r="H1737" s="441">
        <f t="shared" si="46"/>
        <v>633732083</v>
      </c>
      <c r="I1737" s="326"/>
      <c r="K1737" s="19"/>
    </row>
    <row r="1738" spans="1:11" x14ac:dyDescent="0.2">
      <c r="A1738" s="293"/>
      <c r="B1738" s="490"/>
      <c r="C1738" s="288"/>
      <c r="D1738" s="443">
        <f>_xlfn.XLOOKUP(B1738,Códigos!$A$421:$A$483,Códigos!$B$421:$B$483,"Verificar",0)</f>
        <v>0</v>
      </c>
      <c r="E1738" s="444">
        <f>_xlfn.XLOOKUP(C1738,Códigos!$A$11:$A$415,Códigos!$B$11:$B$415,"Verificar",0)</f>
        <v>0</v>
      </c>
      <c r="F1738" s="1286"/>
      <c r="G1738" s="441">
        <v>0</v>
      </c>
      <c r="H1738" s="441">
        <f t="shared" si="46"/>
        <v>633732083</v>
      </c>
      <c r="I1738" s="326"/>
      <c r="K1738" s="19"/>
    </row>
    <row r="1739" spans="1:11" x14ac:dyDescent="0.2">
      <c r="A1739" s="293"/>
      <c r="B1739" s="490"/>
      <c r="C1739" s="288"/>
      <c r="D1739" s="443">
        <f>_xlfn.XLOOKUP(B1739,Códigos!$A$421:$A$483,Códigos!$B$421:$B$483,"Verificar",0)</f>
        <v>0</v>
      </c>
      <c r="E1739" s="444">
        <f>_xlfn.XLOOKUP(C1739,Códigos!$A$11:$A$415,Códigos!$B$11:$B$415,"Verificar",0)</f>
        <v>0</v>
      </c>
      <c r="F1739" s="1286"/>
      <c r="G1739" s="441">
        <v>0</v>
      </c>
      <c r="H1739" s="441">
        <f t="shared" si="46"/>
        <v>633732083</v>
      </c>
      <c r="I1739" s="326"/>
      <c r="K1739" s="19"/>
    </row>
    <row r="1740" spans="1:11" x14ac:dyDescent="0.2">
      <c r="A1740" s="293"/>
      <c r="B1740" s="490"/>
      <c r="C1740" s="288"/>
      <c r="D1740" s="443">
        <f>_xlfn.XLOOKUP(B1740,Códigos!$A$421:$A$483,Códigos!$B$421:$B$483,"Verificar",0)</f>
        <v>0</v>
      </c>
      <c r="E1740" s="444">
        <f>_xlfn.XLOOKUP(C1740,Códigos!$A$11:$A$415,Códigos!$B$11:$B$415,"Verificar",0)</f>
        <v>0</v>
      </c>
      <c r="F1740" s="1286"/>
      <c r="G1740" s="441">
        <v>0</v>
      </c>
      <c r="H1740" s="441">
        <f t="shared" si="46"/>
        <v>633732083</v>
      </c>
      <c r="I1740" s="326"/>
      <c r="K1740" s="19"/>
    </row>
    <row r="1741" spans="1:11" x14ac:dyDescent="0.2">
      <c r="A1741" s="293"/>
      <c r="B1741" s="490"/>
      <c r="C1741" s="288"/>
      <c r="D1741" s="443">
        <f>_xlfn.XLOOKUP(B1741,Códigos!$A$421:$A$483,Códigos!$B$421:$B$483,"Verificar",0)</f>
        <v>0</v>
      </c>
      <c r="E1741" s="444">
        <f>_xlfn.XLOOKUP(C1741,Códigos!$A$11:$A$415,Códigos!$B$11:$B$415,"Verificar",0)</f>
        <v>0</v>
      </c>
      <c r="F1741" s="1286"/>
      <c r="G1741" s="441">
        <v>0</v>
      </c>
      <c r="H1741" s="441">
        <f t="shared" si="46"/>
        <v>633732083</v>
      </c>
      <c r="I1741" s="326"/>
      <c r="K1741" s="19"/>
    </row>
    <row r="1742" spans="1:11" x14ac:dyDescent="0.2">
      <c r="A1742" s="293"/>
      <c r="B1742" s="490"/>
      <c r="C1742" s="288"/>
      <c r="D1742" s="443">
        <f>_xlfn.XLOOKUP(B1742,Códigos!$A$421:$A$483,Códigos!$B$421:$B$483,"Verificar",0)</f>
        <v>0</v>
      </c>
      <c r="E1742" s="444">
        <f>_xlfn.XLOOKUP(C1742,Códigos!$A$11:$A$415,Códigos!$B$11:$B$415,"Verificar",0)</f>
        <v>0</v>
      </c>
      <c r="F1742" s="1286"/>
      <c r="G1742" s="441">
        <v>0</v>
      </c>
      <c r="H1742" s="441">
        <f t="shared" si="46"/>
        <v>633732083</v>
      </c>
      <c r="I1742" s="326"/>
      <c r="K1742" s="19"/>
    </row>
    <row r="1743" spans="1:11" x14ac:dyDescent="0.2">
      <c r="A1743" s="293"/>
      <c r="B1743" s="490"/>
      <c r="C1743" s="288"/>
      <c r="D1743" s="443">
        <f>_xlfn.XLOOKUP(B1743,Códigos!$A$421:$A$483,Códigos!$B$421:$B$483,"Verificar",0)</f>
        <v>0</v>
      </c>
      <c r="E1743" s="444">
        <f>_xlfn.XLOOKUP(C1743,Códigos!$A$11:$A$415,Códigos!$B$11:$B$415,"Verificar",0)</f>
        <v>0</v>
      </c>
      <c r="F1743" s="1286"/>
      <c r="G1743" s="441">
        <v>0</v>
      </c>
      <c r="H1743" s="441">
        <f t="shared" si="46"/>
        <v>633732083</v>
      </c>
      <c r="I1743" s="326"/>
      <c r="K1743" s="19"/>
    </row>
    <row r="1744" spans="1:11" x14ac:dyDescent="0.2">
      <c r="A1744" s="293"/>
      <c r="B1744" s="490"/>
      <c r="C1744" s="288"/>
      <c r="D1744" s="443">
        <f>_xlfn.XLOOKUP(B1744,Códigos!$A$421:$A$483,Códigos!$B$421:$B$483,"Verificar",0)</f>
        <v>0</v>
      </c>
      <c r="E1744" s="444">
        <f>_xlfn.XLOOKUP(C1744,Códigos!$A$11:$A$415,Códigos!$B$11:$B$415,"Verificar",0)</f>
        <v>0</v>
      </c>
      <c r="F1744" s="1286"/>
      <c r="G1744" s="441">
        <v>0</v>
      </c>
      <c r="H1744" s="441">
        <f t="shared" si="46"/>
        <v>633732083</v>
      </c>
      <c r="I1744" s="326"/>
      <c r="K1744" s="19"/>
    </row>
    <row r="1745" spans="1:11" x14ac:dyDescent="0.2">
      <c r="A1745" s="293"/>
      <c r="B1745" s="490"/>
      <c r="C1745" s="288"/>
      <c r="D1745" s="443">
        <f>_xlfn.XLOOKUP(B1745,Códigos!$A$421:$A$483,Códigos!$B$421:$B$483,"Verificar",0)</f>
        <v>0</v>
      </c>
      <c r="E1745" s="444">
        <f>_xlfn.XLOOKUP(C1745,Códigos!$A$11:$A$415,Códigos!$B$11:$B$415,"Verificar",0)</f>
        <v>0</v>
      </c>
      <c r="F1745" s="1286"/>
      <c r="G1745" s="441">
        <v>0</v>
      </c>
      <c r="H1745" s="441">
        <f t="shared" si="46"/>
        <v>633732083</v>
      </c>
      <c r="I1745" s="326"/>
      <c r="K1745" s="19"/>
    </row>
    <row r="1746" spans="1:11" x14ac:dyDescent="0.2">
      <c r="A1746" s="293"/>
      <c r="B1746" s="490"/>
      <c r="C1746" s="288"/>
      <c r="D1746" s="443">
        <f>_xlfn.XLOOKUP(B1746,Códigos!$A$421:$A$483,Códigos!$B$421:$B$483,"Verificar",0)</f>
        <v>0</v>
      </c>
      <c r="E1746" s="444">
        <f>_xlfn.XLOOKUP(C1746,Códigos!$A$11:$A$415,Códigos!$B$11:$B$415,"Verificar",0)</f>
        <v>0</v>
      </c>
      <c r="F1746" s="1286"/>
      <c r="G1746" s="441">
        <v>0</v>
      </c>
      <c r="H1746" s="441">
        <f t="shared" si="46"/>
        <v>633732083</v>
      </c>
      <c r="I1746" s="326"/>
      <c r="K1746" s="19"/>
    </row>
    <row r="1747" spans="1:11" x14ac:dyDescent="0.2">
      <c r="A1747" s="293"/>
      <c r="B1747" s="490"/>
      <c r="C1747" s="288"/>
      <c r="D1747" s="443">
        <f>_xlfn.XLOOKUP(B1747,Códigos!$A$421:$A$483,Códigos!$B$421:$B$483,"Verificar",0)</f>
        <v>0</v>
      </c>
      <c r="E1747" s="444">
        <f>_xlfn.XLOOKUP(C1747,Códigos!$A$11:$A$415,Códigos!$B$11:$B$415,"Verificar",0)</f>
        <v>0</v>
      </c>
      <c r="F1747" s="1286"/>
      <c r="G1747" s="441">
        <v>0</v>
      </c>
      <c r="H1747" s="441">
        <f t="shared" si="46"/>
        <v>633732083</v>
      </c>
      <c r="I1747" s="326"/>
      <c r="K1747" s="19"/>
    </row>
    <row r="1748" spans="1:11" x14ac:dyDescent="0.2">
      <c r="A1748" s="293"/>
      <c r="B1748" s="490"/>
      <c r="C1748" s="288"/>
      <c r="D1748" s="443">
        <f>_xlfn.XLOOKUP(B1748,Códigos!$A$421:$A$483,Códigos!$B$421:$B$483,"Verificar",0)</f>
        <v>0</v>
      </c>
      <c r="E1748" s="444">
        <f>_xlfn.XLOOKUP(C1748,Códigos!$A$11:$A$415,Códigos!$B$11:$B$415,"Verificar",0)</f>
        <v>0</v>
      </c>
      <c r="F1748" s="1286"/>
      <c r="G1748" s="441">
        <v>0</v>
      </c>
      <c r="H1748" s="441">
        <f t="shared" si="46"/>
        <v>633732083</v>
      </c>
      <c r="I1748" s="326"/>
      <c r="K1748" s="19"/>
    </row>
    <row r="1749" spans="1:11" x14ac:dyDescent="0.2">
      <c r="A1749" s="293"/>
      <c r="B1749" s="490"/>
      <c r="C1749" s="288"/>
      <c r="D1749" s="443">
        <f>_xlfn.XLOOKUP(B1749,Códigos!$A$421:$A$483,Códigos!$B$421:$B$483,"Verificar",0)</f>
        <v>0</v>
      </c>
      <c r="E1749" s="444">
        <f>_xlfn.XLOOKUP(C1749,Códigos!$A$11:$A$415,Códigos!$B$11:$B$415,"Verificar",0)</f>
        <v>0</v>
      </c>
      <c r="F1749" s="1286"/>
      <c r="G1749" s="441">
        <v>0</v>
      </c>
      <c r="H1749" s="441">
        <f t="shared" ref="H1749:H1812" si="47">+H1748+G1749</f>
        <v>633732083</v>
      </c>
      <c r="I1749" s="326"/>
      <c r="K1749" s="19"/>
    </row>
    <row r="1750" spans="1:11" x14ac:dyDescent="0.2">
      <c r="A1750" s="293"/>
      <c r="B1750" s="490"/>
      <c r="C1750" s="288"/>
      <c r="D1750" s="443">
        <f>_xlfn.XLOOKUP(B1750,Códigos!$A$421:$A$483,Códigos!$B$421:$B$483,"Verificar",0)</f>
        <v>0</v>
      </c>
      <c r="E1750" s="444">
        <f>_xlfn.XLOOKUP(C1750,Códigos!$A$11:$A$415,Códigos!$B$11:$B$415,"Verificar",0)</f>
        <v>0</v>
      </c>
      <c r="F1750" s="1286"/>
      <c r="G1750" s="441">
        <v>0</v>
      </c>
      <c r="H1750" s="441">
        <f t="shared" si="47"/>
        <v>633732083</v>
      </c>
      <c r="I1750" s="326"/>
      <c r="K1750" s="19"/>
    </row>
    <row r="1751" spans="1:11" x14ac:dyDescent="0.2">
      <c r="A1751" s="293"/>
      <c r="B1751" s="490"/>
      <c r="C1751" s="288"/>
      <c r="D1751" s="443">
        <f>_xlfn.XLOOKUP(B1751,Códigos!$A$421:$A$483,Códigos!$B$421:$B$483,"Verificar",0)</f>
        <v>0</v>
      </c>
      <c r="E1751" s="444">
        <f>_xlfn.XLOOKUP(C1751,Códigos!$A$11:$A$415,Códigos!$B$11:$B$415,"Verificar",0)</f>
        <v>0</v>
      </c>
      <c r="F1751" s="1286"/>
      <c r="G1751" s="441">
        <v>0</v>
      </c>
      <c r="H1751" s="441">
        <f t="shared" si="47"/>
        <v>633732083</v>
      </c>
      <c r="I1751" s="326"/>
      <c r="K1751" s="19"/>
    </row>
    <row r="1752" spans="1:11" x14ac:dyDescent="0.2">
      <c r="A1752" s="293"/>
      <c r="B1752" s="490"/>
      <c r="C1752" s="288"/>
      <c r="D1752" s="443">
        <f>_xlfn.XLOOKUP(B1752,Códigos!$A$421:$A$483,Códigos!$B$421:$B$483,"Verificar",0)</f>
        <v>0</v>
      </c>
      <c r="E1752" s="444">
        <f>_xlfn.XLOOKUP(C1752,Códigos!$A$11:$A$415,Códigos!$B$11:$B$415,"Verificar",0)</f>
        <v>0</v>
      </c>
      <c r="F1752" s="1286"/>
      <c r="G1752" s="441">
        <v>0</v>
      </c>
      <c r="H1752" s="441">
        <f t="shared" si="47"/>
        <v>633732083</v>
      </c>
      <c r="I1752" s="326"/>
      <c r="K1752" s="19"/>
    </row>
    <row r="1753" spans="1:11" x14ac:dyDescent="0.2">
      <c r="A1753" s="293"/>
      <c r="B1753" s="490"/>
      <c r="C1753" s="288"/>
      <c r="D1753" s="443">
        <f>_xlfn.XLOOKUP(B1753,Códigos!$A$421:$A$483,Códigos!$B$421:$B$483,"Verificar",0)</f>
        <v>0</v>
      </c>
      <c r="E1753" s="444">
        <f>_xlfn.XLOOKUP(C1753,Códigos!$A$11:$A$415,Códigos!$B$11:$B$415,"Verificar",0)</f>
        <v>0</v>
      </c>
      <c r="F1753" s="1286"/>
      <c r="G1753" s="441">
        <v>0</v>
      </c>
      <c r="H1753" s="441">
        <f t="shared" si="47"/>
        <v>633732083</v>
      </c>
      <c r="I1753" s="326"/>
      <c r="K1753" s="19"/>
    </row>
    <row r="1754" spans="1:11" x14ac:dyDescent="0.2">
      <c r="A1754" s="293"/>
      <c r="B1754" s="490"/>
      <c r="C1754" s="288"/>
      <c r="D1754" s="443">
        <f>_xlfn.XLOOKUP(B1754,Códigos!$A$421:$A$483,Códigos!$B$421:$B$483,"Verificar",0)</f>
        <v>0</v>
      </c>
      <c r="E1754" s="444">
        <f>_xlfn.XLOOKUP(C1754,Códigos!$A$11:$A$415,Códigos!$B$11:$B$415,"Verificar",0)</f>
        <v>0</v>
      </c>
      <c r="F1754" s="1286"/>
      <c r="G1754" s="441">
        <v>0</v>
      </c>
      <c r="H1754" s="441">
        <f t="shared" si="47"/>
        <v>633732083</v>
      </c>
      <c r="I1754" s="326"/>
      <c r="K1754" s="19"/>
    </row>
    <row r="1755" spans="1:11" x14ac:dyDescent="0.2">
      <c r="A1755" s="293"/>
      <c r="B1755" s="490"/>
      <c r="C1755" s="288"/>
      <c r="D1755" s="443">
        <f>_xlfn.XLOOKUP(B1755,Códigos!$A$421:$A$483,Códigos!$B$421:$B$483,"Verificar",0)</f>
        <v>0</v>
      </c>
      <c r="E1755" s="444">
        <f>_xlfn.XLOOKUP(C1755,Códigos!$A$11:$A$415,Códigos!$B$11:$B$415,"Verificar",0)</f>
        <v>0</v>
      </c>
      <c r="F1755" s="1286"/>
      <c r="G1755" s="441">
        <v>0</v>
      </c>
      <c r="H1755" s="441">
        <f t="shared" si="47"/>
        <v>633732083</v>
      </c>
      <c r="I1755" s="326"/>
      <c r="K1755" s="19"/>
    </row>
    <row r="1756" spans="1:11" x14ac:dyDescent="0.2">
      <c r="A1756" s="293"/>
      <c r="B1756" s="490"/>
      <c r="C1756" s="288"/>
      <c r="D1756" s="443">
        <f>_xlfn.XLOOKUP(B1756,Códigos!$A$421:$A$483,Códigos!$B$421:$B$483,"Verificar",0)</f>
        <v>0</v>
      </c>
      <c r="E1756" s="444">
        <f>_xlfn.XLOOKUP(C1756,Códigos!$A$11:$A$415,Códigos!$B$11:$B$415,"Verificar",0)</f>
        <v>0</v>
      </c>
      <c r="F1756" s="1286"/>
      <c r="G1756" s="441">
        <v>0</v>
      </c>
      <c r="H1756" s="441">
        <f t="shared" si="47"/>
        <v>633732083</v>
      </c>
      <c r="I1756" s="326"/>
      <c r="K1756" s="19"/>
    </row>
    <row r="1757" spans="1:11" x14ac:dyDescent="0.2">
      <c r="A1757" s="293"/>
      <c r="B1757" s="490"/>
      <c r="C1757" s="288"/>
      <c r="D1757" s="443">
        <f>_xlfn.XLOOKUP(B1757,Códigos!$A$421:$A$483,Códigos!$B$421:$B$483,"Verificar",0)</f>
        <v>0</v>
      </c>
      <c r="E1757" s="444">
        <f>_xlfn.XLOOKUP(C1757,Códigos!$A$11:$A$415,Códigos!$B$11:$B$415,"Verificar",0)</f>
        <v>0</v>
      </c>
      <c r="F1757" s="1286"/>
      <c r="G1757" s="441">
        <v>0</v>
      </c>
      <c r="H1757" s="441">
        <f t="shared" si="47"/>
        <v>633732083</v>
      </c>
      <c r="I1757" s="326"/>
      <c r="K1757" s="19"/>
    </row>
    <row r="1758" spans="1:11" x14ac:dyDescent="0.2">
      <c r="A1758" s="293"/>
      <c r="B1758" s="490"/>
      <c r="C1758" s="288"/>
      <c r="D1758" s="443">
        <f>_xlfn.XLOOKUP(B1758,Códigos!$A$421:$A$483,Códigos!$B$421:$B$483,"Verificar",0)</f>
        <v>0</v>
      </c>
      <c r="E1758" s="444">
        <f>_xlfn.XLOOKUP(C1758,Códigos!$A$11:$A$415,Códigos!$B$11:$B$415,"Verificar",0)</f>
        <v>0</v>
      </c>
      <c r="F1758" s="1286"/>
      <c r="G1758" s="441">
        <v>0</v>
      </c>
      <c r="H1758" s="441">
        <f t="shared" si="47"/>
        <v>633732083</v>
      </c>
      <c r="I1758" s="326"/>
      <c r="K1758" s="19"/>
    </row>
    <row r="1759" spans="1:11" x14ac:dyDescent="0.2">
      <c r="A1759" s="293"/>
      <c r="B1759" s="490"/>
      <c r="C1759" s="288"/>
      <c r="D1759" s="443">
        <f>_xlfn.XLOOKUP(B1759,Códigos!$A$421:$A$483,Códigos!$B$421:$B$483,"Verificar",0)</f>
        <v>0</v>
      </c>
      <c r="E1759" s="444">
        <f>_xlfn.XLOOKUP(C1759,Códigos!$A$11:$A$415,Códigos!$B$11:$B$415,"Verificar",0)</f>
        <v>0</v>
      </c>
      <c r="F1759" s="1286"/>
      <c r="G1759" s="441">
        <v>0</v>
      </c>
      <c r="H1759" s="441">
        <f t="shared" si="47"/>
        <v>633732083</v>
      </c>
      <c r="I1759" s="326"/>
      <c r="K1759" s="19"/>
    </row>
    <row r="1760" spans="1:11" x14ac:dyDescent="0.2">
      <c r="A1760" s="293"/>
      <c r="B1760" s="490"/>
      <c r="C1760" s="288"/>
      <c r="D1760" s="443">
        <f>_xlfn.XLOOKUP(B1760,Códigos!$A$421:$A$483,Códigos!$B$421:$B$483,"Verificar",0)</f>
        <v>0</v>
      </c>
      <c r="E1760" s="444">
        <f>_xlfn.XLOOKUP(C1760,Códigos!$A$11:$A$415,Códigos!$B$11:$B$415,"Verificar",0)</f>
        <v>0</v>
      </c>
      <c r="F1760" s="1286"/>
      <c r="G1760" s="441">
        <v>0</v>
      </c>
      <c r="H1760" s="441">
        <f t="shared" si="47"/>
        <v>633732083</v>
      </c>
      <c r="I1760" s="326"/>
      <c r="K1760" s="19"/>
    </row>
    <row r="1761" spans="1:11" x14ac:dyDescent="0.2">
      <c r="A1761" s="293"/>
      <c r="B1761" s="490"/>
      <c r="C1761" s="288"/>
      <c r="D1761" s="443">
        <f>_xlfn.XLOOKUP(B1761,Códigos!$A$421:$A$483,Códigos!$B$421:$B$483,"Verificar",0)</f>
        <v>0</v>
      </c>
      <c r="E1761" s="444">
        <f>_xlfn.XLOOKUP(C1761,Códigos!$A$11:$A$415,Códigos!$B$11:$B$415,"Verificar",0)</f>
        <v>0</v>
      </c>
      <c r="F1761" s="1286"/>
      <c r="G1761" s="441">
        <v>0</v>
      </c>
      <c r="H1761" s="441">
        <f t="shared" si="47"/>
        <v>633732083</v>
      </c>
      <c r="I1761" s="326"/>
      <c r="K1761" s="19"/>
    </row>
    <row r="1762" spans="1:11" x14ac:dyDescent="0.2">
      <c r="A1762" s="293"/>
      <c r="B1762" s="490"/>
      <c r="C1762" s="288"/>
      <c r="D1762" s="443">
        <f>_xlfn.XLOOKUP(B1762,Códigos!$A$421:$A$483,Códigos!$B$421:$B$483,"Verificar",0)</f>
        <v>0</v>
      </c>
      <c r="E1762" s="444">
        <f>_xlfn.XLOOKUP(C1762,Códigos!$A$11:$A$415,Códigos!$B$11:$B$415,"Verificar",0)</f>
        <v>0</v>
      </c>
      <c r="F1762" s="1286"/>
      <c r="G1762" s="441">
        <v>0</v>
      </c>
      <c r="H1762" s="441">
        <f t="shared" si="47"/>
        <v>633732083</v>
      </c>
      <c r="I1762" s="326"/>
      <c r="K1762" s="19"/>
    </row>
    <row r="1763" spans="1:11" x14ac:dyDescent="0.2">
      <c r="A1763" s="293"/>
      <c r="B1763" s="490"/>
      <c r="C1763" s="288"/>
      <c r="D1763" s="443">
        <f>_xlfn.XLOOKUP(B1763,Códigos!$A$421:$A$483,Códigos!$B$421:$B$483,"Verificar",0)</f>
        <v>0</v>
      </c>
      <c r="E1763" s="444">
        <f>_xlfn.XLOOKUP(C1763,Códigos!$A$11:$A$415,Códigos!$B$11:$B$415,"Verificar",0)</f>
        <v>0</v>
      </c>
      <c r="F1763" s="1286"/>
      <c r="G1763" s="441">
        <v>0</v>
      </c>
      <c r="H1763" s="441">
        <f t="shared" si="47"/>
        <v>633732083</v>
      </c>
      <c r="I1763" s="326"/>
      <c r="K1763" s="19"/>
    </row>
    <row r="1764" spans="1:11" x14ac:dyDescent="0.2">
      <c r="A1764" s="293"/>
      <c r="B1764" s="490"/>
      <c r="C1764" s="288"/>
      <c r="D1764" s="443">
        <f>_xlfn.XLOOKUP(B1764,Códigos!$A$421:$A$483,Códigos!$B$421:$B$483,"Verificar",0)</f>
        <v>0</v>
      </c>
      <c r="E1764" s="444">
        <f>_xlfn.XLOOKUP(C1764,Códigos!$A$11:$A$415,Códigos!$B$11:$B$415,"Verificar",0)</f>
        <v>0</v>
      </c>
      <c r="F1764" s="1286"/>
      <c r="G1764" s="441">
        <v>0</v>
      </c>
      <c r="H1764" s="441">
        <f t="shared" si="47"/>
        <v>633732083</v>
      </c>
      <c r="I1764" s="326"/>
      <c r="K1764" s="19"/>
    </row>
    <row r="1765" spans="1:11" x14ac:dyDescent="0.2">
      <c r="A1765" s="293"/>
      <c r="B1765" s="490"/>
      <c r="C1765" s="288"/>
      <c r="D1765" s="443">
        <f>_xlfn.XLOOKUP(B1765,Códigos!$A$421:$A$483,Códigos!$B$421:$B$483,"Verificar",0)</f>
        <v>0</v>
      </c>
      <c r="E1765" s="444">
        <f>_xlfn.XLOOKUP(C1765,Códigos!$A$11:$A$415,Códigos!$B$11:$B$415,"Verificar",0)</f>
        <v>0</v>
      </c>
      <c r="F1765" s="1286"/>
      <c r="G1765" s="441">
        <v>0</v>
      </c>
      <c r="H1765" s="441">
        <f t="shared" si="47"/>
        <v>633732083</v>
      </c>
      <c r="I1765" s="326"/>
      <c r="K1765" s="19"/>
    </row>
    <row r="1766" spans="1:11" x14ac:dyDescent="0.2">
      <c r="A1766" s="293"/>
      <c r="B1766" s="490"/>
      <c r="C1766" s="288"/>
      <c r="D1766" s="443">
        <f>_xlfn.XLOOKUP(B1766,Códigos!$A$421:$A$483,Códigos!$B$421:$B$483,"Verificar",0)</f>
        <v>0</v>
      </c>
      <c r="E1766" s="444">
        <f>_xlfn.XLOOKUP(C1766,Códigos!$A$11:$A$415,Códigos!$B$11:$B$415,"Verificar",0)</f>
        <v>0</v>
      </c>
      <c r="F1766" s="1286"/>
      <c r="G1766" s="441">
        <v>0</v>
      </c>
      <c r="H1766" s="441">
        <f t="shared" si="47"/>
        <v>633732083</v>
      </c>
      <c r="I1766" s="326"/>
      <c r="K1766" s="19"/>
    </row>
    <row r="1767" spans="1:11" x14ac:dyDescent="0.2">
      <c r="A1767" s="293"/>
      <c r="B1767" s="490"/>
      <c r="C1767" s="288"/>
      <c r="D1767" s="443">
        <f>_xlfn.XLOOKUP(B1767,Códigos!$A$421:$A$483,Códigos!$B$421:$B$483,"Verificar",0)</f>
        <v>0</v>
      </c>
      <c r="E1767" s="444">
        <f>_xlfn.XLOOKUP(C1767,Códigos!$A$11:$A$415,Códigos!$B$11:$B$415,"Verificar",0)</f>
        <v>0</v>
      </c>
      <c r="F1767" s="1286"/>
      <c r="G1767" s="441">
        <v>0</v>
      </c>
      <c r="H1767" s="441">
        <f t="shared" si="47"/>
        <v>633732083</v>
      </c>
      <c r="I1767" s="326"/>
      <c r="K1767" s="19"/>
    </row>
    <row r="1768" spans="1:11" x14ac:dyDescent="0.2">
      <c r="A1768" s="293"/>
      <c r="B1768" s="490"/>
      <c r="C1768" s="288"/>
      <c r="D1768" s="443">
        <f>_xlfn.XLOOKUP(B1768,Códigos!$A$421:$A$483,Códigos!$B$421:$B$483,"Verificar",0)</f>
        <v>0</v>
      </c>
      <c r="E1768" s="444">
        <f>_xlfn.XLOOKUP(C1768,Códigos!$A$11:$A$415,Códigos!$B$11:$B$415,"Verificar",0)</f>
        <v>0</v>
      </c>
      <c r="F1768" s="1286"/>
      <c r="G1768" s="441">
        <v>0</v>
      </c>
      <c r="H1768" s="441">
        <f t="shared" si="47"/>
        <v>633732083</v>
      </c>
      <c r="I1768" s="326"/>
      <c r="K1768" s="19"/>
    </row>
    <row r="1769" spans="1:11" x14ac:dyDescent="0.2">
      <c r="A1769" s="293"/>
      <c r="B1769" s="490"/>
      <c r="C1769" s="288"/>
      <c r="D1769" s="443">
        <f>_xlfn.XLOOKUP(B1769,Códigos!$A$421:$A$483,Códigos!$B$421:$B$483,"Verificar",0)</f>
        <v>0</v>
      </c>
      <c r="E1769" s="444">
        <f>_xlfn.XLOOKUP(C1769,Códigos!$A$11:$A$415,Códigos!$B$11:$B$415,"Verificar",0)</f>
        <v>0</v>
      </c>
      <c r="F1769" s="1286"/>
      <c r="G1769" s="441">
        <v>0</v>
      </c>
      <c r="H1769" s="441">
        <f t="shared" si="47"/>
        <v>633732083</v>
      </c>
      <c r="I1769" s="326"/>
      <c r="K1769" s="19"/>
    </row>
    <row r="1770" spans="1:11" x14ac:dyDescent="0.2">
      <c r="A1770" s="293"/>
      <c r="B1770" s="490"/>
      <c r="C1770" s="288"/>
      <c r="D1770" s="443">
        <f>_xlfn.XLOOKUP(B1770,Códigos!$A$421:$A$483,Códigos!$B$421:$B$483,"Verificar",0)</f>
        <v>0</v>
      </c>
      <c r="E1770" s="444">
        <f>_xlfn.XLOOKUP(C1770,Códigos!$A$11:$A$415,Códigos!$B$11:$B$415,"Verificar",0)</f>
        <v>0</v>
      </c>
      <c r="F1770" s="1286"/>
      <c r="G1770" s="441">
        <v>0</v>
      </c>
      <c r="H1770" s="441">
        <f t="shared" si="47"/>
        <v>633732083</v>
      </c>
      <c r="I1770" s="326"/>
      <c r="K1770" s="19"/>
    </row>
    <row r="1771" spans="1:11" x14ac:dyDescent="0.2">
      <c r="A1771" s="293"/>
      <c r="B1771" s="490"/>
      <c r="C1771" s="288"/>
      <c r="D1771" s="443">
        <f>_xlfn.XLOOKUP(B1771,Códigos!$A$421:$A$483,Códigos!$B$421:$B$483,"Verificar",0)</f>
        <v>0</v>
      </c>
      <c r="E1771" s="444">
        <f>_xlfn.XLOOKUP(C1771,Códigos!$A$11:$A$415,Códigos!$B$11:$B$415,"Verificar",0)</f>
        <v>0</v>
      </c>
      <c r="F1771" s="1286"/>
      <c r="G1771" s="441">
        <v>0</v>
      </c>
      <c r="H1771" s="441">
        <f t="shared" si="47"/>
        <v>633732083</v>
      </c>
      <c r="I1771" s="326"/>
      <c r="K1771" s="19"/>
    </row>
    <row r="1772" spans="1:11" x14ac:dyDescent="0.2">
      <c r="A1772" s="293"/>
      <c r="B1772" s="490"/>
      <c r="C1772" s="288"/>
      <c r="D1772" s="443">
        <f>_xlfn.XLOOKUP(B1772,Códigos!$A$421:$A$483,Códigos!$B$421:$B$483,"Verificar",0)</f>
        <v>0</v>
      </c>
      <c r="E1772" s="444">
        <f>_xlfn.XLOOKUP(C1772,Códigos!$A$11:$A$415,Códigos!$B$11:$B$415,"Verificar",0)</f>
        <v>0</v>
      </c>
      <c r="F1772" s="1286"/>
      <c r="G1772" s="441">
        <v>0</v>
      </c>
      <c r="H1772" s="441">
        <f t="shared" si="47"/>
        <v>633732083</v>
      </c>
      <c r="I1772" s="326"/>
      <c r="K1772" s="19"/>
    </row>
    <row r="1773" spans="1:11" x14ac:dyDescent="0.2">
      <c r="A1773" s="293"/>
      <c r="B1773" s="490"/>
      <c r="C1773" s="288"/>
      <c r="D1773" s="443">
        <f>_xlfn.XLOOKUP(B1773,Códigos!$A$421:$A$483,Códigos!$B$421:$B$483,"Verificar",0)</f>
        <v>0</v>
      </c>
      <c r="E1773" s="444">
        <f>_xlfn.XLOOKUP(C1773,Códigos!$A$11:$A$415,Códigos!$B$11:$B$415,"Verificar",0)</f>
        <v>0</v>
      </c>
      <c r="F1773" s="1286"/>
      <c r="G1773" s="441">
        <v>0</v>
      </c>
      <c r="H1773" s="441">
        <f t="shared" si="47"/>
        <v>633732083</v>
      </c>
      <c r="I1773" s="326"/>
      <c r="K1773" s="19"/>
    </row>
    <row r="1774" spans="1:11" x14ac:dyDescent="0.2">
      <c r="A1774" s="293"/>
      <c r="B1774" s="490"/>
      <c r="C1774" s="288"/>
      <c r="D1774" s="443">
        <f>_xlfn.XLOOKUP(B1774,Códigos!$A$421:$A$483,Códigos!$B$421:$B$483,"Verificar",0)</f>
        <v>0</v>
      </c>
      <c r="E1774" s="444">
        <f>_xlfn.XLOOKUP(C1774,Códigos!$A$11:$A$415,Códigos!$B$11:$B$415,"Verificar",0)</f>
        <v>0</v>
      </c>
      <c r="F1774" s="1286"/>
      <c r="G1774" s="441">
        <v>0</v>
      </c>
      <c r="H1774" s="441">
        <f t="shared" si="47"/>
        <v>633732083</v>
      </c>
      <c r="I1774" s="326"/>
      <c r="K1774" s="19"/>
    </row>
    <row r="1775" spans="1:11" x14ac:dyDescent="0.2">
      <c r="A1775" s="293"/>
      <c r="B1775" s="490"/>
      <c r="C1775" s="288"/>
      <c r="D1775" s="443">
        <f>_xlfn.XLOOKUP(B1775,Códigos!$A$421:$A$483,Códigos!$B$421:$B$483,"Verificar",0)</f>
        <v>0</v>
      </c>
      <c r="E1775" s="444">
        <f>_xlfn.XLOOKUP(C1775,Códigos!$A$11:$A$415,Códigos!$B$11:$B$415,"Verificar",0)</f>
        <v>0</v>
      </c>
      <c r="F1775" s="1286"/>
      <c r="G1775" s="441">
        <v>0</v>
      </c>
      <c r="H1775" s="441">
        <f t="shared" si="47"/>
        <v>633732083</v>
      </c>
      <c r="I1775" s="326"/>
      <c r="K1775" s="19"/>
    </row>
    <row r="1776" spans="1:11" x14ac:dyDescent="0.2">
      <c r="A1776" s="293"/>
      <c r="B1776" s="490"/>
      <c r="C1776" s="288"/>
      <c r="D1776" s="443">
        <f>_xlfn.XLOOKUP(B1776,Códigos!$A$421:$A$483,Códigos!$B$421:$B$483,"Verificar",0)</f>
        <v>0</v>
      </c>
      <c r="E1776" s="444">
        <f>_xlfn.XLOOKUP(C1776,Códigos!$A$11:$A$415,Códigos!$B$11:$B$415,"Verificar",0)</f>
        <v>0</v>
      </c>
      <c r="F1776" s="1286"/>
      <c r="G1776" s="441">
        <v>0</v>
      </c>
      <c r="H1776" s="441">
        <f t="shared" si="47"/>
        <v>633732083</v>
      </c>
      <c r="I1776" s="326"/>
      <c r="K1776" s="19"/>
    </row>
    <row r="1777" spans="1:11" x14ac:dyDescent="0.2">
      <c r="A1777" s="293"/>
      <c r="B1777" s="490"/>
      <c r="C1777" s="288"/>
      <c r="D1777" s="443">
        <f>_xlfn.XLOOKUP(B1777,Códigos!$A$421:$A$483,Códigos!$B$421:$B$483,"Verificar",0)</f>
        <v>0</v>
      </c>
      <c r="E1777" s="444">
        <f>_xlfn.XLOOKUP(C1777,Códigos!$A$11:$A$415,Códigos!$B$11:$B$415,"Verificar",0)</f>
        <v>0</v>
      </c>
      <c r="F1777" s="1286"/>
      <c r="G1777" s="441">
        <v>0</v>
      </c>
      <c r="H1777" s="441">
        <f t="shared" si="47"/>
        <v>633732083</v>
      </c>
      <c r="I1777" s="326"/>
      <c r="K1777" s="19"/>
    </row>
    <row r="1778" spans="1:11" x14ac:dyDescent="0.2">
      <c r="A1778" s="293"/>
      <c r="B1778" s="490"/>
      <c r="C1778" s="288"/>
      <c r="D1778" s="443">
        <f>_xlfn.XLOOKUP(B1778,Códigos!$A$421:$A$483,Códigos!$B$421:$B$483,"Verificar",0)</f>
        <v>0</v>
      </c>
      <c r="E1778" s="444">
        <f>_xlfn.XLOOKUP(C1778,Códigos!$A$11:$A$415,Códigos!$B$11:$B$415,"Verificar",0)</f>
        <v>0</v>
      </c>
      <c r="F1778" s="1286"/>
      <c r="G1778" s="441">
        <v>0</v>
      </c>
      <c r="H1778" s="441">
        <f t="shared" si="47"/>
        <v>633732083</v>
      </c>
      <c r="I1778" s="326"/>
      <c r="K1778" s="19"/>
    </row>
    <row r="1779" spans="1:11" x14ac:dyDescent="0.2">
      <c r="A1779" s="293"/>
      <c r="B1779" s="490"/>
      <c r="C1779" s="288"/>
      <c r="D1779" s="443">
        <f>_xlfn.XLOOKUP(B1779,Códigos!$A$421:$A$483,Códigos!$B$421:$B$483,"Verificar",0)</f>
        <v>0</v>
      </c>
      <c r="E1779" s="444">
        <f>_xlfn.XLOOKUP(C1779,Códigos!$A$11:$A$415,Códigos!$B$11:$B$415,"Verificar",0)</f>
        <v>0</v>
      </c>
      <c r="F1779" s="1286"/>
      <c r="G1779" s="441">
        <v>0</v>
      </c>
      <c r="H1779" s="441">
        <f t="shared" si="47"/>
        <v>633732083</v>
      </c>
      <c r="I1779" s="326"/>
      <c r="K1779" s="19"/>
    </row>
    <row r="1780" spans="1:11" x14ac:dyDescent="0.2">
      <c r="A1780" s="293"/>
      <c r="B1780" s="490"/>
      <c r="C1780" s="288"/>
      <c r="D1780" s="443">
        <f>_xlfn.XLOOKUP(B1780,Códigos!$A$421:$A$483,Códigos!$B$421:$B$483,"Verificar",0)</f>
        <v>0</v>
      </c>
      <c r="E1780" s="444">
        <f>_xlfn.XLOOKUP(C1780,Códigos!$A$11:$A$415,Códigos!$B$11:$B$415,"Verificar",0)</f>
        <v>0</v>
      </c>
      <c r="F1780" s="1286"/>
      <c r="G1780" s="441">
        <v>0</v>
      </c>
      <c r="H1780" s="441">
        <f t="shared" si="47"/>
        <v>633732083</v>
      </c>
      <c r="I1780" s="326"/>
      <c r="K1780" s="19"/>
    </row>
    <row r="1781" spans="1:11" x14ac:dyDescent="0.2">
      <c r="A1781" s="293"/>
      <c r="B1781" s="490"/>
      <c r="C1781" s="288"/>
      <c r="D1781" s="443">
        <f>_xlfn.XLOOKUP(B1781,Códigos!$A$421:$A$483,Códigos!$B$421:$B$483,"Verificar",0)</f>
        <v>0</v>
      </c>
      <c r="E1781" s="444">
        <f>_xlfn.XLOOKUP(C1781,Códigos!$A$11:$A$415,Códigos!$B$11:$B$415,"Verificar",0)</f>
        <v>0</v>
      </c>
      <c r="F1781" s="1286"/>
      <c r="G1781" s="441">
        <v>0</v>
      </c>
      <c r="H1781" s="441">
        <f t="shared" si="47"/>
        <v>633732083</v>
      </c>
      <c r="I1781" s="326"/>
      <c r="K1781" s="19"/>
    </row>
    <row r="1782" spans="1:11" x14ac:dyDescent="0.2">
      <c r="A1782" s="293"/>
      <c r="B1782" s="490"/>
      <c r="C1782" s="288"/>
      <c r="D1782" s="443">
        <f>_xlfn.XLOOKUP(B1782,Códigos!$A$421:$A$483,Códigos!$B$421:$B$483,"Verificar",0)</f>
        <v>0</v>
      </c>
      <c r="E1782" s="444">
        <f>_xlfn.XLOOKUP(C1782,Códigos!$A$11:$A$415,Códigos!$B$11:$B$415,"Verificar",0)</f>
        <v>0</v>
      </c>
      <c r="F1782" s="1286"/>
      <c r="G1782" s="441">
        <v>0</v>
      </c>
      <c r="H1782" s="441">
        <f t="shared" si="47"/>
        <v>633732083</v>
      </c>
      <c r="I1782" s="326"/>
      <c r="K1782" s="19"/>
    </row>
    <row r="1783" spans="1:11" x14ac:dyDescent="0.2">
      <c r="A1783" s="293"/>
      <c r="B1783" s="490"/>
      <c r="C1783" s="288"/>
      <c r="D1783" s="443">
        <f>_xlfn.XLOOKUP(B1783,Códigos!$A$421:$A$483,Códigos!$B$421:$B$483,"Verificar",0)</f>
        <v>0</v>
      </c>
      <c r="E1783" s="444">
        <f>_xlfn.XLOOKUP(C1783,Códigos!$A$11:$A$415,Códigos!$B$11:$B$415,"Verificar",0)</f>
        <v>0</v>
      </c>
      <c r="F1783" s="1286"/>
      <c r="G1783" s="441">
        <v>0</v>
      </c>
      <c r="H1783" s="441">
        <f t="shared" si="47"/>
        <v>633732083</v>
      </c>
      <c r="I1783" s="326"/>
      <c r="K1783" s="19"/>
    </row>
    <row r="1784" spans="1:11" x14ac:dyDescent="0.2">
      <c r="A1784" s="293"/>
      <c r="B1784" s="490"/>
      <c r="C1784" s="288"/>
      <c r="D1784" s="443">
        <f>_xlfn.XLOOKUP(B1784,Códigos!$A$421:$A$483,Códigos!$B$421:$B$483,"Verificar",0)</f>
        <v>0</v>
      </c>
      <c r="E1784" s="444">
        <f>_xlfn.XLOOKUP(C1784,Códigos!$A$11:$A$415,Códigos!$B$11:$B$415,"Verificar",0)</f>
        <v>0</v>
      </c>
      <c r="F1784" s="1286"/>
      <c r="G1784" s="441">
        <v>0</v>
      </c>
      <c r="H1784" s="441">
        <f t="shared" si="47"/>
        <v>633732083</v>
      </c>
      <c r="I1784" s="326"/>
      <c r="K1784" s="19"/>
    </row>
    <row r="1785" spans="1:11" x14ac:dyDescent="0.2">
      <c r="A1785" s="293"/>
      <c r="B1785" s="490"/>
      <c r="C1785" s="288"/>
      <c r="D1785" s="443">
        <f>_xlfn.XLOOKUP(B1785,Códigos!$A$421:$A$483,Códigos!$B$421:$B$483,"Verificar",0)</f>
        <v>0</v>
      </c>
      <c r="E1785" s="444">
        <f>_xlfn.XLOOKUP(C1785,Códigos!$A$11:$A$415,Códigos!$B$11:$B$415,"Verificar",0)</f>
        <v>0</v>
      </c>
      <c r="F1785" s="1286"/>
      <c r="G1785" s="441">
        <v>0</v>
      </c>
      <c r="H1785" s="441">
        <f t="shared" si="47"/>
        <v>633732083</v>
      </c>
      <c r="I1785" s="326"/>
      <c r="K1785" s="19"/>
    </row>
    <row r="1786" spans="1:11" x14ac:dyDescent="0.2">
      <c r="A1786" s="293"/>
      <c r="B1786" s="490"/>
      <c r="C1786" s="288"/>
      <c r="D1786" s="443">
        <f>_xlfn.XLOOKUP(B1786,Códigos!$A$421:$A$483,Códigos!$B$421:$B$483,"Verificar",0)</f>
        <v>0</v>
      </c>
      <c r="E1786" s="444">
        <f>_xlfn.XLOOKUP(C1786,Códigos!$A$11:$A$415,Códigos!$B$11:$B$415,"Verificar",0)</f>
        <v>0</v>
      </c>
      <c r="F1786" s="1286"/>
      <c r="G1786" s="441">
        <v>0</v>
      </c>
      <c r="H1786" s="441">
        <f t="shared" si="47"/>
        <v>633732083</v>
      </c>
      <c r="I1786" s="326"/>
      <c r="K1786" s="19"/>
    </row>
    <row r="1787" spans="1:11" x14ac:dyDescent="0.2">
      <c r="A1787" s="293"/>
      <c r="B1787" s="490"/>
      <c r="C1787" s="288"/>
      <c r="D1787" s="443">
        <f>_xlfn.XLOOKUP(B1787,Códigos!$A$421:$A$483,Códigos!$B$421:$B$483,"Verificar",0)</f>
        <v>0</v>
      </c>
      <c r="E1787" s="444">
        <f>_xlfn.XLOOKUP(C1787,Códigos!$A$11:$A$415,Códigos!$B$11:$B$415,"Verificar",0)</f>
        <v>0</v>
      </c>
      <c r="F1787" s="1286"/>
      <c r="G1787" s="441">
        <v>0</v>
      </c>
      <c r="H1787" s="441">
        <f t="shared" si="47"/>
        <v>633732083</v>
      </c>
      <c r="I1787" s="326"/>
      <c r="K1787" s="19"/>
    </row>
    <row r="1788" spans="1:11" x14ac:dyDescent="0.2">
      <c r="A1788" s="293"/>
      <c r="B1788" s="490"/>
      <c r="C1788" s="288"/>
      <c r="D1788" s="443">
        <f>_xlfn.XLOOKUP(B1788,Códigos!$A$421:$A$483,Códigos!$B$421:$B$483,"Verificar",0)</f>
        <v>0</v>
      </c>
      <c r="E1788" s="444">
        <f>_xlfn.XLOOKUP(C1788,Códigos!$A$11:$A$415,Códigos!$B$11:$B$415,"Verificar",0)</f>
        <v>0</v>
      </c>
      <c r="F1788" s="1286"/>
      <c r="G1788" s="441">
        <v>0</v>
      </c>
      <c r="H1788" s="441">
        <f t="shared" si="47"/>
        <v>633732083</v>
      </c>
      <c r="I1788" s="326"/>
      <c r="K1788" s="19"/>
    </row>
    <row r="1789" spans="1:11" x14ac:dyDescent="0.2">
      <c r="A1789" s="293"/>
      <c r="B1789" s="490"/>
      <c r="C1789" s="288"/>
      <c r="D1789" s="443">
        <f>_xlfn.XLOOKUP(B1789,Códigos!$A$421:$A$483,Códigos!$B$421:$B$483,"Verificar",0)</f>
        <v>0</v>
      </c>
      <c r="E1789" s="444">
        <f>_xlfn.XLOOKUP(C1789,Códigos!$A$11:$A$415,Códigos!$B$11:$B$415,"Verificar",0)</f>
        <v>0</v>
      </c>
      <c r="F1789" s="1286"/>
      <c r="G1789" s="441">
        <v>0</v>
      </c>
      <c r="H1789" s="441">
        <f t="shared" si="47"/>
        <v>633732083</v>
      </c>
      <c r="I1789" s="326"/>
      <c r="K1789" s="19"/>
    </row>
    <row r="1790" spans="1:11" x14ac:dyDescent="0.2">
      <c r="A1790" s="293"/>
      <c r="B1790" s="490"/>
      <c r="C1790" s="288"/>
      <c r="D1790" s="443">
        <f>_xlfn.XLOOKUP(B1790,Códigos!$A$421:$A$483,Códigos!$B$421:$B$483,"Verificar",0)</f>
        <v>0</v>
      </c>
      <c r="E1790" s="444">
        <f>_xlfn.XLOOKUP(C1790,Códigos!$A$11:$A$415,Códigos!$B$11:$B$415,"Verificar",0)</f>
        <v>0</v>
      </c>
      <c r="F1790" s="1286"/>
      <c r="G1790" s="441">
        <v>0</v>
      </c>
      <c r="H1790" s="441">
        <f t="shared" si="47"/>
        <v>633732083</v>
      </c>
      <c r="I1790" s="326"/>
      <c r="K1790" s="19"/>
    </row>
    <row r="1791" spans="1:11" x14ac:dyDescent="0.2">
      <c r="A1791" s="293"/>
      <c r="B1791" s="490"/>
      <c r="C1791" s="288"/>
      <c r="D1791" s="443">
        <f>_xlfn.XLOOKUP(B1791,Códigos!$A$421:$A$483,Códigos!$B$421:$B$483,"Verificar",0)</f>
        <v>0</v>
      </c>
      <c r="E1791" s="444">
        <f>_xlfn.XLOOKUP(C1791,Códigos!$A$11:$A$415,Códigos!$B$11:$B$415,"Verificar",0)</f>
        <v>0</v>
      </c>
      <c r="F1791" s="1286"/>
      <c r="G1791" s="441">
        <v>0</v>
      </c>
      <c r="H1791" s="441">
        <f t="shared" si="47"/>
        <v>633732083</v>
      </c>
      <c r="I1791" s="326"/>
      <c r="K1791" s="19"/>
    </row>
    <row r="1792" spans="1:11" x14ac:dyDescent="0.2">
      <c r="A1792" s="293"/>
      <c r="B1792" s="490"/>
      <c r="C1792" s="288"/>
      <c r="D1792" s="443">
        <f>_xlfn.XLOOKUP(B1792,Códigos!$A$421:$A$483,Códigos!$B$421:$B$483,"Verificar",0)</f>
        <v>0</v>
      </c>
      <c r="E1792" s="444">
        <f>_xlfn.XLOOKUP(C1792,Códigos!$A$11:$A$415,Códigos!$B$11:$B$415,"Verificar",0)</f>
        <v>0</v>
      </c>
      <c r="F1792" s="1286"/>
      <c r="G1792" s="441">
        <v>0</v>
      </c>
      <c r="H1792" s="441">
        <f t="shared" si="47"/>
        <v>633732083</v>
      </c>
      <c r="I1792" s="326"/>
      <c r="K1792" s="19"/>
    </row>
    <row r="1793" spans="1:11" x14ac:dyDescent="0.2">
      <c r="A1793" s="293"/>
      <c r="B1793" s="490"/>
      <c r="C1793" s="288"/>
      <c r="D1793" s="443">
        <f>_xlfn.XLOOKUP(B1793,Códigos!$A$421:$A$483,Códigos!$B$421:$B$483,"Verificar",0)</f>
        <v>0</v>
      </c>
      <c r="E1793" s="444">
        <f>_xlfn.XLOOKUP(C1793,Códigos!$A$11:$A$415,Códigos!$B$11:$B$415,"Verificar",0)</f>
        <v>0</v>
      </c>
      <c r="F1793" s="1286"/>
      <c r="G1793" s="441">
        <v>0</v>
      </c>
      <c r="H1793" s="441">
        <f t="shared" si="47"/>
        <v>633732083</v>
      </c>
      <c r="I1793" s="326"/>
      <c r="K1793" s="19"/>
    </row>
    <row r="1794" spans="1:11" x14ac:dyDescent="0.2">
      <c r="A1794" s="293"/>
      <c r="B1794" s="490"/>
      <c r="C1794" s="288"/>
      <c r="D1794" s="443">
        <f>_xlfn.XLOOKUP(B1794,Códigos!$A$421:$A$483,Códigos!$B$421:$B$483,"Verificar",0)</f>
        <v>0</v>
      </c>
      <c r="E1794" s="444">
        <f>_xlfn.XLOOKUP(C1794,Códigos!$A$11:$A$415,Códigos!$B$11:$B$415,"Verificar",0)</f>
        <v>0</v>
      </c>
      <c r="F1794" s="1286"/>
      <c r="G1794" s="441">
        <v>0</v>
      </c>
      <c r="H1794" s="441">
        <f t="shared" si="47"/>
        <v>633732083</v>
      </c>
      <c r="I1794" s="326"/>
      <c r="K1794" s="19"/>
    </row>
    <row r="1795" spans="1:11" x14ac:dyDescent="0.2">
      <c r="A1795" s="293"/>
      <c r="B1795" s="490"/>
      <c r="C1795" s="288"/>
      <c r="D1795" s="443">
        <f>_xlfn.XLOOKUP(B1795,Códigos!$A$421:$A$483,Códigos!$B$421:$B$483,"Verificar",0)</f>
        <v>0</v>
      </c>
      <c r="E1795" s="444">
        <f>_xlfn.XLOOKUP(C1795,Códigos!$A$11:$A$415,Códigos!$B$11:$B$415,"Verificar",0)</f>
        <v>0</v>
      </c>
      <c r="F1795" s="1286"/>
      <c r="G1795" s="441">
        <v>0</v>
      </c>
      <c r="H1795" s="441">
        <f t="shared" si="47"/>
        <v>633732083</v>
      </c>
      <c r="I1795" s="326"/>
      <c r="K1795" s="19"/>
    </row>
    <row r="1796" spans="1:11" x14ac:dyDescent="0.2">
      <c r="A1796" s="293"/>
      <c r="B1796" s="490"/>
      <c r="C1796" s="288"/>
      <c r="D1796" s="443">
        <f>_xlfn.XLOOKUP(B1796,Códigos!$A$421:$A$483,Códigos!$B$421:$B$483,"Verificar",0)</f>
        <v>0</v>
      </c>
      <c r="E1796" s="444">
        <f>_xlfn.XLOOKUP(C1796,Códigos!$A$11:$A$415,Códigos!$B$11:$B$415,"Verificar",0)</f>
        <v>0</v>
      </c>
      <c r="F1796" s="1286"/>
      <c r="G1796" s="441">
        <v>0</v>
      </c>
      <c r="H1796" s="441">
        <f t="shared" si="47"/>
        <v>633732083</v>
      </c>
      <c r="I1796" s="326"/>
      <c r="K1796" s="19"/>
    </row>
    <row r="1797" spans="1:11" x14ac:dyDescent="0.2">
      <c r="A1797" s="293"/>
      <c r="B1797" s="490"/>
      <c r="C1797" s="288"/>
      <c r="D1797" s="443">
        <f>_xlfn.XLOOKUP(B1797,Códigos!$A$421:$A$483,Códigos!$B$421:$B$483,"Verificar",0)</f>
        <v>0</v>
      </c>
      <c r="E1797" s="444">
        <f>_xlfn.XLOOKUP(C1797,Códigos!$A$11:$A$415,Códigos!$B$11:$B$415,"Verificar",0)</f>
        <v>0</v>
      </c>
      <c r="F1797" s="1286"/>
      <c r="G1797" s="441">
        <v>0</v>
      </c>
      <c r="H1797" s="441">
        <f t="shared" si="47"/>
        <v>633732083</v>
      </c>
      <c r="I1797" s="326"/>
      <c r="K1797" s="19"/>
    </row>
    <row r="1798" spans="1:11" x14ac:dyDescent="0.2">
      <c r="A1798" s="293"/>
      <c r="B1798" s="490"/>
      <c r="C1798" s="288"/>
      <c r="D1798" s="443">
        <f>_xlfn.XLOOKUP(B1798,Códigos!$A$421:$A$483,Códigos!$B$421:$B$483,"Verificar",0)</f>
        <v>0</v>
      </c>
      <c r="E1798" s="444">
        <f>_xlfn.XLOOKUP(C1798,Códigos!$A$11:$A$415,Códigos!$B$11:$B$415,"Verificar",0)</f>
        <v>0</v>
      </c>
      <c r="F1798" s="1286"/>
      <c r="G1798" s="441">
        <v>0</v>
      </c>
      <c r="H1798" s="441">
        <f t="shared" si="47"/>
        <v>633732083</v>
      </c>
      <c r="I1798" s="326"/>
      <c r="K1798" s="19"/>
    </row>
    <row r="1799" spans="1:11" x14ac:dyDescent="0.2">
      <c r="A1799" s="293"/>
      <c r="B1799" s="490"/>
      <c r="C1799" s="288"/>
      <c r="D1799" s="443">
        <f>_xlfn.XLOOKUP(B1799,Códigos!$A$421:$A$483,Códigos!$B$421:$B$483,"Verificar",0)</f>
        <v>0</v>
      </c>
      <c r="E1799" s="444">
        <f>_xlfn.XLOOKUP(C1799,Códigos!$A$11:$A$415,Códigos!$B$11:$B$415,"Verificar",0)</f>
        <v>0</v>
      </c>
      <c r="F1799" s="1286"/>
      <c r="G1799" s="441">
        <v>0</v>
      </c>
      <c r="H1799" s="441">
        <f t="shared" si="47"/>
        <v>633732083</v>
      </c>
      <c r="I1799" s="326"/>
      <c r="K1799" s="19"/>
    </row>
    <row r="1800" spans="1:11" x14ac:dyDescent="0.2">
      <c r="A1800" s="293"/>
      <c r="B1800" s="490"/>
      <c r="C1800" s="288"/>
      <c r="D1800" s="443">
        <f>_xlfn.XLOOKUP(B1800,Códigos!$A$421:$A$483,Códigos!$B$421:$B$483,"Verificar",0)</f>
        <v>0</v>
      </c>
      <c r="E1800" s="444">
        <f>_xlfn.XLOOKUP(C1800,Códigos!$A$11:$A$415,Códigos!$B$11:$B$415,"Verificar",0)</f>
        <v>0</v>
      </c>
      <c r="F1800" s="1286"/>
      <c r="G1800" s="441">
        <v>0</v>
      </c>
      <c r="H1800" s="441">
        <f t="shared" si="47"/>
        <v>633732083</v>
      </c>
      <c r="I1800" s="326"/>
      <c r="K1800" s="19"/>
    </row>
    <row r="1801" spans="1:11" x14ac:dyDescent="0.2">
      <c r="A1801" s="293"/>
      <c r="B1801" s="490"/>
      <c r="C1801" s="288"/>
      <c r="D1801" s="443">
        <f>_xlfn.XLOOKUP(B1801,Códigos!$A$421:$A$483,Códigos!$B$421:$B$483,"Verificar",0)</f>
        <v>0</v>
      </c>
      <c r="E1801" s="444">
        <f>_xlfn.XLOOKUP(C1801,Códigos!$A$11:$A$415,Códigos!$B$11:$B$415,"Verificar",0)</f>
        <v>0</v>
      </c>
      <c r="F1801" s="1286"/>
      <c r="G1801" s="441">
        <v>0</v>
      </c>
      <c r="H1801" s="441">
        <f t="shared" si="47"/>
        <v>633732083</v>
      </c>
      <c r="I1801" s="326"/>
      <c r="K1801" s="19"/>
    </row>
    <row r="1802" spans="1:11" x14ac:dyDescent="0.2">
      <c r="A1802" s="293"/>
      <c r="B1802" s="490"/>
      <c r="C1802" s="288"/>
      <c r="D1802" s="443">
        <f>_xlfn.XLOOKUP(B1802,Códigos!$A$421:$A$483,Códigos!$B$421:$B$483,"Verificar",0)</f>
        <v>0</v>
      </c>
      <c r="E1802" s="444">
        <f>_xlfn.XLOOKUP(C1802,Códigos!$A$11:$A$415,Códigos!$B$11:$B$415,"Verificar",0)</f>
        <v>0</v>
      </c>
      <c r="F1802" s="1286"/>
      <c r="G1802" s="441">
        <v>0</v>
      </c>
      <c r="H1802" s="441">
        <f t="shared" si="47"/>
        <v>633732083</v>
      </c>
      <c r="I1802" s="326"/>
      <c r="K1802" s="19"/>
    </row>
    <row r="1803" spans="1:11" x14ac:dyDescent="0.2">
      <c r="A1803" s="293"/>
      <c r="B1803" s="490"/>
      <c r="C1803" s="288"/>
      <c r="D1803" s="443">
        <f>_xlfn.XLOOKUP(B1803,Códigos!$A$421:$A$483,Códigos!$B$421:$B$483,"Verificar",0)</f>
        <v>0</v>
      </c>
      <c r="E1803" s="444">
        <f>_xlfn.XLOOKUP(C1803,Códigos!$A$11:$A$415,Códigos!$B$11:$B$415,"Verificar",0)</f>
        <v>0</v>
      </c>
      <c r="F1803" s="1286"/>
      <c r="G1803" s="441">
        <v>0</v>
      </c>
      <c r="H1803" s="441">
        <f t="shared" si="47"/>
        <v>633732083</v>
      </c>
      <c r="I1803" s="326"/>
      <c r="K1803" s="19"/>
    </row>
    <row r="1804" spans="1:11" x14ac:dyDescent="0.2">
      <c r="A1804" s="293"/>
      <c r="B1804" s="490"/>
      <c r="C1804" s="288"/>
      <c r="D1804" s="443">
        <f>_xlfn.XLOOKUP(B1804,Códigos!$A$421:$A$483,Códigos!$B$421:$B$483,"Verificar",0)</f>
        <v>0</v>
      </c>
      <c r="E1804" s="444">
        <f>_xlfn.XLOOKUP(C1804,Códigos!$A$11:$A$415,Códigos!$B$11:$B$415,"Verificar",0)</f>
        <v>0</v>
      </c>
      <c r="F1804" s="1286"/>
      <c r="G1804" s="441">
        <v>0</v>
      </c>
      <c r="H1804" s="441">
        <f t="shared" si="47"/>
        <v>633732083</v>
      </c>
      <c r="I1804" s="326"/>
      <c r="K1804" s="19"/>
    </row>
    <row r="1805" spans="1:11" x14ac:dyDescent="0.2">
      <c r="A1805" s="293"/>
      <c r="B1805" s="490"/>
      <c r="C1805" s="288"/>
      <c r="D1805" s="443">
        <f>_xlfn.XLOOKUP(B1805,Códigos!$A$421:$A$483,Códigos!$B$421:$B$483,"Verificar",0)</f>
        <v>0</v>
      </c>
      <c r="E1805" s="444">
        <f>_xlfn.XLOOKUP(C1805,Códigos!$A$11:$A$415,Códigos!$B$11:$B$415,"Verificar",0)</f>
        <v>0</v>
      </c>
      <c r="F1805" s="1286"/>
      <c r="G1805" s="441">
        <v>0</v>
      </c>
      <c r="H1805" s="441">
        <f t="shared" si="47"/>
        <v>633732083</v>
      </c>
      <c r="I1805" s="326"/>
      <c r="K1805" s="19"/>
    </row>
    <row r="1806" spans="1:11" x14ac:dyDescent="0.2">
      <c r="A1806" s="293"/>
      <c r="B1806" s="490"/>
      <c r="C1806" s="288"/>
      <c r="D1806" s="443">
        <f>_xlfn.XLOOKUP(B1806,Códigos!$A$421:$A$483,Códigos!$B$421:$B$483,"Verificar",0)</f>
        <v>0</v>
      </c>
      <c r="E1806" s="444">
        <f>_xlfn.XLOOKUP(C1806,Códigos!$A$11:$A$415,Códigos!$B$11:$B$415,"Verificar",0)</f>
        <v>0</v>
      </c>
      <c r="F1806" s="1286"/>
      <c r="G1806" s="441">
        <v>0</v>
      </c>
      <c r="H1806" s="441">
        <f t="shared" si="47"/>
        <v>633732083</v>
      </c>
      <c r="I1806" s="326"/>
      <c r="K1806" s="19"/>
    </row>
    <row r="1807" spans="1:11" x14ac:dyDescent="0.2">
      <c r="A1807" s="293"/>
      <c r="B1807" s="490"/>
      <c r="C1807" s="288"/>
      <c r="D1807" s="443">
        <f>_xlfn.XLOOKUP(B1807,Códigos!$A$421:$A$483,Códigos!$B$421:$B$483,"Verificar",0)</f>
        <v>0</v>
      </c>
      <c r="E1807" s="444">
        <f>_xlfn.XLOOKUP(C1807,Códigos!$A$11:$A$415,Códigos!$B$11:$B$415,"Verificar",0)</f>
        <v>0</v>
      </c>
      <c r="F1807" s="1286"/>
      <c r="G1807" s="441">
        <v>0</v>
      </c>
      <c r="H1807" s="441">
        <f t="shared" si="47"/>
        <v>633732083</v>
      </c>
      <c r="I1807" s="326"/>
      <c r="K1807" s="19"/>
    </row>
    <row r="1808" spans="1:11" x14ac:dyDescent="0.2">
      <c r="A1808" s="293"/>
      <c r="B1808" s="490"/>
      <c r="C1808" s="288"/>
      <c r="D1808" s="443">
        <f>_xlfn.XLOOKUP(B1808,Códigos!$A$421:$A$483,Códigos!$B$421:$B$483,"Verificar",0)</f>
        <v>0</v>
      </c>
      <c r="E1808" s="444">
        <f>_xlfn.XLOOKUP(C1808,Códigos!$A$11:$A$415,Códigos!$B$11:$B$415,"Verificar",0)</f>
        <v>0</v>
      </c>
      <c r="F1808" s="1286"/>
      <c r="G1808" s="441">
        <v>0</v>
      </c>
      <c r="H1808" s="441">
        <f t="shared" si="47"/>
        <v>633732083</v>
      </c>
      <c r="I1808" s="326"/>
      <c r="K1808" s="19"/>
    </row>
    <row r="1809" spans="1:11" x14ac:dyDescent="0.2">
      <c r="A1809" s="293"/>
      <c r="B1809" s="490"/>
      <c r="C1809" s="288"/>
      <c r="D1809" s="443">
        <f>_xlfn.XLOOKUP(B1809,Códigos!$A$421:$A$483,Códigos!$B$421:$B$483,"Verificar",0)</f>
        <v>0</v>
      </c>
      <c r="E1809" s="444">
        <f>_xlfn.XLOOKUP(C1809,Códigos!$A$11:$A$415,Códigos!$B$11:$B$415,"Verificar",0)</f>
        <v>0</v>
      </c>
      <c r="F1809" s="1286"/>
      <c r="G1809" s="441">
        <v>0</v>
      </c>
      <c r="H1809" s="441">
        <f t="shared" si="47"/>
        <v>633732083</v>
      </c>
      <c r="I1809" s="326"/>
      <c r="K1809" s="19"/>
    </row>
    <row r="1810" spans="1:11" x14ac:dyDescent="0.2">
      <c r="A1810" s="293"/>
      <c r="B1810" s="490"/>
      <c r="C1810" s="288"/>
      <c r="D1810" s="443">
        <f>_xlfn.XLOOKUP(B1810,Códigos!$A$421:$A$483,Códigos!$B$421:$B$483,"Verificar",0)</f>
        <v>0</v>
      </c>
      <c r="E1810" s="444">
        <f>_xlfn.XLOOKUP(C1810,Códigos!$A$11:$A$415,Códigos!$B$11:$B$415,"Verificar",0)</f>
        <v>0</v>
      </c>
      <c r="F1810" s="1286"/>
      <c r="G1810" s="441">
        <v>0</v>
      </c>
      <c r="H1810" s="441">
        <f t="shared" si="47"/>
        <v>633732083</v>
      </c>
      <c r="I1810" s="326"/>
      <c r="K1810" s="19"/>
    </row>
    <row r="1811" spans="1:11" x14ac:dyDescent="0.2">
      <c r="A1811" s="293"/>
      <c r="B1811" s="490"/>
      <c r="C1811" s="288"/>
      <c r="D1811" s="443">
        <f>_xlfn.XLOOKUP(B1811,Códigos!$A$421:$A$483,Códigos!$B$421:$B$483,"Verificar",0)</f>
        <v>0</v>
      </c>
      <c r="E1811" s="444">
        <f>_xlfn.XLOOKUP(C1811,Códigos!$A$11:$A$415,Códigos!$B$11:$B$415,"Verificar",0)</f>
        <v>0</v>
      </c>
      <c r="F1811" s="1286"/>
      <c r="G1811" s="441">
        <v>0</v>
      </c>
      <c r="H1811" s="441">
        <f t="shared" si="47"/>
        <v>633732083</v>
      </c>
      <c r="I1811" s="326"/>
      <c r="K1811" s="19"/>
    </row>
    <row r="1812" spans="1:11" x14ac:dyDescent="0.2">
      <c r="A1812" s="293"/>
      <c r="B1812" s="490"/>
      <c r="C1812" s="288"/>
      <c r="D1812" s="443">
        <f>_xlfn.XLOOKUP(B1812,Códigos!$A$421:$A$483,Códigos!$B$421:$B$483,"Verificar",0)</f>
        <v>0</v>
      </c>
      <c r="E1812" s="444">
        <f>_xlfn.XLOOKUP(C1812,Códigos!$A$11:$A$415,Códigos!$B$11:$B$415,"Verificar",0)</f>
        <v>0</v>
      </c>
      <c r="F1812" s="1286"/>
      <c r="G1812" s="441">
        <v>0</v>
      </c>
      <c r="H1812" s="441">
        <f t="shared" si="47"/>
        <v>633732083</v>
      </c>
      <c r="I1812" s="326"/>
      <c r="K1812" s="19"/>
    </row>
    <row r="1813" spans="1:11" x14ac:dyDescent="0.2">
      <c r="A1813" s="293"/>
      <c r="B1813" s="490"/>
      <c r="C1813" s="288"/>
      <c r="D1813" s="443">
        <f>_xlfn.XLOOKUP(B1813,Códigos!$A$421:$A$483,Códigos!$B$421:$B$483,"Verificar",0)</f>
        <v>0</v>
      </c>
      <c r="E1813" s="444">
        <f>_xlfn.XLOOKUP(C1813,Códigos!$A$11:$A$415,Códigos!$B$11:$B$415,"Verificar",0)</f>
        <v>0</v>
      </c>
      <c r="F1813" s="1286"/>
      <c r="G1813" s="441">
        <v>0</v>
      </c>
      <c r="H1813" s="441">
        <f t="shared" ref="H1813:H1876" si="48">+H1812+G1813</f>
        <v>633732083</v>
      </c>
      <c r="I1813" s="326"/>
      <c r="K1813" s="19"/>
    </row>
    <row r="1814" spans="1:11" x14ac:dyDescent="0.2">
      <c r="A1814" s="293"/>
      <c r="B1814" s="490"/>
      <c r="C1814" s="288"/>
      <c r="D1814" s="443">
        <f>_xlfn.XLOOKUP(B1814,Códigos!$A$421:$A$483,Códigos!$B$421:$B$483,"Verificar",0)</f>
        <v>0</v>
      </c>
      <c r="E1814" s="444">
        <f>_xlfn.XLOOKUP(C1814,Códigos!$A$11:$A$415,Códigos!$B$11:$B$415,"Verificar",0)</f>
        <v>0</v>
      </c>
      <c r="F1814" s="1286"/>
      <c r="G1814" s="441">
        <v>0</v>
      </c>
      <c r="H1814" s="441">
        <f t="shared" si="48"/>
        <v>633732083</v>
      </c>
      <c r="I1814" s="326"/>
      <c r="K1814" s="19"/>
    </row>
    <row r="1815" spans="1:11" x14ac:dyDescent="0.2">
      <c r="A1815" s="293"/>
      <c r="B1815" s="490"/>
      <c r="C1815" s="288"/>
      <c r="D1815" s="443">
        <f>_xlfn.XLOOKUP(B1815,Códigos!$A$421:$A$483,Códigos!$B$421:$B$483,"Verificar",0)</f>
        <v>0</v>
      </c>
      <c r="E1815" s="444">
        <f>_xlfn.XLOOKUP(C1815,Códigos!$A$11:$A$415,Códigos!$B$11:$B$415,"Verificar",0)</f>
        <v>0</v>
      </c>
      <c r="F1815" s="1286"/>
      <c r="G1815" s="441">
        <v>0</v>
      </c>
      <c r="H1815" s="441">
        <f t="shared" si="48"/>
        <v>633732083</v>
      </c>
      <c r="I1815" s="326"/>
      <c r="K1815" s="19"/>
    </row>
    <row r="1816" spans="1:11" x14ac:dyDescent="0.2">
      <c r="A1816" s="293"/>
      <c r="B1816" s="490"/>
      <c r="C1816" s="288"/>
      <c r="D1816" s="443">
        <f>_xlfn.XLOOKUP(B1816,Códigos!$A$421:$A$483,Códigos!$B$421:$B$483,"Verificar",0)</f>
        <v>0</v>
      </c>
      <c r="E1816" s="444">
        <f>_xlfn.XLOOKUP(C1816,Códigos!$A$11:$A$415,Códigos!$B$11:$B$415,"Verificar",0)</f>
        <v>0</v>
      </c>
      <c r="F1816" s="1286"/>
      <c r="G1816" s="441">
        <v>0</v>
      </c>
      <c r="H1816" s="441">
        <f t="shared" si="48"/>
        <v>633732083</v>
      </c>
      <c r="I1816" s="326"/>
      <c r="K1816" s="19"/>
    </row>
    <row r="1817" spans="1:11" x14ac:dyDescent="0.2">
      <c r="A1817" s="293"/>
      <c r="B1817" s="490"/>
      <c r="C1817" s="288"/>
      <c r="D1817" s="443">
        <f>_xlfn.XLOOKUP(B1817,Códigos!$A$421:$A$483,Códigos!$B$421:$B$483,"Verificar",0)</f>
        <v>0</v>
      </c>
      <c r="E1817" s="444">
        <f>_xlfn.XLOOKUP(C1817,Códigos!$A$11:$A$415,Códigos!$B$11:$B$415,"Verificar",0)</f>
        <v>0</v>
      </c>
      <c r="F1817" s="1286"/>
      <c r="G1817" s="441">
        <v>0</v>
      </c>
      <c r="H1817" s="441">
        <f t="shared" si="48"/>
        <v>633732083</v>
      </c>
      <c r="I1817" s="326"/>
      <c r="K1817" s="19"/>
    </row>
    <row r="1818" spans="1:11" x14ac:dyDescent="0.2">
      <c r="A1818" s="293"/>
      <c r="B1818" s="490"/>
      <c r="C1818" s="288"/>
      <c r="D1818" s="443">
        <f>_xlfn.XLOOKUP(B1818,Códigos!$A$421:$A$483,Códigos!$B$421:$B$483,"Verificar",0)</f>
        <v>0</v>
      </c>
      <c r="E1818" s="444">
        <f>_xlfn.XLOOKUP(C1818,Códigos!$A$11:$A$415,Códigos!$B$11:$B$415,"Verificar",0)</f>
        <v>0</v>
      </c>
      <c r="F1818" s="1286"/>
      <c r="G1818" s="441">
        <v>0</v>
      </c>
      <c r="H1818" s="441">
        <f t="shared" si="48"/>
        <v>633732083</v>
      </c>
      <c r="I1818" s="326"/>
      <c r="K1818" s="19"/>
    </row>
    <row r="1819" spans="1:11" x14ac:dyDescent="0.2">
      <c r="A1819" s="293"/>
      <c r="B1819" s="490"/>
      <c r="C1819" s="288"/>
      <c r="D1819" s="443">
        <f>_xlfn.XLOOKUP(B1819,Códigos!$A$421:$A$483,Códigos!$B$421:$B$483,"Verificar",0)</f>
        <v>0</v>
      </c>
      <c r="E1819" s="444">
        <f>_xlfn.XLOOKUP(C1819,Códigos!$A$11:$A$415,Códigos!$B$11:$B$415,"Verificar",0)</f>
        <v>0</v>
      </c>
      <c r="F1819" s="1286"/>
      <c r="G1819" s="441">
        <v>0</v>
      </c>
      <c r="H1819" s="441">
        <f t="shared" si="48"/>
        <v>633732083</v>
      </c>
      <c r="I1819" s="326"/>
      <c r="K1819" s="19"/>
    </row>
    <row r="1820" spans="1:11" x14ac:dyDescent="0.2">
      <c r="A1820" s="293"/>
      <c r="B1820" s="490"/>
      <c r="C1820" s="288"/>
      <c r="D1820" s="443">
        <f>_xlfn.XLOOKUP(B1820,Códigos!$A$421:$A$483,Códigos!$B$421:$B$483,"Verificar",0)</f>
        <v>0</v>
      </c>
      <c r="E1820" s="444">
        <f>_xlfn.XLOOKUP(C1820,Códigos!$A$11:$A$415,Códigos!$B$11:$B$415,"Verificar",0)</f>
        <v>0</v>
      </c>
      <c r="F1820" s="1286"/>
      <c r="G1820" s="441">
        <v>0</v>
      </c>
      <c r="H1820" s="441">
        <f t="shared" si="48"/>
        <v>633732083</v>
      </c>
      <c r="I1820" s="326"/>
      <c r="K1820" s="19"/>
    </row>
    <row r="1821" spans="1:11" x14ac:dyDescent="0.2">
      <c r="A1821" s="293"/>
      <c r="B1821" s="490"/>
      <c r="C1821" s="288"/>
      <c r="D1821" s="443">
        <f>_xlfn.XLOOKUP(B1821,Códigos!$A$421:$A$483,Códigos!$B$421:$B$483,"Verificar",0)</f>
        <v>0</v>
      </c>
      <c r="E1821" s="444">
        <f>_xlfn.XLOOKUP(C1821,Códigos!$A$11:$A$415,Códigos!$B$11:$B$415,"Verificar",0)</f>
        <v>0</v>
      </c>
      <c r="F1821" s="1286"/>
      <c r="G1821" s="441">
        <v>0</v>
      </c>
      <c r="H1821" s="441">
        <f t="shared" si="48"/>
        <v>633732083</v>
      </c>
      <c r="I1821" s="326"/>
      <c r="K1821" s="19"/>
    </row>
    <row r="1822" spans="1:11" x14ac:dyDescent="0.2">
      <c r="A1822" s="293"/>
      <c r="B1822" s="490"/>
      <c r="C1822" s="288"/>
      <c r="D1822" s="443">
        <f>_xlfn.XLOOKUP(B1822,Códigos!$A$421:$A$483,Códigos!$B$421:$B$483,"Verificar",0)</f>
        <v>0</v>
      </c>
      <c r="E1822" s="444">
        <f>_xlfn.XLOOKUP(C1822,Códigos!$A$11:$A$415,Códigos!$B$11:$B$415,"Verificar",0)</f>
        <v>0</v>
      </c>
      <c r="F1822" s="1286"/>
      <c r="G1822" s="441">
        <v>0</v>
      </c>
      <c r="H1822" s="441">
        <f t="shared" si="48"/>
        <v>633732083</v>
      </c>
      <c r="I1822" s="326"/>
      <c r="K1822" s="19"/>
    </row>
    <row r="1823" spans="1:11" x14ac:dyDescent="0.2">
      <c r="A1823" s="293"/>
      <c r="B1823" s="490"/>
      <c r="C1823" s="288"/>
      <c r="D1823" s="443">
        <f>_xlfn.XLOOKUP(B1823,Códigos!$A$421:$A$483,Códigos!$B$421:$B$483,"Verificar",0)</f>
        <v>0</v>
      </c>
      <c r="E1823" s="444">
        <f>_xlfn.XLOOKUP(C1823,Códigos!$A$11:$A$415,Códigos!$B$11:$B$415,"Verificar",0)</f>
        <v>0</v>
      </c>
      <c r="F1823" s="1286"/>
      <c r="G1823" s="441">
        <v>0</v>
      </c>
      <c r="H1823" s="441">
        <f t="shared" si="48"/>
        <v>633732083</v>
      </c>
      <c r="I1823" s="326"/>
      <c r="K1823" s="19"/>
    </row>
    <row r="1824" spans="1:11" x14ac:dyDescent="0.2">
      <c r="A1824" s="293"/>
      <c r="B1824" s="490"/>
      <c r="C1824" s="288"/>
      <c r="D1824" s="443">
        <f>_xlfn.XLOOKUP(B1824,Códigos!$A$421:$A$483,Códigos!$B$421:$B$483,"Verificar",0)</f>
        <v>0</v>
      </c>
      <c r="E1824" s="444">
        <f>_xlfn.XLOOKUP(C1824,Códigos!$A$11:$A$415,Códigos!$B$11:$B$415,"Verificar",0)</f>
        <v>0</v>
      </c>
      <c r="F1824" s="1286"/>
      <c r="G1824" s="441">
        <v>0</v>
      </c>
      <c r="H1824" s="441">
        <f t="shared" si="48"/>
        <v>633732083</v>
      </c>
      <c r="I1824" s="326"/>
      <c r="K1824" s="19"/>
    </row>
    <row r="1825" spans="1:11" x14ac:dyDescent="0.2">
      <c r="A1825" s="293"/>
      <c r="B1825" s="490"/>
      <c r="C1825" s="288"/>
      <c r="D1825" s="443">
        <f>_xlfn.XLOOKUP(B1825,Códigos!$A$421:$A$483,Códigos!$B$421:$B$483,"Verificar",0)</f>
        <v>0</v>
      </c>
      <c r="E1825" s="444">
        <f>_xlfn.XLOOKUP(C1825,Códigos!$A$11:$A$415,Códigos!$B$11:$B$415,"Verificar",0)</f>
        <v>0</v>
      </c>
      <c r="F1825" s="1286"/>
      <c r="G1825" s="441">
        <v>0</v>
      </c>
      <c r="H1825" s="441">
        <f t="shared" si="48"/>
        <v>633732083</v>
      </c>
      <c r="I1825" s="326"/>
      <c r="K1825" s="19"/>
    </row>
    <row r="1826" spans="1:11" x14ac:dyDescent="0.2">
      <c r="A1826" s="293"/>
      <c r="B1826" s="490"/>
      <c r="C1826" s="288"/>
      <c r="D1826" s="443">
        <f>_xlfn.XLOOKUP(B1826,Códigos!$A$421:$A$483,Códigos!$B$421:$B$483,"Verificar",0)</f>
        <v>0</v>
      </c>
      <c r="E1826" s="444">
        <f>_xlfn.XLOOKUP(C1826,Códigos!$A$11:$A$415,Códigos!$B$11:$B$415,"Verificar",0)</f>
        <v>0</v>
      </c>
      <c r="F1826" s="1286"/>
      <c r="G1826" s="441">
        <v>0</v>
      </c>
      <c r="H1826" s="441">
        <f t="shared" si="48"/>
        <v>633732083</v>
      </c>
      <c r="I1826" s="326"/>
      <c r="K1826" s="19"/>
    </row>
    <row r="1827" spans="1:11" x14ac:dyDescent="0.2">
      <c r="A1827" s="293"/>
      <c r="B1827" s="490"/>
      <c r="C1827" s="288"/>
      <c r="D1827" s="443">
        <f>_xlfn.XLOOKUP(B1827,Códigos!$A$421:$A$483,Códigos!$B$421:$B$483,"Verificar",0)</f>
        <v>0</v>
      </c>
      <c r="E1827" s="444">
        <f>_xlfn.XLOOKUP(C1827,Códigos!$A$11:$A$415,Códigos!$B$11:$B$415,"Verificar",0)</f>
        <v>0</v>
      </c>
      <c r="F1827" s="1286"/>
      <c r="G1827" s="441">
        <v>0</v>
      </c>
      <c r="H1827" s="441">
        <f t="shared" si="48"/>
        <v>633732083</v>
      </c>
      <c r="I1827" s="326"/>
      <c r="K1827" s="19"/>
    </row>
    <row r="1828" spans="1:11" x14ac:dyDescent="0.2">
      <c r="A1828" s="293"/>
      <c r="B1828" s="490"/>
      <c r="C1828" s="288"/>
      <c r="D1828" s="443">
        <f>_xlfn.XLOOKUP(B1828,Códigos!$A$421:$A$483,Códigos!$B$421:$B$483,"Verificar",0)</f>
        <v>0</v>
      </c>
      <c r="E1828" s="444">
        <f>_xlfn.XLOOKUP(C1828,Códigos!$A$11:$A$415,Códigos!$B$11:$B$415,"Verificar",0)</f>
        <v>0</v>
      </c>
      <c r="F1828" s="1286"/>
      <c r="G1828" s="441">
        <v>0</v>
      </c>
      <c r="H1828" s="441">
        <f t="shared" si="48"/>
        <v>633732083</v>
      </c>
      <c r="I1828" s="326"/>
      <c r="K1828" s="19"/>
    </row>
    <row r="1829" spans="1:11" x14ac:dyDescent="0.2">
      <c r="A1829" s="293"/>
      <c r="B1829" s="490"/>
      <c r="C1829" s="288"/>
      <c r="D1829" s="443">
        <f>_xlfn.XLOOKUP(B1829,Códigos!$A$421:$A$483,Códigos!$B$421:$B$483,"Verificar",0)</f>
        <v>0</v>
      </c>
      <c r="E1829" s="444">
        <f>_xlfn.XLOOKUP(C1829,Códigos!$A$11:$A$415,Códigos!$B$11:$B$415,"Verificar",0)</f>
        <v>0</v>
      </c>
      <c r="F1829" s="1286"/>
      <c r="G1829" s="441">
        <v>0</v>
      </c>
      <c r="H1829" s="441">
        <f t="shared" si="48"/>
        <v>633732083</v>
      </c>
      <c r="I1829" s="326"/>
      <c r="K1829" s="19"/>
    </row>
    <row r="1830" spans="1:11" x14ac:dyDescent="0.2">
      <c r="A1830" s="293"/>
      <c r="B1830" s="490"/>
      <c r="C1830" s="288"/>
      <c r="D1830" s="443">
        <f>_xlfn.XLOOKUP(B1830,Códigos!$A$421:$A$483,Códigos!$B$421:$B$483,"Verificar",0)</f>
        <v>0</v>
      </c>
      <c r="E1830" s="444">
        <f>_xlfn.XLOOKUP(C1830,Códigos!$A$11:$A$415,Códigos!$B$11:$B$415,"Verificar",0)</f>
        <v>0</v>
      </c>
      <c r="F1830" s="1286"/>
      <c r="G1830" s="441">
        <v>0</v>
      </c>
      <c r="H1830" s="441">
        <f t="shared" si="48"/>
        <v>633732083</v>
      </c>
      <c r="I1830" s="326"/>
      <c r="K1830" s="19"/>
    </row>
    <row r="1831" spans="1:11" x14ac:dyDescent="0.2">
      <c r="A1831" s="293"/>
      <c r="B1831" s="490"/>
      <c r="C1831" s="288"/>
      <c r="D1831" s="443">
        <f>_xlfn.XLOOKUP(B1831,Códigos!$A$421:$A$483,Códigos!$B$421:$B$483,"Verificar",0)</f>
        <v>0</v>
      </c>
      <c r="E1831" s="444">
        <f>_xlfn.XLOOKUP(C1831,Códigos!$A$11:$A$415,Códigos!$B$11:$B$415,"Verificar",0)</f>
        <v>0</v>
      </c>
      <c r="F1831" s="1286"/>
      <c r="G1831" s="441">
        <v>0</v>
      </c>
      <c r="H1831" s="441">
        <f t="shared" si="48"/>
        <v>633732083</v>
      </c>
      <c r="I1831" s="326"/>
      <c r="K1831" s="19"/>
    </row>
    <row r="1832" spans="1:11" x14ac:dyDescent="0.2">
      <c r="A1832" s="293"/>
      <c r="B1832" s="490"/>
      <c r="C1832" s="288"/>
      <c r="D1832" s="443">
        <f>_xlfn.XLOOKUP(B1832,Códigos!$A$421:$A$483,Códigos!$B$421:$B$483,"Verificar",0)</f>
        <v>0</v>
      </c>
      <c r="E1832" s="444">
        <f>_xlfn.XLOOKUP(C1832,Códigos!$A$11:$A$415,Códigos!$B$11:$B$415,"Verificar",0)</f>
        <v>0</v>
      </c>
      <c r="F1832" s="1286"/>
      <c r="G1832" s="441">
        <v>0</v>
      </c>
      <c r="H1832" s="441">
        <f t="shared" si="48"/>
        <v>633732083</v>
      </c>
      <c r="I1832" s="326"/>
      <c r="K1832" s="19"/>
    </row>
    <row r="1833" spans="1:11" x14ac:dyDescent="0.2">
      <c r="A1833" s="293"/>
      <c r="B1833" s="490"/>
      <c r="C1833" s="288"/>
      <c r="D1833" s="443">
        <f>_xlfn.XLOOKUP(B1833,Códigos!$A$421:$A$483,Códigos!$B$421:$B$483,"Verificar",0)</f>
        <v>0</v>
      </c>
      <c r="E1833" s="444">
        <f>_xlfn.XLOOKUP(C1833,Códigos!$A$11:$A$415,Códigos!$B$11:$B$415,"Verificar",0)</f>
        <v>0</v>
      </c>
      <c r="F1833" s="1286"/>
      <c r="G1833" s="441">
        <v>0</v>
      </c>
      <c r="H1833" s="441">
        <f t="shared" si="48"/>
        <v>633732083</v>
      </c>
      <c r="I1833" s="326"/>
      <c r="K1833" s="19"/>
    </row>
    <row r="1834" spans="1:11" x14ac:dyDescent="0.2">
      <c r="A1834" s="293"/>
      <c r="B1834" s="490"/>
      <c r="C1834" s="288"/>
      <c r="D1834" s="443">
        <f>_xlfn.XLOOKUP(B1834,Códigos!$A$421:$A$483,Códigos!$B$421:$B$483,"Verificar",0)</f>
        <v>0</v>
      </c>
      <c r="E1834" s="444">
        <f>_xlfn.XLOOKUP(C1834,Códigos!$A$11:$A$415,Códigos!$B$11:$B$415,"Verificar",0)</f>
        <v>0</v>
      </c>
      <c r="F1834" s="1286"/>
      <c r="G1834" s="441">
        <v>0</v>
      </c>
      <c r="H1834" s="441">
        <f t="shared" si="48"/>
        <v>633732083</v>
      </c>
      <c r="I1834" s="326"/>
      <c r="K1834" s="19"/>
    </row>
    <row r="1835" spans="1:11" x14ac:dyDescent="0.2">
      <c r="A1835" s="293"/>
      <c r="B1835" s="490"/>
      <c r="C1835" s="288"/>
      <c r="D1835" s="443">
        <f>_xlfn.XLOOKUP(B1835,Códigos!$A$421:$A$483,Códigos!$B$421:$B$483,"Verificar",0)</f>
        <v>0</v>
      </c>
      <c r="E1835" s="444">
        <f>_xlfn.XLOOKUP(C1835,Códigos!$A$11:$A$415,Códigos!$B$11:$B$415,"Verificar",0)</f>
        <v>0</v>
      </c>
      <c r="F1835" s="1286"/>
      <c r="G1835" s="441">
        <v>0</v>
      </c>
      <c r="H1835" s="441">
        <f t="shared" si="48"/>
        <v>633732083</v>
      </c>
      <c r="I1835" s="326"/>
      <c r="K1835" s="19"/>
    </row>
    <row r="1836" spans="1:11" x14ac:dyDescent="0.2">
      <c r="A1836" s="293"/>
      <c r="B1836" s="490"/>
      <c r="C1836" s="288"/>
      <c r="D1836" s="443">
        <f>_xlfn.XLOOKUP(B1836,Códigos!$A$421:$A$483,Códigos!$B$421:$B$483,"Verificar",0)</f>
        <v>0</v>
      </c>
      <c r="E1836" s="444">
        <f>_xlfn.XLOOKUP(C1836,Códigos!$A$11:$A$415,Códigos!$B$11:$B$415,"Verificar",0)</f>
        <v>0</v>
      </c>
      <c r="F1836" s="1286"/>
      <c r="G1836" s="441">
        <v>0</v>
      </c>
      <c r="H1836" s="441">
        <f t="shared" si="48"/>
        <v>633732083</v>
      </c>
      <c r="I1836" s="326"/>
      <c r="K1836" s="19"/>
    </row>
    <row r="1837" spans="1:11" x14ac:dyDescent="0.2">
      <c r="A1837" s="293"/>
      <c r="B1837" s="490"/>
      <c r="C1837" s="288"/>
      <c r="D1837" s="443">
        <f>_xlfn.XLOOKUP(B1837,Códigos!$A$421:$A$483,Códigos!$B$421:$B$483,"Verificar",0)</f>
        <v>0</v>
      </c>
      <c r="E1837" s="444">
        <f>_xlfn.XLOOKUP(C1837,Códigos!$A$11:$A$415,Códigos!$B$11:$B$415,"Verificar",0)</f>
        <v>0</v>
      </c>
      <c r="F1837" s="1286"/>
      <c r="G1837" s="441">
        <v>0</v>
      </c>
      <c r="H1837" s="441">
        <f t="shared" si="48"/>
        <v>633732083</v>
      </c>
      <c r="I1837" s="326"/>
      <c r="K1837" s="19"/>
    </row>
    <row r="1838" spans="1:11" x14ac:dyDescent="0.2">
      <c r="A1838" s="293"/>
      <c r="B1838" s="490"/>
      <c r="C1838" s="288"/>
      <c r="D1838" s="443">
        <f>_xlfn.XLOOKUP(B1838,Códigos!$A$421:$A$483,Códigos!$B$421:$B$483,"Verificar",0)</f>
        <v>0</v>
      </c>
      <c r="E1838" s="444">
        <f>_xlfn.XLOOKUP(C1838,Códigos!$A$11:$A$415,Códigos!$B$11:$B$415,"Verificar",0)</f>
        <v>0</v>
      </c>
      <c r="F1838" s="1286"/>
      <c r="G1838" s="441">
        <v>0</v>
      </c>
      <c r="H1838" s="441">
        <f t="shared" si="48"/>
        <v>633732083</v>
      </c>
      <c r="I1838" s="326"/>
      <c r="K1838" s="19"/>
    </row>
    <row r="1839" spans="1:11" x14ac:dyDescent="0.2">
      <c r="A1839" s="293"/>
      <c r="B1839" s="490"/>
      <c r="C1839" s="288"/>
      <c r="D1839" s="443">
        <f>_xlfn.XLOOKUP(B1839,Códigos!$A$421:$A$483,Códigos!$B$421:$B$483,"Verificar",0)</f>
        <v>0</v>
      </c>
      <c r="E1839" s="444">
        <f>_xlfn.XLOOKUP(C1839,Códigos!$A$11:$A$415,Códigos!$B$11:$B$415,"Verificar",0)</f>
        <v>0</v>
      </c>
      <c r="F1839" s="1286"/>
      <c r="G1839" s="441">
        <v>0</v>
      </c>
      <c r="H1839" s="441">
        <f t="shared" si="48"/>
        <v>633732083</v>
      </c>
      <c r="I1839" s="326"/>
      <c r="K1839" s="19"/>
    </row>
    <row r="1840" spans="1:11" x14ac:dyDescent="0.2">
      <c r="A1840" s="293"/>
      <c r="B1840" s="490"/>
      <c r="C1840" s="288"/>
      <c r="D1840" s="443">
        <f>_xlfn.XLOOKUP(B1840,Códigos!$A$421:$A$483,Códigos!$B$421:$B$483,"Verificar",0)</f>
        <v>0</v>
      </c>
      <c r="E1840" s="444">
        <f>_xlfn.XLOOKUP(C1840,Códigos!$A$11:$A$415,Códigos!$B$11:$B$415,"Verificar",0)</f>
        <v>0</v>
      </c>
      <c r="F1840" s="1286"/>
      <c r="G1840" s="441">
        <v>0</v>
      </c>
      <c r="H1840" s="441">
        <f t="shared" si="48"/>
        <v>633732083</v>
      </c>
      <c r="I1840" s="326"/>
      <c r="K1840" s="19"/>
    </row>
    <row r="1841" spans="1:11" x14ac:dyDescent="0.2">
      <c r="A1841" s="293"/>
      <c r="B1841" s="490"/>
      <c r="C1841" s="288"/>
      <c r="D1841" s="443">
        <f>_xlfn.XLOOKUP(B1841,Códigos!$A$421:$A$483,Códigos!$B$421:$B$483,"Verificar",0)</f>
        <v>0</v>
      </c>
      <c r="E1841" s="444">
        <f>_xlfn.XLOOKUP(C1841,Códigos!$A$11:$A$415,Códigos!$B$11:$B$415,"Verificar",0)</f>
        <v>0</v>
      </c>
      <c r="F1841" s="1286"/>
      <c r="G1841" s="441">
        <v>0</v>
      </c>
      <c r="H1841" s="441">
        <f t="shared" si="48"/>
        <v>633732083</v>
      </c>
      <c r="I1841" s="326"/>
      <c r="K1841" s="19"/>
    </row>
    <row r="1842" spans="1:11" x14ac:dyDescent="0.2">
      <c r="A1842" s="293"/>
      <c r="B1842" s="490"/>
      <c r="C1842" s="288"/>
      <c r="D1842" s="443">
        <f>_xlfn.XLOOKUP(B1842,Códigos!$A$421:$A$483,Códigos!$B$421:$B$483,"Verificar",0)</f>
        <v>0</v>
      </c>
      <c r="E1842" s="444">
        <f>_xlfn.XLOOKUP(C1842,Códigos!$A$11:$A$415,Códigos!$B$11:$B$415,"Verificar",0)</f>
        <v>0</v>
      </c>
      <c r="F1842" s="1286"/>
      <c r="G1842" s="441">
        <v>0</v>
      </c>
      <c r="H1842" s="441">
        <f t="shared" si="48"/>
        <v>633732083</v>
      </c>
      <c r="I1842" s="326"/>
      <c r="K1842" s="19"/>
    </row>
    <row r="1843" spans="1:11" x14ac:dyDescent="0.2">
      <c r="A1843" s="293"/>
      <c r="B1843" s="490"/>
      <c r="C1843" s="288"/>
      <c r="D1843" s="443">
        <f>_xlfn.XLOOKUP(B1843,Códigos!$A$421:$A$483,Códigos!$B$421:$B$483,"Verificar",0)</f>
        <v>0</v>
      </c>
      <c r="E1843" s="444">
        <f>_xlfn.XLOOKUP(C1843,Códigos!$A$11:$A$415,Códigos!$B$11:$B$415,"Verificar",0)</f>
        <v>0</v>
      </c>
      <c r="F1843" s="1286"/>
      <c r="G1843" s="441">
        <v>0</v>
      </c>
      <c r="H1843" s="441">
        <f t="shared" si="48"/>
        <v>633732083</v>
      </c>
      <c r="I1843" s="326"/>
      <c r="K1843" s="19"/>
    </row>
    <row r="1844" spans="1:11" x14ac:dyDescent="0.2">
      <c r="A1844" s="293"/>
      <c r="B1844" s="490"/>
      <c r="C1844" s="288"/>
      <c r="D1844" s="443">
        <f>_xlfn.XLOOKUP(B1844,Códigos!$A$421:$A$483,Códigos!$B$421:$B$483,"Verificar",0)</f>
        <v>0</v>
      </c>
      <c r="E1844" s="444">
        <f>_xlfn.XLOOKUP(C1844,Códigos!$A$11:$A$415,Códigos!$B$11:$B$415,"Verificar",0)</f>
        <v>0</v>
      </c>
      <c r="F1844" s="1286"/>
      <c r="G1844" s="441">
        <v>0</v>
      </c>
      <c r="H1844" s="441">
        <f t="shared" si="48"/>
        <v>633732083</v>
      </c>
      <c r="I1844" s="326"/>
      <c r="K1844" s="19"/>
    </row>
    <row r="1845" spans="1:11" x14ac:dyDescent="0.2">
      <c r="A1845" s="293"/>
      <c r="B1845" s="490"/>
      <c r="C1845" s="288"/>
      <c r="D1845" s="443">
        <f>_xlfn.XLOOKUP(B1845,Códigos!$A$421:$A$483,Códigos!$B$421:$B$483,"Verificar",0)</f>
        <v>0</v>
      </c>
      <c r="E1845" s="444">
        <f>_xlfn.XLOOKUP(C1845,Códigos!$A$11:$A$415,Códigos!$B$11:$B$415,"Verificar",0)</f>
        <v>0</v>
      </c>
      <c r="F1845" s="1286"/>
      <c r="G1845" s="441">
        <v>0</v>
      </c>
      <c r="H1845" s="441">
        <f t="shared" si="48"/>
        <v>633732083</v>
      </c>
      <c r="I1845" s="326"/>
      <c r="K1845" s="19"/>
    </row>
    <row r="1846" spans="1:11" x14ac:dyDescent="0.2">
      <c r="A1846" s="293"/>
      <c r="B1846" s="490"/>
      <c r="C1846" s="288"/>
      <c r="D1846" s="443">
        <f>_xlfn.XLOOKUP(B1846,Códigos!$A$421:$A$483,Códigos!$B$421:$B$483,"Verificar",0)</f>
        <v>0</v>
      </c>
      <c r="E1846" s="444">
        <f>_xlfn.XLOOKUP(C1846,Códigos!$A$11:$A$415,Códigos!$B$11:$B$415,"Verificar",0)</f>
        <v>0</v>
      </c>
      <c r="F1846" s="1286"/>
      <c r="G1846" s="441">
        <v>0</v>
      </c>
      <c r="H1846" s="441">
        <f t="shared" si="48"/>
        <v>633732083</v>
      </c>
      <c r="I1846" s="326"/>
      <c r="K1846" s="19"/>
    </row>
    <row r="1847" spans="1:11" x14ac:dyDescent="0.2">
      <c r="A1847" s="293"/>
      <c r="B1847" s="490"/>
      <c r="C1847" s="288"/>
      <c r="D1847" s="443">
        <f>_xlfn.XLOOKUP(B1847,Códigos!$A$421:$A$483,Códigos!$B$421:$B$483,"Verificar",0)</f>
        <v>0</v>
      </c>
      <c r="E1847" s="444">
        <f>_xlfn.XLOOKUP(C1847,Códigos!$A$11:$A$415,Códigos!$B$11:$B$415,"Verificar",0)</f>
        <v>0</v>
      </c>
      <c r="F1847" s="1286"/>
      <c r="G1847" s="441">
        <v>0</v>
      </c>
      <c r="H1847" s="441">
        <f t="shared" si="48"/>
        <v>633732083</v>
      </c>
      <c r="I1847" s="326"/>
      <c r="K1847" s="19"/>
    </row>
    <row r="1848" spans="1:11" x14ac:dyDescent="0.2">
      <c r="A1848" s="293"/>
      <c r="B1848" s="490"/>
      <c r="C1848" s="288"/>
      <c r="D1848" s="443">
        <f>_xlfn.XLOOKUP(B1848,Códigos!$A$421:$A$483,Códigos!$B$421:$B$483,"Verificar",0)</f>
        <v>0</v>
      </c>
      <c r="E1848" s="444">
        <f>_xlfn.XLOOKUP(C1848,Códigos!$A$11:$A$415,Códigos!$B$11:$B$415,"Verificar",0)</f>
        <v>0</v>
      </c>
      <c r="F1848" s="1286"/>
      <c r="G1848" s="441">
        <v>0</v>
      </c>
      <c r="H1848" s="441">
        <f t="shared" si="48"/>
        <v>633732083</v>
      </c>
      <c r="I1848" s="326"/>
      <c r="K1848" s="19"/>
    </row>
    <row r="1849" spans="1:11" x14ac:dyDescent="0.2">
      <c r="A1849" s="293"/>
      <c r="B1849" s="490"/>
      <c r="C1849" s="288"/>
      <c r="D1849" s="443">
        <f>_xlfn.XLOOKUP(B1849,Códigos!$A$421:$A$483,Códigos!$B$421:$B$483,"Verificar",0)</f>
        <v>0</v>
      </c>
      <c r="E1849" s="444">
        <f>_xlfn.XLOOKUP(C1849,Códigos!$A$11:$A$415,Códigos!$B$11:$B$415,"Verificar",0)</f>
        <v>0</v>
      </c>
      <c r="F1849" s="1286"/>
      <c r="G1849" s="441">
        <v>0</v>
      </c>
      <c r="H1849" s="441">
        <f t="shared" si="48"/>
        <v>633732083</v>
      </c>
      <c r="I1849" s="326"/>
      <c r="K1849" s="19"/>
    </row>
    <row r="1850" spans="1:11" x14ac:dyDescent="0.2">
      <c r="A1850" s="293"/>
      <c r="B1850" s="490"/>
      <c r="C1850" s="288"/>
      <c r="D1850" s="443">
        <f>_xlfn.XLOOKUP(B1850,Códigos!$A$421:$A$483,Códigos!$B$421:$B$483,"Verificar",0)</f>
        <v>0</v>
      </c>
      <c r="E1850" s="444">
        <f>_xlfn.XLOOKUP(C1850,Códigos!$A$11:$A$415,Códigos!$B$11:$B$415,"Verificar",0)</f>
        <v>0</v>
      </c>
      <c r="F1850" s="1286"/>
      <c r="G1850" s="441">
        <v>0</v>
      </c>
      <c r="H1850" s="441">
        <f t="shared" si="48"/>
        <v>633732083</v>
      </c>
      <c r="I1850" s="326"/>
      <c r="K1850" s="19"/>
    </row>
    <row r="1851" spans="1:11" x14ac:dyDescent="0.2">
      <c r="A1851" s="293"/>
      <c r="B1851" s="490"/>
      <c r="C1851" s="288"/>
      <c r="D1851" s="443">
        <f>_xlfn.XLOOKUP(B1851,Códigos!$A$421:$A$483,Códigos!$B$421:$B$483,"Verificar",0)</f>
        <v>0</v>
      </c>
      <c r="E1851" s="444">
        <f>_xlfn.XLOOKUP(C1851,Códigos!$A$11:$A$415,Códigos!$B$11:$B$415,"Verificar",0)</f>
        <v>0</v>
      </c>
      <c r="F1851" s="1286"/>
      <c r="G1851" s="441">
        <v>0</v>
      </c>
      <c r="H1851" s="441">
        <f t="shared" si="48"/>
        <v>633732083</v>
      </c>
      <c r="I1851" s="326"/>
      <c r="K1851" s="19"/>
    </row>
    <row r="1852" spans="1:11" x14ac:dyDescent="0.2">
      <c r="A1852" s="293"/>
      <c r="B1852" s="490"/>
      <c r="C1852" s="288"/>
      <c r="D1852" s="443">
        <f>_xlfn.XLOOKUP(B1852,Códigos!$A$421:$A$483,Códigos!$B$421:$B$483,"Verificar",0)</f>
        <v>0</v>
      </c>
      <c r="E1852" s="444">
        <f>_xlfn.XLOOKUP(C1852,Códigos!$A$11:$A$415,Códigos!$B$11:$B$415,"Verificar",0)</f>
        <v>0</v>
      </c>
      <c r="F1852" s="1286"/>
      <c r="G1852" s="441">
        <v>0</v>
      </c>
      <c r="H1852" s="441">
        <f t="shared" si="48"/>
        <v>633732083</v>
      </c>
      <c r="I1852" s="326"/>
      <c r="K1852" s="19"/>
    </row>
    <row r="1853" spans="1:11" x14ac:dyDescent="0.2">
      <c r="A1853" s="293"/>
      <c r="B1853" s="490"/>
      <c r="C1853" s="288"/>
      <c r="D1853" s="443">
        <f>_xlfn.XLOOKUP(B1853,Códigos!$A$421:$A$483,Códigos!$B$421:$B$483,"Verificar",0)</f>
        <v>0</v>
      </c>
      <c r="E1853" s="444">
        <f>_xlfn.XLOOKUP(C1853,Códigos!$A$11:$A$415,Códigos!$B$11:$B$415,"Verificar",0)</f>
        <v>0</v>
      </c>
      <c r="F1853" s="1286"/>
      <c r="G1853" s="441">
        <v>0</v>
      </c>
      <c r="H1853" s="441">
        <f t="shared" si="48"/>
        <v>633732083</v>
      </c>
      <c r="I1853" s="326"/>
      <c r="K1853" s="19"/>
    </row>
    <row r="1854" spans="1:11" x14ac:dyDescent="0.2">
      <c r="A1854" s="293"/>
      <c r="B1854" s="490"/>
      <c r="C1854" s="288"/>
      <c r="D1854" s="443">
        <f>_xlfn.XLOOKUP(B1854,Códigos!$A$421:$A$483,Códigos!$B$421:$B$483,"Verificar",0)</f>
        <v>0</v>
      </c>
      <c r="E1854" s="444">
        <f>_xlfn.XLOOKUP(C1854,Códigos!$A$11:$A$415,Códigos!$B$11:$B$415,"Verificar",0)</f>
        <v>0</v>
      </c>
      <c r="F1854" s="1286"/>
      <c r="G1854" s="441">
        <v>0</v>
      </c>
      <c r="H1854" s="441">
        <f t="shared" si="48"/>
        <v>633732083</v>
      </c>
      <c r="I1854" s="326"/>
      <c r="K1854" s="19"/>
    </row>
    <row r="1855" spans="1:11" x14ac:dyDescent="0.2">
      <c r="A1855" s="293"/>
      <c r="B1855" s="490"/>
      <c r="C1855" s="288"/>
      <c r="D1855" s="443">
        <f>_xlfn.XLOOKUP(B1855,Códigos!$A$421:$A$483,Códigos!$B$421:$B$483,"Verificar",0)</f>
        <v>0</v>
      </c>
      <c r="E1855" s="444">
        <f>_xlfn.XLOOKUP(C1855,Códigos!$A$11:$A$415,Códigos!$B$11:$B$415,"Verificar",0)</f>
        <v>0</v>
      </c>
      <c r="F1855" s="1286"/>
      <c r="G1855" s="441">
        <v>0</v>
      </c>
      <c r="H1855" s="441">
        <f t="shared" si="48"/>
        <v>633732083</v>
      </c>
      <c r="I1855" s="326"/>
      <c r="K1855" s="19"/>
    </row>
    <row r="1856" spans="1:11" x14ac:dyDescent="0.2">
      <c r="A1856" s="293"/>
      <c r="B1856" s="490"/>
      <c r="C1856" s="288"/>
      <c r="D1856" s="443">
        <f>_xlfn.XLOOKUP(B1856,Códigos!$A$421:$A$483,Códigos!$B$421:$B$483,"Verificar",0)</f>
        <v>0</v>
      </c>
      <c r="E1856" s="444">
        <f>_xlfn.XLOOKUP(C1856,Códigos!$A$11:$A$415,Códigos!$B$11:$B$415,"Verificar",0)</f>
        <v>0</v>
      </c>
      <c r="F1856" s="1286"/>
      <c r="G1856" s="441">
        <v>0</v>
      </c>
      <c r="H1856" s="441">
        <f t="shared" si="48"/>
        <v>633732083</v>
      </c>
      <c r="I1856" s="326"/>
      <c r="K1856" s="19"/>
    </row>
    <row r="1857" spans="1:11" x14ac:dyDescent="0.2">
      <c r="A1857" s="293"/>
      <c r="B1857" s="490"/>
      <c r="C1857" s="288"/>
      <c r="D1857" s="443">
        <f>_xlfn.XLOOKUP(B1857,Códigos!$A$421:$A$483,Códigos!$B$421:$B$483,"Verificar",0)</f>
        <v>0</v>
      </c>
      <c r="E1857" s="444">
        <f>_xlfn.XLOOKUP(C1857,Códigos!$A$11:$A$415,Códigos!$B$11:$B$415,"Verificar",0)</f>
        <v>0</v>
      </c>
      <c r="F1857" s="1286"/>
      <c r="G1857" s="441">
        <v>0</v>
      </c>
      <c r="H1857" s="441">
        <f t="shared" si="48"/>
        <v>633732083</v>
      </c>
      <c r="I1857" s="326"/>
      <c r="K1857" s="19"/>
    </row>
    <row r="1858" spans="1:11" x14ac:dyDescent="0.2">
      <c r="A1858" s="293"/>
      <c r="B1858" s="490"/>
      <c r="C1858" s="288"/>
      <c r="D1858" s="443">
        <f>_xlfn.XLOOKUP(B1858,Códigos!$A$421:$A$483,Códigos!$B$421:$B$483,"Verificar",0)</f>
        <v>0</v>
      </c>
      <c r="E1858" s="444">
        <f>_xlfn.XLOOKUP(C1858,Códigos!$A$11:$A$415,Códigos!$B$11:$B$415,"Verificar",0)</f>
        <v>0</v>
      </c>
      <c r="F1858" s="1286"/>
      <c r="G1858" s="441">
        <v>0</v>
      </c>
      <c r="H1858" s="441">
        <f t="shared" si="48"/>
        <v>633732083</v>
      </c>
      <c r="I1858" s="326"/>
      <c r="K1858" s="19"/>
    </row>
    <row r="1859" spans="1:11" x14ac:dyDescent="0.2">
      <c r="A1859" s="293"/>
      <c r="B1859" s="490"/>
      <c r="C1859" s="288"/>
      <c r="D1859" s="443">
        <f>_xlfn.XLOOKUP(B1859,Códigos!$A$421:$A$483,Códigos!$B$421:$B$483,"Verificar",0)</f>
        <v>0</v>
      </c>
      <c r="E1859" s="444">
        <f>_xlfn.XLOOKUP(C1859,Códigos!$A$11:$A$415,Códigos!$B$11:$B$415,"Verificar",0)</f>
        <v>0</v>
      </c>
      <c r="F1859" s="1286"/>
      <c r="G1859" s="441">
        <v>0</v>
      </c>
      <c r="H1859" s="441">
        <f t="shared" si="48"/>
        <v>633732083</v>
      </c>
      <c r="I1859" s="326"/>
      <c r="K1859" s="19"/>
    </row>
    <row r="1860" spans="1:11" x14ac:dyDescent="0.2">
      <c r="A1860" s="293"/>
      <c r="B1860" s="490"/>
      <c r="C1860" s="288"/>
      <c r="D1860" s="443">
        <f>_xlfn.XLOOKUP(B1860,Códigos!$A$421:$A$483,Códigos!$B$421:$B$483,"Verificar",0)</f>
        <v>0</v>
      </c>
      <c r="E1860" s="444">
        <f>_xlfn.XLOOKUP(C1860,Códigos!$A$11:$A$415,Códigos!$B$11:$B$415,"Verificar",0)</f>
        <v>0</v>
      </c>
      <c r="F1860" s="1286"/>
      <c r="G1860" s="441">
        <v>0</v>
      </c>
      <c r="H1860" s="441">
        <f t="shared" si="48"/>
        <v>633732083</v>
      </c>
      <c r="I1860" s="326"/>
      <c r="K1860" s="19"/>
    </row>
    <row r="1861" spans="1:11" x14ac:dyDescent="0.2">
      <c r="A1861" s="293"/>
      <c r="B1861" s="490"/>
      <c r="C1861" s="288"/>
      <c r="D1861" s="443">
        <f>_xlfn.XLOOKUP(B1861,Códigos!$A$421:$A$483,Códigos!$B$421:$B$483,"Verificar",0)</f>
        <v>0</v>
      </c>
      <c r="E1861" s="444">
        <f>_xlfn.XLOOKUP(C1861,Códigos!$A$11:$A$415,Códigos!$B$11:$B$415,"Verificar",0)</f>
        <v>0</v>
      </c>
      <c r="F1861" s="1286"/>
      <c r="G1861" s="441">
        <v>0</v>
      </c>
      <c r="H1861" s="441">
        <f t="shared" si="48"/>
        <v>633732083</v>
      </c>
      <c r="I1861" s="326"/>
      <c r="K1861" s="19"/>
    </row>
    <row r="1862" spans="1:11" x14ac:dyDescent="0.2">
      <c r="A1862" s="293"/>
      <c r="B1862" s="490"/>
      <c r="C1862" s="288"/>
      <c r="D1862" s="443">
        <f>_xlfn.XLOOKUP(B1862,Códigos!$A$421:$A$483,Códigos!$B$421:$B$483,"Verificar",0)</f>
        <v>0</v>
      </c>
      <c r="E1862" s="444">
        <f>_xlfn.XLOOKUP(C1862,Códigos!$A$11:$A$415,Códigos!$B$11:$B$415,"Verificar",0)</f>
        <v>0</v>
      </c>
      <c r="F1862" s="1286"/>
      <c r="G1862" s="441">
        <v>0</v>
      </c>
      <c r="H1862" s="441">
        <f t="shared" si="48"/>
        <v>633732083</v>
      </c>
      <c r="I1862" s="326"/>
      <c r="K1862" s="19"/>
    </row>
    <row r="1863" spans="1:11" x14ac:dyDescent="0.2">
      <c r="A1863" s="293"/>
      <c r="B1863" s="490"/>
      <c r="C1863" s="288"/>
      <c r="D1863" s="443">
        <f>_xlfn.XLOOKUP(B1863,Códigos!$A$421:$A$483,Códigos!$B$421:$B$483,"Verificar",0)</f>
        <v>0</v>
      </c>
      <c r="E1863" s="444">
        <f>_xlfn.XLOOKUP(C1863,Códigos!$A$11:$A$415,Códigos!$B$11:$B$415,"Verificar",0)</f>
        <v>0</v>
      </c>
      <c r="F1863" s="1286"/>
      <c r="G1863" s="441">
        <v>0</v>
      </c>
      <c r="H1863" s="441">
        <f t="shared" si="48"/>
        <v>633732083</v>
      </c>
      <c r="I1863" s="326"/>
      <c r="K1863" s="19"/>
    </row>
    <row r="1864" spans="1:11" x14ac:dyDescent="0.2">
      <c r="A1864" s="293"/>
      <c r="B1864" s="490"/>
      <c r="C1864" s="288"/>
      <c r="D1864" s="443">
        <f>_xlfn.XLOOKUP(B1864,Códigos!$A$421:$A$483,Códigos!$B$421:$B$483,"Verificar",0)</f>
        <v>0</v>
      </c>
      <c r="E1864" s="444">
        <f>_xlfn.XLOOKUP(C1864,Códigos!$A$11:$A$415,Códigos!$B$11:$B$415,"Verificar",0)</f>
        <v>0</v>
      </c>
      <c r="F1864" s="1286"/>
      <c r="G1864" s="441">
        <v>0</v>
      </c>
      <c r="H1864" s="441">
        <f t="shared" si="48"/>
        <v>633732083</v>
      </c>
      <c r="I1864" s="326"/>
      <c r="K1864" s="19"/>
    </row>
    <row r="1865" spans="1:11" x14ac:dyDescent="0.2">
      <c r="A1865" s="293"/>
      <c r="B1865" s="490"/>
      <c r="C1865" s="288"/>
      <c r="D1865" s="443">
        <f>_xlfn.XLOOKUP(B1865,Códigos!$A$421:$A$483,Códigos!$B$421:$B$483,"Verificar",0)</f>
        <v>0</v>
      </c>
      <c r="E1865" s="444">
        <f>_xlfn.XLOOKUP(C1865,Códigos!$A$11:$A$415,Códigos!$B$11:$B$415,"Verificar",0)</f>
        <v>0</v>
      </c>
      <c r="F1865" s="1286"/>
      <c r="G1865" s="441">
        <v>0</v>
      </c>
      <c r="H1865" s="441">
        <f t="shared" si="48"/>
        <v>633732083</v>
      </c>
      <c r="I1865" s="326"/>
      <c r="K1865" s="19"/>
    </row>
    <row r="1866" spans="1:11" x14ac:dyDescent="0.2">
      <c r="A1866" s="293"/>
      <c r="B1866" s="490"/>
      <c r="C1866" s="288"/>
      <c r="D1866" s="443">
        <f>_xlfn.XLOOKUP(B1866,Códigos!$A$421:$A$483,Códigos!$B$421:$B$483,"Verificar",0)</f>
        <v>0</v>
      </c>
      <c r="E1866" s="444">
        <f>_xlfn.XLOOKUP(C1866,Códigos!$A$11:$A$415,Códigos!$B$11:$B$415,"Verificar",0)</f>
        <v>0</v>
      </c>
      <c r="F1866" s="1286"/>
      <c r="G1866" s="441">
        <v>0</v>
      </c>
      <c r="H1866" s="441">
        <f t="shared" si="48"/>
        <v>633732083</v>
      </c>
      <c r="I1866" s="326"/>
      <c r="K1866" s="19"/>
    </row>
    <row r="1867" spans="1:11" x14ac:dyDescent="0.2">
      <c r="A1867" s="293"/>
      <c r="B1867" s="490"/>
      <c r="C1867" s="288"/>
      <c r="D1867" s="443">
        <f>_xlfn.XLOOKUP(B1867,Códigos!$A$421:$A$483,Códigos!$B$421:$B$483,"Verificar",0)</f>
        <v>0</v>
      </c>
      <c r="E1867" s="444">
        <f>_xlfn.XLOOKUP(C1867,Códigos!$A$11:$A$415,Códigos!$B$11:$B$415,"Verificar",0)</f>
        <v>0</v>
      </c>
      <c r="F1867" s="1286"/>
      <c r="G1867" s="441">
        <v>0</v>
      </c>
      <c r="H1867" s="441">
        <f t="shared" si="48"/>
        <v>633732083</v>
      </c>
      <c r="I1867" s="326"/>
      <c r="K1867" s="19"/>
    </row>
    <row r="1868" spans="1:11" x14ac:dyDescent="0.2">
      <c r="A1868" s="293"/>
      <c r="B1868" s="490"/>
      <c r="C1868" s="288"/>
      <c r="D1868" s="443">
        <f>_xlfn.XLOOKUP(B1868,Códigos!$A$421:$A$483,Códigos!$B$421:$B$483,"Verificar",0)</f>
        <v>0</v>
      </c>
      <c r="E1868" s="444">
        <f>_xlfn.XLOOKUP(C1868,Códigos!$A$11:$A$415,Códigos!$B$11:$B$415,"Verificar",0)</f>
        <v>0</v>
      </c>
      <c r="F1868" s="1286"/>
      <c r="G1868" s="441">
        <v>0</v>
      </c>
      <c r="H1868" s="441">
        <f t="shared" si="48"/>
        <v>633732083</v>
      </c>
      <c r="I1868" s="326"/>
      <c r="K1868" s="19"/>
    </row>
    <row r="1869" spans="1:11" x14ac:dyDescent="0.2">
      <c r="A1869" s="293"/>
      <c r="B1869" s="490"/>
      <c r="C1869" s="288"/>
      <c r="D1869" s="443">
        <f>_xlfn.XLOOKUP(B1869,Códigos!$A$421:$A$483,Códigos!$B$421:$B$483,"Verificar",0)</f>
        <v>0</v>
      </c>
      <c r="E1869" s="444">
        <f>_xlfn.XLOOKUP(C1869,Códigos!$A$11:$A$415,Códigos!$B$11:$B$415,"Verificar",0)</f>
        <v>0</v>
      </c>
      <c r="F1869" s="1286"/>
      <c r="G1869" s="441">
        <v>0</v>
      </c>
      <c r="H1869" s="441">
        <f t="shared" si="48"/>
        <v>633732083</v>
      </c>
      <c r="I1869" s="326"/>
      <c r="K1869" s="19"/>
    </row>
    <row r="1870" spans="1:11" x14ac:dyDescent="0.2">
      <c r="A1870" s="293"/>
      <c r="B1870" s="490"/>
      <c r="C1870" s="288"/>
      <c r="D1870" s="443">
        <f>_xlfn.XLOOKUP(B1870,Códigos!$A$421:$A$483,Códigos!$B$421:$B$483,"Verificar",0)</f>
        <v>0</v>
      </c>
      <c r="E1870" s="444">
        <f>_xlfn.XLOOKUP(C1870,Códigos!$A$11:$A$415,Códigos!$B$11:$B$415,"Verificar",0)</f>
        <v>0</v>
      </c>
      <c r="F1870" s="1286"/>
      <c r="G1870" s="441">
        <v>0</v>
      </c>
      <c r="H1870" s="441">
        <f t="shared" si="48"/>
        <v>633732083</v>
      </c>
      <c r="I1870" s="326"/>
      <c r="K1870" s="19"/>
    </row>
    <row r="1871" spans="1:11" x14ac:dyDescent="0.2">
      <c r="A1871" s="293"/>
      <c r="B1871" s="490"/>
      <c r="C1871" s="288"/>
      <c r="D1871" s="443">
        <f>_xlfn.XLOOKUP(B1871,Códigos!$A$421:$A$483,Códigos!$B$421:$B$483,"Verificar",0)</f>
        <v>0</v>
      </c>
      <c r="E1871" s="444">
        <f>_xlfn.XLOOKUP(C1871,Códigos!$A$11:$A$415,Códigos!$B$11:$B$415,"Verificar",0)</f>
        <v>0</v>
      </c>
      <c r="F1871" s="1286"/>
      <c r="G1871" s="441">
        <v>0</v>
      </c>
      <c r="H1871" s="441">
        <f t="shared" si="48"/>
        <v>633732083</v>
      </c>
      <c r="I1871" s="326"/>
      <c r="K1871" s="19"/>
    </row>
    <row r="1872" spans="1:11" x14ac:dyDescent="0.2">
      <c r="A1872" s="293"/>
      <c r="B1872" s="490"/>
      <c r="C1872" s="288"/>
      <c r="D1872" s="443">
        <f>_xlfn.XLOOKUP(B1872,Códigos!$A$421:$A$483,Códigos!$B$421:$B$483,"Verificar",0)</f>
        <v>0</v>
      </c>
      <c r="E1872" s="444">
        <f>_xlfn.XLOOKUP(C1872,Códigos!$A$11:$A$415,Códigos!$B$11:$B$415,"Verificar",0)</f>
        <v>0</v>
      </c>
      <c r="F1872" s="1286"/>
      <c r="G1872" s="441">
        <v>0</v>
      </c>
      <c r="H1872" s="441">
        <f t="shared" si="48"/>
        <v>633732083</v>
      </c>
      <c r="I1872" s="326"/>
      <c r="K1872" s="19"/>
    </row>
    <row r="1873" spans="1:11" x14ac:dyDescent="0.2">
      <c r="A1873" s="293"/>
      <c r="B1873" s="490"/>
      <c r="C1873" s="288"/>
      <c r="D1873" s="443">
        <f>_xlfn.XLOOKUP(B1873,Códigos!$A$421:$A$483,Códigos!$B$421:$B$483,"Verificar",0)</f>
        <v>0</v>
      </c>
      <c r="E1873" s="444">
        <f>_xlfn.XLOOKUP(C1873,Códigos!$A$11:$A$415,Códigos!$B$11:$B$415,"Verificar",0)</f>
        <v>0</v>
      </c>
      <c r="F1873" s="1286"/>
      <c r="G1873" s="441">
        <v>0</v>
      </c>
      <c r="H1873" s="441">
        <f t="shared" si="48"/>
        <v>633732083</v>
      </c>
      <c r="I1873" s="326"/>
      <c r="K1873" s="19"/>
    </row>
    <row r="1874" spans="1:11" x14ac:dyDescent="0.2">
      <c r="A1874" s="293"/>
      <c r="B1874" s="490"/>
      <c r="C1874" s="288"/>
      <c r="D1874" s="443">
        <f>_xlfn.XLOOKUP(B1874,Códigos!$A$421:$A$483,Códigos!$B$421:$B$483,"Verificar",0)</f>
        <v>0</v>
      </c>
      <c r="E1874" s="444">
        <f>_xlfn.XLOOKUP(C1874,Códigos!$A$11:$A$415,Códigos!$B$11:$B$415,"Verificar",0)</f>
        <v>0</v>
      </c>
      <c r="F1874" s="1286"/>
      <c r="G1874" s="441">
        <v>0</v>
      </c>
      <c r="H1874" s="441">
        <f t="shared" si="48"/>
        <v>633732083</v>
      </c>
      <c r="I1874" s="326"/>
      <c r="K1874" s="19"/>
    </row>
    <row r="1875" spans="1:11" x14ac:dyDescent="0.2">
      <c r="A1875" s="293"/>
      <c r="B1875" s="490"/>
      <c r="C1875" s="288"/>
      <c r="D1875" s="443">
        <f>_xlfn.XLOOKUP(B1875,Códigos!$A$421:$A$483,Códigos!$B$421:$B$483,"Verificar",0)</f>
        <v>0</v>
      </c>
      <c r="E1875" s="444">
        <f>_xlfn.XLOOKUP(C1875,Códigos!$A$11:$A$415,Códigos!$B$11:$B$415,"Verificar",0)</f>
        <v>0</v>
      </c>
      <c r="F1875" s="1286"/>
      <c r="G1875" s="441">
        <v>0</v>
      </c>
      <c r="H1875" s="441">
        <f t="shared" si="48"/>
        <v>633732083</v>
      </c>
      <c r="I1875" s="326"/>
      <c r="K1875" s="19"/>
    </row>
    <row r="1876" spans="1:11" x14ac:dyDescent="0.2">
      <c r="A1876" s="293"/>
      <c r="B1876" s="490"/>
      <c r="C1876" s="288"/>
      <c r="D1876" s="443">
        <f>_xlfn.XLOOKUP(B1876,Códigos!$A$421:$A$483,Códigos!$B$421:$B$483,"Verificar",0)</f>
        <v>0</v>
      </c>
      <c r="E1876" s="444">
        <f>_xlfn.XLOOKUP(C1876,Códigos!$A$11:$A$415,Códigos!$B$11:$B$415,"Verificar",0)</f>
        <v>0</v>
      </c>
      <c r="F1876" s="1286"/>
      <c r="G1876" s="441">
        <v>0</v>
      </c>
      <c r="H1876" s="441">
        <f t="shared" si="48"/>
        <v>633732083</v>
      </c>
      <c r="I1876" s="326"/>
      <c r="K1876" s="19"/>
    </row>
    <row r="1877" spans="1:11" x14ac:dyDescent="0.2">
      <c r="A1877" s="293"/>
      <c r="B1877" s="490"/>
      <c r="C1877" s="288"/>
      <c r="D1877" s="443">
        <f>_xlfn.XLOOKUP(B1877,Códigos!$A$421:$A$483,Códigos!$B$421:$B$483,"Verificar",0)</f>
        <v>0</v>
      </c>
      <c r="E1877" s="444">
        <f>_xlfn.XLOOKUP(C1877,Códigos!$A$11:$A$415,Códigos!$B$11:$B$415,"Verificar",0)</f>
        <v>0</v>
      </c>
      <c r="F1877" s="1286"/>
      <c r="G1877" s="441">
        <v>0</v>
      </c>
      <c r="H1877" s="441">
        <f t="shared" ref="H1877:H1940" si="49">+H1876+G1877</f>
        <v>633732083</v>
      </c>
      <c r="I1877" s="326"/>
      <c r="K1877" s="19"/>
    </row>
    <row r="1878" spans="1:11" x14ac:dyDescent="0.2">
      <c r="A1878" s="293"/>
      <c r="B1878" s="490"/>
      <c r="C1878" s="288"/>
      <c r="D1878" s="443">
        <f>_xlfn.XLOOKUP(B1878,Códigos!$A$421:$A$483,Códigos!$B$421:$B$483,"Verificar",0)</f>
        <v>0</v>
      </c>
      <c r="E1878" s="444">
        <f>_xlfn.XLOOKUP(C1878,Códigos!$A$11:$A$415,Códigos!$B$11:$B$415,"Verificar",0)</f>
        <v>0</v>
      </c>
      <c r="F1878" s="1286"/>
      <c r="G1878" s="441">
        <v>0</v>
      </c>
      <c r="H1878" s="441">
        <f t="shared" si="49"/>
        <v>633732083</v>
      </c>
      <c r="I1878" s="326"/>
      <c r="K1878" s="19"/>
    </row>
    <row r="1879" spans="1:11" x14ac:dyDescent="0.2">
      <c r="A1879" s="293"/>
      <c r="B1879" s="490"/>
      <c r="C1879" s="288"/>
      <c r="D1879" s="443">
        <f>_xlfn.XLOOKUP(B1879,Códigos!$A$421:$A$483,Códigos!$B$421:$B$483,"Verificar",0)</f>
        <v>0</v>
      </c>
      <c r="E1879" s="444">
        <f>_xlfn.XLOOKUP(C1879,Códigos!$A$11:$A$415,Códigos!$B$11:$B$415,"Verificar",0)</f>
        <v>0</v>
      </c>
      <c r="F1879" s="1286"/>
      <c r="G1879" s="441">
        <v>0</v>
      </c>
      <c r="H1879" s="441">
        <f t="shared" si="49"/>
        <v>633732083</v>
      </c>
      <c r="I1879" s="326"/>
      <c r="K1879" s="19"/>
    </row>
    <row r="1880" spans="1:11" x14ac:dyDescent="0.2">
      <c r="A1880" s="293"/>
      <c r="B1880" s="490"/>
      <c r="C1880" s="288"/>
      <c r="D1880" s="443">
        <f>_xlfn.XLOOKUP(B1880,Códigos!$A$421:$A$483,Códigos!$B$421:$B$483,"Verificar",0)</f>
        <v>0</v>
      </c>
      <c r="E1880" s="444">
        <f>_xlfn.XLOOKUP(C1880,Códigos!$A$11:$A$415,Códigos!$B$11:$B$415,"Verificar",0)</f>
        <v>0</v>
      </c>
      <c r="F1880" s="1286"/>
      <c r="G1880" s="441">
        <v>0</v>
      </c>
      <c r="H1880" s="441">
        <f t="shared" si="49"/>
        <v>633732083</v>
      </c>
      <c r="I1880" s="326"/>
      <c r="K1880" s="19"/>
    </row>
    <row r="1881" spans="1:11" x14ac:dyDescent="0.2">
      <c r="A1881" s="293"/>
      <c r="B1881" s="490"/>
      <c r="C1881" s="288"/>
      <c r="D1881" s="443">
        <f>_xlfn.XLOOKUP(B1881,Códigos!$A$421:$A$483,Códigos!$B$421:$B$483,"Verificar",0)</f>
        <v>0</v>
      </c>
      <c r="E1881" s="444">
        <f>_xlfn.XLOOKUP(C1881,Códigos!$A$11:$A$415,Códigos!$B$11:$B$415,"Verificar",0)</f>
        <v>0</v>
      </c>
      <c r="F1881" s="1286"/>
      <c r="G1881" s="441">
        <v>0</v>
      </c>
      <c r="H1881" s="441">
        <f t="shared" si="49"/>
        <v>633732083</v>
      </c>
      <c r="I1881" s="326"/>
      <c r="K1881" s="19"/>
    </row>
    <row r="1882" spans="1:11" x14ac:dyDescent="0.2">
      <c r="A1882" s="293"/>
      <c r="B1882" s="490"/>
      <c r="C1882" s="288"/>
      <c r="D1882" s="443">
        <f>_xlfn.XLOOKUP(B1882,Códigos!$A$421:$A$483,Códigos!$B$421:$B$483,"Verificar",0)</f>
        <v>0</v>
      </c>
      <c r="E1882" s="444">
        <f>_xlfn.XLOOKUP(C1882,Códigos!$A$11:$A$415,Códigos!$B$11:$B$415,"Verificar",0)</f>
        <v>0</v>
      </c>
      <c r="F1882" s="1286"/>
      <c r="G1882" s="441">
        <v>0</v>
      </c>
      <c r="H1882" s="441">
        <f t="shared" si="49"/>
        <v>633732083</v>
      </c>
      <c r="I1882" s="326"/>
      <c r="K1882" s="19"/>
    </row>
    <row r="1883" spans="1:11" x14ac:dyDescent="0.2">
      <c r="A1883" s="293"/>
      <c r="B1883" s="490"/>
      <c r="C1883" s="288"/>
      <c r="D1883" s="443">
        <f>_xlfn.XLOOKUP(B1883,Códigos!$A$421:$A$483,Códigos!$B$421:$B$483,"Verificar",0)</f>
        <v>0</v>
      </c>
      <c r="E1883" s="444">
        <f>_xlfn.XLOOKUP(C1883,Códigos!$A$11:$A$415,Códigos!$B$11:$B$415,"Verificar",0)</f>
        <v>0</v>
      </c>
      <c r="F1883" s="1286"/>
      <c r="G1883" s="441">
        <v>0</v>
      </c>
      <c r="H1883" s="441">
        <f t="shared" si="49"/>
        <v>633732083</v>
      </c>
      <c r="I1883" s="326"/>
      <c r="K1883" s="19"/>
    </row>
    <row r="1884" spans="1:11" x14ac:dyDescent="0.2">
      <c r="A1884" s="293"/>
      <c r="B1884" s="490"/>
      <c r="C1884" s="288"/>
      <c r="D1884" s="443">
        <f>_xlfn.XLOOKUP(B1884,Códigos!$A$421:$A$483,Códigos!$B$421:$B$483,"Verificar",0)</f>
        <v>0</v>
      </c>
      <c r="E1884" s="444">
        <f>_xlfn.XLOOKUP(C1884,Códigos!$A$11:$A$415,Códigos!$B$11:$B$415,"Verificar",0)</f>
        <v>0</v>
      </c>
      <c r="F1884" s="1286"/>
      <c r="G1884" s="441">
        <v>0</v>
      </c>
      <c r="H1884" s="441">
        <f t="shared" si="49"/>
        <v>633732083</v>
      </c>
      <c r="I1884" s="326"/>
      <c r="K1884" s="19"/>
    </row>
    <row r="1885" spans="1:11" x14ac:dyDescent="0.2">
      <c r="A1885" s="293"/>
      <c r="B1885" s="490"/>
      <c r="C1885" s="288"/>
      <c r="D1885" s="443">
        <f>_xlfn.XLOOKUP(B1885,Códigos!$A$421:$A$483,Códigos!$B$421:$B$483,"Verificar",0)</f>
        <v>0</v>
      </c>
      <c r="E1885" s="444">
        <f>_xlfn.XLOOKUP(C1885,Códigos!$A$11:$A$415,Códigos!$B$11:$B$415,"Verificar",0)</f>
        <v>0</v>
      </c>
      <c r="F1885" s="1286"/>
      <c r="G1885" s="441">
        <v>0</v>
      </c>
      <c r="H1885" s="441">
        <f t="shared" si="49"/>
        <v>633732083</v>
      </c>
      <c r="I1885" s="326"/>
      <c r="K1885" s="19"/>
    </row>
    <row r="1886" spans="1:11" x14ac:dyDescent="0.2">
      <c r="A1886" s="293"/>
      <c r="B1886" s="490"/>
      <c r="C1886" s="288"/>
      <c r="D1886" s="443">
        <f>_xlfn.XLOOKUP(B1886,Códigos!$A$421:$A$483,Códigos!$B$421:$B$483,"Verificar",0)</f>
        <v>0</v>
      </c>
      <c r="E1886" s="444">
        <f>_xlfn.XLOOKUP(C1886,Códigos!$A$11:$A$415,Códigos!$B$11:$B$415,"Verificar",0)</f>
        <v>0</v>
      </c>
      <c r="F1886" s="1286"/>
      <c r="G1886" s="441">
        <v>0</v>
      </c>
      <c r="H1886" s="441">
        <f t="shared" si="49"/>
        <v>633732083</v>
      </c>
      <c r="I1886" s="326"/>
      <c r="K1886" s="19"/>
    </row>
    <row r="1887" spans="1:11" x14ac:dyDescent="0.2">
      <c r="A1887" s="293"/>
      <c r="B1887" s="490"/>
      <c r="C1887" s="288"/>
      <c r="D1887" s="443">
        <f>_xlfn.XLOOKUP(B1887,Códigos!$A$421:$A$483,Códigos!$B$421:$B$483,"Verificar",0)</f>
        <v>0</v>
      </c>
      <c r="E1887" s="444">
        <f>_xlfn.XLOOKUP(C1887,Códigos!$A$11:$A$415,Códigos!$B$11:$B$415,"Verificar",0)</f>
        <v>0</v>
      </c>
      <c r="F1887" s="1286"/>
      <c r="G1887" s="441">
        <v>0</v>
      </c>
      <c r="H1887" s="441">
        <f t="shared" si="49"/>
        <v>633732083</v>
      </c>
      <c r="I1887" s="326"/>
      <c r="K1887" s="19"/>
    </row>
    <row r="1888" spans="1:11" x14ac:dyDescent="0.2">
      <c r="A1888" s="293"/>
      <c r="B1888" s="490"/>
      <c r="C1888" s="288"/>
      <c r="D1888" s="443">
        <f>_xlfn.XLOOKUP(B1888,Códigos!$A$421:$A$483,Códigos!$B$421:$B$483,"Verificar",0)</f>
        <v>0</v>
      </c>
      <c r="E1888" s="444">
        <f>_xlfn.XLOOKUP(C1888,Códigos!$A$11:$A$415,Códigos!$B$11:$B$415,"Verificar",0)</f>
        <v>0</v>
      </c>
      <c r="F1888" s="1286"/>
      <c r="G1888" s="441">
        <v>0</v>
      </c>
      <c r="H1888" s="441">
        <f t="shared" si="49"/>
        <v>633732083</v>
      </c>
      <c r="I1888" s="326"/>
      <c r="K1888" s="19"/>
    </row>
    <row r="1889" spans="1:11" x14ac:dyDescent="0.2">
      <c r="A1889" s="293"/>
      <c r="B1889" s="490"/>
      <c r="C1889" s="288"/>
      <c r="D1889" s="443">
        <f>_xlfn.XLOOKUP(B1889,Códigos!$A$421:$A$483,Códigos!$B$421:$B$483,"Verificar",0)</f>
        <v>0</v>
      </c>
      <c r="E1889" s="444">
        <f>_xlfn.XLOOKUP(C1889,Códigos!$A$11:$A$415,Códigos!$B$11:$B$415,"Verificar",0)</f>
        <v>0</v>
      </c>
      <c r="F1889" s="1286"/>
      <c r="G1889" s="441">
        <v>0</v>
      </c>
      <c r="H1889" s="441">
        <f t="shared" si="49"/>
        <v>633732083</v>
      </c>
      <c r="I1889" s="326"/>
      <c r="K1889" s="19"/>
    </row>
    <row r="1890" spans="1:11" x14ac:dyDescent="0.2">
      <c r="A1890" s="293"/>
      <c r="B1890" s="490"/>
      <c r="C1890" s="288"/>
      <c r="D1890" s="443">
        <f>_xlfn.XLOOKUP(B1890,Códigos!$A$421:$A$483,Códigos!$B$421:$B$483,"Verificar",0)</f>
        <v>0</v>
      </c>
      <c r="E1890" s="444">
        <f>_xlfn.XLOOKUP(C1890,Códigos!$A$11:$A$415,Códigos!$B$11:$B$415,"Verificar",0)</f>
        <v>0</v>
      </c>
      <c r="F1890" s="1286"/>
      <c r="G1890" s="441">
        <v>0</v>
      </c>
      <c r="H1890" s="441">
        <f t="shared" si="49"/>
        <v>633732083</v>
      </c>
      <c r="I1890" s="326"/>
      <c r="K1890" s="19"/>
    </row>
    <row r="1891" spans="1:11" x14ac:dyDescent="0.2">
      <c r="A1891" s="293"/>
      <c r="B1891" s="490"/>
      <c r="C1891" s="288"/>
      <c r="D1891" s="443">
        <f>_xlfn.XLOOKUP(B1891,Códigos!$A$421:$A$483,Códigos!$B$421:$B$483,"Verificar",0)</f>
        <v>0</v>
      </c>
      <c r="E1891" s="444">
        <f>_xlfn.XLOOKUP(C1891,Códigos!$A$11:$A$415,Códigos!$B$11:$B$415,"Verificar",0)</f>
        <v>0</v>
      </c>
      <c r="F1891" s="1286"/>
      <c r="G1891" s="441">
        <v>0</v>
      </c>
      <c r="H1891" s="441">
        <f t="shared" si="49"/>
        <v>633732083</v>
      </c>
      <c r="I1891" s="326"/>
      <c r="K1891" s="19"/>
    </row>
    <row r="1892" spans="1:11" x14ac:dyDescent="0.2">
      <c r="A1892" s="293"/>
      <c r="B1892" s="490"/>
      <c r="C1892" s="288"/>
      <c r="D1892" s="443">
        <f>_xlfn.XLOOKUP(B1892,Códigos!$A$421:$A$483,Códigos!$B$421:$B$483,"Verificar",0)</f>
        <v>0</v>
      </c>
      <c r="E1892" s="444">
        <f>_xlfn.XLOOKUP(C1892,Códigos!$A$11:$A$415,Códigos!$B$11:$B$415,"Verificar",0)</f>
        <v>0</v>
      </c>
      <c r="F1892" s="1286"/>
      <c r="G1892" s="441">
        <v>0</v>
      </c>
      <c r="H1892" s="441">
        <f t="shared" si="49"/>
        <v>633732083</v>
      </c>
      <c r="I1892" s="326"/>
      <c r="K1892" s="19"/>
    </row>
    <row r="1893" spans="1:11" x14ac:dyDescent="0.2">
      <c r="A1893" s="293"/>
      <c r="B1893" s="490"/>
      <c r="C1893" s="288"/>
      <c r="D1893" s="443">
        <f>_xlfn.XLOOKUP(B1893,Códigos!$A$421:$A$483,Códigos!$B$421:$B$483,"Verificar",0)</f>
        <v>0</v>
      </c>
      <c r="E1893" s="444">
        <f>_xlfn.XLOOKUP(C1893,Códigos!$A$11:$A$415,Códigos!$B$11:$B$415,"Verificar",0)</f>
        <v>0</v>
      </c>
      <c r="F1893" s="1286"/>
      <c r="G1893" s="441">
        <v>0</v>
      </c>
      <c r="H1893" s="441">
        <f t="shared" si="49"/>
        <v>633732083</v>
      </c>
      <c r="I1893" s="326"/>
      <c r="K1893" s="19"/>
    </row>
    <row r="1894" spans="1:11" x14ac:dyDescent="0.2">
      <c r="A1894" s="293"/>
      <c r="B1894" s="490"/>
      <c r="C1894" s="288"/>
      <c r="D1894" s="443">
        <f>_xlfn.XLOOKUP(B1894,Códigos!$A$421:$A$483,Códigos!$B$421:$B$483,"Verificar",0)</f>
        <v>0</v>
      </c>
      <c r="E1894" s="444">
        <f>_xlfn.XLOOKUP(C1894,Códigos!$A$11:$A$415,Códigos!$B$11:$B$415,"Verificar",0)</f>
        <v>0</v>
      </c>
      <c r="F1894" s="1286"/>
      <c r="G1894" s="441">
        <v>0</v>
      </c>
      <c r="H1894" s="441">
        <f t="shared" si="49"/>
        <v>633732083</v>
      </c>
      <c r="I1894" s="326"/>
      <c r="K1894" s="19"/>
    </row>
    <row r="1895" spans="1:11" x14ac:dyDescent="0.2">
      <c r="A1895" s="293"/>
      <c r="B1895" s="490"/>
      <c r="C1895" s="288"/>
      <c r="D1895" s="443">
        <f>_xlfn.XLOOKUP(B1895,Códigos!$A$421:$A$483,Códigos!$B$421:$B$483,"Verificar",0)</f>
        <v>0</v>
      </c>
      <c r="E1895" s="444">
        <f>_xlfn.XLOOKUP(C1895,Códigos!$A$11:$A$415,Códigos!$B$11:$B$415,"Verificar",0)</f>
        <v>0</v>
      </c>
      <c r="F1895" s="1286"/>
      <c r="G1895" s="441">
        <v>0</v>
      </c>
      <c r="H1895" s="441">
        <f t="shared" si="49"/>
        <v>633732083</v>
      </c>
      <c r="I1895" s="326"/>
      <c r="K1895" s="19"/>
    </row>
    <row r="1896" spans="1:11" x14ac:dyDescent="0.2">
      <c r="A1896" s="293"/>
      <c r="B1896" s="490"/>
      <c r="C1896" s="288"/>
      <c r="D1896" s="443">
        <f>_xlfn.XLOOKUP(B1896,Códigos!$A$421:$A$483,Códigos!$B$421:$B$483,"Verificar",0)</f>
        <v>0</v>
      </c>
      <c r="E1896" s="444">
        <f>_xlfn.XLOOKUP(C1896,Códigos!$A$11:$A$415,Códigos!$B$11:$B$415,"Verificar",0)</f>
        <v>0</v>
      </c>
      <c r="F1896" s="1286"/>
      <c r="G1896" s="441">
        <v>0</v>
      </c>
      <c r="H1896" s="441">
        <f t="shared" si="49"/>
        <v>633732083</v>
      </c>
      <c r="I1896" s="326"/>
      <c r="K1896" s="19"/>
    </row>
    <row r="1897" spans="1:11" x14ac:dyDescent="0.2">
      <c r="A1897" s="293"/>
      <c r="B1897" s="490"/>
      <c r="C1897" s="288"/>
      <c r="D1897" s="443">
        <f>_xlfn.XLOOKUP(B1897,Códigos!$A$421:$A$483,Códigos!$B$421:$B$483,"Verificar",0)</f>
        <v>0</v>
      </c>
      <c r="E1897" s="444">
        <f>_xlfn.XLOOKUP(C1897,Códigos!$A$11:$A$415,Códigos!$B$11:$B$415,"Verificar",0)</f>
        <v>0</v>
      </c>
      <c r="F1897" s="1286"/>
      <c r="G1897" s="441">
        <v>0</v>
      </c>
      <c r="H1897" s="441">
        <f t="shared" si="49"/>
        <v>633732083</v>
      </c>
      <c r="I1897" s="326"/>
      <c r="K1897" s="19"/>
    </row>
    <row r="1898" spans="1:11" x14ac:dyDescent="0.2">
      <c r="A1898" s="293"/>
      <c r="B1898" s="490"/>
      <c r="C1898" s="288"/>
      <c r="D1898" s="443">
        <f>_xlfn.XLOOKUP(B1898,Códigos!$A$421:$A$483,Códigos!$B$421:$B$483,"Verificar",0)</f>
        <v>0</v>
      </c>
      <c r="E1898" s="444">
        <f>_xlfn.XLOOKUP(C1898,Códigos!$A$11:$A$415,Códigos!$B$11:$B$415,"Verificar",0)</f>
        <v>0</v>
      </c>
      <c r="F1898" s="1286"/>
      <c r="G1898" s="441">
        <v>0</v>
      </c>
      <c r="H1898" s="441">
        <f t="shared" si="49"/>
        <v>633732083</v>
      </c>
      <c r="I1898" s="326"/>
      <c r="K1898" s="19"/>
    </row>
    <row r="1899" spans="1:11" x14ac:dyDescent="0.2">
      <c r="A1899" s="293"/>
      <c r="B1899" s="490"/>
      <c r="C1899" s="288"/>
      <c r="D1899" s="443">
        <f>_xlfn.XLOOKUP(B1899,Códigos!$A$421:$A$483,Códigos!$B$421:$B$483,"Verificar",0)</f>
        <v>0</v>
      </c>
      <c r="E1899" s="444">
        <f>_xlfn.XLOOKUP(C1899,Códigos!$A$11:$A$415,Códigos!$B$11:$B$415,"Verificar",0)</f>
        <v>0</v>
      </c>
      <c r="F1899" s="1286"/>
      <c r="G1899" s="441">
        <v>0</v>
      </c>
      <c r="H1899" s="441">
        <f t="shared" si="49"/>
        <v>633732083</v>
      </c>
      <c r="I1899" s="326"/>
      <c r="K1899" s="19"/>
    </row>
    <row r="1900" spans="1:11" x14ac:dyDescent="0.2">
      <c r="A1900" s="293"/>
      <c r="B1900" s="490"/>
      <c r="C1900" s="288"/>
      <c r="D1900" s="443">
        <f>_xlfn.XLOOKUP(B1900,Códigos!$A$421:$A$483,Códigos!$B$421:$B$483,"Verificar",0)</f>
        <v>0</v>
      </c>
      <c r="E1900" s="444">
        <f>_xlfn.XLOOKUP(C1900,Códigos!$A$11:$A$415,Códigos!$B$11:$B$415,"Verificar",0)</f>
        <v>0</v>
      </c>
      <c r="F1900" s="1286"/>
      <c r="G1900" s="441">
        <v>0</v>
      </c>
      <c r="H1900" s="441">
        <f t="shared" si="49"/>
        <v>633732083</v>
      </c>
      <c r="I1900" s="326"/>
      <c r="K1900" s="19"/>
    </row>
    <row r="1901" spans="1:11" x14ac:dyDescent="0.2">
      <c r="A1901" s="293"/>
      <c r="B1901" s="490"/>
      <c r="C1901" s="288"/>
      <c r="D1901" s="443">
        <f>_xlfn.XLOOKUP(B1901,Códigos!$A$421:$A$483,Códigos!$B$421:$B$483,"Verificar",0)</f>
        <v>0</v>
      </c>
      <c r="E1901" s="444">
        <f>_xlfn.XLOOKUP(C1901,Códigos!$A$11:$A$415,Códigos!$B$11:$B$415,"Verificar",0)</f>
        <v>0</v>
      </c>
      <c r="F1901" s="1286"/>
      <c r="G1901" s="441">
        <v>0</v>
      </c>
      <c r="H1901" s="441">
        <f t="shared" si="49"/>
        <v>633732083</v>
      </c>
      <c r="I1901" s="326"/>
      <c r="K1901" s="19"/>
    </row>
    <row r="1902" spans="1:11" x14ac:dyDescent="0.2">
      <c r="A1902" s="293"/>
      <c r="B1902" s="490"/>
      <c r="C1902" s="288"/>
      <c r="D1902" s="443">
        <f>_xlfn.XLOOKUP(B1902,Códigos!$A$421:$A$483,Códigos!$B$421:$B$483,"Verificar",0)</f>
        <v>0</v>
      </c>
      <c r="E1902" s="444">
        <f>_xlfn.XLOOKUP(C1902,Códigos!$A$11:$A$415,Códigos!$B$11:$B$415,"Verificar",0)</f>
        <v>0</v>
      </c>
      <c r="F1902" s="1286"/>
      <c r="G1902" s="441">
        <v>0</v>
      </c>
      <c r="H1902" s="441">
        <f t="shared" si="49"/>
        <v>633732083</v>
      </c>
      <c r="I1902" s="326"/>
      <c r="K1902" s="19"/>
    </row>
    <row r="1903" spans="1:11" x14ac:dyDescent="0.2">
      <c r="A1903" s="293"/>
      <c r="B1903" s="490"/>
      <c r="C1903" s="288"/>
      <c r="D1903" s="443">
        <f>_xlfn.XLOOKUP(B1903,Códigos!$A$421:$A$483,Códigos!$B$421:$B$483,"Verificar",0)</f>
        <v>0</v>
      </c>
      <c r="E1903" s="444">
        <f>_xlfn.XLOOKUP(C1903,Códigos!$A$11:$A$415,Códigos!$B$11:$B$415,"Verificar",0)</f>
        <v>0</v>
      </c>
      <c r="F1903" s="1286"/>
      <c r="G1903" s="441">
        <v>0</v>
      </c>
      <c r="H1903" s="441">
        <f t="shared" si="49"/>
        <v>633732083</v>
      </c>
      <c r="I1903" s="326"/>
      <c r="K1903" s="19"/>
    </row>
    <row r="1904" spans="1:11" x14ac:dyDescent="0.2">
      <c r="A1904" s="293"/>
      <c r="B1904" s="490"/>
      <c r="C1904" s="288"/>
      <c r="D1904" s="443">
        <f>_xlfn.XLOOKUP(B1904,Códigos!$A$421:$A$483,Códigos!$B$421:$B$483,"Verificar",0)</f>
        <v>0</v>
      </c>
      <c r="E1904" s="444">
        <f>_xlfn.XLOOKUP(C1904,Códigos!$A$11:$A$415,Códigos!$B$11:$B$415,"Verificar",0)</f>
        <v>0</v>
      </c>
      <c r="F1904" s="1286"/>
      <c r="G1904" s="441">
        <v>0</v>
      </c>
      <c r="H1904" s="441">
        <f t="shared" si="49"/>
        <v>633732083</v>
      </c>
      <c r="I1904" s="326"/>
      <c r="K1904" s="19"/>
    </row>
    <row r="1905" spans="1:11" x14ac:dyDescent="0.2">
      <c r="A1905" s="293"/>
      <c r="B1905" s="490"/>
      <c r="C1905" s="288"/>
      <c r="D1905" s="443">
        <f>_xlfn.XLOOKUP(B1905,Códigos!$A$421:$A$483,Códigos!$B$421:$B$483,"Verificar",0)</f>
        <v>0</v>
      </c>
      <c r="E1905" s="444">
        <f>_xlfn.XLOOKUP(C1905,Códigos!$A$11:$A$415,Códigos!$B$11:$B$415,"Verificar",0)</f>
        <v>0</v>
      </c>
      <c r="F1905" s="1286"/>
      <c r="G1905" s="441">
        <v>0</v>
      </c>
      <c r="H1905" s="441">
        <f t="shared" si="49"/>
        <v>633732083</v>
      </c>
      <c r="I1905" s="326"/>
      <c r="K1905" s="19"/>
    </row>
    <row r="1906" spans="1:11" x14ac:dyDescent="0.2">
      <c r="A1906" s="293"/>
      <c r="B1906" s="490"/>
      <c r="C1906" s="288"/>
      <c r="D1906" s="443">
        <f>_xlfn.XLOOKUP(B1906,Códigos!$A$421:$A$483,Códigos!$B$421:$B$483,"Verificar",0)</f>
        <v>0</v>
      </c>
      <c r="E1906" s="444">
        <f>_xlfn.XLOOKUP(C1906,Códigos!$A$11:$A$415,Códigos!$B$11:$B$415,"Verificar",0)</f>
        <v>0</v>
      </c>
      <c r="F1906" s="1286"/>
      <c r="G1906" s="441">
        <v>0</v>
      </c>
      <c r="H1906" s="441">
        <f t="shared" si="49"/>
        <v>633732083</v>
      </c>
      <c r="I1906" s="326"/>
      <c r="K1906" s="19"/>
    </row>
    <row r="1907" spans="1:11" x14ac:dyDescent="0.2">
      <c r="A1907" s="293"/>
      <c r="B1907" s="490"/>
      <c r="C1907" s="288"/>
      <c r="D1907" s="443">
        <f>_xlfn.XLOOKUP(B1907,Códigos!$A$421:$A$483,Códigos!$B$421:$B$483,"Verificar",0)</f>
        <v>0</v>
      </c>
      <c r="E1907" s="444">
        <f>_xlfn.XLOOKUP(C1907,Códigos!$A$11:$A$415,Códigos!$B$11:$B$415,"Verificar",0)</f>
        <v>0</v>
      </c>
      <c r="F1907" s="1286"/>
      <c r="G1907" s="441">
        <v>0</v>
      </c>
      <c r="H1907" s="441">
        <f t="shared" si="49"/>
        <v>633732083</v>
      </c>
      <c r="I1907" s="326"/>
      <c r="K1907" s="19"/>
    </row>
    <row r="1908" spans="1:11" x14ac:dyDescent="0.2">
      <c r="A1908" s="293"/>
      <c r="B1908" s="490"/>
      <c r="C1908" s="288"/>
      <c r="D1908" s="443">
        <f>_xlfn.XLOOKUP(B1908,Códigos!$A$421:$A$483,Códigos!$B$421:$B$483,"Verificar",0)</f>
        <v>0</v>
      </c>
      <c r="E1908" s="444">
        <f>_xlfn.XLOOKUP(C1908,Códigos!$A$11:$A$415,Códigos!$B$11:$B$415,"Verificar",0)</f>
        <v>0</v>
      </c>
      <c r="F1908" s="1286"/>
      <c r="G1908" s="441">
        <v>0</v>
      </c>
      <c r="H1908" s="441">
        <f t="shared" si="49"/>
        <v>633732083</v>
      </c>
      <c r="I1908" s="326"/>
      <c r="K1908" s="19"/>
    </row>
    <row r="1909" spans="1:11" x14ac:dyDescent="0.2">
      <c r="A1909" s="293"/>
      <c r="B1909" s="490"/>
      <c r="C1909" s="288"/>
      <c r="D1909" s="443">
        <f>_xlfn.XLOOKUP(B1909,Códigos!$A$421:$A$483,Códigos!$B$421:$B$483,"Verificar",0)</f>
        <v>0</v>
      </c>
      <c r="E1909" s="444">
        <f>_xlfn.XLOOKUP(C1909,Códigos!$A$11:$A$415,Códigos!$B$11:$B$415,"Verificar",0)</f>
        <v>0</v>
      </c>
      <c r="F1909" s="1286"/>
      <c r="G1909" s="441">
        <v>0</v>
      </c>
      <c r="H1909" s="441">
        <f t="shared" si="49"/>
        <v>633732083</v>
      </c>
      <c r="I1909" s="326"/>
      <c r="K1909" s="19"/>
    </row>
    <row r="1910" spans="1:11" x14ac:dyDescent="0.2">
      <c r="A1910" s="293"/>
      <c r="B1910" s="490"/>
      <c r="C1910" s="288"/>
      <c r="D1910" s="443">
        <f>_xlfn.XLOOKUP(B1910,Códigos!$A$421:$A$483,Códigos!$B$421:$B$483,"Verificar",0)</f>
        <v>0</v>
      </c>
      <c r="E1910" s="444">
        <f>_xlfn.XLOOKUP(C1910,Códigos!$A$11:$A$415,Códigos!$B$11:$B$415,"Verificar",0)</f>
        <v>0</v>
      </c>
      <c r="F1910" s="1286"/>
      <c r="G1910" s="441">
        <v>0</v>
      </c>
      <c r="H1910" s="441">
        <f t="shared" si="49"/>
        <v>633732083</v>
      </c>
      <c r="I1910" s="326"/>
      <c r="K1910" s="19"/>
    </row>
    <row r="1911" spans="1:11" x14ac:dyDescent="0.2">
      <c r="A1911" s="293"/>
      <c r="B1911" s="490"/>
      <c r="C1911" s="288"/>
      <c r="D1911" s="443">
        <f>_xlfn.XLOOKUP(B1911,Códigos!$A$421:$A$483,Códigos!$B$421:$B$483,"Verificar",0)</f>
        <v>0</v>
      </c>
      <c r="E1911" s="444">
        <f>_xlfn.XLOOKUP(C1911,Códigos!$A$11:$A$415,Códigos!$B$11:$B$415,"Verificar",0)</f>
        <v>0</v>
      </c>
      <c r="F1911" s="1286"/>
      <c r="G1911" s="441">
        <v>0</v>
      </c>
      <c r="H1911" s="441">
        <f t="shared" si="49"/>
        <v>633732083</v>
      </c>
      <c r="I1911" s="326"/>
      <c r="K1911" s="19"/>
    </row>
    <row r="1912" spans="1:11" x14ac:dyDescent="0.2">
      <c r="A1912" s="293"/>
      <c r="B1912" s="490"/>
      <c r="C1912" s="288"/>
      <c r="D1912" s="443">
        <f>_xlfn.XLOOKUP(B1912,Códigos!$A$421:$A$483,Códigos!$B$421:$B$483,"Verificar",0)</f>
        <v>0</v>
      </c>
      <c r="E1912" s="444">
        <f>_xlfn.XLOOKUP(C1912,Códigos!$A$11:$A$415,Códigos!$B$11:$B$415,"Verificar",0)</f>
        <v>0</v>
      </c>
      <c r="F1912" s="1286"/>
      <c r="G1912" s="441">
        <v>0</v>
      </c>
      <c r="H1912" s="441">
        <f t="shared" si="49"/>
        <v>633732083</v>
      </c>
      <c r="I1912" s="326"/>
      <c r="K1912" s="19"/>
    </row>
    <row r="1913" spans="1:11" x14ac:dyDescent="0.2">
      <c r="A1913" s="293"/>
      <c r="B1913" s="490"/>
      <c r="C1913" s="288"/>
      <c r="D1913" s="443">
        <f>_xlfn.XLOOKUP(B1913,Códigos!$A$421:$A$483,Códigos!$B$421:$B$483,"Verificar",0)</f>
        <v>0</v>
      </c>
      <c r="E1913" s="444">
        <f>_xlfn.XLOOKUP(C1913,Códigos!$A$11:$A$415,Códigos!$B$11:$B$415,"Verificar",0)</f>
        <v>0</v>
      </c>
      <c r="F1913" s="1286"/>
      <c r="G1913" s="441">
        <v>0</v>
      </c>
      <c r="H1913" s="441">
        <f t="shared" si="49"/>
        <v>633732083</v>
      </c>
      <c r="I1913" s="326"/>
      <c r="K1913" s="19"/>
    </row>
    <row r="1914" spans="1:11" x14ac:dyDescent="0.2">
      <c r="A1914" s="293"/>
      <c r="B1914" s="490"/>
      <c r="C1914" s="288"/>
      <c r="D1914" s="443">
        <f>_xlfn.XLOOKUP(B1914,Códigos!$A$421:$A$483,Códigos!$B$421:$B$483,"Verificar",0)</f>
        <v>0</v>
      </c>
      <c r="E1914" s="444">
        <f>_xlfn.XLOOKUP(C1914,Códigos!$A$11:$A$415,Códigos!$B$11:$B$415,"Verificar",0)</f>
        <v>0</v>
      </c>
      <c r="F1914" s="1286"/>
      <c r="G1914" s="441">
        <v>0</v>
      </c>
      <c r="H1914" s="441">
        <f t="shared" si="49"/>
        <v>633732083</v>
      </c>
      <c r="I1914" s="326"/>
      <c r="K1914" s="19"/>
    </row>
    <row r="1915" spans="1:11" x14ac:dyDescent="0.2">
      <c r="A1915" s="293"/>
      <c r="B1915" s="490"/>
      <c r="C1915" s="288"/>
      <c r="D1915" s="443">
        <f>_xlfn.XLOOKUP(B1915,Códigos!$A$421:$A$483,Códigos!$B$421:$B$483,"Verificar",0)</f>
        <v>0</v>
      </c>
      <c r="E1915" s="444">
        <f>_xlfn.XLOOKUP(C1915,Códigos!$A$11:$A$415,Códigos!$B$11:$B$415,"Verificar",0)</f>
        <v>0</v>
      </c>
      <c r="F1915" s="1286"/>
      <c r="G1915" s="441">
        <v>0</v>
      </c>
      <c r="H1915" s="441">
        <f t="shared" si="49"/>
        <v>633732083</v>
      </c>
      <c r="I1915" s="326"/>
      <c r="K1915" s="19"/>
    </row>
    <row r="1916" spans="1:11" x14ac:dyDescent="0.2">
      <c r="A1916" s="293"/>
      <c r="B1916" s="490"/>
      <c r="C1916" s="288"/>
      <c r="D1916" s="443">
        <f>_xlfn.XLOOKUP(B1916,Códigos!$A$421:$A$483,Códigos!$B$421:$B$483,"Verificar",0)</f>
        <v>0</v>
      </c>
      <c r="E1916" s="444">
        <f>_xlfn.XLOOKUP(C1916,Códigos!$A$11:$A$415,Códigos!$B$11:$B$415,"Verificar",0)</f>
        <v>0</v>
      </c>
      <c r="F1916" s="1286"/>
      <c r="G1916" s="441">
        <v>0</v>
      </c>
      <c r="H1916" s="441">
        <f t="shared" si="49"/>
        <v>633732083</v>
      </c>
      <c r="I1916" s="326"/>
      <c r="K1916" s="19"/>
    </row>
    <row r="1917" spans="1:11" x14ac:dyDescent="0.2">
      <c r="A1917" s="293"/>
      <c r="B1917" s="490"/>
      <c r="C1917" s="288"/>
      <c r="D1917" s="443">
        <f>_xlfn.XLOOKUP(B1917,Códigos!$A$421:$A$483,Códigos!$B$421:$B$483,"Verificar",0)</f>
        <v>0</v>
      </c>
      <c r="E1917" s="444">
        <f>_xlfn.XLOOKUP(C1917,Códigos!$A$11:$A$415,Códigos!$B$11:$B$415,"Verificar",0)</f>
        <v>0</v>
      </c>
      <c r="F1917" s="1286"/>
      <c r="G1917" s="441">
        <v>0</v>
      </c>
      <c r="H1917" s="441">
        <f t="shared" si="49"/>
        <v>633732083</v>
      </c>
      <c r="I1917" s="326"/>
      <c r="K1917" s="19"/>
    </row>
    <row r="1918" spans="1:11" x14ac:dyDescent="0.2">
      <c r="A1918" s="293"/>
      <c r="B1918" s="490"/>
      <c r="C1918" s="288"/>
      <c r="D1918" s="443">
        <f>_xlfn.XLOOKUP(B1918,Códigos!$A$421:$A$483,Códigos!$B$421:$B$483,"Verificar",0)</f>
        <v>0</v>
      </c>
      <c r="E1918" s="444">
        <f>_xlfn.XLOOKUP(C1918,Códigos!$A$11:$A$415,Códigos!$B$11:$B$415,"Verificar",0)</f>
        <v>0</v>
      </c>
      <c r="F1918" s="1286"/>
      <c r="G1918" s="441">
        <v>0</v>
      </c>
      <c r="H1918" s="441">
        <f t="shared" si="49"/>
        <v>633732083</v>
      </c>
      <c r="I1918" s="326"/>
      <c r="K1918" s="19"/>
    </row>
    <row r="1919" spans="1:11" x14ac:dyDescent="0.2">
      <c r="A1919" s="293"/>
      <c r="B1919" s="490"/>
      <c r="C1919" s="288"/>
      <c r="D1919" s="443">
        <f>_xlfn.XLOOKUP(B1919,Códigos!$A$421:$A$483,Códigos!$B$421:$B$483,"Verificar",0)</f>
        <v>0</v>
      </c>
      <c r="E1919" s="444">
        <f>_xlfn.XLOOKUP(C1919,Códigos!$A$11:$A$415,Códigos!$B$11:$B$415,"Verificar",0)</f>
        <v>0</v>
      </c>
      <c r="F1919" s="1286"/>
      <c r="G1919" s="441">
        <v>0</v>
      </c>
      <c r="H1919" s="441">
        <f t="shared" si="49"/>
        <v>633732083</v>
      </c>
      <c r="I1919" s="326"/>
      <c r="K1919" s="19"/>
    </row>
    <row r="1920" spans="1:11" x14ac:dyDescent="0.2">
      <c r="A1920" s="293"/>
      <c r="B1920" s="490"/>
      <c r="C1920" s="288"/>
      <c r="D1920" s="443">
        <f>_xlfn.XLOOKUP(B1920,Códigos!$A$421:$A$483,Códigos!$B$421:$B$483,"Verificar",0)</f>
        <v>0</v>
      </c>
      <c r="E1920" s="444">
        <f>_xlfn.XLOOKUP(C1920,Códigos!$A$11:$A$415,Códigos!$B$11:$B$415,"Verificar",0)</f>
        <v>0</v>
      </c>
      <c r="F1920" s="1286"/>
      <c r="G1920" s="441">
        <v>0</v>
      </c>
      <c r="H1920" s="441">
        <f t="shared" si="49"/>
        <v>633732083</v>
      </c>
      <c r="I1920" s="326"/>
      <c r="K1920" s="19"/>
    </row>
    <row r="1921" spans="1:11" x14ac:dyDescent="0.2">
      <c r="A1921" s="293"/>
      <c r="B1921" s="490"/>
      <c r="C1921" s="288"/>
      <c r="D1921" s="443">
        <f>_xlfn.XLOOKUP(B1921,Códigos!$A$421:$A$483,Códigos!$B$421:$B$483,"Verificar",0)</f>
        <v>0</v>
      </c>
      <c r="E1921" s="444">
        <f>_xlfn.XLOOKUP(C1921,Códigos!$A$11:$A$415,Códigos!$B$11:$B$415,"Verificar",0)</f>
        <v>0</v>
      </c>
      <c r="F1921" s="1286"/>
      <c r="G1921" s="441">
        <v>0</v>
      </c>
      <c r="H1921" s="441">
        <f t="shared" si="49"/>
        <v>633732083</v>
      </c>
      <c r="I1921" s="326"/>
      <c r="K1921" s="19"/>
    </row>
    <row r="1922" spans="1:11" x14ac:dyDescent="0.2">
      <c r="A1922" s="293"/>
      <c r="B1922" s="490"/>
      <c r="C1922" s="288"/>
      <c r="D1922" s="443">
        <f>_xlfn.XLOOKUP(B1922,Códigos!$A$421:$A$483,Códigos!$B$421:$B$483,"Verificar",0)</f>
        <v>0</v>
      </c>
      <c r="E1922" s="444">
        <f>_xlfn.XLOOKUP(C1922,Códigos!$A$11:$A$415,Códigos!$B$11:$B$415,"Verificar",0)</f>
        <v>0</v>
      </c>
      <c r="F1922" s="1286"/>
      <c r="G1922" s="441">
        <v>0</v>
      </c>
      <c r="H1922" s="441">
        <f t="shared" si="49"/>
        <v>633732083</v>
      </c>
      <c r="I1922" s="326"/>
      <c r="K1922" s="19"/>
    </row>
    <row r="1923" spans="1:11" x14ac:dyDescent="0.2">
      <c r="A1923" s="293"/>
      <c r="B1923" s="490"/>
      <c r="C1923" s="288"/>
      <c r="D1923" s="443">
        <f>_xlfn.XLOOKUP(B1923,Códigos!$A$421:$A$483,Códigos!$B$421:$B$483,"Verificar",0)</f>
        <v>0</v>
      </c>
      <c r="E1923" s="444">
        <f>_xlfn.XLOOKUP(C1923,Códigos!$A$11:$A$415,Códigos!$B$11:$B$415,"Verificar",0)</f>
        <v>0</v>
      </c>
      <c r="F1923" s="1286"/>
      <c r="G1923" s="441">
        <v>0</v>
      </c>
      <c r="H1923" s="441">
        <f t="shared" si="49"/>
        <v>633732083</v>
      </c>
      <c r="I1923" s="326"/>
      <c r="K1923" s="19"/>
    </row>
    <row r="1924" spans="1:11" x14ac:dyDescent="0.2">
      <c r="A1924" s="293"/>
      <c r="B1924" s="490"/>
      <c r="C1924" s="288"/>
      <c r="D1924" s="443">
        <f>_xlfn.XLOOKUP(B1924,Códigos!$A$421:$A$483,Códigos!$B$421:$B$483,"Verificar",0)</f>
        <v>0</v>
      </c>
      <c r="E1924" s="444">
        <f>_xlfn.XLOOKUP(C1924,Códigos!$A$11:$A$415,Códigos!$B$11:$B$415,"Verificar",0)</f>
        <v>0</v>
      </c>
      <c r="F1924" s="1286"/>
      <c r="G1924" s="441">
        <v>0</v>
      </c>
      <c r="H1924" s="441">
        <f t="shared" si="49"/>
        <v>633732083</v>
      </c>
      <c r="I1924" s="326"/>
      <c r="K1924" s="19"/>
    </row>
    <row r="1925" spans="1:11" x14ac:dyDescent="0.2">
      <c r="A1925" s="293"/>
      <c r="B1925" s="490"/>
      <c r="C1925" s="288"/>
      <c r="D1925" s="443">
        <f>_xlfn.XLOOKUP(B1925,Códigos!$A$421:$A$483,Códigos!$B$421:$B$483,"Verificar",0)</f>
        <v>0</v>
      </c>
      <c r="E1925" s="444">
        <f>_xlfn.XLOOKUP(C1925,Códigos!$A$11:$A$415,Códigos!$B$11:$B$415,"Verificar",0)</f>
        <v>0</v>
      </c>
      <c r="F1925" s="1286"/>
      <c r="G1925" s="441">
        <v>0</v>
      </c>
      <c r="H1925" s="441">
        <f t="shared" si="49"/>
        <v>633732083</v>
      </c>
      <c r="I1925" s="326"/>
      <c r="K1925" s="19"/>
    </row>
    <row r="1926" spans="1:11" x14ac:dyDescent="0.2">
      <c r="A1926" s="293"/>
      <c r="B1926" s="490"/>
      <c r="C1926" s="288"/>
      <c r="D1926" s="443">
        <f>_xlfn.XLOOKUP(B1926,Códigos!$A$421:$A$483,Códigos!$B$421:$B$483,"Verificar",0)</f>
        <v>0</v>
      </c>
      <c r="E1926" s="444">
        <f>_xlfn.XLOOKUP(C1926,Códigos!$A$11:$A$415,Códigos!$B$11:$B$415,"Verificar",0)</f>
        <v>0</v>
      </c>
      <c r="F1926" s="1286"/>
      <c r="G1926" s="441">
        <v>0</v>
      </c>
      <c r="H1926" s="441">
        <f t="shared" si="49"/>
        <v>633732083</v>
      </c>
      <c r="I1926" s="326"/>
      <c r="K1926" s="19"/>
    </row>
    <row r="1927" spans="1:11" x14ac:dyDescent="0.2">
      <c r="A1927" s="293"/>
      <c r="B1927" s="490"/>
      <c r="C1927" s="288"/>
      <c r="D1927" s="443">
        <f>_xlfn.XLOOKUP(B1927,Códigos!$A$421:$A$483,Códigos!$B$421:$B$483,"Verificar",0)</f>
        <v>0</v>
      </c>
      <c r="E1927" s="444">
        <f>_xlfn.XLOOKUP(C1927,Códigos!$A$11:$A$415,Códigos!$B$11:$B$415,"Verificar",0)</f>
        <v>0</v>
      </c>
      <c r="F1927" s="1286"/>
      <c r="G1927" s="441">
        <v>0</v>
      </c>
      <c r="H1927" s="441">
        <f t="shared" si="49"/>
        <v>633732083</v>
      </c>
      <c r="I1927" s="326"/>
      <c r="K1927" s="19"/>
    </row>
    <row r="1928" spans="1:11" x14ac:dyDescent="0.2">
      <c r="A1928" s="293"/>
      <c r="B1928" s="490"/>
      <c r="C1928" s="288"/>
      <c r="D1928" s="443">
        <f>_xlfn.XLOOKUP(B1928,Códigos!$A$421:$A$483,Códigos!$B$421:$B$483,"Verificar",0)</f>
        <v>0</v>
      </c>
      <c r="E1928" s="444">
        <f>_xlfn.XLOOKUP(C1928,Códigos!$A$11:$A$415,Códigos!$B$11:$B$415,"Verificar",0)</f>
        <v>0</v>
      </c>
      <c r="F1928" s="1286"/>
      <c r="G1928" s="441">
        <v>0</v>
      </c>
      <c r="H1928" s="441">
        <f t="shared" si="49"/>
        <v>633732083</v>
      </c>
      <c r="I1928" s="326"/>
      <c r="K1928" s="19"/>
    </row>
    <row r="1929" spans="1:11" x14ac:dyDescent="0.2">
      <c r="A1929" s="293"/>
      <c r="B1929" s="490"/>
      <c r="C1929" s="288"/>
      <c r="D1929" s="443">
        <f>_xlfn.XLOOKUP(B1929,Códigos!$A$421:$A$483,Códigos!$B$421:$B$483,"Verificar",0)</f>
        <v>0</v>
      </c>
      <c r="E1929" s="444">
        <f>_xlfn.XLOOKUP(C1929,Códigos!$A$11:$A$415,Códigos!$B$11:$B$415,"Verificar",0)</f>
        <v>0</v>
      </c>
      <c r="F1929" s="1286"/>
      <c r="G1929" s="441">
        <v>0</v>
      </c>
      <c r="H1929" s="441">
        <f t="shared" si="49"/>
        <v>633732083</v>
      </c>
      <c r="I1929" s="326"/>
      <c r="K1929" s="19"/>
    </row>
    <row r="1930" spans="1:11" x14ac:dyDescent="0.2">
      <c r="A1930" s="293"/>
      <c r="B1930" s="490"/>
      <c r="C1930" s="288"/>
      <c r="D1930" s="443">
        <f>_xlfn.XLOOKUP(B1930,Códigos!$A$421:$A$483,Códigos!$B$421:$B$483,"Verificar",0)</f>
        <v>0</v>
      </c>
      <c r="E1930" s="444">
        <f>_xlfn.XLOOKUP(C1930,Códigos!$A$11:$A$415,Códigos!$B$11:$B$415,"Verificar",0)</f>
        <v>0</v>
      </c>
      <c r="F1930" s="1286"/>
      <c r="G1930" s="441">
        <v>0</v>
      </c>
      <c r="H1930" s="441">
        <f t="shared" si="49"/>
        <v>633732083</v>
      </c>
      <c r="I1930" s="326"/>
      <c r="K1930" s="19"/>
    </row>
    <row r="1931" spans="1:11" x14ac:dyDescent="0.2">
      <c r="A1931" s="293"/>
      <c r="B1931" s="490"/>
      <c r="C1931" s="288"/>
      <c r="D1931" s="443">
        <f>_xlfn.XLOOKUP(B1931,Códigos!$A$421:$A$483,Códigos!$B$421:$B$483,"Verificar",0)</f>
        <v>0</v>
      </c>
      <c r="E1931" s="444">
        <f>_xlfn.XLOOKUP(C1931,Códigos!$A$11:$A$415,Códigos!$B$11:$B$415,"Verificar",0)</f>
        <v>0</v>
      </c>
      <c r="F1931" s="1286"/>
      <c r="G1931" s="441">
        <v>0</v>
      </c>
      <c r="H1931" s="441">
        <f t="shared" si="49"/>
        <v>633732083</v>
      </c>
      <c r="I1931" s="326"/>
      <c r="K1931" s="19"/>
    </row>
    <row r="1932" spans="1:11" x14ac:dyDescent="0.2">
      <c r="A1932" s="293"/>
      <c r="B1932" s="490"/>
      <c r="C1932" s="288"/>
      <c r="D1932" s="443">
        <f>_xlfn.XLOOKUP(B1932,Códigos!$A$421:$A$483,Códigos!$B$421:$B$483,"Verificar",0)</f>
        <v>0</v>
      </c>
      <c r="E1932" s="444">
        <f>_xlfn.XLOOKUP(C1932,Códigos!$A$11:$A$415,Códigos!$B$11:$B$415,"Verificar",0)</f>
        <v>0</v>
      </c>
      <c r="F1932" s="1286"/>
      <c r="G1932" s="441">
        <v>0</v>
      </c>
      <c r="H1932" s="441">
        <f t="shared" si="49"/>
        <v>633732083</v>
      </c>
      <c r="I1932" s="326"/>
      <c r="K1932" s="19"/>
    </row>
    <row r="1933" spans="1:11" x14ac:dyDescent="0.2">
      <c r="A1933" s="293"/>
      <c r="B1933" s="490"/>
      <c r="C1933" s="288"/>
      <c r="D1933" s="443">
        <f>_xlfn.XLOOKUP(B1933,Códigos!$A$421:$A$483,Códigos!$B$421:$B$483,"Verificar",0)</f>
        <v>0</v>
      </c>
      <c r="E1933" s="444">
        <f>_xlfn.XLOOKUP(C1933,Códigos!$A$11:$A$415,Códigos!$B$11:$B$415,"Verificar",0)</f>
        <v>0</v>
      </c>
      <c r="F1933" s="1286"/>
      <c r="G1933" s="441">
        <v>0</v>
      </c>
      <c r="H1933" s="441">
        <f t="shared" si="49"/>
        <v>633732083</v>
      </c>
      <c r="I1933" s="326"/>
      <c r="K1933" s="19"/>
    </row>
    <row r="1934" spans="1:11" x14ac:dyDescent="0.2">
      <c r="A1934" s="293"/>
      <c r="B1934" s="490"/>
      <c r="C1934" s="288"/>
      <c r="D1934" s="443">
        <f>_xlfn.XLOOKUP(B1934,Códigos!$A$421:$A$483,Códigos!$B$421:$B$483,"Verificar",0)</f>
        <v>0</v>
      </c>
      <c r="E1934" s="444">
        <f>_xlfn.XLOOKUP(C1934,Códigos!$A$11:$A$415,Códigos!$B$11:$B$415,"Verificar",0)</f>
        <v>0</v>
      </c>
      <c r="F1934" s="1286"/>
      <c r="G1934" s="441">
        <v>0</v>
      </c>
      <c r="H1934" s="441">
        <f t="shared" si="49"/>
        <v>633732083</v>
      </c>
      <c r="I1934" s="326"/>
      <c r="K1934" s="19"/>
    </row>
    <row r="1935" spans="1:11" x14ac:dyDescent="0.2">
      <c r="A1935" s="293"/>
      <c r="B1935" s="490"/>
      <c r="C1935" s="288"/>
      <c r="D1935" s="443">
        <f>_xlfn.XLOOKUP(B1935,Códigos!$A$421:$A$483,Códigos!$B$421:$B$483,"Verificar",0)</f>
        <v>0</v>
      </c>
      <c r="E1935" s="444">
        <f>_xlfn.XLOOKUP(C1935,Códigos!$A$11:$A$415,Códigos!$B$11:$B$415,"Verificar",0)</f>
        <v>0</v>
      </c>
      <c r="F1935" s="1286"/>
      <c r="G1935" s="441">
        <v>0</v>
      </c>
      <c r="H1935" s="441">
        <f t="shared" si="49"/>
        <v>633732083</v>
      </c>
      <c r="I1935" s="326"/>
      <c r="K1935" s="19"/>
    </row>
    <row r="1936" spans="1:11" x14ac:dyDescent="0.2">
      <c r="A1936" s="293"/>
      <c r="B1936" s="490"/>
      <c r="C1936" s="288"/>
      <c r="D1936" s="443">
        <f>_xlfn.XLOOKUP(B1936,Códigos!$A$421:$A$483,Códigos!$B$421:$B$483,"Verificar",0)</f>
        <v>0</v>
      </c>
      <c r="E1936" s="444">
        <f>_xlfn.XLOOKUP(C1936,Códigos!$A$11:$A$415,Códigos!$B$11:$B$415,"Verificar",0)</f>
        <v>0</v>
      </c>
      <c r="F1936" s="1286"/>
      <c r="G1936" s="441">
        <v>0</v>
      </c>
      <c r="H1936" s="441">
        <f t="shared" si="49"/>
        <v>633732083</v>
      </c>
      <c r="I1936" s="326"/>
      <c r="K1936" s="19"/>
    </row>
    <row r="1937" spans="1:11" x14ac:dyDescent="0.2">
      <c r="A1937" s="293"/>
      <c r="B1937" s="490"/>
      <c r="C1937" s="288"/>
      <c r="D1937" s="443">
        <f>_xlfn.XLOOKUP(B1937,Códigos!$A$421:$A$483,Códigos!$B$421:$B$483,"Verificar",0)</f>
        <v>0</v>
      </c>
      <c r="E1937" s="444">
        <f>_xlfn.XLOOKUP(C1937,Códigos!$A$11:$A$415,Códigos!$B$11:$B$415,"Verificar",0)</f>
        <v>0</v>
      </c>
      <c r="F1937" s="1286"/>
      <c r="G1937" s="441">
        <v>0</v>
      </c>
      <c r="H1937" s="441">
        <f t="shared" si="49"/>
        <v>633732083</v>
      </c>
      <c r="I1937" s="326"/>
      <c r="K1937" s="19"/>
    </row>
    <row r="1938" spans="1:11" x14ac:dyDescent="0.2">
      <c r="A1938" s="293"/>
      <c r="B1938" s="490"/>
      <c r="C1938" s="288"/>
      <c r="D1938" s="443">
        <f>_xlfn.XLOOKUP(B1938,Códigos!$A$421:$A$483,Códigos!$B$421:$B$483,"Verificar",0)</f>
        <v>0</v>
      </c>
      <c r="E1938" s="444">
        <f>_xlfn.XLOOKUP(C1938,Códigos!$A$11:$A$415,Códigos!$B$11:$B$415,"Verificar",0)</f>
        <v>0</v>
      </c>
      <c r="F1938" s="1286"/>
      <c r="G1938" s="441">
        <v>0</v>
      </c>
      <c r="H1938" s="441">
        <f t="shared" si="49"/>
        <v>633732083</v>
      </c>
      <c r="I1938" s="326"/>
      <c r="K1938" s="19"/>
    </row>
    <row r="1939" spans="1:11" x14ac:dyDescent="0.2">
      <c r="A1939" s="293"/>
      <c r="B1939" s="490"/>
      <c r="C1939" s="288"/>
      <c r="D1939" s="443">
        <f>_xlfn.XLOOKUP(B1939,Códigos!$A$421:$A$483,Códigos!$B$421:$B$483,"Verificar",0)</f>
        <v>0</v>
      </c>
      <c r="E1939" s="444">
        <f>_xlfn.XLOOKUP(C1939,Códigos!$A$11:$A$415,Códigos!$B$11:$B$415,"Verificar",0)</f>
        <v>0</v>
      </c>
      <c r="F1939" s="1286"/>
      <c r="G1939" s="441">
        <v>0</v>
      </c>
      <c r="H1939" s="441">
        <f t="shared" si="49"/>
        <v>633732083</v>
      </c>
      <c r="I1939" s="326"/>
      <c r="K1939" s="19"/>
    </row>
    <row r="1940" spans="1:11" x14ac:dyDescent="0.2">
      <c r="A1940" s="293"/>
      <c r="B1940" s="490"/>
      <c r="C1940" s="288"/>
      <c r="D1940" s="443">
        <f>_xlfn.XLOOKUP(B1940,Códigos!$A$421:$A$483,Códigos!$B$421:$B$483,"Verificar",0)</f>
        <v>0</v>
      </c>
      <c r="E1940" s="444">
        <f>_xlfn.XLOOKUP(C1940,Códigos!$A$11:$A$415,Códigos!$B$11:$B$415,"Verificar",0)</f>
        <v>0</v>
      </c>
      <c r="F1940" s="1286"/>
      <c r="G1940" s="441">
        <v>0</v>
      </c>
      <c r="H1940" s="441">
        <f t="shared" si="49"/>
        <v>633732083</v>
      </c>
      <c r="I1940" s="326"/>
      <c r="K1940" s="19"/>
    </row>
    <row r="1941" spans="1:11" x14ac:dyDescent="0.2">
      <c r="A1941" s="293"/>
      <c r="B1941" s="490"/>
      <c r="C1941" s="288"/>
      <c r="D1941" s="443">
        <f>_xlfn.XLOOKUP(B1941,Códigos!$A$421:$A$483,Códigos!$B$421:$B$483,"Verificar",0)</f>
        <v>0</v>
      </c>
      <c r="E1941" s="444">
        <f>_xlfn.XLOOKUP(C1941,Códigos!$A$11:$A$415,Códigos!$B$11:$B$415,"Verificar",0)</f>
        <v>0</v>
      </c>
      <c r="F1941" s="1286"/>
      <c r="G1941" s="441">
        <v>0</v>
      </c>
      <c r="H1941" s="441">
        <f t="shared" ref="H1941:H2004" si="50">+H1940+G1941</f>
        <v>633732083</v>
      </c>
      <c r="I1941" s="326"/>
      <c r="K1941" s="19"/>
    </row>
    <row r="1942" spans="1:11" x14ac:dyDescent="0.2">
      <c r="A1942" s="293"/>
      <c r="B1942" s="490"/>
      <c r="C1942" s="288"/>
      <c r="D1942" s="443">
        <f>_xlfn.XLOOKUP(B1942,Códigos!$A$421:$A$483,Códigos!$B$421:$B$483,"Verificar",0)</f>
        <v>0</v>
      </c>
      <c r="E1942" s="444">
        <f>_xlfn.XLOOKUP(C1942,Códigos!$A$11:$A$415,Códigos!$B$11:$B$415,"Verificar",0)</f>
        <v>0</v>
      </c>
      <c r="F1942" s="1286"/>
      <c r="G1942" s="441">
        <v>0</v>
      </c>
      <c r="H1942" s="441">
        <f t="shared" si="50"/>
        <v>633732083</v>
      </c>
      <c r="I1942" s="326"/>
      <c r="K1942" s="19"/>
    </row>
    <row r="1943" spans="1:11" x14ac:dyDescent="0.2">
      <c r="A1943" s="293"/>
      <c r="B1943" s="490"/>
      <c r="C1943" s="288"/>
      <c r="D1943" s="443">
        <f>_xlfn.XLOOKUP(B1943,Códigos!$A$421:$A$483,Códigos!$B$421:$B$483,"Verificar",0)</f>
        <v>0</v>
      </c>
      <c r="E1943" s="444">
        <f>_xlfn.XLOOKUP(C1943,Códigos!$A$11:$A$415,Códigos!$B$11:$B$415,"Verificar",0)</f>
        <v>0</v>
      </c>
      <c r="F1943" s="1286"/>
      <c r="G1943" s="441">
        <v>0</v>
      </c>
      <c r="H1943" s="441">
        <f t="shared" si="50"/>
        <v>633732083</v>
      </c>
      <c r="I1943" s="326"/>
      <c r="K1943" s="19"/>
    </row>
    <row r="1944" spans="1:11" x14ac:dyDescent="0.2">
      <c r="A1944" s="293"/>
      <c r="B1944" s="490"/>
      <c r="C1944" s="288"/>
      <c r="D1944" s="443">
        <f>_xlfn.XLOOKUP(B1944,Códigos!$A$421:$A$483,Códigos!$B$421:$B$483,"Verificar",0)</f>
        <v>0</v>
      </c>
      <c r="E1944" s="444">
        <f>_xlfn.XLOOKUP(C1944,Códigos!$A$11:$A$415,Códigos!$B$11:$B$415,"Verificar",0)</f>
        <v>0</v>
      </c>
      <c r="F1944" s="1286"/>
      <c r="G1944" s="441">
        <v>0</v>
      </c>
      <c r="H1944" s="441">
        <f t="shared" si="50"/>
        <v>633732083</v>
      </c>
      <c r="I1944" s="326"/>
      <c r="K1944" s="19"/>
    </row>
    <row r="1945" spans="1:11" x14ac:dyDescent="0.2">
      <c r="A1945" s="293"/>
      <c r="B1945" s="490"/>
      <c r="C1945" s="288"/>
      <c r="D1945" s="443">
        <f>_xlfn.XLOOKUP(B1945,Códigos!$A$421:$A$483,Códigos!$B$421:$B$483,"Verificar",0)</f>
        <v>0</v>
      </c>
      <c r="E1945" s="444">
        <f>_xlfn.XLOOKUP(C1945,Códigos!$A$11:$A$415,Códigos!$B$11:$B$415,"Verificar",0)</f>
        <v>0</v>
      </c>
      <c r="F1945" s="1286"/>
      <c r="G1945" s="441">
        <v>0</v>
      </c>
      <c r="H1945" s="441">
        <f t="shared" si="50"/>
        <v>633732083</v>
      </c>
      <c r="I1945" s="326"/>
      <c r="K1945" s="19"/>
    </row>
    <row r="1946" spans="1:11" x14ac:dyDescent="0.2">
      <c r="A1946" s="293"/>
      <c r="B1946" s="490"/>
      <c r="C1946" s="288"/>
      <c r="D1946" s="443">
        <f>_xlfn.XLOOKUP(B1946,Códigos!$A$421:$A$483,Códigos!$B$421:$B$483,"Verificar",0)</f>
        <v>0</v>
      </c>
      <c r="E1946" s="444">
        <f>_xlfn.XLOOKUP(C1946,Códigos!$A$11:$A$415,Códigos!$B$11:$B$415,"Verificar",0)</f>
        <v>0</v>
      </c>
      <c r="F1946" s="1286"/>
      <c r="G1946" s="441">
        <v>0</v>
      </c>
      <c r="H1946" s="441">
        <f t="shared" si="50"/>
        <v>633732083</v>
      </c>
      <c r="I1946" s="326"/>
      <c r="K1946" s="19"/>
    </row>
    <row r="1947" spans="1:11" x14ac:dyDescent="0.2">
      <c r="A1947" s="293"/>
      <c r="B1947" s="490"/>
      <c r="C1947" s="288"/>
      <c r="D1947" s="443">
        <f>_xlfn.XLOOKUP(B1947,Códigos!$A$421:$A$483,Códigos!$B$421:$B$483,"Verificar",0)</f>
        <v>0</v>
      </c>
      <c r="E1947" s="444">
        <f>_xlfn.XLOOKUP(C1947,Códigos!$A$11:$A$415,Códigos!$B$11:$B$415,"Verificar",0)</f>
        <v>0</v>
      </c>
      <c r="F1947" s="1286"/>
      <c r="G1947" s="441">
        <v>0</v>
      </c>
      <c r="H1947" s="441">
        <f t="shared" si="50"/>
        <v>633732083</v>
      </c>
      <c r="I1947" s="326"/>
      <c r="K1947" s="19"/>
    </row>
    <row r="1948" spans="1:11" x14ac:dyDescent="0.2">
      <c r="A1948" s="293"/>
      <c r="B1948" s="490"/>
      <c r="C1948" s="288"/>
      <c r="D1948" s="443">
        <f>_xlfn.XLOOKUP(B1948,Códigos!$A$421:$A$483,Códigos!$B$421:$B$483,"Verificar",0)</f>
        <v>0</v>
      </c>
      <c r="E1948" s="444">
        <f>_xlfn.XLOOKUP(C1948,Códigos!$A$11:$A$415,Códigos!$B$11:$B$415,"Verificar",0)</f>
        <v>0</v>
      </c>
      <c r="F1948" s="1286"/>
      <c r="G1948" s="441">
        <v>0</v>
      </c>
      <c r="H1948" s="441">
        <f t="shared" si="50"/>
        <v>633732083</v>
      </c>
      <c r="I1948" s="326"/>
      <c r="K1948" s="19"/>
    </row>
    <row r="1949" spans="1:11" x14ac:dyDescent="0.2">
      <c r="A1949" s="293"/>
      <c r="B1949" s="490"/>
      <c r="C1949" s="288"/>
      <c r="D1949" s="443">
        <f>_xlfn.XLOOKUP(B1949,Códigos!$A$421:$A$483,Códigos!$B$421:$B$483,"Verificar",0)</f>
        <v>0</v>
      </c>
      <c r="E1949" s="444">
        <f>_xlfn.XLOOKUP(C1949,Códigos!$A$11:$A$415,Códigos!$B$11:$B$415,"Verificar",0)</f>
        <v>0</v>
      </c>
      <c r="F1949" s="1286"/>
      <c r="G1949" s="441">
        <v>0</v>
      </c>
      <c r="H1949" s="441">
        <f t="shared" si="50"/>
        <v>633732083</v>
      </c>
      <c r="I1949" s="326"/>
      <c r="K1949" s="19"/>
    </row>
    <row r="1950" spans="1:11" x14ac:dyDescent="0.2">
      <c r="A1950" s="293"/>
      <c r="B1950" s="490"/>
      <c r="C1950" s="288"/>
      <c r="D1950" s="443">
        <f>_xlfn.XLOOKUP(B1950,Códigos!$A$421:$A$483,Códigos!$B$421:$B$483,"Verificar",0)</f>
        <v>0</v>
      </c>
      <c r="E1950" s="444">
        <f>_xlfn.XLOOKUP(C1950,Códigos!$A$11:$A$415,Códigos!$B$11:$B$415,"Verificar",0)</f>
        <v>0</v>
      </c>
      <c r="F1950" s="1286"/>
      <c r="G1950" s="441">
        <v>0</v>
      </c>
      <c r="H1950" s="441">
        <f t="shared" si="50"/>
        <v>633732083</v>
      </c>
      <c r="I1950" s="326"/>
      <c r="K1950" s="19"/>
    </row>
    <row r="1951" spans="1:11" x14ac:dyDescent="0.2">
      <c r="A1951" s="293"/>
      <c r="B1951" s="490"/>
      <c r="C1951" s="288"/>
      <c r="D1951" s="443">
        <f>_xlfn.XLOOKUP(B1951,Códigos!$A$421:$A$483,Códigos!$B$421:$B$483,"Verificar",0)</f>
        <v>0</v>
      </c>
      <c r="E1951" s="444">
        <f>_xlfn.XLOOKUP(C1951,Códigos!$A$11:$A$415,Códigos!$B$11:$B$415,"Verificar",0)</f>
        <v>0</v>
      </c>
      <c r="F1951" s="1286"/>
      <c r="G1951" s="441">
        <v>0</v>
      </c>
      <c r="H1951" s="441">
        <f t="shared" si="50"/>
        <v>633732083</v>
      </c>
      <c r="I1951" s="326"/>
      <c r="K1951" s="19"/>
    </row>
    <row r="1952" spans="1:11" x14ac:dyDescent="0.2">
      <c r="A1952" s="293"/>
      <c r="B1952" s="490"/>
      <c r="C1952" s="288"/>
      <c r="D1952" s="443">
        <f>_xlfn.XLOOKUP(B1952,Códigos!$A$421:$A$483,Códigos!$B$421:$B$483,"Verificar",0)</f>
        <v>0</v>
      </c>
      <c r="E1952" s="444">
        <f>_xlfn.XLOOKUP(C1952,Códigos!$A$11:$A$415,Códigos!$B$11:$B$415,"Verificar",0)</f>
        <v>0</v>
      </c>
      <c r="F1952" s="1286"/>
      <c r="G1952" s="441">
        <v>0</v>
      </c>
      <c r="H1952" s="441">
        <f t="shared" si="50"/>
        <v>633732083</v>
      </c>
      <c r="I1952" s="326"/>
      <c r="K1952" s="19"/>
    </row>
    <row r="1953" spans="1:11" x14ac:dyDescent="0.2">
      <c r="A1953" s="293"/>
      <c r="B1953" s="490"/>
      <c r="C1953" s="288"/>
      <c r="D1953" s="443">
        <f>_xlfn.XLOOKUP(B1953,Códigos!$A$421:$A$483,Códigos!$B$421:$B$483,"Verificar",0)</f>
        <v>0</v>
      </c>
      <c r="E1953" s="444">
        <f>_xlfn.XLOOKUP(C1953,Códigos!$A$11:$A$415,Códigos!$B$11:$B$415,"Verificar",0)</f>
        <v>0</v>
      </c>
      <c r="F1953" s="1286"/>
      <c r="G1953" s="441">
        <v>0</v>
      </c>
      <c r="H1953" s="441">
        <f t="shared" si="50"/>
        <v>633732083</v>
      </c>
      <c r="I1953" s="326"/>
      <c r="K1953" s="19"/>
    </row>
    <row r="1954" spans="1:11" x14ac:dyDescent="0.2">
      <c r="A1954" s="293"/>
      <c r="B1954" s="490"/>
      <c r="C1954" s="288"/>
      <c r="D1954" s="443">
        <f>_xlfn.XLOOKUP(B1954,Códigos!$A$421:$A$483,Códigos!$B$421:$B$483,"Verificar",0)</f>
        <v>0</v>
      </c>
      <c r="E1954" s="444">
        <f>_xlfn.XLOOKUP(C1954,Códigos!$A$11:$A$415,Códigos!$B$11:$B$415,"Verificar",0)</f>
        <v>0</v>
      </c>
      <c r="F1954" s="1286"/>
      <c r="G1954" s="441">
        <v>0</v>
      </c>
      <c r="H1954" s="441">
        <f t="shared" si="50"/>
        <v>633732083</v>
      </c>
      <c r="I1954" s="326"/>
      <c r="K1954" s="19"/>
    </row>
    <row r="1955" spans="1:11" x14ac:dyDescent="0.2">
      <c r="A1955" s="293"/>
      <c r="B1955" s="490"/>
      <c r="C1955" s="288"/>
      <c r="D1955" s="443">
        <f>_xlfn.XLOOKUP(B1955,Códigos!$A$421:$A$483,Códigos!$B$421:$B$483,"Verificar",0)</f>
        <v>0</v>
      </c>
      <c r="E1955" s="444">
        <f>_xlfn.XLOOKUP(C1955,Códigos!$A$11:$A$415,Códigos!$B$11:$B$415,"Verificar",0)</f>
        <v>0</v>
      </c>
      <c r="F1955" s="1286"/>
      <c r="G1955" s="441">
        <v>0</v>
      </c>
      <c r="H1955" s="441">
        <f t="shared" si="50"/>
        <v>633732083</v>
      </c>
      <c r="I1955" s="326"/>
      <c r="K1955" s="19"/>
    </row>
    <row r="1956" spans="1:11" x14ac:dyDescent="0.2">
      <c r="A1956" s="293"/>
      <c r="B1956" s="490"/>
      <c r="C1956" s="288"/>
      <c r="D1956" s="443">
        <f>_xlfn.XLOOKUP(B1956,Códigos!$A$421:$A$483,Códigos!$B$421:$B$483,"Verificar",0)</f>
        <v>0</v>
      </c>
      <c r="E1956" s="444">
        <f>_xlfn.XLOOKUP(C1956,Códigos!$A$11:$A$415,Códigos!$B$11:$B$415,"Verificar",0)</f>
        <v>0</v>
      </c>
      <c r="F1956" s="1286"/>
      <c r="G1956" s="441">
        <v>0</v>
      </c>
      <c r="H1956" s="441">
        <f t="shared" si="50"/>
        <v>633732083</v>
      </c>
      <c r="I1956" s="326"/>
      <c r="K1956" s="19"/>
    </row>
    <row r="1957" spans="1:11" x14ac:dyDescent="0.2">
      <c r="A1957" s="293"/>
      <c r="B1957" s="490"/>
      <c r="C1957" s="288"/>
      <c r="D1957" s="443">
        <f>_xlfn.XLOOKUP(B1957,Códigos!$A$421:$A$483,Códigos!$B$421:$B$483,"Verificar",0)</f>
        <v>0</v>
      </c>
      <c r="E1957" s="444">
        <f>_xlfn.XLOOKUP(C1957,Códigos!$A$11:$A$415,Códigos!$B$11:$B$415,"Verificar",0)</f>
        <v>0</v>
      </c>
      <c r="F1957" s="1286"/>
      <c r="G1957" s="441">
        <v>0</v>
      </c>
      <c r="H1957" s="441">
        <f t="shared" si="50"/>
        <v>633732083</v>
      </c>
      <c r="I1957" s="326"/>
      <c r="K1957" s="19"/>
    </row>
    <row r="1958" spans="1:11" x14ac:dyDescent="0.2">
      <c r="A1958" s="293"/>
      <c r="B1958" s="490"/>
      <c r="C1958" s="288"/>
      <c r="D1958" s="443">
        <f>_xlfn.XLOOKUP(B1958,Códigos!$A$421:$A$483,Códigos!$B$421:$B$483,"Verificar",0)</f>
        <v>0</v>
      </c>
      <c r="E1958" s="444">
        <f>_xlfn.XLOOKUP(C1958,Códigos!$A$11:$A$415,Códigos!$B$11:$B$415,"Verificar",0)</f>
        <v>0</v>
      </c>
      <c r="F1958" s="1286"/>
      <c r="G1958" s="441">
        <v>0</v>
      </c>
      <c r="H1958" s="441">
        <f t="shared" si="50"/>
        <v>633732083</v>
      </c>
      <c r="I1958" s="326"/>
      <c r="K1958" s="19"/>
    </row>
    <row r="1959" spans="1:11" x14ac:dyDescent="0.2">
      <c r="A1959" s="293"/>
      <c r="B1959" s="490"/>
      <c r="C1959" s="288"/>
      <c r="D1959" s="443">
        <f>_xlfn.XLOOKUP(B1959,Códigos!$A$421:$A$483,Códigos!$B$421:$B$483,"Verificar",0)</f>
        <v>0</v>
      </c>
      <c r="E1959" s="444">
        <f>_xlfn.XLOOKUP(C1959,Códigos!$A$11:$A$415,Códigos!$B$11:$B$415,"Verificar",0)</f>
        <v>0</v>
      </c>
      <c r="F1959" s="1286"/>
      <c r="G1959" s="441">
        <v>0</v>
      </c>
      <c r="H1959" s="441">
        <f t="shared" si="50"/>
        <v>633732083</v>
      </c>
      <c r="I1959" s="326"/>
      <c r="K1959" s="19"/>
    </row>
    <row r="1960" spans="1:11" x14ac:dyDescent="0.2">
      <c r="A1960" s="293"/>
      <c r="B1960" s="490"/>
      <c r="C1960" s="288"/>
      <c r="D1960" s="443">
        <f>_xlfn.XLOOKUP(B1960,Códigos!$A$421:$A$483,Códigos!$B$421:$B$483,"Verificar",0)</f>
        <v>0</v>
      </c>
      <c r="E1960" s="444">
        <f>_xlfn.XLOOKUP(C1960,Códigos!$A$11:$A$415,Códigos!$B$11:$B$415,"Verificar",0)</f>
        <v>0</v>
      </c>
      <c r="F1960" s="1286"/>
      <c r="G1960" s="441">
        <v>0</v>
      </c>
      <c r="H1960" s="441">
        <f t="shared" si="50"/>
        <v>633732083</v>
      </c>
      <c r="I1960" s="326"/>
      <c r="K1960" s="19"/>
    </row>
    <row r="1961" spans="1:11" x14ac:dyDescent="0.2">
      <c r="A1961" s="293"/>
      <c r="B1961" s="490"/>
      <c r="C1961" s="288"/>
      <c r="D1961" s="443">
        <f>_xlfn.XLOOKUP(B1961,Códigos!$A$421:$A$483,Códigos!$B$421:$B$483,"Verificar",0)</f>
        <v>0</v>
      </c>
      <c r="E1961" s="444">
        <f>_xlfn.XLOOKUP(C1961,Códigos!$A$11:$A$415,Códigos!$B$11:$B$415,"Verificar",0)</f>
        <v>0</v>
      </c>
      <c r="F1961" s="1286"/>
      <c r="G1961" s="441">
        <v>0</v>
      </c>
      <c r="H1961" s="441">
        <f t="shared" si="50"/>
        <v>633732083</v>
      </c>
      <c r="I1961" s="326"/>
      <c r="K1961" s="19"/>
    </row>
    <row r="1962" spans="1:11" x14ac:dyDescent="0.2">
      <c r="A1962" s="293"/>
      <c r="B1962" s="490"/>
      <c r="C1962" s="288"/>
      <c r="D1962" s="443">
        <f>_xlfn.XLOOKUP(B1962,Códigos!$A$421:$A$483,Códigos!$B$421:$B$483,"Verificar",0)</f>
        <v>0</v>
      </c>
      <c r="E1962" s="444">
        <f>_xlfn.XLOOKUP(C1962,Códigos!$A$11:$A$415,Códigos!$B$11:$B$415,"Verificar",0)</f>
        <v>0</v>
      </c>
      <c r="F1962" s="1286"/>
      <c r="G1962" s="441">
        <v>0</v>
      </c>
      <c r="H1962" s="441">
        <f t="shared" si="50"/>
        <v>633732083</v>
      </c>
      <c r="I1962" s="326"/>
      <c r="K1962" s="19"/>
    </row>
    <row r="1963" spans="1:11" x14ac:dyDescent="0.2">
      <c r="A1963" s="293"/>
      <c r="B1963" s="490"/>
      <c r="C1963" s="288"/>
      <c r="D1963" s="443">
        <f>_xlfn.XLOOKUP(B1963,Códigos!$A$421:$A$483,Códigos!$B$421:$B$483,"Verificar",0)</f>
        <v>0</v>
      </c>
      <c r="E1963" s="444">
        <f>_xlfn.XLOOKUP(C1963,Códigos!$A$11:$A$415,Códigos!$B$11:$B$415,"Verificar",0)</f>
        <v>0</v>
      </c>
      <c r="F1963" s="1286"/>
      <c r="G1963" s="441">
        <v>0</v>
      </c>
      <c r="H1963" s="441">
        <f t="shared" si="50"/>
        <v>633732083</v>
      </c>
      <c r="I1963" s="326"/>
      <c r="K1963" s="19"/>
    </row>
    <row r="1964" spans="1:11" x14ac:dyDescent="0.2">
      <c r="A1964" s="293"/>
      <c r="B1964" s="490"/>
      <c r="C1964" s="288"/>
      <c r="D1964" s="443">
        <f>_xlfn.XLOOKUP(B1964,Códigos!$A$421:$A$483,Códigos!$B$421:$B$483,"Verificar",0)</f>
        <v>0</v>
      </c>
      <c r="E1964" s="444">
        <f>_xlfn.XLOOKUP(C1964,Códigos!$A$11:$A$415,Códigos!$B$11:$B$415,"Verificar",0)</f>
        <v>0</v>
      </c>
      <c r="F1964" s="1286"/>
      <c r="G1964" s="441">
        <v>0</v>
      </c>
      <c r="H1964" s="441">
        <f t="shared" si="50"/>
        <v>633732083</v>
      </c>
      <c r="I1964" s="326"/>
      <c r="K1964" s="19"/>
    </row>
    <row r="1965" spans="1:11" x14ac:dyDescent="0.2">
      <c r="A1965" s="293"/>
      <c r="B1965" s="490"/>
      <c r="C1965" s="288"/>
      <c r="D1965" s="443">
        <f>_xlfn.XLOOKUP(B1965,Códigos!$A$421:$A$483,Códigos!$B$421:$B$483,"Verificar",0)</f>
        <v>0</v>
      </c>
      <c r="E1965" s="444">
        <f>_xlfn.XLOOKUP(C1965,Códigos!$A$11:$A$415,Códigos!$B$11:$B$415,"Verificar",0)</f>
        <v>0</v>
      </c>
      <c r="F1965" s="1286"/>
      <c r="G1965" s="441">
        <v>0</v>
      </c>
      <c r="H1965" s="441">
        <f t="shared" si="50"/>
        <v>633732083</v>
      </c>
      <c r="I1965" s="326"/>
      <c r="K1965" s="19"/>
    </row>
    <row r="1966" spans="1:11" x14ac:dyDescent="0.2">
      <c r="A1966" s="293"/>
      <c r="B1966" s="490"/>
      <c r="C1966" s="288"/>
      <c r="D1966" s="443">
        <f>_xlfn.XLOOKUP(B1966,Códigos!$A$421:$A$483,Códigos!$B$421:$B$483,"Verificar",0)</f>
        <v>0</v>
      </c>
      <c r="E1966" s="444">
        <f>_xlfn.XLOOKUP(C1966,Códigos!$A$11:$A$415,Códigos!$B$11:$B$415,"Verificar",0)</f>
        <v>0</v>
      </c>
      <c r="F1966" s="1286"/>
      <c r="G1966" s="441">
        <v>0</v>
      </c>
      <c r="H1966" s="441">
        <f t="shared" si="50"/>
        <v>633732083</v>
      </c>
      <c r="I1966" s="326"/>
      <c r="K1966" s="19"/>
    </row>
    <row r="1967" spans="1:11" x14ac:dyDescent="0.2">
      <c r="A1967" s="293"/>
      <c r="B1967" s="490"/>
      <c r="C1967" s="288"/>
      <c r="D1967" s="443">
        <f>_xlfn.XLOOKUP(B1967,Códigos!$A$421:$A$483,Códigos!$B$421:$B$483,"Verificar",0)</f>
        <v>0</v>
      </c>
      <c r="E1967" s="444">
        <f>_xlfn.XLOOKUP(C1967,Códigos!$A$11:$A$415,Códigos!$B$11:$B$415,"Verificar",0)</f>
        <v>0</v>
      </c>
      <c r="F1967" s="1286"/>
      <c r="G1967" s="441">
        <v>0</v>
      </c>
      <c r="H1967" s="441">
        <f t="shared" si="50"/>
        <v>633732083</v>
      </c>
      <c r="I1967" s="326"/>
      <c r="K1967" s="19"/>
    </row>
    <row r="1968" spans="1:11" x14ac:dyDescent="0.2">
      <c r="A1968" s="293"/>
      <c r="B1968" s="490"/>
      <c r="C1968" s="288"/>
      <c r="D1968" s="443">
        <f>_xlfn.XLOOKUP(B1968,Códigos!$A$421:$A$483,Códigos!$B$421:$B$483,"Verificar",0)</f>
        <v>0</v>
      </c>
      <c r="E1968" s="444">
        <f>_xlfn.XLOOKUP(C1968,Códigos!$A$11:$A$415,Códigos!$B$11:$B$415,"Verificar",0)</f>
        <v>0</v>
      </c>
      <c r="F1968" s="1286"/>
      <c r="G1968" s="441">
        <v>0</v>
      </c>
      <c r="H1968" s="441">
        <f t="shared" si="50"/>
        <v>633732083</v>
      </c>
      <c r="I1968" s="326"/>
      <c r="K1968" s="19"/>
    </row>
    <row r="1969" spans="1:11" x14ac:dyDescent="0.2">
      <c r="A1969" s="293"/>
      <c r="B1969" s="490"/>
      <c r="C1969" s="288"/>
      <c r="D1969" s="443">
        <f>_xlfn.XLOOKUP(B1969,Códigos!$A$421:$A$483,Códigos!$B$421:$B$483,"Verificar",0)</f>
        <v>0</v>
      </c>
      <c r="E1969" s="444">
        <f>_xlfn.XLOOKUP(C1969,Códigos!$A$11:$A$415,Códigos!$B$11:$B$415,"Verificar",0)</f>
        <v>0</v>
      </c>
      <c r="F1969" s="1286"/>
      <c r="G1969" s="441">
        <v>0</v>
      </c>
      <c r="H1969" s="441">
        <f t="shared" si="50"/>
        <v>633732083</v>
      </c>
      <c r="I1969" s="326"/>
      <c r="K1969" s="19"/>
    </row>
    <row r="1970" spans="1:11" x14ac:dyDescent="0.2">
      <c r="A1970" s="293"/>
      <c r="B1970" s="490"/>
      <c r="C1970" s="288"/>
      <c r="D1970" s="443">
        <f>_xlfn.XLOOKUP(B1970,Códigos!$A$421:$A$483,Códigos!$B$421:$B$483,"Verificar",0)</f>
        <v>0</v>
      </c>
      <c r="E1970" s="444">
        <f>_xlfn.XLOOKUP(C1970,Códigos!$A$11:$A$415,Códigos!$B$11:$B$415,"Verificar",0)</f>
        <v>0</v>
      </c>
      <c r="F1970" s="1286"/>
      <c r="G1970" s="441">
        <v>0</v>
      </c>
      <c r="H1970" s="441">
        <f t="shared" si="50"/>
        <v>633732083</v>
      </c>
      <c r="I1970" s="326"/>
      <c r="K1970" s="19"/>
    </row>
    <row r="1971" spans="1:11" x14ac:dyDescent="0.2">
      <c r="A1971" s="293"/>
      <c r="B1971" s="490"/>
      <c r="C1971" s="288"/>
      <c r="D1971" s="443">
        <f>_xlfn.XLOOKUP(B1971,Códigos!$A$421:$A$483,Códigos!$B$421:$B$483,"Verificar",0)</f>
        <v>0</v>
      </c>
      <c r="E1971" s="444">
        <f>_xlfn.XLOOKUP(C1971,Códigos!$A$11:$A$415,Códigos!$B$11:$B$415,"Verificar",0)</f>
        <v>0</v>
      </c>
      <c r="F1971" s="1286"/>
      <c r="G1971" s="441">
        <v>0</v>
      </c>
      <c r="H1971" s="441">
        <f t="shared" si="50"/>
        <v>633732083</v>
      </c>
      <c r="I1971" s="326"/>
      <c r="K1971" s="19"/>
    </row>
    <row r="1972" spans="1:11" x14ac:dyDescent="0.2">
      <c r="A1972" s="293"/>
      <c r="B1972" s="490"/>
      <c r="C1972" s="288"/>
      <c r="D1972" s="443">
        <f>_xlfn.XLOOKUP(B1972,Códigos!$A$421:$A$483,Códigos!$B$421:$B$483,"Verificar",0)</f>
        <v>0</v>
      </c>
      <c r="E1972" s="444">
        <f>_xlfn.XLOOKUP(C1972,Códigos!$A$11:$A$415,Códigos!$B$11:$B$415,"Verificar",0)</f>
        <v>0</v>
      </c>
      <c r="F1972" s="1286"/>
      <c r="G1972" s="441">
        <v>0</v>
      </c>
      <c r="H1972" s="441">
        <f t="shared" si="50"/>
        <v>633732083</v>
      </c>
      <c r="I1972" s="326"/>
      <c r="K1972" s="19"/>
    </row>
    <row r="1973" spans="1:11" x14ac:dyDescent="0.2">
      <c r="A1973" s="293"/>
      <c r="B1973" s="490"/>
      <c r="C1973" s="288"/>
      <c r="D1973" s="443">
        <f>_xlfn.XLOOKUP(B1973,Códigos!$A$421:$A$483,Códigos!$B$421:$B$483,"Verificar",0)</f>
        <v>0</v>
      </c>
      <c r="E1973" s="444">
        <f>_xlfn.XLOOKUP(C1973,Códigos!$A$11:$A$415,Códigos!$B$11:$B$415,"Verificar",0)</f>
        <v>0</v>
      </c>
      <c r="F1973" s="1286"/>
      <c r="G1973" s="441">
        <v>0</v>
      </c>
      <c r="H1973" s="441">
        <f t="shared" si="50"/>
        <v>633732083</v>
      </c>
      <c r="I1973" s="326"/>
      <c r="K1973" s="19"/>
    </row>
    <row r="1974" spans="1:11" x14ac:dyDescent="0.2">
      <c r="A1974" s="293"/>
      <c r="B1974" s="490"/>
      <c r="C1974" s="288"/>
      <c r="D1974" s="443">
        <f>_xlfn.XLOOKUP(B1974,Códigos!$A$421:$A$483,Códigos!$B$421:$B$483,"Verificar",0)</f>
        <v>0</v>
      </c>
      <c r="E1974" s="444">
        <f>_xlfn.XLOOKUP(C1974,Códigos!$A$11:$A$415,Códigos!$B$11:$B$415,"Verificar",0)</f>
        <v>0</v>
      </c>
      <c r="F1974" s="1286"/>
      <c r="G1974" s="441">
        <v>0</v>
      </c>
      <c r="H1974" s="441">
        <f t="shared" si="50"/>
        <v>633732083</v>
      </c>
      <c r="I1974" s="326"/>
      <c r="K1974" s="19"/>
    </row>
    <row r="1975" spans="1:11" x14ac:dyDescent="0.2">
      <c r="A1975" s="293"/>
      <c r="B1975" s="490"/>
      <c r="C1975" s="288"/>
      <c r="D1975" s="443">
        <f>_xlfn.XLOOKUP(B1975,Códigos!$A$421:$A$483,Códigos!$B$421:$B$483,"Verificar",0)</f>
        <v>0</v>
      </c>
      <c r="E1975" s="444">
        <f>_xlfn.XLOOKUP(C1975,Códigos!$A$11:$A$415,Códigos!$B$11:$B$415,"Verificar",0)</f>
        <v>0</v>
      </c>
      <c r="F1975" s="1286"/>
      <c r="G1975" s="441">
        <v>0</v>
      </c>
      <c r="H1975" s="441">
        <f t="shared" si="50"/>
        <v>633732083</v>
      </c>
      <c r="I1975" s="326"/>
      <c r="K1975" s="19"/>
    </row>
    <row r="1976" spans="1:11" x14ac:dyDescent="0.2">
      <c r="A1976" s="293"/>
      <c r="B1976" s="490"/>
      <c r="C1976" s="288"/>
      <c r="D1976" s="443">
        <f>_xlfn.XLOOKUP(B1976,Códigos!$A$421:$A$483,Códigos!$B$421:$B$483,"Verificar",0)</f>
        <v>0</v>
      </c>
      <c r="E1976" s="444">
        <f>_xlfn.XLOOKUP(C1976,Códigos!$A$11:$A$415,Códigos!$B$11:$B$415,"Verificar",0)</f>
        <v>0</v>
      </c>
      <c r="F1976" s="1286"/>
      <c r="G1976" s="441">
        <v>0</v>
      </c>
      <c r="H1976" s="441">
        <f t="shared" si="50"/>
        <v>633732083</v>
      </c>
      <c r="I1976" s="326"/>
      <c r="K1976" s="19"/>
    </row>
    <row r="1977" spans="1:11" x14ac:dyDescent="0.2">
      <c r="A1977" s="293"/>
      <c r="B1977" s="490"/>
      <c r="C1977" s="288"/>
      <c r="D1977" s="443">
        <f>_xlfn.XLOOKUP(B1977,Códigos!$A$421:$A$483,Códigos!$B$421:$B$483,"Verificar",0)</f>
        <v>0</v>
      </c>
      <c r="E1977" s="444">
        <f>_xlfn.XLOOKUP(C1977,Códigos!$A$11:$A$415,Códigos!$B$11:$B$415,"Verificar",0)</f>
        <v>0</v>
      </c>
      <c r="F1977" s="1286"/>
      <c r="G1977" s="441">
        <v>0</v>
      </c>
      <c r="H1977" s="441">
        <f t="shared" si="50"/>
        <v>633732083</v>
      </c>
      <c r="I1977" s="326"/>
      <c r="K1977" s="19"/>
    </row>
    <row r="1978" spans="1:11" x14ac:dyDescent="0.2">
      <c r="A1978" s="293"/>
      <c r="B1978" s="490"/>
      <c r="C1978" s="288"/>
      <c r="D1978" s="443">
        <f>_xlfn.XLOOKUP(B1978,Códigos!$A$421:$A$483,Códigos!$B$421:$B$483,"Verificar",0)</f>
        <v>0</v>
      </c>
      <c r="E1978" s="444">
        <f>_xlfn.XLOOKUP(C1978,Códigos!$A$11:$A$415,Códigos!$B$11:$B$415,"Verificar",0)</f>
        <v>0</v>
      </c>
      <c r="F1978" s="1286"/>
      <c r="G1978" s="441">
        <v>0</v>
      </c>
      <c r="H1978" s="441">
        <f t="shared" si="50"/>
        <v>633732083</v>
      </c>
      <c r="I1978" s="326"/>
      <c r="K1978" s="19"/>
    </row>
    <row r="1979" spans="1:11" x14ac:dyDescent="0.2">
      <c r="A1979" s="293"/>
      <c r="B1979" s="490"/>
      <c r="C1979" s="288"/>
      <c r="D1979" s="443">
        <f>_xlfn.XLOOKUP(B1979,Códigos!$A$421:$A$483,Códigos!$B$421:$B$483,"Verificar",0)</f>
        <v>0</v>
      </c>
      <c r="E1979" s="444">
        <f>_xlfn.XLOOKUP(C1979,Códigos!$A$11:$A$415,Códigos!$B$11:$B$415,"Verificar",0)</f>
        <v>0</v>
      </c>
      <c r="F1979" s="1286"/>
      <c r="G1979" s="441">
        <v>0</v>
      </c>
      <c r="H1979" s="441">
        <f t="shared" si="50"/>
        <v>633732083</v>
      </c>
      <c r="I1979" s="326"/>
      <c r="K1979" s="19"/>
    </row>
    <row r="1980" spans="1:11" x14ac:dyDescent="0.2">
      <c r="A1980" s="293"/>
      <c r="B1980" s="490"/>
      <c r="C1980" s="288"/>
      <c r="D1980" s="443">
        <f>_xlfn.XLOOKUP(B1980,Códigos!$A$421:$A$483,Códigos!$B$421:$B$483,"Verificar",0)</f>
        <v>0</v>
      </c>
      <c r="E1980" s="444">
        <f>_xlfn.XLOOKUP(C1980,Códigos!$A$11:$A$415,Códigos!$B$11:$B$415,"Verificar",0)</f>
        <v>0</v>
      </c>
      <c r="F1980" s="1286"/>
      <c r="G1980" s="441">
        <v>0</v>
      </c>
      <c r="H1980" s="441">
        <f t="shared" si="50"/>
        <v>633732083</v>
      </c>
      <c r="I1980" s="326"/>
      <c r="K1980" s="19"/>
    </row>
    <row r="1981" spans="1:11" x14ac:dyDescent="0.2">
      <c r="A1981" s="293"/>
      <c r="B1981" s="490"/>
      <c r="C1981" s="288"/>
      <c r="D1981" s="443">
        <f>_xlfn.XLOOKUP(B1981,Códigos!$A$421:$A$483,Códigos!$B$421:$B$483,"Verificar",0)</f>
        <v>0</v>
      </c>
      <c r="E1981" s="444">
        <f>_xlfn.XLOOKUP(C1981,Códigos!$A$11:$A$415,Códigos!$B$11:$B$415,"Verificar",0)</f>
        <v>0</v>
      </c>
      <c r="F1981" s="1286"/>
      <c r="G1981" s="441">
        <v>0</v>
      </c>
      <c r="H1981" s="441">
        <f t="shared" si="50"/>
        <v>633732083</v>
      </c>
      <c r="I1981" s="326"/>
      <c r="K1981" s="19"/>
    </row>
    <row r="1982" spans="1:11" x14ac:dyDescent="0.2">
      <c r="A1982" s="293"/>
      <c r="B1982" s="490"/>
      <c r="C1982" s="288"/>
      <c r="D1982" s="443">
        <f>_xlfn.XLOOKUP(B1982,Códigos!$A$421:$A$483,Códigos!$B$421:$B$483,"Verificar",0)</f>
        <v>0</v>
      </c>
      <c r="E1982" s="444">
        <f>_xlfn.XLOOKUP(C1982,Códigos!$A$11:$A$415,Códigos!$B$11:$B$415,"Verificar",0)</f>
        <v>0</v>
      </c>
      <c r="F1982" s="1286"/>
      <c r="G1982" s="441">
        <v>0</v>
      </c>
      <c r="H1982" s="441">
        <f t="shared" si="50"/>
        <v>633732083</v>
      </c>
      <c r="I1982" s="326"/>
      <c r="K1982" s="19"/>
    </row>
    <row r="1983" spans="1:11" x14ac:dyDescent="0.2">
      <c r="A1983" s="293"/>
      <c r="B1983" s="490"/>
      <c r="C1983" s="288"/>
      <c r="D1983" s="443">
        <f>_xlfn.XLOOKUP(B1983,Códigos!$A$421:$A$483,Códigos!$B$421:$B$483,"Verificar",0)</f>
        <v>0</v>
      </c>
      <c r="E1983" s="444">
        <f>_xlfn.XLOOKUP(C1983,Códigos!$A$11:$A$415,Códigos!$B$11:$B$415,"Verificar",0)</f>
        <v>0</v>
      </c>
      <c r="F1983" s="1286"/>
      <c r="G1983" s="441">
        <v>0</v>
      </c>
      <c r="H1983" s="441">
        <f t="shared" si="50"/>
        <v>633732083</v>
      </c>
      <c r="I1983" s="326"/>
      <c r="K1983" s="19"/>
    </row>
    <row r="1984" spans="1:11" x14ac:dyDescent="0.2">
      <c r="A1984" s="293"/>
      <c r="B1984" s="490"/>
      <c r="C1984" s="288"/>
      <c r="D1984" s="443">
        <f>_xlfn.XLOOKUP(B1984,Códigos!$A$421:$A$483,Códigos!$B$421:$B$483,"Verificar",0)</f>
        <v>0</v>
      </c>
      <c r="E1984" s="444">
        <f>_xlfn.XLOOKUP(C1984,Códigos!$A$11:$A$415,Códigos!$B$11:$B$415,"Verificar",0)</f>
        <v>0</v>
      </c>
      <c r="F1984" s="1286"/>
      <c r="G1984" s="441">
        <v>0</v>
      </c>
      <c r="H1984" s="441">
        <f t="shared" si="50"/>
        <v>633732083</v>
      </c>
      <c r="I1984" s="326"/>
      <c r="K1984" s="19"/>
    </row>
    <row r="1985" spans="1:11" x14ac:dyDescent="0.2">
      <c r="A1985" s="293"/>
      <c r="B1985" s="490"/>
      <c r="C1985" s="288"/>
      <c r="D1985" s="443">
        <f>_xlfn.XLOOKUP(B1985,Códigos!$A$421:$A$483,Códigos!$B$421:$B$483,"Verificar",0)</f>
        <v>0</v>
      </c>
      <c r="E1985" s="444">
        <f>_xlfn.XLOOKUP(C1985,Códigos!$A$11:$A$415,Códigos!$B$11:$B$415,"Verificar",0)</f>
        <v>0</v>
      </c>
      <c r="F1985" s="1286"/>
      <c r="G1985" s="441">
        <v>0</v>
      </c>
      <c r="H1985" s="441">
        <f t="shared" si="50"/>
        <v>633732083</v>
      </c>
      <c r="I1985" s="326"/>
      <c r="K1985" s="19"/>
    </row>
    <row r="1986" spans="1:11" x14ac:dyDescent="0.2">
      <c r="A1986" s="293"/>
      <c r="B1986" s="490"/>
      <c r="C1986" s="288"/>
      <c r="D1986" s="443">
        <f>_xlfn.XLOOKUP(B1986,Códigos!$A$421:$A$483,Códigos!$B$421:$B$483,"Verificar",0)</f>
        <v>0</v>
      </c>
      <c r="E1986" s="444">
        <f>_xlfn.XLOOKUP(C1986,Códigos!$A$11:$A$415,Códigos!$B$11:$B$415,"Verificar",0)</f>
        <v>0</v>
      </c>
      <c r="F1986" s="1286"/>
      <c r="G1986" s="441">
        <v>0</v>
      </c>
      <c r="H1986" s="441">
        <f t="shared" si="50"/>
        <v>633732083</v>
      </c>
      <c r="I1986" s="326"/>
      <c r="K1986" s="19"/>
    </row>
    <row r="1987" spans="1:11" x14ac:dyDescent="0.2">
      <c r="A1987" s="293"/>
      <c r="B1987" s="490"/>
      <c r="C1987" s="288"/>
      <c r="D1987" s="443">
        <f>_xlfn.XLOOKUP(B1987,Códigos!$A$421:$A$483,Códigos!$B$421:$B$483,"Verificar",0)</f>
        <v>0</v>
      </c>
      <c r="E1987" s="444">
        <f>_xlfn.XLOOKUP(C1987,Códigos!$A$11:$A$415,Códigos!$B$11:$B$415,"Verificar",0)</f>
        <v>0</v>
      </c>
      <c r="F1987" s="1286"/>
      <c r="G1987" s="441">
        <v>0</v>
      </c>
      <c r="H1987" s="441">
        <f t="shared" si="50"/>
        <v>633732083</v>
      </c>
      <c r="I1987" s="326"/>
      <c r="K1987" s="19"/>
    </row>
    <row r="1988" spans="1:11" x14ac:dyDescent="0.2">
      <c r="A1988" s="293"/>
      <c r="B1988" s="490"/>
      <c r="C1988" s="288"/>
      <c r="D1988" s="443">
        <f>_xlfn.XLOOKUP(B1988,Códigos!$A$421:$A$483,Códigos!$B$421:$B$483,"Verificar",0)</f>
        <v>0</v>
      </c>
      <c r="E1988" s="444">
        <f>_xlfn.XLOOKUP(C1988,Códigos!$A$11:$A$415,Códigos!$B$11:$B$415,"Verificar",0)</f>
        <v>0</v>
      </c>
      <c r="F1988" s="1286"/>
      <c r="G1988" s="441">
        <v>0</v>
      </c>
      <c r="H1988" s="441">
        <f t="shared" si="50"/>
        <v>633732083</v>
      </c>
      <c r="I1988" s="326"/>
      <c r="K1988" s="19"/>
    </row>
    <row r="1989" spans="1:11" x14ac:dyDescent="0.2">
      <c r="A1989" s="293"/>
      <c r="B1989" s="490"/>
      <c r="C1989" s="288"/>
      <c r="D1989" s="443">
        <f>_xlfn.XLOOKUP(B1989,Códigos!$A$421:$A$483,Códigos!$B$421:$B$483,"Verificar",0)</f>
        <v>0</v>
      </c>
      <c r="E1989" s="444">
        <f>_xlfn.XLOOKUP(C1989,Códigos!$A$11:$A$415,Códigos!$B$11:$B$415,"Verificar",0)</f>
        <v>0</v>
      </c>
      <c r="F1989" s="1286"/>
      <c r="G1989" s="441">
        <v>0</v>
      </c>
      <c r="H1989" s="441">
        <f t="shared" si="50"/>
        <v>633732083</v>
      </c>
      <c r="I1989" s="326"/>
      <c r="K1989" s="19"/>
    </row>
    <row r="1990" spans="1:11" x14ac:dyDescent="0.2">
      <c r="A1990" s="293"/>
      <c r="B1990" s="490"/>
      <c r="C1990" s="288"/>
      <c r="D1990" s="443">
        <f>_xlfn.XLOOKUP(B1990,Códigos!$A$421:$A$483,Códigos!$B$421:$B$483,"Verificar",0)</f>
        <v>0</v>
      </c>
      <c r="E1990" s="444">
        <f>_xlfn.XLOOKUP(C1990,Códigos!$A$11:$A$415,Códigos!$B$11:$B$415,"Verificar",0)</f>
        <v>0</v>
      </c>
      <c r="F1990" s="1286"/>
      <c r="G1990" s="441">
        <v>0</v>
      </c>
      <c r="H1990" s="441">
        <f t="shared" si="50"/>
        <v>633732083</v>
      </c>
      <c r="I1990" s="326"/>
      <c r="K1990" s="19"/>
    </row>
    <row r="1991" spans="1:11" x14ac:dyDescent="0.2">
      <c r="A1991" s="293"/>
      <c r="B1991" s="490"/>
      <c r="C1991" s="288"/>
      <c r="D1991" s="443">
        <f>_xlfn.XLOOKUP(B1991,Códigos!$A$421:$A$483,Códigos!$B$421:$B$483,"Verificar",0)</f>
        <v>0</v>
      </c>
      <c r="E1991" s="444">
        <f>_xlfn.XLOOKUP(C1991,Códigos!$A$11:$A$415,Códigos!$B$11:$B$415,"Verificar",0)</f>
        <v>0</v>
      </c>
      <c r="F1991" s="1286"/>
      <c r="G1991" s="441">
        <v>0</v>
      </c>
      <c r="H1991" s="441">
        <f t="shared" si="50"/>
        <v>633732083</v>
      </c>
      <c r="I1991" s="326"/>
      <c r="K1991" s="19"/>
    </row>
    <row r="1992" spans="1:11" x14ac:dyDescent="0.2">
      <c r="A1992" s="293"/>
      <c r="B1992" s="490"/>
      <c r="C1992" s="288"/>
      <c r="D1992" s="443">
        <f>_xlfn.XLOOKUP(B1992,Códigos!$A$421:$A$483,Códigos!$B$421:$B$483,"Verificar",0)</f>
        <v>0</v>
      </c>
      <c r="E1992" s="444">
        <f>_xlfn.XLOOKUP(C1992,Códigos!$A$11:$A$415,Códigos!$B$11:$B$415,"Verificar",0)</f>
        <v>0</v>
      </c>
      <c r="F1992" s="1286"/>
      <c r="G1992" s="441">
        <v>0</v>
      </c>
      <c r="H1992" s="441">
        <f t="shared" si="50"/>
        <v>633732083</v>
      </c>
      <c r="I1992" s="326"/>
      <c r="K1992" s="19"/>
    </row>
    <row r="1993" spans="1:11" x14ac:dyDescent="0.2">
      <c r="A1993" s="293"/>
      <c r="B1993" s="490"/>
      <c r="C1993" s="288"/>
      <c r="D1993" s="443">
        <f>_xlfn.XLOOKUP(B1993,Códigos!$A$421:$A$483,Códigos!$B$421:$B$483,"Verificar",0)</f>
        <v>0</v>
      </c>
      <c r="E1993" s="444">
        <f>_xlfn.XLOOKUP(C1993,Códigos!$A$11:$A$415,Códigos!$B$11:$B$415,"Verificar",0)</f>
        <v>0</v>
      </c>
      <c r="F1993" s="1286"/>
      <c r="G1993" s="441">
        <v>0</v>
      </c>
      <c r="H1993" s="441">
        <f t="shared" si="50"/>
        <v>633732083</v>
      </c>
      <c r="I1993" s="326"/>
      <c r="K1993" s="19"/>
    </row>
    <row r="1994" spans="1:11" x14ac:dyDescent="0.2">
      <c r="A1994" s="293"/>
      <c r="B1994" s="490"/>
      <c r="C1994" s="288"/>
      <c r="D1994" s="443">
        <f>_xlfn.XLOOKUP(B1994,Códigos!$A$421:$A$483,Códigos!$B$421:$B$483,"Verificar",0)</f>
        <v>0</v>
      </c>
      <c r="E1994" s="444">
        <f>_xlfn.XLOOKUP(C1994,Códigos!$A$11:$A$415,Códigos!$B$11:$B$415,"Verificar",0)</f>
        <v>0</v>
      </c>
      <c r="F1994" s="1286"/>
      <c r="G1994" s="441">
        <v>0</v>
      </c>
      <c r="H1994" s="441">
        <f t="shared" si="50"/>
        <v>633732083</v>
      </c>
      <c r="I1994" s="326"/>
      <c r="K1994" s="19"/>
    </row>
    <row r="1995" spans="1:11" x14ac:dyDescent="0.2">
      <c r="A1995" s="293"/>
      <c r="B1995" s="490"/>
      <c r="C1995" s="288"/>
      <c r="D1995" s="443">
        <f>_xlfn.XLOOKUP(B1995,Códigos!$A$421:$A$483,Códigos!$B$421:$B$483,"Verificar",0)</f>
        <v>0</v>
      </c>
      <c r="E1995" s="444">
        <f>_xlfn.XLOOKUP(C1995,Códigos!$A$11:$A$415,Códigos!$B$11:$B$415,"Verificar",0)</f>
        <v>0</v>
      </c>
      <c r="F1995" s="1286"/>
      <c r="G1995" s="441">
        <v>0</v>
      </c>
      <c r="H1995" s="441">
        <f t="shared" si="50"/>
        <v>633732083</v>
      </c>
      <c r="I1995" s="326"/>
      <c r="K1995" s="19"/>
    </row>
    <row r="1996" spans="1:11" x14ac:dyDescent="0.2">
      <c r="A1996" s="293"/>
      <c r="B1996" s="490"/>
      <c r="C1996" s="288"/>
      <c r="D1996" s="443">
        <f>_xlfn.XLOOKUP(B1996,Códigos!$A$421:$A$483,Códigos!$B$421:$B$483,"Verificar",0)</f>
        <v>0</v>
      </c>
      <c r="E1996" s="444">
        <f>_xlfn.XLOOKUP(C1996,Códigos!$A$11:$A$415,Códigos!$B$11:$B$415,"Verificar",0)</f>
        <v>0</v>
      </c>
      <c r="F1996" s="1286"/>
      <c r="G1996" s="441">
        <v>0</v>
      </c>
      <c r="H1996" s="441">
        <f t="shared" si="50"/>
        <v>633732083</v>
      </c>
      <c r="I1996" s="326"/>
      <c r="K1996" s="19"/>
    </row>
    <row r="1997" spans="1:11" x14ac:dyDescent="0.2">
      <c r="A1997" s="293"/>
      <c r="B1997" s="490"/>
      <c r="C1997" s="288"/>
      <c r="D1997" s="443">
        <f>_xlfn.XLOOKUP(B1997,Códigos!$A$421:$A$483,Códigos!$B$421:$B$483,"Verificar",0)</f>
        <v>0</v>
      </c>
      <c r="E1997" s="444">
        <f>_xlfn.XLOOKUP(C1997,Códigos!$A$11:$A$415,Códigos!$B$11:$B$415,"Verificar",0)</f>
        <v>0</v>
      </c>
      <c r="F1997" s="1286"/>
      <c r="G1997" s="441">
        <v>0</v>
      </c>
      <c r="H1997" s="441">
        <f t="shared" si="50"/>
        <v>633732083</v>
      </c>
      <c r="I1997" s="326"/>
      <c r="K1997" s="19"/>
    </row>
    <row r="1998" spans="1:11" x14ac:dyDescent="0.2">
      <c r="A1998" s="293"/>
      <c r="B1998" s="490"/>
      <c r="C1998" s="288"/>
      <c r="D1998" s="443">
        <f>_xlfn.XLOOKUP(B1998,Códigos!$A$421:$A$483,Códigos!$B$421:$B$483,"Verificar",0)</f>
        <v>0</v>
      </c>
      <c r="E1998" s="444">
        <f>_xlfn.XLOOKUP(C1998,Códigos!$A$11:$A$415,Códigos!$B$11:$B$415,"Verificar",0)</f>
        <v>0</v>
      </c>
      <c r="F1998" s="1286"/>
      <c r="G1998" s="441">
        <v>0</v>
      </c>
      <c r="H1998" s="441">
        <f t="shared" si="50"/>
        <v>633732083</v>
      </c>
      <c r="I1998" s="326"/>
      <c r="K1998" s="19"/>
    </row>
    <row r="1999" spans="1:11" x14ac:dyDescent="0.2">
      <c r="A1999" s="293"/>
      <c r="B1999" s="490"/>
      <c r="C1999" s="288"/>
      <c r="D1999" s="443">
        <f>_xlfn.XLOOKUP(B1999,Códigos!$A$421:$A$483,Códigos!$B$421:$B$483,"Verificar",0)</f>
        <v>0</v>
      </c>
      <c r="E1999" s="444">
        <f>_xlfn.XLOOKUP(C1999,Códigos!$A$11:$A$415,Códigos!$B$11:$B$415,"Verificar",0)</f>
        <v>0</v>
      </c>
      <c r="F1999" s="1286"/>
      <c r="G1999" s="441">
        <v>0</v>
      </c>
      <c r="H1999" s="441">
        <f t="shared" si="50"/>
        <v>633732083</v>
      </c>
      <c r="I1999" s="326"/>
      <c r="K1999" s="19"/>
    </row>
    <row r="2000" spans="1:11" x14ac:dyDescent="0.2">
      <c r="A2000" s="293"/>
      <c r="B2000" s="490"/>
      <c r="C2000" s="288"/>
      <c r="D2000" s="443">
        <f>_xlfn.XLOOKUP(B2000,Códigos!$A$421:$A$483,Códigos!$B$421:$B$483,"Verificar",0)</f>
        <v>0</v>
      </c>
      <c r="E2000" s="444">
        <f>_xlfn.XLOOKUP(C2000,Códigos!$A$11:$A$415,Códigos!$B$11:$B$415,"Verificar",0)</f>
        <v>0</v>
      </c>
      <c r="F2000" s="1286"/>
      <c r="G2000" s="441">
        <v>0</v>
      </c>
      <c r="H2000" s="441">
        <f t="shared" si="50"/>
        <v>633732083</v>
      </c>
      <c r="I2000" s="326"/>
      <c r="K2000" s="19"/>
    </row>
    <row r="2001" spans="1:11" x14ac:dyDescent="0.2">
      <c r="A2001" s="293"/>
      <c r="B2001" s="490"/>
      <c r="C2001" s="288"/>
      <c r="D2001" s="443">
        <f>_xlfn.XLOOKUP(B2001,Códigos!$A$421:$A$483,Códigos!$B$421:$B$483,"Verificar",0)</f>
        <v>0</v>
      </c>
      <c r="E2001" s="444">
        <f>_xlfn.XLOOKUP(C2001,Códigos!$A$11:$A$415,Códigos!$B$11:$B$415,"Verificar",0)</f>
        <v>0</v>
      </c>
      <c r="F2001" s="1286"/>
      <c r="G2001" s="441">
        <v>0</v>
      </c>
      <c r="H2001" s="441">
        <f t="shared" si="50"/>
        <v>633732083</v>
      </c>
      <c r="I2001" s="326"/>
      <c r="K2001" s="19"/>
    </row>
    <row r="2002" spans="1:11" x14ac:dyDescent="0.2">
      <c r="A2002" s="293"/>
      <c r="B2002" s="490"/>
      <c r="C2002" s="288"/>
      <c r="D2002" s="443">
        <f>_xlfn.XLOOKUP(B2002,Códigos!$A$421:$A$483,Códigos!$B$421:$B$483,"Verificar",0)</f>
        <v>0</v>
      </c>
      <c r="E2002" s="444">
        <f>_xlfn.XLOOKUP(C2002,Códigos!$A$11:$A$415,Códigos!$B$11:$B$415,"Verificar",0)</f>
        <v>0</v>
      </c>
      <c r="F2002" s="1286"/>
      <c r="G2002" s="441">
        <v>0</v>
      </c>
      <c r="H2002" s="441">
        <f t="shared" si="50"/>
        <v>633732083</v>
      </c>
      <c r="I2002" s="326"/>
      <c r="K2002" s="19"/>
    </row>
    <row r="2003" spans="1:11" x14ac:dyDescent="0.2">
      <c r="A2003" s="293"/>
      <c r="B2003" s="490"/>
      <c r="C2003" s="288"/>
      <c r="D2003" s="443">
        <f>_xlfn.XLOOKUP(B2003,Códigos!$A$421:$A$483,Códigos!$B$421:$B$483,"Verificar",0)</f>
        <v>0</v>
      </c>
      <c r="E2003" s="444">
        <f>_xlfn.XLOOKUP(C2003,Códigos!$A$11:$A$415,Códigos!$B$11:$B$415,"Verificar",0)</f>
        <v>0</v>
      </c>
      <c r="F2003" s="1286"/>
      <c r="G2003" s="441">
        <v>0</v>
      </c>
      <c r="H2003" s="441">
        <f t="shared" si="50"/>
        <v>633732083</v>
      </c>
      <c r="I2003" s="326"/>
      <c r="K2003" s="19"/>
    </row>
    <row r="2004" spans="1:11" x14ac:dyDescent="0.2">
      <c r="A2004" s="293"/>
      <c r="B2004" s="490"/>
      <c r="C2004" s="288"/>
      <c r="D2004" s="443">
        <f>_xlfn.XLOOKUP(B2004,Códigos!$A$421:$A$483,Códigos!$B$421:$B$483,"Verificar",0)</f>
        <v>0</v>
      </c>
      <c r="E2004" s="444">
        <f>_xlfn.XLOOKUP(C2004,Códigos!$A$11:$A$415,Códigos!$B$11:$B$415,"Verificar",0)</f>
        <v>0</v>
      </c>
      <c r="F2004" s="1286"/>
      <c r="G2004" s="441">
        <v>0</v>
      </c>
      <c r="H2004" s="441">
        <f t="shared" si="50"/>
        <v>633732083</v>
      </c>
      <c r="I2004" s="326"/>
      <c r="K2004" s="19"/>
    </row>
    <row r="2005" spans="1:11" x14ac:dyDescent="0.2">
      <c r="A2005" s="293"/>
      <c r="B2005" s="490"/>
      <c r="C2005" s="288"/>
      <c r="D2005" s="443">
        <f>_xlfn.XLOOKUP(B2005,Códigos!$A$421:$A$483,Códigos!$B$421:$B$483,"Verificar",0)</f>
        <v>0</v>
      </c>
      <c r="E2005" s="444">
        <f>_xlfn.XLOOKUP(C2005,Códigos!$A$11:$A$415,Códigos!$B$11:$B$415,"Verificar",0)</f>
        <v>0</v>
      </c>
      <c r="F2005" s="1286"/>
      <c r="G2005" s="441">
        <v>0</v>
      </c>
      <c r="H2005" s="441">
        <f t="shared" ref="H2005:H2068" si="51">+H2004+G2005</f>
        <v>633732083</v>
      </c>
      <c r="I2005" s="326"/>
      <c r="K2005" s="19"/>
    </row>
    <row r="2006" spans="1:11" x14ac:dyDescent="0.2">
      <c r="A2006" s="293"/>
      <c r="B2006" s="490"/>
      <c r="C2006" s="288"/>
      <c r="D2006" s="443">
        <f>_xlfn.XLOOKUP(B2006,Códigos!$A$421:$A$483,Códigos!$B$421:$B$483,"Verificar",0)</f>
        <v>0</v>
      </c>
      <c r="E2006" s="444">
        <f>_xlfn.XLOOKUP(C2006,Códigos!$A$11:$A$415,Códigos!$B$11:$B$415,"Verificar",0)</f>
        <v>0</v>
      </c>
      <c r="F2006" s="1286"/>
      <c r="G2006" s="441">
        <v>0</v>
      </c>
      <c r="H2006" s="441">
        <f t="shared" si="51"/>
        <v>633732083</v>
      </c>
      <c r="I2006" s="326"/>
      <c r="K2006" s="19"/>
    </row>
    <row r="2007" spans="1:11" x14ac:dyDescent="0.2">
      <c r="A2007" s="293"/>
      <c r="B2007" s="490"/>
      <c r="C2007" s="288"/>
      <c r="D2007" s="443">
        <f>_xlfn.XLOOKUP(B2007,Códigos!$A$421:$A$483,Códigos!$B$421:$B$483,"Verificar",0)</f>
        <v>0</v>
      </c>
      <c r="E2007" s="444">
        <f>_xlfn.XLOOKUP(C2007,Códigos!$A$11:$A$415,Códigos!$B$11:$B$415,"Verificar",0)</f>
        <v>0</v>
      </c>
      <c r="F2007" s="1286"/>
      <c r="G2007" s="441">
        <v>0</v>
      </c>
      <c r="H2007" s="441">
        <f t="shared" si="51"/>
        <v>633732083</v>
      </c>
      <c r="I2007" s="326"/>
      <c r="K2007" s="19"/>
    </row>
    <row r="2008" spans="1:11" x14ac:dyDescent="0.2">
      <c r="A2008" s="293"/>
      <c r="B2008" s="490"/>
      <c r="C2008" s="288"/>
      <c r="D2008" s="443">
        <f>_xlfn.XLOOKUP(B2008,Códigos!$A$421:$A$483,Códigos!$B$421:$B$483,"Verificar",0)</f>
        <v>0</v>
      </c>
      <c r="E2008" s="444">
        <f>_xlfn.XLOOKUP(C2008,Códigos!$A$11:$A$415,Códigos!$B$11:$B$415,"Verificar",0)</f>
        <v>0</v>
      </c>
      <c r="F2008" s="1286"/>
      <c r="G2008" s="441">
        <v>0</v>
      </c>
      <c r="H2008" s="441">
        <f t="shared" si="51"/>
        <v>633732083</v>
      </c>
      <c r="I2008" s="326"/>
      <c r="K2008" s="19"/>
    </row>
    <row r="2009" spans="1:11" x14ac:dyDescent="0.2">
      <c r="A2009" s="293"/>
      <c r="B2009" s="490"/>
      <c r="C2009" s="288"/>
      <c r="D2009" s="443">
        <f>_xlfn.XLOOKUP(B2009,Códigos!$A$421:$A$483,Códigos!$B$421:$B$483,"Verificar",0)</f>
        <v>0</v>
      </c>
      <c r="E2009" s="444">
        <f>_xlfn.XLOOKUP(C2009,Códigos!$A$11:$A$415,Códigos!$B$11:$B$415,"Verificar",0)</f>
        <v>0</v>
      </c>
      <c r="F2009" s="1286"/>
      <c r="G2009" s="441">
        <v>0</v>
      </c>
      <c r="H2009" s="441">
        <f t="shared" si="51"/>
        <v>633732083</v>
      </c>
      <c r="I2009" s="326"/>
      <c r="K2009" s="19"/>
    </row>
    <row r="2010" spans="1:11" x14ac:dyDescent="0.2">
      <c r="A2010" s="293"/>
      <c r="B2010" s="490"/>
      <c r="C2010" s="288"/>
      <c r="D2010" s="443">
        <f>_xlfn.XLOOKUP(B2010,Códigos!$A$421:$A$483,Códigos!$B$421:$B$483,"Verificar",0)</f>
        <v>0</v>
      </c>
      <c r="E2010" s="444">
        <f>_xlfn.XLOOKUP(C2010,Códigos!$A$11:$A$415,Códigos!$B$11:$B$415,"Verificar",0)</f>
        <v>0</v>
      </c>
      <c r="F2010" s="1286"/>
      <c r="G2010" s="441">
        <v>0</v>
      </c>
      <c r="H2010" s="441">
        <f t="shared" si="51"/>
        <v>633732083</v>
      </c>
      <c r="I2010" s="326"/>
      <c r="K2010" s="19"/>
    </row>
    <row r="2011" spans="1:11" x14ac:dyDescent="0.2">
      <c r="A2011" s="293"/>
      <c r="B2011" s="490"/>
      <c r="C2011" s="288"/>
      <c r="D2011" s="443">
        <f>_xlfn.XLOOKUP(B2011,Códigos!$A$421:$A$483,Códigos!$B$421:$B$483,"Verificar",0)</f>
        <v>0</v>
      </c>
      <c r="E2011" s="444">
        <f>_xlfn.XLOOKUP(C2011,Códigos!$A$11:$A$415,Códigos!$B$11:$B$415,"Verificar",0)</f>
        <v>0</v>
      </c>
      <c r="F2011" s="1286"/>
      <c r="G2011" s="441">
        <v>0</v>
      </c>
      <c r="H2011" s="441">
        <f t="shared" si="51"/>
        <v>633732083</v>
      </c>
      <c r="I2011" s="326"/>
      <c r="K2011" s="19"/>
    </row>
    <row r="2012" spans="1:11" x14ac:dyDescent="0.2">
      <c r="A2012" s="293"/>
      <c r="B2012" s="490"/>
      <c r="C2012" s="288"/>
      <c r="D2012" s="443">
        <f>_xlfn.XLOOKUP(B2012,Códigos!$A$421:$A$483,Códigos!$B$421:$B$483,"Verificar",0)</f>
        <v>0</v>
      </c>
      <c r="E2012" s="444">
        <f>_xlfn.XLOOKUP(C2012,Códigos!$A$11:$A$415,Códigos!$B$11:$B$415,"Verificar",0)</f>
        <v>0</v>
      </c>
      <c r="F2012" s="1286"/>
      <c r="G2012" s="441">
        <v>0</v>
      </c>
      <c r="H2012" s="441">
        <f t="shared" si="51"/>
        <v>633732083</v>
      </c>
      <c r="I2012" s="326"/>
      <c r="K2012" s="19"/>
    </row>
    <row r="2013" spans="1:11" x14ac:dyDescent="0.2">
      <c r="A2013" s="293"/>
      <c r="B2013" s="490"/>
      <c r="C2013" s="288"/>
      <c r="D2013" s="443">
        <f>_xlfn.XLOOKUP(B2013,Códigos!$A$421:$A$483,Códigos!$B$421:$B$483,"Verificar",0)</f>
        <v>0</v>
      </c>
      <c r="E2013" s="444">
        <f>_xlfn.XLOOKUP(C2013,Códigos!$A$11:$A$415,Códigos!$B$11:$B$415,"Verificar",0)</f>
        <v>0</v>
      </c>
      <c r="F2013" s="1286"/>
      <c r="G2013" s="441">
        <v>0</v>
      </c>
      <c r="H2013" s="441">
        <f t="shared" si="51"/>
        <v>633732083</v>
      </c>
      <c r="I2013" s="326"/>
      <c r="K2013" s="19"/>
    </row>
    <row r="2014" spans="1:11" x14ac:dyDescent="0.2">
      <c r="A2014" s="293"/>
      <c r="B2014" s="490"/>
      <c r="C2014" s="288"/>
      <c r="D2014" s="443">
        <f>_xlfn.XLOOKUP(B2014,Códigos!$A$421:$A$483,Códigos!$B$421:$B$483,"Verificar",0)</f>
        <v>0</v>
      </c>
      <c r="E2014" s="444">
        <f>_xlfn.XLOOKUP(C2014,Códigos!$A$11:$A$415,Códigos!$B$11:$B$415,"Verificar",0)</f>
        <v>0</v>
      </c>
      <c r="F2014" s="1286"/>
      <c r="G2014" s="441">
        <v>0</v>
      </c>
      <c r="H2014" s="441">
        <f t="shared" si="51"/>
        <v>633732083</v>
      </c>
      <c r="I2014" s="326"/>
      <c r="K2014" s="19"/>
    </row>
    <row r="2015" spans="1:11" x14ac:dyDescent="0.2">
      <c r="A2015" s="293"/>
      <c r="B2015" s="490"/>
      <c r="C2015" s="288"/>
      <c r="D2015" s="443">
        <f>_xlfn.XLOOKUP(B2015,Códigos!$A$421:$A$483,Códigos!$B$421:$B$483,"Verificar",0)</f>
        <v>0</v>
      </c>
      <c r="E2015" s="444">
        <f>_xlfn.XLOOKUP(C2015,Códigos!$A$11:$A$415,Códigos!$B$11:$B$415,"Verificar",0)</f>
        <v>0</v>
      </c>
      <c r="F2015" s="1286"/>
      <c r="G2015" s="441">
        <v>0</v>
      </c>
      <c r="H2015" s="441">
        <f t="shared" si="51"/>
        <v>633732083</v>
      </c>
      <c r="I2015" s="326"/>
      <c r="K2015" s="19"/>
    </row>
    <row r="2016" spans="1:11" x14ac:dyDescent="0.2">
      <c r="A2016" s="293"/>
      <c r="B2016" s="490"/>
      <c r="C2016" s="288"/>
      <c r="D2016" s="443">
        <f>_xlfn.XLOOKUP(B2016,Códigos!$A$421:$A$483,Códigos!$B$421:$B$483,"Verificar",0)</f>
        <v>0</v>
      </c>
      <c r="E2016" s="444">
        <f>_xlfn.XLOOKUP(C2016,Códigos!$A$11:$A$415,Códigos!$B$11:$B$415,"Verificar",0)</f>
        <v>0</v>
      </c>
      <c r="F2016" s="1286"/>
      <c r="G2016" s="441">
        <v>0</v>
      </c>
      <c r="H2016" s="441">
        <f t="shared" si="51"/>
        <v>633732083</v>
      </c>
      <c r="I2016" s="326"/>
      <c r="K2016" s="19"/>
    </row>
    <row r="2017" spans="1:11" x14ac:dyDescent="0.2">
      <c r="A2017" s="293"/>
      <c r="B2017" s="490"/>
      <c r="C2017" s="288"/>
      <c r="D2017" s="443">
        <f>_xlfn.XLOOKUP(B2017,Códigos!$A$421:$A$483,Códigos!$B$421:$B$483,"Verificar",0)</f>
        <v>0</v>
      </c>
      <c r="E2017" s="444">
        <f>_xlfn.XLOOKUP(C2017,Códigos!$A$11:$A$415,Códigos!$B$11:$B$415,"Verificar",0)</f>
        <v>0</v>
      </c>
      <c r="F2017" s="1286"/>
      <c r="G2017" s="441">
        <v>0</v>
      </c>
      <c r="H2017" s="441">
        <f t="shared" si="51"/>
        <v>633732083</v>
      </c>
      <c r="I2017" s="326"/>
      <c r="K2017" s="19"/>
    </row>
    <row r="2018" spans="1:11" x14ac:dyDescent="0.2">
      <c r="A2018" s="293"/>
      <c r="B2018" s="490"/>
      <c r="C2018" s="288"/>
      <c r="D2018" s="443">
        <f>_xlfn.XLOOKUP(B2018,Códigos!$A$421:$A$483,Códigos!$B$421:$B$483,"Verificar",0)</f>
        <v>0</v>
      </c>
      <c r="E2018" s="444">
        <f>_xlfn.XLOOKUP(C2018,Códigos!$A$11:$A$415,Códigos!$B$11:$B$415,"Verificar",0)</f>
        <v>0</v>
      </c>
      <c r="F2018" s="1286"/>
      <c r="G2018" s="441">
        <v>0</v>
      </c>
      <c r="H2018" s="441">
        <f t="shared" si="51"/>
        <v>633732083</v>
      </c>
      <c r="I2018" s="326"/>
      <c r="K2018" s="19"/>
    </row>
    <row r="2019" spans="1:11" x14ac:dyDescent="0.2">
      <c r="A2019" s="293"/>
      <c r="B2019" s="490"/>
      <c r="C2019" s="288"/>
      <c r="D2019" s="443">
        <f>_xlfn.XLOOKUP(B2019,Códigos!$A$421:$A$483,Códigos!$B$421:$B$483,"Verificar",0)</f>
        <v>0</v>
      </c>
      <c r="E2019" s="444">
        <f>_xlfn.XLOOKUP(C2019,Códigos!$A$11:$A$415,Códigos!$B$11:$B$415,"Verificar",0)</f>
        <v>0</v>
      </c>
      <c r="F2019" s="1286"/>
      <c r="G2019" s="441">
        <v>0</v>
      </c>
      <c r="H2019" s="441">
        <f t="shared" si="51"/>
        <v>633732083</v>
      </c>
      <c r="I2019" s="326"/>
      <c r="K2019" s="19"/>
    </row>
    <row r="2020" spans="1:11" x14ac:dyDescent="0.2">
      <c r="A2020" s="293"/>
      <c r="B2020" s="490"/>
      <c r="C2020" s="288"/>
      <c r="D2020" s="443">
        <f>_xlfn.XLOOKUP(B2020,Códigos!$A$421:$A$483,Códigos!$B$421:$B$483,"Verificar",0)</f>
        <v>0</v>
      </c>
      <c r="E2020" s="444">
        <f>_xlfn.XLOOKUP(C2020,Códigos!$A$11:$A$415,Códigos!$B$11:$B$415,"Verificar",0)</f>
        <v>0</v>
      </c>
      <c r="F2020" s="1286"/>
      <c r="G2020" s="441">
        <v>0</v>
      </c>
      <c r="H2020" s="441">
        <f t="shared" si="51"/>
        <v>633732083</v>
      </c>
      <c r="I2020" s="326"/>
      <c r="K2020" s="19"/>
    </row>
    <row r="2021" spans="1:11" x14ac:dyDescent="0.2">
      <c r="A2021" s="293"/>
      <c r="B2021" s="490"/>
      <c r="C2021" s="288"/>
      <c r="D2021" s="443">
        <f>_xlfn.XLOOKUP(B2021,Códigos!$A$421:$A$483,Códigos!$B$421:$B$483,"Verificar",0)</f>
        <v>0</v>
      </c>
      <c r="E2021" s="444">
        <f>_xlfn.XLOOKUP(C2021,Códigos!$A$11:$A$415,Códigos!$B$11:$B$415,"Verificar",0)</f>
        <v>0</v>
      </c>
      <c r="F2021" s="1286"/>
      <c r="G2021" s="441">
        <v>0</v>
      </c>
      <c r="H2021" s="441">
        <f t="shared" si="51"/>
        <v>633732083</v>
      </c>
      <c r="I2021" s="326"/>
      <c r="K2021" s="19"/>
    </row>
    <row r="2022" spans="1:11" x14ac:dyDescent="0.2">
      <c r="A2022" s="293"/>
      <c r="B2022" s="490"/>
      <c r="C2022" s="288"/>
      <c r="D2022" s="443">
        <f>_xlfn.XLOOKUP(B2022,Códigos!$A$421:$A$483,Códigos!$B$421:$B$483,"Verificar",0)</f>
        <v>0</v>
      </c>
      <c r="E2022" s="444">
        <f>_xlfn.XLOOKUP(C2022,Códigos!$A$11:$A$415,Códigos!$B$11:$B$415,"Verificar",0)</f>
        <v>0</v>
      </c>
      <c r="F2022" s="1286"/>
      <c r="G2022" s="441">
        <v>0</v>
      </c>
      <c r="H2022" s="441">
        <f t="shared" si="51"/>
        <v>633732083</v>
      </c>
      <c r="I2022" s="326"/>
      <c r="K2022" s="19"/>
    </row>
    <row r="2023" spans="1:11" x14ac:dyDescent="0.2">
      <c r="A2023" s="293"/>
      <c r="B2023" s="490"/>
      <c r="C2023" s="288"/>
      <c r="D2023" s="443">
        <f>_xlfn.XLOOKUP(B2023,Códigos!$A$421:$A$483,Códigos!$B$421:$B$483,"Verificar",0)</f>
        <v>0</v>
      </c>
      <c r="E2023" s="444">
        <f>_xlfn.XLOOKUP(C2023,Códigos!$A$11:$A$415,Códigos!$B$11:$B$415,"Verificar",0)</f>
        <v>0</v>
      </c>
      <c r="F2023" s="1286"/>
      <c r="G2023" s="441">
        <v>0</v>
      </c>
      <c r="H2023" s="441">
        <f t="shared" si="51"/>
        <v>633732083</v>
      </c>
      <c r="I2023" s="326"/>
      <c r="K2023" s="19"/>
    </row>
    <row r="2024" spans="1:11" x14ac:dyDescent="0.2">
      <c r="A2024" s="293"/>
      <c r="B2024" s="490"/>
      <c r="C2024" s="288"/>
      <c r="D2024" s="443">
        <f>_xlfn.XLOOKUP(B2024,Códigos!$A$421:$A$483,Códigos!$B$421:$B$483,"Verificar",0)</f>
        <v>0</v>
      </c>
      <c r="E2024" s="444">
        <f>_xlfn.XLOOKUP(C2024,Códigos!$A$11:$A$415,Códigos!$B$11:$B$415,"Verificar",0)</f>
        <v>0</v>
      </c>
      <c r="F2024" s="1286"/>
      <c r="G2024" s="441">
        <v>0</v>
      </c>
      <c r="H2024" s="441">
        <f t="shared" si="51"/>
        <v>633732083</v>
      </c>
      <c r="I2024" s="326"/>
      <c r="K2024" s="19"/>
    </row>
    <row r="2025" spans="1:11" x14ac:dyDescent="0.2">
      <c r="A2025" s="293"/>
      <c r="B2025" s="490"/>
      <c r="C2025" s="288"/>
      <c r="D2025" s="443">
        <f>_xlfn.XLOOKUP(B2025,Códigos!$A$421:$A$483,Códigos!$B$421:$B$483,"Verificar",0)</f>
        <v>0</v>
      </c>
      <c r="E2025" s="444">
        <f>_xlfn.XLOOKUP(C2025,Códigos!$A$11:$A$415,Códigos!$B$11:$B$415,"Verificar",0)</f>
        <v>0</v>
      </c>
      <c r="F2025" s="1286"/>
      <c r="G2025" s="441">
        <v>0</v>
      </c>
      <c r="H2025" s="441">
        <f t="shared" si="51"/>
        <v>633732083</v>
      </c>
      <c r="I2025" s="326"/>
      <c r="K2025" s="19"/>
    </row>
    <row r="2026" spans="1:11" x14ac:dyDescent="0.2">
      <c r="A2026" s="293"/>
      <c r="B2026" s="490"/>
      <c r="C2026" s="288"/>
      <c r="D2026" s="443">
        <f>_xlfn.XLOOKUP(B2026,Códigos!$A$421:$A$483,Códigos!$B$421:$B$483,"Verificar",0)</f>
        <v>0</v>
      </c>
      <c r="E2026" s="444">
        <f>_xlfn.XLOOKUP(C2026,Códigos!$A$11:$A$415,Códigos!$B$11:$B$415,"Verificar",0)</f>
        <v>0</v>
      </c>
      <c r="F2026" s="1286"/>
      <c r="G2026" s="441">
        <v>0</v>
      </c>
      <c r="H2026" s="441">
        <f t="shared" si="51"/>
        <v>633732083</v>
      </c>
      <c r="I2026" s="326"/>
      <c r="K2026" s="19"/>
    </row>
    <row r="2027" spans="1:11" x14ac:dyDescent="0.2">
      <c r="A2027" s="293"/>
      <c r="B2027" s="490"/>
      <c r="C2027" s="288"/>
      <c r="D2027" s="443">
        <f>_xlfn.XLOOKUP(B2027,Códigos!$A$421:$A$483,Códigos!$B$421:$B$483,"Verificar",0)</f>
        <v>0</v>
      </c>
      <c r="E2027" s="444">
        <f>_xlfn.XLOOKUP(C2027,Códigos!$A$11:$A$415,Códigos!$B$11:$B$415,"Verificar",0)</f>
        <v>0</v>
      </c>
      <c r="F2027" s="1286"/>
      <c r="G2027" s="441">
        <v>0</v>
      </c>
      <c r="H2027" s="441">
        <f t="shared" si="51"/>
        <v>633732083</v>
      </c>
      <c r="I2027" s="326"/>
      <c r="K2027" s="19"/>
    </row>
    <row r="2028" spans="1:11" x14ac:dyDescent="0.2">
      <c r="A2028" s="293"/>
      <c r="B2028" s="490"/>
      <c r="C2028" s="288"/>
      <c r="D2028" s="443">
        <f>_xlfn.XLOOKUP(B2028,Códigos!$A$421:$A$483,Códigos!$B$421:$B$483,"Verificar",0)</f>
        <v>0</v>
      </c>
      <c r="E2028" s="444">
        <f>_xlfn.XLOOKUP(C2028,Códigos!$A$11:$A$415,Códigos!$B$11:$B$415,"Verificar",0)</f>
        <v>0</v>
      </c>
      <c r="F2028" s="1286"/>
      <c r="G2028" s="441">
        <v>0</v>
      </c>
      <c r="H2028" s="441">
        <f t="shared" si="51"/>
        <v>633732083</v>
      </c>
      <c r="I2028" s="326"/>
      <c r="K2028" s="19"/>
    </row>
    <row r="2029" spans="1:11" x14ac:dyDescent="0.2">
      <c r="A2029" s="293"/>
      <c r="B2029" s="490"/>
      <c r="C2029" s="288"/>
      <c r="D2029" s="443">
        <f>_xlfn.XLOOKUP(B2029,Códigos!$A$421:$A$483,Códigos!$B$421:$B$483,"Verificar",0)</f>
        <v>0</v>
      </c>
      <c r="E2029" s="444">
        <f>_xlfn.XLOOKUP(C2029,Códigos!$A$11:$A$415,Códigos!$B$11:$B$415,"Verificar",0)</f>
        <v>0</v>
      </c>
      <c r="F2029" s="1286"/>
      <c r="G2029" s="441">
        <v>0</v>
      </c>
      <c r="H2029" s="441">
        <f t="shared" si="51"/>
        <v>633732083</v>
      </c>
      <c r="I2029" s="326"/>
      <c r="K2029" s="19"/>
    </row>
    <row r="2030" spans="1:11" x14ac:dyDescent="0.2">
      <c r="A2030" s="293"/>
      <c r="B2030" s="490"/>
      <c r="C2030" s="288"/>
      <c r="D2030" s="443">
        <f>_xlfn.XLOOKUP(B2030,Códigos!$A$421:$A$483,Códigos!$B$421:$B$483,"Verificar",0)</f>
        <v>0</v>
      </c>
      <c r="E2030" s="444">
        <f>_xlfn.XLOOKUP(C2030,Códigos!$A$11:$A$415,Códigos!$B$11:$B$415,"Verificar",0)</f>
        <v>0</v>
      </c>
      <c r="F2030" s="1286"/>
      <c r="G2030" s="441">
        <v>0</v>
      </c>
      <c r="H2030" s="441">
        <f t="shared" si="51"/>
        <v>633732083</v>
      </c>
      <c r="I2030" s="326"/>
      <c r="K2030" s="19"/>
    </row>
    <row r="2031" spans="1:11" x14ac:dyDescent="0.2">
      <c r="A2031" s="293"/>
      <c r="B2031" s="490"/>
      <c r="C2031" s="288"/>
      <c r="D2031" s="443">
        <f>_xlfn.XLOOKUP(B2031,Códigos!$A$421:$A$483,Códigos!$B$421:$B$483,"Verificar",0)</f>
        <v>0</v>
      </c>
      <c r="E2031" s="444">
        <f>_xlfn.XLOOKUP(C2031,Códigos!$A$11:$A$415,Códigos!$B$11:$B$415,"Verificar",0)</f>
        <v>0</v>
      </c>
      <c r="F2031" s="1286"/>
      <c r="G2031" s="441">
        <v>0</v>
      </c>
      <c r="H2031" s="441">
        <f t="shared" si="51"/>
        <v>633732083</v>
      </c>
      <c r="I2031" s="326"/>
      <c r="K2031" s="19"/>
    </row>
    <row r="2032" spans="1:11" x14ac:dyDescent="0.2">
      <c r="A2032" s="293"/>
      <c r="B2032" s="490"/>
      <c r="C2032" s="288"/>
      <c r="D2032" s="443">
        <f>_xlfn.XLOOKUP(B2032,Códigos!$A$421:$A$483,Códigos!$B$421:$B$483,"Verificar",0)</f>
        <v>0</v>
      </c>
      <c r="E2032" s="444">
        <f>_xlfn.XLOOKUP(C2032,Códigos!$A$11:$A$415,Códigos!$B$11:$B$415,"Verificar",0)</f>
        <v>0</v>
      </c>
      <c r="F2032" s="1286"/>
      <c r="G2032" s="441">
        <v>0</v>
      </c>
      <c r="H2032" s="441">
        <f t="shared" si="51"/>
        <v>633732083</v>
      </c>
      <c r="I2032" s="326"/>
      <c r="K2032" s="19"/>
    </row>
    <row r="2033" spans="1:11" x14ac:dyDescent="0.2">
      <c r="A2033" s="293"/>
      <c r="B2033" s="490"/>
      <c r="C2033" s="288"/>
      <c r="D2033" s="443">
        <f>_xlfn.XLOOKUP(B2033,Códigos!$A$421:$A$483,Códigos!$B$421:$B$483,"Verificar",0)</f>
        <v>0</v>
      </c>
      <c r="E2033" s="444">
        <f>_xlfn.XLOOKUP(C2033,Códigos!$A$11:$A$415,Códigos!$B$11:$B$415,"Verificar",0)</f>
        <v>0</v>
      </c>
      <c r="F2033" s="1286"/>
      <c r="G2033" s="441">
        <v>0</v>
      </c>
      <c r="H2033" s="441">
        <f t="shared" si="51"/>
        <v>633732083</v>
      </c>
      <c r="I2033" s="326"/>
      <c r="K2033" s="19"/>
    </row>
    <row r="2034" spans="1:11" x14ac:dyDescent="0.2">
      <c r="A2034" s="293"/>
      <c r="B2034" s="490"/>
      <c r="C2034" s="288"/>
      <c r="D2034" s="443">
        <f>_xlfn.XLOOKUP(B2034,Códigos!$A$421:$A$483,Códigos!$B$421:$B$483,"Verificar",0)</f>
        <v>0</v>
      </c>
      <c r="E2034" s="444">
        <f>_xlfn.XLOOKUP(C2034,Códigos!$A$11:$A$415,Códigos!$B$11:$B$415,"Verificar",0)</f>
        <v>0</v>
      </c>
      <c r="F2034" s="1286"/>
      <c r="G2034" s="441">
        <v>0</v>
      </c>
      <c r="H2034" s="441">
        <f t="shared" si="51"/>
        <v>633732083</v>
      </c>
      <c r="I2034" s="326"/>
      <c r="K2034" s="19"/>
    </row>
    <row r="2035" spans="1:11" x14ac:dyDescent="0.2">
      <c r="A2035" s="293"/>
      <c r="B2035" s="490"/>
      <c r="C2035" s="288"/>
      <c r="D2035" s="443">
        <f>_xlfn.XLOOKUP(B2035,Códigos!$A$421:$A$483,Códigos!$B$421:$B$483,"Verificar",0)</f>
        <v>0</v>
      </c>
      <c r="E2035" s="444">
        <f>_xlfn.XLOOKUP(C2035,Códigos!$A$11:$A$415,Códigos!$B$11:$B$415,"Verificar",0)</f>
        <v>0</v>
      </c>
      <c r="F2035" s="1286"/>
      <c r="G2035" s="441">
        <v>0</v>
      </c>
      <c r="H2035" s="441">
        <f t="shared" si="51"/>
        <v>633732083</v>
      </c>
      <c r="I2035" s="326"/>
      <c r="K2035" s="19"/>
    </row>
    <row r="2036" spans="1:11" x14ac:dyDescent="0.2">
      <c r="A2036" s="293"/>
      <c r="B2036" s="490"/>
      <c r="C2036" s="288"/>
      <c r="D2036" s="443">
        <f>_xlfn.XLOOKUP(B2036,Códigos!$A$421:$A$483,Códigos!$B$421:$B$483,"Verificar",0)</f>
        <v>0</v>
      </c>
      <c r="E2036" s="444">
        <f>_xlfn.XLOOKUP(C2036,Códigos!$A$11:$A$415,Códigos!$B$11:$B$415,"Verificar",0)</f>
        <v>0</v>
      </c>
      <c r="F2036" s="1286"/>
      <c r="G2036" s="441">
        <v>0</v>
      </c>
      <c r="H2036" s="441">
        <f t="shared" si="51"/>
        <v>633732083</v>
      </c>
      <c r="I2036" s="326"/>
      <c r="K2036" s="19"/>
    </row>
    <row r="2037" spans="1:11" x14ac:dyDescent="0.2">
      <c r="A2037" s="293"/>
      <c r="B2037" s="490"/>
      <c r="C2037" s="288"/>
      <c r="D2037" s="443">
        <f>_xlfn.XLOOKUP(B2037,Códigos!$A$421:$A$483,Códigos!$B$421:$B$483,"Verificar",0)</f>
        <v>0</v>
      </c>
      <c r="E2037" s="444">
        <f>_xlfn.XLOOKUP(C2037,Códigos!$A$11:$A$415,Códigos!$B$11:$B$415,"Verificar",0)</f>
        <v>0</v>
      </c>
      <c r="F2037" s="1286"/>
      <c r="G2037" s="441">
        <v>0</v>
      </c>
      <c r="H2037" s="441">
        <f t="shared" si="51"/>
        <v>633732083</v>
      </c>
      <c r="I2037" s="326"/>
      <c r="K2037" s="19"/>
    </row>
    <row r="2038" spans="1:11" x14ac:dyDescent="0.2">
      <c r="A2038" s="293"/>
      <c r="B2038" s="490"/>
      <c r="C2038" s="288"/>
      <c r="D2038" s="443">
        <f>_xlfn.XLOOKUP(B2038,Códigos!$A$421:$A$483,Códigos!$B$421:$B$483,"Verificar",0)</f>
        <v>0</v>
      </c>
      <c r="E2038" s="444">
        <f>_xlfn.XLOOKUP(C2038,Códigos!$A$11:$A$415,Códigos!$B$11:$B$415,"Verificar",0)</f>
        <v>0</v>
      </c>
      <c r="F2038" s="1286"/>
      <c r="G2038" s="441">
        <v>0</v>
      </c>
      <c r="H2038" s="441">
        <f t="shared" si="51"/>
        <v>633732083</v>
      </c>
      <c r="I2038" s="326"/>
      <c r="K2038" s="19"/>
    </row>
    <row r="2039" spans="1:11" x14ac:dyDescent="0.2">
      <c r="A2039" s="293"/>
      <c r="B2039" s="490"/>
      <c r="C2039" s="288"/>
      <c r="D2039" s="443">
        <f>_xlfn.XLOOKUP(B2039,Códigos!$A$421:$A$483,Códigos!$B$421:$B$483,"Verificar",0)</f>
        <v>0</v>
      </c>
      <c r="E2039" s="444">
        <f>_xlfn.XLOOKUP(C2039,Códigos!$A$11:$A$415,Códigos!$B$11:$B$415,"Verificar",0)</f>
        <v>0</v>
      </c>
      <c r="F2039" s="1286"/>
      <c r="G2039" s="441">
        <v>0</v>
      </c>
      <c r="H2039" s="441">
        <f t="shared" si="51"/>
        <v>633732083</v>
      </c>
      <c r="I2039" s="326"/>
      <c r="K2039" s="19"/>
    </row>
    <row r="2040" spans="1:11" x14ac:dyDescent="0.2">
      <c r="A2040" s="293"/>
      <c r="B2040" s="490"/>
      <c r="C2040" s="288"/>
      <c r="D2040" s="443">
        <f>_xlfn.XLOOKUP(B2040,Códigos!$A$421:$A$483,Códigos!$B$421:$B$483,"Verificar",0)</f>
        <v>0</v>
      </c>
      <c r="E2040" s="444">
        <f>_xlfn.XLOOKUP(C2040,Códigos!$A$11:$A$415,Códigos!$B$11:$B$415,"Verificar",0)</f>
        <v>0</v>
      </c>
      <c r="F2040" s="1286"/>
      <c r="G2040" s="441">
        <v>0</v>
      </c>
      <c r="H2040" s="441">
        <f t="shared" si="51"/>
        <v>633732083</v>
      </c>
      <c r="I2040" s="326"/>
      <c r="K2040" s="19"/>
    </row>
    <row r="2041" spans="1:11" x14ac:dyDescent="0.2">
      <c r="A2041" s="293"/>
      <c r="B2041" s="490"/>
      <c r="C2041" s="288"/>
      <c r="D2041" s="443">
        <f>_xlfn.XLOOKUP(B2041,Códigos!$A$421:$A$483,Códigos!$B$421:$B$483,"Verificar",0)</f>
        <v>0</v>
      </c>
      <c r="E2041" s="444">
        <f>_xlfn.XLOOKUP(C2041,Códigos!$A$11:$A$415,Códigos!$B$11:$B$415,"Verificar",0)</f>
        <v>0</v>
      </c>
      <c r="F2041" s="1286"/>
      <c r="G2041" s="441">
        <v>0</v>
      </c>
      <c r="H2041" s="441">
        <f t="shared" si="51"/>
        <v>633732083</v>
      </c>
      <c r="I2041" s="326"/>
      <c r="K2041" s="19"/>
    </row>
    <row r="2042" spans="1:11" x14ac:dyDescent="0.2">
      <c r="A2042" s="293"/>
      <c r="B2042" s="490"/>
      <c r="C2042" s="288"/>
      <c r="D2042" s="443">
        <f>_xlfn.XLOOKUP(B2042,Códigos!$A$421:$A$483,Códigos!$B$421:$B$483,"Verificar",0)</f>
        <v>0</v>
      </c>
      <c r="E2042" s="444">
        <f>_xlfn.XLOOKUP(C2042,Códigos!$A$11:$A$415,Códigos!$B$11:$B$415,"Verificar",0)</f>
        <v>0</v>
      </c>
      <c r="F2042" s="1286"/>
      <c r="G2042" s="441">
        <v>0</v>
      </c>
      <c r="H2042" s="441">
        <f t="shared" si="51"/>
        <v>633732083</v>
      </c>
      <c r="I2042" s="326"/>
      <c r="K2042" s="19"/>
    </row>
    <row r="2043" spans="1:11" x14ac:dyDescent="0.2">
      <c r="A2043" s="293"/>
      <c r="B2043" s="490"/>
      <c r="C2043" s="288"/>
      <c r="D2043" s="443">
        <f>_xlfn.XLOOKUP(B2043,Códigos!$A$421:$A$483,Códigos!$B$421:$B$483,"Verificar",0)</f>
        <v>0</v>
      </c>
      <c r="E2043" s="444">
        <f>_xlfn.XLOOKUP(C2043,Códigos!$A$11:$A$415,Códigos!$B$11:$B$415,"Verificar",0)</f>
        <v>0</v>
      </c>
      <c r="F2043" s="1286"/>
      <c r="G2043" s="441">
        <v>0</v>
      </c>
      <c r="H2043" s="441">
        <f t="shared" si="51"/>
        <v>633732083</v>
      </c>
      <c r="I2043" s="326"/>
      <c r="K2043" s="19"/>
    </row>
    <row r="2044" spans="1:11" x14ac:dyDescent="0.2">
      <c r="A2044" s="293"/>
      <c r="B2044" s="490"/>
      <c r="C2044" s="288"/>
      <c r="D2044" s="443">
        <f>_xlfn.XLOOKUP(B2044,Códigos!$A$421:$A$483,Códigos!$B$421:$B$483,"Verificar",0)</f>
        <v>0</v>
      </c>
      <c r="E2044" s="444">
        <f>_xlfn.XLOOKUP(C2044,Códigos!$A$11:$A$415,Códigos!$B$11:$B$415,"Verificar",0)</f>
        <v>0</v>
      </c>
      <c r="F2044" s="1286"/>
      <c r="G2044" s="441">
        <v>0</v>
      </c>
      <c r="H2044" s="441">
        <f t="shared" si="51"/>
        <v>633732083</v>
      </c>
      <c r="I2044" s="326"/>
      <c r="K2044" s="19"/>
    </row>
    <row r="2045" spans="1:11" x14ac:dyDescent="0.2">
      <c r="A2045" s="293"/>
      <c r="B2045" s="490"/>
      <c r="C2045" s="288"/>
      <c r="D2045" s="443">
        <f>_xlfn.XLOOKUP(B2045,Códigos!$A$421:$A$483,Códigos!$B$421:$B$483,"Verificar",0)</f>
        <v>0</v>
      </c>
      <c r="E2045" s="444">
        <f>_xlfn.XLOOKUP(C2045,Códigos!$A$11:$A$415,Códigos!$B$11:$B$415,"Verificar",0)</f>
        <v>0</v>
      </c>
      <c r="F2045" s="1286"/>
      <c r="G2045" s="441">
        <v>0</v>
      </c>
      <c r="H2045" s="441">
        <f t="shared" si="51"/>
        <v>633732083</v>
      </c>
      <c r="I2045" s="326"/>
      <c r="K2045" s="19"/>
    </row>
    <row r="2046" spans="1:11" x14ac:dyDescent="0.2">
      <c r="A2046" s="293"/>
      <c r="B2046" s="490"/>
      <c r="C2046" s="288"/>
      <c r="D2046" s="443">
        <f>_xlfn.XLOOKUP(B2046,Códigos!$A$421:$A$483,Códigos!$B$421:$B$483,"Verificar",0)</f>
        <v>0</v>
      </c>
      <c r="E2046" s="444">
        <f>_xlfn.XLOOKUP(C2046,Códigos!$A$11:$A$415,Códigos!$B$11:$B$415,"Verificar",0)</f>
        <v>0</v>
      </c>
      <c r="F2046" s="1286"/>
      <c r="G2046" s="441">
        <v>0</v>
      </c>
      <c r="H2046" s="441">
        <f t="shared" si="51"/>
        <v>633732083</v>
      </c>
      <c r="I2046" s="326"/>
      <c r="K2046" s="19"/>
    </row>
    <row r="2047" spans="1:11" x14ac:dyDescent="0.2">
      <c r="A2047" s="293"/>
      <c r="B2047" s="490"/>
      <c r="C2047" s="288"/>
      <c r="D2047" s="443">
        <f>_xlfn.XLOOKUP(B2047,Códigos!$A$421:$A$483,Códigos!$B$421:$B$483,"Verificar",0)</f>
        <v>0</v>
      </c>
      <c r="E2047" s="444">
        <f>_xlfn.XLOOKUP(C2047,Códigos!$A$11:$A$415,Códigos!$B$11:$B$415,"Verificar",0)</f>
        <v>0</v>
      </c>
      <c r="F2047" s="1286"/>
      <c r="G2047" s="441">
        <v>0</v>
      </c>
      <c r="H2047" s="441">
        <f t="shared" si="51"/>
        <v>633732083</v>
      </c>
      <c r="I2047" s="326"/>
      <c r="K2047" s="19"/>
    </row>
    <row r="2048" spans="1:11" x14ac:dyDescent="0.2">
      <c r="A2048" s="293"/>
      <c r="B2048" s="490"/>
      <c r="C2048" s="288"/>
      <c r="D2048" s="443">
        <f>_xlfn.XLOOKUP(B2048,Códigos!$A$421:$A$483,Códigos!$B$421:$B$483,"Verificar",0)</f>
        <v>0</v>
      </c>
      <c r="E2048" s="444">
        <f>_xlfn.XLOOKUP(C2048,Códigos!$A$11:$A$415,Códigos!$B$11:$B$415,"Verificar",0)</f>
        <v>0</v>
      </c>
      <c r="F2048" s="1286"/>
      <c r="G2048" s="441">
        <v>0</v>
      </c>
      <c r="H2048" s="441">
        <f t="shared" si="51"/>
        <v>633732083</v>
      </c>
      <c r="I2048" s="326"/>
      <c r="K2048" s="19"/>
    </row>
    <row r="2049" spans="1:11" x14ac:dyDescent="0.2">
      <c r="A2049" s="293"/>
      <c r="B2049" s="490"/>
      <c r="C2049" s="288"/>
      <c r="D2049" s="443">
        <f>_xlfn.XLOOKUP(B2049,Códigos!$A$421:$A$483,Códigos!$B$421:$B$483,"Verificar",0)</f>
        <v>0</v>
      </c>
      <c r="E2049" s="444">
        <f>_xlfn.XLOOKUP(C2049,Códigos!$A$11:$A$415,Códigos!$B$11:$B$415,"Verificar",0)</f>
        <v>0</v>
      </c>
      <c r="F2049" s="1286"/>
      <c r="G2049" s="441">
        <v>0</v>
      </c>
      <c r="H2049" s="441">
        <f t="shared" si="51"/>
        <v>633732083</v>
      </c>
      <c r="I2049" s="326"/>
      <c r="K2049" s="19"/>
    </row>
    <row r="2050" spans="1:11" x14ac:dyDescent="0.2">
      <c r="A2050" s="293"/>
      <c r="B2050" s="490"/>
      <c r="C2050" s="288"/>
      <c r="D2050" s="443">
        <f>_xlfn.XLOOKUP(B2050,Códigos!$A$421:$A$483,Códigos!$B$421:$B$483,"Verificar",0)</f>
        <v>0</v>
      </c>
      <c r="E2050" s="444">
        <f>_xlfn.XLOOKUP(C2050,Códigos!$A$11:$A$415,Códigos!$B$11:$B$415,"Verificar",0)</f>
        <v>0</v>
      </c>
      <c r="F2050" s="1286"/>
      <c r="G2050" s="441">
        <v>0</v>
      </c>
      <c r="H2050" s="441">
        <f t="shared" si="51"/>
        <v>633732083</v>
      </c>
      <c r="I2050" s="326"/>
      <c r="K2050" s="19"/>
    </row>
    <row r="2051" spans="1:11" x14ac:dyDescent="0.2">
      <c r="A2051" s="293"/>
      <c r="B2051" s="490"/>
      <c r="C2051" s="288"/>
      <c r="D2051" s="443">
        <f>_xlfn.XLOOKUP(B2051,Códigos!$A$421:$A$483,Códigos!$B$421:$B$483,"Verificar",0)</f>
        <v>0</v>
      </c>
      <c r="E2051" s="444">
        <f>_xlfn.XLOOKUP(C2051,Códigos!$A$11:$A$415,Códigos!$B$11:$B$415,"Verificar",0)</f>
        <v>0</v>
      </c>
      <c r="F2051" s="1286"/>
      <c r="G2051" s="441">
        <v>0</v>
      </c>
      <c r="H2051" s="441">
        <f t="shared" si="51"/>
        <v>633732083</v>
      </c>
      <c r="I2051" s="326"/>
      <c r="K2051" s="19"/>
    </row>
    <row r="2052" spans="1:11" x14ac:dyDescent="0.2">
      <c r="A2052" s="293"/>
      <c r="B2052" s="490"/>
      <c r="C2052" s="288"/>
      <c r="D2052" s="443">
        <f>_xlfn.XLOOKUP(B2052,Códigos!$A$421:$A$483,Códigos!$B$421:$B$483,"Verificar",0)</f>
        <v>0</v>
      </c>
      <c r="E2052" s="444">
        <f>_xlfn.XLOOKUP(C2052,Códigos!$A$11:$A$415,Códigos!$B$11:$B$415,"Verificar",0)</f>
        <v>0</v>
      </c>
      <c r="F2052" s="1286"/>
      <c r="G2052" s="441">
        <v>0</v>
      </c>
      <c r="H2052" s="441">
        <f t="shared" si="51"/>
        <v>633732083</v>
      </c>
      <c r="I2052" s="326"/>
      <c r="K2052" s="19"/>
    </row>
    <row r="2053" spans="1:11" x14ac:dyDescent="0.2">
      <c r="A2053" s="293"/>
      <c r="B2053" s="490"/>
      <c r="C2053" s="288"/>
      <c r="D2053" s="443">
        <f>_xlfn.XLOOKUP(B2053,Códigos!$A$421:$A$483,Códigos!$B$421:$B$483,"Verificar",0)</f>
        <v>0</v>
      </c>
      <c r="E2053" s="444">
        <f>_xlfn.XLOOKUP(C2053,Códigos!$A$11:$A$415,Códigos!$B$11:$B$415,"Verificar",0)</f>
        <v>0</v>
      </c>
      <c r="F2053" s="1286"/>
      <c r="G2053" s="441">
        <v>0</v>
      </c>
      <c r="H2053" s="441">
        <f t="shared" si="51"/>
        <v>633732083</v>
      </c>
      <c r="I2053" s="326"/>
      <c r="K2053" s="19"/>
    </row>
    <row r="2054" spans="1:11" x14ac:dyDescent="0.2">
      <c r="A2054" s="293"/>
      <c r="B2054" s="490"/>
      <c r="C2054" s="288"/>
      <c r="D2054" s="443">
        <f>_xlfn.XLOOKUP(B2054,Códigos!$A$421:$A$483,Códigos!$B$421:$B$483,"Verificar",0)</f>
        <v>0</v>
      </c>
      <c r="E2054" s="444">
        <f>_xlfn.XLOOKUP(C2054,Códigos!$A$11:$A$415,Códigos!$B$11:$B$415,"Verificar",0)</f>
        <v>0</v>
      </c>
      <c r="F2054" s="1286"/>
      <c r="G2054" s="441">
        <v>0</v>
      </c>
      <c r="H2054" s="441">
        <f t="shared" si="51"/>
        <v>633732083</v>
      </c>
      <c r="I2054" s="326"/>
      <c r="K2054" s="19"/>
    </row>
    <row r="2055" spans="1:11" x14ac:dyDescent="0.2">
      <c r="A2055" s="293"/>
      <c r="B2055" s="490"/>
      <c r="C2055" s="288"/>
      <c r="D2055" s="443">
        <f>_xlfn.XLOOKUP(B2055,Códigos!$A$421:$A$483,Códigos!$B$421:$B$483,"Verificar",0)</f>
        <v>0</v>
      </c>
      <c r="E2055" s="444">
        <f>_xlfn.XLOOKUP(C2055,Códigos!$A$11:$A$415,Códigos!$B$11:$B$415,"Verificar",0)</f>
        <v>0</v>
      </c>
      <c r="F2055" s="1286"/>
      <c r="G2055" s="441">
        <v>0</v>
      </c>
      <c r="H2055" s="441">
        <f t="shared" si="51"/>
        <v>633732083</v>
      </c>
      <c r="I2055" s="326"/>
      <c r="K2055" s="19"/>
    </row>
    <row r="2056" spans="1:11" x14ac:dyDescent="0.2">
      <c r="A2056" s="293"/>
      <c r="B2056" s="490"/>
      <c r="C2056" s="288"/>
      <c r="D2056" s="443">
        <f>_xlfn.XLOOKUP(B2056,Códigos!$A$421:$A$483,Códigos!$B$421:$B$483,"Verificar",0)</f>
        <v>0</v>
      </c>
      <c r="E2056" s="444">
        <f>_xlfn.XLOOKUP(C2056,Códigos!$A$11:$A$415,Códigos!$B$11:$B$415,"Verificar",0)</f>
        <v>0</v>
      </c>
      <c r="F2056" s="1286"/>
      <c r="G2056" s="441">
        <v>0</v>
      </c>
      <c r="H2056" s="441">
        <f t="shared" si="51"/>
        <v>633732083</v>
      </c>
      <c r="I2056" s="326"/>
      <c r="K2056" s="19"/>
    </row>
    <row r="2057" spans="1:11" x14ac:dyDescent="0.2">
      <c r="A2057" s="293"/>
      <c r="B2057" s="490"/>
      <c r="C2057" s="288"/>
      <c r="D2057" s="443">
        <f>_xlfn.XLOOKUP(B2057,Códigos!$A$421:$A$483,Códigos!$B$421:$B$483,"Verificar",0)</f>
        <v>0</v>
      </c>
      <c r="E2057" s="444">
        <f>_xlfn.XLOOKUP(C2057,Códigos!$A$11:$A$415,Códigos!$B$11:$B$415,"Verificar",0)</f>
        <v>0</v>
      </c>
      <c r="F2057" s="1286"/>
      <c r="G2057" s="441">
        <v>0</v>
      </c>
      <c r="H2057" s="441">
        <f t="shared" si="51"/>
        <v>633732083</v>
      </c>
      <c r="I2057" s="326"/>
      <c r="K2057" s="19"/>
    </row>
    <row r="2058" spans="1:11" x14ac:dyDescent="0.2">
      <c r="A2058" s="293"/>
      <c r="B2058" s="490"/>
      <c r="C2058" s="288"/>
      <c r="D2058" s="443">
        <f>_xlfn.XLOOKUP(B2058,Códigos!$A$421:$A$483,Códigos!$B$421:$B$483,"Verificar",0)</f>
        <v>0</v>
      </c>
      <c r="E2058" s="444">
        <f>_xlfn.XLOOKUP(C2058,Códigos!$A$11:$A$415,Códigos!$B$11:$B$415,"Verificar",0)</f>
        <v>0</v>
      </c>
      <c r="F2058" s="1286"/>
      <c r="G2058" s="441">
        <v>0</v>
      </c>
      <c r="H2058" s="441">
        <f t="shared" si="51"/>
        <v>633732083</v>
      </c>
      <c r="I2058" s="326"/>
      <c r="K2058" s="19"/>
    </row>
    <row r="2059" spans="1:11" x14ac:dyDescent="0.2">
      <c r="A2059" s="293"/>
      <c r="B2059" s="490"/>
      <c r="C2059" s="288"/>
      <c r="D2059" s="443">
        <f>_xlfn.XLOOKUP(B2059,Códigos!$A$421:$A$483,Códigos!$B$421:$B$483,"Verificar",0)</f>
        <v>0</v>
      </c>
      <c r="E2059" s="444">
        <f>_xlfn.XLOOKUP(C2059,Códigos!$A$11:$A$415,Códigos!$B$11:$B$415,"Verificar",0)</f>
        <v>0</v>
      </c>
      <c r="F2059" s="1286"/>
      <c r="G2059" s="441">
        <v>0</v>
      </c>
      <c r="H2059" s="441">
        <f t="shared" si="51"/>
        <v>633732083</v>
      </c>
      <c r="I2059" s="326"/>
      <c r="K2059" s="19"/>
    </row>
    <row r="2060" spans="1:11" x14ac:dyDescent="0.2">
      <c r="A2060" s="293"/>
      <c r="B2060" s="490"/>
      <c r="C2060" s="288"/>
      <c r="D2060" s="443">
        <f>_xlfn.XLOOKUP(B2060,Códigos!$A$421:$A$483,Códigos!$B$421:$B$483,"Verificar",0)</f>
        <v>0</v>
      </c>
      <c r="E2060" s="444">
        <f>_xlfn.XLOOKUP(C2060,Códigos!$A$11:$A$415,Códigos!$B$11:$B$415,"Verificar",0)</f>
        <v>0</v>
      </c>
      <c r="F2060" s="1286"/>
      <c r="G2060" s="441">
        <v>0</v>
      </c>
      <c r="H2060" s="441">
        <f t="shared" si="51"/>
        <v>633732083</v>
      </c>
      <c r="I2060" s="326"/>
      <c r="K2060" s="19"/>
    </row>
    <row r="2061" spans="1:11" x14ac:dyDescent="0.2">
      <c r="A2061" s="293"/>
      <c r="B2061" s="490"/>
      <c r="C2061" s="288"/>
      <c r="D2061" s="443">
        <f>_xlfn.XLOOKUP(B2061,Códigos!$A$421:$A$483,Códigos!$B$421:$B$483,"Verificar",0)</f>
        <v>0</v>
      </c>
      <c r="E2061" s="444">
        <f>_xlfn.XLOOKUP(C2061,Códigos!$A$11:$A$415,Códigos!$B$11:$B$415,"Verificar",0)</f>
        <v>0</v>
      </c>
      <c r="F2061" s="1286"/>
      <c r="G2061" s="441">
        <v>0</v>
      </c>
      <c r="H2061" s="441">
        <f t="shared" si="51"/>
        <v>633732083</v>
      </c>
      <c r="I2061" s="326"/>
      <c r="K2061" s="19"/>
    </row>
    <row r="2062" spans="1:11" x14ac:dyDescent="0.2">
      <c r="A2062" s="293"/>
      <c r="B2062" s="490"/>
      <c r="C2062" s="288"/>
      <c r="D2062" s="443">
        <f>_xlfn.XLOOKUP(B2062,Códigos!$A$421:$A$483,Códigos!$B$421:$B$483,"Verificar",0)</f>
        <v>0</v>
      </c>
      <c r="E2062" s="444">
        <f>_xlfn.XLOOKUP(C2062,Códigos!$A$11:$A$415,Códigos!$B$11:$B$415,"Verificar",0)</f>
        <v>0</v>
      </c>
      <c r="F2062" s="1286"/>
      <c r="G2062" s="441">
        <v>0</v>
      </c>
      <c r="H2062" s="441">
        <f t="shared" si="51"/>
        <v>633732083</v>
      </c>
      <c r="I2062" s="326"/>
      <c r="K2062" s="19"/>
    </row>
    <row r="2063" spans="1:11" x14ac:dyDescent="0.2">
      <c r="A2063" s="293"/>
      <c r="B2063" s="490"/>
      <c r="C2063" s="288"/>
      <c r="D2063" s="443">
        <f>_xlfn.XLOOKUP(B2063,Códigos!$A$421:$A$483,Códigos!$B$421:$B$483,"Verificar",0)</f>
        <v>0</v>
      </c>
      <c r="E2063" s="444">
        <f>_xlfn.XLOOKUP(C2063,Códigos!$A$11:$A$415,Códigos!$B$11:$B$415,"Verificar",0)</f>
        <v>0</v>
      </c>
      <c r="F2063" s="1286"/>
      <c r="G2063" s="441">
        <v>0</v>
      </c>
      <c r="H2063" s="441">
        <f t="shared" si="51"/>
        <v>633732083</v>
      </c>
      <c r="I2063" s="326"/>
      <c r="K2063" s="19"/>
    </row>
    <row r="2064" spans="1:11" x14ac:dyDescent="0.2">
      <c r="A2064" s="293"/>
      <c r="B2064" s="490"/>
      <c r="C2064" s="288"/>
      <c r="D2064" s="443">
        <f>_xlfn.XLOOKUP(B2064,Códigos!$A$421:$A$483,Códigos!$B$421:$B$483,"Verificar",0)</f>
        <v>0</v>
      </c>
      <c r="E2064" s="444">
        <f>_xlfn.XLOOKUP(C2064,Códigos!$A$11:$A$415,Códigos!$B$11:$B$415,"Verificar",0)</f>
        <v>0</v>
      </c>
      <c r="F2064" s="1286"/>
      <c r="G2064" s="441">
        <v>0</v>
      </c>
      <c r="H2064" s="441">
        <f t="shared" si="51"/>
        <v>633732083</v>
      </c>
      <c r="I2064" s="326"/>
      <c r="K2064" s="19"/>
    </row>
    <row r="2065" spans="1:11" x14ac:dyDescent="0.2">
      <c r="A2065" s="293"/>
      <c r="B2065" s="490"/>
      <c r="C2065" s="288"/>
      <c r="D2065" s="443">
        <f>_xlfn.XLOOKUP(B2065,Códigos!$A$421:$A$483,Códigos!$B$421:$B$483,"Verificar",0)</f>
        <v>0</v>
      </c>
      <c r="E2065" s="444">
        <f>_xlfn.XLOOKUP(C2065,Códigos!$A$11:$A$415,Códigos!$B$11:$B$415,"Verificar",0)</f>
        <v>0</v>
      </c>
      <c r="F2065" s="1286"/>
      <c r="G2065" s="441">
        <v>0</v>
      </c>
      <c r="H2065" s="441">
        <f t="shared" si="51"/>
        <v>633732083</v>
      </c>
      <c r="I2065" s="326"/>
      <c r="K2065" s="19"/>
    </row>
    <row r="2066" spans="1:11" x14ac:dyDescent="0.2">
      <c r="A2066" s="293"/>
      <c r="B2066" s="490"/>
      <c r="C2066" s="288"/>
      <c r="D2066" s="443">
        <f>_xlfn.XLOOKUP(B2066,Códigos!$A$421:$A$483,Códigos!$B$421:$B$483,"Verificar",0)</f>
        <v>0</v>
      </c>
      <c r="E2066" s="444">
        <f>_xlfn.XLOOKUP(C2066,Códigos!$A$11:$A$415,Códigos!$B$11:$B$415,"Verificar",0)</f>
        <v>0</v>
      </c>
      <c r="F2066" s="1286"/>
      <c r="G2066" s="441">
        <v>0</v>
      </c>
      <c r="H2066" s="441">
        <f t="shared" si="51"/>
        <v>633732083</v>
      </c>
      <c r="I2066" s="326"/>
      <c r="K2066" s="19"/>
    </row>
    <row r="2067" spans="1:11" x14ac:dyDescent="0.2">
      <c r="A2067" s="293"/>
      <c r="B2067" s="490"/>
      <c r="C2067" s="288"/>
      <c r="D2067" s="443">
        <f>_xlfn.XLOOKUP(B2067,Códigos!$A$421:$A$483,Códigos!$B$421:$B$483,"Verificar",0)</f>
        <v>0</v>
      </c>
      <c r="E2067" s="444">
        <f>_xlfn.XLOOKUP(C2067,Códigos!$A$11:$A$415,Códigos!$B$11:$B$415,"Verificar",0)</f>
        <v>0</v>
      </c>
      <c r="F2067" s="1286"/>
      <c r="G2067" s="441">
        <v>0</v>
      </c>
      <c r="H2067" s="441">
        <f t="shared" si="51"/>
        <v>633732083</v>
      </c>
      <c r="I2067" s="326"/>
      <c r="K2067" s="19"/>
    </row>
    <row r="2068" spans="1:11" x14ac:dyDescent="0.2">
      <c r="A2068" s="293"/>
      <c r="B2068" s="490"/>
      <c r="C2068" s="288"/>
      <c r="D2068" s="443">
        <f>_xlfn.XLOOKUP(B2068,Códigos!$A$421:$A$483,Códigos!$B$421:$B$483,"Verificar",0)</f>
        <v>0</v>
      </c>
      <c r="E2068" s="444">
        <f>_xlfn.XLOOKUP(C2068,Códigos!$A$11:$A$415,Códigos!$B$11:$B$415,"Verificar",0)</f>
        <v>0</v>
      </c>
      <c r="F2068" s="1286"/>
      <c r="G2068" s="441">
        <v>0</v>
      </c>
      <c r="H2068" s="441">
        <f t="shared" si="51"/>
        <v>633732083</v>
      </c>
      <c r="I2068" s="326"/>
      <c r="K2068" s="19"/>
    </row>
    <row r="2069" spans="1:11" x14ac:dyDescent="0.2">
      <c r="A2069" s="293"/>
      <c r="B2069" s="490"/>
      <c r="C2069" s="288"/>
      <c r="D2069" s="443">
        <f>_xlfn.XLOOKUP(B2069,Códigos!$A$421:$A$483,Códigos!$B$421:$B$483,"Verificar",0)</f>
        <v>0</v>
      </c>
      <c r="E2069" s="444">
        <f>_xlfn.XLOOKUP(C2069,Códigos!$A$11:$A$415,Códigos!$B$11:$B$415,"Verificar",0)</f>
        <v>0</v>
      </c>
      <c r="F2069" s="1286"/>
      <c r="G2069" s="441">
        <v>0</v>
      </c>
      <c r="H2069" s="441">
        <f t="shared" ref="H2069:H2132" si="52">+H2068+G2069</f>
        <v>633732083</v>
      </c>
      <c r="I2069" s="326"/>
      <c r="K2069" s="19"/>
    </row>
    <row r="2070" spans="1:11" x14ac:dyDescent="0.2">
      <c r="A2070" s="293"/>
      <c r="B2070" s="490"/>
      <c r="C2070" s="288"/>
      <c r="D2070" s="443">
        <f>_xlfn.XLOOKUP(B2070,Códigos!$A$421:$A$483,Códigos!$B$421:$B$483,"Verificar",0)</f>
        <v>0</v>
      </c>
      <c r="E2070" s="444">
        <f>_xlfn.XLOOKUP(C2070,Códigos!$A$11:$A$415,Códigos!$B$11:$B$415,"Verificar",0)</f>
        <v>0</v>
      </c>
      <c r="F2070" s="1286"/>
      <c r="G2070" s="441">
        <v>0</v>
      </c>
      <c r="H2070" s="441">
        <f t="shared" si="52"/>
        <v>633732083</v>
      </c>
      <c r="I2070" s="326"/>
      <c r="K2070" s="19"/>
    </row>
    <row r="2071" spans="1:11" x14ac:dyDescent="0.2">
      <c r="A2071" s="293"/>
      <c r="B2071" s="490"/>
      <c r="C2071" s="288"/>
      <c r="D2071" s="443">
        <f>_xlfn.XLOOKUP(B2071,Códigos!$A$421:$A$483,Códigos!$B$421:$B$483,"Verificar",0)</f>
        <v>0</v>
      </c>
      <c r="E2071" s="444">
        <f>_xlfn.XLOOKUP(C2071,Códigos!$A$11:$A$415,Códigos!$B$11:$B$415,"Verificar",0)</f>
        <v>0</v>
      </c>
      <c r="F2071" s="1286"/>
      <c r="G2071" s="441">
        <v>0</v>
      </c>
      <c r="H2071" s="441">
        <f t="shared" si="52"/>
        <v>633732083</v>
      </c>
      <c r="I2071" s="326"/>
      <c r="K2071" s="19"/>
    </row>
    <row r="2072" spans="1:11" x14ac:dyDescent="0.2">
      <c r="A2072" s="293"/>
      <c r="B2072" s="490"/>
      <c r="C2072" s="288"/>
      <c r="D2072" s="443">
        <f>_xlfn.XLOOKUP(B2072,Códigos!$A$421:$A$483,Códigos!$B$421:$B$483,"Verificar",0)</f>
        <v>0</v>
      </c>
      <c r="E2072" s="444">
        <f>_xlfn.XLOOKUP(C2072,Códigos!$A$11:$A$415,Códigos!$B$11:$B$415,"Verificar",0)</f>
        <v>0</v>
      </c>
      <c r="F2072" s="1286"/>
      <c r="G2072" s="441">
        <v>0</v>
      </c>
      <c r="H2072" s="441">
        <f t="shared" si="52"/>
        <v>633732083</v>
      </c>
      <c r="I2072" s="326"/>
      <c r="K2072" s="19"/>
    </row>
    <row r="2073" spans="1:11" x14ac:dyDescent="0.2">
      <c r="A2073" s="293"/>
      <c r="B2073" s="490"/>
      <c r="C2073" s="288"/>
      <c r="D2073" s="443">
        <f>_xlfn.XLOOKUP(B2073,Códigos!$A$421:$A$483,Códigos!$B$421:$B$483,"Verificar",0)</f>
        <v>0</v>
      </c>
      <c r="E2073" s="444">
        <f>_xlfn.XLOOKUP(C2073,Códigos!$A$11:$A$415,Códigos!$B$11:$B$415,"Verificar",0)</f>
        <v>0</v>
      </c>
      <c r="F2073" s="1286"/>
      <c r="G2073" s="441">
        <v>0</v>
      </c>
      <c r="H2073" s="441">
        <f t="shared" si="52"/>
        <v>633732083</v>
      </c>
      <c r="I2073" s="326"/>
      <c r="K2073" s="19"/>
    </row>
    <row r="2074" spans="1:11" x14ac:dyDescent="0.2">
      <c r="A2074" s="293"/>
      <c r="B2074" s="490"/>
      <c r="C2074" s="288"/>
      <c r="D2074" s="443">
        <f>_xlfn.XLOOKUP(B2074,Códigos!$A$421:$A$483,Códigos!$B$421:$B$483,"Verificar",0)</f>
        <v>0</v>
      </c>
      <c r="E2074" s="444">
        <f>_xlfn.XLOOKUP(C2074,Códigos!$A$11:$A$415,Códigos!$B$11:$B$415,"Verificar",0)</f>
        <v>0</v>
      </c>
      <c r="F2074" s="1286"/>
      <c r="G2074" s="441">
        <v>0</v>
      </c>
      <c r="H2074" s="441">
        <f t="shared" si="52"/>
        <v>633732083</v>
      </c>
      <c r="I2074" s="326"/>
      <c r="K2074" s="19"/>
    </row>
    <row r="2075" spans="1:11" x14ac:dyDescent="0.2">
      <c r="A2075" s="293"/>
      <c r="B2075" s="490"/>
      <c r="C2075" s="288"/>
      <c r="D2075" s="443">
        <f>_xlfn.XLOOKUP(B2075,Códigos!$A$421:$A$483,Códigos!$B$421:$B$483,"Verificar",0)</f>
        <v>0</v>
      </c>
      <c r="E2075" s="444">
        <f>_xlfn.XLOOKUP(C2075,Códigos!$A$11:$A$415,Códigos!$B$11:$B$415,"Verificar",0)</f>
        <v>0</v>
      </c>
      <c r="F2075" s="1286"/>
      <c r="G2075" s="441">
        <v>0</v>
      </c>
      <c r="H2075" s="441">
        <f t="shared" si="52"/>
        <v>633732083</v>
      </c>
      <c r="I2075" s="326"/>
      <c r="K2075" s="19"/>
    </row>
    <row r="2076" spans="1:11" x14ac:dyDescent="0.2">
      <c r="A2076" s="293"/>
      <c r="B2076" s="490"/>
      <c r="C2076" s="288"/>
      <c r="D2076" s="443">
        <f>_xlfn.XLOOKUP(B2076,Códigos!$A$421:$A$483,Códigos!$B$421:$B$483,"Verificar",0)</f>
        <v>0</v>
      </c>
      <c r="E2076" s="444">
        <f>_xlfn.XLOOKUP(C2076,Códigos!$A$11:$A$415,Códigos!$B$11:$B$415,"Verificar",0)</f>
        <v>0</v>
      </c>
      <c r="F2076" s="1286"/>
      <c r="G2076" s="441">
        <v>0</v>
      </c>
      <c r="H2076" s="441">
        <f t="shared" si="52"/>
        <v>633732083</v>
      </c>
      <c r="I2076" s="326"/>
      <c r="K2076" s="19"/>
    </row>
    <row r="2077" spans="1:11" x14ac:dyDescent="0.2">
      <c r="A2077" s="293"/>
      <c r="B2077" s="490"/>
      <c r="C2077" s="288"/>
      <c r="D2077" s="443">
        <f>_xlfn.XLOOKUP(B2077,Códigos!$A$421:$A$483,Códigos!$B$421:$B$483,"Verificar",0)</f>
        <v>0</v>
      </c>
      <c r="E2077" s="444">
        <f>_xlfn.XLOOKUP(C2077,Códigos!$A$11:$A$415,Códigos!$B$11:$B$415,"Verificar",0)</f>
        <v>0</v>
      </c>
      <c r="F2077" s="1286"/>
      <c r="G2077" s="441">
        <v>0</v>
      </c>
      <c r="H2077" s="441">
        <f t="shared" si="52"/>
        <v>633732083</v>
      </c>
      <c r="I2077" s="326"/>
      <c r="K2077" s="19"/>
    </row>
    <row r="2078" spans="1:11" x14ac:dyDescent="0.2">
      <c r="A2078" s="293"/>
      <c r="B2078" s="490"/>
      <c r="C2078" s="288"/>
      <c r="D2078" s="443">
        <f>_xlfn.XLOOKUP(B2078,Códigos!$A$421:$A$483,Códigos!$B$421:$B$483,"Verificar",0)</f>
        <v>0</v>
      </c>
      <c r="E2078" s="444">
        <f>_xlfn.XLOOKUP(C2078,Códigos!$A$11:$A$415,Códigos!$B$11:$B$415,"Verificar",0)</f>
        <v>0</v>
      </c>
      <c r="F2078" s="1286"/>
      <c r="G2078" s="441">
        <v>0</v>
      </c>
      <c r="H2078" s="441">
        <f t="shared" si="52"/>
        <v>633732083</v>
      </c>
      <c r="I2078" s="326"/>
      <c r="K2078" s="19"/>
    </row>
    <row r="2079" spans="1:11" x14ac:dyDescent="0.2">
      <c r="A2079" s="293"/>
      <c r="B2079" s="490"/>
      <c r="C2079" s="288"/>
      <c r="D2079" s="443">
        <f>_xlfn.XLOOKUP(B2079,Códigos!$A$421:$A$483,Códigos!$B$421:$B$483,"Verificar",0)</f>
        <v>0</v>
      </c>
      <c r="E2079" s="444">
        <f>_xlfn.XLOOKUP(C2079,Códigos!$A$11:$A$415,Códigos!$B$11:$B$415,"Verificar",0)</f>
        <v>0</v>
      </c>
      <c r="F2079" s="1286"/>
      <c r="G2079" s="441">
        <v>0</v>
      </c>
      <c r="H2079" s="441">
        <f t="shared" ref="H2079:H2084" si="53">+H2078+G2079</f>
        <v>633732083</v>
      </c>
      <c r="I2079" s="326"/>
      <c r="K2079" s="19"/>
    </row>
    <row r="2080" spans="1:11" x14ac:dyDescent="0.2">
      <c r="A2080" s="293"/>
      <c r="B2080" s="490"/>
      <c r="C2080" s="288"/>
      <c r="D2080" s="443">
        <f>_xlfn.XLOOKUP(B2080,Códigos!$A$421:$A$483,Códigos!$B$421:$B$483,"Verificar",0)</f>
        <v>0</v>
      </c>
      <c r="E2080" s="444">
        <f>_xlfn.XLOOKUP(C2080,Códigos!$A$11:$A$415,Códigos!$B$11:$B$415,"Verificar",0)</f>
        <v>0</v>
      </c>
      <c r="F2080" s="1286"/>
      <c r="G2080" s="441">
        <v>0</v>
      </c>
      <c r="H2080" s="441">
        <f t="shared" si="53"/>
        <v>633732083</v>
      </c>
      <c r="I2080" s="326"/>
      <c r="K2080" s="19"/>
    </row>
    <row r="2081" spans="1:11" x14ac:dyDescent="0.2">
      <c r="A2081" s="293"/>
      <c r="B2081" s="490"/>
      <c r="C2081" s="288"/>
      <c r="D2081" s="443">
        <f>_xlfn.XLOOKUP(B2081,Códigos!$A$421:$A$483,Códigos!$B$421:$B$483,"Verificar",0)</f>
        <v>0</v>
      </c>
      <c r="E2081" s="444">
        <f>_xlfn.XLOOKUP(C2081,Códigos!$A$11:$A$415,Códigos!$B$11:$B$415,"Verificar",0)</f>
        <v>0</v>
      </c>
      <c r="F2081" s="1286"/>
      <c r="G2081" s="441">
        <v>0</v>
      </c>
      <c r="H2081" s="441">
        <f t="shared" si="53"/>
        <v>633732083</v>
      </c>
      <c r="I2081" s="326"/>
      <c r="K2081" s="19"/>
    </row>
    <row r="2082" spans="1:11" x14ac:dyDescent="0.2">
      <c r="A2082" s="293"/>
      <c r="B2082" s="490"/>
      <c r="C2082" s="288"/>
      <c r="D2082" s="443">
        <f>_xlfn.XLOOKUP(B2082,Códigos!$A$421:$A$483,Códigos!$B$421:$B$483,"Verificar",0)</f>
        <v>0</v>
      </c>
      <c r="E2082" s="444">
        <f>_xlfn.XLOOKUP(C2082,Códigos!$A$11:$A$415,Códigos!$B$11:$B$415,"Verificar",0)</f>
        <v>0</v>
      </c>
      <c r="F2082" s="1286"/>
      <c r="G2082" s="441">
        <v>0</v>
      </c>
      <c r="H2082" s="441">
        <f t="shared" si="53"/>
        <v>633732083</v>
      </c>
      <c r="I2082" s="326"/>
      <c r="K2082" s="19"/>
    </row>
    <row r="2083" spans="1:11" x14ac:dyDescent="0.2">
      <c r="A2083" s="293"/>
      <c r="B2083" s="490"/>
      <c r="C2083" s="288"/>
      <c r="D2083" s="443">
        <f>_xlfn.XLOOKUP(B2083,Códigos!$A$421:$A$483,Códigos!$B$421:$B$483,"Verificar",0)</f>
        <v>0</v>
      </c>
      <c r="E2083" s="444">
        <f>_xlfn.XLOOKUP(C2083,Códigos!$A$11:$A$415,Códigos!$B$11:$B$415,"Verificar",0)</f>
        <v>0</v>
      </c>
      <c r="F2083" s="1286"/>
      <c r="G2083" s="441">
        <v>0</v>
      </c>
      <c r="H2083" s="441">
        <f t="shared" si="53"/>
        <v>633732083</v>
      </c>
      <c r="I2083" s="326"/>
      <c r="K2083" s="19"/>
    </row>
    <row r="2084" spans="1:11" x14ac:dyDescent="0.2">
      <c r="A2084" s="293"/>
      <c r="B2084" s="490"/>
      <c r="C2084" s="288"/>
      <c r="D2084" s="443">
        <f>_xlfn.XLOOKUP(B2084,Códigos!$A$421:$A$483,Códigos!$B$421:$B$483,"Verificar",0)</f>
        <v>0</v>
      </c>
      <c r="E2084" s="444">
        <f>_xlfn.XLOOKUP(C2084,Códigos!$A$11:$A$415,Códigos!$B$11:$B$415,"Verificar",0)</f>
        <v>0</v>
      </c>
      <c r="F2084" s="1286"/>
      <c r="G2084" s="441">
        <v>0</v>
      </c>
      <c r="H2084" s="441">
        <f t="shared" si="53"/>
        <v>633732083</v>
      </c>
      <c r="I2084" s="326"/>
      <c r="K2084" s="19"/>
    </row>
    <row r="2085" spans="1:11" x14ac:dyDescent="0.2">
      <c r="A2085" s="293"/>
      <c r="B2085" s="490"/>
      <c r="C2085" s="288"/>
      <c r="D2085" s="443">
        <f>_xlfn.XLOOKUP(B2085,Códigos!$A$421:$A$483,Códigos!$B$421:$B$483,"Verificar",0)</f>
        <v>0</v>
      </c>
      <c r="E2085" s="444">
        <f>_xlfn.XLOOKUP(C2085,Códigos!$A$11:$A$415,Códigos!$B$11:$B$415,"Verificar",0)</f>
        <v>0</v>
      </c>
      <c r="F2085" s="1286"/>
      <c r="G2085" s="441">
        <v>0</v>
      </c>
      <c r="H2085" s="441">
        <f t="shared" si="52"/>
        <v>633732083</v>
      </c>
      <c r="I2085" s="326"/>
      <c r="K2085" s="19"/>
    </row>
    <row r="2086" spans="1:11" x14ac:dyDescent="0.2">
      <c r="A2086" s="293"/>
      <c r="B2086" s="490"/>
      <c r="C2086" s="288"/>
      <c r="D2086" s="443">
        <f>_xlfn.XLOOKUP(B2086,Códigos!$A$421:$A$483,Códigos!$B$421:$B$483,"Verificar",0)</f>
        <v>0</v>
      </c>
      <c r="E2086" s="444">
        <f>_xlfn.XLOOKUP(C2086,Códigos!$A$11:$A$415,Códigos!$B$11:$B$415,"Verificar",0)</f>
        <v>0</v>
      </c>
      <c r="F2086" s="1286"/>
      <c r="G2086" s="441">
        <v>0</v>
      </c>
      <c r="H2086" s="441">
        <f t="shared" si="52"/>
        <v>633732083</v>
      </c>
      <c r="I2086" s="326"/>
      <c r="K2086" s="19"/>
    </row>
    <row r="2087" spans="1:11" x14ac:dyDescent="0.2">
      <c r="A2087" s="293"/>
      <c r="B2087" s="490"/>
      <c r="C2087" s="288"/>
      <c r="D2087" s="443">
        <f>_xlfn.XLOOKUP(B2087,Códigos!$A$421:$A$483,Códigos!$B$421:$B$483,"Verificar",0)</f>
        <v>0</v>
      </c>
      <c r="E2087" s="444">
        <f>_xlfn.XLOOKUP(C2087,Códigos!$A$11:$A$415,Códigos!$B$11:$B$415,"Verificar",0)</f>
        <v>0</v>
      </c>
      <c r="F2087" s="1286"/>
      <c r="G2087" s="441">
        <v>0</v>
      </c>
      <c r="H2087" s="441">
        <f t="shared" si="52"/>
        <v>633732083</v>
      </c>
      <c r="I2087" s="326"/>
      <c r="K2087" s="19"/>
    </row>
    <row r="2088" spans="1:11" x14ac:dyDescent="0.2">
      <c r="A2088" s="293"/>
      <c r="B2088" s="490"/>
      <c r="C2088" s="288"/>
      <c r="D2088" s="443">
        <f>_xlfn.XLOOKUP(B2088,Códigos!$A$421:$A$483,Códigos!$B$421:$B$483,"Verificar",0)</f>
        <v>0</v>
      </c>
      <c r="E2088" s="444">
        <f>_xlfn.XLOOKUP(C2088,Códigos!$A$11:$A$415,Códigos!$B$11:$B$415,"Verificar",0)</f>
        <v>0</v>
      </c>
      <c r="F2088" s="1286"/>
      <c r="G2088" s="441">
        <v>0</v>
      </c>
      <c r="H2088" s="441">
        <f t="shared" si="52"/>
        <v>633732083</v>
      </c>
      <c r="I2088" s="326"/>
      <c r="K2088" s="19"/>
    </row>
    <row r="2089" spans="1:11" x14ac:dyDescent="0.2">
      <c r="A2089" s="293"/>
      <c r="B2089" s="490"/>
      <c r="C2089" s="288"/>
      <c r="D2089" s="443">
        <f>_xlfn.XLOOKUP(B2089,Códigos!$A$421:$A$483,Códigos!$B$421:$B$483,"Verificar",0)</f>
        <v>0</v>
      </c>
      <c r="E2089" s="444">
        <f>_xlfn.XLOOKUP(C2089,Códigos!$A$11:$A$415,Códigos!$B$11:$B$415,"Verificar",0)</f>
        <v>0</v>
      </c>
      <c r="F2089" s="1286"/>
      <c r="G2089" s="441">
        <v>0</v>
      </c>
      <c r="H2089" s="441">
        <f t="shared" si="52"/>
        <v>633732083</v>
      </c>
      <c r="I2089" s="326"/>
      <c r="K2089" s="19"/>
    </row>
    <row r="2090" spans="1:11" x14ac:dyDescent="0.2">
      <c r="A2090" s="293"/>
      <c r="B2090" s="490"/>
      <c r="C2090" s="288"/>
      <c r="D2090" s="443">
        <f>_xlfn.XLOOKUP(B2090,Códigos!$A$421:$A$483,Códigos!$B$421:$B$483,"Verificar",0)</f>
        <v>0</v>
      </c>
      <c r="E2090" s="444">
        <f>_xlfn.XLOOKUP(C2090,Códigos!$A$11:$A$415,Códigos!$B$11:$B$415,"Verificar",0)</f>
        <v>0</v>
      </c>
      <c r="F2090" s="1286"/>
      <c r="G2090" s="441">
        <v>0</v>
      </c>
      <c r="H2090" s="441">
        <f t="shared" si="52"/>
        <v>633732083</v>
      </c>
      <c r="I2090" s="326"/>
      <c r="K2090" s="19"/>
    </row>
    <row r="2091" spans="1:11" x14ac:dyDescent="0.2">
      <c r="A2091" s="293"/>
      <c r="B2091" s="490"/>
      <c r="C2091" s="288"/>
      <c r="D2091" s="443">
        <f>_xlfn.XLOOKUP(B2091,Códigos!$A$421:$A$483,Códigos!$B$421:$B$483,"Verificar",0)</f>
        <v>0</v>
      </c>
      <c r="E2091" s="444">
        <f>_xlfn.XLOOKUP(C2091,Códigos!$A$11:$A$415,Códigos!$B$11:$B$415,"Verificar",0)</f>
        <v>0</v>
      </c>
      <c r="F2091" s="1286"/>
      <c r="G2091" s="441">
        <v>0</v>
      </c>
      <c r="H2091" s="441">
        <f t="shared" si="52"/>
        <v>633732083</v>
      </c>
      <c r="I2091" s="326"/>
      <c r="K2091" s="19"/>
    </row>
    <row r="2092" spans="1:11" x14ac:dyDescent="0.2">
      <c r="A2092" s="293"/>
      <c r="B2092" s="490"/>
      <c r="C2092" s="288"/>
      <c r="D2092" s="443">
        <f>_xlfn.XLOOKUP(B2092,Códigos!$A$421:$A$483,Códigos!$B$421:$B$483,"Verificar",0)</f>
        <v>0</v>
      </c>
      <c r="E2092" s="444">
        <f>_xlfn.XLOOKUP(C2092,Códigos!$A$11:$A$415,Códigos!$B$11:$B$415,"Verificar",0)</f>
        <v>0</v>
      </c>
      <c r="F2092" s="1286"/>
      <c r="G2092" s="441">
        <v>0</v>
      </c>
      <c r="H2092" s="441">
        <f t="shared" si="52"/>
        <v>633732083</v>
      </c>
      <c r="I2092" s="326"/>
      <c r="K2092" s="19"/>
    </row>
    <row r="2093" spans="1:11" x14ac:dyDescent="0.2">
      <c r="A2093" s="293"/>
      <c r="B2093" s="490"/>
      <c r="C2093" s="288"/>
      <c r="D2093" s="443">
        <f>_xlfn.XLOOKUP(B2093,Códigos!$A$421:$A$483,Códigos!$B$421:$B$483,"Verificar",0)</f>
        <v>0</v>
      </c>
      <c r="E2093" s="444">
        <f>_xlfn.XLOOKUP(C2093,Códigos!$A$11:$A$415,Códigos!$B$11:$B$415,"Verificar",0)</f>
        <v>0</v>
      </c>
      <c r="F2093" s="1286"/>
      <c r="G2093" s="441">
        <v>0</v>
      </c>
      <c r="H2093" s="441">
        <f t="shared" si="52"/>
        <v>633732083</v>
      </c>
      <c r="I2093" s="326"/>
      <c r="K2093" s="19"/>
    </row>
    <row r="2094" spans="1:11" x14ac:dyDescent="0.2">
      <c r="A2094" s="293"/>
      <c r="B2094" s="490"/>
      <c r="C2094" s="288"/>
      <c r="D2094" s="443">
        <f>_xlfn.XLOOKUP(B2094,Códigos!$A$421:$A$483,Códigos!$B$421:$B$483,"Verificar",0)</f>
        <v>0</v>
      </c>
      <c r="E2094" s="444">
        <f>_xlfn.XLOOKUP(C2094,Códigos!$A$11:$A$415,Códigos!$B$11:$B$415,"Verificar",0)</f>
        <v>0</v>
      </c>
      <c r="F2094" s="1286"/>
      <c r="G2094" s="441">
        <v>0</v>
      </c>
      <c r="H2094" s="441">
        <f t="shared" si="52"/>
        <v>633732083</v>
      </c>
      <c r="I2094" s="326"/>
      <c r="K2094" s="19"/>
    </row>
    <row r="2095" spans="1:11" x14ac:dyDescent="0.2">
      <c r="A2095" s="293"/>
      <c r="B2095" s="490"/>
      <c r="C2095" s="288"/>
      <c r="D2095" s="443">
        <f>_xlfn.XLOOKUP(B2095,Códigos!$A$421:$A$483,Códigos!$B$421:$B$483,"Verificar",0)</f>
        <v>0</v>
      </c>
      <c r="E2095" s="444">
        <f>_xlfn.XLOOKUP(C2095,Códigos!$A$11:$A$415,Códigos!$B$11:$B$415,"Verificar",0)</f>
        <v>0</v>
      </c>
      <c r="F2095" s="1286"/>
      <c r="G2095" s="441">
        <v>0</v>
      </c>
      <c r="H2095" s="441">
        <f t="shared" si="52"/>
        <v>633732083</v>
      </c>
      <c r="I2095" s="326"/>
      <c r="K2095" s="19"/>
    </row>
    <row r="2096" spans="1:11" x14ac:dyDescent="0.2">
      <c r="A2096" s="293"/>
      <c r="B2096" s="490"/>
      <c r="C2096" s="288"/>
      <c r="D2096" s="443">
        <f>_xlfn.XLOOKUP(B2096,Códigos!$A$421:$A$483,Códigos!$B$421:$B$483,"Verificar",0)</f>
        <v>0</v>
      </c>
      <c r="E2096" s="444">
        <f>_xlfn.XLOOKUP(C2096,Códigos!$A$11:$A$415,Códigos!$B$11:$B$415,"Verificar",0)</f>
        <v>0</v>
      </c>
      <c r="F2096" s="1286"/>
      <c r="G2096" s="441">
        <v>0</v>
      </c>
      <c r="H2096" s="441">
        <f t="shared" si="52"/>
        <v>633732083</v>
      </c>
      <c r="I2096" s="326"/>
      <c r="K2096" s="19"/>
    </row>
    <row r="2097" spans="1:11" x14ac:dyDescent="0.2">
      <c r="A2097" s="293"/>
      <c r="B2097" s="490"/>
      <c r="C2097" s="288"/>
      <c r="D2097" s="443">
        <f>_xlfn.XLOOKUP(B2097,Códigos!$A$421:$A$483,Códigos!$B$421:$B$483,"Verificar",0)</f>
        <v>0</v>
      </c>
      <c r="E2097" s="444">
        <f>_xlfn.XLOOKUP(C2097,Códigos!$A$11:$A$415,Códigos!$B$11:$B$415,"Verificar",0)</f>
        <v>0</v>
      </c>
      <c r="F2097" s="1286"/>
      <c r="G2097" s="441">
        <v>0</v>
      </c>
      <c r="H2097" s="441">
        <f t="shared" si="52"/>
        <v>633732083</v>
      </c>
      <c r="I2097" s="326"/>
      <c r="K2097" s="19"/>
    </row>
    <row r="2098" spans="1:11" x14ac:dyDescent="0.2">
      <c r="A2098" s="293"/>
      <c r="B2098" s="490"/>
      <c r="C2098" s="288"/>
      <c r="D2098" s="443">
        <f>_xlfn.XLOOKUP(B2098,Códigos!$A$421:$A$483,Códigos!$B$421:$B$483,"Verificar",0)</f>
        <v>0</v>
      </c>
      <c r="E2098" s="444">
        <f>_xlfn.XLOOKUP(C2098,Códigos!$A$11:$A$415,Códigos!$B$11:$B$415,"Verificar",0)</f>
        <v>0</v>
      </c>
      <c r="F2098" s="1286"/>
      <c r="G2098" s="441">
        <v>0</v>
      </c>
      <c r="H2098" s="441">
        <f t="shared" si="52"/>
        <v>633732083</v>
      </c>
      <c r="I2098" s="326"/>
      <c r="K2098" s="19"/>
    </row>
    <row r="2099" spans="1:11" x14ac:dyDescent="0.2">
      <c r="A2099" s="293"/>
      <c r="B2099" s="490"/>
      <c r="C2099" s="288"/>
      <c r="D2099" s="443">
        <f>_xlfn.XLOOKUP(B2099,Códigos!$A$421:$A$483,Códigos!$B$421:$B$483,"Verificar",0)</f>
        <v>0</v>
      </c>
      <c r="E2099" s="444">
        <f>_xlfn.XLOOKUP(C2099,Códigos!$A$11:$A$415,Códigos!$B$11:$B$415,"Verificar",0)</f>
        <v>0</v>
      </c>
      <c r="F2099" s="1286"/>
      <c r="G2099" s="441">
        <v>0</v>
      </c>
      <c r="H2099" s="441">
        <f t="shared" si="52"/>
        <v>633732083</v>
      </c>
      <c r="I2099" s="326"/>
      <c r="K2099" s="19"/>
    </row>
    <row r="2100" spans="1:11" x14ac:dyDescent="0.2">
      <c r="A2100" s="293"/>
      <c r="B2100" s="490"/>
      <c r="C2100" s="288"/>
      <c r="D2100" s="443">
        <f>_xlfn.XLOOKUP(B2100,Códigos!$A$421:$A$483,Códigos!$B$421:$B$483,"Verificar",0)</f>
        <v>0</v>
      </c>
      <c r="E2100" s="444">
        <f>_xlfn.XLOOKUP(C2100,Códigos!$A$11:$A$415,Códigos!$B$11:$B$415,"Verificar",0)</f>
        <v>0</v>
      </c>
      <c r="F2100" s="1286"/>
      <c r="G2100" s="441">
        <v>0</v>
      </c>
      <c r="H2100" s="441">
        <f t="shared" si="52"/>
        <v>633732083</v>
      </c>
      <c r="I2100" s="326"/>
      <c r="K2100" s="19"/>
    </row>
    <row r="2101" spans="1:11" x14ac:dyDescent="0.2">
      <c r="A2101" s="293"/>
      <c r="B2101" s="490"/>
      <c r="C2101" s="288"/>
      <c r="D2101" s="443">
        <f>_xlfn.XLOOKUP(B2101,Códigos!$A$421:$A$483,Códigos!$B$421:$B$483,"Verificar",0)</f>
        <v>0</v>
      </c>
      <c r="E2101" s="444">
        <f>_xlfn.XLOOKUP(C2101,Códigos!$A$11:$A$415,Códigos!$B$11:$B$415,"Verificar",0)</f>
        <v>0</v>
      </c>
      <c r="F2101" s="1286"/>
      <c r="G2101" s="441">
        <v>0</v>
      </c>
      <c r="H2101" s="441">
        <f t="shared" si="52"/>
        <v>633732083</v>
      </c>
      <c r="I2101" s="326"/>
      <c r="K2101" s="19"/>
    </row>
    <row r="2102" spans="1:11" x14ac:dyDescent="0.2">
      <c r="A2102" s="293"/>
      <c r="B2102" s="490"/>
      <c r="C2102" s="288"/>
      <c r="D2102" s="443">
        <f>_xlfn.XLOOKUP(B2102,Códigos!$A$421:$A$483,Códigos!$B$421:$B$483,"Verificar",0)</f>
        <v>0</v>
      </c>
      <c r="E2102" s="444">
        <f>_xlfn.XLOOKUP(C2102,Códigos!$A$11:$A$415,Códigos!$B$11:$B$415,"Verificar",0)</f>
        <v>0</v>
      </c>
      <c r="F2102" s="1286"/>
      <c r="G2102" s="441">
        <v>0</v>
      </c>
      <c r="H2102" s="441">
        <f t="shared" si="52"/>
        <v>633732083</v>
      </c>
      <c r="I2102" s="326"/>
      <c r="K2102" s="19"/>
    </row>
    <row r="2103" spans="1:11" x14ac:dyDescent="0.2">
      <c r="A2103" s="293"/>
      <c r="B2103" s="490"/>
      <c r="C2103" s="288"/>
      <c r="D2103" s="443">
        <f>_xlfn.XLOOKUP(B2103,Códigos!$A$421:$A$483,Códigos!$B$421:$B$483,"Verificar",0)</f>
        <v>0</v>
      </c>
      <c r="E2103" s="444">
        <f>_xlfn.XLOOKUP(C2103,Códigos!$A$11:$A$415,Códigos!$B$11:$B$415,"Verificar",0)</f>
        <v>0</v>
      </c>
      <c r="F2103" s="1286"/>
      <c r="G2103" s="441">
        <v>0</v>
      </c>
      <c r="H2103" s="441">
        <f t="shared" si="52"/>
        <v>633732083</v>
      </c>
      <c r="I2103" s="326"/>
      <c r="K2103" s="19"/>
    </row>
    <row r="2104" spans="1:11" x14ac:dyDescent="0.2">
      <c r="A2104" s="293"/>
      <c r="B2104" s="490"/>
      <c r="C2104" s="288"/>
      <c r="D2104" s="443">
        <f>_xlfn.XLOOKUP(B2104,Códigos!$A$421:$A$483,Códigos!$B$421:$B$483,"Verificar",0)</f>
        <v>0</v>
      </c>
      <c r="E2104" s="444">
        <f>_xlfn.XLOOKUP(C2104,Códigos!$A$11:$A$415,Códigos!$B$11:$B$415,"Verificar",0)</f>
        <v>0</v>
      </c>
      <c r="F2104" s="1286"/>
      <c r="G2104" s="441">
        <v>0</v>
      </c>
      <c r="H2104" s="441">
        <f t="shared" si="52"/>
        <v>633732083</v>
      </c>
      <c r="I2104" s="326"/>
      <c r="K2104" s="19"/>
    </row>
    <row r="2105" spans="1:11" x14ac:dyDescent="0.2">
      <c r="A2105" s="293"/>
      <c r="B2105" s="490"/>
      <c r="C2105" s="288"/>
      <c r="D2105" s="443">
        <f>_xlfn.XLOOKUP(B2105,Códigos!$A$421:$A$483,Códigos!$B$421:$B$483,"Verificar",0)</f>
        <v>0</v>
      </c>
      <c r="E2105" s="444">
        <f>_xlfn.XLOOKUP(C2105,Códigos!$A$11:$A$415,Códigos!$B$11:$B$415,"Verificar",0)</f>
        <v>0</v>
      </c>
      <c r="F2105" s="1286"/>
      <c r="G2105" s="441">
        <v>0</v>
      </c>
      <c r="H2105" s="441">
        <f t="shared" si="52"/>
        <v>633732083</v>
      </c>
      <c r="I2105" s="326"/>
      <c r="K2105" s="19"/>
    </row>
    <row r="2106" spans="1:11" x14ac:dyDescent="0.2">
      <c r="A2106" s="293"/>
      <c r="B2106" s="490"/>
      <c r="C2106" s="288"/>
      <c r="D2106" s="443">
        <f>_xlfn.XLOOKUP(B2106,Códigos!$A$421:$A$483,Códigos!$B$421:$B$483,"Verificar",0)</f>
        <v>0</v>
      </c>
      <c r="E2106" s="444">
        <f>_xlfn.XLOOKUP(C2106,Códigos!$A$11:$A$415,Códigos!$B$11:$B$415,"Verificar",0)</f>
        <v>0</v>
      </c>
      <c r="F2106" s="1286"/>
      <c r="G2106" s="441">
        <v>0</v>
      </c>
      <c r="H2106" s="441">
        <f t="shared" si="52"/>
        <v>633732083</v>
      </c>
      <c r="I2106" s="326"/>
      <c r="K2106" s="19"/>
    </row>
    <row r="2107" spans="1:11" x14ac:dyDescent="0.2">
      <c r="A2107" s="293"/>
      <c r="B2107" s="490"/>
      <c r="C2107" s="288"/>
      <c r="D2107" s="443">
        <f>_xlfn.XLOOKUP(B2107,Códigos!$A$421:$A$483,Códigos!$B$421:$B$483,"Verificar",0)</f>
        <v>0</v>
      </c>
      <c r="E2107" s="444">
        <f>_xlfn.XLOOKUP(C2107,Códigos!$A$11:$A$415,Códigos!$B$11:$B$415,"Verificar",0)</f>
        <v>0</v>
      </c>
      <c r="F2107" s="1286"/>
      <c r="G2107" s="441">
        <v>0</v>
      </c>
      <c r="H2107" s="441">
        <f t="shared" si="52"/>
        <v>633732083</v>
      </c>
      <c r="I2107" s="326"/>
      <c r="K2107" s="19"/>
    </row>
    <row r="2108" spans="1:11" x14ac:dyDescent="0.2">
      <c r="A2108" s="293"/>
      <c r="B2108" s="490"/>
      <c r="C2108" s="288"/>
      <c r="D2108" s="443">
        <f>_xlfn.XLOOKUP(B2108,Códigos!$A$421:$A$483,Códigos!$B$421:$B$483,"Verificar",0)</f>
        <v>0</v>
      </c>
      <c r="E2108" s="444">
        <f>_xlfn.XLOOKUP(C2108,Códigos!$A$11:$A$415,Códigos!$B$11:$B$415,"Verificar",0)</f>
        <v>0</v>
      </c>
      <c r="F2108" s="1286"/>
      <c r="G2108" s="441">
        <v>0</v>
      </c>
      <c r="H2108" s="441">
        <f t="shared" si="52"/>
        <v>633732083</v>
      </c>
      <c r="I2108" s="326"/>
      <c r="K2108" s="19"/>
    </row>
    <row r="2109" spans="1:11" x14ac:dyDescent="0.2">
      <c r="A2109" s="293"/>
      <c r="B2109" s="490"/>
      <c r="C2109" s="288"/>
      <c r="D2109" s="443">
        <f>_xlfn.XLOOKUP(B2109,Códigos!$A$421:$A$483,Códigos!$B$421:$B$483,"Verificar",0)</f>
        <v>0</v>
      </c>
      <c r="E2109" s="444">
        <f>_xlfn.XLOOKUP(C2109,Códigos!$A$11:$A$415,Códigos!$B$11:$B$415,"Verificar",0)</f>
        <v>0</v>
      </c>
      <c r="F2109" s="1286"/>
      <c r="G2109" s="441">
        <v>0</v>
      </c>
      <c r="H2109" s="441">
        <f t="shared" si="52"/>
        <v>633732083</v>
      </c>
      <c r="I2109" s="326"/>
      <c r="K2109" s="19"/>
    </row>
    <row r="2110" spans="1:11" x14ac:dyDescent="0.2">
      <c r="A2110" s="293"/>
      <c r="B2110" s="490"/>
      <c r="C2110" s="288"/>
      <c r="D2110" s="443">
        <f>_xlfn.XLOOKUP(B2110,Códigos!$A$421:$A$483,Códigos!$B$421:$B$483,"Verificar",0)</f>
        <v>0</v>
      </c>
      <c r="E2110" s="444">
        <f>_xlfn.XLOOKUP(C2110,Códigos!$A$11:$A$415,Códigos!$B$11:$B$415,"Verificar",0)</f>
        <v>0</v>
      </c>
      <c r="F2110" s="1286"/>
      <c r="G2110" s="441">
        <v>0</v>
      </c>
      <c r="H2110" s="441">
        <f t="shared" si="52"/>
        <v>633732083</v>
      </c>
      <c r="I2110" s="326"/>
      <c r="K2110" s="19"/>
    </row>
    <row r="2111" spans="1:11" x14ac:dyDescent="0.2">
      <c r="A2111" s="293"/>
      <c r="B2111" s="490"/>
      <c r="C2111" s="288"/>
      <c r="D2111" s="443">
        <f>_xlfn.XLOOKUP(B2111,Códigos!$A$421:$A$483,Códigos!$B$421:$B$483,"Verificar",0)</f>
        <v>0</v>
      </c>
      <c r="E2111" s="444">
        <f>_xlfn.XLOOKUP(C2111,Códigos!$A$11:$A$415,Códigos!$B$11:$B$415,"Verificar",0)</f>
        <v>0</v>
      </c>
      <c r="F2111" s="1286"/>
      <c r="G2111" s="441">
        <v>0</v>
      </c>
      <c r="H2111" s="441">
        <f t="shared" si="52"/>
        <v>633732083</v>
      </c>
      <c r="I2111" s="326"/>
      <c r="K2111" s="19"/>
    </row>
    <row r="2112" spans="1:11" x14ac:dyDescent="0.2">
      <c r="A2112" s="293"/>
      <c r="B2112" s="490"/>
      <c r="C2112" s="288"/>
      <c r="D2112" s="443">
        <f>_xlfn.XLOOKUP(B2112,Códigos!$A$421:$A$483,Códigos!$B$421:$B$483,"Verificar",0)</f>
        <v>0</v>
      </c>
      <c r="E2112" s="444">
        <f>_xlfn.XLOOKUP(C2112,Códigos!$A$11:$A$415,Códigos!$B$11:$B$415,"Verificar",0)</f>
        <v>0</v>
      </c>
      <c r="F2112" s="1286"/>
      <c r="G2112" s="441">
        <v>0</v>
      </c>
      <c r="H2112" s="441">
        <f t="shared" si="52"/>
        <v>633732083</v>
      </c>
      <c r="I2112" s="326"/>
      <c r="K2112" s="19"/>
    </row>
    <row r="2113" spans="1:11" x14ac:dyDescent="0.2">
      <c r="A2113" s="293"/>
      <c r="B2113" s="490"/>
      <c r="C2113" s="288"/>
      <c r="D2113" s="443">
        <f>_xlfn.XLOOKUP(B2113,Códigos!$A$421:$A$483,Códigos!$B$421:$B$483,"Verificar",0)</f>
        <v>0</v>
      </c>
      <c r="E2113" s="444">
        <f>_xlfn.XLOOKUP(C2113,Códigos!$A$11:$A$415,Códigos!$B$11:$B$415,"Verificar",0)</f>
        <v>0</v>
      </c>
      <c r="F2113" s="1286"/>
      <c r="G2113" s="441">
        <v>0</v>
      </c>
      <c r="H2113" s="441">
        <f t="shared" si="52"/>
        <v>633732083</v>
      </c>
      <c r="I2113" s="326"/>
      <c r="K2113" s="19"/>
    </row>
    <row r="2114" spans="1:11" x14ac:dyDescent="0.2">
      <c r="A2114" s="293"/>
      <c r="B2114" s="490"/>
      <c r="C2114" s="288"/>
      <c r="D2114" s="443">
        <f>_xlfn.XLOOKUP(B2114,Códigos!$A$421:$A$483,Códigos!$B$421:$B$483,"Verificar",0)</f>
        <v>0</v>
      </c>
      <c r="E2114" s="444">
        <f>_xlfn.XLOOKUP(C2114,Códigos!$A$11:$A$415,Códigos!$B$11:$B$415,"Verificar",0)</f>
        <v>0</v>
      </c>
      <c r="F2114" s="1286"/>
      <c r="G2114" s="441">
        <v>0</v>
      </c>
      <c r="H2114" s="441">
        <f t="shared" si="52"/>
        <v>633732083</v>
      </c>
      <c r="I2114" s="326"/>
      <c r="K2114" s="19"/>
    </row>
    <row r="2115" spans="1:11" x14ac:dyDescent="0.2">
      <c r="A2115" s="293"/>
      <c r="B2115" s="490"/>
      <c r="C2115" s="288"/>
      <c r="D2115" s="443">
        <f>_xlfn.XLOOKUP(B2115,Códigos!$A$421:$A$483,Códigos!$B$421:$B$483,"Verificar",0)</f>
        <v>0</v>
      </c>
      <c r="E2115" s="444">
        <f>_xlfn.XLOOKUP(C2115,Códigos!$A$11:$A$415,Códigos!$B$11:$B$415,"Verificar",0)</f>
        <v>0</v>
      </c>
      <c r="F2115" s="1286"/>
      <c r="G2115" s="441">
        <v>0</v>
      </c>
      <c r="H2115" s="441">
        <f t="shared" si="52"/>
        <v>633732083</v>
      </c>
      <c r="I2115" s="326"/>
      <c r="K2115" s="19"/>
    </row>
    <row r="2116" spans="1:11" x14ac:dyDescent="0.2">
      <c r="A2116" s="293"/>
      <c r="B2116" s="490"/>
      <c r="C2116" s="288"/>
      <c r="D2116" s="443">
        <f>_xlfn.XLOOKUP(B2116,Códigos!$A$421:$A$483,Códigos!$B$421:$B$483,"Verificar",0)</f>
        <v>0</v>
      </c>
      <c r="E2116" s="444">
        <f>_xlfn.XLOOKUP(C2116,Códigos!$A$11:$A$415,Códigos!$B$11:$B$415,"Verificar",0)</f>
        <v>0</v>
      </c>
      <c r="F2116" s="1286"/>
      <c r="G2116" s="441">
        <v>0</v>
      </c>
      <c r="H2116" s="441">
        <f t="shared" si="52"/>
        <v>633732083</v>
      </c>
      <c r="I2116" s="326"/>
      <c r="K2116" s="19"/>
    </row>
    <row r="2117" spans="1:11" x14ac:dyDescent="0.2">
      <c r="A2117" s="293"/>
      <c r="B2117" s="490"/>
      <c r="C2117" s="288"/>
      <c r="D2117" s="443">
        <f>_xlfn.XLOOKUP(B2117,Códigos!$A$421:$A$483,Códigos!$B$421:$B$483,"Verificar",0)</f>
        <v>0</v>
      </c>
      <c r="E2117" s="444">
        <f>_xlfn.XLOOKUP(C2117,Códigos!$A$11:$A$415,Códigos!$B$11:$B$415,"Verificar",0)</f>
        <v>0</v>
      </c>
      <c r="F2117" s="1286"/>
      <c r="G2117" s="441">
        <v>0</v>
      </c>
      <c r="H2117" s="441">
        <f t="shared" si="52"/>
        <v>633732083</v>
      </c>
      <c r="I2117" s="326"/>
      <c r="K2117" s="19"/>
    </row>
    <row r="2118" spans="1:11" x14ac:dyDescent="0.2">
      <c r="A2118" s="293"/>
      <c r="B2118" s="490"/>
      <c r="C2118" s="288"/>
      <c r="D2118" s="443">
        <f>_xlfn.XLOOKUP(B2118,Códigos!$A$421:$A$483,Códigos!$B$421:$B$483,"Verificar",0)</f>
        <v>0</v>
      </c>
      <c r="E2118" s="444">
        <f>_xlfn.XLOOKUP(C2118,Códigos!$A$11:$A$415,Códigos!$B$11:$B$415,"Verificar",0)</f>
        <v>0</v>
      </c>
      <c r="F2118" s="1286"/>
      <c r="G2118" s="441">
        <v>0</v>
      </c>
      <c r="H2118" s="441">
        <f t="shared" si="52"/>
        <v>633732083</v>
      </c>
      <c r="I2118" s="326"/>
      <c r="K2118" s="19"/>
    </row>
    <row r="2119" spans="1:11" x14ac:dyDescent="0.2">
      <c r="A2119" s="293"/>
      <c r="B2119" s="490"/>
      <c r="C2119" s="288"/>
      <c r="D2119" s="443">
        <f>_xlfn.XLOOKUP(B2119,Códigos!$A$421:$A$483,Códigos!$B$421:$B$483,"Verificar",0)</f>
        <v>0</v>
      </c>
      <c r="E2119" s="444">
        <f>_xlfn.XLOOKUP(C2119,Códigos!$A$11:$A$415,Códigos!$B$11:$B$415,"Verificar",0)</f>
        <v>0</v>
      </c>
      <c r="F2119" s="1286"/>
      <c r="G2119" s="441">
        <v>0</v>
      </c>
      <c r="H2119" s="441">
        <f t="shared" si="52"/>
        <v>633732083</v>
      </c>
      <c r="I2119" s="326"/>
      <c r="K2119" s="19"/>
    </row>
    <row r="2120" spans="1:11" x14ac:dyDescent="0.2">
      <c r="A2120" s="293"/>
      <c r="B2120" s="490"/>
      <c r="C2120" s="288"/>
      <c r="D2120" s="443">
        <f>_xlfn.XLOOKUP(B2120,Códigos!$A$421:$A$483,Códigos!$B$421:$B$483,"Verificar",0)</f>
        <v>0</v>
      </c>
      <c r="E2120" s="444">
        <f>_xlfn.XLOOKUP(C2120,Códigos!$A$11:$A$415,Códigos!$B$11:$B$415,"Verificar",0)</f>
        <v>0</v>
      </c>
      <c r="F2120" s="1286"/>
      <c r="G2120" s="441">
        <v>0</v>
      </c>
      <c r="H2120" s="441">
        <f t="shared" si="52"/>
        <v>633732083</v>
      </c>
      <c r="I2120" s="326"/>
      <c r="K2120" s="19"/>
    </row>
    <row r="2121" spans="1:11" x14ac:dyDescent="0.2">
      <c r="A2121" s="293"/>
      <c r="B2121" s="490"/>
      <c r="C2121" s="288"/>
      <c r="D2121" s="443">
        <f>_xlfn.XLOOKUP(B2121,Códigos!$A$421:$A$483,Códigos!$B$421:$B$483,"Verificar",0)</f>
        <v>0</v>
      </c>
      <c r="E2121" s="444">
        <f>_xlfn.XLOOKUP(C2121,Códigos!$A$11:$A$415,Códigos!$B$11:$B$415,"Verificar",0)</f>
        <v>0</v>
      </c>
      <c r="F2121" s="1286"/>
      <c r="G2121" s="441">
        <v>0</v>
      </c>
      <c r="H2121" s="441">
        <f t="shared" si="52"/>
        <v>633732083</v>
      </c>
      <c r="I2121" s="326"/>
      <c r="K2121" s="19"/>
    </row>
    <row r="2122" spans="1:11" x14ac:dyDescent="0.2">
      <c r="A2122" s="293"/>
      <c r="B2122" s="490"/>
      <c r="C2122" s="288"/>
      <c r="D2122" s="443">
        <f>_xlfn.XLOOKUP(B2122,Códigos!$A$421:$A$483,Códigos!$B$421:$B$483,"Verificar",0)</f>
        <v>0</v>
      </c>
      <c r="E2122" s="444">
        <f>_xlfn.XLOOKUP(C2122,Códigos!$A$11:$A$415,Códigos!$B$11:$B$415,"Verificar",0)</f>
        <v>0</v>
      </c>
      <c r="F2122" s="1286"/>
      <c r="G2122" s="441">
        <v>0</v>
      </c>
      <c r="H2122" s="441">
        <f t="shared" si="52"/>
        <v>633732083</v>
      </c>
      <c r="I2122" s="326"/>
      <c r="K2122" s="19"/>
    </row>
    <row r="2123" spans="1:11" x14ac:dyDescent="0.2">
      <c r="A2123" s="293"/>
      <c r="B2123" s="490"/>
      <c r="C2123" s="288"/>
      <c r="D2123" s="443">
        <f>_xlfn.XLOOKUP(B2123,Códigos!$A$421:$A$483,Códigos!$B$421:$B$483,"Verificar",0)</f>
        <v>0</v>
      </c>
      <c r="E2123" s="444">
        <f>_xlfn.XLOOKUP(C2123,Códigos!$A$11:$A$415,Códigos!$B$11:$B$415,"Verificar",0)</f>
        <v>0</v>
      </c>
      <c r="F2123" s="1286"/>
      <c r="G2123" s="441">
        <v>0</v>
      </c>
      <c r="H2123" s="441">
        <f t="shared" si="52"/>
        <v>633732083</v>
      </c>
      <c r="I2123" s="326"/>
      <c r="K2123" s="19"/>
    </row>
    <row r="2124" spans="1:11" x14ac:dyDescent="0.2">
      <c r="A2124" s="293"/>
      <c r="B2124" s="490"/>
      <c r="C2124" s="288"/>
      <c r="D2124" s="443">
        <f>_xlfn.XLOOKUP(B2124,Códigos!$A$421:$A$483,Códigos!$B$421:$B$483,"Verificar",0)</f>
        <v>0</v>
      </c>
      <c r="E2124" s="444">
        <f>_xlfn.XLOOKUP(C2124,Códigos!$A$11:$A$415,Códigos!$B$11:$B$415,"Verificar",0)</f>
        <v>0</v>
      </c>
      <c r="F2124" s="1286"/>
      <c r="G2124" s="441">
        <v>0</v>
      </c>
      <c r="H2124" s="441">
        <f t="shared" si="52"/>
        <v>633732083</v>
      </c>
      <c r="I2124" s="326"/>
      <c r="K2124" s="19"/>
    </row>
    <row r="2125" spans="1:11" x14ac:dyDescent="0.2">
      <c r="A2125" s="293"/>
      <c r="B2125" s="490"/>
      <c r="C2125" s="288"/>
      <c r="D2125" s="443">
        <f>_xlfn.XLOOKUP(B2125,Códigos!$A$421:$A$483,Códigos!$B$421:$B$483,"Verificar",0)</f>
        <v>0</v>
      </c>
      <c r="E2125" s="444">
        <f>_xlfn.XLOOKUP(C2125,Códigos!$A$11:$A$415,Códigos!$B$11:$B$415,"Verificar",0)</f>
        <v>0</v>
      </c>
      <c r="F2125" s="1286"/>
      <c r="G2125" s="441">
        <v>0</v>
      </c>
      <c r="H2125" s="441">
        <f t="shared" si="52"/>
        <v>633732083</v>
      </c>
      <c r="I2125" s="326"/>
      <c r="K2125" s="19"/>
    </row>
    <row r="2126" spans="1:11" x14ac:dyDescent="0.2">
      <c r="A2126" s="293"/>
      <c r="B2126" s="490"/>
      <c r="C2126" s="288"/>
      <c r="D2126" s="443">
        <f>_xlfn.XLOOKUP(B2126,Códigos!$A$421:$A$483,Códigos!$B$421:$B$483,"Verificar",0)</f>
        <v>0</v>
      </c>
      <c r="E2126" s="444">
        <f>_xlfn.XLOOKUP(C2126,Códigos!$A$11:$A$415,Códigos!$B$11:$B$415,"Verificar",0)</f>
        <v>0</v>
      </c>
      <c r="F2126" s="1286"/>
      <c r="G2126" s="441">
        <v>0</v>
      </c>
      <c r="H2126" s="441">
        <f t="shared" si="52"/>
        <v>633732083</v>
      </c>
      <c r="I2126" s="326"/>
      <c r="K2126" s="19"/>
    </row>
    <row r="2127" spans="1:11" x14ac:dyDescent="0.2">
      <c r="A2127" s="293"/>
      <c r="B2127" s="490"/>
      <c r="C2127" s="288"/>
      <c r="D2127" s="443">
        <f>_xlfn.XLOOKUP(B2127,Códigos!$A$421:$A$483,Códigos!$B$421:$B$483,"Verificar",0)</f>
        <v>0</v>
      </c>
      <c r="E2127" s="444">
        <f>_xlfn.XLOOKUP(C2127,Códigos!$A$11:$A$415,Códigos!$B$11:$B$415,"Verificar",0)</f>
        <v>0</v>
      </c>
      <c r="F2127" s="1286"/>
      <c r="G2127" s="441">
        <v>0</v>
      </c>
      <c r="H2127" s="441">
        <f t="shared" si="52"/>
        <v>633732083</v>
      </c>
      <c r="I2127" s="326"/>
      <c r="K2127" s="19"/>
    </row>
    <row r="2128" spans="1:11" x14ac:dyDescent="0.2">
      <c r="A2128" s="293"/>
      <c r="B2128" s="490"/>
      <c r="C2128" s="288"/>
      <c r="D2128" s="443">
        <f>_xlfn.XLOOKUP(B2128,Códigos!$A$421:$A$483,Códigos!$B$421:$B$483,"Verificar",0)</f>
        <v>0</v>
      </c>
      <c r="E2128" s="444">
        <f>_xlfn.XLOOKUP(C2128,Códigos!$A$11:$A$415,Códigos!$B$11:$B$415,"Verificar",0)</f>
        <v>0</v>
      </c>
      <c r="F2128" s="1286"/>
      <c r="G2128" s="441">
        <v>0</v>
      </c>
      <c r="H2128" s="441">
        <f t="shared" si="52"/>
        <v>633732083</v>
      </c>
      <c r="I2128" s="326"/>
      <c r="K2128" s="19"/>
    </row>
    <row r="2129" spans="1:11" x14ac:dyDescent="0.2">
      <c r="A2129" s="293"/>
      <c r="B2129" s="490"/>
      <c r="C2129" s="288"/>
      <c r="D2129" s="443">
        <f>_xlfn.XLOOKUP(B2129,Códigos!$A$421:$A$483,Códigos!$B$421:$B$483,"Verificar",0)</f>
        <v>0</v>
      </c>
      <c r="E2129" s="444">
        <f>_xlfn.XLOOKUP(C2129,Códigos!$A$11:$A$415,Códigos!$B$11:$B$415,"Verificar",0)</f>
        <v>0</v>
      </c>
      <c r="F2129" s="1286"/>
      <c r="G2129" s="441">
        <v>0</v>
      </c>
      <c r="H2129" s="441">
        <f t="shared" si="52"/>
        <v>633732083</v>
      </c>
      <c r="I2129" s="326"/>
      <c r="K2129" s="19"/>
    </row>
    <row r="2130" spans="1:11" x14ac:dyDescent="0.2">
      <c r="A2130" s="293"/>
      <c r="B2130" s="490"/>
      <c r="C2130" s="288"/>
      <c r="D2130" s="443">
        <f>_xlfn.XLOOKUP(B2130,Códigos!$A$421:$A$483,Códigos!$B$421:$B$483,"Verificar",0)</f>
        <v>0</v>
      </c>
      <c r="E2130" s="444">
        <f>_xlfn.XLOOKUP(C2130,Códigos!$A$11:$A$415,Códigos!$B$11:$B$415,"Verificar",0)</f>
        <v>0</v>
      </c>
      <c r="F2130" s="1286"/>
      <c r="G2130" s="441">
        <v>0</v>
      </c>
      <c r="H2130" s="441">
        <f t="shared" si="52"/>
        <v>633732083</v>
      </c>
      <c r="I2130" s="326"/>
      <c r="K2130" s="19"/>
    </row>
    <row r="2131" spans="1:11" x14ac:dyDescent="0.2">
      <c r="A2131" s="293"/>
      <c r="B2131" s="490"/>
      <c r="C2131" s="288"/>
      <c r="D2131" s="443">
        <f>_xlfn.XLOOKUP(B2131,Códigos!$A$421:$A$483,Códigos!$B$421:$B$483,"Verificar",0)</f>
        <v>0</v>
      </c>
      <c r="E2131" s="444">
        <f>_xlfn.XLOOKUP(C2131,Códigos!$A$11:$A$415,Códigos!$B$11:$B$415,"Verificar",0)</f>
        <v>0</v>
      </c>
      <c r="F2131" s="1286"/>
      <c r="G2131" s="441">
        <v>0</v>
      </c>
      <c r="H2131" s="441">
        <f t="shared" si="52"/>
        <v>633732083</v>
      </c>
      <c r="I2131" s="326"/>
      <c r="K2131" s="19"/>
    </row>
    <row r="2132" spans="1:11" x14ac:dyDescent="0.2">
      <c r="A2132" s="293"/>
      <c r="B2132" s="490"/>
      <c r="C2132" s="288"/>
      <c r="D2132" s="443">
        <f>_xlfn.XLOOKUP(B2132,Códigos!$A$421:$A$483,Códigos!$B$421:$B$483,"Verificar",0)</f>
        <v>0</v>
      </c>
      <c r="E2132" s="444">
        <f>_xlfn.XLOOKUP(C2132,Códigos!$A$11:$A$415,Códigos!$B$11:$B$415,"Verificar",0)</f>
        <v>0</v>
      </c>
      <c r="F2132" s="1286"/>
      <c r="G2132" s="441">
        <v>0</v>
      </c>
      <c r="H2132" s="441">
        <f t="shared" si="52"/>
        <v>633732083</v>
      </c>
      <c r="I2132" s="326"/>
      <c r="K2132" s="19"/>
    </row>
    <row r="2133" spans="1:11" x14ac:dyDescent="0.2">
      <c r="A2133" s="293"/>
      <c r="B2133" s="490"/>
      <c r="C2133" s="288"/>
      <c r="D2133" s="443">
        <f>_xlfn.XLOOKUP(B2133,Códigos!$A$421:$A$483,Códigos!$B$421:$B$483,"Verificar",0)</f>
        <v>0</v>
      </c>
      <c r="E2133" s="444">
        <f>_xlfn.XLOOKUP(C2133,Códigos!$A$11:$A$415,Códigos!$B$11:$B$415,"Verificar",0)</f>
        <v>0</v>
      </c>
      <c r="F2133" s="1286"/>
      <c r="G2133" s="441">
        <v>0</v>
      </c>
      <c r="H2133" s="441">
        <f t="shared" ref="H2133:H2196" si="54">+H2132+G2133</f>
        <v>633732083</v>
      </c>
      <c r="I2133" s="326"/>
      <c r="K2133" s="19"/>
    </row>
    <row r="2134" spans="1:11" x14ac:dyDescent="0.2">
      <c r="A2134" s="293"/>
      <c r="B2134" s="490"/>
      <c r="C2134" s="288"/>
      <c r="D2134" s="443">
        <f>_xlfn.XLOOKUP(B2134,Códigos!$A$421:$A$483,Códigos!$B$421:$B$483,"Verificar",0)</f>
        <v>0</v>
      </c>
      <c r="E2134" s="444">
        <f>_xlfn.XLOOKUP(C2134,Códigos!$A$11:$A$415,Códigos!$B$11:$B$415,"Verificar",0)</f>
        <v>0</v>
      </c>
      <c r="F2134" s="1286"/>
      <c r="G2134" s="441">
        <v>0</v>
      </c>
      <c r="H2134" s="441">
        <f t="shared" si="54"/>
        <v>633732083</v>
      </c>
      <c r="I2134" s="326"/>
      <c r="K2134" s="19"/>
    </row>
    <row r="2135" spans="1:11" x14ac:dyDescent="0.2">
      <c r="A2135" s="293"/>
      <c r="B2135" s="490"/>
      <c r="C2135" s="288"/>
      <c r="D2135" s="443">
        <f>_xlfn.XLOOKUP(B2135,Códigos!$A$421:$A$483,Códigos!$B$421:$B$483,"Verificar",0)</f>
        <v>0</v>
      </c>
      <c r="E2135" s="444">
        <f>_xlfn.XLOOKUP(C2135,Códigos!$A$11:$A$415,Códigos!$B$11:$B$415,"Verificar",0)</f>
        <v>0</v>
      </c>
      <c r="F2135" s="1286"/>
      <c r="G2135" s="441">
        <v>0</v>
      </c>
      <c r="H2135" s="441">
        <f t="shared" si="54"/>
        <v>633732083</v>
      </c>
      <c r="I2135" s="326"/>
      <c r="K2135" s="19"/>
    </row>
    <row r="2136" spans="1:11" x14ac:dyDescent="0.2">
      <c r="A2136" s="293"/>
      <c r="B2136" s="490"/>
      <c r="C2136" s="288"/>
      <c r="D2136" s="443">
        <f>_xlfn.XLOOKUP(B2136,Códigos!$A$421:$A$483,Códigos!$B$421:$B$483,"Verificar",0)</f>
        <v>0</v>
      </c>
      <c r="E2136" s="444">
        <f>_xlfn.XLOOKUP(C2136,Códigos!$A$11:$A$415,Códigos!$B$11:$B$415,"Verificar",0)</f>
        <v>0</v>
      </c>
      <c r="F2136" s="1286"/>
      <c r="G2136" s="441">
        <v>0</v>
      </c>
      <c r="H2136" s="441">
        <f t="shared" si="54"/>
        <v>633732083</v>
      </c>
      <c r="I2136" s="326"/>
      <c r="K2136" s="19"/>
    </row>
    <row r="2137" spans="1:11" x14ac:dyDescent="0.2">
      <c r="A2137" s="293"/>
      <c r="B2137" s="490"/>
      <c r="C2137" s="288"/>
      <c r="D2137" s="443">
        <f>_xlfn.XLOOKUP(B2137,Códigos!$A$421:$A$483,Códigos!$B$421:$B$483,"Verificar",0)</f>
        <v>0</v>
      </c>
      <c r="E2137" s="444">
        <f>_xlfn.XLOOKUP(C2137,Códigos!$A$11:$A$415,Códigos!$B$11:$B$415,"Verificar",0)</f>
        <v>0</v>
      </c>
      <c r="F2137" s="1286"/>
      <c r="G2137" s="441">
        <v>0</v>
      </c>
      <c r="H2137" s="441">
        <f t="shared" si="54"/>
        <v>633732083</v>
      </c>
      <c r="I2137" s="326"/>
      <c r="K2137" s="19"/>
    </row>
    <row r="2138" spans="1:11" x14ac:dyDescent="0.2">
      <c r="A2138" s="293"/>
      <c r="B2138" s="490"/>
      <c r="C2138" s="288"/>
      <c r="D2138" s="443">
        <f>_xlfn.XLOOKUP(B2138,Códigos!$A$421:$A$483,Códigos!$B$421:$B$483,"Verificar",0)</f>
        <v>0</v>
      </c>
      <c r="E2138" s="444">
        <f>_xlfn.XLOOKUP(C2138,Códigos!$A$11:$A$415,Códigos!$B$11:$B$415,"Verificar",0)</f>
        <v>0</v>
      </c>
      <c r="F2138" s="1286"/>
      <c r="G2138" s="441">
        <v>0</v>
      </c>
      <c r="H2138" s="441">
        <f t="shared" si="54"/>
        <v>633732083</v>
      </c>
      <c r="I2138" s="326"/>
      <c r="K2138" s="19"/>
    </row>
    <row r="2139" spans="1:11" x14ac:dyDescent="0.2">
      <c r="A2139" s="293"/>
      <c r="B2139" s="490"/>
      <c r="C2139" s="288"/>
      <c r="D2139" s="443">
        <f>_xlfn.XLOOKUP(B2139,Códigos!$A$421:$A$483,Códigos!$B$421:$B$483,"Verificar",0)</f>
        <v>0</v>
      </c>
      <c r="E2139" s="444">
        <f>_xlfn.XLOOKUP(C2139,Códigos!$A$11:$A$415,Códigos!$B$11:$B$415,"Verificar",0)</f>
        <v>0</v>
      </c>
      <c r="F2139" s="1286"/>
      <c r="G2139" s="441">
        <v>0</v>
      </c>
      <c r="H2139" s="441">
        <f t="shared" si="54"/>
        <v>633732083</v>
      </c>
      <c r="I2139" s="326"/>
      <c r="K2139" s="19"/>
    </row>
    <row r="2140" spans="1:11" x14ac:dyDescent="0.2">
      <c r="A2140" s="293"/>
      <c r="B2140" s="490"/>
      <c r="C2140" s="288"/>
      <c r="D2140" s="443">
        <f>_xlfn.XLOOKUP(B2140,Códigos!$A$421:$A$483,Códigos!$B$421:$B$483,"Verificar",0)</f>
        <v>0</v>
      </c>
      <c r="E2140" s="444">
        <f>_xlfn.XLOOKUP(C2140,Códigos!$A$11:$A$415,Códigos!$B$11:$B$415,"Verificar",0)</f>
        <v>0</v>
      </c>
      <c r="F2140" s="1286"/>
      <c r="G2140" s="441">
        <v>0</v>
      </c>
      <c r="H2140" s="441">
        <f t="shared" si="54"/>
        <v>633732083</v>
      </c>
      <c r="I2140" s="326"/>
      <c r="K2140" s="19"/>
    </row>
    <row r="2141" spans="1:11" x14ac:dyDescent="0.2">
      <c r="A2141" s="293"/>
      <c r="B2141" s="490"/>
      <c r="C2141" s="288"/>
      <c r="D2141" s="443">
        <f>_xlfn.XLOOKUP(B2141,Códigos!$A$421:$A$483,Códigos!$B$421:$B$483,"Verificar",0)</f>
        <v>0</v>
      </c>
      <c r="E2141" s="444">
        <f>_xlfn.XLOOKUP(C2141,Códigos!$A$11:$A$415,Códigos!$B$11:$B$415,"Verificar",0)</f>
        <v>0</v>
      </c>
      <c r="F2141" s="1286"/>
      <c r="G2141" s="441">
        <v>0</v>
      </c>
      <c r="H2141" s="441">
        <f t="shared" si="54"/>
        <v>633732083</v>
      </c>
      <c r="I2141" s="326"/>
      <c r="K2141" s="19"/>
    </row>
    <row r="2142" spans="1:11" x14ac:dyDescent="0.2">
      <c r="A2142" s="293"/>
      <c r="B2142" s="490"/>
      <c r="C2142" s="288"/>
      <c r="D2142" s="443">
        <f>_xlfn.XLOOKUP(B2142,Códigos!$A$421:$A$483,Códigos!$B$421:$B$483,"Verificar",0)</f>
        <v>0</v>
      </c>
      <c r="E2142" s="444">
        <f>_xlfn.XLOOKUP(C2142,Códigos!$A$11:$A$415,Códigos!$B$11:$B$415,"Verificar",0)</f>
        <v>0</v>
      </c>
      <c r="F2142" s="1286"/>
      <c r="G2142" s="441">
        <v>0</v>
      </c>
      <c r="H2142" s="441">
        <f t="shared" si="54"/>
        <v>633732083</v>
      </c>
      <c r="I2142" s="326"/>
      <c r="K2142" s="19"/>
    </row>
    <row r="2143" spans="1:11" x14ac:dyDescent="0.2">
      <c r="A2143" s="293"/>
      <c r="B2143" s="490"/>
      <c r="C2143" s="288"/>
      <c r="D2143" s="443">
        <f>_xlfn.XLOOKUP(B2143,Códigos!$A$421:$A$483,Códigos!$B$421:$B$483,"Verificar",0)</f>
        <v>0</v>
      </c>
      <c r="E2143" s="444">
        <f>_xlfn.XLOOKUP(C2143,Códigos!$A$11:$A$415,Códigos!$B$11:$B$415,"Verificar",0)</f>
        <v>0</v>
      </c>
      <c r="F2143" s="1286"/>
      <c r="G2143" s="441">
        <v>0</v>
      </c>
      <c r="H2143" s="441">
        <f t="shared" si="54"/>
        <v>633732083</v>
      </c>
      <c r="I2143" s="326"/>
      <c r="K2143" s="19"/>
    </row>
    <row r="2144" spans="1:11" x14ac:dyDescent="0.2">
      <c r="A2144" s="293"/>
      <c r="B2144" s="490"/>
      <c r="C2144" s="288"/>
      <c r="D2144" s="443">
        <f>_xlfn.XLOOKUP(B2144,Códigos!$A$421:$A$483,Códigos!$B$421:$B$483,"Verificar",0)</f>
        <v>0</v>
      </c>
      <c r="E2144" s="444">
        <f>_xlfn.XLOOKUP(C2144,Códigos!$A$11:$A$415,Códigos!$B$11:$B$415,"Verificar",0)</f>
        <v>0</v>
      </c>
      <c r="F2144" s="1286"/>
      <c r="G2144" s="441">
        <v>0</v>
      </c>
      <c r="H2144" s="441">
        <f t="shared" si="54"/>
        <v>633732083</v>
      </c>
      <c r="I2144" s="326"/>
      <c r="K2144" s="19"/>
    </row>
    <row r="2145" spans="1:11" x14ac:dyDescent="0.2">
      <c r="A2145" s="293"/>
      <c r="B2145" s="490"/>
      <c r="C2145" s="288"/>
      <c r="D2145" s="443">
        <f>_xlfn.XLOOKUP(B2145,Códigos!$A$421:$A$483,Códigos!$B$421:$B$483,"Verificar",0)</f>
        <v>0</v>
      </c>
      <c r="E2145" s="444">
        <f>_xlfn.XLOOKUP(C2145,Códigos!$A$11:$A$415,Códigos!$B$11:$B$415,"Verificar",0)</f>
        <v>0</v>
      </c>
      <c r="F2145" s="1286"/>
      <c r="G2145" s="441">
        <v>0</v>
      </c>
      <c r="H2145" s="441">
        <f t="shared" si="54"/>
        <v>633732083</v>
      </c>
      <c r="I2145" s="326"/>
      <c r="K2145" s="19"/>
    </row>
    <row r="2146" spans="1:11" x14ac:dyDescent="0.2">
      <c r="A2146" s="293"/>
      <c r="B2146" s="490"/>
      <c r="C2146" s="288"/>
      <c r="D2146" s="443">
        <f>_xlfn.XLOOKUP(B2146,Códigos!$A$421:$A$483,Códigos!$B$421:$B$483,"Verificar",0)</f>
        <v>0</v>
      </c>
      <c r="E2146" s="444">
        <f>_xlfn.XLOOKUP(C2146,Códigos!$A$11:$A$415,Códigos!$B$11:$B$415,"Verificar",0)</f>
        <v>0</v>
      </c>
      <c r="F2146" s="1286"/>
      <c r="G2146" s="441">
        <v>0</v>
      </c>
      <c r="H2146" s="441">
        <f t="shared" si="54"/>
        <v>633732083</v>
      </c>
      <c r="I2146" s="326"/>
      <c r="K2146" s="19"/>
    </row>
    <row r="2147" spans="1:11" x14ac:dyDescent="0.2">
      <c r="A2147" s="293"/>
      <c r="B2147" s="490"/>
      <c r="C2147" s="288"/>
      <c r="D2147" s="443">
        <f>_xlfn.XLOOKUP(B2147,Códigos!$A$421:$A$483,Códigos!$B$421:$B$483,"Verificar",0)</f>
        <v>0</v>
      </c>
      <c r="E2147" s="444">
        <f>_xlfn.XLOOKUP(C2147,Códigos!$A$11:$A$415,Códigos!$B$11:$B$415,"Verificar",0)</f>
        <v>0</v>
      </c>
      <c r="F2147" s="1286"/>
      <c r="G2147" s="441">
        <v>0</v>
      </c>
      <c r="H2147" s="441">
        <f t="shared" si="54"/>
        <v>633732083</v>
      </c>
      <c r="I2147" s="326"/>
      <c r="K2147" s="19"/>
    </row>
    <row r="2148" spans="1:11" x14ac:dyDescent="0.2">
      <c r="A2148" s="293"/>
      <c r="B2148" s="490"/>
      <c r="C2148" s="288"/>
      <c r="D2148" s="443">
        <f>_xlfn.XLOOKUP(B2148,Códigos!$A$421:$A$483,Códigos!$B$421:$B$483,"Verificar",0)</f>
        <v>0</v>
      </c>
      <c r="E2148" s="444">
        <f>_xlfn.XLOOKUP(C2148,Códigos!$A$11:$A$415,Códigos!$B$11:$B$415,"Verificar",0)</f>
        <v>0</v>
      </c>
      <c r="F2148" s="1286"/>
      <c r="G2148" s="441">
        <v>0</v>
      </c>
      <c r="H2148" s="441">
        <f t="shared" si="54"/>
        <v>633732083</v>
      </c>
      <c r="I2148" s="326"/>
      <c r="K2148" s="19"/>
    </row>
    <row r="2149" spans="1:11" x14ac:dyDescent="0.2">
      <c r="A2149" s="293"/>
      <c r="B2149" s="490"/>
      <c r="C2149" s="288"/>
      <c r="D2149" s="443">
        <f>_xlfn.XLOOKUP(B2149,Códigos!$A$421:$A$483,Códigos!$B$421:$B$483,"Verificar",0)</f>
        <v>0</v>
      </c>
      <c r="E2149" s="444">
        <f>_xlfn.XLOOKUP(C2149,Códigos!$A$11:$A$415,Códigos!$B$11:$B$415,"Verificar",0)</f>
        <v>0</v>
      </c>
      <c r="F2149" s="1286"/>
      <c r="G2149" s="441">
        <v>0</v>
      </c>
      <c r="H2149" s="441">
        <f t="shared" si="54"/>
        <v>633732083</v>
      </c>
      <c r="I2149" s="326"/>
      <c r="K2149" s="19"/>
    </row>
    <row r="2150" spans="1:11" x14ac:dyDescent="0.2">
      <c r="A2150" s="293"/>
      <c r="B2150" s="490"/>
      <c r="C2150" s="288"/>
      <c r="D2150" s="443">
        <f>_xlfn.XLOOKUP(B2150,Códigos!$A$421:$A$483,Códigos!$B$421:$B$483,"Verificar",0)</f>
        <v>0</v>
      </c>
      <c r="E2150" s="444">
        <f>_xlfn.XLOOKUP(C2150,Códigos!$A$11:$A$415,Códigos!$B$11:$B$415,"Verificar",0)</f>
        <v>0</v>
      </c>
      <c r="F2150" s="1286"/>
      <c r="G2150" s="441">
        <v>0</v>
      </c>
      <c r="H2150" s="441">
        <f t="shared" si="54"/>
        <v>633732083</v>
      </c>
      <c r="I2150" s="326"/>
      <c r="K2150" s="19"/>
    </row>
    <row r="2151" spans="1:11" x14ac:dyDescent="0.2">
      <c r="A2151" s="293"/>
      <c r="B2151" s="490"/>
      <c r="C2151" s="288"/>
      <c r="D2151" s="443">
        <f>_xlfn.XLOOKUP(B2151,Códigos!$A$421:$A$483,Códigos!$B$421:$B$483,"Verificar",0)</f>
        <v>0</v>
      </c>
      <c r="E2151" s="444">
        <f>_xlfn.XLOOKUP(C2151,Códigos!$A$11:$A$415,Códigos!$B$11:$B$415,"Verificar",0)</f>
        <v>0</v>
      </c>
      <c r="F2151" s="1286"/>
      <c r="G2151" s="441">
        <v>0</v>
      </c>
      <c r="H2151" s="441">
        <f t="shared" si="54"/>
        <v>633732083</v>
      </c>
      <c r="I2151" s="326"/>
      <c r="K2151" s="19"/>
    </row>
    <row r="2152" spans="1:11" x14ac:dyDescent="0.2">
      <c r="A2152" s="293"/>
      <c r="B2152" s="490"/>
      <c r="C2152" s="288"/>
      <c r="D2152" s="443">
        <f>_xlfn.XLOOKUP(B2152,Códigos!$A$421:$A$483,Códigos!$B$421:$B$483,"Verificar",0)</f>
        <v>0</v>
      </c>
      <c r="E2152" s="444">
        <f>_xlfn.XLOOKUP(C2152,Códigos!$A$11:$A$415,Códigos!$B$11:$B$415,"Verificar",0)</f>
        <v>0</v>
      </c>
      <c r="F2152" s="1286"/>
      <c r="G2152" s="441">
        <v>0</v>
      </c>
      <c r="H2152" s="441">
        <f t="shared" si="54"/>
        <v>633732083</v>
      </c>
      <c r="I2152" s="326"/>
      <c r="K2152" s="19"/>
    </row>
    <row r="2153" spans="1:11" x14ac:dyDescent="0.2">
      <c r="A2153" s="293"/>
      <c r="B2153" s="490"/>
      <c r="C2153" s="288"/>
      <c r="D2153" s="443">
        <f>_xlfn.XLOOKUP(B2153,Códigos!$A$421:$A$483,Códigos!$B$421:$B$483,"Verificar",0)</f>
        <v>0</v>
      </c>
      <c r="E2153" s="444">
        <f>_xlfn.XLOOKUP(C2153,Códigos!$A$11:$A$415,Códigos!$B$11:$B$415,"Verificar",0)</f>
        <v>0</v>
      </c>
      <c r="F2153" s="1286"/>
      <c r="G2153" s="441">
        <v>0</v>
      </c>
      <c r="H2153" s="441">
        <f t="shared" si="54"/>
        <v>633732083</v>
      </c>
      <c r="I2153" s="326"/>
      <c r="K2153" s="19"/>
    </row>
    <row r="2154" spans="1:11" x14ac:dyDescent="0.2">
      <c r="A2154" s="293"/>
      <c r="B2154" s="490"/>
      <c r="C2154" s="288"/>
      <c r="D2154" s="443">
        <f>_xlfn.XLOOKUP(B2154,Códigos!$A$421:$A$483,Códigos!$B$421:$B$483,"Verificar",0)</f>
        <v>0</v>
      </c>
      <c r="E2154" s="444">
        <f>_xlfn.XLOOKUP(C2154,Códigos!$A$11:$A$415,Códigos!$B$11:$B$415,"Verificar",0)</f>
        <v>0</v>
      </c>
      <c r="F2154" s="1286"/>
      <c r="G2154" s="441">
        <v>0</v>
      </c>
      <c r="H2154" s="441">
        <f t="shared" si="54"/>
        <v>633732083</v>
      </c>
      <c r="I2154" s="326"/>
      <c r="K2154" s="19"/>
    </row>
    <row r="2155" spans="1:11" x14ac:dyDescent="0.2">
      <c r="A2155" s="293"/>
      <c r="B2155" s="490"/>
      <c r="C2155" s="288"/>
      <c r="D2155" s="443">
        <f>_xlfn.XLOOKUP(B2155,Códigos!$A$421:$A$483,Códigos!$B$421:$B$483,"Verificar",0)</f>
        <v>0</v>
      </c>
      <c r="E2155" s="444">
        <f>_xlfn.XLOOKUP(C2155,Códigos!$A$11:$A$415,Códigos!$B$11:$B$415,"Verificar",0)</f>
        <v>0</v>
      </c>
      <c r="F2155" s="1286"/>
      <c r="G2155" s="441">
        <v>0</v>
      </c>
      <c r="H2155" s="441">
        <f t="shared" si="54"/>
        <v>633732083</v>
      </c>
      <c r="I2155" s="326"/>
      <c r="K2155" s="19"/>
    </row>
    <row r="2156" spans="1:11" x14ac:dyDescent="0.2">
      <c r="A2156" s="293"/>
      <c r="B2156" s="490"/>
      <c r="C2156" s="288"/>
      <c r="D2156" s="443">
        <f>_xlfn.XLOOKUP(B2156,Códigos!$A$421:$A$483,Códigos!$B$421:$B$483,"Verificar",0)</f>
        <v>0</v>
      </c>
      <c r="E2156" s="444">
        <f>_xlfn.XLOOKUP(C2156,Códigos!$A$11:$A$415,Códigos!$B$11:$B$415,"Verificar",0)</f>
        <v>0</v>
      </c>
      <c r="F2156" s="1286"/>
      <c r="G2156" s="441">
        <v>0</v>
      </c>
      <c r="H2156" s="441">
        <f t="shared" si="54"/>
        <v>633732083</v>
      </c>
      <c r="I2156" s="326"/>
      <c r="K2156" s="19"/>
    </row>
    <row r="2157" spans="1:11" x14ac:dyDescent="0.2">
      <c r="A2157" s="293"/>
      <c r="B2157" s="490"/>
      <c r="C2157" s="288"/>
      <c r="D2157" s="443">
        <f>_xlfn.XLOOKUP(B2157,Códigos!$A$421:$A$483,Códigos!$B$421:$B$483,"Verificar",0)</f>
        <v>0</v>
      </c>
      <c r="E2157" s="444">
        <f>_xlfn.XLOOKUP(C2157,Códigos!$A$11:$A$415,Códigos!$B$11:$B$415,"Verificar",0)</f>
        <v>0</v>
      </c>
      <c r="F2157" s="1286"/>
      <c r="G2157" s="441">
        <v>0</v>
      </c>
      <c r="H2157" s="441">
        <f t="shared" si="54"/>
        <v>633732083</v>
      </c>
      <c r="I2157" s="326"/>
      <c r="K2157" s="19"/>
    </row>
    <row r="2158" spans="1:11" x14ac:dyDescent="0.2">
      <c r="A2158" s="293"/>
      <c r="B2158" s="490"/>
      <c r="C2158" s="288"/>
      <c r="D2158" s="443">
        <f>_xlfn.XLOOKUP(B2158,Códigos!$A$421:$A$483,Códigos!$B$421:$B$483,"Verificar",0)</f>
        <v>0</v>
      </c>
      <c r="E2158" s="444">
        <f>_xlfn.XLOOKUP(C2158,Códigos!$A$11:$A$415,Códigos!$B$11:$B$415,"Verificar",0)</f>
        <v>0</v>
      </c>
      <c r="F2158" s="1286"/>
      <c r="G2158" s="441">
        <v>0</v>
      </c>
      <c r="H2158" s="441">
        <f t="shared" si="54"/>
        <v>633732083</v>
      </c>
      <c r="I2158" s="326"/>
      <c r="K2158" s="19"/>
    </row>
    <row r="2159" spans="1:11" x14ac:dyDescent="0.2">
      <c r="A2159" s="293"/>
      <c r="B2159" s="490"/>
      <c r="C2159" s="288"/>
      <c r="D2159" s="443">
        <f>_xlfn.XLOOKUP(B2159,Códigos!$A$421:$A$483,Códigos!$B$421:$B$483,"Verificar",0)</f>
        <v>0</v>
      </c>
      <c r="E2159" s="444">
        <f>_xlfn.XLOOKUP(C2159,Códigos!$A$11:$A$415,Códigos!$B$11:$B$415,"Verificar",0)</f>
        <v>0</v>
      </c>
      <c r="F2159" s="1286"/>
      <c r="G2159" s="441">
        <v>0</v>
      </c>
      <c r="H2159" s="441">
        <f t="shared" si="54"/>
        <v>633732083</v>
      </c>
      <c r="I2159" s="326"/>
      <c r="K2159" s="19"/>
    </row>
    <row r="2160" spans="1:11" x14ac:dyDescent="0.2">
      <c r="A2160" s="293"/>
      <c r="B2160" s="490"/>
      <c r="C2160" s="288"/>
      <c r="D2160" s="443">
        <f>_xlfn.XLOOKUP(B2160,Códigos!$A$421:$A$483,Códigos!$B$421:$B$483,"Verificar",0)</f>
        <v>0</v>
      </c>
      <c r="E2160" s="444">
        <f>_xlfn.XLOOKUP(C2160,Códigos!$A$11:$A$415,Códigos!$B$11:$B$415,"Verificar",0)</f>
        <v>0</v>
      </c>
      <c r="F2160" s="1286"/>
      <c r="G2160" s="441">
        <v>0</v>
      </c>
      <c r="H2160" s="441">
        <f t="shared" si="54"/>
        <v>633732083</v>
      </c>
      <c r="I2160" s="326"/>
      <c r="K2160" s="19"/>
    </row>
    <row r="2161" spans="1:11" x14ac:dyDescent="0.2">
      <c r="A2161" s="293"/>
      <c r="B2161" s="490"/>
      <c r="C2161" s="288"/>
      <c r="D2161" s="443">
        <f>_xlfn.XLOOKUP(B2161,Códigos!$A$421:$A$483,Códigos!$B$421:$B$483,"Verificar",0)</f>
        <v>0</v>
      </c>
      <c r="E2161" s="444">
        <f>_xlfn.XLOOKUP(C2161,Códigos!$A$11:$A$415,Códigos!$B$11:$B$415,"Verificar",0)</f>
        <v>0</v>
      </c>
      <c r="F2161" s="1286"/>
      <c r="G2161" s="441">
        <v>0</v>
      </c>
      <c r="H2161" s="441">
        <f t="shared" si="54"/>
        <v>633732083</v>
      </c>
      <c r="I2161" s="326"/>
      <c r="K2161" s="19"/>
    </row>
    <row r="2162" spans="1:11" x14ac:dyDescent="0.2">
      <c r="A2162" s="293"/>
      <c r="B2162" s="490"/>
      <c r="C2162" s="288"/>
      <c r="D2162" s="443">
        <f>_xlfn.XLOOKUP(B2162,Códigos!$A$421:$A$483,Códigos!$B$421:$B$483,"Verificar",0)</f>
        <v>0</v>
      </c>
      <c r="E2162" s="444">
        <f>_xlfn.XLOOKUP(C2162,Códigos!$A$11:$A$415,Códigos!$B$11:$B$415,"Verificar",0)</f>
        <v>0</v>
      </c>
      <c r="F2162" s="1286"/>
      <c r="G2162" s="441">
        <v>0</v>
      </c>
      <c r="H2162" s="441">
        <f t="shared" si="54"/>
        <v>633732083</v>
      </c>
      <c r="I2162" s="326"/>
      <c r="K2162" s="19"/>
    </row>
    <row r="2163" spans="1:11" x14ac:dyDescent="0.2">
      <c r="A2163" s="293"/>
      <c r="B2163" s="490"/>
      <c r="C2163" s="288"/>
      <c r="D2163" s="443">
        <f>_xlfn.XLOOKUP(B2163,Códigos!$A$421:$A$483,Códigos!$B$421:$B$483,"Verificar",0)</f>
        <v>0</v>
      </c>
      <c r="E2163" s="444">
        <f>_xlfn.XLOOKUP(C2163,Códigos!$A$11:$A$415,Códigos!$B$11:$B$415,"Verificar",0)</f>
        <v>0</v>
      </c>
      <c r="F2163" s="1286"/>
      <c r="G2163" s="441">
        <v>0</v>
      </c>
      <c r="H2163" s="441">
        <f t="shared" si="54"/>
        <v>633732083</v>
      </c>
      <c r="I2163" s="326"/>
      <c r="K2163" s="19"/>
    </row>
    <row r="2164" spans="1:11" x14ac:dyDescent="0.2">
      <c r="A2164" s="293"/>
      <c r="B2164" s="490"/>
      <c r="C2164" s="288"/>
      <c r="D2164" s="443">
        <f>_xlfn.XLOOKUP(B2164,Códigos!$A$421:$A$483,Códigos!$B$421:$B$483,"Verificar",0)</f>
        <v>0</v>
      </c>
      <c r="E2164" s="444">
        <f>_xlfn.XLOOKUP(C2164,Códigos!$A$11:$A$415,Códigos!$B$11:$B$415,"Verificar",0)</f>
        <v>0</v>
      </c>
      <c r="F2164" s="1286"/>
      <c r="G2164" s="441">
        <v>0</v>
      </c>
      <c r="H2164" s="441">
        <f t="shared" si="54"/>
        <v>633732083</v>
      </c>
      <c r="I2164" s="326"/>
      <c r="K2164" s="19"/>
    </row>
    <row r="2165" spans="1:11" x14ac:dyDescent="0.2">
      <c r="A2165" s="293"/>
      <c r="B2165" s="490"/>
      <c r="C2165" s="288"/>
      <c r="D2165" s="443">
        <f>_xlfn.XLOOKUP(B2165,Códigos!$A$421:$A$483,Códigos!$B$421:$B$483,"Verificar",0)</f>
        <v>0</v>
      </c>
      <c r="E2165" s="444">
        <f>_xlfn.XLOOKUP(C2165,Códigos!$A$11:$A$415,Códigos!$B$11:$B$415,"Verificar",0)</f>
        <v>0</v>
      </c>
      <c r="F2165" s="1286"/>
      <c r="G2165" s="441">
        <v>0</v>
      </c>
      <c r="H2165" s="441">
        <f t="shared" si="54"/>
        <v>633732083</v>
      </c>
      <c r="I2165" s="326"/>
      <c r="K2165" s="19"/>
    </row>
    <row r="2166" spans="1:11" x14ac:dyDescent="0.2">
      <c r="A2166" s="293"/>
      <c r="B2166" s="490"/>
      <c r="C2166" s="288"/>
      <c r="D2166" s="443">
        <f>_xlfn.XLOOKUP(B2166,Códigos!$A$421:$A$483,Códigos!$B$421:$B$483,"Verificar",0)</f>
        <v>0</v>
      </c>
      <c r="E2166" s="444">
        <f>_xlfn.XLOOKUP(C2166,Códigos!$A$11:$A$415,Códigos!$B$11:$B$415,"Verificar",0)</f>
        <v>0</v>
      </c>
      <c r="F2166" s="1286"/>
      <c r="G2166" s="441">
        <v>0</v>
      </c>
      <c r="H2166" s="441">
        <f t="shared" si="54"/>
        <v>633732083</v>
      </c>
      <c r="I2166" s="326"/>
      <c r="K2166" s="19"/>
    </row>
    <row r="2167" spans="1:11" x14ac:dyDescent="0.2">
      <c r="A2167" s="293"/>
      <c r="B2167" s="490"/>
      <c r="C2167" s="288"/>
      <c r="D2167" s="443">
        <f>_xlfn.XLOOKUP(B2167,Códigos!$A$421:$A$483,Códigos!$B$421:$B$483,"Verificar",0)</f>
        <v>0</v>
      </c>
      <c r="E2167" s="444">
        <f>_xlfn.XLOOKUP(C2167,Códigos!$A$11:$A$415,Códigos!$B$11:$B$415,"Verificar",0)</f>
        <v>0</v>
      </c>
      <c r="F2167" s="1286"/>
      <c r="G2167" s="441">
        <v>0</v>
      </c>
      <c r="H2167" s="441">
        <f t="shared" si="54"/>
        <v>633732083</v>
      </c>
      <c r="I2167" s="326"/>
      <c r="K2167" s="19"/>
    </row>
    <row r="2168" spans="1:11" x14ac:dyDescent="0.2">
      <c r="A2168" s="293"/>
      <c r="B2168" s="490"/>
      <c r="C2168" s="288"/>
      <c r="D2168" s="443">
        <f>_xlfn.XLOOKUP(B2168,Códigos!$A$421:$A$483,Códigos!$B$421:$B$483,"Verificar",0)</f>
        <v>0</v>
      </c>
      <c r="E2168" s="444">
        <f>_xlfn.XLOOKUP(C2168,Códigos!$A$11:$A$415,Códigos!$B$11:$B$415,"Verificar",0)</f>
        <v>0</v>
      </c>
      <c r="F2168" s="1286"/>
      <c r="G2168" s="441">
        <v>0</v>
      </c>
      <c r="H2168" s="441">
        <f t="shared" si="54"/>
        <v>633732083</v>
      </c>
      <c r="I2168" s="326"/>
      <c r="K2168" s="19"/>
    </row>
    <row r="2169" spans="1:11" x14ac:dyDescent="0.2">
      <c r="A2169" s="293"/>
      <c r="B2169" s="490"/>
      <c r="C2169" s="288"/>
      <c r="D2169" s="443">
        <f>_xlfn.XLOOKUP(B2169,Códigos!$A$421:$A$483,Códigos!$B$421:$B$483,"Verificar",0)</f>
        <v>0</v>
      </c>
      <c r="E2169" s="444">
        <f>_xlfn.XLOOKUP(C2169,Códigos!$A$11:$A$415,Códigos!$B$11:$B$415,"Verificar",0)</f>
        <v>0</v>
      </c>
      <c r="F2169" s="1286"/>
      <c r="G2169" s="441">
        <v>0</v>
      </c>
      <c r="H2169" s="441">
        <f t="shared" si="54"/>
        <v>633732083</v>
      </c>
      <c r="I2169" s="326"/>
      <c r="K2169" s="19"/>
    </row>
    <row r="2170" spans="1:11" x14ac:dyDescent="0.2">
      <c r="A2170" s="293"/>
      <c r="B2170" s="490"/>
      <c r="C2170" s="288"/>
      <c r="D2170" s="443">
        <f>_xlfn.XLOOKUP(B2170,Códigos!$A$421:$A$483,Códigos!$B$421:$B$483,"Verificar",0)</f>
        <v>0</v>
      </c>
      <c r="E2170" s="444">
        <f>_xlfn.XLOOKUP(C2170,Códigos!$A$11:$A$415,Códigos!$B$11:$B$415,"Verificar",0)</f>
        <v>0</v>
      </c>
      <c r="F2170" s="1286"/>
      <c r="G2170" s="441">
        <v>0</v>
      </c>
      <c r="H2170" s="441">
        <f t="shared" si="54"/>
        <v>633732083</v>
      </c>
      <c r="I2170" s="326"/>
      <c r="K2170" s="19"/>
    </row>
    <row r="2171" spans="1:11" x14ac:dyDescent="0.2">
      <c r="A2171" s="293"/>
      <c r="B2171" s="490"/>
      <c r="C2171" s="288"/>
      <c r="D2171" s="443">
        <f>_xlfn.XLOOKUP(B2171,Códigos!$A$421:$A$483,Códigos!$B$421:$B$483,"Verificar",0)</f>
        <v>0</v>
      </c>
      <c r="E2171" s="444">
        <f>_xlfn.XLOOKUP(C2171,Códigos!$A$11:$A$415,Códigos!$B$11:$B$415,"Verificar",0)</f>
        <v>0</v>
      </c>
      <c r="F2171" s="1286"/>
      <c r="G2171" s="441">
        <v>0</v>
      </c>
      <c r="H2171" s="441">
        <f t="shared" si="54"/>
        <v>633732083</v>
      </c>
      <c r="I2171" s="326"/>
      <c r="K2171" s="19"/>
    </row>
    <row r="2172" spans="1:11" x14ac:dyDescent="0.2">
      <c r="A2172" s="293"/>
      <c r="B2172" s="490"/>
      <c r="C2172" s="288"/>
      <c r="D2172" s="443">
        <f>_xlfn.XLOOKUP(B2172,Códigos!$A$421:$A$483,Códigos!$B$421:$B$483,"Verificar",0)</f>
        <v>0</v>
      </c>
      <c r="E2172" s="444">
        <f>_xlfn.XLOOKUP(C2172,Códigos!$A$11:$A$415,Códigos!$B$11:$B$415,"Verificar",0)</f>
        <v>0</v>
      </c>
      <c r="F2172" s="1286"/>
      <c r="G2172" s="441">
        <v>0</v>
      </c>
      <c r="H2172" s="441">
        <f t="shared" si="54"/>
        <v>633732083</v>
      </c>
      <c r="I2172" s="326"/>
      <c r="K2172" s="19"/>
    </row>
    <row r="2173" spans="1:11" x14ac:dyDescent="0.2">
      <c r="A2173" s="293"/>
      <c r="B2173" s="490"/>
      <c r="C2173" s="288"/>
      <c r="D2173" s="443">
        <f>_xlfn.XLOOKUP(B2173,Códigos!$A$421:$A$483,Códigos!$B$421:$B$483,"Verificar",0)</f>
        <v>0</v>
      </c>
      <c r="E2173" s="444">
        <f>_xlfn.XLOOKUP(C2173,Códigos!$A$11:$A$415,Códigos!$B$11:$B$415,"Verificar",0)</f>
        <v>0</v>
      </c>
      <c r="F2173" s="1286"/>
      <c r="G2173" s="441">
        <v>0</v>
      </c>
      <c r="H2173" s="441">
        <f t="shared" si="54"/>
        <v>633732083</v>
      </c>
      <c r="I2173" s="326"/>
      <c r="K2173" s="19"/>
    </row>
    <row r="2174" spans="1:11" x14ac:dyDescent="0.2">
      <c r="A2174" s="293"/>
      <c r="B2174" s="490"/>
      <c r="C2174" s="288"/>
      <c r="D2174" s="443">
        <f>_xlfn.XLOOKUP(B2174,Códigos!$A$421:$A$483,Códigos!$B$421:$B$483,"Verificar",0)</f>
        <v>0</v>
      </c>
      <c r="E2174" s="444">
        <f>_xlfn.XLOOKUP(C2174,Códigos!$A$11:$A$415,Códigos!$B$11:$B$415,"Verificar",0)</f>
        <v>0</v>
      </c>
      <c r="F2174" s="1286"/>
      <c r="G2174" s="441">
        <v>0</v>
      </c>
      <c r="H2174" s="441">
        <f t="shared" si="54"/>
        <v>633732083</v>
      </c>
      <c r="I2174" s="326"/>
      <c r="K2174" s="19"/>
    </row>
    <row r="2175" spans="1:11" x14ac:dyDescent="0.2">
      <c r="A2175" s="293"/>
      <c r="B2175" s="490"/>
      <c r="C2175" s="288"/>
      <c r="D2175" s="443">
        <f>_xlfn.XLOOKUP(B2175,Códigos!$A$421:$A$483,Códigos!$B$421:$B$483,"Verificar",0)</f>
        <v>0</v>
      </c>
      <c r="E2175" s="444">
        <f>_xlfn.XLOOKUP(C2175,Códigos!$A$11:$A$415,Códigos!$B$11:$B$415,"Verificar",0)</f>
        <v>0</v>
      </c>
      <c r="F2175" s="1286"/>
      <c r="G2175" s="441">
        <v>0</v>
      </c>
      <c r="H2175" s="441">
        <f t="shared" si="54"/>
        <v>633732083</v>
      </c>
      <c r="I2175" s="326"/>
      <c r="K2175" s="19"/>
    </row>
    <row r="2176" spans="1:11" x14ac:dyDescent="0.2">
      <c r="A2176" s="293"/>
      <c r="B2176" s="490"/>
      <c r="C2176" s="288"/>
      <c r="D2176" s="443">
        <f>_xlfn.XLOOKUP(B2176,Códigos!$A$421:$A$483,Códigos!$B$421:$B$483,"Verificar",0)</f>
        <v>0</v>
      </c>
      <c r="E2176" s="444">
        <f>_xlfn.XLOOKUP(C2176,Códigos!$A$11:$A$415,Códigos!$B$11:$B$415,"Verificar",0)</f>
        <v>0</v>
      </c>
      <c r="F2176" s="1286"/>
      <c r="G2176" s="441">
        <v>0</v>
      </c>
      <c r="H2176" s="441">
        <f t="shared" si="54"/>
        <v>633732083</v>
      </c>
      <c r="I2176" s="326"/>
      <c r="K2176" s="19"/>
    </row>
    <row r="2177" spans="1:11" x14ac:dyDescent="0.2">
      <c r="A2177" s="293"/>
      <c r="B2177" s="490"/>
      <c r="C2177" s="288"/>
      <c r="D2177" s="443">
        <f>_xlfn.XLOOKUP(B2177,Códigos!$A$421:$A$483,Códigos!$B$421:$B$483,"Verificar",0)</f>
        <v>0</v>
      </c>
      <c r="E2177" s="444">
        <f>_xlfn.XLOOKUP(C2177,Códigos!$A$11:$A$415,Códigos!$B$11:$B$415,"Verificar",0)</f>
        <v>0</v>
      </c>
      <c r="F2177" s="1286"/>
      <c r="G2177" s="441">
        <v>0</v>
      </c>
      <c r="H2177" s="441">
        <f t="shared" si="54"/>
        <v>633732083</v>
      </c>
      <c r="I2177" s="326"/>
      <c r="K2177" s="19"/>
    </row>
    <row r="2178" spans="1:11" x14ac:dyDescent="0.2">
      <c r="A2178" s="293"/>
      <c r="B2178" s="490"/>
      <c r="C2178" s="288"/>
      <c r="D2178" s="443">
        <f>_xlfn.XLOOKUP(B2178,Códigos!$A$421:$A$483,Códigos!$B$421:$B$483,"Verificar",0)</f>
        <v>0</v>
      </c>
      <c r="E2178" s="444">
        <f>_xlfn.XLOOKUP(C2178,Códigos!$A$11:$A$415,Códigos!$B$11:$B$415,"Verificar",0)</f>
        <v>0</v>
      </c>
      <c r="F2178" s="1286"/>
      <c r="G2178" s="441">
        <v>0</v>
      </c>
      <c r="H2178" s="441">
        <f t="shared" si="54"/>
        <v>633732083</v>
      </c>
      <c r="I2178" s="326"/>
      <c r="K2178" s="19"/>
    </row>
    <row r="2179" spans="1:11" x14ac:dyDescent="0.2">
      <c r="A2179" s="293"/>
      <c r="B2179" s="490"/>
      <c r="C2179" s="288"/>
      <c r="D2179" s="443">
        <f>_xlfn.XLOOKUP(B2179,Códigos!$A$421:$A$483,Códigos!$B$421:$B$483,"Verificar",0)</f>
        <v>0</v>
      </c>
      <c r="E2179" s="444">
        <f>_xlfn.XLOOKUP(C2179,Códigos!$A$11:$A$415,Códigos!$B$11:$B$415,"Verificar",0)</f>
        <v>0</v>
      </c>
      <c r="F2179" s="1286"/>
      <c r="G2179" s="441">
        <v>0</v>
      </c>
      <c r="H2179" s="441">
        <f t="shared" si="54"/>
        <v>633732083</v>
      </c>
      <c r="I2179" s="326"/>
      <c r="K2179" s="19"/>
    </row>
    <row r="2180" spans="1:11" x14ac:dyDescent="0.2">
      <c r="A2180" s="293"/>
      <c r="B2180" s="490"/>
      <c r="C2180" s="288"/>
      <c r="D2180" s="443">
        <f>_xlfn.XLOOKUP(B2180,Códigos!$A$421:$A$483,Códigos!$B$421:$B$483,"Verificar",0)</f>
        <v>0</v>
      </c>
      <c r="E2180" s="444">
        <f>_xlfn.XLOOKUP(C2180,Códigos!$A$11:$A$415,Códigos!$B$11:$B$415,"Verificar",0)</f>
        <v>0</v>
      </c>
      <c r="F2180" s="1286"/>
      <c r="G2180" s="441">
        <v>0</v>
      </c>
      <c r="H2180" s="441">
        <f t="shared" si="54"/>
        <v>633732083</v>
      </c>
      <c r="I2180" s="326"/>
      <c r="K2180" s="19"/>
    </row>
    <row r="2181" spans="1:11" x14ac:dyDescent="0.2">
      <c r="A2181" s="293"/>
      <c r="B2181" s="490"/>
      <c r="C2181" s="288"/>
      <c r="D2181" s="443">
        <f>_xlfn.XLOOKUP(B2181,Códigos!$A$421:$A$483,Códigos!$B$421:$B$483,"Verificar",0)</f>
        <v>0</v>
      </c>
      <c r="E2181" s="444">
        <f>_xlfn.XLOOKUP(C2181,Códigos!$A$11:$A$415,Códigos!$B$11:$B$415,"Verificar",0)</f>
        <v>0</v>
      </c>
      <c r="F2181" s="1286"/>
      <c r="G2181" s="441">
        <v>0</v>
      </c>
      <c r="H2181" s="441">
        <f t="shared" si="54"/>
        <v>633732083</v>
      </c>
      <c r="I2181" s="326"/>
      <c r="K2181" s="19"/>
    </row>
    <row r="2182" spans="1:11" x14ac:dyDescent="0.2">
      <c r="A2182" s="293"/>
      <c r="B2182" s="490"/>
      <c r="C2182" s="288"/>
      <c r="D2182" s="443">
        <f>_xlfn.XLOOKUP(B2182,Códigos!$A$421:$A$483,Códigos!$B$421:$B$483,"Verificar",0)</f>
        <v>0</v>
      </c>
      <c r="E2182" s="444">
        <f>_xlfn.XLOOKUP(C2182,Códigos!$A$11:$A$415,Códigos!$B$11:$B$415,"Verificar",0)</f>
        <v>0</v>
      </c>
      <c r="F2182" s="1286"/>
      <c r="G2182" s="441">
        <v>0</v>
      </c>
      <c r="H2182" s="441">
        <f t="shared" si="54"/>
        <v>633732083</v>
      </c>
      <c r="I2182" s="326"/>
      <c r="K2182" s="19"/>
    </row>
    <row r="2183" spans="1:11" x14ac:dyDescent="0.2">
      <c r="A2183" s="293"/>
      <c r="B2183" s="490"/>
      <c r="C2183" s="288"/>
      <c r="D2183" s="443">
        <f>_xlfn.XLOOKUP(B2183,Códigos!$A$421:$A$483,Códigos!$B$421:$B$483,"Verificar",0)</f>
        <v>0</v>
      </c>
      <c r="E2183" s="444">
        <f>_xlfn.XLOOKUP(C2183,Códigos!$A$11:$A$415,Códigos!$B$11:$B$415,"Verificar",0)</f>
        <v>0</v>
      </c>
      <c r="F2183" s="1286"/>
      <c r="G2183" s="441">
        <v>0</v>
      </c>
      <c r="H2183" s="441">
        <f t="shared" si="54"/>
        <v>633732083</v>
      </c>
      <c r="I2183" s="326"/>
      <c r="K2183" s="19"/>
    </row>
    <row r="2184" spans="1:11" x14ac:dyDescent="0.2">
      <c r="A2184" s="293"/>
      <c r="B2184" s="490"/>
      <c r="C2184" s="288"/>
      <c r="D2184" s="443">
        <f>_xlfn.XLOOKUP(B2184,Códigos!$A$421:$A$483,Códigos!$B$421:$B$483,"Verificar",0)</f>
        <v>0</v>
      </c>
      <c r="E2184" s="444">
        <f>_xlfn.XLOOKUP(C2184,Códigos!$A$11:$A$415,Códigos!$B$11:$B$415,"Verificar",0)</f>
        <v>0</v>
      </c>
      <c r="F2184" s="1286"/>
      <c r="G2184" s="441">
        <v>0</v>
      </c>
      <c r="H2184" s="441">
        <f t="shared" si="54"/>
        <v>633732083</v>
      </c>
      <c r="I2184" s="326"/>
      <c r="K2184" s="19"/>
    </row>
    <row r="2185" spans="1:11" x14ac:dyDescent="0.2">
      <c r="A2185" s="293"/>
      <c r="B2185" s="490"/>
      <c r="C2185" s="288"/>
      <c r="D2185" s="443">
        <f>_xlfn.XLOOKUP(B2185,Códigos!$A$421:$A$483,Códigos!$B$421:$B$483,"Verificar",0)</f>
        <v>0</v>
      </c>
      <c r="E2185" s="444">
        <f>_xlfn.XLOOKUP(C2185,Códigos!$A$11:$A$415,Códigos!$B$11:$B$415,"Verificar",0)</f>
        <v>0</v>
      </c>
      <c r="F2185" s="1286"/>
      <c r="G2185" s="441">
        <v>0</v>
      </c>
      <c r="H2185" s="441">
        <f t="shared" si="54"/>
        <v>633732083</v>
      </c>
      <c r="I2185" s="326"/>
      <c r="K2185" s="19"/>
    </row>
    <row r="2186" spans="1:11" x14ac:dyDescent="0.2">
      <c r="A2186" s="293"/>
      <c r="B2186" s="490"/>
      <c r="C2186" s="288"/>
      <c r="D2186" s="443">
        <f>_xlfn.XLOOKUP(B2186,Códigos!$A$421:$A$483,Códigos!$B$421:$B$483,"Verificar",0)</f>
        <v>0</v>
      </c>
      <c r="E2186" s="444">
        <f>_xlfn.XLOOKUP(C2186,Códigos!$A$11:$A$415,Códigos!$B$11:$B$415,"Verificar",0)</f>
        <v>0</v>
      </c>
      <c r="F2186" s="1286"/>
      <c r="G2186" s="441">
        <v>0</v>
      </c>
      <c r="H2186" s="441">
        <f t="shared" si="54"/>
        <v>633732083</v>
      </c>
      <c r="I2186" s="326"/>
      <c r="K2186" s="19"/>
    </row>
    <row r="2187" spans="1:11" x14ac:dyDescent="0.2">
      <c r="A2187" s="293"/>
      <c r="B2187" s="490"/>
      <c r="C2187" s="288"/>
      <c r="D2187" s="443">
        <f>_xlfn.XLOOKUP(B2187,Códigos!$A$421:$A$483,Códigos!$B$421:$B$483,"Verificar",0)</f>
        <v>0</v>
      </c>
      <c r="E2187" s="444">
        <f>_xlfn.XLOOKUP(C2187,Códigos!$A$11:$A$415,Códigos!$B$11:$B$415,"Verificar",0)</f>
        <v>0</v>
      </c>
      <c r="F2187" s="1286"/>
      <c r="G2187" s="441">
        <v>0</v>
      </c>
      <c r="H2187" s="441">
        <f t="shared" si="54"/>
        <v>633732083</v>
      </c>
      <c r="I2187" s="326"/>
      <c r="K2187" s="19"/>
    </row>
    <row r="2188" spans="1:11" x14ac:dyDescent="0.2">
      <c r="A2188" s="293"/>
      <c r="B2188" s="490"/>
      <c r="C2188" s="288"/>
      <c r="D2188" s="443">
        <f>_xlfn.XLOOKUP(B2188,Códigos!$A$421:$A$483,Códigos!$B$421:$B$483,"Verificar",0)</f>
        <v>0</v>
      </c>
      <c r="E2188" s="444">
        <f>_xlfn.XLOOKUP(C2188,Códigos!$A$11:$A$415,Códigos!$B$11:$B$415,"Verificar",0)</f>
        <v>0</v>
      </c>
      <c r="F2188" s="1286"/>
      <c r="G2188" s="441">
        <v>0</v>
      </c>
      <c r="H2188" s="441">
        <f t="shared" si="54"/>
        <v>633732083</v>
      </c>
      <c r="I2188" s="326"/>
      <c r="K2188" s="19"/>
    </row>
    <row r="2189" spans="1:11" x14ac:dyDescent="0.2">
      <c r="A2189" s="293"/>
      <c r="B2189" s="490"/>
      <c r="C2189" s="288"/>
      <c r="D2189" s="443">
        <f>_xlfn.XLOOKUP(B2189,Códigos!$A$421:$A$483,Códigos!$B$421:$B$483,"Verificar",0)</f>
        <v>0</v>
      </c>
      <c r="E2189" s="444">
        <f>_xlfn.XLOOKUP(C2189,Códigos!$A$11:$A$415,Códigos!$B$11:$B$415,"Verificar",0)</f>
        <v>0</v>
      </c>
      <c r="F2189" s="1286"/>
      <c r="G2189" s="441">
        <v>0</v>
      </c>
      <c r="H2189" s="441">
        <f t="shared" si="54"/>
        <v>633732083</v>
      </c>
      <c r="I2189" s="326"/>
      <c r="K2189" s="19"/>
    </row>
    <row r="2190" spans="1:11" x14ac:dyDescent="0.2">
      <c r="A2190" s="293"/>
      <c r="B2190" s="490"/>
      <c r="C2190" s="288"/>
      <c r="D2190" s="443">
        <f>_xlfn.XLOOKUP(B2190,Códigos!$A$421:$A$483,Códigos!$B$421:$B$483,"Verificar",0)</f>
        <v>0</v>
      </c>
      <c r="E2190" s="444">
        <f>_xlfn.XLOOKUP(C2190,Códigos!$A$11:$A$415,Códigos!$B$11:$B$415,"Verificar",0)</f>
        <v>0</v>
      </c>
      <c r="F2190" s="1286"/>
      <c r="G2190" s="441">
        <v>0</v>
      </c>
      <c r="H2190" s="441">
        <f t="shared" si="54"/>
        <v>633732083</v>
      </c>
      <c r="I2190" s="326"/>
      <c r="K2190" s="19"/>
    </row>
    <row r="2191" spans="1:11" x14ac:dyDescent="0.2">
      <c r="A2191" s="293"/>
      <c r="B2191" s="490"/>
      <c r="C2191" s="288"/>
      <c r="D2191" s="443">
        <f>_xlfn.XLOOKUP(B2191,Códigos!$A$421:$A$483,Códigos!$B$421:$B$483,"Verificar",0)</f>
        <v>0</v>
      </c>
      <c r="E2191" s="444">
        <f>_xlfn.XLOOKUP(C2191,Códigos!$A$11:$A$415,Códigos!$B$11:$B$415,"Verificar",0)</f>
        <v>0</v>
      </c>
      <c r="F2191" s="1286"/>
      <c r="G2191" s="441">
        <v>0</v>
      </c>
      <c r="H2191" s="441">
        <f t="shared" si="54"/>
        <v>633732083</v>
      </c>
      <c r="I2191" s="326"/>
      <c r="K2191" s="19"/>
    </row>
    <row r="2192" spans="1:11" x14ac:dyDescent="0.2">
      <c r="A2192" s="293"/>
      <c r="B2192" s="490"/>
      <c r="C2192" s="288"/>
      <c r="D2192" s="443">
        <f>_xlfn.XLOOKUP(B2192,Códigos!$A$421:$A$483,Códigos!$B$421:$B$483,"Verificar",0)</f>
        <v>0</v>
      </c>
      <c r="E2192" s="444">
        <f>_xlfn.XLOOKUP(C2192,Códigos!$A$11:$A$415,Códigos!$B$11:$B$415,"Verificar",0)</f>
        <v>0</v>
      </c>
      <c r="F2192" s="1286"/>
      <c r="G2192" s="441">
        <v>0</v>
      </c>
      <c r="H2192" s="441">
        <f t="shared" si="54"/>
        <v>633732083</v>
      </c>
      <c r="I2192" s="326"/>
      <c r="K2192" s="19"/>
    </row>
    <row r="2193" spans="1:11" x14ac:dyDescent="0.2">
      <c r="A2193" s="293"/>
      <c r="B2193" s="490"/>
      <c r="C2193" s="288"/>
      <c r="D2193" s="443">
        <f>_xlfn.XLOOKUP(B2193,Códigos!$A$421:$A$483,Códigos!$B$421:$B$483,"Verificar",0)</f>
        <v>0</v>
      </c>
      <c r="E2193" s="444">
        <f>_xlfn.XLOOKUP(C2193,Códigos!$A$11:$A$415,Códigos!$B$11:$B$415,"Verificar",0)</f>
        <v>0</v>
      </c>
      <c r="F2193" s="1286"/>
      <c r="G2193" s="441">
        <v>0</v>
      </c>
      <c r="H2193" s="441">
        <f t="shared" si="54"/>
        <v>633732083</v>
      </c>
      <c r="I2193" s="326"/>
      <c r="K2193" s="19"/>
    </row>
    <row r="2194" spans="1:11" x14ac:dyDescent="0.2">
      <c r="A2194" s="293"/>
      <c r="B2194" s="490"/>
      <c r="C2194" s="288"/>
      <c r="D2194" s="443">
        <f>_xlfn.XLOOKUP(B2194,Códigos!$A$421:$A$483,Códigos!$B$421:$B$483,"Verificar",0)</f>
        <v>0</v>
      </c>
      <c r="E2194" s="444">
        <f>_xlfn.XLOOKUP(C2194,Códigos!$A$11:$A$415,Códigos!$B$11:$B$415,"Verificar",0)</f>
        <v>0</v>
      </c>
      <c r="F2194" s="1286"/>
      <c r="G2194" s="441">
        <v>0</v>
      </c>
      <c r="H2194" s="441">
        <f t="shared" si="54"/>
        <v>633732083</v>
      </c>
      <c r="I2194" s="326"/>
      <c r="K2194" s="19"/>
    </row>
    <row r="2195" spans="1:11" x14ac:dyDescent="0.2">
      <c r="A2195" s="293"/>
      <c r="B2195" s="490"/>
      <c r="C2195" s="288"/>
      <c r="D2195" s="443">
        <f>_xlfn.XLOOKUP(B2195,Códigos!$A$421:$A$483,Códigos!$B$421:$B$483,"Verificar",0)</f>
        <v>0</v>
      </c>
      <c r="E2195" s="444">
        <f>_xlfn.XLOOKUP(C2195,Códigos!$A$11:$A$415,Códigos!$B$11:$B$415,"Verificar",0)</f>
        <v>0</v>
      </c>
      <c r="F2195" s="1286"/>
      <c r="G2195" s="441">
        <v>0</v>
      </c>
      <c r="H2195" s="441">
        <f t="shared" si="54"/>
        <v>633732083</v>
      </c>
      <c r="I2195" s="326"/>
      <c r="K2195" s="19"/>
    </row>
    <row r="2196" spans="1:11" x14ac:dyDescent="0.2">
      <c r="A2196" s="293"/>
      <c r="B2196" s="490"/>
      <c r="C2196" s="288"/>
      <c r="D2196" s="443">
        <f>_xlfn.XLOOKUP(B2196,Códigos!$A$421:$A$483,Códigos!$B$421:$B$483,"Verificar",0)</f>
        <v>0</v>
      </c>
      <c r="E2196" s="444">
        <f>_xlfn.XLOOKUP(C2196,Códigos!$A$11:$A$415,Códigos!$B$11:$B$415,"Verificar",0)</f>
        <v>0</v>
      </c>
      <c r="F2196" s="1286"/>
      <c r="G2196" s="441">
        <v>0</v>
      </c>
      <c r="H2196" s="441">
        <f t="shared" si="54"/>
        <v>633732083</v>
      </c>
      <c r="I2196" s="326"/>
      <c r="K2196" s="19"/>
    </row>
    <row r="2197" spans="1:11" x14ac:dyDescent="0.2">
      <c r="A2197" s="293"/>
      <c r="B2197" s="490"/>
      <c r="C2197" s="288"/>
      <c r="D2197" s="443">
        <f>_xlfn.XLOOKUP(B2197,Códigos!$A$421:$A$483,Códigos!$B$421:$B$483,"Verificar",0)</f>
        <v>0</v>
      </c>
      <c r="E2197" s="444">
        <f>_xlfn.XLOOKUP(C2197,Códigos!$A$11:$A$415,Códigos!$B$11:$B$415,"Verificar",0)</f>
        <v>0</v>
      </c>
      <c r="F2197" s="1286"/>
      <c r="G2197" s="441">
        <v>0</v>
      </c>
      <c r="H2197" s="441">
        <f t="shared" ref="H2197:H2249" si="55">+H2196+G2197</f>
        <v>633732083</v>
      </c>
      <c r="I2197" s="326"/>
      <c r="K2197" s="19"/>
    </row>
    <row r="2198" spans="1:11" x14ac:dyDescent="0.2">
      <c r="A2198" s="293"/>
      <c r="B2198" s="490"/>
      <c r="C2198" s="288"/>
      <c r="D2198" s="443">
        <f>_xlfn.XLOOKUP(B2198,Códigos!$A$421:$A$483,Códigos!$B$421:$B$483,"Verificar",0)</f>
        <v>0</v>
      </c>
      <c r="E2198" s="444">
        <f>_xlfn.XLOOKUP(C2198,Códigos!$A$11:$A$415,Códigos!$B$11:$B$415,"Verificar",0)</f>
        <v>0</v>
      </c>
      <c r="F2198" s="1286"/>
      <c r="G2198" s="441">
        <v>0</v>
      </c>
      <c r="H2198" s="441">
        <f t="shared" si="55"/>
        <v>633732083</v>
      </c>
      <c r="I2198" s="326"/>
      <c r="K2198" s="19"/>
    </row>
    <row r="2199" spans="1:11" x14ac:dyDescent="0.2">
      <c r="A2199" s="293"/>
      <c r="B2199" s="490"/>
      <c r="C2199" s="288"/>
      <c r="D2199" s="443">
        <f>_xlfn.XLOOKUP(B2199,Códigos!$A$421:$A$483,Códigos!$B$421:$B$483,"Verificar",0)</f>
        <v>0</v>
      </c>
      <c r="E2199" s="444">
        <f>_xlfn.XLOOKUP(C2199,Códigos!$A$11:$A$415,Códigos!$B$11:$B$415,"Verificar",0)</f>
        <v>0</v>
      </c>
      <c r="F2199" s="1286"/>
      <c r="G2199" s="441">
        <v>0</v>
      </c>
      <c r="H2199" s="441">
        <f t="shared" si="55"/>
        <v>633732083</v>
      </c>
      <c r="I2199" s="326"/>
      <c r="K2199" s="19"/>
    </row>
    <row r="2200" spans="1:11" x14ac:dyDescent="0.2">
      <c r="A2200" s="293"/>
      <c r="B2200" s="490"/>
      <c r="C2200" s="288"/>
      <c r="D2200" s="443">
        <f>_xlfn.XLOOKUP(B2200,Códigos!$A$421:$A$483,Códigos!$B$421:$B$483,"Verificar",0)</f>
        <v>0</v>
      </c>
      <c r="E2200" s="444">
        <f>_xlfn.XLOOKUP(C2200,Códigos!$A$11:$A$415,Códigos!$B$11:$B$415,"Verificar",0)</f>
        <v>0</v>
      </c>
      <c r="F2200" s="1286"/>
      <c r="G2200" s="441">
        <v>0</v>
      </c>
      <c r="H2200" s="441">
        <f t="shared" si="55"/>
        <v>633732083</v>
      </c>
      <c r="I2200" s="326"/>
      <c r="K2200" s="19"/>
    </row>
    <row r="2201" spans="1:11" x14ac:dyDescent="0.2">
      <c r="A2201" s="293"/>
      <c r="B2201" s="490"/>
      <c r="C2201" s="288"/>
      <c r="D2201" s="443">
        <f>_xlfn.XLOOKUP(B2201,Códigos!$A$421:$A$483,Códigos!$B$421:$B$483,"Verificar",0)</f>
        <v>0</v>
      </c>
      <c r="E2201" s="444">
        <f>_xlfn.XLOOKUP(C2201,Códigos!$A$11:$A$415,Códigos!$B$11:$B$415,"Verificar",0)</f>
        <v>0</v>
      </c>
      <c r="F2201" s="1286"/>
      <c r="G2201" s="441">
        <v>0</v>
      </c>
      <c r="H2201" s="441">
        <f t="shared" si="55"/>
        <v>633732083</v>
      </c>
      <c r="I2201" s="326"/>
      <c r="K2201" s="19"/>
    </row>
    <row r="2202" spans="1:11" x14ac:dyDescent="0.2">
      <c r="A2202" s="293"/>
      <c r="B2202" s="490"/>
      <c r="C2202" s="288"/>
      <c r="D2202" s="443">
        <f>_xlfn.XLOOKUP(B2202,Códigos!$A$421:$A$483,Códigos!$B$421:$B$483,"Verificar",0)</f>
        <v>0</v>
      </c>
      <c r="E2202" s="444">
        <f>_xlfn.XLOOKUP(C2202,Códigos!$A$11:$A$415,Códigos!$B$11:$B$415,"Verificar",0)</f>
        <v>0</v>
      </c>
      <c r="F2202" s="1286"/>
      <c r="G2202" s="441">
        <v>0</v>
      </c>
      <c r="H2202" s="441">
        <f t="shared" si="55"/>
        <v>633732083</v>
      </c>
      <c r="I2202" s="326"/>
      <c r="K2202" s="19"/>
    </row>
    <row r="2203" spans="1:11" x14ac:dyDescent="0.2">
      <c r="A2203" s="293"/>
      <c r="B2203" s="490"/>
      <c r="C2203" s="288"/>
      <c r="D2203" s="443">
        <f>_xlfn.XLOOKUP(B2203,Códigos!$A$421:$A$483,Códigos!$B$421:$B$483,"Verificar",0)</f>
        <v>0</v>
      </c>
      <c r="E2203" s="444">
        <f>_xlfn.XLOOKUP(C2203,Códigos!$A$11:$A$415,Códigos!$B$11:$B$415,"Verificar",0)</f>
        <v>0</v>
      </c>
      <c r="F2203" s="1286"/>
      <c r="G2203" s="441">
        <v>0</v>
      </c>
      <c r="H2203" s="441">
        <f t="shared" si="55"/>
        <v>633732083</v>
      </c>
      <c r="I2203" s="326"/>
      <c r="K2203" s="19"/>
    </row>
    <row r="2204" spans="1:11" x14ac:dyDescent="0.2">
      <c r="A2204" s="293"/>
      <c r="B2204" s="490"/>
      <c r="C2204" s="288"/>
      <c r="D2204" s="443">
        <f>_xlfn.XLOOKUP(B2204,Códigos!$A$421:$A$483,Códigos!$B$421:$B$483,"Verificar",0)</f>
        <v>0</v>
      </c>
      <c r="E2204" s="444">
        <f>_xlfn.XLOOKUP(C2204,Códigos!$A$11:$A$415,Códigos!$B$11:$B$415,"Verificar",0)</f>
        <v>0</v>
      </c>
      <c r="F2204" s="1286"/>
      <c r="G2204" s="441">
        <v>0</v>
      </c>
      <c r="H2204" s="441">
        <f t="shared" si="55"/>
        <v>633732083</v>
      </c>
      <c r="I2204" s="326"/>
      <c r="K2204" s="19"/>
    </row>
    <row r="2205" spans="1:11" x14ac:dyDescent="0.2">
      <c r="A2205" s="293"/>
      <c r="B2205" s="490"/>
      <c r="C2205" s="288"/>
      <c r="D2205" s="443">
        <f>_xlfn.XLOOKUP(B2205,Códigos!$A$421:$A$483,Códigos!$B$421:$B$483,"Verificar",0)</f>
        <v>0</v>
      </c>
      <c r="E2205" s="444">
        <f>_xlfn.XLOOKUP(C2205,Códigos!$A$11:$A$415,Códigos!$B$11:$B$415,"Verificar",0)</f>
        <v>0</v>
      </c>
      <c r="F2205" s="1286"/>
      <c r="G2205" s="441">
        <v>0</v>
      </c>
      <c r="H2205" s="441">
        <f t="shared" si="55"/>
        <v>633732083</v>
      </c>
      <c r="I2205" s="326"/>
      <c r="K2205" s="19"/>
    </row>
    <row r="2206" spans="1:11" x14ac:dyDescent="0.2">
      <c r="A2206" s="293"/>
      <c r="B2206" s="490"/>
      <c r="C2206" s="288"/>
      <c r="D2206" s="443">
        <f>_xlfn.XLOOKUP(B2206,Códigos!$A$421:$A$483,Códigos!$B$421:$B$483,"Verificar",0)</f>
        <v>0</v>
      </c>
      <c r="E2206" s="444">
        <f>_xlfn.XLOOKUP(C2206,Códigos!$A$11:$A$415,Códigos!$B$11:$B$415,"Verificar",0)</f>
        <v>0</v>
      </c>
      <c r="F2206" s="1286"/>
      <c r="G2206" s="441">
        <v>0</v>
      </c>
      <c r="H2206" s="441">
        <f t="shared" si="55"/>
        <v>633732083</v>
      </c>
      <c r="I2206" s="326"/>
      <c r="K2206" s="19"/>
    </row>
    <row r="2207" spans="1:11" x14ac:dyDescent="0.2">
      <c r="A2207" s="293"/>
      <c r="B2207" s="490"/>
      <c r="C2207" s="288"/>
      <c r="D2207" s="443">
        <f>_xlfn.XLOOKUP(B2207,Códigos!$A$421:$A$483,Códigos!$B$421:$B$483,"Verificar",0)</f>
        <v>0</v>
      </c>
      <c r="E2207" s="444">
        <f>_xlfn.XLOOKUP(C2207,Códigos!$A$11:$A$415,Códigos!$B$11:$B$415,"Verificar",0)</f>
        <v>0</v>
      </c>
      <c r="F2207" s="1286"/>
      <c r="G2207" s="441">
        <v>0</v>
      </c>
      <c r="H2207" s="441">
        <f t="shared" si="55"/>
        <v>633732083</v>
      </c>
      <c r="I2207" s="326"/>
      <c r="K2207" s="19"/>
    </row>
    <row r="2208" spans="1:11" x14ac:dyDescent="0.2">
      <c r="A2208" s="293"/>
      <c r="B2208" s="490"/>
      <c r="C2208" s="288"/>
      <c r="D2208" s="443">
        <f>_xlfn.XLOOKUP(B2208,Códigos!$A$421:$A$483,Códigos!$B$421:$B$483,"Verificar",0)</f>
        <v>0</v>
      </c>
      <c r="E2208" s="444">
        <f>_xlfn.XLOOKUP(C2208,Códigos!$A$11:$A$415,Códigos!$B$11:$B$415,"Verificar",0)</f>
        <v>0</v>
      </c>
      <c r="F2208" s="1286"/>
      <c r="G2208" s="441">
        <v>0</v>
      </c>
      <c r="H2208" s="441">
        <f t="shared" si="55"/>
        <v>633732083</v>
      </c>
      <c r="I2208" s="326"/>
      <c r="K2208" s="19"/>
    </row>
    <row r="2209" spans="1:11" x14ac:dyDescent="0.2">
      <c r="A2209" s="293"/>
      <c r="B2209" s="490"/>
      <c r="C2209" s="288"/>
      <c r="D2209" s="443">
        <f>_xlfn.XLOOKUP(B2209,Códigos!$A$421:$A$483,Códigos!$B$421:$B$483,"Verificar",0)</f>
        <v>0</v>
      </c>
      <c r="E2209" s="444">
        <f>_xlfn.XLOOKUP(C2209,Códigos!$A$11:$A$415,Códigos!$B$11:$B$415,"Verificar",0)</f>
        <v>0</v>
      </c>
      <c r="F2209" s="1286"/>
      <c r="G2209" s="441">
        <v>0</v>
      </c>
      <c r="H2209" s="441">
        <f t="shared" si="55"/>
        <v>633732083</v>
      </c>
      <c r="I2209" s="326"/>
      <c r="K2209" s="19"/>
    </row>
    <row r="2210" spans="1:11" x14ac:dyDescent="0.2">
      <c r="A2210" s="293"/>
      <c r="B2210" s="490"/>
      <c r="C2210" s="288"/>
      <c r="D2210" s="443">
        <f>_xlfn.XLOOKUP(B2210,Códigos!$A$421:$A$483,Códigos!$B$421:$B$483,"Verificar",0)</f>
        <v>0</v>
      </c>
      <c r="E2210" s="444">
        <f>_xlfn.XLOOKUP(C2210,Códigos!$A$11:$A$415,Códigos!$B$11:$B$415,"Verificar",0)</f>
        <v>0</v>
      </c>
      <c r="F2210" s="1286"/>
      <c r="G2210" s="441">
        <v>0</v>
      </c>
      <c r="H2210" s="441">
        <f t="shared" si="55"/>
        <v>633732083</v>
      </c>
      <c r="I2210" s="326"/>
      <c r="K2210" s="19"/>
    </row>
    <row r="2211" spans="1:11" x14ac:dyDescent="0.2">
      <c r="A2211" s="293"/>
      <c r="B2211" s="490"/>
      <c r="C2211" s="288"/>
      <c r="D2211" s="443">
        <f>_xlfn.XLOOKUP(B2211,Códigos!$A$421:$A$483,Códigos!$B$421:$B$483,"Verificar",0)</f>
        <v>0</v>
      </c>
      <c r="E2211" s="444">
        <f>_xlfn.XLOOKUP(C2211,Códigos!$A$11:$A$415,Códigos!$B$11:$B$415,"Verificar",0)</f>
        <v>0</v>
      </c>
      <c r="F2211" s="1286"/>
      <c r="G2211" s="441">
        <v>0</v>
      </c>
      <c r="H2211" s="441">
        <f t="shared" si="55"/>
        <v>633732083</v>
      </c>
      <c r="I2211" s="326"/>
      <c r="K2211" s="19"/>
    </row>
    <row r="2212" spans="1:11" x14ac:dyDescent="0.2">
      <c r="A2212" s="293"/>
      <c r="B2212" s="490"/>
      <c r="C2212" s="288"/>
      <c r="D2212" s="443">
        <f>_xlfn.XLOOKUP(B2212,Códigos!$A$421:$A$483,Códigos!$B$421:$B$483,"Verificar",0)</f>
        <v>0</v>
      </c>
      <c r="E2212" s="444">
        <f>_xlfn.XLOOKUP(C2212,Códigos!$A$11:$A$415,Códigos!$B$11:$B$415,"Verificar",0)</f>
        <v>0</v>
      </c>
      <c r="F2212" s="1286"/>
      <c r="G2212" s="441">
        <v>0</v>
      </c>
      <c r="H2212" s="441">
        <f t="shared" si="55"/>
        <v>633732083</v>
      </c>
      <c r="I2212" s="326"/>
      <c r="K2212" s="19"/>
    </row>
    <row r="2213" spans="1:11" x14ac:dyDescent="0.2">
      <c r="A2213" s="293"/>
      <c r="B2213" s="490"/>
      <c r="C2213" s="288"/>
      <c r="D2213" s="443">
        <f>_xlfn.XLOOKUP(B2213,Códigos!$A$421:$A$483,Códigos!$B$421:$B$483,"Verificar",0)</f>
        <v>0</v>
      </c>
      <c r="E2213" s="444">
        <f>_xlfn.XLOOKUP(C2213,Códigos!$A$11:$A$415,Códigos!$B$11:$B$415,"Verificar",0)</f>
        <v>0</v>
      </c>
      <c r="F2213" s="1286"/>
      <c r="G2213" s="441">
        <v>0</v>
      </c>
      <c r="H2213" s="441">
        <f t="shared" si="55"/>
        <v>633732083</v>
      </c>
      <c r="I2213" s="326"/>
      <c r="K2213" s="19"/>
    </row>
    <row r="2214" spans="1:11" x14ac:dyDescent="0.2">
      <c r="A2214" s="293"/>
      <c r="B2214" s="490"/>
      <c r="C2214" s="288"/>
      <c r="D2214" s="443">
        <f>_xlfn.XLOOKUP(B2214,Códigos!$A$421:$A$483,Códigos!$B$421:$B$483,"Verificar",0)</f>
        <v>0</v>
      </c>
      <c r="E2214" s="444">
        <f>_xlfn.XLOOKUP(C2214,Códigos!$A$11:$A$415,Códigos!$B$11:$B$415,"Verificar",0)</f>
        <v>0</v>
      </c>
      <c r="F2214" s="1286"/>
      <c r="G2214" s="441">
        <v>0</v>
      </c>
      <c r="H2214" s="441">
        <f t="shared" si="55"/>
        <v>633732083</v>
      </c>
      <c r="I2214" s="326"/>
      <c r="K2214" s="19"/>
    </row>
    <row r="2215" spans="1:11" x14ac:dyDescent="0.2">
      <c r="A2215" s="293"/>
      <c r="B2215" s="490"/>
      <c r="C2215" s="288"/>
      <c r="D2215" s="443">
        <f>_xlfn.XLOOKUP(B2215,Códigos!$A$421:$A$483,Códigos!$B$421:$B$483,"Verificar",0)</f>
        <v>0</v>
      </c>
      <c r="E2215" s="444">
        <f>_xlfn.XLOOKUP(C2215,Códigos!$A$11:$A$415,Códigos!$B$11:$B$415,"Verificar",0)</f>
        <v>0</v>
      </c>
      <c r="F2215" s="1286"/>
      <c r="G2215" s="441">
        <v>0</v>
      </c>
      <c r="H2215" s="441">
        <f t="shared" si="55"/>
        <v>633732083</v>
      </c>
      <c r="I2215" s="326"/>
      <c r="K2215" s="19"/>
    </row>
    <row r="2216" spans="1:11" x14ac:dyDescent="0.2">
      <c r="A2216" s="293"/>
      <c r="B2216" s="490"/>
      <c r="C2216" s="288"/>
      <c r="D2216" s="443">
        <f>_xlfn.XLOOKUP(B2216,Códigos!$A$421:$A$483,Códigos!$B$421:$B$483,"Verificar",0)</f>
        <v>0</v>
      </c>
      <c r="E2216" s="444">
        <f>_xlfn.XLOOKUP(C2216,Códigos!$A$11:$A$415,Códigos!$B$11:$B$415,"Verificar",0)</f>
        <v>0</v>
      </c>
      <c r="F2216" s="1286"/>
      <c r="G2216" s="441">
        <v>0</v>
      </c>
      <c r="H2216" s="441">
        <f t="shared" si="55"/>
        <v>633732083</v>
      </c>
      <c r="I2216" s="326"/>
      <c r="K2216" s="19"/>
    </row>
    <row r="2217" spans="1:11" x14ac:dyDescent="0.2">
      <c r="A2217" s="293"/>
      <c r="B2217" s="490"/>
      <c r="C2217" s="288"/>
      <c r="D2217" s="443">
        <f>_xlfn.XLOOKUP(B2217,Códigos!$A$421:$A$483,Códigos!$B$421:$B$483,"Verificar",0)</f>
        <v>0</v>
      </c>
      <c r="E2217" s="444">
        <f>_xlfn.XLOOKUP(C2217,Códigos!$A$11:$A$415,Códigos!$B$11:$B$415,"Verificar",0)</f>
        <v>0</v>
      </c>
      <c r="F2217" s="1286"/>
      <c r="G2217" s="441">
        <v>0</v>
      </c>
      <c r="H2217" s="441">
        <f t="shared" si="55"/>
        <v>633732083</v>
      </c>
      <c r="I2217" s="326"/>
      <c r="K2217" s="19"/>
    </row>
    <row r="2218" spans="1:11" x14ac:dyDescent="0.2">
      <c r="A2218" s="293"/>
      <c r="B2218" s="490"/>
      <c r="C2218" s="288"/>
      <c r="D2218" s="443">
        <f>_xlfn.XLOOKUP(B2218,Códigos!$A$421:$A$483,Códigos!$B$421:$B$483,"Verificar",0)</f>
        <v>0</v>
      </c>
      <c r="E2218" s="444">
        <f>_xlfn.XLOOKUP(C2218,Códigos!$A$11:$A$415,Códigos!$B$11:$B$415,"Verificar",0)</f>
        <v>0</v>
      </c>
      <c r="F2218" s="1286"/>
      <c r="G2218" s="441">
        <v>0</v>
      </c>
      <c r="H2218" s="441">
        <f t="shared" si="55"/>
        <v>633732083</v>
      </c>
      <c r="I2218" s="326"/>
      <c r="K2218" s="19"/>
    </row>
    <row r="2219" spans="1:11" x14ac:dyDescent="0.2">
      <c r="A2219" s="293"/>
      <c r="B2219" s="490"/>
      <c r="C2219" s="288"/>
      <c r="D2219" s="443">
        <f>_xlfn.XLOOKUP(B2219,Códigos!$A$421:$A$483,Códigos!$B$421:$B$483,"Verificar",0)</f>
        <v>0</v>
      </c>
      <c r="E2219" s="444">
        <f>_xlfn.XLOOKUP(C2219,Códigos!$A$11:$A$415,Códigos!$B$11:$B$415,"Verificar",0)</f>
        <v>0</v>
      </c>
      <c r="F2219" s="1286"/>
      <c r="G2219" s="441">
        <v>0</v>
      </c>
      <c r="H2219" s="441">
        <f t="shared" si="55"/>
        <v>633732083</v>
      </c>
      <c r="I2219" s="326"/>
      <c r="K2219" s="19"/>
    </row>
    <row r="2220" spans="1:11" x14ac:dyDescent="0.2">
      <c r="A2220" s="293"/>
      <c r="B2220" s="490"/>
      <c r="C2220" s="288"/>
      <c r="D2220" s="443">
        <f>_xlfn.XLOOKUP(B2220,Códigos!$A$421:$A$483,Códigos!$B$421:$B$483,"Verificar",0)</f>
        <v>0</v>
      </c>
      <c r="E2220" s="444">
        <f>_xlfn.XLOOKUP(C2220,Códigos!$A$11:$A$415,Códigos!$B$11:$B$415,"Verificar",0)</f>
        <v>0</v>
      </c>
      <c r="F2220" s="1286"/>
      <c r="G2220" s="441">
        <v>0</v>
      </c>
      <c r="H2220" s="441">
        <f t="shared" si="55"/>
        <v>633732083</v>
      </c>
      <c r="I2220" s="326"/>
      <c r="K2220" s="19"/>
    </row>
    <row r="2221" spans="1:11" x14ac:dyDescent="0.2">
      <c r="A2221" s="293"/>
      <c r="B2221" s="490"/>
      <c r="C2221" s="288"/>
      <c r="D2221" s="443">
        <f>_xlfn.XLOOKUP(B2221,Códigos!$A$421:$A$483,Códigos!$B$421:$B$483,"Verificar",0)</f>
        <v>0</v>
      </c>
      <c r="E2221" s="444">
        <f>_xlfn.XLOOKUP(C2221,Códigos!$A$11:$A$415,Códigos!$B$11:$B$415,"Verificar",0)</f>
        <v>0</v>
      </c>
      <c r="F2221" s="1286"/>
      <c r="G2221" s="441">
        <v>0</v>
      </c>
      <c r="H2221" s="441">
        <f t="shared" si="55"/>
        <v>633732083</v>
      </c>
      <c r="I2221" s="326"/>
      <c r="K2221" s="19"/>
    </row>
    <row r="2222" spans="1:11" x14ac:dyDescent="0.2">
      <c r="A2222" s="293"/>
      <c r="B2222" s="490"/>
      <c r="C2222" s="288"/>
      <c r="D2222" s="443">
        <f>_xlfn.XLOOKUP(B2222,Códigos!$A$421:$A$483,Códigos!$B$421:$B$483,"Verificar",0)</f>
        <v>0</v>
      </c>
      <c r="E2222" s="444">
        <f>_xlfn.XLOOKUP(C2222,Códigos!$A$11:$A$415,Códigos!$B$11:$B$415,"Verificar",0)</f>
        <v>0</v>
      </c>
      <c r="F2222" s="1286"/>
      <c r="G2222" s="441">
        <v>0</v>
      </c>
      <c r="H2222" s="441">
        <f t="shared" si="55"/>
        <v>633732083</v>
      </c>
      <c r="I2222" s="326"/>
      <c r="K2222" s="19"/>
    </row>
    <row r="2223" spans="1:11" x14ac:dyDescent="0.2">
      <c r="A2223" s="293"/>
      <c r="B2223" s="490"/>
      <c r="C2223" s="288"/>
      <c r="D2223" s="443">
        <f>_xlfn.XLOOKUP(B2223,Códigos!$A$421:$A$483,Códigos!$B$421:$B$483,"Verificar",0)</f>
        <v>0</v>
      </c>
      <c r="E2223" s="444">
        <f>_xlfn.XLOOKUP(C2223,Códigos!$A$11:$A$415,Códigos!$B$11:$B$415,"Verificar",0)</f>
        <v>0</v>
      </c>
      <c r="F2223" s="1286"/>
      <c r="G2223" s="441">
        <v>0</v>
      </c>
      <c r="H2223" s="441">
        <f t="shared" si="55"/>
        <v>633732083</v>
      </c>
      <c r="I2223" s="326"/>
      <c r="K2223" s="19"/>
    </row>
    <row r="2224" spans="1:11" x14ac:dyDescent="0.2">
      <c r="A2224" s="293"/>
      <c r="B2224" s="490"/>
      <c r="C2224" s="288"/>
      <c r="D2224" s="443">
        <f>_xlfn.XLOOKUP(B2224,Códigos!$A$421:$A$483,Códigos!$B$421:$B$483,"Verificar",0)</f>
        <v>0</v>
      </c>
      <c r="E2224" s="444">
        <f>_xlfn.XLOOKUP(C2224,Códigos!$A$11:$A$415,Códigos!$B$11:$B$415,"Verificar",0)</f>
        <v>0</v>
      </c>
      <c r="F2224" s="1286"/>
      <c r="G2224" s="441">
        <v>0</v>
      </c>
      <c r="H2224" s="441">
        <f t="shared" si="55"/>
        <v>633732083</v>
      </c>
      <c r="I2224" s="326"/>
      <c r="K2224" s="19"/>
    </row>
    <row r="2225" spans="1:11" x14ac:dyDescent="0.2">
      <c r="A2225" s="293"/>
      <c r="B2225" s="490"/>
      <c r="C2225" s="288"/>
      <c r="D2225" s="443">
        <f>_xlfn.XLOOKUP(B2225,Códigos!$A$421:$A$483,Códigos!$B$421:$B$483,"Verificar",0)</f>
        <v>0</v>
      </c>
      <c r="E2225" s="444">
        <f>_xlfn.XLOOKUP(C2225,Códigos!$A$11:$A$415,Códigos!$B$11:$B$415,"Verificar",0)</f>
        <v>0</v>
      </c>
      <c r="F2225" s="1286"/>
      <c r="G2225" s="441">
        <v>0</v>
      </c>
      <c r="H2225" s="441">
        <f t="shared" si="55"/>
        <v>633732083</v>
      </c>
      <c r="I2225" s="326"/>
      <c r="K2225" s="19"/>
    </row>
    <row r="2226" spans="1:11" x14ac:dyDescent="0.2">
      <c r="A2226" s="293"/>
      <c r="B2226" s="490"/>
      <c r="C2226" s="288"/>
      <c r="D2226" s="443">
        <f>_xlfn.XLOOKUP(B2226,Códigos!$A$421:$A$483,Códigos!$B$421:$B$483,"Verificar",0)</f>
        <v>0</v>
      </c>
      <c r="E2226" s="444">
        <f>_xlfn.XLOOKUP(C2226,Códigos!$A$11:$A$415,Códigos!$B$11:$B$415,"Verificar",0)</f>
        <v>0</v>
      </c>
      <c r="F2226" s="1286"/>
      <c r="G2226" s="441">
        <v>0</v>
      </c>
      <c r="H2226" s="441">
        <f t="shared" si="55"/>
        <v>633732083</v>
      </c>
      <c r="I2226" s="326"/>
      <c r="K2226" s="19"/>
    </row>
    <row r="2227" spans="1:11" x14ac:dyDescent="0.2">
      <c r="A2227" s="293"/>
      <c r="B2227" s="490"/>
      <c r="C2227" s="288"/>
      <c r="D2227" s="443">
        <f>_xlfn.XLOOKUP(B2227,Códigos!$A$421:$A$483,Códigos!$B$421:$B$483,"Verificar",0)</f>
        <v>0</v>
      </c>
      <c r="E2227" s="444">
        <f>_xlfn.XLOOKUP(C2227,Códigos!$A$11:$A$415,Códigos!$B$11:$B$415,"Verificar",0)</f>
        <v>0</v>
      </c>
      <c r="F2227" s="1286"/>
      <c r="G2227" s="441">
        <v>0</v>
      </c>
      <c r="H2227" s="441">
        <f t="shared" si="55"/>
        <v>633732083</v>
      </c>
      <c r="I2227" s="326"/>
      <c r="K2227" s="19"/>
    </row>
    <row r="2228" spans="1:11" x14ac:dyDescent="0.2">
      <c r="A2228" s="293"/>
      <c r="B2228" s="490"/>
      <c r="C2228" s="288"/>
      <c r="D2228" s="443">
        <f>_xlfn.XLOOKUP(B2228,Códigos!$A$421:$A$483,Códigos!$B$421:$B$483,"Verificar",0)</f>
        <v>0</v>
      </c>
      <c r="E2228" s="444">
        <f>_xlfn.XLOOKUP(C2228,Códigos!$A$11:$A$415,Códigos!$B$11:$B$415,"Verificar",0)</f>
        <v>0</v>
      </c>
      <c r="F2228" s="1286"/>
      <c r="G2228" s="441">
        <v>0</v>
      </c>
      <c r="H2228" s="441">
        <f t="shared" si="55"/>
        <v>633732083</v>
      </c>
      <c r="I2228" s="326"/>
      <c r="K2228" s="19"/>
    </row>
    <row r="2229" spans="1:11" x14ac:dyDescent="0.2">
      <c r="A2229" s="293"/>
      <c r="B2229" s="490"/>
      <c r="C2229" s="288"/>
      <c r="D2229" s="443">
        <f>_xlfn.XLOOKUP(B2229,Códigos!$A$421:$A$483,Códigos!$B$421:$B$483,"Verificar",0)</f>
        <v>0</v>
      </c>
      <c r="E2229" s="444">
        <f>_xlfn.XLOOKUP(C2229,Códigos!$A$11:$A$415,Códigos!$B$11:$B$415,"Verificar",0)</f>
        <v>0</v>
      </c>
      <c r="F2229" s="1286"/>
      <c r="G2229" s="441">
        <v>0</v>
      </c>
      <c r="H2229" s="441">
        <f t="shared" si="55"/>
        <v>633732083</v>
      </c>
      <c r="I2229" s="326"/>
      <c r="K2229" s="19"/>
    </row>
    <row r="2230" spans="1:11" x14ac:dyDescent="0.2">
      <c r="A2230" s="293"/>
      <c r="B2230" s="490"/>
      <c r="C2230" s="288"/>
      <c r="D2230" s="443">
        <f>_xlfn.XLOOKUP(B2230,Códigos!$A$421:$A$483,Códigos!$B$421:$B$483,"Verificar",0)</f>
        <v>0</v>
      </c>
      <c r="E2230" s="444">
        <f>_xlfn.XLOOKUP(C2230,Códigos!$A$11:$A$415,Códigos!$B$11:$B$415,"Verificar",0)</f>
        <v>0</v>
      </c>
      <c r="F2230" s="1286"/>
      <c r="G2230" s="441">
        <v>0</v>
      </c>
      <c r="H2230" s="441">
        <f t="shared" si="55"/>
        <v>633732083</v>
      </c>
      <c r="I2230" s="326"/>
      <c r="K2230" s="19"/>
    </row>
    <row r="2231" spans="1:11" x14ac:dyDescent="0.2">
      <c r="A2231" s="293"/>
      <c r="B2231" s="490"/>
      <c r="C2231" s="288"/>
      <c r="D2231" s="443">
        <f>_xlfn.XLOOKUP(B2231,Códigos!$A$421:$A$483,Códigos!$B$421:$B$483,"Verificar",0)</f>
        <v>0</v>
      </c>
      <c r="E2231" s="444">
        <f>_xlfn.XLOOKUP(C2231,Códigos!$A$11:$A$415,Códigos!$B$11:$B$415,"Verificar",0)</f>
        <v>0</v>
      </c>
      <c r="F2231" s="1286"/>
      <c r="G2231" s="441">
        <v>0</v>
      </c>
      <c r="H2231" s="441">
        <f t="shared" si="55"/>
        <v>633732083</v>
      </c>
      <c r="I2231" s="326"/>
      <c r="K2231" s="19"/>
    </row>
    <row r="2232" spans="1:11" x14ac:dyDescent="0.2">
      <c r="A2232" s="293"/>
      <c r="B2232" s="490"/>
      <c r="C2232" s="288"/>
      <c r="D2232" s="443">
        <f>_xlfn.XLOOKUP(B2232,Códigos!$A$421:$A$483,Códigos!$B$421:$B$483,"Verificar",0)</f>
        <v>0</v>
      </c>
      <c r="E2232" s="444">
        <f>_xlfn.XLOOKUP(C2232,Códigos!$A$11:$A$415,Códigos!$B$11:$B$415,"Verificar",0)</f>
        <v>0</v>
      </c>
      <c r="F2232" s="1286"/>
      <c r="G2232" s="441">
        <v>0</v>
      </c>
      <c r="H2232" s="441">
        <f t="shared" si="55"/>
        <v>633732083</v>
      </c>
      <c r="I2232" s="326"/>
      <c r="K2232" s="19"/>
    </row>
    <row r="2233" spans="1:11" x14ac:dyDescent="0.2">
      <c r="A2233" s="293"/>
      <c r="B2233" s="490"/>
      <c r="C2233" s="288"/>
      <c r="D2233" s="443">
        <f>_xlfn.XLOOKUP(B2233,Códigos!$A$421:$A$483,Códigos!$B$421:$B$483,"Verificar",0)</f>
        <v>0</v>
      </c>
      <c r="E2233" s="444">
        <f>_xlfn.XLOOKUP(C2233,Códigos!$A$11:$A$415,Códigos!$B$11:$B$415,"Verificar",0)</f>
        <v>0</v>
      </c>
      <c r="F2233" s="1286"/>
      <c r="G2233" s="441">
        <v>0</v>
      </c>
      <c r="H2233" s="441">
        <f t="shared" si="55"/>
        <v>633732083</v>
      </c>
      <c r="I2233" s="326"/>
      <c r="K2233" s="19"/>
    </row>
    <row r="2234" spans="1:11" x14ac:dyDescent="0.2">
      <c r="A2234" s="293"/>
      <c r="B2234" s="490"/>
      <c r="C2234" s="288"/>
      <c r="D2234" s="443">
        <f>_xlfn.XLOOKUP(B2234,Códigos!$A$421:$A$483,Códigos!$B$421:$B$483,"Verificar",0)</f>
        <v>0</v>
      </c>
      <c r="E2234" s="444">
        <f>_xlfn.XLOOKUP(C2234,Códigos!$A$11:$A$415,Códigos!$B$11:$B$415,"Verificar",0)</f>
        <v>0</v>
      </c>
      <c r="F2234" s="1286"/>
      <c r="G2234" s="441">
        <v>0</v>
      </c>
      <c r="H2234" s="441">
        <f t="shared" si="55"/>
        <v>633732083</v>
      </c>
      <c r="I2234" s="326"/>
      <c r="K2234" s="19"/>
    </row>
    <row r="2235" spans="1:11" x14ac:dyDescent="0.2">
      <c r="A2235" s="293"/>
      <c r="B2235" s="490"/>
      <c r="C2235" s="288"/>
      <c r="D2235" s="443">
        <f>_xlfn.XLOOKUP(B2235,Códigos!$A$421:$A$483,Códigos!$B$421:$B$483,"Verificar",0)</f>
        <v>0</v>
      </c>
      <c r="E2235" s="444">
        <f>_xlfn.XLOOKUP(C2235,Códigos!$A$11:$A$415,Códigos!$B$11:$B$415,"Verificar",0)</f>
        <v>0</v>
      </c>
      <c r="F2235" s="1286"/>
      <c r="G2235" s="441">
        <v>0</v>
      </c>
      <c r="H2235" s="441">
        <f t="shared" si="55"/>
        <v>633732083</v>
      </c>
      <c r="I2235" s="326"/>
      <c r="K2235" s="19"/>
    </row>
    <row r="2236" spans="1:11" x14ac:dyDescent="0.2">
      <c r="A2236" s="293"/>
      <c r="B2236" s="490"/>
      <c r="C2236" s="288"/>
      <c r="D2236" s="443">
        <f>_xlfn.XLOOKUP(B2236,Códigos!$A$421:$A$483,Códigos!$B$421:$B$483,"Verificar",0)</f>
        <v>0</v>
      </c>
      <c r="E2236" s="444">
        <f>_xlfn.XLOOKUP(C2236,Códigos!$A$11:$A$415,Códigos!$B$11:$B$415,"Verificar",0)</f>
        <v>0</v>
      </c>
      <c r="F2236" s="1286"/>
      <c r="G2236" s="441">
        <v>0</v>
      </c>
      <c r="H2236" s="441">
        <f t="shared" si="55"/>
        <v>633732083</v>
      </c>
      <c r="I2236" s="326"/>
      <c r="K2236" s="19"/>
    </row>
    <row r="2237" spans="1:11" x14ac:dyDescent="0.2">
      <c r="A2237" s="293"/>
      <c r="B2237" s="490"/>
      <c r="C2237" s="288"/>
      <c r="D2237" s="443">
        <f>_xlfn.XLOOKUP(B2237,Códigos!$A$421:$A$483,Códigos!$B$421:$B$483,"Verificar",0)</f>
        <v>0</v>
      </c>
      <c r="E2237" s="444">
        <f>_xlfn.XLOOKUP(C2237,Códigos!$A$11:$A$415,Códigos!$B$11:$B$415,"Verificar",0)</f>
        <v>0</v>
      </c>
      <c r="F2237" s="1286"/>
      <c r="G2237" s="441">
        <v>0</v>
      </c>
      <c r="H2237" s="441">
        <f t="shared" si="55"/>
        <v>633732083</v>
      </c>
      <c r="I2237" s="326"/>
      <c r="K2237" s="19"/>
    </row>
    <row r="2238" spans="1:11" x14ac:dyDescent="0.2">
      <c r="A2238" s="293"/>
      <c r="B2238" s="490"/>
      <c r="C2238" s="288"/>
      <c r="D2238" s="443">
        <f>_xlfn.XLOOKUP(B2238,Códigos!$A$421:$A$483,Códigos!$B$421:$B$483,"Verificar",0)</f>
        <v>0</v>
      </c>
      <c r="E2238" s="444">
        <f>_xlfn.XLOOKUP(C2238,Códigos!$A$11:$A$415,Códigos!$B$11:$B$415,"Verificar",0)</f>
        <v>0</v>
      </c>
      <c r="F2238" s="1286"/>
      <c r="G2238" s="441">
        <v>0</v>
      </c>
      <c r="H2238" s="441">
        <f t="shared" si="55"/>
        <v>633732083</v>
      </c>
      <c r="I2238" s="326"/>
      <c r="K2238" s="19"/>
    </row>
    <row r="2239" spans="1:11" x14ac:dyDescent="0.2">
      <c r="A2239" s="293"/>
      <c r="B2239" s="490"/>
      <c r="C2239" s="288"/>
      <c r="D2239" s="443">
        <f>_xlfn.XLOOKUP(B2239,Códigos!$A$421:$A$483,Códigos!$B$421:$B$483,"Verificar",0)</f>
        <v>0</v>
      </c>
      <c r="E2239" s="444">
        <f>_xlfn.XLOOKUP(C2239,Códigos!$A$11:$A$415,Códigos!$B$11:$B$415,"Verificar",0)</f>
        <v>0</v>
      </c>
      <c r="F2239" s="1286"/>
      <c r="G2239" s="441">
        <v>0</v>
      </c>
      <c r="H2239" s="441">
        <f t="shared" si="55"/>
        <v>633732083</v>
      </c>
      <c r="I2239" s="326"/>
      <c r="K2239" s="19"/>
    </row>
    <row r="2240" spans="1:11" x14ac:dyDescent="0.2">
      <c r="A2240" s="293"/>
      <c r="B2240" s="490"/>
      <c r="C2240" s="288"/>
      <c r="D2240" s="443">
        <f>_xlfn.XLOOKUP(B2240,Códigos!$A$421:$A$483,Códigos!$B$421:$B$483,"Verificar",0)</f>
        <v>0</v>
      </c>
      <c r="E2240" s="444">
        <f>_xlfn.XLOOKUP(C2240,Códigos!$A$11:$A$415,Códigos!$B$11:$B$415,"Verificar",0)</f>
        <v>0</v>
      </c>
      <c r="F2240" s="1286"/>
      <c r="G2240" s="441">
        <v>0</v>
      </c>
      <c r="H2240" s="441">
        <f t="shared" si="55"/>
        <v>633732083</v>
      </c>
      <c r="I2240" s="326"/>
      <c r="K2240" s="19"/>
    </row>
    <row r="2241" spans="1:12" x14ac:dyDescent="0.2">
      <c r="A2241" s="293"/>
      <c r="B2241" s="490"/>
      <c r="C2241" s="288"/>
      <c r="D2241" s="443">
        <f>_xlfn.XLOOKUP(B2241,Códigos!$A$421:$A$483,Códigos!$B$421:$B$483,"Verificar",0)</f>
        <v>0</v>
      </c>
      <c r="E2241" s="444">
        <f>_xlfn.XLOOKUP(C2241,Códigos!$A$11:$A$415,Códigos!$B$11:$B$415,"Verificar",0)</f>
        <v>0</v>
      </c>
      <c r="F2241" s="1286"/>
      <c r="G2241" s="441">
        <v>0</v>
      </c>
      <c r="H2241" s="441">
        <f t="shared" si="55"/>
        <v>633732083</v>
      </c>
      <c r="I2241" s="326"/>
      <c r="K2241" s="19"/>
    </row>
    <row r="2242" spans="1:12" x14ac:dyDescent="0.2">
      <c r="A2242" s="293"/>
      <c r="B2242" s="490"/>
      <c r="C2242" s="288"/>
      <c r="D2242" s="443">
        <f>_xlfn.XLOOKUP(B2242,Códigos!$A$421:$A$483,Códigos!$B$421:$B$483,"Verificar",0)</f>
        <v>0</v>
      </c>
      <c r="E2242" s="444">
        <f>_xlfn.XLOOKUP(C2242,Códigos!$A$11:$A$415,Códigos!$B$11:$B$415,"Verificar",0)</f>
        <v>0</v>
      </c>
      <c r="F2242" s="1286"/>
      <c r="G2242" s="441">
        <v>0</v>
      </c>
      <c r="H2242" s="441">
        <f t="shared" si="55"/>
        <v>633732083</v>
      </c>
      <c r="I2242" s="326"/>
      <c r="K2242" s="19"/>
    </row>
    <row r="2243" spans="1:12" x14ac:dyDescent="0.2">
      <c r="A2243" s="293"/>
      <c r="B2243" s="490"/>
      <c r="C2243" s="288"/>
      <c r="D2243" s="443">
        <f>_xlfn.XLOOKUP(B2243,Códigos!$A$421:$A$483,Códigos!$B$421:$B$483,"Verificar",0)</f>
        <v>0</v>
      </c>
      <c r="E2243" s="444">
        <f>_xlfn.XLOOKUP(C2243,Códigos!$A$11:$A$415,Códigos!$B$11:$B$415,"Verificar",0)</f>
        <v>0</v>
      </c>
      <c r="F2243" s="1286"/>
      <c r="G2243" s="441">
        <v>0</v>
      </c>
      <c r="H2243" s="441">
        <f t="shared" si="55"/>
        <v>633732083</v>
      </c>
      <c r="I2243" s="326"/>
      <c r="K2243" s="19"/>
    </row>
    <row r="2244" spans="1:12" x14ac:dyDescent="0.2">
      <c r="A2244" s="293"/>
      <c r="B2244" s="490"/>
      <c r="C2244" s="288"/>
      <c r="D2244" s="443">
        <f>_xlfn.XLOOKUP(B2244,Códigos!$A$421:$A$483,Códigos!$B$421:$B$483,"Verificar",0)</f>
        <v>0</v>
      </c>
      <c r="E2244" s="444">
        <f>_xlfn.XLOOKUP(C2244,Códigos!$A$11:$A$415,Códigos!$B$11:$B$415,"Verificar",0)</f>
        <v>0</v>
      </c>
      <c r="F2244" s="1286"/>
      <c r="G2244" s="441">
        <v>0</v>
      </c>
      <c r="H2244" s="441">
        <f t="shared" si="55"/>
        <v>633732083</v>
      </c>
      <c r="I2244" s="326"/>
      <c r="K2244" s="19"/>
    </row>
    <row r="2245" spans="1:12" x14ac:dyDescent="0.2">
      <c r="A2245" s="293"/>
      <c r="B2245" s="490"/>
      <c r="C2245" s="288"/>
      <c r="D2245" s="443">
        <f>_xlfn.XLOOKUP(B2245,Códigos!$A$421:$A$483,Códigos!$B$421:$B$483,"Verificar",0)</f>
        <v>0</v>
      </c>
      <c r="E2245" s="444">
        <f>_xlfn.XLOOKUP(C2245,Códigos!$A$11:$A$415,Códigos!$B$11:$B$415,"Verificar",0)</f>
        <v>0</v>
      </c>
      <c r="F2245" s="1286"/>
      <c r="G2245" s="441">
        <v>0</v>
      </c>
      <c r="H2245" s="441">
        <f t="shared" si="55"/>
        <v>633732083</v>
      </c>
      <c r="I2245" s="326"/>
      <c r="K2245" s="19"/>
    </row>
    <row r="2246" spans="1:12" x14ac:dyDescent="0.2">
      <c r="A2246" s="293"/>
      <c r="B2246" s="490"/>
      <c r="C2246" s="288"/>
      <c r="D2246" s="443">
        <f>_xlfn.XLOOKUP(B2246,Códigos!$A$421:$A$483,Códigos!$B$421:$B$483,"Verificar",0)</f>
        <v>0</v>
      </c>
      <c r="E2246" s="444">
        <f>_xlfn.XLOOKUP(C2246,Códigos!$A$11:$A$415,Códigos!$B$11:$B$415,"Verificar",0)</f>
        <v>0</v>
      </c>
      <c r="F2246" s="1286"/>
      <c r="G2246" s="441">
        <v>0</v>
      </c>
      <c r="H2246" s="441">
        <f t="shared" si="55"/>
        <v>633732083</v>
      </c>
      <c r="I2246" s="326"/>
      <c r="K2246" s="19"/>
    </row>
    <row r="2247" spans="1:12" x14ac:dyDescent="0.2">
      <c r="A2247" s="293"/>
      <c r="B2247" s="490"/>
      <c r="C2247" s="288"/>
      <c r="D2247" s="443">
        <f>_xlfn.XLOOKUP(B2247,Códigos!$A$421:$A$483,Códigos!$B$421:$B$483,"Verificar",0)</f>
        <v>0</v>
      </c>
      <c r="E2247" s="444">
        <f>_xlfn.XLOOKUP(C2247,Códigos!$A$11:$A$415,Códigos!$B$11:$B$415,"Verificar",0)</f>
        <v>0</v>
      </c>
      <c r="F2247" s="1286"/>
      <c r="G2247" s="441">
        <v>0</v>
      </c>
      <c r="H2247" s="441">
        <f t="shared" si="55"/>
        <v>633732083</v>
      </c>
      <c r="I2247" s="326"/>
      <c r="K2247" s="19"/>
    </row>
    <row r="2248" spans="1:12" x14ac:dyDescent="0.2">
      <c r="A2248" s="293"/>
      <c r="B2248" s="490"/>
      <c r="C2248" s="288"/>
      <c r="D2248" s="443">
        <f>_xlfn.XLOOKUP(B2248,Códigos!$A$421:$A$483,Códigos!$B$421:$B$483,"Verificar",0)</f>
        <v>0</v>
      </c>
      <c r="E2248" s="444">
        <f>_xlfn.XLOOKUP(C2248,Códigos!$A$11:$A$415,Códigos!$B$11:$B$415,"Verificar",0)</f>
        <v>0</v>
      </c>
      <c r="F2248" s="1286"/>
      <c r="G2248" s="441">
        <v>0</v>
      </c>
      <c r="H2248" s="441">
        <f t="shared" si="55"/>
        <v>633732083</v>
      </c>
      <c r="I2248" s="326"/>
      <c r="K2248" s="19"/>
    </row>
    <row r="2249" spans="1:12" x14ac:dyDescent="0.2">
      <c r="A2249" s="293"/>
      <c r="B2249" s="490"/>
      <c r="C2249" s="288"/>
      <c r="D2249" s="443">
        <f>_xlfn.XLOOKUP(B2249,Códigos!$A$421:$A$483,Códigos!$B$421:$B$483,"Verificar",0)</f>
        <v>0</v>
      </c>
      <c r="E2249" s="444">
        <f>_xlfn.XLOOKUP(C2249,Códigos!$A$11:$A$415,Códigos!$B$11:$B$415,"Verificar",0)</f>
        <v>0</v>
      </c>
      <c r="F2249" s="1286"/>
      <c r="G2249" s="441">
        <v>0</v>
      </c>
      <c r="H2249" s="441">
        <f t="shared" si="55"/>
        <v>633732083</v>
      </c>
      <c r="I2249" s="326"/>
      <c r="K2249" s="19"/>
    </row>
    <row r="2250" spans="1:12" x14ac:dyDescent="0.2">
      <c r="A2250" s="17"/>
      <c r="B2250" s="100"/>
      <c r="C2250" s="164"/>
      <c r="D2250" s="69"/>
      <c r="E2250" s="69"/>
      <c r="G2250" s="60"/>
      <c r="K2250" s="19"/>
    </row>
    <row r="2251" spans="1:12" x14ac:dyDescent="0.2">
      <c r="A2251" s="19"/>
      <c r="B2251" s="253"/>
      <c r="C2251" s="289"/>
      <c r="D2251" s="168"/>
      <c r="E2251" s="168"/>
      <c r="F2251" s="1285"/>
      <c r="G2251" s="80"/>
      <c r="H2251" s="80"/>
      <c r="I2251" s="19"/>
      <c r="J2251" s="849"/>
      <c r="K2251" s="19"/>
    </row>
    <row r="2252" spans="1:12" x14ac:dyDescent="0.2">
      <c r="A2252" s="20" t="str">
        <f>+A1</f>
        <v>LIBRO DIARIO OFICINA</v>
      </c>
      <c r="B2252" s="100"/>
      <c r="C2252" s="164"/>
      <c r="K2252" s="19"/>
    </row>
    <row r="2253" spans="1:12" s="65" customFormat="1" x14ac:dyDescent="0.2">
      <c r="A2253" s="225" t="str">
        <f>+A2</f>
        <v>MOVIMIENTO DE EGRESOS DE CAJA DIARIO</v>
      </c>
      <c r="B2253" s="100"/>
      <c r="C2253" s="101"/>
      <c r="D2253" s="225"/>
      <c r="E2253" s="225"/>
      <c r="F2253" s="956"/>
      <c r="G2253" s="66">
        <f>SUM(G10:G2250)</f>
        <v>633732083</v>
      </c>
      <c r="H2253" s="66">
        <f>+H2249</f>
        <v>633732083</v>
      </c>
      <c r="J2253" s="850"/>
      <c r="K2253" s="299"/>
      <c r="L2253" s="51"/>
    </row>
    <row r="2254" spans="1:12" x14ac:dyDescent="0.2">
      <c r="K2254" s="19"/>
    </row>
    <row r="2255" spans="1:12" x14ac:dyDescent="0.2">
      <c r="A2255" s="19"/>
      <c r="B2255" s="253"/>
      <c r="C2255" s="289"/>
      <c r="D2255" s="168"/>
      <c r="E2255" s="168"/>
      <c r="F2255" s="1285"/>
      <c r="G2255" s="54"/>
      <c r="H2255" s="54"/>
      <c r="I2255" s="3"/>
      <c r="J2255" s="847"/>
      <c r="K2255" s="19"/>
    </row>
    <row r="2257" spans="2:15" x14ac:dyDescent="0.2">
      <c r="G2257" s="96">
        <f>SUBTOTAL(9,G9:G2250)</f>
        <v>633732083</v>
      </c>
    </row>
    <row r="2259" spans="2:15" x14ac:dyDescent="0.2">
      <c r="B2259" s="174"/>
      <c r="C2259" s="174"/>
      <c r="D2259" s="174"/>
      <c r="E2259" s="174"/>
      <c r="G2259" s="174"/>
      <c r="H2259" s="174"/>
      <c r="I2259" s="174"/>
      <c r="J2259" s="174"/>
      <c r="K2259" s="174"/>
      <c r="L2259" s="174"/>
      <c r="M2259" s="174"/>
      <c r="N2259" s="174"/>
      <c r="O2259" s="174"/>
    </row>
    <row r="2260" spans="2:15" x14ac:dyDescent="0.2">
      <c r="B2260" s="174"/>
      <c r="C2260" s="174"/>
      <c r="D2260" s="174"/>
      <c r="E2260" s="174"/>
      <c r="G2260" s="174">
        <f>+G2257-PRESUPUESTOS!D84</f>
        <v>553928783</v>
      </c>
      <c r="H2260" s="174"/>
      <c r="I2260" s="174"/>
      <c r="J2260" s="174"/>
      <c r="K2260" s="174"/>
      <c r="L2260" s="174"/>
      <c r="M2260" s="174"/>
      <c r="N2260" s="174"/>
      <c r="O2260" s="174"/>
    </row>
    <row r="2261" spans="2:15" x14ac:dyDescent="0.2">
      <c r="B2261" s="174"/>
      <c r="C2261" s="174"/>
      <c r="D2261" s="174"/>
      <c r="E2261" s="174"/>
      <c r="G2261" s="174"/>
      <c r="H2261" s="174"/>
      <c r="I2261" s="174"/>
      <c r="J2261" s="174"/>
      <c r="K2261" s="174"/>
      <c r="L2261" s="174"/>
      <c r="M2261" s="174"/>
      <c r="N2261" s="174"/>
      <c r="O2261" s="174"/>
    </row>
    <row r="2262" spans="2:15" x14ac:dyDescent="0.2">
      <c r="B2262" s="174"/>
      <c r="C2262" s="174"/>
      <c r="D2262" s="174"/>
      <c r="E2262" s="174"/>
      <c r="G2262" s="174"/>
      <c r="H2262" s="174"/>
      <c r="I2262" s="174"/>
      <c r="J2262" s="174"/>
      <c r="K2262" s="174"/>
      <c r="L2262" s="174"/>
      <c r="M2262" s="174"/>
      <c r="N2262" s="174"/>
      <c r="O2262" s="174"/>
    </row>
    <row r="2263" spans="2:15" x14ac:dyDescent="0.2">
      <c r="B2263" s="174"/>
      <c r="C2263" s="174"/>
      <c r="D2263" s="174"/>
      <c r="E2263" s="174"/>
      <c r="G2263" s="174"/>
      <c r="H2263" s="174"/>
      <c r="I2263" s="174"/>
      <c r="J2263" s="174"/>
      <c r="K2263" s="174"/>
      <c r="L2263" s="174"/>
      <c r="M2263" s="174"/>
      <c r="N2263" s="174"/>
      <c r="O2263" s="174"/>
    </row>
    <row r="2264" spans="2:15" x14ac:dyDescent="0.2">
      <c r="B2264" s="174"/>
      <c r="C2264" s="174"/>
      <c r="D2264" s="174"/>
      <c r="E2264" s="174"/>
      <c r="G2264" s="174"/>
      <c r="H2264" s="174"/>
      <c r="I2264" s="174"/>
      <c r="J2264" s="174"/>
      <c r="K2264" s="174"/>
      <c r="L2264" s="174"/>
      <c r="M2264" s="174"/>
      <c r="N2264" s="174"/>
      <c r="O2264" s="174"/>
    </row>
    <row r="2265" spans="2:15" x14ac:dyDescent="0.2">
      <c r="B2265" s="174"/>
      <c r="C2265" s="174"/>
      <c r="D2265" s="174"/>
      <c r="E2265" s="174"/>
      <c r="G2265" s="174"/>
      <c r="H2265" s="174"/>
      <c r="I2265" s="174"/>
      <c r="J2265" s="174"/>
      <c r="K2265" s="174"/>
      <c r="L2265" s="174"/>
      <c r="M2265" s="174"/>
      <c r="N2265" s="174"/>
      <c r="O2265" s="174"/>
    </row>
    <row r="2266" spans="2:15" x14ac:dyDescent="0.2">
      <c r="B2266" s="174"/>
      <c r="C2266" s="174"/>
      <c r="D2266" s="174"/>
      <c r="E2266" s="174"/>
      <c r="G2266" s="174"/>
      <c r="H2266" s="174"/>
      <c r="I2266" s="174"/>
      <c r="J2266" s="174"/>
      <c r="K2266" s="174"/>
      <c r="L2266" s="174"/>
      <c r="M2266" s="174"/>
      <c r="N2266" s="174"/>
      <c r="O2266" s="174"/>
    </row>
    <row r="2267" spans="2:15" x14ac:dyDescent="0.2">
      <c r="B2267" s="174"/>
      <c r="C2267" s="174"/>
      <c r="D2267" s="174"/>
      <c r="E2267" s="174"/>
      <c r="G2267" s="174"/>
      <c r="H2267" s="174"/>
      <c r="I2267" s="174"/>
      <c r="J2267" s="174"/>
      <c r="K2267" s="174"/>
      <c r="L2267" s="174"/>
      <c r="M2267" s="174"/>
      <c r="N2267" s="174"/>
      <c r="O2267" s="174"/>
    </row>
    <row r="2268" spans="2:15" x14ac:dyDescent="0.2">
      <c r="B2268" s="174"/>
      <c r="C2268" s="174"/>
      <c r="D2268" s="174"/>
      <c r="E2268" s="174"/>
      <c r="G2268" s="174"/>
      <c r="H2268" s="174"/>
      <c r="I2268" s="174"/>
      <c r="J2268" s="174"/>
      <c r="K2268" s="174"/>
      <c r="L2268" s="174"/>
      <c r="M2268" s="174"/>
      <c r="N2268" s="174"/>
      <c r="O2268" s="174"/>
    </row>
    <row r="2269" spans="2:15" x14ac:dyDescent="0.2">
      <c r="B2269" s="174"/>
      <c r="C2269" s="174"/>
      <c r="D2269" s="174"/>
      <c r="E2269" s="174"/>
      <c r="G2269" s="174"/>
      <c r="H2269" s="174"/>
      <c r="I2269" s="174"/>
      <c r="J2269" s="174"/>
      <c r="K2269" s="174"/>
      <c r="L2269" s="174"/>
      <c r="M2269" s="174"/>
      <c r="N2269" s="174"/>
      <c r="O2269" s="174"/>
    </row>
    <row r="2270" spans="2:15" x14ac:dyDescent="0.2">
      <c r="B2270" s="174"/>
      <c r="C2270" s="174"/>
      <c r="D2270" s="174"/>
      <c r="E2270" s="174"/>
      <c r="G2270" s="174">
        <f>252000+53000+46000+694000</f>
        <v>1045000</v>
      </c>
      <c r="H2270" s="174"/>
      <c r="I2270" s="174"/>
      <c r="J2270" s="174"/>
      <c r="K2270" s="174"/>
      <c r="L2270" s="174"/>
      <c r="M2270" s="174"/>
      <c r="N2270" s="174"/>
      <c r="O2270" s="174"/>
    </row>
  </sheetData>
  <autoFilter ref="A10:J2249" xr:uid="{17E3749E-92E3-4CAF-A392-9A977B839D4C}"/>
  <sortState xmlns:xlrd2="http://schemas.microsoft.com/office/spreadsheetml/2017/richdata2" ref="A892:I899">
    <sortCondition ref="A892:A899"/>
  </sortState>
  <dataValidations count="1">
    <dataValidation type="list" allowBlank="1" showInputMessage="1" showErrorMessage="1" sqref="F12:F1048576" xr:uid="{298A7217-A584-477E-A364-99B4E23EFF2F}">
      <formula1>"GTFF,OFICINA"</formula1>
    </dataValidation>
  </dataValidations>
  <printOptions horizontalCentered="1"/>
  <pageMargins left="0.19685039370078741" right="0.19685039370078741" top="0.19685039370078741" bottom="0.1968503937007874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R119"/>
  <sheetViews>
    <sheetView showGridLines="0" showOutlineSymbols="0" defaultGridColor="0" colorId="8" zoomScale="80" zoomScaleNormal="80" workbookViewId="0">
      <pane ySplit="16" topLeftCell="A17" activePane="bottomLeft" state="frozen"/>
      <selection pane="bottomLeft" activeCell="I70" sqref="I70"/>
    </sheetView>
  </sheetViews>
  <sheetFormatPr baseColWidth="10" defaultColWidth="9.6640625" defaultRowHeight="12.75" x14ac:dyDescent="0.2"/>
  <cols>
    <col min="1" max="1" width="7.6640625" style="68" customWidth="1"/>
    <col min="2" max="2" width="55.6640625" style="251" customWidth="1"/>
    <col min="3" max="4" width="12.88671875" style="56" bestFit="1" customWidth="1"/>
    <col min="5" max="5" width="1.6640625" style="47" customWidth="1"/>
    <col min="6" max="6" width="16.6640625" style="56" customWidth="1"/>
    <col min="7" max="7" width="9.88671875" style="56" customWidth="1"/>
    <col min="8" max="8" width="17.6640625" style="56" customWidth="1"/>
    <col min="9" max="9" width="12.6640625" style="134" customWidth="1"/>
    <col min="10" max="10" width="11.77734375" style="134" bestFit="1" customWidth="1"/>
    <col min="11" max="11" width="38.109375" style="134" bestFit="1" customWidth="1"/>
    <col min="12" max="12" width="9.6640625" style="134" customWidth="1"/>
    <col min="13" max="25" width="9.6640625" style="1" customWidth="1"/>
    <col min="26" max="252" width="9.6640625" style="11" customWidth="1"/>
    <col min="253" max="16384" width="9.6640625" style="23"/>
  </cols>
  <sheetData>
    <row r="1" spans="1:8" s="1" customFormat="1" ht="15" customHeight="1" x14ac:dyDescent="0.2">
      <c r="A1" s="225" t="str">
        <f>+Códigos!$A$1</f>
        <v>LIBRO DIARIO OFICINA</v>
      </c>
      <c r="B1" s="316"/>
      <c r="C1" s="55"/>
      <c r="D1" s="55"/>
      <c r="E1" s="137"/>
      <c r="F1" s="445" t="s">
        <v>27</v>
      </c>
      <c r="G1" s="446"/>
      <c r="H1" s="447">
        <f>SUM(H4:H11)</f>
        <v>807500</v>
      </c>
    </row>
    <row r="2" spans="1:8" s="1" customFormat="1" ht="15" customHeight="1" x14ac:dyDescent="0.2">
      <c r="A2" s="775" t="s">
        <v>390</v>
      </c>
      <c r="B2" s="316"/>
      <c r="C2" s="55"/>
      <c r="D2" s="55"/>
      <c r="E2" s="137"/>
      <c r="F2" s="304"/>
      <c r="G2" s="304"/>
      <c r="H2" s="304"/>
    </row>
    <row r="3" spans="1:8" s="1" customFormat="1" ht="15" customHeight="1" x14ac:dyDescent="0.2">
      <c r="A3" s="66" t="str">
        <f>+Códigos!$A$3</f>
        <v>AÑO:</v>
      </c>
      <c r="B3" s="772">
        <f>+Códigos!$B$3</f>
        <v>2025</v>
      </c>
      <c r="C3" s="55"/>
      <c r="D3" s="55"/>
      <c r="E3" s="137"/>
      <c r="F3" s="774" t="s">
        <v>394</v>
      </c>
      <c r="G3" s="774" t="s">
        <v>395</v>
      </c>
      <c r="H3" s="774" t="s">
        <v>102</v>
      </c>
    </row>
    <row r="4" spans="1:8" s="1" customFormat="1" ht="15" customHeight="1" x14ac:dyDescent="0.2">
      <c r="A4" s="291" t="s">
        <v>1</v>
      </c>
      <c r="B4" s="254">
        <f>+'INGRESOS A CAJA'!D4</f>
        <v>45658</v>
      </c>
      <c r="C4" s="173"/>
      <c r="D4" s="173"/>
      <c r="E4" s="137"/>
      <c r="F4" s="305">
        <v>100000</v>
      </c>
      <c r="G4" s="354">
        <v>2</v>
      </c>
      <c r="H4" s="308">
        <f>+F4*G4</f>
        <v>200000</v>
      </c>
    </row>
    <row r="5" spans="1:8" s="1" customFormat="1" x14ac:dyDescent="0.2">
      <c r="A5" s="291" t="s">
        <v>2</v>
      </c>
      <c r="B5" s="254">
        <f>+'INGRESOS A CAJA'!D5</f>
        <v>46022</v>
      </c>
      <c r="C5" s="182"/>
      <c r="D5" s="182"/>
      <c r="E5" s="137"/>
      <c r="F5" s="305">
        <v>50000</v>
      </c>
      <c r="G5" s="354">
        <v>12</v>
      </c>
      <c r="H5" s="308">
        <f t="shared" ref="H5:H10" si="0">+F5*G5</f>
        <v>600000</v>
      </c>
    </row>
    <row r="6" spans="1:8" s="1" customFormat="1" x14ac:dyDescent="0.2">
      <c r="A6" s="284"/>
      <c r="B6" s="167"/>
      <c r="C6" s="97"/>
      <c r="D6" s="97"/>
      <c r="E6" s="137"/>
      <c r="F6" s="305">
        <v>20000</v>
      </c>
      <c r="G6" s="354">
        <v>0</v>
      </c>
      <c r="H6" s="308">
        <f t="shared" si="0"/>
        <v>0</v>
      </c>
    </row>
    <row r="7" spans="1:8" s="1" customFormat="1" x14ac:dyDescent="0.2">
      <c r="A7" s="776" t="s">
        <v>393</v>
      </c>
      <c r="B7" s="777"/>
      <c r="C7" s="778" t="s">
        <v>102</v>
      </c>
      <c r="D7" s="778">
        <f>+H1</f>
        <v>807500</v>
      </c>
      <c r="E7" s="137"/>
      <c r="F7" s="305">
        <v>10000</v>
      </c>
      <c r="G7" s="354">
        <v>0</v>
      </c>
      <c r="H7" s="308">
        <f t="shared" si="0"/>
        <v>0</v>
      </c>
    </row>
    <row r="8" spans="1:8" s="1" customFormat="1" x14ac:dyDescent="0.2">
      <c r="A8" s="311"/>
      <c r="B8" s="317"/>
      <c r="C8" s="779" t="s">
        <v>392</v>
      </c>
      <c r="D8" s="779">
        <f>IF((D15-D7)&lt;0,-(D15-D7),0)</f>
        <v>300000</v>
      </c>
      <c r="E8" s="301"/>
      <c r="F8" s="305">
        <v>5000</v>
      </c>
      <c r="G8" s="354">
        <v>1</v>
      </c>
      <c r="H8" s="308">
        <f t="shared" si="0"/>
        <v>5000</v>
      </c>
    </row>
    <row r="9" spans="1:8" s="1" customFormat="1" x14ac:dyDescent="0.2">
      <c r="A9" s="311"/>
      <c r="B9" s="317"/>
      <c r="C9" s="780" t="s">
        <v>391</v>
      </c>
      <c r="D9" s="780">
        <f>IF((D15-D7)&gt;0,(D15-D7),0)</f>
        <v>0</v>
      </c>
      <c r="E9" s="301"/>
      <c r="F9" s="305">
        <v>2000</v>
      </c>
      <c r="G9" s="354">
        <v>1</v>
      </c>
      <c r="H9" s="308">
        <f t="shared" si="0"/>
        <v>2000</v>
      </c>
    </row>
    <row r="10" spans="1:8" x14ac:dyDescent="0.2">
      <c r="A10" s="312"/>
      <c r="B10" s="318"/>
      <c r="C10" s="48"/>
      <c r="D10" s="48"/>
      <c r="E10" s="45"/>
      <c r="F10" s="305">
        <v>1000</v>
      </c>
      <c r="G10" s="354">
        <v>0</v>
      </c>
      <c r="H10" s="308">
        <f t="shared" si="0"/>
        <v>0</v>
      </c>
    </row>
    <row r="11" spans="1:8" s="31" customFormat="1" ht="31.5" x14ac:dyDescent="0.2">
      <c r="A11" s="313" t="s">
        <v>4</v>
      </c>
      <c r="B11" s="319" t="s">
        <v>23</v>
      </c>
      <c r="C11" s="302" t="s">
        <v>389</v>
      </c>
      <c r="D11" s="272" t="s">
        <v>21</v>
      </c>
      <c r="E11" s="303"/>
      <c r="F11" s="306" t="s">
        <v>396</v>
      </c>
      <c r="G11" s="307"/>
      <c r="H11" s="309">
        <v>500</v>
      </c>
    </row>
    <row r="12" spans="1:8" s="275" customFormat="1" ht="10.5" x14ac:dyDescent="0.2">
      <c r="A12" s="459"/>
      <c r="B12" s="460" t="s">
        <v>555</v>
      </c>
      <c r="C12" s="461">
        <f>+C81</f>
        <v>633732083</v>
      </c>
      <c r="D12" s="461">
        <f>+D81</f>
        <v>633732083</v>
      </c>
      <c r="E12" s="303"/>
      <c r="F12" s="462">
        <f>+C12-D12</f>
        <v>0</v>
      </c>
      <c r="G12" s="230" t="s">
        <v>556</v>
      </c>
      <c r="H12" s="462"/>
    </row>
    <row r="13" spans="1:8" s="275" customFormat="1" ht="10.5" x14ac:dyDescent="0.2">
      <c r="A13" s="459"/>
      <c r="B13" s="460" t="s">
        <v>45</v>
      </c>
      <c r="C13" s="461">
        <f>+C119</f>
        <v>634239583</v>
      </c>
      <c r="D13" s="461">
        <f>+D119</f>
        <v>634239583</v>
      </c>
      <c r="E13" s="303"/>
      <c r="F13" s="462">
        <f>+C13-D13</f>
        <v>0</v>
      </c>
      <c r="G13" s="230" t="s">
        <v>556</v>
      </c>
      <c r="H13" s="462"/>
    </row>
    <row r="14" spans="1:8" ht="12.95" customHeight="1" x14ac:dyDescent="0.2">
      <c r="A14" s="314" t="s">
        <v>28</v>
      </c>
      <c r="B14" s="320"/>
      <c r="C14" s="49">
        <v>0</v>
      </c>
      <c r="D14" s="49"/>
      <c r="E14" s="45"/>
      <c r="F14" s="51"/>
      <c r="G14" s="51"/>
      <c r="H14" s="51"/>
    </row>
    <row r="15" spans="1:8" ht="12.95" customHeight="1" x14ac:dyDescent="0.2">
      <c r="A15" s="781" t="s">
        <v>29</v>
      </c>
      <c r="B15" s="782"/>
      <c r="C15" s="123"/>
      <c r="D15" s="123">
        <f>C14+C119-C81</f>
        <v>507500</v>
      </c>
      <c r="E15" s="45"/>
      <c r="F15" s="51"/>
      <c r="G15" s="51"/>
      <c r="H15" s="51"/>
    </row>
    <row r="17" spans="1:4" x14ac:dyDescent="0.2">
      <c r="A17" s="1349" t="s">
        <v>30</v>
      </c>
      <c r="B17" s="1349"/>
      <c r="C17" s="1349"/>
      <c r="D17" s="1349"/>
    </row>
    <row r="18" spans="1:4" x14ac:dyDescent="0.2">
      <c r="A18" s="284"/>
      <c r="C18" s="51"/>
      <c r="D18" s="51"/>
    </row>
    <row r="19" spans="1:4" x14ac:dyDescent="0.2">
      <c r="A19" s="436">
        <v>1</v>
      </c>
      <c r="B19" s="464" t="str">
        <f>_xlfn.XLOOKUP(A19,Códigos!$A$421:$A$483,Códigos!$B$421:$B$483,"Verificar",0)</f>
        <v>Gastos personales</v>
      </c>
      <c r="C19" s="465">
        <f>SUMIF('EGRESOS DE CAJA'!$B$9:$B$5958,A19,'EGRESOS DE CAJA'!$G$9:$G$5958)</f>
        <v>193927304</v>
      </c>
      <c r="D19" s="441">
        <f>C19</f>
        <v>193927304</v>
      </c>
    </row>
    <row r="20" spans="1:4" x14ac:dyDescent="0.2">
      <c r="A20" s="436">
        <v>2</v>
      </c>
      <c r="B20" s="464" t="str">
        <f>_xlfn.XLOOKUP(A20,Códigos!$A$421:$A$483,Códigos!$B$421:$B$483,"Verificar",0)</f>
        <v>Pago de Salarios a:</v>
      </c>
      <c r="C20" s="465">
        <f>SUMIF('EGRESOS DE CAJA'!$B$9:$B$5958,A20,'EGRESOS DE CAJA'!$G$9:$G$5958)</f>
        <v>57460000</v>
      </c>
      <c r="D20" s="441">
        <f t="shared" ref="D20:D78" si="1">D19+C20</f>
        <v>251387304</v>
      </c>
    </row>
    <row r="21" spans="1:4" x14ac:dyDescent="0.2">
      <c r="A21" s="436">
        <v>3</v>
      </c>
      <c r="B21" s="464" t="str">
        <f>_xlfn.XLOOKUP(A21,Códigos!$A$421:$A$483,Códigos!$B$421:$B$483,"Verificar",0)</f>
        <v>Pago de Prestaciones sociales a:</v>
      </c>
      <c r="C21" s="465">
        <f>SUMIF('EGRESOS DE CAJA'!$B$9:$B$5958,A21,'EGRESOS DE CAJA'!$G$9:$G$5958)</f>
        <v>0</v>
      </c>
      <c r="D21" s="441">
        <f t="shared" si="1"/>
        <v>251387304</v>
      </c>
    </row>
    <row r="22" spans="1:4" x14ac:dyDescent="0.2">
      <c r="A22" s="436">
        <v>4</v>
      </c>
      <c r="B22" s="464" t="str">
        <f>_xlfn.XLOOKUP(A22,Códigos!$A$421:$A$483,Códigos!$B$421:$B$483,"Verificar",0)</f>
        <v>Pago de Bonificación a:</v>
      </c>
      <c r="C22" s="465">
        <f>SUMIF('EGRESOS DE CAJA'!$B$9:$B$5958,A22,'EGRESOS DE CAJA'!$G$9:$G$5958)</f>
        <v>0</v>
      </c>
      <c r="D22" s="441">
        <f t="shared" si="1"/>
        <v>251387304</v>
      </c>
    </row>
    <row r="23" spans="1:4" x14ac:dyDescent="0.2">
      <c r="A23" s="436">
        <v>5</v>
      </c>
      <c r="B23" s="464" t="str">
        <f>_xlfn.XLOOKUP(A23,Códigos!$A$421:$A$483,Códigos!$B$421:$B$483,"Verificar",0)</f>
        <v>Préstamos por Nómina a:</v>
      </c>
      <c r="C23" s="465">
        <f>SUMIF('EGRESOS DE CAJA'!$B$9:$B$5958,A23,'EGRESOS DE CAJA'!$G$9:$G$5958)</f>
        <v>12065900</v>
      </c>
      <c r="D23" s="441">
        <f t="shared" si="1"/>
        <v>263453204</v>
      </c>
    </row>
    <row r="24" spans="1:4" x14ac:dyDescent="0.2">
      <c r="A24" s="436">
        <v>6</v>
      </c>
      <c r="B24" s="464" t="str">
        <f>_xlfn.XLOOKUP(A24,Códigos!$A$421:$A$483,Códigos!$B$421:$B$483,"Verificar",0)</f>
        <v>Préstamos por Nómina a:</v>
      </c>
      <c r="C24" s="465">
        <f>SUMIF('EGRESOS DE CAJA'!$B$9:$B$5958,A24,'EGRESOS DE CAJA'!$G$9:$G$5958)</f>
        <v>67737400</v>
      </c>
      <c r="D24" s="441">
        <f t="shared" si="1"/>
        <v>331190604</v>
      </c>
    </row>
    <row r="25" spans="1:4" x14ac:dyDescent="0.2">
      <c r="A25" s="436">
        <v>7</v>
      </c>
      <c r="B25" s="464" t="str">
        <f>_xlfn.XLOOKUP(A25,Códigos!$A$421:$A$483,Códigos!$B$421:$B$483,"Verificar",0)</f>
        <v>Pagos de: -Seguridad Social</v>
      </c>
      <c r="C25" s="465">
        <f>SUMIF('EGRESOS DE CAJA'!$B$9:$B$5958,A25,'EGRESOS DE CAJA'!$G$9:$G$5958)</f>
        <v>27296800</v>
      </c>
      <c r="D25" s="441">
        <f t="shared" si="1"/>
        <v>358487404</v>
      </c>
    </row>
    <row r="26" spans="1:4" x14ac:dyDescent="0.2">
      <c r="A26" s="436">
        <v>8</v>
      </c>
      <c r="B26" s="464" t="str">
        <f>_xlfn.XLOOKUP(A26,Códigos!$A$421:$A$483,Códigos!$B$421:$B$483,"Verificar",0)</f>
        <v>Pagos de: -Cuota para alimentos y Manuntención</v>
      </c>
      <c r="C26" s="465">
        <f>SUMIF('EGRESOS DE CAJA'!$B$9:$B$5958,A26,'EGRESOS DE CAJA'!$G$9:$G$5958)</f>
        <v>43358150</v>
      </c>
      <c r="D26" s="441">
        <f t="shared" si="1"/>
        <v>401845554</v>
      </c>
    </row>
    <row r="27" spans="1:4" x14ac:dyDescent="0.2">
      <c r="A27" s="436">
        <v>9</v>
      </c>
      <c r="B27" s="464" t="str">
        <f>_xlfn.XLOOKUP(A27,Códigos!$A$421:$A$483,Códigos!$B$421:$B$483,"Verificar",0)</f>
        <v>Pagos de: -Servicios públicos -OFICINA-</v>
      </c>
      <c r="C27" s="465">
        <f>SUMIF('EGRESOS DE CAJA'!$B$9:$B$5958,A27,'EGRESOS DE CAJA'!$G$9:$G$5958)</f>
        <v>10779655</v>
      </c>
      <c r="D27" s="441">
        <f t="shared" si="1"/>
        <v>412625209</v>
      </c>
    </row>
    <row r="28" spans="1:4" x14ac:dyDescent="0.2">
      <c r="A28" s="436">
        <v>10</v>
      </c>
      <c r="B28" s="464" t="str">
        <f>_xlfn.XLOOKUP(A28,Códigos!$A$421:$A$483,Códigos!$B$421:$B$483,"Verificar",0)</f>
        <v>Pagos de: -Servicios públicos -NIÑAS-</v>
      </c>
      <c r="C28" s="465">
        <f>SUMIF('EGRESOS DE CAJA'!$B$9:$B$5958,A28,'EGRESOS DE CAJA'!$G$9:$G$5958)</f>
        <v>816300</v>
      </c>
      <c r="D28" s="441">
        <f t="shared" si="1"/>
        <v>413441509</v>
      </c>
    </row>
    <row r="29" spans="1:4" x14ac:dyDescent="0.2">
      <c r="A29" s="436">
        <v>11</v>
      </c>
      <c r="B29" s="464" t="str">
        <f>_xlfn.XLOOKUP(A29,Códigos!$A$421:$A$483,Códigos!$B$421:$B$483,"Verificar",0)</f>
        <v>Pagos de: -Servicios Administracion y otros Oficina</v>
      </c>
      <c r="C29" s="465">
        <f>SUMIF('EGRESOS DE CAJA'!$B$9:$B$5958,A29,'EGRESOS DE CAJA'!$G$9:$G$5958)</f>
        <v>6596185</v>
      </c>
      <c r="D29" s="441">
        <f t="shared" si="1"/>
        <v>420037694</v>
      </c>
    </row>
    <row r="30" spans="1:4" x14ac:dyDescent="0.2">
      <c r="A30" s="436">
        <v>12</v>
      </c>
      <c r="B30" s="464" t="str">
        <f>_xlfn.XLOOKUP(A30,Códigos!$A$421:$A$483,Códigos!$B$421:$B$483,"Verificar",0)</f>
        <v>Pagos de: -Celulares</v>
      </c>
      <c r="C30" s="465">
        <f>SUMIF('EGRESOS DE CAJA'!$B$9:$B$5958,A30,'EGRESOS DE CAJA'!$G$9:$G$5958)</f>
        <v>3595890</v>
      </c>
      <c r="D30" s="441">
        <f t="shared" si="1"/>
        <v>423633584</v>
      </c>
    </row>
    <row r="31" spans="1:4" x14ac:dyDescent="0.2">
      <c r="A31" s="436">
        <v>13</v>
      </c>
      <c r="B31" s="464" t="str">
        <f>_xlfn.XLOOKUP(A31,Códigos!$A$421:$A$483,Códigos!$B$421:$B$483,"Verificar",0)</f>
        <v>Pagos de: -Suscripciones</v>
      </c>
      <c r="C31" s="465">
        <f>SUMIF('EGRESOS DE CAJA'!$B$9:$B$5958,A31,'EGRESOS DE CAJA'!$G$9:$G$5958)</f>
        <v>0</v>
      </c>
      <c r="D31" s="441">
        <f t="shared" si="1"/>
        <v>423633584</v>
      </c>
    </row>
    <row r="32" spans="1:4" x14ac:dyDescent="0.2">
      <c r="A32" s="436">
        <v>14</v>
      </c>
      <c r="B32" s="464" t="str">
        <f>_xlfn.XLOOKUP(A32,Códigos!$A$421:$A$483,Códigos!$B$421:$B$483,"Verificar",0)</f>
        <v>Pagos de: -Seminarios y capacitaciones</v>
      </c>
      <c r="C32" s="465">
        <f>SUMIF('EGRESOS DE CAJA'!$B$9:$B$5958,A32,'EGRESOS DE CAJA'!$G$9:$G$5958)</f>
        <v>0</v>
      </c>
      <c r="D32" s="441">
        <f t="shared" si="1"/>
        <v>423633584</v>
      </c>
    </row>
    <row r="33" spans="1:4" x14ac:dyDescent="0.2">
      <c r="A33" s="436">
        <v>15</v>
      </c>
      <c r="B33" s="464" t="str">
        <f>_xlfn.XLOOKUP(A33,Códigos!$A$421:$A$483,Códigos!$B$421:$B$483,"Verificar",0)</f>
        <v>Pagos de: -Mantenimiento de equipos y telefonía</v>
      </c>
      <c r="C33" s="465">
        <f>SUMIF('EGRESOS DE CAJA'!$B$9:$B$5958,A33,'EGRESOS DE CAJA'!$G$9:$G$5958)</f>
        <v>0</v>
      </c>
      <c r="D33" s="441">
        <f t="shared" si="1"/>
        <v>423633584</v>
      </c>
    </row>
    <row r="34" spans="1:4" x14ac:dyDescent="0.2">
      <c r="A34" s="436">
        <v>16</v>
      </c>
      <c r="B34" s="464" t="str">
        <f>_xlfn.XLOOKUP(A34,Códigos!$A$421:$A$483,Códigos!$B$421:$B$483,"Verificar",0)</f>
        <v>Pagos de: -Aguinaldos y Propinas</v>
      </c>
      <c r="C34" s="465">
        <f>SUMIF('EGRESOS DE CAJA'!$B$9:$B$5958,A34,'EGRESOS DE CAJA'!$G$9:$G$5958)</f>
        <v>0</v>
      </c>
      <c r="D34" s="441">
        <f t="shared" si="1"/>
        <v>423633584</v>
      </c>
    </row>
    <row r="35" spans="1:4" x14ac:dyDescent="0.2">
      <c r="A35" s="436">
        <v>17</v>
      </c>
      <c r="B35" s="464" t="str">
        <f>_xlfn.XLOOKUP(A35,Códigos!$A$421:$A$483,Códigos!$B$421:$B$483,"Verificar",0)</f>
        <v>Pagos de: -Sanciones e intereses asumidos</v>
      </c>
      <c r="C35" s="465">
        <f>SUMIF('EGRESOS DE CAJA'!$B$9:$B$5958,A35,'EGRESOS DE CAJA'!$G$9:$G$5958)</f>
        <v>0</v>
      </c>
      <c r="D35" s="441">
        <f t="shared" si="1"/>
        <v>423633584</v>
      </c>
    </row>
    <row r="36" spans="1:4" x14ac:dyDescent="0.2">
      <c r="A36" s="436">
        <v>18</v>
      </c>
      <c r="B36" s="464" t="str">
        <f>_xlfn.XLOOKUP(A36,Códigos!$A$421:$A$483,Códigos!$B$421:$B$483,"Verificar",0)</f>
        <v>Pagos de: -Pasajes y transportes</v>
      </c>
      <c r="C36" s="465">
        <f>SUMIF('EGRESOS DE CAJA'!$B$9:$B$5958,A36,'EGRESOS DE CAJA'!$G$9:$G$5958)</f>
        <v>80000</v>
      </c>
      <c r="D36" s="441">
        <f t="shared" si="1"/>
        <v>423713584</v>
      </c>
    </row>
    <row r="37" spans="1:4" x14ac:dyDescent="0.2">
      <c r="A37" s="436">
        <v>19</v>
      </c>
      <c r="B37" s="464" t="str">
        <f>_xlfn.XLOOKUP(A37,Códigos!$A$421:$A$483,Códigos!$B$421:$B$483,"Verificar",0)</f>
        <v>Pagos de: -Gastos Barbosa</v>
      </c>
      <c r="C37" s="465">
        <f>SUMIF('EGRESOS DE CAJA'!$B$9:$B$5958,A37,'EGRESOS DE CAJA'!$G$9:$G$5958)</f>
        <v>0</v>
      </c>
      <c r="D37" s="441">
        <f t="shared" si="1"/>
        <v>423713584</v>
      </c>
    </row>
    <row r="38" spans="1:4" x14ac:dyDescent="0.2">
      <c r="A38" s="436">
        <v>20</v>
      </c>
      <c r="B38" s="464" t="str">
        <f>_xlfn.XLOOKUP(A38,Códigos!$A$421:$A$483,Códigos!$B$421:$B$483,"Verificar",0)</f>
        <v>Pagos de: -Demás Gastos oficina</v>
      </c>
      <c r="C38" s="465">
        <f>SUMIF('EGRESOS DE CAJA'!$B$9:$B$5958,A38,'EGRESOS DE CAJA'!$G$9:$G$5958)</f>
        <v>80000</v>
      </c>
      <c r="D38" s="441">
        <f t="shared" si="1"/>
        <v>423793584</v>
      </c>
    </row>
    <row r="39" spans="1:4" x14ac:dyDescent="0.2">
      <c r="A39" s="436">
        <v>21</v>
      </c>
      <c r="B39" s="464" t="str">
        <f>_xlfn.XLOOKUP(A39,Códigos!$A$421:$A$483,Códigos!$B$421:$B$483,"Verificar",0)</f>
        <v>Pagos de: -Cuentas por Pagar a:</v>
      </c>
      <c r="C39" s="465">
        <f>SUMIF('EGRESOS DE CAJA'!$B$9:$B$5958,A39,'EGRESOS DE CAJA'!$G$9:$G$5958)</f>
        <v>5929000</v>
      </c>
      <c r="D39" s="441">
        <f t="shared" si="1"/>
        <v>429722584</v>
      </c>
    </row>
    <row r="40" spans="1:4" x14ac:dyDescent="0.2">
      <c r="A40" s="436">
        <v>22</v>
      </c>
      <c r="B40" s="464" t="str">
        <f>_xlfn.XLOOKUP(A40,Códigos!$A$421:$A$483,Códigos!$B$421:$B$483,"Verificar",0)</f>
        <v>Compra de: -Equipos, dotaciones y repuestos para oficina</v>
      </c>
      <c r="C40" s="465">
        <f>SUMIF('EGRESOS DE CAJA'!$B$9:$B$5958,A40,'EGRESOS DE CAJA'!$G$9:$G$5958)</f>
        <v>8425299</v>
      </c>
      <c r="D40" s="441">
        <f t="shared" si="1"/>
        <v>438147883</v>
      </c>
    </row>
    <row r="41" spans="1:4" x14ac:dyDescent="0.2">
      <c r="A41" s="436">
        <v>23</v>
      </c>
      <c r="B41" s="464" t="str">
        <f>_xlfn.XLOOKUP(A41,Códigos!$A$421:$A$483,Códigos!$B$421:$B$483,"Verificar",0)</f>
        <v>Compra de: -Útiles de aseo</v>
      </c>
      <c r="C41" s="465">
        <f>SUMIF('EGRESOS DE CAJA'!$B$9:$B$5958,A41,'EGRESOS DE CAJA'!$G$9:$G$5958)</f>
        <v>685000</v>
      </c>
      <c r="D41" s="441">
        <f t="shared" si="1"/>
        <v>438832883</v>
      </c>
    </row>
    <row r="42" spans="1:4" x14ac:dyDescent="0.2">
      <c r="A42" s="436">
        <v>24</v>
      </c>
      <c r="B42" s="464" t="str">
        <f>_xlfn.XLOOKUP(A42,Códigos!$A$421:$A$483,Códigos!$B$421:$B$483,"Verificar",0)</f>
        <v>Compra de: -Papelería</v>
      </c>
      <c r="C42" s="465">
        <f>SUMIF('EGRESOS DE CAJA'!$B$9:$B$5958,A42,'EGRESOS DE CAJA'!$G$9:$G$5958)</f>
        <v>126000</v>
      </c>
      <c r="D42" s="441">
        <f t="shared" si="1"/>
        <v>438958883</v>
      </c>
    </row>
    <row r="43" spans="1:4" x14ac:dyDescent="0.2">
      <c r="A43" s="436">
        <v>25</v>
      </c>
      <c r="B43" s="464" t="str">
        <f>_xlfn.XLOOKUP(A43,Códigos!$A$421:$A$483,Códigos!$B$421:$B$483,"Verificar",0)</f>
        <v>Compra de: -Manuales, Libros y formularios</v>
      </c>
      <c r="C43" s="465">
        <f>SUMIF('EGRESOS DE CAJA'!$B$9:$B$5958,A43,'EGRESOS DE CAJA'!$G$9:$G$5958)</f>
        <v>204400</v>
      </c>
      <c r="D43" s="441">
        <f t="shared" si="1"/>
        <v>439163283</v>
      </c>
    </row>
    <row r="44" spans="1:4" x14ac:dyDescent="0.2">
      <c r="A44" s="436">
        <v>26</v>
      </c>
      <c r="B44" s="464" t="str">
        <f>_xlfn.XLOOKUP(A44,Códigos!$A$421:$A$483,Códigos!$B$421:$B$483,"Verificar",0)</f>
        <v>Compra de: -Drogas y farmacia</v>
      </c>
      <c r="C44" s="465">
        <f>SUMIF('EGRESOS DE CAJA'!$B$9:$B$5958,A44,'EGRESOS DE CAJA'!$G$9:$G$5958)</f>
        <v>0</v>
      </c>
      <c r="D44" s="441">
        <f t="shared" si="1"/>
        <v>439163283</v>
      </c>
    </row>
    <row r="45" spans="1:4" x14ac:dyDescent="0.2">
      <c r="A45" s="436">
        <v>27</v>
      </c>
      <c r="B45" s="464" t="str">
        <f>_xlfn.XLOOKUP(A45,Códigos!$A$421:$A$483,Códigos!$B$421:$B$483,"Verificar",0)</f>
        <v>Compra de: -Restaurante y cafetería</v>
      </c>
      <c r="C45" s="465">
        <f>SUMIF('EGRESOS DE CAJA'!$B$9:$B$5958,A45,'EGRESOS DE CAJA'!$G$9:$G$5958)</f>
        <v>5426000</v>
      </c>
      <c r="D45" s="441">
        <f t="shared" si="1"/>
        <v>444589283</v>
      </c>
    </row>
    <row r="46" spans="1:4" x14ac:dyDescent="0.2">
      <c r="A46" s="436">
        <v>28</v>
      </c>
      <c r="B46" s="464" t="str">
        <f>_xlfn.XLOOKUP(A46,Códigos!$A$421:$A$483,Códigos!$B$421:$B$483,"Verificar",0)</f>
        <v>Préstamos a:</v>
      </c>
      <c r="C46" s="465">
        <f>SUMIF('EGRESOS DE CAJA'!$B$9:$B$5958,A46,'EGRESOS DE CAJA'!$G$9:$G$5958)</f>
        <v>41111900</v>
      </c>
      <c r="D46" s="441">
        <f t="shared" si="1"/>
        <v>485701183</v>
      </c>
    </row>
    <row r="47" spans="1:4" x14ac:dyDescent="0.2">
      <c r="A47" s="436">
        <v>29</v>
      </c>
      <c r="B47" s="464" t="str">
        <f>_xlfn.XLOOKUP(A47,Códigos!$A$421:$A$483,Códigos!$B$421:$B$483,"Verificar",0)</f>
        <v>Egresos por Cuenta de Terceros -Pagos impuestos-</v>
      </c>
      <c r="C47" s="465">
        <f>SUMIF('EGRESOS DE CAJA'!$B$9:$B$5958,A47,'EGRESOS DE CAJA'!$G$9:$G$5958)</f>
        <v>11346300</v>
      </c>
      <c r="D47" s="441">
        <f t="shared" si="1"/>
        <v>497047483</v>
      </c>
    </row>
    <row r="48" spans="1:4" x14ac:dyDescent="0.2">
      <c r="A48" s="436">
        <v>30</v>
      </c>
      <c r="B48" s="464" t="str">
        <f>_xlfn.XLOOKUP(A48,Códigos!$A$421:$A$483,Códigos!$B$421:$B$483,"Verificar",0)</f>
        <v>Egresos por Cuenta de Terceros -Seguridad social-</v>
      </c>
      <c r="C48" s="465">
        <f>SUMIF('EGRESOS DE CAJA'!$B$9:$B$5958,A48,'EGRESOS DE CAJA'!$G$9:$G$5958)</f>
        <v>0</v>
      </c>
      <c r="D48" s="441">
        <f t="shared" si="1"/>
        <v>497047483</v>
      </c>
    </row>
    <row r="49" spans="1:4" x14ac:dyDescent="0.2">
      <c r="A49" s="436">
        <v>31</v>
      </c>
      <c r="B49" s="464" t="str">
        <f>_xlfn.XLOOKUP(A49,Códigos!$A$421:$A$483,Códigos!$B$421:$B$483,"Verificar",0)</f>
        <v>Egresos por Cuenta de Terceros -Certificados y otros</v>
      </c>
      <c r="C49" s="465">
        <f>SUMIF('EGRESOS DE CAJA'!$B$9:$B$5958,A49,'EGRESOS DE CAJA'!$G$9:$G$5958)</f>
        <v>0</v>
      </c>
      <c r="D49" s="441">
        <f t="shared" si="1"/>
        <v>497047483</v>
      </c>
    </row>
    <row r="50" spans="1:4" x14ac:dyDescent="0.2">
      <c r="A50" s="436">
        <v>32</v>
      </c>
      <c r="B50" s="464" t="str">
        <f>_xlfn.XLOOKUP(A50,Códigos!$A$421:$A$483,Códigos!$B$421:$B$483,"Verificar",0)</f>
        <v>Egresos por Cuenta de Terceros -Mantenimiento o compras de equipos y repuestos</v>
      </c>
      <c r="C50" s="465">
        <f>SUMIF('EGRESOS DE CAJA'!$B$9:$B$5958,A50,'EGRESOS DE CAJA'!$G$9:$G$5958)</f>
        <v>0</v>
      </c>
      <c r="D50" s="441">
        <f t="shared" si="1"/>
        <v>497047483</v>
      </c>
    </row>
    <row r="51" spans="1:4" x14ac:dyDescent="0.2">
      <c r="A51" s="436">
        <v>33</v>
      </c>
      <c r="B51" s="466" t="str">
        <f>_xlfn.XLOOKUP(A51,Códigos!$A$421:$A$483,Códigos!$B$421:$B$483,"Verificar",0)</f>
        <v>AJUSTE POR -Consignación - Traslado a Bancos</v>
      </c>
      <c r="C51" s="465">
        <f>SUMIF('EGRESOS DE CAJA'!$B$9:$B$5958,A51,'EGRESOS DE CAJA'!$G$9:$G$5958)</f>
        <v>125181600</v>
      </c>
      <c r="D51" s="441">
        <f t="shared" si="1"/>
        <v>622229083</v>
      </c>
    </row>
    <row r="52" spans="1:4" x14ac:dyDescent="0.2">
      <c r="A52" s="436">
        <v>34</v>
      </c>
      <c r="B52" s="466" t="str">
        <f>_xlfn.XLOOKUP(A52,Códigos!$A$421:$A$483,Códigos!$B$421:$B$483,"Verificar",0)</f>
        <v>AJUSTE POR -Consignaciones pendientes de identificar</v>
      </c>
      <c r="C52" s="465">
        <f>SUMIF('EGRESOS DE CAJA'!$B$9:$B$5958,A52,'EGRESOS DE CAJA'!$G$9:$G$5958)</f>
        <v>0</v>
      </c>
      <c r="D52" s="441">
        <f t="shared" si="1"/>
        <v>622229083</v>
      </c>
    </row>
    <row r="53" spans="1:4" x14ac:dyDescent="0.2">
      <c r="A53" s="436">
        <v>35</v>
      </c>
      <c r="B53" s="466" t="str">
        <f>_xlfn.XLOOKUP(A53,Códigos!$A$421:$A$483,Códigos!$B$421:$B$483,"Verificar",0)</f>
        <v>Impuestos, tasas y contribuciones -GTFF-</v>
      </c>
      <c r="C53" s="465">
        <f>SUMIF('EGRESOS DE CAJA'!$B$9:$B$5958,A53,'EGRESOS DE CAJA'!$G$9:$G$5958)</f>
        <v>1257200</v>
      </c>
      <c r="D53" s="441">
        <f t="shared" si="1"/>
        <v>623486283</v>
      </c>
    </row>
    <row r="54" spans="1:4" x14ac:dyDescent="0.2">
      <c r="A54" s="436">
        <v>36</v>
      </c>
      <c r="B54" s="466" t="str">
        <f>_xlfn.XLOOKUP(A54,Códigos!$A$421:$A$483,Códigos!$B$421:$B$483,"Verificar",0)</f>
        <v xml:space="preserve">Pago en efectivo </v>
      </c>
      <c r="C54" s="465">
        <f>SUMIF('EGRESOS DE CAJA'!$B$9:$B$5958,A54,'EGRESOS DE CAJA'!$G$9:$G$5958)</f>
        <v>0</v>
      </c>
      <c r="D54" s="441">
        <f t="shared" si="1"/>
        <v>623486283</v>
      </c>
    </row>
    <row r="55" spans="1:4" x14ac:dyDescent="0.2">
      <c r="A55" s="436">
        <v>37</v>
      </c>
      <c r="B55" s="466" t="str">
        <f>_xlfn.XLOOKUP(A55,Códigos!$A$421:$A$483,Códigos!$B$421:$B$483,"Verificar",0)</f>
        <v>Gastos Barbosa</v>
      </c>
      <c r="C55" s="465">
        <f>SUMIF('EGRESOS DE CAJA'!$B$9:$B$5958,A55,'EGRESOS DE CAJA'!$G$9:$G$5958)</f>
        <v>585000</v>
      </c>
      <c r="D55" s="441">
        <f t="shared" si="1"/>
        <v>624071283</v>
      </c>
    </row>
    <row r="56" spans="1:4" x14ac:dyDescent="0.2">
      <c r="A56" s="436">
        <v>38</v>
      </c>
      <c r="B56" s="466" t="str">
        <f>_xlfn.XLOOKUP(A56,Códigos!$A$421:$A$483,Códigos!$B$421:$B$483,"Verificar",0)</f>
        <v>Pagos de bonificaciones</v>
      </c>
      <c r="C56" s="465">
        <f>SUMIF('EGRESOS DE CAJA'!$B$9:$B$5958,A56,'EGRESOS DE CAJA'!$G$9:$G$5958)</f>
        <v>0</v>
      </c>
      <c r="D56" s="441">
        <f t="shared" si="1"/>
        <v>624071283</v>
      </c>
    </row>
    <row r="57" spans="1:4" x14ac:dyDescent="0.2">
      <c r="A57" s="436">
        <v>39</v>
      </c>
      <c r="B57" s="466" t="str">
        <f>_xlfn.XLOOKUP(A57,Códigos!$A$421:$A$483,Códigos!$B$421:$B$483,"Verificar",0)</f>
        <v>Pago intereses préstamo Juliana</v>
      </c>
      <c r="C57" s="465">
        <f>SUMIF('EGRESOS DE CAJA'!$B$9:$B$5958,A57,'EGRESOS DE CAJA'!$G$9:$G$5958)</f>
        <v>3500000</v>
      </c>
      <c r="D57" s="441">
        <f t="shared" si="1"/>
        <v>627571283</v>
      </c>
    </row>
    <row r="58" spans="1:4" x14ac:dyDescent="0.2">
      <c r="A58" s="436">
        <v>40</v>
      </c>
      <c r="B58" s="466" t="str">
        <f>_xlfn.XLOOKUP(A58,Códigos!$A$421:$A$483,Códigos!$B$421:$B$483,"Verificar",0)</f>
        <v>Rembolso por retención en la fuente no descontadas</v>
      </c>
      <c r="C58" s="465">
        <f>SUMIF('EGRESOS DE CAJA'!$B$9:$B$5958,A58,'EGRESOS DE CAJA'!$G$9:$G$5958)</f>
        <v>0</v>
      </c>
      <c r="D58" s="441">
        <f t="shared" si="1"/>
        <v>627571283</v>
      </c>
    </row>
    <row r="59" spans="1:4" x14ac:dyDescent="0.2">
      <c r="A59" s="436">
        <v>41</v>
      </c>
      <c r="B59" s="466" t="str">
        <f>_xlfn.XLOOKUP(A59,Códigos!$A$421:$A$483,Códigos!$B$421:$B$483,"Verificar",0)</f>
        <v>AJUSTE POR -aguinaldos a la empresa y otros</v>
      </c>
      <c r="C59" s="465">
        <f>SUMIF('EGRESOS DE CAJA'!$B$9:$B$5958,A59,'EGRESOS DE CAJA'!$G$9:$G$5958)</f>
        <v>0</v>
      </c>
      <c r="D59" s="441">
        <f t="shared" si="1"/>
        <v>627571283</v>
      </c>
    </row>
    <row r="60" spans="1:4" x14ac:dyDescent="0.2">
      <c r="A60" s="436">
        <v>42</v>
      </c>
      <c r="B60" s="466" t="str">
        <f>_xlfn.XLOOKUP(A60,Códigos!$A$421:$A$483,Códigos!$B$421:$B$483,"Verificar",0)</f>
        <v>AJUSTE POR -Cruze de cuentas</v>
      </c>
      <c r="C60" s="465">
        <f>SUMIF('EGRESOS DE CAJA'!$B$9:$B$5958,A60,'EGRESOS DE CAJA'!$G$9:$G$5958)</f>
        <v>0</v>
      </c>
      <c r="D60" s="441">
        <f t="shared" si="1"/>
        <v>627571283</v>
      </c>
    </row>
    <row r="61" spans="1:4" ht="12" customHeight="1" x14ac:dyDescent="0.2">
      <c r="A61" s="436">
        <v>43</v>
      </c>
      <c r="B61" s="466" t="str">
        <f>_xlfn.XLOOKUP(A61,Códigos!$A$421:$A$483,Códigos!$B$421:$B$483,"Verificar",0)</f>
        <v>Pago Hipotecario BANCOLOMBIA</v>
      </c>
      <c r="C61" s="465">
        <f>SUMIF('EGRESOS DE CAJA'!$B$9:$B$5958,A61,'EGRESOS DE CAJA'!$G$9:$G$5958)</f>
        <v>6160800</v>
      </c>
      <c r="D61" s="441">
        <f t="shared" si="1"/>
        <v>633732083</v>
      </c>
    </row>
    <row r="62" spans="1:4" ht="12" customHeight="1" x14ac:dyDescent="0.2">
      <c r="A62" s="436">
        <v>44</v>
      </c>
      <c r="B62" s="466" t="str">
        <f>_xlfn.XLOOKUP(A62,Códigos!$A$421:$A$483,Códigos!$B$421:$B$483,"Verificar",0)</f>
        <v>Gastos Oficina Arriendo</v>
      </c>
      <c r="C62" s="465">
        <f>SUMIF('EGRESOS DE CAJA'!$B$9:$B$5958,A62,'EGRESOS DE CAJA'!$G$9:$G$5958)</f>
        <v>0</v>
      </c>
      <c r="D62" s="441">
        <f t="shared" si="1"/>
        <v>633732083</v>
      </c>
    </row>
    <row r="63" spans="1:4" ht="12" customHeight="1" x14ac:dyDescent="0.2">
      <c r="A63" s="436">
        <v>45</v>
      </c>
      <c r="B63" s="466">
        <f>_xlfn.XLOOKUP(A63,Códigos!$A$421:$A$483,Códigos!$B$421:$B$483,"Verificar",0)</f>
        <v>0</v>
      </c>
      <c r="C63" s="465">
        <f>SUMIF('EGRESOS DE CAJA'!$B$9:$B$5958,A63,'EGRESOS DE CAJA'!$G$9:$G$5958)</f>
        <v>0</v>
      </c>
      <c r="D63" s="441">
        <f t="shared" si="1"/>
        <v>633732083</v>
      </c>
    </row>
    <row r="64" spans="1:4" ht="12" customHeight="1" x14ac:dyDescent="0.2">
      <c r="A64" s="436">
        <v>46</v>
      </c>
      <c r="B64" s="466">
        <f>_xlfn.XLOOKUP(A64,Códigos!$A$421:$A$483,Códigos!$B$421:$B$483,"Verificar",0)</f>
        <v>0</v>
      </c>
      <c r="C64" s="465">
        <f>SUMIF('EGRESOS DE CAJA'!$B$9:$B$5958,A64,'EGRESOS DE CAJA'!$G$9:$G$5958)</f>
        <v>0</v>
      </c>
      <c r="D64" s="441">
        <f t="shared" si="1"/>
        <v>633732083</v>
      </c>
    </row>
    <row r="65" spans="1:4" ht="12" customHeight="1" x14ac:dyDescent="0.2">
      <c r="A65" s="436">
        <v>47</v>
      </c>
      <c r="B65" s="466">
        <f>_xlfn.XLOOKUP(A65,Códigos!$A$421:$A$483,Códigos!$B$421:$B$483,"Verificar",0)</f>
        <v>0</v>
      </c>
      <c r="C65" s="465">
        <f>SUMIF('EGRESOS DE CAJA'!$B$9:$B$5958,A65,'EGRESOS DE CAJA'!$G$9:$G$5958)</f>
        <v>0</v>
      </c>
      <c r="D65" s="441">
        <f t="shared" si="1"/>
        <v>633732083</v>
      </c>
    </row>
    <row r="66" spans="1:4" ht="12" customHeight="1" x14ac:dyDescent="0.2">
      <c r="A66" s="436">
        <v>48</v>
      </c>
      <c r="B66" s="466">
        <f>_xlfn.XLOOKUP(A66,Códigos!$A$421:$A$483,Códigos!$B$421:$B$483,"Verificar",0)</f>
        <v>0</v>
      </c>
      <c r="C66" s="465">
        <f>SUMIF('EGRESOS DE CAJA'!$B$9:$B$5958,A66,'EGRESOS DE CAJA'!$G$9:$G$5958)</f>
        <v>0</v>
      </c>
      <c r="D66" s="441">
        <f t="shared" si="1"/>
        <v>633732083</v>
      </c>
    </row>
    <row r="67" spans="1:4" ht="12" customHeight="1" x14ac:dyDescent="0.2">
      <c r="A67" s="436">
        <v>49</v>
      </c>
      <c r="B67" s="466">
        <f>_xlfn.XLOOKUP(A67,Códigos!$A$421:$A$483,Códigos!$B$421:$B$483,"Verificar",0)</f>
        <v>0</v>
      </c>
      <c r="C67" s="465">
        <f>SUMIF('EGRESOS DE CAJA'!$B$9:$B$5958,A67,'EGRESOS DE CAJA'!$G$9:$G$5958)</f>
        <v>0</v>
      </c>
      <c r="D67" s="441">
        <f t="shared" si="1"/>
        <v>633732083</v>
      </c>
    </row>
    <row r="68" spans="1:4" ht="12" customHeight="1" x14ac:dyDescent="0.2">
      <c r="A68" s="436">
        <v>50</v>
      </c>
      <c r="B68" s="466">
        <f>_xlfn.XLOOKUP(A68,Códigos!$A$421:$A$483,Códigos!$B$421:$B$483,"Verificar",0)</f>
        <v>0</v>
      </c>
      <c r="C68" s="465">
        <f>SUMIF('EGRESOS DE CAJA'!$B$9:$B$5958,A68,'EGRESOS DE CAJA'!$G$9:$G$5958)</f>
        <v>0</v>
      </c>
      <c r="D68" s="441">
        <f t="shared" si="1"/>
        <v>633732083</v>
      </c>
    </row>
    <row r="69" spans="1:4" ht="12" customHeight="1" x14ac:dyDescent="0.2">
      <c r="A69" s="436">
        <v>51</v>
      </c>
      <c r="B69" s="466">
        <f>_xlfn.XLOOKUP(A69,Códigos!$A$421:$A$483,Códigos!$B$421:$B$483,"Verificar",0)</f>
        <v>0</v>
      </c>
      <c r="C69" s="465">
        <f>SUMIF('EGRESOS DE CAJA'!$B$9:$B$5958,A69,'EGRESOS DE CAJA'!$G$9:$G$5958)</f>
        <v>0</v>
      </c>
      <c r="D69" s="441">
        <f t="shared" si="1"/>
        <v>633732083</v>
      </c>
    </row>
    <row r="70" spans="1:4" ht="12" customHeight="1" x14ac:dyDescent="0.2">
      <c r="A70" s="436">
        <v>52</v>
      </c>
      <c r="B70" s="466">
        <f>_xlfn.XLOOKUP(A70,Códigos!$A$421:$A$483,Códigos!$B$421:$B$483,"Verificar",0)</f>
        <v>0</v>
      </c>
      <c r="C70" s="465">
        <f>SUMIF('EGRESOS DE CAJA'!$B$9:$B$5958,A70,'EGRESOS DE CAJA'!$G$9:$G$5958)</f>
        <v>0</v>
      </c>
      <c r="D70" s="441">
        <f t="shared" si="1"/>
        <v>633732083</v>
      </c>
    </row>
    <row r="71" spans="1:4" ht="12" customHeight="1" x14ac:dyDescent="0.2">
      <c r="A71" s="436">
        <v>53</v>
      </c>
      <c r="B71" s="466">
        <f>_xlfn.XLOOKUP(A71,Códigos!$A$421:$A$483,Códigos!$B$421:$B$483,"Verificar",0)</f>
        <v>0</v>
      </c>
      <c r="C71" s="465">
        <f>SUMIF('EGRESOS DE CAJA'!$B$9:$B$5958,A71,'EGRESOS DE CAJA'!$G$9:$G$5958)</f>
        <v>0</v>
      </c>
      <c r="D71" s="441">
        <f t="shared" si="1"/>
        <v>633732083</v>
      </c>
    </row>
    <row r="72" spans="1:4" ht="12" customHeight="1" x14ac:dyDescent="0.2">
      <c r="A72" s="436">
        <v>54</v>
      </c>
      <c r="B72" s="466">
        <f>_xlfn.XLOOKUP(A72,Códigos!$A$421:$A$483,Códigos!$B$421:$B$483,"Verificar",0)</f>
        <v>0</v>
      </c>
      <c r="C72" s="465">
        <f>SUMIF('EGRESOS DE CAJA'!$B$9:$B$5958,A72,'EGRESOS DE CAJA'!$G$9:$G$5958)</f>
        <v>0</v>
      </c>
      <c r="D72" s="441">
        <f t="shared" si="1"/>
        <v>633732083</v>
      </c>
    </row>
    <row r="73" spans="1:4" ht="12" customHeight="1" x14ac:dyDescent="0.2">
      <c r="A73" s="436">
        <v>55</v>
      </c>
      <c r="B73" s="466">
        <f>_xlfn.XLOOKUP(A73,Códigos!$A$421:$A$483,Códigos!$B$421:$B$483,"Verificar",0)</f>
        <v>0</v>
      </c>
      <c r="C73" s="465">
        <f>SUMIF('EGRESOS DE CAJA'!$B$9:$B$5958,A73,'EGRESOS DE CAJA'!$G$9:$G$5958)</f>
        <v>0</v>
      </c>
      <c r="D73" s="441">
        <f t="shared" si="1"/>
        <v>633732083</v>
      </c>
    </row>
    <row r="74" spans="1:4" ht="12" customHeight="1" x14ac:dyDescent="0.2">
      <c r="A74" s="436">
        <v>56</v>
      </c>
      <c r="B74" s="466">
        <f>_xlfn.XLOOKUP(A74,Códigos!$A$421:$A$483,Códigos!$B$421:$B$483,"Verificar",0)</f>
        <v>0</v>
      </c>
      <c r="C74" s="465">
        <f>SUMIF('EGRESOS DE CAJA'!$B$9:$B$5958,A74,'EGRESOS DE CAJA'!$G$9:$G$5958)</f>
        <v>0</v>
      </c>
      <c r="D74" s="441">
        <f t="shared" si="1"/>
        <v>633732083</v>
      </c>
    </row>
    <row r="75" spans="1:4" ht="12" customHeight="1" x14ac:dyDescent="0.2">
      <c r="A75" s="436">
        <v>57</v>
      </c>
      <c r="B75" s="466">
        <f>_xlfn.XLOOKUP(A75,Códigos!$A$421:$A$483,Códigos!$B$421:$B$483,"Verificar",0)</f>
        <v>0</v>
      </c>
      <c r="C75" s="465">
        <f>SUMIF('EGRESOS DE CAJA'!$B$9:$B$5958,A75,'EGRESOS DE CAJA'!$G$9:$G$5958)</f>
        <v>0</v>
      </c>
      <c r="D75" s="441">
        <f t="shared" si="1"/>
        <v>633732083</v>
      </c>
    </row>
    <row r="76" spans="1:4" ht="12" customHeight="1" x14ac:dyDescent="0.2">
      <c r="A76" s="436">
        <v>58</v>
      </c>
      <c r="B76" s="466">
        <f>_xlfn.XLOOKUP(A76,Códigos!$A$421:$A$483,Códigos!$B$421:$B$483,"Verificar",0)</f>
        <v>0</v>
      </c>
      <c r="C76" s="465">
        <f>SUMIF('EGRESOS DE CAJA'!$B$9:$B$5958,A76,'EGRESOS DE CAJA'!$G$9:$G$5958)</f>
        <v>0</v>
      </c>
      <c r="D76" s="441">
        <f t="shared" si="1"/>
        <v>633732083</v>
      </c>
    </row>
    <row r="77" spans="1:4" ht="12" customHeight="1" x14ac:dyDescent="0.2">
      <c r="A77" s="436">
        <v>59</v>
      </c>
      <c r="B77" s="466">
        <f>_xlfn.XLOOKUP(A77,Códigos!$A$421:$A$483,Códigos!$B$421:$B$483,"Verificar",0)</f>
        <v>0</v>
      </c>
      <c r="C77" s="465">
        <f>SUMIF('EGRESOS DE CAJA'!$B$9:$B$5958,A77,'EGRESOS DE CAJA'!$G$9:$G$5958)</f>
        <v>0</v>
      </c>
      <c r="D77" s="441">
        <f t="shared" si="1"/>
        <v>633732083</v>
      </c>
    </row>
    <row r="78" spans="1:4" ht="12" customHeight="1" x14ac:dyDescent="0.2">
      <c r="A78" s="436">
        <v>60</v>
      </c>
      <c r="B78" s="466">
        <f>_xlfn.XLOOKUP(A78,Códigos!$A$421:$A$483,Códigos!$B$421:$B$483,"Verificar",0)</f>
        <v>0</v>
      </c>
      <c r="C78" s="465">
        <f>SUMIF('EGRESOS DE CAJA'!$B$9:$B$5958,A78,'EGRESOS DE CAJA'!$G$9:$G$5958)</f>
        <v>0</v>
      </c>
      <c r="D78" s="441">
        <f t="shared" si="1"/>
        <v>633732083</v>
      </c>
    </row>
    <row r="79" spans="1:4" ht="12" customHeight="1" x14ac:dyDescent="0.2">
      <c r="A79" s="436"/>
      <c r="B79" s="466"/>
      <c r="C79" s="465">
        <f>SUMIF('EGRESOS DE CAJA'!$B$9:$B$5958,A79,'EGRESOS DE CAJA'!$G$9:$G$5958)</f>
        <v>0</v>
      </c>
      <c r="D79" s="441">
        <f>D78+C79</f>
        <v>633732083</v>
      </c>
    </row>
    <row r="81" spans="1:4" x14ac:dyDescent="0.2">
      <c r="A81" s="310" t="s">
        <v>31</v>
      </c>
      <c r="B81" s="69"/>
      <c r="C81" s="53">
        <f>SUM(C19:C80)</f>
        <v>633732083</v>
      </c>
      <c r="D81" s="53">
        <f>+D79</f>
        <v>633732083</v>
      </c>
    </row>
    <row r="82" spans="1:4" ht="5.0999999999999996" customHeight="1" x14ac:dyDescent="0.2">
      <c r="A82" s="282"/>
      <c r="B82" s="168"/>
      <c r="C82" s="54"/>
      <c r="D82" s="54"/>
    </row>
    <row r="83" spans="1:4" x14ac:dyDescent="0.2">
      <c r="A83" s="1349" t="s">
        <v>32</v>
      </c>
      <c r="B83" s="1349"/>
      <c r="C83" s="1349"/>
      <c r="D83" s="1349"/>
    </row>
    <row r="84" spans="1:4" x14ac:dyDescent="0.2">
      <c r="A84" s="284"/>
      <c r="C84" s="51"/>
      <c r="D84" s="51"/>
    </row>
    <row r="85" spans="1:4" x14ac:dyDescent="0.2">
      <c r="A85" s="436" t="s">
        <v>18</v>
      </c>
      <c r="B85" s="464" t="str">
        <f>_xlfn.XLOOKUP(A85,Códigos!$A$489:$A$522,Códigos!$B$489:$B$522,"Verificar",0)</f>
        <v>Recibido por: -FACTURAS -GTFF</v>
      </c>
      <c r="C85" s="465">
        <f>SUMIF('INGRESOS A CAJA'!$B$9:$B$4452,A85,'INGRESOS A CAJA'!$F$9:$F$4452)</f>
        <v>45615800</v>
      </c>
      <c r="D85" s="441">
        <f>C85</f>
        <v>45615800</v>
      </c>
    </row>
    <row r="86" spans="1:4" x14ac:dyDescent="0.2">
      <c r="A86" s="436" t="s">
        <v>33</v>
      </c>
      <c r="B86" s="464" t="str">
        <f>_xlfn.XLOOKUP(A86,Códigos!$A$489:$A$522,Códigos!$B$489:$B$522,"Verificar",0)</f>
        <v>Recibido por: -Cuentas de cobro -GTFF</v>
      </c>
      <c r="C86" s="465">
        <f>SUMIF('INGRESOS A CAJA'!$B$9:$B$4452,A86,'INGRESOS A CAJA'!$F$9:$F$4452)</f>
        <v>0</v>
      </c>
      <c r="D86" s="441">
        <f t="shared" ref="D86:D110" si="2">D85+C86</f>
        <v>45615800</v>
      </c>
    </row>
    <row r="87" spans="1:4" x14ac:dyDescent="0.2">
      <c r="A87" s="436" t="s">
        <v>34</v>
      </c>
      <c r="B87" s="464" t="str">
        <f>_xlfn.XLOOKUP(A87,Códigos!$A$489:$A$522,Códigos!$B$489:$B$522,"Verificar",0)</f>
        <v>Recibido por: -Cuentas de cobro -DAFF</v>
      </c>
      <c r="C87" s="465">
        <f>SUMIF('INGRESOS A CAJA'!$B$9:$B$4452,A87,'INGRESOS A CAJA'!$F$9:$F$4452)</f>
        <v>42540000</v>
      </c>
      <c r="D87" s="441">
        <f t="shared" si="2"/>
        <v>88155800</v>
      </c>
    </row>
    <row r="88" spans="1:4" x14ac:dyDescent="0.2">
      <c r="A88" s="436" t="s">
        <v>5</v>
      </c>
      <c r="B88" s="464" t="str">
        <f>_xlfn.XLOOKUP(A88,Códigos!$A$489:$A$522,Códigos!$B$489:$B$522,"Verificar",0)</f>
        <v>Recibido por: -Otros ingresos Sin Facturación</v>
      </c>
      <c r="C88" s="465">
        <f>SUMIF('INGRESOS A CAJA'!$B$9:$B$4452,A88,'INGRESOS A CAJA'!$F$9:$F$4452)</f>
        <v>0</v>
      </c>
      <c r="D88" s="441">
        <f t="shared" si="2"/>
        <v>88155800</v>
      </c>
    </row>
    <row r="89" spans="1:4" x14ac:dyDescent="0.2">
      <c r="A89" s="436" t="s">
        <v>35</v>
      </c>
      <c r="B89" s="464" t="str">
        <f>_xlfn.XLOOKUP(A89,Códigos!$A$489:$A$522,Códigos!$B$489:$B$522,"Verificar",0)</f>
        <v>Ingresos Recibidos de terceros para pagos</v>
      </c>
      <c r="C89" s="465">
        <f>SUMIF('INGRESOS A CAJA'!$B$9:$B$4452,A89,'INGRESOS A CAJA'!$F$9:$F$4452)</f>
        <v>1096000</v>
      </c>
      <c r="D89" s="441">
        <f t="shared" si="2"/>
        <v>89251800</v>
      </c>
    </row>
    <row r="90" spans="1:4" x14ac:dyDescent="0.2">
      <c r="A90" s="436" t="s">
        <v>36</v>
      </c>
      <c r="B90" s="464" t="str">
        <f>_xlfn.XLOOKUP(A90,Códigos!$A$489:$A$522,Códigos!$B$489:$B$522,"Verificar",0)</f>
        <v>Recibido por: -Cuentas por Cobrar</v>
      </c>
      <c r="C90" s="465">
        <f>SUMIF('INGRESOS A CAJA'!$B$9:$B$4452,A90,'INGRESOS A CAJA'!$F$9:$F$4452)</f>
        <v>10076800</v>
      </c>
      <c r="D90" s="441">
        <f t="shared" si="2"/>
        <v>99328600</v>
      </c>
    </row>
    <row r="91" spans="1:4" x14ac:dyDescent="0.2">
      <c r="A91" s="436" t="s">
        <v>10</v>
      </c>
      <c r="B91" s="464" t="str">
        <f>_xlfn.XLOOKUP(A91,Códigos!$A$489:$A$522,Códigos!$B$489:$B$522,"Verificar",0)</f>
        <v>Recibido por: -Abono a préstamos por Nómina de:</v>
      </c>
      <c r="C91" s="465">
        <f>SUMIF('INGRESOS A CAJA'!$B$9:$B$4452,A91,'INGRESOS A CAJA'!$F$9:$F$4452)</f>
        <v>1744200</v>
      </c>
      <c r="D91" s="441">
        <f t="shared" si="2"/>
        <v>101072800</v>
      </c>
    </row>
    <row r="92" spans="1:4" x14ac:dyDescent="0.2">
      <c r="A92" s="436" t="s">
        <v>14</v>
      </c>
      <c r="B92" s="464" t="str">
        <f>_xlfn.XLOOKUP(A92,Códigos!$A$489:$A$522,Códigos!$B$489:$B$522,"Verificar",0)</f>
        <v>Recibido por: -Abono a préstamos por Nómina de:</v>
      </c>
      <c r="C92" s="465">
        <f>SUMIF('INGRESOS A CAJA'!$B$9:$B$4452,A92,'INGRESOS A CAJA'!$F$9:$F$4452)</f>
        <v>0</v>
      </c>
      <c r="D92" s="441">
        <f t="shared" si="2"/>
        <v>101072800</v>
      </c>
    </row>
    <row r="93" spans="1:4" x14ac:dyDescent="0.2">
      <c r="A93" s="436" t="s">
        <v>37</v>
      </c>
      <c r="B93" s="464" t="str">
        <f>_xlfn.XLOOKUP(A93,Códigos!$A$489:$A$522,Códigos!$B$489:$B$522,"Verificar",0)</f>
        <v>-Retiros y Traslados de Bancos</v>
      </c>
      <c r="C93" s="465">
        <f>SUMIF('INGRESOS A CAJA'!$B$9:$B$4452,A93,'INGRESOS A CAJA'!$F$9:$F$4452)</f>
        <v>533166783</v>
      </c>
      <c r="D93" s="441">
        <f t="shared" si="2"/>
        <v>634239583</v>
      </c>
    </row>
    <row r="94" spans="1:4" x14ac:dyDescent="0.2">
      <c r="A94" s="436" t="s">
        <v>6</v>
      </c>
      <c r="B94" s="464" t="str">
        <f>_xlfn.XLOOKUP(A94,Códigos!$A$489:$A$522,Códigos!$B$489:$B$522,"Verificar",0)</f>
        <v>-Consignaciones pendientes de identificar</v>
      </c>
      <c r="C94" s="465">
        <f>SUMIF('INGRESOS A CAJA'!$B$9:$B$4452,A94,'INGRESOS A CAJA'!$F$9:$F$4452)</f>
        <v>0</v>
      </c>
      <c r="D94" s="441">
        <f t="shared" si="2"/>
        <v>634239583</v>
      </c>
    </row>
    <row r="95" spans="1:4" x14ac:dyDescent="0.2">
      <c r="A95" s="436" t="s">
        <v>9</v>
      </c>
      <c r="B95" s="466" t="str">
        <f>_xlfn.XLOOKUP(A95,Códigos!$A$489:$A$522,Códigos!$B$489:$B$522,"Verificar",0)</f>
        <v>Recibido por: -Préstamos a favor de la oficina</v>
      </c>
      <c r="C95" s="465">
        <f>SUMIF('INGRESOS A CAJA'!$B$9:$B$4452,A95,'INGRESOS A CAJA'!$F$9:$F$4452)</f>
        <v>0</v>
      </c>
      <c r="D95" s="441">
        <f t="shared" si="2"/>
        <v>634239583</v>
      </c>
    </row>
    <row r="96" spans="1:4" x14ac:dyDescent="0.2">
      <c r="A96" s="436" t="s">
        <v>12</v>
      </c>
      <c r="B96" s="466" t="str">
        <f>_xlfn.XLOOKUP(A96,Códigos!$A$489:$A$522,Códigos!$B$489:$B$522,"Verificar",0)</f>
        <v>Reembolsos y recuperaciones</v>
      </c>
      <c r="C96" s="465">
        <f>SUMIF('INGRESOS A CAJA'!$B$9:$B$4452,A96,'INGRESOS A CAJA'!$F$9:$F$4452)</f>
        <v>0</v>
      </c>
      <c r="D96" s="441">
        <f t="shared" si="2"/>
        <v>634239583</v>
      </c>
    </row>
    <row r="97" spans="1:4" x14ac:dyDescent="0.2">
      <c r="A97" s="436" t="s">
        <v>13</v>
      </c>
      <c r="B97" s="466" t="str">
        <f>_xlfn.XLOOKUP(A97,Códigos!$A$489:$A$522,Códigos!$B$489:$B$522,"Verificar",0)</f>
        <v xml:space="preserve">Recibido por: -Abono a préstamos </v>
      </c>
      <c r="C97" s="465">
        <f>SUMIF('INGRESOS A CAJA'!$B$9:$B$4452,A97,'INGRESOS A CAJA'!$F$9:$F$4452)</f>
        <v>0</v>
      </c>
      <c r="D97" s="441">
        <f t="shared" si="2"/>
        <v>634239583</v>
      </c>
    </row>
    <row r="98" spans="1:4" x14ac:dyDescent="0.2">
      <c r="A98" s="436" t="s">
        <v>7</v>
      </c>
      <c r="B98" s="466" t="str">
        <f>_xlfn.XLOOKUP(A98,Códigos!$A$489:$A$522,Códigos!$B$489:$B$522,"Verificar",0)</f>
        <v>Pago bonificaciones</v>
      </c>
      <c r="C98" s="465">
        <f>SUMIF('INGRESOS A CAJA'!$B$9:$B$4452,A98,'INGRESOS A CAJA'!$F$9:$F$4452)</f>
        <v>0</v>
      </c>
      <c r="D98" s="441">
        <f t="shared" si="2"/>
        <v>634239583</v>
      </c>
    </row>
    <row r="99" spans="1:4" x14ac:dyDescent="0.2">
      <c r="A99" s="436" t="s">
        <v>8</v>
      </c>
      <c r="B99" s="466" t="str">
        <f>_xlfn.XLOOKUP(A99,Códigos!$A$489:$A$522,Códigos!$B$489:$B$522,"Verificar",0)</f>
        <v>Recibido por: -Préstamos  de Juliana Fernandez</v>
      </c>
      <c r="C99" s="465">
        <f>SUMIF('INGRESOS A CAJA'!$B$9:$B$4452,A99,'INGRESOS A CAJA'!$F$9:$F$4452)</f>
        <v>0</v>
      </c>
      <c r="D99" s="441">
        <f t="shared" si="2"/>
        <v>634239583</v>
      </c>
    </row>
    <row r="100" spans="1:4" x14ac:dyDescent="0.2">
      <c r="A100" s="436" t="s">
        <v>16</v>
      </c>
      <c r="B100" s="466" t="str">
        <f>_xlfn.XLOOKUP(A100,Códigos!$A$489:$A$522,Códigos!$B$489:$B$522,"Verificar",0)</f>
        <v>Recibido por : aguinaldos</v>
      </c>
      <c r="C100" s="465">
        <f>SUMIF('INGRESOS A CAJA'!$B$9:$B$4452,A100,'INGRESOS A CAJA'!$F$9:$F$4452)</f>
        <v>0</v>
      </c>
      <c r="D100" s="441">
        <f t="shared" si="2"/>
        <v>634239583</v>
      </c>
    </row>
    <row r="101" spans="1:4" x14ac:dyDescent="0.2">
      <c r="A101" s="436" t="s">
        <v>17</v>
      </c>
      <c r="B101" s="466" t="str">
        <f>_xlfn.XLOOKUP(A101,Códigos!$A$489:$A$522,Códigos!$B$489:$B$522,"Verificar",0)</f>
        <v>Recibido por : aguinaldos</v>
      </c>
      <c r="C101" s="465">
        <f>SUMIF('INGRESOS A CAJA'!$B$9:$B$4452,A101,'INGRESOS A CAJA'!$F$9:$F$4452)</f>
        <v>0</v>
      </c>
      <c r="D101" s="441">
        <f t="shared" si="2"/>
        <v>634239583</v>
      </c>
    </row>
    <row r="102" spans="1:4" x14ac:dyDescent="0.2">
      <c r="A102" s="436" t="s">
        <v>38</v>
      </c>
      <c r="B102" s="466" t="str">
        <f>_xlfn.XLOOKUP(A102,Códigos!$A$489:$A$522,Códigos!$B$489:$B$522,"Verificar",0)</f>
        <v>Recibido por : aguinaldos</v>
      </c>
      <c r="C102" s="465">
        <f>SUMIF('INGRESOS A CAJA'!$B$9:$B$4452,A102,'INGRESOS A CAJA'!$F$9:$F$4452)</f>
        <v>0</v>
      </c>
      <c r="D102" s="441">
        <f t="shared" si="2"/>
        <v>634239583</v>
      </c>
    </row>
    <row r="103" spans="1:4" x14ac:dyDescent="0.2">
      <c r="A103" s="436" t="s">
        <v>11</v>
      </c>
      <c r="B103" s="466" t="str">
        <f>_xlfn.XLOOKUP(A103,Códigos!$A$489:$A$522,Códigos!$B$489:$B$522,"Verificar",0)</f>
        <v>Descuentos de la Tarjeta Flypress</v>
      </c>
      <c r="C103" s="465">
        <f>SUMIF('INGRESOS A CAJA'!$B$9:$B$4452,A103,'INGRESOS A CAJA'!$F$9:$F$4452)</f>
        <v>0</v>
      </c>
      <c r="D103" s="441">
        <f t="shared" si="2"/>
        <v>634239583</v>
      </c>
    </row>
    <row r="104" spans="1:4" x14ac:dyDescent="0.2">
      <c r="A104" s="436" t="s">
        <v>39</v>
      </c>
      <c r="B104" s="466">
        <f>_xlfn.XLOOKUP(A104,Códigos!$A$489:$A$522,Códigos!$B$489:$B$522,"Verificar",0)</f>
        <v>0</v>
      </c>
      <c r="C104" s="465">
        <f>SUMIF('INGRESOS A CAJA'!$B$9:$B$4452,A104,'INGRESOS A CAJA'!$F$9:$F$4452)</f>
        <v>0</v>
      </c>
      <c r="D104" s="441">
        <f t="shared" si="2"/>
        <v>634239583</v>
      </c>
    </row>
    <row r="105" spans="1:4" x14ac:dyDescent="0.2">
      <c r="A105" s="436" t="s">
        <v>15</v>
      </c>
      <c r="B105" s="466">
        <f>_xlfn.XLOOKUP(A105,Códigos!$A$489:$A$522,Códigos!$B$489:$B$522,"Verificar",0)</f>
        <v>0</v>
      </c>
      <c r="C105" s="465">
        <f>SUMIF('INGRESOS A CAJA'!$B$9:$B$4452,A105,'INGRESOS A CAJA'!$F$9:$F$4452)</f>
        <v>0</v>
      </c>
      <c r="D105" s="441">
        <f t="shared" si="2"/>
        <v>634239583</v>
      </c>
    </row>
    <row r="106" spans="1:4" x14ac:dyDescent="0.2">
      <c r="A106" s="436" t="s">
        <v>40</v>
      </c>
      <c r="B106" s="466">
        <f>_xlfn.XLOOKUP(A106,Códigos!$A$489:$A$522,Códigos!$B$489:$B$522,"Verificar",0)</f>
        <v>0</v>
      </c>
      <c r="C106" s="465">
        <f>SUMIF('INGRESOS A CAJA'!$B$9:$B$4452,A106,'INGRESOS A CAJA'!$F$9:$F$4452)</f>
        <v>0</v>
      </c>
      <c r="D106" s="441">
        <f t="shared" si="2"/>
        <v>634239583</v>
      </c>
    </row>
    <row r="107" spans="1:4" x14ac:dyDescent="0.2">
      <c r="A107" s="436" t="s">
        <v>41</v>
      </c>
      <c r="B107" s="466">
        <f>_xlfn.XLOOKUP(A107,Códigos!$A$489:$A$522,Códigos!$B$489:$B$522,"Verificar",0)</f>
        <v>0</v>
      </c>
      <c r="C107" s="465">
        <f>SUMIF('INGRESOS A CAJA'!$B$9:$B$4452,A107,'INGRESOS A CAJA'!$F$9:$F$4452)</f>
        <v>0</v>
      </c>
      <c r="D107" s="441">
        <f t="shared" si="2"/>
        <v>634239583</v>
      </c>
    </row>
    <row r="108" spans="1:4" x14ac:dyDescent="0.2">
      <c r="A108" s="436" t="s">
        <v>42</v>
      </c>
      <c r="B108" s="466">
        <f>_xlfn.XLOOKUP(A108,Códigos!$A$489:$A$522,Códigos!$B$489:$B$522,"Verificar",0)</f>
        <v>0</v>
      </c>
      <c r="C108" s="465">
        <f>SUMIF('INGRESOS A CAJA'!$B$9:$B$4452,A108,'INGRESOS A CAJA'!$F$9:$F$4452)</f>
        <v>0</v>
      </c>
      <c r="D108" s="441">
        <f t="shared" si="2"/>
        <v>634239583</v>
      </c>
    </row>
    <row r="109" spans="1:4" x14ac:dyDescent="0.2">
      <c r="A109" s="436" t="s">
        <v>43</v>
      </c>
      <c r="B109" s="466">
        <f>_xlfn.XLOOKUP(A109,Códigos!$A$489:$A$522,Códigos!$B$489:$B$522,"Verificar",0)</f>
        <v>0</v>
      </c>
      <c r="C109" s="465">
        <f>SUMIF('INGRESOS A CAJA'!$B$9:$B$4452,A109,'INGRESOS A CAJA'!$F$9:$F$4452)</f>
        <v>0</v>
      </c>
      <c r="D109" s="441">
        <f t="shared" si="2"/>
        <v>634239583</v>
      </c>
    </row>
    <row r="110" spans="1:4" x14ac:dyDescent="0.2">
      <c r="A110" s="436" t="s">
        <v>44</v>
      </c>
      <c r="B110" s="466">
        <f>_xlfn.XLOOKUP(A110,Códigos!$A$489:$A$522,Códigos!$B$489:$B$522,"Verificar",0)</f>
        <v>0</v>
      </c>
      <c r="C110" s="465">
        <f>SUMIF('INGRESOS A CAJA'!$B$9:$B$4452,A110,'INGRESOS A CAJA'!$F$9:$F$4452)</f>
        <v>0</v>
      </c>
      <c r="D110" s="441">
        <f t="shared" si="2"/>
        <v>634239583</v>
      </c>
    </row>
    <row r="111" spans="1:4" x14ac:dyDescent="0.2">
      <c r="A111" s="436" t="s">
        <v>381</v>
      </c>
      <c r="B111" s="466">
        <f>_xlfn.XLOOKUP(A111,Códigos!$A$489:$A$522,Códigos!$B$489:$B$522,"Verificar",0)</f>
        <v>0</v>
      </c>
      <c r="C111" s="465">
        <f>SUMIF('INGRESOS A CAJA'!$B$9:$B$4452,A111,'INGRESOS A CAJA'!$F$9:$F$4452)</f>
        <v>0</v>
      </c>
      <c r="D111" s="441">
        <f t="shared" ref="D111:D117" si="3">D110+C111</f>
        <v>634239583</v>
      </c>
    </row>
    <row r="112" spans="1:4" x14ac:dyDescent="0.2">
      <c r="A112" s="436" t="s">
        <v>382</v>
      </c>
      <c r="B112" s="466">
        <f>_xlfn.XLOOKUP(A112,Códigos!$A$489:$A$522,Códigos!$B$489:$B$522,"Verificar",0)</f>
        <v>0</v>
      </c>
      <c r="C112" s="465">
        <f>SUMIF('INGRESOS A CAJA'!$B$9:$B$4452,A112,'INGRESOS A CAJA'!$F$9:$F$4452)</f>
        <v>0</v>
      </c>
      <c r="D112" s="441">
        <f t="shared" si="3"/>
        <v>634239583</v>
      </c>
    </row>
    <row r="113" spans="1:4" x14ac:dyDescent="0.2">
      <c r="A113" s="436" t="s">
        <v>383</v>
      </c>
      <c r="B113" s="466">
        <f>_xlfn.XLOOKUP(A113,Códigos!$A$489:$A$522,Códigos!$B$489:$B$522,"Verificar",0)</f>
        <v>0</v>
      </c>
      <c r="C113" s="465">
        <f>SUMIF('INGRESOS A CAJA'!$B$9:$B$4452,A113,'INGRESOS A CAJA'!$F$9:$F$4452)</f>
        <v>0</v>
      </c>
      <c r="D113" s="441">
        <f t="shared" si="3"/>
        <v>634239583</v>
      </c>
    </row>
    <row r="114" spans="1:4" x14ac:dyDescent="0.2">
      <c r="A114" s="436" t="s">
        <v>384</v>
      </c>
      <c r="B114" s="466">
        <f>_xlfn.XLOOKUP(A114,Códigos!$A$489:$A$522,Códigos!$B$489:$B$522,"Verificar",0)</f>
        <v>0</v>
      </c>
      <c r="C114" s="465">
        <f>SUMIF('INGRESOS A CAJA'!$B$9:$B$4452,A114,'INGRESOS A CAJA'!$F$9:$F$4452)</f>
        <v>0</v>
      </c>
      <c r="D114" s="441">
        <f t="shared" si="3"/>
        <v>634239583</v>
      </c>
    </row>
    <row r="115" spans="1:4" x14ac:dyDescent="0.2">
      <c r="A115" s="436" t="s">
        <v>385</v>
      </c>
      <c r="B115" s="466">
        <f>_xlfn.XLOOKUP(A115,Códigos!$A$489:$A$522,Códigos!$B$489:$B$522,"Verificar",0)</f>
        <v>0</v>
      </c>
      <c r="C115" s="465">
        <f>SUMIF('INGRESOS A CAJA'!$B$9:$B$4452,A115,'INGRESOS A CAJA'!$F$9:$F$4452)</f>
        <v>0</v>
      </c>
      <c r="D115" s="441">
        <f t="shared" si="3"/>
        <v>634239583</v>
      </c>
    </row>
    <row r="116" spans="1:4" x14ac:dyDescent="0.2">
      <c r="A116" s="436" t="s">
        <v>386</v>
      </c>
      <c r="B116" s="466">
        <f>_xlfn.XLOOKUP(A116,Códigos!$A$489:$A$522,Códigos!$B$489:$B$522,"Verificar",0)</f>
        <v>0</v>
      </c>
      <c r="C116" s="465">
        <f>SUMIF('INGRESOS A CAJA'!$B$9:$B$4452,A116,'INGRESOS A CAJA'!$F$9:$F$4452)</f>
        <v>0</v>
      </c>
      <c r="D116" s="441">
        <f t="shared" si="3"/>
        <v>634239583</v>
      </c>
    </row>
    <row r="117" spans="1:4" x14ac:dyDescent="0.2">
      <c r="A117" s="436"/>
      <c r="B117" s="464"/>
      <c r="C117" s="465">
        <f>SUMIF('INGRESOS A CAJA'!$B$9:$B$4452,A117,'INGRESOS A CAJA'!$F$9:$F$4452)</f>
        <v>0</v>
      </c>
      <c r="D117" s="441">
        <f t="shared" si="3"/>
        <v>634239583</v>
      </c>
    </row>
    <row r="118" spans="1:4" x14ac:dyDescent="0.2">
      <c r="A118" s="164"/>
      <c r="C118" s="51"/>
      <c r="D118" s="51"/>
    </row>
    <row r="119" spans="1:4" x14ac:dyDescent="0.2">
      <c r="A119" s="310" t="s">
        <v>45</v>
      </c>
      <c r="B119" s="69"/>
      <c r="C119" s="53">
        <f>SUM(C85:C118)</f>
        <v>634239583</v>
      </c>
      <c r="D119" s="53">
        <f>+D117</f>
        <v>634239583</v>
      </c>
    </row>
  </sheetData>
  <mergeCells count="2">
    <mergeCell ref="A17:D17"/>
    <mergeCell ref="A83:D83"/>
  </mergeCells>
  <printOptions horizontalCentered="1"/>
  <pageMargins left="0.15972222222222221" right="0.28333333333333333" top="0.39374999999999999" bottom="0.58333333333333337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92"/>
  <sheetViews>
    <sheetView showGridLines="0" showOutlineSymbols="0" defaultGridColor="0" colorId="8" zoomScale="80" zoomScaleNormal="80" workbookViewId="0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baseColWidth="10" defaultColWidth="9.6640625" defaultRowHeight="12.75" x14ac:dyDescent="0.2"/>
  <cols>
    <col min="1" max="1" width="10.109375" style="22" customWidth="1"/>
    <col min="2" max="2" width="10.6640625" style="1298" customWidth="1"/>
    <col min="3" max="3" width="6.6640625" style="337" customWidth="1"/>
    <col min="4" max="4" width="41.88671875" style="1" customWidth="1"/>
    <col min="5" max="5" width="7.77734375" style="93" customWidth="1"/>
    <col min="6" max="6" width="36.5546875" style="1" customWidth="1"/>
    <col min="7" max="7" width="13.109375" style="128" customWidth="1"/>
    <col min="8" max="8" width="11.88671875" style="252" bestFit="1" customWidth="1"/>
    <col min="9" max="9" width="13" style="252" bestFit="1" customWidth="1"/>
    <col min="10" max="10" width="10.88671875" style="252" bestFit="1" customWidth="1"/>
    <col min="11" max="11" width="13" style="252" bestFit="1" customWidth="1"/>
    <col min="12" max="12" width="12.109375" style="128" customWidth="1"/>
    <col min="13" max="13" width="10.21875" style="128" customWidth="1"/>
    <col min="14" max="14" width="13.21875" style="70" bestFit="1" customWidth="1"/>
    <col min="15" max="15" width="13.21875" style="51" customWidth="1"/>
    <col min="16" max="16" width="16.33203125" style="1" customWidth="1"/>
    <col min="17" max="17" width="10.6640625" style="854" customWidth="1"/>
    <col min="18" max="18" width="20.6640625" style="61" customWidth="1"/>
    <col min="19" max="19" width="1.6640625" style="1" customWidth="1"/>
    <col min="20" max="16384" width="9.6640625" style="1"/>
  </cols>
  <sheetData>
    <row r="1" spans="1:19" ht="24.95" customHeight="1" x14ac:dyDescent="0.2">
      <c r="A1" s="225" t="str">
        <f>+Códigos!$A$1</f>
        <v>LIBRO DIARIO OFICINA</v>
      </c>
      <c r="S1" s="3"/>
    </row>
    <row r="2" spans="1:19" x14ac:dyDescent="0.2">
      <c r="A2" s="347" t="s">
        <v>318</v>
      </c>
      <c r="B2" s="1299"/>
      <c r="D2" s="18"/>
      <c r="F2" s="345" t="s">
        <v>400</v>
      </c>
      <c r="G2" s="343">
        <f>+E331</f>
        <v>0</v>
      </c>
      <c r="H2" s="384">
        <f>+G333</f>
        <v>26882000</v>
      </c>
      <c r="I2" s="123" t="s">
        <v>332</v>
      </c>
      <c r="Q2" s="494"/>
      <c r="S2" s="3"/>
    </row>
    <row r="3" spans="1:19" x14ac:dyDescent="0.2">
      <c r="A3" s="66" t="str">
        <f>+Códigos!$A$3</f>
        <v>AÑO:</v>
      </c>
      <c r="B3" s="1300">
        <f>+Códigos!$B$3</f>
        <v>2025</v>
      </c>
      <c r="D3" s="18"/>
      <c r="F3" s="346" t="s">
        <v>400</v>
      </c>
      <c r="G3" s="342">
        <f>+E332</f>
        <v>0</v>
      </c>
      <c r="H3" s="385">
        <f>+G334</f>
        <v>11454000</v>
      </c>
      <c r="I3" s="123" t="s">
        <v>332</v>
      </c>
      <c r="Q3" s="494"/>
      <c r="S3" s="3"/>
    </row>
    <row r="4" spans="1:19" ht="12" customHeight="1" x14ac:dyDescent="0.2">
      <c r="B4" s="1299"/>
      <c r="C4" s="284"/>
      <c r="D4" s="13"/>
      <c r="E4" s="296"/>
      <c r="G4" s="164"/>
      <c r="H4" s="100"/>
      <c r="I4" s="100"/>
      <c r="Q4" s="494"/>
      <c r="S4" s="3"/>
    </row>
    <row r="5" spans="1:19" s="269" customFormat="1" ht="42" x14ac:dyDescent="0.2">
      <c r="A5" s="270" t="s">
        <v>326</v>
      </c>
      <c r="B5" s="1301" t="s">
        <v>327</v>
      </c>
      <c r="C5" s="270" t="s">
        <v>319</v>
      </c>
      <c r="D5" s="271" t="s">
        <v>579</v>
      </c>
      <c r="E5" s="271" t="s">
        <v>397</v>
      </c>
      <c r="F5" s="351" t="s">
        <v>19</v>
      </c>
      <c r="G5" s="271" t="s">
        <v>328</v>
      </c>
      <c r="H5" s="271" t="s">
        <v>321</v>
      </c>
      <c r="I5" s="271" t="s">
        <v>329</v>
      </c>
      <c r="J5" s="524" t="s">
        <v>320</v>
      </c>
      <c r="K5" s="524" t="s">
        <v>322</v>
      </c>
      <c r="L5" s="271" t="s">
        <v>105</v>
      </c>
      <c r="M5" s="271" t="s">
        <v>267</v>
      </c>
      <c r="N5" s="271" t="s">
        <v>581</v>
      </c>
      <c r="O5" s="239" t="s">
        <v>580</v>
      </c>
      <c r="P5" s="266" t="s">
        <v>323</v>
      </c>
      <c r="Q5" s="855" t="s">
        <v>324</v>
      </c>
      <c r="R5" s="348" t="s">
        <v>26</v>
      </c>
      <c r="S5" s="267"/>
    </row>
    <row r="6" spans="1:19" ht="12" customHeight="1" x14ac:dyDescent="0.2">
      <c r="B6" s="1299"/>
      <c r="D6" s="18"/>
      <c r="Q6" s="494"/>
      <c r="S6" s="3"/>
    </row>
    <row r="7" spans="1:19" ht="6" customHeight="1" x14ac:dyDescent="0.2">
      <c r="A7" s="32"/>
      <c r="B7" s="1302"/>
      <c r="C7" s="282"/>
      <c r="D7" s="10"/>
      <c r="E7" s="355"/>
      <c r="F7" s="3"/>
      <c r="G7" s="283"/>
      <c r="H7" s="336"/>
      <c r="I7" s="336"/>
      <c r="J7" s="253"/>
      <c r="K7" s="253"/>
      <c r="L7" s="289"/>
      <c r="M7" s="289"/>
      <c r="N7" s="247"/>
      <c r="O7" s="54"/>
      <c r="P7" s="3"/>
      <c r="Q7" s="856"/>
      <c r="R7" s="217"/>
      <c r="S7" s="3"/>
    </row>
    <row r="8" spans="1:19" ht="24" customHeight="1" x14ac:dyDescent="0.2">
      <c r="A8" s="30" t="s">
        <v>409</v>
      </c>
      <c r="B8" s="1299"/>
      <c r="D8" s="18"/>
      <c r="N8" s="70" t="s">
        <v>856</v>
      </c>
      <c r="Q8" s="494"/>
      <c r="S8" s="3"/>
    </row>
    <row r="9" spans="1:19" ht="12" customHeight="1" x14ac:dyDescent="0.2">
      <c r="A9" s="1233" t="s">
        <v>1443</v>
      </c>
      <c r="B9" s="1303">
        <v>45827</v>
      </c>
      <c r="C9" s="649">
        <v>10</v>
      </c>
      <c r="D9" s="327" t="str">
        <f>_xlfn.XLOOKUP(C9,Códigos!$A$11:$A$415,Códigos!$B$11:$B$415,"Verificar",0)</f>
        <v>NOMBRE 80</v>
      </c>
      <c r="E9" s="356" t="s">
        <v>398</v>
      </c>
      <c r="F9" s="998" t="s">
        <v>857</v>
      </c>
      <c r="G9" s="487">
        <v>7553000</v>
      </c>
      <c r="H9" s="488">
        <f t="shared" ref="H9" si="0">+G9*19%</f>
        <v>1435070</v>
      </c>
      <c r="I9" s="488">
        <f t="shared" ref="I9" si="1">+G9+H9</f>
        <v>8988070</v>
      </c>
      <c r="J9" s="488">
        <f t="shared" ref="J9" si="2">+G9*0.11</f>
        <v>830830</v>
      </c>
      <c r="K9" s="488">
        <f t="shared" ref="K9:K57" si="3">+I9-J9</f>
        <v>8157240</v>
      </c>
      <c r="L9" s="487">
        <v>8157240</v>
      </c>
      <c r="M9" s="487">
        <v>0</v>
      </c>
      <c r="N9" s="489">
        <f>IF(+(K9-L9-M9)&lt;0,0,(K9-L9-M9))</f>
        <v>0</v>
      </c>
      <c r="O9" s="209">
        <f t="shared" ref="O9" si="4">IF(+(K9-L9-M9)&gt;0,0,(K9-L9-M9))</f>
        <v>0</v>
      </c>
      <c r="P9" s="276" t="s">
        <v>1446</v>
      </c>
      <c r="Q9" s="857">
        <v>45828</v>
      </c>
      <c r="R9" s="294"/>
      <c r="S9" s="3"/>
    </row>
    <row r="10" spans="1:19" ht="12" customHeight="1" x14ac:dyDescent="0.2">
      <c r="A10" s="325" t="s">
        <v>1444</v>
      </c>
      <c r="B10" s="1303">
        <v>45827</v>
      </c>
      <c r="C10" s="649">
        <v>19</v>
      </c>
      <c r="D10" s="327" t="str">
        <f>_xlfn.XLOOKUP(C10,Códigos!$A$11:$A$415,Códigos!$B$11:$B$415,"Verificar",0)</f>
        <v>NOMBRE 164</v>
      </c>
      <c r="E10" s="356" t="s">
        <v>398</v>
      </c>
      <c r="F10" s="998" t="s">
        <v>857</v>
      </c>
      <c r="G10" s="487">
        <v>11025000</v>
      </c>
      <c r="H10" s="488">
        <f t="shared" ref="H10:H57" si="5">+G10*19%</f>
        <v>2094750</v>
      </c>
      <c r="I10" s="488">
        <f t="shared" ref="I10:I57" si="6">+G10+H10</f>
        <v>13119750</v>
      </c>
      <c r="J10" s="488">
        <f t="shared" ref="J10:J57" si="7">IF(E10="SI",G10*11%,0)</f>
        <v>1212750</v>
      </c>
      <c r="K10" s="488">
        <f t="shared" si="3"/>
        <v>11907000</v>
      </c>
      <c r="L10" s="487">
        <v>11907000</v>
      </c>
      <c r="M10" s="487">
        <v>0</v>
      </c>
      <c r="N10" s="489">
        <f t="shared" ref="N10:N57" si="8">IF(+(K10-L10-M10)&lt;0,0,(K10-L10-M10))</f>
        <v>0</v>
      </c>
      <c r="O10" s="209">
        <f t="shared" ref="O10:O57" si="9">IF(+(K10-L10-M10)&gt;0,0,(K10-L10-M10))</f>
        <v>0</v>
      </c>
      <c r="P10" s="276" t="s">
        <v>1446</v>
      </c>
      <c r="Q10" s="857">
        <v>45828</v>
      </c>
      <c r="R10" s="294"/>
      <c r="S10" s="3"/>
    </row>
    <row r="11" spans="1:19" ht="12" customHeight="1" x14ac:dyDescent="0.2">
      <c r="A11" s="325" t="s">
        <v>1445</v>
      </c>
      <c r="B11" s="1303">
        <v>45827</v>
      </c>
      <c r="C11" s="649">
        <v>28</v>
      </c>
      <c r="D11" s="327" t="str">
        <f>_xlfn.XLOOKUP(C11,Códigos!$A$11:$A$415,Códigos!$B$11:$B$415,"Verificar",0)</f>
        <v>NOMBRE 180</v>
      </c>
      <c r="E11" s="356" t="s">
        <v>398</v>
      </c>
      <c r="F11" s="998" t="s">
        <v>857</v>
      </c>
      <c r="G11" s="487">
        <v>11025000</v>
      </c>
      <c r="H11" s="488">
        <f t="shared" si="5"/>
        <v>2094750</v>
      </c>
      <c r="I11" s="488">
        <f t="shared" si="6"/>
        <v>13119750</v>
      </c>
      <c r="J11" s="488">
        <f t="shared" ref="J11" si="10">+G11*0.11</f>
        <v>1212750</v>
      </c>
      <c r="K11" s="488">
        <f t="shared" si="3"/>
        <v>11907000</v>
      </c>
      <c r="L11" s="487">
        <v>11907000</v>
      </c>
      <c r="M11" s="487">
        <v>0</v>
      </c>
      <c r="N11" s="489">
        <f t="shared" si="8"/>
        <v>0</v>
      </c>
      <c r="O11" s="209">
        <f t="shared" si="9"/>
        <v>0</v>
      </c>
      <c r="P11" s="276" t="s">
        <v>1446</v>
      </c>
      <c r="Q11" s="857">
        <v>45828</v>
      </c>
      <c r="R11" s="294"/>
      <c r="S11" s="3"/>
    </row>
    <row r="12" spans="1:19" ht="12" customHeight="1" x14ac:dyDescent="0.2">
      <c r="A12" s="325" t="s">
        <v>853</v>
      </c>
      <c r="B12" s="1304"/>
      <c r="C12" s="649"/>
      <c r="D12" s="327">
        <f>_xlfn.XLOOKUP(C12,Códigos!$A$11:$A$415,Códigos!$B$11:$B$415,"Verificar",0)</f>
        <v>0</v>
      </c>
      <c r="E12" s="356" t="s">
        <v>398</v>
      </c>
      <c r="F12" s="998" t="s">
        <v>857</v>
      </c>
      <c r="G12" s="487"/>
      <c r="H12" s="488">
        <f t="shared" si="5"/>
        <v>0</v>
      </c>
      <c r="I12" s="488">
        <f t="shared" si="6"/>
        <v>0</v>
      </c>
      <c r="J12" s="488">
        <f t="shared" si="7"/>
        <v>0</v>
      </c>
      <c r="K12" s="488">
        <f t="shared" si="3"/>
        <v>0</v>
      </c>
      <c r="L12" s="487"/>
      <c r="M12" s="487">
        <v>0</v>
      </c>
      <c r="N12" s="489">
        <f t="shared" si="8"/>
        <v>0</v>
      </c>
      <c r="O12" s="209">
        <f t="shared" si="9"/>
        <v>0</v>
      </c>
      <c r="P12" s="276"/>
      <c r="Q12" s="857"/>
      <c r="R12" s="294"/>
      <c r="S12" s="3"/>
    </row>
    <row r="13" spans="1:19" ht="12" customHeight="1" x14ac:dyDescent="0.2">
      <c r="A13" s="325" t="s">
        <v>853</v>
      </c>
      <c r="B13" s="1304"/>
      <c r="C13" s="649"/>
      <c r="D13" s="327">
        <f>_xlfn.XLOOKUP(C13,Códigos!$A$11:$A$415,Códigos!$B$11:$B$415,"Verificar",0)</f>
        <v>0</v>
      </c>
      <c r="E13" s="356" t="s">
        <v>398</v>
      </c>
      <c r="F13" s="998" t="s">
        <v>857</v>
      </c>
      <c r="G13" s="487"/>
      <c r="H13" s="488">
        <f t="shared" si="5"/>
        <v>0</v>
      </c>
      <c r="I13" s="488">
        <f t="shared" si="6"/>
        <v>0</v>
      </c>
      <c r="J13" s="488">
        <f t="shared" si="7"/>
        <v>0</v>
      </c>
      <c r="K13" s="488">
        <f t="shared" si="3"/>
        <v>0</v>
      </c>
      <c r="L13" s="487"/>
      <c r="M13" s="487">
        <v>0</v>
      </c>
      <c r="N13" s="489">
        <f t="shared" si="8"/>
        <v>0</v>
      </c>
      <c r="O13" s="209">
        <f t="shared" si="9"/>
        <v>0</v>
      </c>
      <c r="P13" s="276"/>
      <c r="Q13" s="857"/>
      <c r="R13" s="294"/>
      <c r="S13" s="3"/>
    </row>
    <row r="14" spans="1:19" ht="12" customHeight="1" x14ac:dyDescent="0.2">
      <c r="A14" s="325" t="s">
        <v>853</v>
      </c>
      <c r="B14" s="1304"/>
      <c r="C14" s="649"/>
      <c r="D14" s="327">
        <f>_xlfn.XLOOKUP(C14,Códigos!$A$11:$A$415,Códigos!$B$11:$B$415,"Verificar",0)</f>
        <v>0</v>
      </c>
      <c r="E14" s="356" t="s">
        <v>398</v>
      </c>
      <c r="F14" s="998" t="s">
        <v>857</v>
      </c>
      <c r="G14" s="487"/>
      <c r="H14" s="488">
        <f t="shared" si="5"/>
        <v>0</v>
      </c>
      <c r="I14" s="488">
        <f t="shared" si="6"/>
        <v>0</v>
      </c>
      <c r="J14" s="488">
        <f t="shared" si="7"/>
        <v>0</v>
      </c>
      <c r="K14" s="488">
        <f t="shared" si="3"/>
        <v>0</v>
      </c>
      <c r="L14" s="487"/>
      <c r="M14" s="487">
        <v>0</v>
      </c>
      <c r="N14" s="489">
        <f t="shared" si="8"/>
        <v>0</v>
      </c>
      <c r="O14" s="209">
        <f t="shared" si="9"/>
        <v>0</v>
      </c>
      <c r="P14" s="276"/>
      <c r="Q14" s="857"/>
      <c r="R14" s="294"/>
      <c r="S14" s="3"/>
    </row>
    <row r="15" spans="1:19" ht="12" customHeight="1" x14ac:dyDescent="0.2">
      <c r="A15" s="325" t="s">
        <v>853</v>
      </c>
      <c r="B15" s="1304"/>
      <c r="C15" s="649"/>
      <c r="D15" s="327">
        <f>_xlfn.XLOOKUP(C15,Códigos!$A$11:$A$415,Códigos!$B$11:$B$415,"Verificar",0)</f>
        <v>0</v>
      </c>
      <c r="E15" s="356" t="s">
        <v>398</v>
      </c>
      <c r="F15" s="998" t="s">
        <v>857</v>
      </c>
      <c r="G15" s="487"/>
      <c r="H15" s="488">
        <f t="shared" si="5"/>
        <v>0</v>
      </c>
      <c r="I15" s="488">
        <f t="shared" si="6"/>
        <v>0</v>
      </c>
      <c r="J15" s="488">
        <f>IF(E15="SI",G15*11%,0)</f>
        <v>0</v>
      </c>
      <c r="K15" s="488">
        <f t="shared" si="3"/>
        <v>0</v>
      </c>
      <c r="L15" s="487"/>
      <c r="M15" s="487">
        <v>0</v>
      </c>
      <c r="N15" s="489">
        <f t="shared" si="8"/>
        <v>0</v>
      </c>
      <c r="O15" s="209">
        <f t="shared" si="9"/>
        <v>0</v>
      </c>
      <c r="P15" s="276"/>
      <c r="Q15" s="857"/>
      <c r="R15" s="294"/>
      <c r="S15" s="3"/>
    </row>
    <row r="16" spans="1:19" ht="12" customHeight="1" x14ac:dyDescent="0.2">
      <c r="A16" s="325" t="s">
        <v>853</v>
      </c>
      <c r="B16" s="1304"/>
      <c r="C16" s="649"/>
      <c r="D16" s="327">
        <f>_xlfn.XLOOKUP(C16,Códigos!$A$11:$A$415,Códigos!$B$11:$B$415,"Verificar",0)</f>
        <v>0</v>
      </c>
      <c r="E16" s="356" t="s">
        <v>398</v>
      </c>
      <c r="F16" s="998" t="s">
        <v>857</v>
      </c>
      <c r="G16" s="487"/>
      <c r="H16" s="488">
        <f t="shared" si="5"/>
        <v>0</v>
      </c>
      <c r="I16" s="488">
        <f t="shared" si="6"/>
        <v>0</v>
      </c>
      <c r="J16" s="488">
        <f t="shared" si="7"/>
        <v>0</v>
      </c>
      <c r="K16" s="488">
        <f t="shared" si="3"/>
        <v>0</v>
      </c>
      <c r="L16" s="487"/>
      <c r="M16" s="487">
        <v>0</v>
      </c>
      <c r="N16" s="489">
        <f t="shared" si="8"/>
        <v>0</v>
      </c>
      <c r="O16" s="209">
        <f t="shared" si="9"/>
        <v>0</v>
      </c>
      <c r="P16" s="276"/>
      <c r="Q16" s="857"/>
      <c r="R16" s="294"/>
      <c r="S16" s="3"/>
    </row>
    <row r="17" spans="1:19" ht="12" customHeight="1" x14ac:dyDescent="0.2">
      <c r="A17" s="325" t="s">
        <v>853</v>
      </c>
      <c r="B17" s="1304"/>
      <c r="C17" s="649"/>
      <c r="D17" s="327">
        <f>_xlfn.XLOOKUP(C17,Códigos!$A$11:$A$415,Códigos!$B$11:$B$415,"Verificar",0)</f>
        <v>0</v>
      </c>
      <c r="E17" s="356" t="s">
        <v>398</v>
      </c>
      <c r="F17" s="998" t="s">
        <v>857</v>
      </c>
      <c r="G17" s="487"/>
      <c r="H17" s="488">
        <f t="shared" si="5"/>
        <v>0</v>
      </c>
      <c r="I17" s="488">
        <f t="shared" si="6"/>
        <v>0</v>
      </c>
      <c r="J17" s="488">
        <f t="shared" si="7"/>
        <v>0</v>
      </c>
      <c r="K17" s="488">
        <f t="shared" si="3"/>
        <v>0</v>
      </c>
      <c r="L17" s="487"/>
      <c r="M17" s="487">
        <v>0</v>
      </c>
      <c r="N17" s="489">
        <f t="shared" si="8"/>
        <v>0</v>
      </c>
      <c r="O17" s="209">
        <f t="shared" si="9"/>
        <v>0</v>
      </c>
      <c r="P17" s="276"/>
      <c r="Q17" s="857"/>
      <c r="R17" s="294"/>
      <c r="S17" s="3"/>
    </row>
    <row r="18" spans="1:19" ht="12" customHeight="1" x14ac:dyDescent="0.2">
      <c r="A18" s="325" t="s">
        <v>853</v>
      </c>
      <c r="B18" s="1304"/>
      <c r="C18" s="649"/>
      <c r="D18" s="327">
        <f>_xlfn.XLOOKUP(C18,Códigos!$A$11:$A$415,Códigos!$B$11:$B$415,"Verificar",0)</f>
        <v>0</v>
      </c>
      <c r="E18" s="356" t="s">
        <v>398</v>
      </c>
      <c r="F18" s="998" t="s">
        <v>857</v>
      </c>
      <c r="G18" s="487"/>
      <c r="H18" s="488">
        <f t="shared" si="5"/>
        <v>0</v>
      </c>
      <c r="I18" s="488">
        <f t="shared" si="6"/>
        <v>0</v>
      </c>
      <c r="J18" s="488">
        <f t="shared" si="7"/>
        <v>0</v>
      </c>
      <c r="K18" s="488">
        <f t="shared" si="3"/>
        <v>0</v>
      </c>
      <c r="L18" s="487"/>
      <c r="M18" s="487">
        <v>0</v>
      </c>
      <c r="N18" s="489">
        <f t="shared" si="8"/>
        <v>0</v>
      </c>
      <c r="O18" s="209">
        <f t="shared" si="9"/>
        <v>0</v>
      </c>
      <c r="P18" s="276"/>
      <c r="Q18" s="857"/>
      <c r="R18" s="294"/>
      <c r="S18" s="3"/>
    </row>
    <row r="19" spans="1:19" ht="12" customHeight="1" x14ac:dyDescent="0.2">
      <c r="A19" s="325" t="s">
        <v>853</v>
      </c>
      <c r="B19" s="1304"/>
      <c r="C19" s="649"/>
      <c r="D19" s="327">
        <f>_xlfn.XLOOKUP(C19,Códigos!$A$11:$A$415,Códigos!$B$11:$B$415,"Verificar",0)</f>
        <v>0</v>
      </c>
      <c r="E19" s="356" t="s">
        <v>398</v>
      </c>
      <c r="F19" s="998" t="s">
        <v>857</v>
      </c>
      <c r="G19" s="487"/>
      <c r="H19" s="488">
        <f t="shared" si="5"/>
        <v>0</v>
      </c>
      <c r="I19" s="488">
        <f t="shared" si="6"/>
        <v>0</v>
      </c>
      <c r="J19" s="488">
        <f t="shared" si="7"/>
        <v>0</v>
      </c>
      <c r="K19" s="488">
        <f t="shared" si="3"/>
        <v>0</v>
      </c>
      <c r="L19" s="487"/>
      <c r="M19" s="487">
        <v>0</v>
      </c>
      <c r="N19" s="489">
        <f t="shared" si="8"/>
        <v>0</v>
      </c>
      <c r="O19" s="209">
        <f t="shared" si="9"/>
        <v>0</v>
      </c>
      <c r="P19" s="276"/>
      <c r="Q19" s="857"/>
      <c r="R19" s="294"/>
      <c r="S19" s="3"/>
    </row>
    <row r="20" spans="1:19" ht="12" customHeight="1" x14ac:dyDescent="0.2">
      <c r="A20" s="325" t="s">
        <v>853</v>
      </c>
      <c r="B20" s="1304"/>
      <c r="C20" s="649"/>
      <c r="D20" s="327">
        <f>_xlfn.XLOOKUP(C20,Códigos!$A$11:$A$415,Códigos!$B$11:$B$415,"Verificar",0)</f>
        <v>0</v>
      </c>
      <c r="E20" s="356" t="s">
        <v>398</v>
      </c>
      <c r="F20" s="998" t="s">
        <v>857</v>
      </c>
      <c r="G20" s="487"/>
      <c r="H20" s="488">
        <f t="shared" si="5"/>
        <v>0</v>
      </c>
      <c r="I20" s="488">
        <f t="shared" si="6"/>
        <v>0</v>
      </c>
      <c r="J20" s="488">
        <f t="shared" si="7"/>
        <v>0</v>
      </c>
      <c r="K20" s="488">
        <f t="shared" si="3"/>
        <v>0</v>
      </c>
      <c r="L20" s="487"/>
      <c r="M20" s="487">
        <v>0</v>
      </c>
      <c r="N20" s="489">
        <f t="shared" si="8"/>
        <v>0</v>
      </c>
      <c r="O20" s="209">
        <f t="shared" si="9"/>
        <v>0</v>
      </c>
      <c r="P20" s="276"/>
      <c r="Q20" s="857"/>
      <c r="R20" s="294"/>
      <c r="S20" s="3"/>
    </row>
    <row r="21" spans="1:19" ht="12" customHeight="1" x14ac:dyDescent="0.2">
      <c r="A21" s="325" t="s">
        <v>853</v>
      </c>
      <c r="B21" s="1304"/>
      <c r="C21" s="649"/>
      <c r="D21" s="327">
        <f>_xlfn.XLOOKUP(C21,Códigos!$A$11:$A$415,Códigos!$B$11:$B$415,"Verificar",0)</f>
        <v>0</v>
      </c>
      <c r="E21" s="356" t="s">
        <v>398</v>
      </c>
      <c r="F21" s="998" t="s">
        <v>857</v>
      </c>
      <c r="G21" s="487"/>
      <c r="H21" s="488">
        <f t="shared" si="5"/>
        <v>0</v>
      </c>
      <c r="I21" s="488">
        <f t="shared" si="6"/>
        <v>0</v>
      </c>
      <c r="J21" s="488">
        <f t="shared" si="7"/>
        <v>0</v>
      </c>
      <c r="K21" s="488">
        <f t="shared" si="3"/>
        <v>0</v>
      </c>
      <c r="L21" s="487"/>
      <c r="M21" s="487">
        <v>0</v>
      </c>
      <c r="N21" s="489">
        <f t="shared" si="8"/>
        <v>0</v>
      </c>
      <c r="O21" s="209">
        <f t="shared" si="9"/>
        <v>0</v>
      </c>
      <c r="P21" s="276"/>
      <c r="Q21" s="857"/>
      <c r="R21" s="294"/>
      <c r="S21" s="3"/>
    </row>
    <row r="22" spans="1:19" ht="12" customHeight="1" x14ac:dyDescent="0.2">
      <c r="A22" s="325" t="s">
        <v>853</v>
      </c>
      <c r="B22" s="1304"/>
      <c r="C22" s="649"/>
      <c r="D22" s="327">
        <f>_xlfn.XLOOKUP(C22,Códigos!$A$11:$A$415,Códigos!$B$11:$B$415,"Verificar",0)</f>
        <v>0</v>
      </c>
      <c r="E22" s="356" t="s">
        <v>398</v>
      </c>
      <c r="F22" s="998" t="s">
        <v>857</v>
      </c>
      <c r="G22" s="487"/>
      <c r="H22" s="488">
        <f t="shared" si="5"/>
        <v>0</v>
      </c>
      <c r="I22" s="488">
        <f t="shared" si="6"/>
        <v>0</v>
      </c>
      <c r="J22" s="488">
        <f t="shared" si="7"/>
        <v>0</v>
      </c>
      <c r="K22" s="488">
        <f t="shared" si="3"/>
        <v>0</v>
      </c>
      <c r="L22" s="487"/>
      <c r="M22" s="487">
        <v>0</v>
      </c>
      <c r="N22" s="489">
        <f t="shared" si="8"/>
        <v>0</v>
      </c>
      <c r="O22" s="209">
        <f t="shared" si="9"/>
        <v>0</v>
      </c>
      <c r="P22" s="276"/>
      <c r="Q22" s="857"/>
      <c r="R22" s="294"/>
      <c r="S22" s="3"/>
    </row>
    <row r="23" spans="1:19" ht="12" customHeight="1" x14ac:dyDescent="0.2">
      <c r="A23" s="325" t="s">
        <v>853</v>
      </c>
      <c r="B23" s="1304"/>
      <c r="C23" s="649"/>
      <c r="D23" s="327">
        <f>_xlfn.XLOOKUP(C23,Códigos!$A$11:$A$415,Códigos!$B$11:$B$415,"Verificar",0)</f>
        <v>0</v>
      </c>
      <c r="E23" s="356" t="s">
        <v>398</v>
      </c>
      <c r="F23" s="998" t="s">
        <v>857</v>
      </c>
      <c r="G23" s="487"/>
      <c r="H23" s="488">
        <f t="shared" si="5"/>
        <v>0</v>
      </c>
      <c r="I23" s="488">
        <f t="shared" si="6"/>
        <v>0</v>
      </c>
      <c r="J23" s="488">
        <f t="shared" si="7"/>
        <v>0</v>
      </c>
      <c r="K23" s="488">
        <f t="shared" si="3"/>
        <v>0</v>
      </c>
      <c r="L23" s="487"/>
      <c r="M23" s="487">
        <v>0</v>
      </c>
      <c r="N23" s="489">
        <f t="shared" si="8"/>
        <v>0</v>
      </c>
      <c r="O23" s="209">
        <f t="shared" si="9"/>
        <v>0</v>
      </c>
      <c r="P23" s="276"/>
      <c r="Q23" s="857"/>
      <c r="R23" s="294"/>
      <c r="S23" s="3"/>
    </row>
    <row r="24" spans="1:19" ht="12" customHeight="1" x14ac:dyDescent="0.2">
      <c r="A24" s="325" t="s">
        <v>853</v>
      </c>
      <c r="B24" s="1304"/>
      <c r="C24" s="649"/>
      <c r="D24" s="327">
        <f>_xlfn.XLOOKUP(C24,Códigos!$A$11:$A$415,Códigos!$B$11:$B$415,"Verificar",0)</f>
        <v>0</v>
      </c>
      <c r="E24" s="356" t="s">
        <v>398</v>
      </c>
      <c r="F24" s="998" t="s">
        <v>857</v>
      </c>
      <c r="G24" s="487"/>
      <c r="H24" s="488">
        <f t="shared" si="5"/>
        <v>0</v>
      </c>
      <c r="I24" s="488">
        <f t="shared" si="6"/>
        <v>0</v>
      </c>
      <c r="J24" s="488">
        <f t="shared" si="7"/>
        <v>0</v>
      </c>
      <c r="K24" s="488">
        <f t="shared" si="3"/>
        <v>0</v>
      </c>
      <c r="L24" s="487"/>
      <c r="M24" s="487">
        <v>0</v>
      </c>
      <c r="N24" s="489">
        <f t="shared" si="8"/>
        <v>0</v>
      </c>
      <c r="O24" s="209">
        <f t="shared" si="9"/>
        <v>0</v>
      </c>
      <c r="P24" s="276"/>
      <c r="Q24" s="857"/>
      <c r="R24" s="294"/>
      <c r="S24" s="3"/>
    </row>
    <row r="25" spans="1:19" ht="12" customHeight="1" x14ac:dyDescent="0.2">
      <c r="A25" s="325" t="s">
        <v>853</v>
      </c>
      <c r="B25" s="1304"/>
      <c r="C25" s="649"/>
      <c r="D25" s="327">
        <f>_xlfn.XLOOKUP(C25,Códigos!$A$11:$A$415,Códigos!$B$11:$B$415,"Verificar",0)</f>
        <v>0</v>
      </c>
      <c r="E25" s="356" t="s">
        <v>398</v>
      </c>
      <c r="F25" s="998" t="s">
        <v>857</v>
      </c>
      <c r="G25" s="487"/>
      <c r="H25" s="488">
        <f t="shared" si="5"/>
        <v>0</v>
      </c>
      <c r="I25" s="488">
        <f t="shared" si="6"/>
        <v>0</v>
      </c>
      <c r="J25" s="488">
        <f t="shared" si="7"/>
        <v>0</v>
      </c>
      <c r="K25" s="488">
        <f t="shared" si="3"/>
        <v>0</v>
      </c>
      <c r="L25" s="487"/>
      <c r="M25" s="487">
        <v>0</v>
      </c>
      <c r="N25" s="489">
        <f t="shared" si="8"/>
        <v>0</v>
      </c>
      <c r="O25" s="209">
        <f t="shared" si="9"/>
        <v>0</v>
      </c>
      <c r="P25" s="276"/>
      <c r="Q25" s="857"/>
      <c r="R25" s="294"/>
      <c r="S25" s="3"/>
    </row>
    <row r="26" spans="1:19" ht="12" customHeight="1" x14ac:dyDescent="0.2">
      <c r="A26" s="325" t="s">
        <v>853</v>
      </c>
      <c r="B26" s="1304"/>
      <c r="C26" s="649"/>
      <c r="D26" s="327">
        <f>_xlfn.XLOOKUP(C26,Códigos!$A$11:$A$415,Códigos!$B$11:$B$415,"Verificar",0)</f>
        <v>0</v>
      </c>
      <c r="E26" s="356" t="s">
        <v>429</v>
      </c>
      <c r="F26" s="998" t="s">
        <v>857</v>
      </c>
      <c r="G26" s="487"/>
      <c r="H26" s="488">
        <f t="shared" si="5"/>
        <v>0</v>
      </c>
      <c r="I26" s="488">
        <f t="shared" si="6"/>
        <v>0</v>
      </c>
      <c r="J26" s="488">
        <f t="shared" si="7"/>
        <v>0</v>
      </c>
      <c r="K26" s="488">
        <f t="shared" si="3"/>
        <v>0</v>
      </c>
      <c r="L26" s="487"/>
      <c r="M26" s="487">
        <v>0</v>
      </c>
      <c r="N26" s="489">
        <f t="shared" si="8"/>
        <v>0</v>
      </c>
      <c r="O26" s="209">
        <f t="shared" si="9"/>
        <v>0</v>
      </c>
      <c r="P26" s="276"/>
      <c r="Q26" s="857"/>
      <c r="R26" s="294"/>
      <c r="S26" s="3"/>
    </row>
    <row r="27" spans="1:19" ht="12" customHeight="1" x14ac:dyDescent="0.2">
      <c r="A27" s="325" t="s">
        <v>853</v>
      </c>
      <c r="B27" s="1304"/>
      <c r="C27" s="649"/>
      <c r="D27" s="327">
        <f>_xlfn.XLOOKUP(C27,Códigos!$A$11:$A$415,Códigos!$B$11:$B$415,"Verificar",0)</f>
        <v>0</v>
      </c>
      <c r="E27" s="356" t="s">
        <v>429</v>
      </c>
      <c r="F27" s="998" t="s">
        <v>857</v>
      </c>
      <c r="G27" s="487"/>
      <c r="H27" s="488">
        <f t="shared" si="5"/>
        <v>0</v>
      </c>
      <c r="I27" s="488">
        <f t="shared" si="6"/>
        <v>0</v>
      </c>
      <c r="J27" s="488">
        <f t="shared" si="7"/>
        <v>0</v>
      </c>
      <c r="K27" s="488">
        <f t="shared" si="3"/>
        <v>0</v>
      </c>
      <c r="L27" s="487"/>
      <c r="M27" s="487">
        <v>0</v>
      </c>
      <c r="N27" s="489">
        <f t="shared" si="8"/>
        <v>0</v>
      </c>
      <c r="O27" s="209">
        <f t="shared" si="9"/>
        <v>0</v>
      </c>
      <c r="P27" s="276"/>
      <c r="Q27" s="857"/>
      <c r="R27" s="294"/>
      <c r="S27" s="3"/>
    </row>
    <row r="28" spans="1:19" ht="12" customHeight="1" x14ac:dyDescent="0.2">
      <c r="A28" s="325" t="s">
        <v>853</v>
      </c>
      <c r="B28" s="1304"/>
      <c r="C28" s="649"/>
      <c r="D28" s="327">
        <f>_xlfn.XLOOKUP(C28,Códigos!$A$11:$A$415,Códigos!$B$11:$B$415,"Verificar",0)</f>
        <v>0</v>
      </c>
      <c r="E28" s="356" t="s">
        <v>398</v>
      </c>
      <c r="F28" s="998" t="s">
        <v>857</v>
      </c>
      <c r="G28" s="487"/>
      <c r="H28" s="488">
        <f t="shared" si="5"/>
        <v>0</v>
      </c>
      <c r="I28" s="488">
        <f t="shared" si="6"/>
        <v>0</v>
      </c>
      <c r="J28" s="488">
        <f t="shared" si="7"/>
        <v>0</v>
      </c>
      <c r="K28" s="488">
        <f t="shared" si="3"/>
        <v>0</v>
      </c>
      <c r="L28" s="487"/>
      <c r="M28" s="487">
        <v>0</v>
      </c>
      <c r="N28" s="489">
        <f t="shared" si="8"/>
        <v>0</v>
      </c>
      <c r="O28" s="209">
        <f t="shared" si="9"/>
        <v>0</v>
      </c>
      <c r="P28" s="276"/>
      <c r="Q28" s="857"/>
      <c r="R28" s="294"/>
      <c r="S28" s="3"/>
    </row>
    <row r="29" spans="1:19" ht="12" customHeight="1" x14ac:dyDescent="0.2">
      <c r="A29" s="325" t="s">
        <v>853</v>
      </c>
      <c r="B29" s="1304"/>
      <c r="C29" s="649"/>
      <c r="D29" s="327">
        <f>_xlfn.XLOOKUP(C29,Códigos!$A$11:$A$415,Códigos!$B$11:$B$415,"Verificar",0)</f>
        <v>0</v>
      </c>
      <c r="E29" s="356" t="s">
        <v>398</v>
      </c>
      <c r="F29" s="998" t="s">
        <v>857</v>
      </c>
      <c r="G29" s="487"/>
      <c r="H29" s="488">
        <f t="shared" si="5"/>
        <v>0</v>
      </c>
      <c r="I29" s="488">
        <f t="shared" si="6"/>
        <v>0</v>
      </c>
      <c r="J29" s="488">
        <f t="shared" si="7"/>
        <v>0</v>
      </c>
      <c r="K29" s="488">
        <f t="shared" si="3"/>
        <v>0</v>
      </c>
      <c r="L29" s="487"/>
      <c r="M29" s="487">
        <v>0</v>
      </c>
      <c r="N29" s="489">
        <f t="shared" si="8"/>
        <v>0</v>
      </c>
      <c r="O29" s="209">
        <f t="shared" si="9"/>
        <v>0</v>
      </c>
      <c r="P29" s="276"/>
      <c r="Q29" s="857"/>
      <c r="R29" s="294"/>
      <c r="S29" s="3"/>
    </row>
    <row r="30" spans="1:19" ht="12" customHeight="1" x14ac:dyDescent="0.2">
      <c r="A30" s="325" t="s">
        <v>853</v>
      </c>
      <c r="B30" s="1304"/>
      <c r="C30" s="649"/>
      <c r="D30" s="327">
        <f>_xlfn.XLOOKUP(C30,Códigos!$A$11:$A$415,Códigos!$B$11:$B$415,"Verificar",0)</f>
        <v>0</v>
      </c>
      <c r="E30" s="356" t="s">
        <v>398</v>
      </c>
      <c r="F30" s="998" t="s">
        <v>857</v>
      </c>
      <c r="G30" s="487"/>
      <c r="H30" s="488">
        <f t="shared" si="5"/>
        <v>0</v>
      </c>
      <c r="I30" s="488">
        <f t="shared" si="6"/>
        <v>0</v>
      </c>
      <c r="J30" s="488">
        <f t="shared" si="7"/>
        <v>0</v>
      </c>
      <c r="K30" s="488">
        <f t="shared" si="3"/>
        <v>0</v>
      </c>
      <c r="L30" s="487"/>
      <c r="M30" s="487">
        <v>0</v>
      </c>
      <c r="N30" s="489">
        <f t="shared" si="8"/>
        <v>0</v>
      </c>
      <c r="O30" s="209">
        <f t="shared" si="9"/>
        <v>0</v>
      </c>
      <c r="P30" s="276"/>
      <c r="Q30" s="857"/>
      <c r="R30" s="294"/>
      <c r="S30" s="3"/>
    </row>
    <row r="31" spans="1:19" ht="12" customHeight="1" x14ac:dyDescent="0.2">
      <c r="A31" s="325" t="s">
        <v>853</v>
      </c>
      <c r="B31" s="1304"/>
      <c r="C31" s="649"/>
      <c r="D31" s="327">
        <f>_xlfn.XLOOKUP(C31,Códigos!$A$11:$A$415,Códigos!$B$11:$B$415,"Verificar",0)</f>
        <v>0</v>
      </c>
      <c r="E31" s="356" t="s">
        <v>398</v>
      </c>
      <c r="F31" s="998" t="s">
        <v>857</v>
      </c>
      <c r="G31" s="487"/>
      <c r="H31" s="488">
        <f t="shared" si="5"/>
        <v>0</v>
      </c>
      <c r="I31" s="488">
        <f t="shared" si="6"/>
        <v>0</v>
      </c>
      <c r="J31" s="488">
        <f t="shared" si="7"/>
        <v>0</v>
      </c>
      <c r="K31" s="488">
        <f t="shared" si="3"/>
        <v>0</v>
      </c>
      <c r="L31" s="487"/>
      <c r="M31" s="487">
        <v>0</v>
      </c>
      <c r="N31" s="489">
        <f t="shared" si="8"/>
        <v>0</v>
      </c>
      <c r="O31" s="209">
        <f t="shared" si="9"/>
        <v>0</v>
      </c>
      <c r="P31" s="276"/>
      <c r="Q31" s="857"/>
      <c r="R31" s="294"/>
      <c r="S31" s="3"/>
    </row>
    <row r="32" spans="1:19" ht="12" customHeight="1" x14ac:dyDescent="0.2">
      <c r="A32" s="325" t="s">
        <v>853</v>
      </c>
      <c r="B32" s="1304"/>
      <c r="C32" s="649"/>
      <c r="D32" s="327">
        <f>_xlfn.XLOOKUP(C32,Códigos!$A$11:$A$415,Códigos!$B$11:$B$415,"Verificar",0)</f>
        <v>0</v>
      </c>
      <c r="E32" s="356" t="s">
        <v>429</v>
      </c>
      <c r="F32" s="998" t="s">
        <v>857</v>
      </c>
      <c r="G32" s="487"/>
      <c r="H32" s="488">
        <f t="shared" si="5"/>
        <v>0</v>
      </c>
      <c r="I32" s="488">
        <f t="shared" si="6"/>
        <v>0</v>
      </c>
      <c r="J32" s="488">
        <f t="shared" si="7"/>
        <v>0</v>
      </c>
      <c r="K32" s="488">
        <f t="shared" si="3"/>
        <v>0</v>
      </c>
      <c r="L32" s="487"/>
      <c r="M32" s="487">
        <v>0</v>
      </c>
      <c r="N32" s="489">
        <f t="shared" si="8"/>
        <v>0</v>
      </c>
      <c r="O32" s="209">
        <f t="shared" si="9"/>
        <v>0</v>
      </c>
      <c r="P32" s="276"/>
      <c r="Q32" s="857"/>
      <c r="R32" s="294"/>
      <c r="S32" s="3"/>
    </row>
    <row r="33" spans="1:19" ht="12" customHeight="1" x14ac:dyDescent="0.2">
      <c r="A33" s="325" t="s">
        <v>853</v>
      </c>
      <c r="B33" s="1304"/>
      <c r="C33" s="649"/>
      <c r="D33" s="327">
        <f>_xlfn.XLOOKUP(C33,Códigos!$A$11:$A$415,Códigos!$B$11:$B$415,"Verificar",0)</f>
        <v>0</v>
      </c>
      <c r="E33" s="356" t="s">
        <v>429</v>
      </c>
      <c r="F33" s="998" t="s">
        <v>857</v>
      </c>
      <c r="G33" s="487"/>
      <c r="H33" s="488">
        <f t="shared" si="5"/>
        <v>0</v>
      </c>
      <c r="I33" s="488">
        <f t="shared" si="6"/>
        <v>0</v>
      </c>
      <c r="J33" s="488">
        <f t="shared" si="7"/>
        <v>0</v>
      </c>
      <c r="K33" s="488">
        <f t="shared" si="3"/>
        <v>0</v>
      </c>
      <c r="L33" s="487"/>
      <c r="M33" s="487">
        <v>0</v>
      </c>
      <c r="N33" s="489">
        <f t="shared" si="8"/>
        <v>0</v>
      </c>
      <c r="O33" s="209">
        <f t="shared" si="9"/>
        <v>0</v>
      </c>
      <c r="P33" s="276"/>
      <c r="Q33" s="857"/>
      <c r="R33" s="294"/>
      <c r="S33" s="3"/>
    </row>
    <row r="34" spans="1:19" ht="12" customHeight="1" x14ac:dyDescent="0.2">
      <c r="A34" s="325" t="s">
        <v>853</v>
      </c>
      <c r="B34" s="1304"/>
      <c r="C34" s="649"/>
      <c r="D34" s="327">
        <f>_xlfn.XLOOKUP(C34,Códigos!$A$11:$A$415,Códigos!$B$11:$B$415,"Verificar",0)</f>
        <v>0</v>
      </c>
      <c r="E34" s="356" t="s">
        <v>429</v>
      </c>
      <c r="F34" s="998" t="s">
        <v>857</v>
      </c>
      <c r="G34" s="487"/>
      <c r="H34" s="488">
        <f t="shared" si="5"/>
        <v>0</v>
      </c>
      <c r="I34" s="488">
        <f t="shared" si="6"/>
        <v>0</v>
      </c>
      <c r="J34" s="488">
        <f t="shared" si="7"/>
        <v>0</v>
      </c>
      <c r="K34" s="488">
        <f t="shared" si="3"/>
        <v>0</v>
      </c>
      <c r="L34" s="487"/>
      <c r="M34" s="487">
        <v>0</v>
      </c>
      <c r="N34" s="489">
        <f t="shared" si="8"/>
        <v>0</v>
      </c>
      <c r="O34" s="209">
        <f t="shared" si="9"/>
        <v>0</v>
      </c>
      <c r="P34" s="276"/>
      <c r="Q34" s="857"/>
      <c r="R34" s="294"/>
      <c r="S34" s="3"/>
    </row>
    <row r="35" spans="1:19" ht="12" customHeight="1" x14ac:dyDescent="0.2">
      <c r="A35" s="325" t="s">
        <v>853</v>
      </c>
      <c r="B35" s="1304"/>
      <c r="C35" s="649"/>
      <c r="D35" s="327">
        <f>_xlfn.XLOOKUP(C35,Códigos!$A$11:$A$415,Códigos!$B$11:$B$415,"Verificar",0)</f>
        <v>0</v>
      </c>
      <c r="E35" s="356" t="s">
        <v>429</v>
      </c>
      <c r="F35" s="998" t="s">
        <v>857</v>
      </c>
      <c r="G35" s="487"/>
      <c r="H35" s="488">
        <f t="shared" si="5"/>
        <v>0</v>
      </c>
      <c r="I35" s="488">
        <f t="shared" si="6"/>
        <v>0</v>
      </c>
      <c r="J35" s="488">
        <f t="shared" si="7"/>
        <v>0</v>
      </c>
      <c r="K35" s="488">
        <f t="shared" si="3"/>
        <v>0</v>
      </c>
      <c r="L35" s="487"/>
      <c r="M35" s="487">
        <v>0</v>
      </c>
      <c r="N35" s="489">
        <f t="shared" si="8"/>
        <v>0</v>
      </c>
      <c r="O35" s="209">
        <f t="shared" si="9"/>
        <v>0</v>
      </c>
      <c r="P35" s="276"/>
      <c r="Q35" s="857"/>
      <c r="R35" s="294"/>
      <c r="S35" s="3"/>
    </row>
    <row r="36" spans="1:19" ht="12" customHeight="1" x14ac:dyDescent="0.2">
      <c r="A36" s="325" t="s">
        <v>853</v>
      </c>
      <c r="B36" s="1304"/>
      <c r="C36" s="649"/>
      <c r="D36" s="327">
        <f>_xlfn.XLOOKUP(C36,Códigos!$A$11:$A$415,Códigos!$B$11:$B$415,"Verificar",0)</f>
        <v>0</v>
      </c>
      <c r="E36" s="356" t="s">
        <v>429</v>
      </c>
      <c r="F36" s="998" t="s">
        <v>857</v>
      </c>
      <c r="G36" s="487"/>
      <c r="H36" s="488">
        <f t="shared" si="5"/>
        <v>0</v>
      </c>
      <c r="I36" s="488">
        <f t="shared" si="6"/>
        <v>0</v>
      </c>
      <c r="J36" s="488">
        <f t="shared" si="7"/>
        <v>0</v>
      </c>
      <c r="K36" s="488">
        <f t="shared" si="3"/>
        <v>0</v>
      </c>
      <c r="L36" s="487"/>
      <c r="M36" s="487">
        <v>0</v>
      </c>
      <c r="N36" s="489">
        <f t="shared" si="8"/>
        <v>0</v>
      </c>
      <c r="O36" s="209">
        <f t="shared" si="9"/>
        <v>0</v>
      </c>
      <c r="P36" s="276"/>
      <c r="Q36" s="857"/>
      <c r="R36" s="294"/>
      <c r="S36" s="3"/>
    </row>
    <row r="37" spans="1:19" ht="12" customHeight="1" x14ac:dyDescent="0.2">
      <c r="A37" s="325" t="s">
        <v>853</v>
      </c>
      <c r="B37" s="1304"/>
      <c r="C37" s="649"/>
      <c r="D37" s="327">
        <f>_xlfn.XLOOKUP(C37,Códigos!$A$11:$A$415,Códigos!$B$11:$B$415,"Verificar",0)</f>
        <v>0</v>
      </c>
      <c r="E37" s="356" t="s">
        <v>429</v>
      </c>
      <c r="F37" s="952"/>
      <c r="G37" s="487">
        <v>0</v>
      </c>
      <c r="H37" s="488">
        <f t="shared" si="5"/>
        <v>0</v>
      </c>
      <c r="I37" s="488">
        <f t="shared" si="6"/>
        <v>0</v>
      </c>
      <c r="J37" s="488">
        <f t="shared" si="7"/>
        <v>0</v>
      </c>
      <c r="K37" s="488">
        <f t="shared" si="3"/>
        <v>0</v>
      </c>
      <c r="L37" s="487"/>
      <c r="M37" s="487">
        <v>0</v>
      </c>
      <c r="N37" s="489">
        <f t="shared" si="8"/>
        <v>0</v>
      </c>
      <c r="O37" s="209">
        <f t="shared" si="9"/>
        <v>0</v>
      </c>
      <c r="P37" s="276"/>
      <c r="Q37" s="857"/>
      <c r="R37" s="294"/>
      <c r="S37" s="3"/>
    </row>
    <row r="38" spans="1:19" ht="12" customHeight="1" x14ac:dyDescent="0.2">
      <c r="A38" s="325" t="s">
        <v>853</v>
      </c>
      <c r="B38" s="1304"/>
      <c r="C38" s="649"/>
      <c r="D38" s="327">
        <f>_xlfn.XLOOKUP(C38,Códigos!$A$11:$A$415,Códigos!$B$11:$B$415,"Verificar",0)</f>
        <v>0</v>
      </c>
      <c r="E38" s="356" t="s">
        <v>429</v>
      </c>
      <c r="F38" s="952"/>
      <c r="G38" s="487">
        <v>0</v>
      </c>
      <c r="H38" s="488">
        <f t="shared" si="5"/>
        <v>0</v>
      </c>
      <c r="I38" s="488">
        <f t="shared" si="6"/>
        <v>0</v>
      </c>
      <c r="J38" s="488">
        <f t="shared" si="7"/>
        <v>0</v>
      </c>
      <c r="K38" s="488">
        <f t="shared" si="3"/>
        <v>0</v>
      </c>
      <c r="L38" s="487"/>
      <c r="M38" s="487">
        <v>0</v>
      </c>
      <c r="N38" s="489">
        <f t="shared" si="8"/>
        <v>0</v>
      </c>
      <c r="O38" s="209">
        <f t="shared" si="9"/>
        <v>0</v>
      </c>
      <c r="P38" s="276"/>
      <c r="Q38" s="857"/>
      <c r="R38" s="294"/>
      <c r="S38" s="3"/>
    </row>
    <row r="39" spans="1:19" ht="12" customHeight="1" x14ac:dyDescent="0.2">
      <c r="A39" s="325" t="s">
        <v>853</v>
      </c>
      <c r="B39" s="1304"/>
      <c r="C39" s="649"/>
      <c r="D39" s="327">
        <f>_xlfn.XLOOKUP(C39,Códigos!$A$11:$A$415,Códigos!$B$11:$B$415,"Verificar",0)</f>
        <v>0</v>
      </c>
      <c r="E39" s="356" t="s">
        <v>429</v>
      </c>
      <c r="F39" s="952"/>
      <c r="G39" s="487">
        <v>0</v>
      </c>
      <c r="H39" s="488">
        <f t="shared" si="5"/>
        <v>0</v>
      </c>
      <c r="I39" s="488">
        <f t="shared" si="6"/>
        <v>0</v>
      </c>
      <c r="J39" s="488">
        <f t="shared" si="7"/>
        <v>0</v>
      </c>
      <c r="K39" s="488">
        <f t="shared" si="3"/>
        <v>0</v>
      </c>
      <c r="L39" s="487"/>
      <c r="M39" s="487">
        <v>0</v>
      </c>
      <c r="N39" s="489">
        <f t="shared" si="8"/>
        <v>0</v>
      </c>
      <c r="O39" s="209">
        <f t="shared" si="9"/>
        <v>0</v>
      </c>
      <c r="P39" s="276"/>
      <c r="Q39" s="857"/>
      <c r="R39" s="294"/>
      <c r="S39" s="3"/>
    </row>
    <row r="40" spans="1:19" ht="12" customHeight="1" x14ac:dyDescent="0.2">
      <c r="A40" s="325" t="s">
        <v>853</v>
      </c>
      <c r="B40" s="1304"/>
      <c r="C40" s="649"/>
      <c r="D40" s="327">
        <f>_xlfn.XLOOKUP(C40,Códigos!$A$11:$A$415,Códigos!$B$11:$B$415,"Verificar",0)</f>
        <v>0</v>
      </c>
      <c r="E40" s="356" t="s">
        <v>429</v>
      </c>
      <c r="F40" s="952"/>
      <c r="G40" s="487">
        <v>0</v>
      </c>
      <c r="H40" s="488">
        <f t="shared" si="5"/>
        <v>0</v>
      </c>
      <c r="I40" s="488">
        <f t="shared" si="6"/>
        <v>0</v>
      </c>
      <c r="J40" s="488">
        <f t="shared" si="7"/>
        <v>0</v>
      </c>
      <c r="K40" s="488">
        <f t="shared" si="3"/>
        <v>0</v>
      </c>
      <c r="L40" s="487"/>
      <c r="M40" s="487">
        <v>0</v>
      </c>
      <c r="N40" s="489">
        <f t="shared" si="8"/>
        <v>0</v>
      </c>
      <c r="O40" s="209">
        <f t="shared" si="9"/>
        <v>0</v>
      </c>
      <c r="P40" s="276"/>
      <c r="Q40" s="857"/>
      <c r="R40" s="294"/>
      <c r="S40" s="3"/>
    </row>
    <row r="41" spans="1:19" ht="12" customHeight="1" x14ac:dyDescent="0.2">
      <c r="A41" s="325" t="s">
        <v>853</v>
      </c>
      <c r="B41" s="1304"/>
      <c r="C41" s="649"/>
      <c r="D41" s="327">
        <f>_xlfn.XLOOKUP(C41,Códigos!$A$11:$A$415,Códigos!$B$11:$B$415,"Verificar",0)</f>
        <v>0</v>
      </c>
      <c r="E41" s="356" t="s">
        <v>429</v>
      </c>
      <c r="F41" s="952"/>
      <c r="G41" s="487">
        <v>0</v>
      </c>
      <c r="H41" s="488">
        <f t="shared" si="5"/>
        <v>0</v>
      </c>
      <c r="I41" s="488">
        <f t="shared" si="6"/>
        <v>0</v>
      </c>
      <c r="J41" s="488">
        <f t="shared" si="7"/>
        <v>0</v>
      </c>
      <c r="K41" s="488">
        <f t="shared" si="3"/>
        <v>0</v>
      </c>
      <c r="L41" s="487"/>
      <c r="M41" s="487">
        <v>0</v>
      </c>
      <c r="N41" s="489">
        <f t="shared" si="8"/>
        <v>0</v>
      </c>
      <c r="O41" s="209">
        <f t="shared" si="9"/>
        <v>0</v>
      </c>
      <c r="P41" s="276"/>
      <c r="Q41" s="857"/>
      <c r="R41" s="294"/>
      <c r="S41" s="3"/>
    </row>
    <row r="42" spans="1:19" ht="12" customHeight="1" x14ac:dyDescent="0.2">
      <c r="A42" s="325" t="s">
        <v>853</v>
      </c>
      <c r="B42" s="1304"/>
      <c r="C42" s="649"/>
      <c r="D42" s="327">
        <f>_xlfn.XLOOKUP(C42,Códigos!$A$11:$A$415,Códigos!$B$11:$B$415,"Verificar",0)</f>
        <v>0</v>
      </c>
      <c r="E42" s="356" t="s">
        <v>429</v>
      </c>
      <c r="F42" s="952"/>
      <c r="G42" s="487">
        <v>0</v>
      </c>
      <c r="H42" s="488">
        <f t="shared" si="5"/>
        <v>0</v>
      </c>
      <c r="I42" s="488">
        <f t="shared" si="6"/>
        <v>0</v>
      </c>
      <c r="J42" s="488">
        <f t="shared" si="7"/>
        <v>0</v>
      </c>
      <c r="K42" s="488">
        <f t="shared" si="3"/>
        <v>0</v>
      </c>
      <c r="L42" s="487"/>
      <c r="M42" s="487">
        <v>0</v>
      </c>
      <c r="N42" s="489">
        <f t="shared" si="8"/>
        <v>0</v>
      </c>
      <c r="O42" s="209">
        <f t="shared" si="9"/>
        <v>0</v>
      </c>
      <c r="P42" s="276"/>
      <c r="Q42" s="857"/>
      <c r="R42" s="294"/>
      <c r="S42" s="3"/>
    </row>
    <row r="43" spans="1:19" ht="12" customHeight="1" x14ac:dyDescent="0.2">
      <c r="A43" s="325" t="s">
        <v>853</v>
      </c>
      <c r="B43" s="1304"/>
      <c r="C43" s="649"/>
      <c r="D43" s="327">
        <f>_xlfn.XLOOKUP(C43,Códigos!$A$11:$A$415,Códigos!$B$11:$B$415,"Verificar",0)</f>
        <v>0</v>
      </c>
      <c r="E43" s="356" t="s">
        <v>429</v>
      </c>
      <c r="F43" s="952"/>
      <c r="G43" s="487">
        <v>0</v>
      </c>
      <c r="H43" s="488">
        <f t="shared" si="5"/>
        <v>0</v>
      </c>
      <c r="I43" s="488">
        <f t="shared" si="6"/>
        <v>0</v>
      </c>
      <c r="J43" s="488">
        <f t="shared" si="7"/>
        <v>0</v>
      </c>
      <c r="K43" s="488">
        <f t="shared" si="3"/>
        <v>0</v>
      </c>
      <c r="L43" s="487"/>
      <c r="M43" s="487">
        <v>0</v>
      </c>
      <c r="N43" s="489">
        <f t="shared" si="8"/>
        <v>0</v>
      </c>
      <c r="O43" s="209">
        <f t="shared" si="9"/>
        <v>0</v>
      </c>
      <c r="P43" s="276"/>
      <c r="Q43" s="857"/>
      <c r="R43" s="294"/>
      <c r="S43" s="3"/>
    </row>
    <row r="44" spans="1:19" ht="12" customHeight="1" x14ac:dyDescent="0.2">
      <c r="A44" s="325" t="s">
        <v>853</v>
      </c>
      <c r="B44" s="1304"/>
      <c r="C44" s="649"/>
      <c r="D44" s="327">
        <f>_xlfn.XLOOKUP(C44,Códigos!$A$11:$A$415,Códigos!$B$11:$B$415,"Verificar",0)</f>
        <v>0</v>
      </c>
      <c r="E44" s="356" t="s">
        <v>429</v>
      </c>
      <c r="F44" s="952"/>
      <c r="G44" s="487">
        <v>0</v>
      </c>
      <c r="H44" s="488">
        <f t="shared" si="5"/>
        <v>0</v>
      </c>
      <c r="I44" s="488">
        <f t="shared" si="6"/>
        <v>0</v>
      </c>
      <c r="J44" s="488">
        <f t="shared" si="7"/>
        <v>0</v>
      </c>
      <c r="K44" s="488">
        <f t="shared" si="3"/>
        <v>0</v>
      </c>
      <c r="L44" s="487"/>
      <c r="M44" s="487">
        <v>0</v>
      </c>
      <c r="N44" s="489">
        <f t="shared" si="8"/>
        <v>0</v>
      </c>
      <c r="O44" s="209">
        <f t="shared" si="9"/>
        <v>0</v>
      </c>
      <c r="P44" s="276"/>
      <c r="Q44" s="857"/>
      <c r="R44" s="294"/>
      <c r="S44" s="3"/>
    </row>
    <row r="45" spans="1:19" x14ac:dyDescent="0.2">
      <c r="A45" s="325" t="s">
        <v>853</v>
      </c>
      <c r="B45" s="1304"/>
      <c r="C45" s="649"/>
      <c r="D45" s="327">
        <f>_xlfn.XLOOKUP(C45,Códigos!$A$11:$A$415,Códigos!$B$11:$B$415,"Verificar",0)</f>
        <v>0</v>
      </c>
      <c r="E45" s="356" t="s">
        <v>429</v>
      </c>
      <c r="F45" s="952"/>
      <c r="G45" s="487">
        <v>0</v>
      </c>
      <c r="H45" s="488">
        <f t="shared" si="5"/>
        <v>0</v>
      </c>
      <c r="I45" s="488">
        <f t="shared" si="6"/>
        <v>0</v>
      </c>
      <c r="J45" s="488">
        <f t="shared" si="7"/>
        <v>0</v>
      </c>
      <c r="K45" s="488">
        <f t="shared" si="3"/>
        <v>0</v>
      </c>
      <c r="L45" s="487">
        <v>0</v>
      </c>
      <c r="M45" s="487">
        <v>0</v>
      </c>
      <c r="N45" s="489">
        <f t="shared" si="8"/>
        <v>0</v>
      </c>
      <c r="O45" s="209">
        <f t="shared" si="9"/>
        <v>0</v>
      </c>
      <c r="P45" s="276"/>
      <c r="Q45" s="857"/>
      <c r="R45" s="294"/>
      <c r="S45" s="3"/>
    </row>
    <row r="46" spans="1:19" ht="12" customHeight="1" x14ac:dyDescent="0.2">
      <c r="A46" s="325" t="s">
        <v>853</v>
      </c>
      <c r="B46" s="1304"/>
      <c r="C46" s="649"/>
      <c r="D46" s="327">
        <f>_xlfn.XLOOKUP(C46,Códigos!$A$11:$A$415,Códigos!$B$11:$B$415,"Verificar",0)</f>
        <v>0</v>
      </c>
      <c r="E46" s="356" t="s">
        <v>429</v>
      </c>
      <c r="F46" s="952"/>
      <c r="G46" s="487">
        <v>0</v>
      </c>
      <c r="H46" s="488">
        <f t="shared" si="5"/>
        <v>0</v>
      </c>
      <c r="I46" s="488">
        <f t="shared" si="6"/>
        <v>0</v>
      </c>
      <c r="J46" s="488">
        <f t="shared" si="7"/>
        <v>0</v>
      </c>
      <c r="K46" s="488">
        <f t="shared" si="3"/>
        <v>0</v>
      </c>
      <c r="L46" s="487">
        <v>0</v>
      </c>
      <c r="M46" s="487">
        <v>0</v>
      </c>
      <c r="N46" s="489">
        <f t="shared" si="8"/>
        <v>0</v>
      </c>
      <c r="O46" s="209">
        <f t="shared" si="9"/>
        <v>0</v>
      </c>
      <c r="P46" s="276"/>
      <c r="Q46" s="857"/>
      <c r="R46" s="294"/>
      <c r="S46" s="3"/>
    </row>
    <row r="47" spans="1:19" ht="12" customHeight="1" x14ac:dyDescent="0.2">
      <c r="A47" s="325" t="s">
        <v>853</v>
      </c>
      <c r="B47" s="1304"/>
      <c r="C47" s="649"/>
      <c r="D47" s="327">
        <f>_xlfn.XLOOKUP(C47,Códigos!$A$11:$A$415,Códigos!$B$11:$B$415,"Verificar",0)</f>
        <v>0</v>
      </c>
      <c r="E47" s="356" t="s">
        <v>429</v>
      </c>
      <c r="F47" s="952"/>
      <c r="G47" s="487">
        <v>0</v>
      </c>
      <c r="H47" s="488">
        <f t="shared" si="5"/>
        <v>0</v>
      </c>
      <c r="I47" s="488">
        <f t="shared" si="6"/>
        <v>0</v>
      </c>
      <c r="J47" s="488">
        <f t="shared" si="7"/>
        <v>0</v>
      </c>
      <c r="K47" s="488">
        <f t="shared" si="3"/>
        <v>0</v>
      </c>
      <c r="L47" s="487">
        <v>0</v>
      </c>
      <c r="M47" s="487">
        <v>0</v>
      </c>
      <c r="N47" s="489">
        <f t="shared" si="8"/>
        <v>0</v>
      </c>
      <c r="O47" s="209">
        <f t="shared" si="9"/>
        <v>0</v>
      </c>
      <c r="P47" s="276"/>
      <c r="Q47" s="857"/>
      <c r="R47" s="294"/>
      <c r="S47" s="3"/>
    </row>
    <row r="48" spans="1:19" ht="12" customHeight="1" x14ac:dyDescent="0.2">
      <c r="A48" s="325" t="s">
        <v>853</v>
      </c>
      <c r="B48" s="1304"/>
      <c r="C48" s="649"/>
      <c r="D48" s="327">
        <f>_xlfn.XLOOKUP(C48,Códigos!$A$11:$A$415,Códigos!$B$11:$B$415,"Verificar",0)</f>
        <v>0</v>
      </c>
      <c r="E48" s="356" t="s">
        <v>429</v>
      </c>
      <c r="F48" s="952"/>
      <c r="G48" s="487">
        <v>0</v>
      </c>
      <c r="H48" s="488">
        <f t="shared" si="5"/>
        <v>0</v>
      </c>
      <c r="I48" s="488">
        <f t="shared" si="6"/>
        <v>0</v>
      </c>
      <c r="J48" s="488">
        <f t="shared" si="7"/>
        <v>0</v>
      </c>
      <c r="K48" s="488">
        <f t="shared" si="3"/>
        <v>0</v>
      </c>
      <c r="L48" s="487">
        <v>0</v>
      </c>
      <c r="M48" s="487">
        <v>0</v>
      </c>
      <c r="N48" s="489">
        <f t="shared" si="8"/>
        <v>0</v>
      </c>
      <c r="O48" s="209">
        <f t="shared" si="9"/>
        <v>0</v>
      </c>
      <c r="P48" s="276"/>
      <c r="Q48" s="857"/>
      <c r="R48" s="294"/>
      <c r="S48" s="3"/>
    </row>
    <row r="49" spans="1:19" ht="12" customHeight="1" x14ac:dyDescent="0.2">
      <c r="A49" s="325" t="s">
        <v>853</v>
      </c>
      <c r="B49" s="1304"/>
      <c r="C49" s="649"/>
      <c r="D49" s="327">
        <f>_xlfn.XLOOKUP(C49,Códigos!$A$11:$A$415,Códigos!$B$11:$B$415,"Verificar",0)</f>
        <v>0</v>
      </c>
      <c r="E49" s="356" t="s">
        <v>429</v>
      </c>
      <c r="F49" s="952"/>
      <c r="G49" s="487">
        <v>0</v>
      </c>
      <c r="H49" s="488">
        <f t="shared" si="5"/>
        <v>0</v>
      </c>
      <c r="I49" s="488">
        <f t="shared" si="6"/>
        <v>0</v>
      </c>
      <c r="J49" s="488">
        <f t="shared" si="7"/>
        <v>0</v>
      </c>
      <c r="K49" s="488">
        <f t="shared" si="3"/>
        <v>0</v>
      </c>
      <c r="L49" s="487">
        <v>0</v>
      </c>
      <c r="M49" s="487">
        <v>0</v>
      </c>
      <c r="N49" s="489">
        <f t="shared" si="8"/>
        <v>0</v>
      </c>
      <c r="O49" s="209">
        <f t="shared" si="9"/>
        <v>0</v>
      </c>
      <c r="P49" s="276"/>
      <c r="Q49" s="857"/>
      <c r="R49" s="294"/>
      <c r="S49" s="3"/>
    </row>
    <row r="50" spans="1:19" ht="12" customHeight="1" x14ac:dyDescent="0.2">
      <c r="A50" s="325" t="s">
        <v>853</v>
      </c>
      <c r="B50" s="1304"/>
      <c r="C50" s="649"/>
      <c r="D50" s="327">
        <f>_xlfn.XLOOKUP(C50,Códigos!$A$11:$A$415,Códigos!$B$11:$B$415,"Verificar",0)</f>
        <v>0</v>
      </c>
      <c r="E50" s="356" t="s">
        <v>429</v>
      </c>
      <c r="F50" s="175"/>
      <c r="G50" s="487">
        <v>0</v>
      </c>
      <c r="H50" s="488">
        <f t="shared" si="5"/>
        <v>0</v>
      </c>
      <c r="I50" s="488">
        <f t="shared" si="6"/>
        <v>0</v>
      </c>
      <c r="J50" s="488">
        <f t="shared" si="7"/>
        <v>0</v>
      </c>
      <c r="K50" s="488">
        <f t="shared" si="3"/>
        <v>0</v>
      </c>
      <c r="L50" s="487">
        <v>0</v>
      </c>
      <c r="M50" s="487">
        <v>0</v>
      </c>
      <c r="N50" s="489">
        <f t="shared" si="8"/>
        <v>0</v>
      </c>
      <c r="O50" s="209">
        <f t="shared" si="9"/>
        <v>0</v>
      </c>
      <c r="P50" s="276"/>
      <c r="Q50" s="857"/>
      <c r="R50" s="294"/>
      <c r="S50" s="3"/>
    </row>
    <row r="51" spans="1:19" ht="12" customHeight="1" x14ac:dyDescent="0.2">
      <c r="A51" s="325" t="s">
        <v>853</v>
      </c>
      <c r="B51" s="1304"/>
      <c r="C51" s="649"/>
      <c r="D51" s="327">
        <f>_xlfn.XLOOKUP(C51,Códigos!$A$11:$A$415,Códigos!$B$11:$B$415,"Verificar",0)</f>
        <v>0</v>
      </c>
      <c r="E51" s="356"/>
      <c r="F51" s="175"/>
      <c r="G51" s="487">
        <v>0</v>
      </c>
      <c r="H51" s="488">
        <f t="shared" si="5"/>
        <v>0</v>
      </c>
      <c r="I51" s="488">
        <f t="shared" si="6"/>
        <v>0</v>
      </c>
      <c r="J51" s="488">
        <f t="shared" si="7"/>
        <v>0</v>
      </c>
      <c r="K51" s="488">
        <f t="shared" si="3"/>
        <v>0</v>
      </c>
      <c r="L51" s="487">
        <v>0</v>
      </c>
      <c r="M51" s="487">
        <v>0</v>
      </c>
      <c r="N51" s="489">
        <f t="shared" si="8"/>
        <v>0</v>
      </c>
      <c r="O51" s="209">
        <f t="shared" si="9"/>
        <v>0</v>
      </c>
      <c r="P51" s="276"/>
      <c r="Q51" s="857"/>
      <c r="R51" s="294"/>
      <c r="S51" s="3"/>
    </row>
    <row r="52" spans="1:19" ht="12" customHeight="1" x14ac:dyDescent="0.2">
      <c r="A52" s="325" t="s">
        <v>749</v>
      </c>
      <c r="B52" s="1304"/>
      <c r="C52" s="649"/>
      <c r="D52" s="327">
        <f>_xlfn.XLOOKUP(C52,Códigos!$A$11:$A$415,Códigos!$B$11:$B$415,"Verificar",0)</f>
        <v>0</v>
      </c>
      <c r="E52" s="356"/>
      <c r="F52" s="175"/>
      <c r="G52" s="487">
        <v>0</v>
      </c>
      <c r="H52" s="488">
        <f t="shared" si="5"/>
        <v>0</v>
      </c>
      <c r="I52" s="488">
        <f t="shared" si="6"/>
        <v>0</v>
      </c>
      <c r="J52" s="488">
        <f t="shared" si="7"/>
        <v>0</v>
      </c>
      <c r="K52" s="488">
        <f t="shared" si="3"/>
        <v>0</v>
      </c>
      <c r="L52" s="487">
        <v>0</v>
      </c>
      <c r="M52" s="487">
        <v>0</v>
      </c>
      <c r="N52" s="489">
        <f t="shared" si="8"/>
        <v>0</v>
      </c>
      <c r="O52" s="209">
        <f t="shared" si="9"/>
        <v>0</v>
      </c>
      <c r="P52" s="276"/>
      <c r="Q52" s="857"/>
      <c r="R52" s="294"/>
      <c r="S52" s="3"/>
    </row>
    <row r="53" spans="1:19" ht="12" customHeight="1" x14ac:dyDescent="0.2">
      <c r="A53" s="325" t="s">
        <v>749</v>
      </c>
      <c r="B53" s="1304"/>
      <c r="C53" s="649"/>
      <c r="D53" s="327">
        <f>_xlfn.XLOOKUP(C53,Códigos!$A$11:$A$415,Códigos!$B$11:$B$415,"Verificar",0)</f>
        <v>0</v>
      </c>
      <c r="E53" s="356"/>
      <c r="F53" s="175"/>
      <c r="G53" s="487">
        <v>0</v>
      </c>
      <c r="H53" s="488">
        <f t="shared" si="5"/>
        <v>0</v>
      </c>
      <c r="I53" s="488">
        <f t="shared" si="6"/>
        <v>0</v>
      </c>
      <c r="J53" s="488">
        <f t="shared" si="7"/>
        <v>0</v>
      </c>
      <c r="K53" s="488">
        <f t="shared" si="3"/>
        <v>0</v>
      </c>
      <c r="L53" s="487">
        <v>0</v>
      </c>
      <c r="M53" s="487">
        <v>0</v>
      </c>
      <c r="N53" s="489">
        <f t="shared" si="8"/>
        <v>0</v>
      </c>
      <c r="O53" s="209">
        <f t="shared" si="9"/>
        <v>0</v>
      </c>
      <c r="P53" s="276"/>
      <c r="Q53" s="857"/>
      <c r="R53" s="294"/>
      <c r="S53" s="3"/>
    </row>
    <row r="54" spans="1:19" ht="12" customHeight="1" x14ac:dyDescent="0.2">
      <c r="A54" s="325" t="s">
        <v>749</v>
      </c>
      <c r="B54" s="1304"/>
      <c r="C54" s="649"/>
      <c r="D54" s="327">
        <f>_xlfn.XLOOKUP(C54,Códigos!$A$11:$A$415,Códigos!$B$11:$B$415,"Verificar",0)</f>
        <v>0</v>
      </c>
      <c r="E54" s="356"/>
      <c r="F54" s="175"/>
      <c r="G54" s="487">
        <v>0</v>
      </c>
      <c r="H54" s="488">
        <f t="shared" si="5"/>
        <v>0</v>
      </c>
      <c r="I54" s="488">
        <f t="shared" si="6"/>
        <v>0</v>
      </c>
      <c r="J54" s="488">
        <f t="shared" si="7"/>
        <v>0</v>
      </c>
      <c r="K54" s="488">
        <f t="shared" si="3"/>
        <v>0</v>
      </c>
      <c r="L54" s="487">
        <v>0</v>
      </c>
      <c r="M54" s="487">
        <v>0</v>
      </c>
      <c r="N54" s="489">
        <f t="shared" si="8"/>
        <v>0</v>
      </c>
      <c r="O54" s="209">
        <f t="shared" si="9"/>
        <v>0</v>
      </c>
      <c r="P54" s="276"/>
      <c r="Q54" s="857"/>
      <c r="R54" s="294"/>
      <c r="S54" s="3"/>
    </row>
    <row r="55" spans="1:19" ht="12" customHeight="1" x14ac:dyDescent="0.2">
      <c r="A55" s="325" t="s">
        <v>749</v>
      </c>
      <c r="B55" s="1304"/>
      <c r="C55" s="649"/>
      <c r="D55" s="327">
        <f>_xlfn.XLOOKUP(C55,Códigos!$A$11:$A$415,Códigos!$B$11:$B$415,"Verificar",0)</f>
        <v>0</v>
      </c>
      <c r="E55" s="356"/>
      <c r="F55" s="175"/>
      <c r="G55" s="487">
        <v>0</v>
      </c>
      <c r="H55" s="488">
        <f t="shared" si="5"/>
        <v>0</v>
      </c>
      <c r="I55" s="488">
        <f t="shared" si="6"/>
        <v>0</v>
      </c>
      <c r="J55" s="488">
        <f t="shared" si="7"/>
        <v>0</v>
      </c>
      <c r="K55" s="488">
        <f t="shared" si="3"/>
        <v>0</v>
      </c>
      <c r="L55" s="487">
        <v>0</v>
      </c>
      <c r="M55" s="487">
        <v>0</v>
      </c>
      <c r="N55" s="489">
        <f t="shared" si="8"/>
        <v>0</v>
      </c>
      <c r="O55" s="209">
        <f t="shared" si="9"/>
        <v>0</v>
      </c>
      <c r="P55" s="276"/>
      <c r="Q55" s="857"/>
      <c r="R55" s="294"/>
      <c r="S55" s="3"/>
    </row>
    <row r="56" spans="1:19" ht="12" customHeight="1" x14ac:dyDescent="0.2">
      <c r="A56" s="325" t="s">
        <v>749</v>
      </c>
      <c r="B56" s="1304"/>
      <c r="C56" s="649"/>
      <c r="D56" s="327">
        <f>_xlfn.XLOOKUP(C56,Códigos!$A$11:$A$415,Códigos!$B$11:$B$415,"Verificar",0)</f>
        <v>0</v>
      </c>
      <c r="E56" s="356"/>
      <c r="F56" s="175"/>
      <c r="G56" s="487">
        <v>0</v>
      </c>
      <c r="H56" s="488">
        <f t="shared" si="5"/>
        <v>0</v>
      </c>
      <c r="I56" s="488">
        <f t="shared" si="6"/>
        <v>0</v>
      </c>
      <c r="J56" s="488">
        <f t="shared" si="7"/>
        <v>0</v>
      </c>
      <c r="K56" s="488">
        <f t="shared" si="3"/>
        <v>0</v>
      </c>
      <c r="L56" s="487">
        <v>0</v>
      </c>
      <c r="M56" s="487">
        <v>0</v>
      </c>
      <c r="N56" s="489">
        <f t="shared" si="8"/>
        <v>0</v>
      </c>
      <c r="O56" s="209">
        <f t="shared" si="9"/>
        <v>0</v>
      </c>
      <c r="P56" s="276"/>
      <c r="Q56" s="857"/>
      <c r="R56" s="294"/>
      <c r="S56" s="3"/>
    </row>
    <row r="57" spans="1:19" ht="12" customHeight="1" x14ac:dyDescent="0.2">
      <c r="A57" s="325" t="s">
        <v>749</v>
      </c>
      <c r="B57" s="1304"/>
      <c r="C57" s="649"/>
      <c r="D57" s="327">
        <f>_xlfn.XLOOKUP(C57,Códigos!$A$11:$A$415,Códigos!$B$11:$B$415,"Verificar",0)</f>
        <v>0</v>
      </c>
      <c r="E57" s="356"/>
      <c r="F57" s="175"/>
      <c r="G57" s="487">
        <v>0</v>
      </c>
      <c r="H57" s="488">
        <f t="shared" si="5"/>
        <v>0</v>
      </c>
      <c r="I57" s="488">
        <f t="shared" si="6"/>
        <v>0</v>
      </c>
      <c r="J57" s="488">
        <f t="shared" si="7"/>
        <v>0</v>
      </c>
      <c r="K57" s="488">
        <f t="shared" si="3"/>
        <v>0</v>
      </c>
      <c r="L57" s="487">
        <v>0</v>
      </c>
      <c r="M57" s="487">
        <v>0</v>
      </c>
      <c r="N57" s="489">
        <f t="shared" si="8"/>
        <v>0</v>
      </c>
      <c r="O57" s="209">
        <f t="shared" si="9"/>
        <v>0</v>
      </c>
      <c r="P57" s="276"/>
      <c r="Q57" s="857"/>
      <c r="R57" s="294"/>
      <c r="S57" s="3"/>
    </row>
    <row r="58" spans="1:19" ht="12" customHeight="1" x14ac:dyDescent="0.2">
      <c r="B58" s="1305"/>
      <c r="D58" s="18"/>
      <c r="G58" s="128">
        <v>0</v>
      </c>
      <c r="H58" s="252">
        <f t="shared" ref="H58:H72" si="11">+G58*19%</f>
        <v>0</v>
      </c>
      <c r="I58" s="252">
        <f t="shared" ref="I58:I72" si="12">+G58+H58</f>
        <v>0</v>
      </c>
      <c r="J58" s="252">
        <f t="shared" ref="J58:J72" si="13">+G58*0.11</f>
        <v>0</v>
      </c>
      <c r="K58" s="252">
        <f t="shared" ref="K58:K72" si="14">+I58-J58</f>
        <v>0</v>
      </c>
      <c r="L58" s="128">
        <v>0</v>
      </c>
      <c r="M58" s="128">
        <v>0</v>
      </c>
      <c r="N58" s="70">
        <f t="shared" ref="N58:N72" si="15">+K58-L58-M58</f>
        <v>0</v>
      </c>
      <c r="Q58" s="494"/>
      <c r="S58" s="3"/>
    </row>
    <row r="59" spans="1:19" ht="12" customHeight="1" x14ac:dyDescent="0.2">
      <c r="B59" s="1305"/>
      <c r="D59" s="18"/>
      <c r="G59" s="128">
        <v>0</v>
      </c>
      <c r="H59" s="252">
        <f t="shared" si="11"/>
        <v>0</v>
      </c>
      <c r="I59" s="252">
        <f t="shared" si="12"/>
        <v>0</v>
      </c>
      <c r="J59" s="252">
        <f t="shared" si="13"/>
        <v>0</v>
      </c>
      <c r="K59" s="252">
        <f t="shared" si="14"/>
        <v>0</v>
      </c>
      <c r="L59" s="128">
        <v>0</v>
      </c>
      <c r="M59" s="128">
        <v>0</v>
      </c>
      <c r="N59" s="70">
        <f t="shared" si="15"/>
        <v>0</v>
      </c>
      <c r="Q59" s="494"/>
      <c r="S59" s="3"/>
    </row>
    <row r="60" spans="1:19" ht="12" customHeight="1" x14ac:dyDescent="0.2">
      <c r="B60" s="1299"/>
      <c r="D60" s="18"/>
      <c r="G60" s="128">
        <v>0</v>
      </c>
      <c r="H60" s="252">
        <f t="shared" si="11"/>
        <v>0</v>
      </c>
      <c r="I60" s="252">
        <f t="shared" si="12"/>
        <v>0</v>
      </c>
      <c r="J60" s="252">
        <f t="shared" si="13"/>
        <v>0</v>
      </c>
      <c r="K60" s="252">
        <f t="shared" si="14"/>
        <v>0</v>
      </c>
      <c r="L60" s="128">
        <v>0</v>
      </c>
      <c r="M60" s="128">
        <v>0</v>
      </c>
      <c r="N60" s="70">
        <f t="shared" si="15"/>
        <v>0</v>
      </c>
      <c r="Q60" s="494"/>
      <c r="S60" s="3"/>
    </row>
    <row r="61" spans="1:19" ht="12" customHeight="1" x14ac:dyDescent="0.2">
      <c r="B61" s="1299"/>
      <c r="D61" s="18"/>
      <c r="G61" s="128">
        <v>0</v>
      </c>
      <c r="H61" s="252">
        <f t="shared" si="11"/>
        <v>0</v>
      </c>
      <c r="I61" s="252">
        <f t="shared" si="12"/>
        <v>0</v>
      </c>
      <c r="J61" s="252">
        <f t="shared" si="13"/>
        <v>0</v>
      </c>
      <c r="K61" s="252">
        <f t="shared" si="14"/>
        <v>0</v>
      </c>
      <c r="L61" s="128">
        <v>0</v>
      </c>
      <c r="M61" s="128">
        <v>0</v>
      </c>
      <c r="N61" s="70">
        <f t="shared" si="15"/>
        <v>0</v>
      </c>
      <c r="Q61" s="494"/>
      <c r="S61" s="3"/>
    </row>
    <row r="62" spans="1:19" ht="12" customHeight="1" x14ac:dyDescent="0.2">
      <c r="B62" s="1299"/>
      <c r="D62" s="18"/>
      <c r="G62" s="128">
        <v>0</v>
      </c>
      <c r="H62" s="252">
        <f t="shared" si="11"/>
        <v>0</v>
      </c>
      <c r="I62" s="252">
        <f t="shared" si="12"/>
        <v>0</v>
      </c>
      <c r="J62" s="252">
        <f t="shared" si="13"/>
        <v>0</v>
      </c>
      <c r="K62" s="252">
        <f t="shared" si="14"/>
        <v>0</v>
      </c>
      <c r="L62" s="128">
        <v>0</v>
      </c>
      <c r="M62" s="128">
        <v>0</v>
      </c>
      <c r="N62" s="70">
        <f t="shared" si="15"/>
        <v>0</v>
      </c>
      <c r="Q62" s="494"/>
      <c r="S62" s="3"/>
    </row>
    <row r="63" spans="1:19" ht="12" customHeight="1" x14ac:dyDescent="0.2">
      <c r="B63" s="1299"/>
      <c r="D63" s="18"/>
      <c r="G63" s="128">
        <v>0</v>
      </c>
      <c r="H63" s="252">
        <f t="shared" si="11"/>
        <v>0</v>
      </c>
      <c r="I63" s="252">
        <f t="shared" si="12"/>
        <v>0</v>
      </c>
      <c r="J63" s="252">
        <f t="shared" si="13"/>
        <v>0</v>
      </c>
      <c r="K63" s="252">
        <f t="shared" si="14"/>
        <v>0</v>
      </c>
      <c r="L63" s="128">
        <v>0</v>
      </c>
      <c r="M63" s="128">
        <v>0</v>
      </c>
      <c r="N63" s="70">
        <f t="shared" si="15"/>
        <v>0</v>
      </c>
      <c r="Q63" s="494"/>
      <c r="S63" s="3"/>
    </row>
    <row r="64" spans="1:19" ht="12" customHeight="1" x14ac:dyDescent="0.2">
      <c r="B64" s="1299"/>
      <c r="D64" s="18"/>
      <c r="G64" s="128">
        <v>0</v>
      </c>
      <c r="H64" s="252">
        <f t="shared" si="11"/>
        <v>0</v>
      </c>
      <c r="I64" s="252">
        <f t="shared" si="12"/>
        <v>0</v>
      </c>
      <c r="J64" s="252">
        <f t="shared" si="13"/>
        <v>0</v>
      </c>
      <c r="K64" s="252">
        <f t="shared" si="14"/>
        <v>0</v>
      </c>
      <c r="L64" s="128">
        <v>0</v>
      </c>
      <c r="M64" s="128">
        <v>0</v>
      </c>
      <c r="N64" s="70">
        <f t="shared" si="15"/>
        <v>0</v>
      </c>
      <c r="Q64" s="494"/>
      <c r="S64" s="3"/>
    </row>
    <row r="65" spans="2:19" ht="12" customHeight="1" x14ac:dyDescent="0.2">
      <c r="B65" s="1299"/>
      <c r="D65" s="18"/>
      <c r="G65" s="128">
        <v>0</v>
      </c>
      <c r="H65" s="252">
        <f t="shared" si="11"/>
        <v>0</v>
      </c>
      <c r="I65" s="252">
        <f t="shared" si="12"/>
        <v>0</v>
      </c>
      <c r="J65" s="252">
        <f t="shared" si="13"/>
        <v>0</v>
      </c>
      <c r="K65" s="252">
        <f t="shared" si="14"/>
        <v>0</v>
      </c>
      <c r="L65" s="128">
        <v>0</v>
      </c>
      <c r="M65" s="128">
        <v>0</v>
      </c>
      <c r="N65" s="70">
        <f t="shared" si="15"/>
        <v>0</v>
      </c>
      <c r="Q65" s="494"/>
      <c r="S65" s="3"/>
    </row>
    <row r="66" spans="2:19" ht="12" customHeight="1" x14ac:dyDescent="0.2">
      <c r="B66" s="1299"/>
      <c r="D66" s="18"/>
      <c r="G66" s="128">
        <v>0</v>
      </c>
      <c r="H66" s="252">
        <f t="shared" si="11"/>
        <v>0</v>
      </c>
      <c r="I66" s="252">
        <f t="shared" si="12"/>
        <v>0</v>
      </c>
      <c r="J66" s="252">
        <f t="shared" si="13"/>
        <v>0</v>
      </c>
      <c r="K66" s="252">
        <f t="shared" si="14"/>
        <v>0</v>
      </c>
      <c r="L66" s="128">
        <v>0</v>
      </c>
      <c r="M66" s="128">
        <v>0</v>
      </c>
      <c r="N66" s="70">
        <f t="shared" si="15"/>
        <v>0</v>
      </c>
      <c r="Q66" s="494"/>
      <c r="S66" s="3"/>
    </row>
    <row r="67" spans="2:19" ht="12" customHeight="1" x14ac:dyDescent="0.2">
      <c r="B67" s="1299"/>
      <c r="D67" s="18"/>
      <c r="G67" s="128">
        <v>0</v>
      </c>
      <c r="H67" s="252">
        <f t="shared" si="11"/>
        <v>0</v>
      </c>
      <c r="I67" s="252">
        <f t="shared" si="12"/>
        <v>0</v>
      </c>
      <c r="J67" s="252">
        <f t="shared" si="13"/>
        <v>0</v>
      </c>
      <c r="K67" s="252">
        <f t="shared" si="14"/>
        <v>0</v>
      </c>
      <c r="L67" s="128">
        <v>0</v>
      </c>
      <c r="M67" s="128">
        <v>0</v>
      </c>
      <c r="N67" s="70">
        <f t="shared" si="15"/>
        <v>0</v>
      </c>
      <c r="Q67" s="494"/>
      <c r="S67" s="3"/>
    </row>
    <row r="68" spans="2:19" ht="12" customHeight="1" x14ac:dyDescent="0.2">
      <c r="B68" s="1299"/>
      <c r="D68" s="18"/>
      <c r="G68" s="128">
        <v>0</v>
      </c>
      <c r="H68" s="252">
        <f t="shared" si="11"/>
        <v>0</v>
      </c>
      <c r="I68" s="252">
        <f t="shared" si="12"/>
        <v>0</v>
      </c>
      <c r="J68" s="252">
        <f t="shared" si="13"/>
        <v>0</v>
      </c>
      <c r="K68" s="252">
        <f t="shared" si="14"/>
        <v>0</v>
      </c>
      <c r="L68" s="128">
        <v>0</v>
      </c>
      <c r="M68" s="128">
        <v>0</v>
      </c>
      <c r="N68" s="70">
        <f t="shared" si="15"/>
        <v>0</v>
      </c>
      <c r="Q68" s="494"/>
      <c r="S68" s="3"/>
    </row>
    <row r="69" spans="2:19" ht="12" customHeight="1" x14ac:dyDescent="0.2">
      <c r="B69" s="1299"/>
      <c r="D69" s="18"/>
      <c r="G69" s="128">
        <v>0</v>
      </c>
      <c r="H69" s="252">
        <f t="shared" si="11"/>
        <v>0</v>
      </c>
      <c r="I69" s="252">
        <f t="shared" si="12"/>
        <v>0</v>
      </c>
      <c r="J69" s="252">
        <f t="shared" si="13"/>
        <v>0</v>
      </c>
      <c r="K69" s="252">
        <f t="shared" si="14"/>
        <v>0</v>
      </c>
      <c r="L69" s="128">
        <v>0</v>
      </c>
      <c r="M69" s="128">
        <v>0</v>
      </c>
      <c r="N69" s="70">
        <f t="shared" si="15"/>
        <v>0</v>
      </c>
      <c r="Q69" s="494"/>
      <c r="S69" s="3"/>
    </row>
    <row r="70" spans="2:19" ht="12" customHeight="1" x14ac:dyDescent="0.2">
      <c r="B70" s="1299"/>
      <c r="D70" s="18"/>
      <c r="G70" s="128">
        <v>0</v>
      </c>
      <c r="H70" s="252">
        <f t="shared" si="11"/>
        <v>0</v>
      </c>
      <c r="I70" s="252">
        <f t="shared" si="12"/>
        <v>0</v>
      </c>
      <c r="J70" s="252">
        <f t="shared" si="13"/>
        <v>0</v>
      </c>
      <c r="K70" s="252">
        <f t="shared" si="14"/>
        <v>0</v>
      </c>
      <c r="L70" s="128">
        <v>0</v>
      </c>
      <c r="M70" s="128">
        <v>0</v>
      </c>
      <c r="N70" s="70">
        <f t="shared" si="15"/>
        <v>0</v>
      </c>
      <c r="Q70" s="494"/>
      <c r="S70" s="3"/>
    </row>
    <row r="71" spans="2:19" ht="12" customHeight="1" x14ac:dyDescent="0.2">
      <c r="B71" s="1299"/>
      <c r="D71" s="18"/>
      <c r="G71" s="128">
        <v>0</v>
      </c>
      <c r="H71" s="252">
        <f t="shared" si="11"/>
        <v>0</v>
      </c>
      <c r="I71" s="252">
        <f t="shared" si="12"/>
        <v>0</v>
      </c>
      <c r="J71" s="252">
        <f t="shared" si="13"/>
        <v>0</v>
      </c>
      <c r="K71" s="252">
        <f t="shared" si="14"/>
        <v>0</v>
      </c>
      <c r="L71" s="128">
        <v>0</v>
      </c>
      <c r="M71" s="128">
        <v>0</v>
      </c>
      <c r="N71" s="70">
        <f t="shared" si="15"/>
        <v>0</v>
      </c>
      <c r="Q71" s="494"/>
      <c r="S71" s="3"/>
    </row>
    <row r="72" spans="2:19" ht="12" customHeight="1" x14ac:dyDescent="0.2">
      <c r="B72" s="1299"/>
      <c r="D72" s="18"/>
      <c r="G72" s="128">
        <v>0</v>
      </c>
      <c r="H72" s="252">
        <f t="shared" si="11"/>
        <v>0</v>
      </c>
      <c r="I72" s="252">
        <f t="shared" si="12"/>
        <v>0</v>
      </c>
      <c r="J72" s="252">
        <f t="shared" si="13"/>
        <v>0</v>
      </c>
      <c r="K72" s="252">
        <f t="shared" si="14"/>
        <v>0</v>
      </c>
      <c r="L72" s="128">
        <v>0</v>
      </c>
      <c r="M72" s="128">
        <v>0</v>
      </c>
      <c r="N72" s="70">
        <f t="shared" si="15"/>
        <v>0</v>
      </c>
      <c r="Q72" s="494"/>
      <c r="S72" s="3"/>
    </row>
    <row r="73" spans="2:19" ht="12" customHeight="1" x14ac:dyDescent="0.2">
      <c r="B73" s="1299"/>
      <c r="D73" s="18"/>
      <c r="G73" s="128">
        <v>0</v>
      </c>
      <c r="H73" s="252">
        <f t="shared" ref="H73:H96" si="16">+G73*19%</f>
        <v>0</v>
      </c>
      <c r="I73" s="252">
        <f t="shared" ref="I73:I96" si="17">+G73+H73</f>
        <v>0</v>
      </c>
      <c r="J73" s="252">
        <f t="shared" ref="J73:J96" si="18">+G73*0.11</f>
        <v>0</v>
      </c>
      <c r="K73" s="252">
        <f t="shared" ref="K73:K96" si="19">+I73-J73</f>
        <v>0</v>
      </c>
      <c r="L73" s="128">
        <v>0</v>
      </c>
      <c r="M73" s="128">
        <v>0</v>
      </c>
      <c r="N73" s="70">
        <f t="shared" ref="N73:N96" si="20">+K73-L73-M73</f>
        <v>0</v>
      </c>
      <c r="Q73" s="494"/>
      <c r="S73" s="3"/>
    </row>
    <row r="74" spans="2:19" ht="12" customHeight="1" x14ac:dyDescent="0.2">
      <c r="B74" s="1299"/>
      <c r="D74" s="18"/>
      <c r="G74" s="128">
        <v>0</v>
      </c>
      <c r="H74" s="252">
        <f t="shared" si="16"/>
        <v>0</v>
      </c>
      <c r="I74" s="252">
        <f t="shared" si="17"/>
        <v>0</v>
      </c>
      <c r="J74" s="252">
        <f t="shared" si="18"/>
        <v>0</v>
      </c>
      <c r="K74" s="252">
        <f t="shared" si="19"/>
        <v>0</v>
      </c>
      <c r="L74" s="128">
        <v>0</v>
      </c>
      <c r="M74" s="128">
        <v>0</v>
      </c>
      <c r="N74" s="70">
        <f t="shared" si="20"/>
        <v>0</v>
      </c>
      <c r="Q74" s="494"/>
      <c r="S74" s="3"/>
    </row>
    <row r="75" spans="2:19" ht="12" customHeight="1" x14ac:dyDescent="0.2">
      <c r="B75" s="1299"/>
      <c r="D75" s="18"/>
      <c r="G75" s="128">
        <v>0</v>
      </c>
      <c r="H75" s="252">
        <f t="shared" si="16"/>
        <v>0</v>
      </c>
      <c r="I75" s="252">
        <f t="shared" si="17"/>
        <v>0</v>
      </c>
      <c r="J75" s="252">
        <f t="shared" si="18"/>
        <v>0</v>
      </c>
      <c r="K75" s="252">
        <f t="shared" si="19"/>
        <v>0</v>
      </c>
      <c r="L75" s="128">
        <v>0</v>
      </c>
      <c r="M75" s="128">
        <v>0</v>
      </c>
      <c r="N75" s="70">
        <f t="shared" si="20"/>
        <v>0</v>
      </c>
      <c r="Q75" s="494"/>
      <c r="S75" s="3"/>
    </row>
    <row r="76" spans="2:19" ht="12" customHeight="1" x14ac:dyDescent="0.2">
      <c r="B76" s="1299"/>
      <c r="D76" s="18"/>
      <c r="G76" s="128">
        <v>0</v>
      </c>
      <c r="H76" s="252">
        <f t="shared" si="16"/>
        <v>0</v>
      </c>
      <c r="I76" s="252">
        <f t="shared" si="17"/>
        <v>0</v>
      </c>
      <c r="J76" s="252">
        <f t="shared" si="18"/>
        <v>0</v>
      </c>
      <c r="K76" s="252">
        <f t="shared" si="19"/>
        <v>0</v>
      </c>
      <c r="L76" s="128">
        <v>0</v>
      </c>
      <c r="M76" s="128">
        <v>0</v>
      </c>
      <c r="N76" s="70">
        <f t="shared" si="20"/>
        <v>0</v>
      </c>
      <c r="Q76" s="494"/>
      <c r="S76" s="3"/>
    </row>
    <row r="77" spans="2:19" ht="12" customHeight="1" x14ac:dyDescent="0.2">
      <c r="B77" s="1299"/>
      <c r="D77" s="18"/>
      <c r="G77" s="128">
        <v>0</v>
      </c>
      <c r="H77" s="252">
        <f t="shared" si="16"/>
        <v>0</v>
      </c>
      <c r="I77" s="252">
        <f t="shared" si="17"/>
        <v>0</v>
      </c>
      <c r="J77" s="252">
        <f t="shared" si="18"/>
        <v>0</v>
      </c>
      <c r="K77" s="252">
        <f t="shared" si="19"/>
        <v>0</v>
      </c>
      <c r="L77" s="128">
        <v>0</v>
      </c>
      <c r="M77" s="128">
        <v>0</v>
      </c>
      <c r="N77" s="70">
        <f t="shared" si="20"/>
        <v>0</v>
      </c>
      <c r="Q77" s="494"/>
      <c r="S77" s="3"/>
    </row>
    <row r="78" spans="2:19" ht="12" customHeight="1" x14ac:dyDescent="0.2">
      <c r="B78" s="1299"/>
      <c r="D78" s="18"/>
      <c r="G78" s="128">
        <v>0</v>
      </c>
      <c r="H78" s="252">
        <f t="shared" si="16"/>
        <v>0</v>
      </c>
      <c r="I78" s="252">
        <f t="shared" si="17"/>
        <v>0</v>
      </c>
      <c r="J78" s="252">
        <f t="shared" si="18"/>
        <v>0</v>
      </c>
      <c r="K78" s="252">
        <f t="shared" si="19"/>
        <v>0</v>
      </c>
      <c r="L78" s="128">
        <v>0</v>
      </c>
      <c r="M78" s="128">
        <v>0</v>
      </c>
      <c r="N78" s="70">
        <f t="shared" si="20"/>
        <v>0</v>
      </c>
      <c r="Q78" s="494"/>
      <c r="S78" s="3"/>
    </row>
    <row r="79" spans="2:19" ht="12" customHeight="1" x14ac:dyDescent="0.2">
      <c r="B79" s="1299"/>
      <c r="D79" s="18"/>
      <c r="G79" s="128">
        <v>0</v>
      </c>
      <c r="H79" s="252">
        <f t="shared" si="16"/>
        <v>0</v>
      </c>
      <c r="I79" s="252">
        <f t="shared" si="17"/>
        <v>0</v>
      </c>
      <c r="J79" s="252">
        <f t="shared" si="18"/>
        <v>0</v>
      </c>
      <c r="K79" s="252">
        <f t="shared" si="19"/>
        <v>0</v>
      </c>
      <c r="L79" s="128">
        <v>0</v>
      </c>
      <c r="M79" s="128">
        <v>0</v>
      </c>
      <c r="N79" s="70">
        <f t="shared" si="20"/>
        <v>0</v>
      </c>
      <c r="Q79" s="494"/>
      <c r="S79" s="3"/>
    </row>
    <row r="80" spans="2:19" ht="12" customHeight="1" x14ac:dyDescent="0.2">
      <c r="B80" s="1299"/>
      <c r="D80" s="18"/>
      <c r="G80" s="128">
        <v>0</v>
      </c>
      <c r="H80" s="252">
        <f t="shared" si="16"/>
        <v>0</v>
      </c>
      <c r="I80" s="252">
        <f t="shared" si="17"/>
        <v>0</v>
      </c>
      <c r="J80" s="252">
        <f t="shared" si="18"/>
        <v>0</v>
      </c>
      <c r="K80" s="252">
        <f t="shared" si="19"/>
        <v>0</v>
      </c>
      <c r="L80" s="128">
        <v>0</v>
      </c>
      <c r="M80" s="128">
        <v>0</v>
      </c>
      <c r="N80" s="70">
        <f t="shared" si="20"/>
        <v>0</v>
      </c>
      <c r="Q80" s="494"/>
      <c r="S80" s="3"/>
    </row>
    <row r="81" spans="2:19" ht="12" customHeight="1" x14ac:dyDescent="0.2">
      <c r="B81" s="1299"/>
      <c r="D81" s="18"/>
      <c r="G81" s="128">
        <v>0</v>
      </c>
      <c r="H81" s="252">
        <f t="shared" si="16"/>
        <v>0</v>
      </c>
      <c r="I81" s="252">
        <f t="shared" si="17"/>
        <v>0</v>
      </c>
      <c r="J81" s="252">
        <f t="shared" si="18"/>
        <v>0</v>
      </c>
      <c r="K81" s="252">
        <f t="shared" si="19"/>
        <v>0</v>
      </c>
      <c r="L81" s="128">
        <v>0</v>
      </c>
      <c r="M81" s="128">
        <v>0</v>
      </c>
      <c r="N81" s="70">
        <f t="shared" si="20"/>
        <v>0</v>
      </c>
      <c r="Q81" s="494"/>
      <c r="S81" s="3"/>
    </row>
    <row r="82" spans="2:19" ht="12" customHeight="1" x14ac:dyDescent="0.2">
      <c r="B82" s="1299"/>
      <c r="D82" s="18"/>
      <c r="G82" s="128">
        <v>0</v>
      </c>
      <c r="H82" s="252">
        <f t="shared" si="16"/>
        <v>0</v>
      </c>
      <c r="I82" s="252">
        <f t="shared" si="17"/>
        <v>0</v>
      </c>
      <c r="J82" s="252">
        <f t="shared" si="18"/>
        <v>0</v>
      </c>
      <c r="K82" s="252">
        <f t="shared" si="19"/>
        <v>0</v>
      </c>
      <c r="L82" s="128">
        <v>0</v>
      </c>
      <c r="M82" s="128">
        <v>0</v>
      </c>
      <c r="N82" s="70">
        <f t="shared" si="20"/>
        <v>0</v>
      </c>
      <c r="Q82" s="494"/>
      <c r="S82" s="3"/>
    </row>
    <row r="83" spans="2:19" ht="12" customHeight="1" x14ac:dyDescent="0.2">
      <c r="B83" s="1299"/>
      <c r="D83" s="18"/>
      <c r="G83" s="128">
        <v>0</v>
      </c>
      <c r="H83" s="252">
        <f t="shared" si="16"/>
        <v>0</v>
      </c>
      <c r="I83" s="252">
        <f t="shared" si="17"/>
        <v>0</v>
      </c>
      <c r="J83" s="252">
        <f t="shared" si="18"/>
        <v>0</v>
      </c>
      <c r="K83" s="252">
        <f t="shared" si="19"/>
        <v>0</v>
      </c>
      <c r="L83" s="128">
        <v>0</v>
      </c>
      <c r="M83" s="128">
        <v>0</v>
      </c>
      <c r="N83" s="70">
        <f t="shared" si="20"/>
        <v>0</v>
      </c>
      <c r="Q83" s="494"/>
      <c r="S83" s="3"/>
    </row>
    <row r="84" spans="2:19" ht="12" customHeight="1" x14ac:dyDescent="0.2">
      <c r="B84" s="1299"/>
      <c r="D84" s="18"/>
      <c r="G84" s="128">
        <v>0</v>
      </c>
      <c r="H84" s="252">
        <f t="shared" si="16"/>
        <v>0</v>
      </c>
      <c r="I84" s="252">
        <f t="shared" si="17"/>
        <v>0</v>
      </c>
      <c r="J84" s="252">
        <f t="shared" si="18"/>
        <v>0</v>
      </c>
      <c r="K84" s="252">
        <f t="shared" si="19"/>
        <v>0</v>
      </c>
      <c r="L84" s="128">
        <v>0</v>
      </c>
      <c r="M84" s="128">
        <v>0</v>
      </c>
      <c r="N84" s="70">
        <f t="shared" si="20"/>
        <v>0</v>
      </c>
      <c r="Q84" s="494"/>
      <c r="S84" s="3"/>
    </row>
    <row r="85" spans="2:19" ht="12" customHeight="1" x14ac:dyDescent="0.2">
      <c r="B85" s="1299"/>
      <c r="D85" s="18"/>
      <c r="G85" s="128">
        <v>0</v>
      </c>
      <c r="H85" s="252">
        <f t="shared" si="16"/>
        <v>0</v>
      </c>
      <c r="I85" s="252">
        <f t="shared" si="17"/>
        <v>0</v>
      </c>
      <c r="J85" s="252">
        <f t="shared" si="18"/>
        <v>0</v>
      </c>
      <c r="K85" s="252">
        <f t="shared" si="19"/>
        <v>0</v>
      </c>
      <c r="L85" s="128">
        <v>0</v>
      </c>
      <c r="M85" s="128">
        <v>0</v>
      </c>
      <c r="N85" s="70">
        <f t="shared" si="20"/>
        <v>0</v>
      </c>
      <c r="Q85" s="494"/>
      <c r="S85" s="3"/>
    </row>
    <row r="86" spans="2:19" ht="12" customHeight="1" x14ac:dyDescent="0.2">
      <c r="B86" s="1299"/>
      <c r="D86" s="18"/>
      <c r="G86" s="128">
        <v>0</v>
      </c>
      <c r="H86" s="252">
        <f t="shared" si="16"/>
        <v>0</v>
      </c>
      <c r="I86" s="252">
        <f t="shared" si="17"/>
        <v>0</v>
      </c>
      <c r="J86" s="252">
        <f t="shared" si="18"/>
        <v>0</v>
      </c>
      <c r="K86" s="252">
        <f t="shared" si="19"/>
        <v>0</v>
      </c>
      <c r="L86" s="128">
        <v>0</v>
      </c>
      <c r="M86" s="128">
        <v>0</v>
      </c>
      <c r="N86" s="70">
        <f t="shared" si="20"/>
        <v>0</v>
      </c>
      <c r="Q86" s="494"/>
      <c r="S86" s="3"/>
    </row>
    <row r="87" spans="2:19" ht="12" customHeight="1" x14ac:dyDescent="0.2">
      <c r="B87" s="1299"/>
      <c r="D87" s="18"/>
      <c r="G87" s="128">
        <v>0</v>
      </c>
      <c r="H87" s="252">
        <f t="shared" si="16"/>
        <v>0</v>
      </c>
      <c r="I87" s="252">
        <f t="shared" si="17"/>
        <v>0</v>
      </c>
      <c r="J87" s="252">
        <f t="shared" si="18"/>
        <v>0</v>
      </c>
      <c r="K87" s="252">
        <f t="shared" si="19"/>
        <v>0</v>
      </c>
      <c r="L87" s="128">
        <v>0</v>
      </c>
      <c r="M87" s="128">
        <v>0</v>
      </c>
      <c r="N87" s="70">
        <f t="shared" si="20"/>
        <v>0</v>
      </c>
      <c r="Q87" s="494"/>
      <c r="S87" s="3"/>
    </row>
    <row r="88" spans="2:19" ht="12" customHeight="1" x14ac:dyDescent="0.2">
      <c r="B88" s="1299"/>
      <c r="D88" s="18"/>
      <c r="G88" s="128">
        <v>0</v>
      </c>
      <c r="H88" s="252">
        <f t="shared" si="16"/>
        <v>0</v>
      </c>
      <c r="I88" s="252">
        <f t="shared" si="17"/>
        <v>0</v>
      </c>
      <c r="J88" s="252">
        <f t="shared" si="18"/>
        <v>0</v>
      </c>
      <c r="K88" s="252">
        <f t="shared" si="19"/>
        <v>0</v>
      </c>
      <c r="L88" s="128">
        <v>0</v>
      </c>
      <c r="M88" s="128">
        <v>0</v>
      </c>
      <c r="N88" s="70">
        <f t="shared" si="20"/>
        <v>0</v>
      </c>
      <c r="Q88" s="494"/>
      <c r="S88" s="3"/>
    </row>
    <row r="89" spans="2:19" ht="12" customHeight="1" x14ac:dyDescent="0.2">
      <c r="B89" s="1299"/>
      <c r="D89" s="18"/>
      <c r="G89" s="128">
        <v>0</v>
      </c>
      <c r="H89" s="252">
        <f t="shared" si="16"/>
        <v>0</v>
      </c>
      <c r="I89" s="252">
        <f t="shared" si="17"/>
        <v>0</v>
      </c>
      <c r="J89" s="252">
        <f t="shared" si="18"/>
        <v>0</v>
      </c>
      <c r="K89" s="252">
        <f t="shared" si="19"/>
        <v>0</v>
      </c>
      <c r="L89" s="128">
        <v>0</v>
      </c>
      <c r="M89" s="128">
        <v>0</v>
      </c>
      <c r="N89" s="70">
        <f t="shared" si="20"/>
        <v>0</v>
      </c>
      <c r="Q89" s="494"/>
      <c r="S89" s="3"/>
    </row>
    <row r="90" spans="2:19" ht="12" customHeight="1" x14ac:dyDescent="0.2">
      <c r="B90" s="1299"/>
      <c r="D90" s="18"/>
      <c r="G90" s="128">
        <v>0</v>
      </c>
      <c r="H90" s="252">
        <f t="shared" si="16"/>
        <v>0</v>
      </c>
      <c r="I90" s="252">
        <f t="shared" si="17"/>
        <v>0</v>
      </c>
      <c r="J90" s="252">
        <f t="shared" si="18"/>
        <v>0</v>
      </c>
      <c r="K90" s="252">
        <f t="shared" si="19"/>
        <v>0</v>
      </c>
      <c r="L90" s="128">
        <v>0</v>
      </c>
      <c r="M90" s="128">
        <v>0</v>
      </c>
      <c r="N90" s="70">
        <f t="shared" si="20"/>
        <v>0</v>
      </c>
      <c r="Q90" s="494"/>
      <c r="S90" s="3"/>
    </row>
    <row r="91" spans="2:19" ht="12" customHeight="1" x14ac:dyDescent="0.2">
      <c r="B91" s="1299"/>
      <c r="D91" s="18"/>
      <c r="G91" s="128">
        <v>0</v>
      </c>
      <c r="H91" s="252">
        <f t="shared" si="16"/>
        <v>0</v>
      </c>
      <c r="I91" s="252">
        <f t="shared" si="17"/>
        <v>0</v>
      </c>
      <c r="J91" s="252">
        <f t="shared" si="18"/>
        <v>0</v>
      </c>
      <c r="K91" s="252">
        <f t="shared" si="19"/>
        <v>0</v>
      </c>
      <c r="L91" s="128">
        <v>0</v>
      </c>
      <c r="M91" s="128">
        <v>0</v>
      </c>
      <c r="N91" s="70">
        <f t="shared" si="20"/>
        <v>0</v>
      </c>
      <c r="Q91" s="494"/>
      <c r="S91" s="3"/>
    </row>
    <row r="92" spans="2:19" ht="12" customHeight="1" x14ac:dyDescent="0.2">
      <c r="B92" s="1299"/>
      <c r="D92" s="18"/>
      <c r="G92" s="128">
        <v>0</v>
      </c>
      <c r="H92" s="252">
        <f t="shared" si="16"/>
        <v>0</v>
      </c>
      <c r="I92" s="252">
        <f t="shared" si="17"/>
        <v>0</v>
      </c>
      <c r="J92" s="252">
        <f t="shared" si="18"/>
        <v>0</v>
      </c>
      <c r="K92" s="252">
        <f t="shared" si="19"/>
        <v>0</v>
      </c>
      <c r="L92" s="128">
        <v>0</v>
      </c>
      <c r="M92" s="128">
        <v>0</v>
      </c>
      <c r="N92" s="70">
        <f t="shared" si="20"/>
        <v>0</v>
      </c>
      <c r="Q92" s="494"/>
      <c r="S92" s="3"/>
    </row>
    <row r="93" spans="2:19" ht="12" customHeight="1" x14ac:dyDescent="0.2">
      <c r="B93" s="1299"/>
      <c r="D93" s="18"/>
      <c r="G93" s="128">
        <v>0</v>
      </c>
      <c r="H93" s="252">
        <f t="shared" si="16"/>
        <v>0</v>
      </c>
      <c r="I93" s="252">
        <f t="shared" si="17"/>
        <v>0</v>
      </c>
      <c r="J93" s="252">
        <f t="shared" si="18"/>
        <v>0</v>
      </c>
      <c r="K93" s="252">
        <f t="shared" si="19"/>
        <v>0</v>
      </c>
      <c r="L93" s="128">
        <v>0</v>
      </c>
      <c r="M93" s="128">
        <v>0</v>
      </c>
      <c r="N93" s="70">
        <f t="shared" si="20"/>
        <v>0</v>
      </c>
      <c r="Q93" s="494"/>
      <c r="S93" s="3"/>
    </row>
    <row r="94" spans="2:19" ht="12" customHeight="1" x14ac:dyDescent="0.2">
      <c r="B94" s="1299"/>
      <c r="D94" s="18"/>
      <c r="G94" s="128">
        <v>0</v>
      </c>
      <c r="H94" s="252">
        <f t="shared" si="16"/>
        <v>0</v>
      </c>
      <c r="I94" s="252">
        <f t="shared" si="17"/>
        <v>0</v>
      </c>
      <c r="J94" s="252">
        <f t="shared" si="18"/>
        <v>0</v>
      </c>
      <c r="K94" s="252">
        <f t="shared" si="19"/>
        <v>0</v>
      </c>
      <c r="L94" s="128">
        <v>0</v>
      </c>
      <c r="M94" s="128">
        <v>0</v>
      </c>
      <c r="N94" s="70">
        <f t="shared" si="20"/>
        <v>0</v>
      </c>
      <c r="Q94" s="494"/>
      <c r="S94" s="3"/>
    </row>
    <row r="95" spans="2:19" ht="12" customHeight="1" x14ac:dyDescent="0.2">
      <c r="B95" s="1299"/>
      <c r="D95" s="18"/>
      <c r="G95" s="128">
        <v>0</v>
      </c>
      <c r="H95" s="252">
        <f t="shared" si="16"/>
        <v>0</v>
      </c>
      <c r="I95" s="252">
        <f t="shared" si="17"/>
        <v>0</v>
      </c>
      <c r="J95" s="252">
        <f t="shared" si="18"/>
        <v>0</v>
      </c>
      <c r="K95" s="252">
        <f t="shared" si="19"/>
        <v>0</v>
      </c>
      <c r="L95" s="128">
        <v>0</v>
      </c>
      <c r="M95" s="128">
        <v>0</v>
      </c>
      <c r="N95" s="70">
        <f t="shared" si="20"/>
        <v>0</v>
      </c>
      <c r="Q95" s="494"/>
      <c r="S95" s="3"/>
    </row>
    <row r="96" spans="2:19" ht="12" customHeight="1" x14ac:dyDescent="0.2">
      <c r="B96" s="1299"/>
      <c r="D96" s="18"/>
      <c r="G96" s="128">
        <v>0</v>
      </c>
      <c r="H96" s="252">
        <f t="shared" si="16"/>
        <v>0</v>
      </c>
      <c r="I96" s="252">
        <f t="shared" si="17"/>
        <v>0</v>
      </c>
      <c r="J96" s="252">
        <f t="shared" si="18"/>
        <v>0</v>
      </c>
      <c r="K96" s="252">
        <f t="shared" si="19"/>
        <v>0</v>
      </c>
      <c r="L96" s="128">
        <v>0</v>
      </c>
      <c r="M96" s="128">
        <v>0</v>
      </c>
      <c r="N96" s="70">
        <f t="shared" si="20"/>
        <v>0</v>
      </c>
      <c r="Q96" s="494"/>
      <c r="S96" s="3"/>
    </row>
    <row r="97" spans="1:19" ht="12" customHeight="1" x14ac:dyDescent="0.2">
      <c r="B97" s="1299"/>
      <c r="D97" s="18"/>
      <c r="Q97" s="494"/>
      <c r="S97" s="3"/>
    </row>
    <row r="98" spans="1:19" ht="12" customHeight="1" x14ac:dyDescent="0.2">
      <c r="A98" s="361" t="s">
        <v>102</v>
      </c>
      <c r="B98" s="1306" t="str">
        <f>+A8</f>
        <v>FACTURAS -GERMÁN TULIO FERNÁNDEZ FERNÁNDEZ-</v>
      </c>
      <c r="C98" s="363"/>
      <c r="D98" s="362"/>
      <c r="E98" s="363"/>
      <c r="F98" s="364"/>
      <c r="G98" s="365">
        <f>SUM(G8:G97)</f>
        <v>29603000</v>
      </c>
      <c r="H98" s="181">
        <f t="shared" ref="H98:O98" si="21">SUM(H8:H97)</f>
        <v>5624570</v>
      </c>
      <c r="I98" s="366">
        <f t="shared" si="21"/>
        <v>35227570</v>
      </c>
      <c r="J98" s="181">
        <f t="shared" si="21"/>
        <v>3256330</v>
      </c>
      <c r="K98" s="366">
        <f t="shared" si="21"/>
        <v>31971240</v>
      </c>
      <c r="L98" s="365">
        <f t="shared" si="21"/>
        <v>31971240</v>
      </c>
      <c r="M98" s="365">
        <f t="shared" si="21"/>
        <v>0</v>
      </c>
      <c r="N98" s="366">
        <f t="shared" si="21"/>
        <v>0</v>
      </c>
      <c r="O98" s="209">
        <f t="shared" si="21"/>
        <v>0</v>
      </c>
      <c r="P98" s="31"/>
      <c r="Q98" s="858"/>
      <c r="R98" s="218"/>
      <c r="S98" s="3"/>
    </row>
    <row r="99" spans="1:19" x14ac:dyDescent="0.2">
      <c r="D99" s="36"/>
      <c r="F99" s="25"/>
      <c r="S99" s="3"/>
    </row>
    <row r="100" spans="1:19" ht="5.0999999999999996" customHeight="1" x14ac:dyDescent="0.2">
      <c r="A100" s="32"/>
      <c r="B100" s="1307"/>
      <c r="C100" s="818"/>
      <c r="D100" s="19"/>
      <c r="E100" s="357"/>
      <c r="F100" s="3"/>
      <c r="G100" s="289"/>
      <c r="H100" s="253"/>
      <c r="I100" s="253"/>
      <c r="J100" s="253"/>
      <c r="K100" s="253"/>
      <c r="L100" s="289"/>
      <c r="M100" s="289"/>
      <c r="N100" s="247"/>
      <c r="O100" s="54"/>
      <c r="P100" s="3"/>
      <c r="Q100" s="859"/>
      <c r="R100" s="217"/>
      <c r="S100" s="3"/>
    </row>
    <row r="101" spans="1:19" s="134" customFormat="1" x14ac:dyDescent="0.2">
      <c r="A101" s="22"/>
      <c r="B101" s="1298"/>
      <c r="C101" s="819"/>
      <c r="D101" s="138"/>
      <c r="E101" s="338"/>
      <c r="G101" s="128"/>
      <c r="H101" s="252"/>
      <c r="I101" s="252"/>
      <c r="J101" s="252"/>
      <c r="K101" s="252"/>
      <c r="L101" s="128"/>
      <c r="M101" s="128"/>
      <c r="N101" s="70"/>
      <c r="O101" s="51"/>
      <c r="Q101" s="854"/>
      <c r="R101" s="219"/>
    </row>
    <row r="102" spans="1:19" s="134" customFormat="1" x14ac:dyDescent="0.2">
      <c r="A102" s="30" t="s">
        <v>365</v>
      </c>
      <c r="B102" s="1308"/>
      <c r="C102" s="338"/>
      <c r="D102" s="207"/>
      <c r="E102" s="338"/>
      <c r="F102" s="206"/>
      <c r="G102" s="66">
        <v>0</v>
      </c>
      <c r="H102" s="252"/>
      <c r="I102" s="252"/>
      <c r="J102" s="252"/>
      <c r="K102" s="252"/>
      <c r="L102" s="128"/>
      <c r="M102" s="128"/>
      <c r="N102" s="70"/>
      <c r="O102" s="51"/>
      <c r="Q102" s="854"/>
      <c r="R102" s="219"/>
    </row>
    <row r="103" spans="1:19" s="134" customFormat="1" x14ac:dyDescent="0.2">
      <c r="A103" s="22"/>
      <c r="B103" s="1298"/>
      <c r="C103" s="819"/>
      <c r="D103" s="138"/>
      <c r="E103" s="338"/>
      <c r="G103" s="128">
        <f>+G98-G102</f>
        <v>29603000</v>
      </c>
      <c r="H103" s="252"/>
      <c r="I103" s="252"/>
      <c r="J103" s="252"/>
      <c r="K103" s="252"/>
      <c r="L103" s="128"/>
      <c r="M103" s="128"/>
      <c r="N103" s="70"/>
      <c r="O103" s="51"/>
      <c r="Q103" s="854"/>
      <c r="R103" s="219"/>
    </row>
    <row r="104" spans="1:19" s="134" customFormat="1" x14ac:dyDescent="0.2">
      <c r="A104" s="22"/>
      <c r="B104" s="1298"/>
      <c r="C104" s="819"/>
      <c r="D104" s="138"/>
      <c r="E104" s="338"/>
      <c r="G104" s="128"/>
      <c r="H104" s="252"/>
      <c r="I104" s="252"/>
      <c r="J104" s="252"/>
      <c r="K104" s="252"/>
      <c r="L104" s="128"/>
      <c r="M104" s="128"/>
      <c r="N104" s="70"/>
      <c r="O104" s="51"/>
      <c r="Q104" s="854"/>
      <c r="R104" s="219"/>
    </row>
    <row r="105" spans="1:19" ht="5.0999999999999996" customHeight="1" x14ac:dyDescent="0.2">
      <c r="A105" s="242"/>
      <c r="B105" s="1309"/>
      <c r="C105" s="820"/>
      <c r="D105" s="37"/>
      <c r="E105" s="358"/>
      <c r="F105" s="37"/>
      <c r="G105" s="328"/>
      <c r="H105" s="332"/>
      <c r="I105" s="332"/>
      <c r="J105" s="332"/>
      <c r="K105" s="332"/>
      <c r="L105" s="328"/>
      <c r="M105" s="328"/>
      <c r="N105" s="248"/>
      <c r="O105" s="212"/>
      <c r="P105" s="37"/>
      <c r="Q105" s="860"/>
      <c r="R105" s="220"/>
      <c r="S105" s="37"/>
    </row>
    <row r="106" spans="1:19" x14ac:dyDescent="0.2">
      <c r="A106" s="240"/>
      <c r="B106" s="1310"/>
      <c r="C106" s="821"/>
      <c r="D106" s="204"/>
      <c r="E106" s="235"/>
      <c r="F106" s="204"/>
      <c r="G106" s="81"/>
      <c r="H106" s="84"/>
      <c r="I106" s="84"/>
      <c r="J106" s="84"/>
      <c r="K106" s="84"/>
      <c r="L106" s="81"/>
      <c r="M106" s="81"/>
      <c r="N106" s="104"/>
      <c r="O106" s="189"/>
      <c r="P106" s="204"/>
      <c r="Q106" s="861"/>
      <c r="R106" s="255"/>
      <c r="S106" s="37"/>
    </row>
    <row r="107" spans="1:19" x14ac:dyDescent="0.2">
      <c r="A107" s="30" t="s">
        <v>410</v>
      </c>
      <c r="B107" s="1311"/>
      <c r="D107" s="38"/>
      <c r="F107" s="2"/>
      <c r="G107" s="277"/>
      <c r="H107" s="333"/>
      <c r="I107" s="333"/>
      <c r="J107" s="333"/>
      <c r="K107" s="333"/>
      <c r="L107" s="277"/>
      <c r="M107" s="277"/>
      <c r="N107" s="249"/>
      <c r="O107" s="55"/>
      <c r="P107" s="2"/>
      <c r="Q107" s="862"/>
      <c r="S107" s="37"/>
    </row>
    <row r="108" spans="1:19" x14ac:dyDescent="0.2">
      <c r="A108" s="380"/>
      <c r="D108" s="18"/>
      <c r="S108" s="37"/>
    </row>
    <row r="109" spans="1:19" x14ac:dyDescent="0.2">
      <c r="A109" s="325" t="s">
        <v>334</v>
      </c>
      <c r="B109" s="1304"/>
      <c r="C109" s="649"/>
      <c r="D109" s="339">
        <f>_xlfn.XLOOKUP(C109,Códigos!$A$11:$A$415,Códigos!$B$11:$B$415,"Verificar",0)</f>
        <v>0</v>
      </c>
      <c r="E109" s="356"/>
      <c r="F109" s="175"/>
      <c r="G109" s="487">
        <v>0</v>
      </c>
      <c r="H109" s="490" t="s">
        <v>399</v>
      </c>
      <c r="I109" s="488">
        <f>+G109</f>
        <v>0</v>
      </c>
      <c r="J109" s="490" t="s">
        <v>399</v>
      </c>
      <c r="K109" s="488">
        <f>+I109</f>
        <v>0</v>
      </c>
      <c r="L109" s="487">
        <v>0</v>
      </c>
      <c r="M109" s="487">
        <v>0</v>
      </c>
      <c r="N109" s="489">
        <f>IF(+(K109-L109-M109)&lt;0,0,(K109-L109-M109))</f>
        <v>0</v>
      </c>
      <c r="O109" s="491">
        <f t="shared" ref="O109:O139" si="22">IF(+(K109-L109-M109)&gt;0,0,(K109-L109-M109))</f>
        <v>0</v>
      </c>
      <c r="P109" s="276"/>
      <c r="Q109" s="857"/>
      <c r="R109" s="294"/>
      <c r="S109" s="37"/>
    </row>
    <row r="110" spans="1:19" x14ac:dyDescent="0.2">
      <c r="A110" s="325" t="s">
        <v>335</v>
      </c>
      <c r="B110" s="1304"/>
      <c r="C110" s="649"/>
      <c r="D110" s="339">
        <f>_xlfn.XLOOKUP(C110,Códigos!$A$11:$A$415,Códigos!$B$11:$B$415,"Verificar",0)</f>
        <v>0</v>
      </c>
      <c r="E110" s="356"/>
      <c r="F110" s="175"/>
      <c r="G110" s="487">
        <v>0</v>
      </c>
      <c r="H110" s="490" t="s">
        <v>399</v>
      </c>
      <c r="I110" s="488">
        <f t="shared" ref="I110:I139" si="23">+G110</f>
        <v>0</v>
      </c>
      <c r="J110" s="490" t="s">
        <v>399</v>
      </c>
      <c r="K110" s="488">
        <f t="shared" ref="K110:K139" si="24">+I110</f>
        <v>0</v>
      </c>
      <c r="L110" s="487">
        <v>0</v>
      </c>
      <c r="M110" s="487">
        <v>0</v>
      </c>
      <c r="N110" s="489">
        <f t="shared" ref="N110:N139" si="25">IF(+(K110-L110-M110)&lt;0,0,(K110-L110-M110))</f>
        <v>0</v>
      </c>
      <c r="O110" s="491">
        <f t="shared" si="22"/>
        <v>0</v>
      </c>
      <c r="P110" s="276"/>
      <c r="Q110" s="857"/>
      <c r="R110" s="294"/>
      <c r="S110" s="37"/>
    </row>
    <row r="111" spans="1:19" x14ac:dyDescent="0.2">
      <c r="A111" s="325" t="s">
        <v>336</v>
      </c>
      <c r="B111" s="1304"/>
      <c r="C111" s="649"/>
      <c r="D111" s="339">
        <f>_xlfn.XLOOKUP(C111,Códigos!$A$11:$A$415,Códigos!$B$11:$B$415,"Verificar",0)</f>
        <v>0</v>
      </c>
      <c r="E111" s="356"/>
      <c r="F111" s="175"/>
      <c r="G111" s="487">
        <v>0</v>
      </c>
      <c r="H111" s="490" t="s">
        <v>399</v>
      </c>
      <c r="I111" s="488">
        <f t="shared" si="23"/>
        <v>0</v>
      </c>
      <c r="J111" s="490" t="s">
        <v>399</v>
      </c>
      <c r="K111" s="488">
        <f t="shared" si="24"/>
        <v>0</v>
      </c>
      <c r="L111" s="487">
        <v>0</v>
      </c>
      <c r="M111" s="487">
        <v>0</v>
      </c>
      <c r="N111" s="489">
        <f t="shared" si="25"/>
        <v>0</v>
      </c>
      <c r="O111" s="491">
        <f t="shared" si="22"/>
        <v>0</v>
      </c>
      <c r="P111" s="276"/>
      <c r="Q111" s="857"/>
      <c r="R111" s="294"/>
      <c r="S111" s="37"/>
    </row>
    <row r="112" spans="1:19" x14ac:dyDescent="0.2">
      <c r="A112" s="325" t="s">
        <v>337</v>
      </c>
      <c r="B112" s="1304"/>
      <c r="C112" s="649"/>
      <c r="D112" s="339">
        <f>_xlfn.XLOOKUP(C112,Códigos!$A$11:$A$415,Códigos!$B$11:$B$415,"Verificar",0)</f>
        <v>0</v>
      </c>
      <c r="E112" s="356"/>
      <c r="F112" s="175"/>
      <c r="G112" s="487">
        <v>0</v>
      </c>
      <c r="H112" s="490" t="s">
        <v>399</v>
      </c>
      <c r="I112" s="488">
        <f t="shared" si="23"/>
        <v>0</v>
      </c>
      <c r="J112" s="490" t="s">
        <v>399</v>
      </c>
      <c r="K112" s="488">
        <f t="shared" si="24"/>
        <v>0</v>
      </c>
      <c r="L112" s="487">
        <v>0</v>
      </c>
      <c r="M112" s="487">
        <v>0</v>
      </c>
      <c r="N112" s="489">
        <f t="shared" si="25"/>
        <v>0</v>
      </c>
      <c r="O112" s="491">
        <f t="shared" si="22"/>
        <v>0</v>
      </c>
      <c r="P112" s="276"/>
      <c r="Q112" s="857"/>
      <c r="R112" s="294"/>
      <c r="S112" s="37"/>
    </row>
    <row r="113" spans="1:19" x14ac:dyDescent="0.2">
      <c r="A113" s="325" t="s">
        <v>338</v>
      </c>
      <c r="B113" s="1304"/>
      <c r="C113" s="649"/>
      <c r="D113" s="339">
        <f>_xlfn.XLOOKUP(C113,Códigos!$A$11:$A$415,Códigos!$B$11:$B$415,"Verificar",0)</f>
        <v>0</v>
      </c>
      <c r="E113" s="356"/>
      <c r="F113" s="175"/>
      <c r="G113" s="487">
        <v>0</v>
      </c>
      <c r="H113" s="490" t="s">
        <v>399</v>
      </c>
      <c r="I113" s="488">
        <f t="shared" si="23"/>
        <v>0</v>
      </c>
      <c r="J113" s="490" t="s">
        <v>399</v>
      </c>
      <c r="K113" s="488">
        <f t="shared" si="24"/>
        <v>0</v>
      </c>
      <c r="L113" s="487">
        <v>0</v>
      </c>
      <c r="M113" s="487">
        <v>0</v>
      </c>
      <c r="N113" s="489">
        <f t="shared" si="25"/>
        <v>0</v>
      </c>
      <c r="O113" s="491">
        <f t="shared" si="22"/>
        <v>0</v>
      </c>
      <c r="P113" s="276"/>
      <c r="Q113" s="857"/>
      <c r="R113" s="294"/>
      <c r="S113" s="37"/>
    </row>
    <row r="114" spans="1:19" x14ac:dyDescent="0.2">
      <c r="A114" s="325" t="s">
        <v>339</v>
      </c>
      <c r="B114" s="1304"/>
      <c r="C114" s="649"/>
      <c r="D114" s="339">
        <f>_xlfn.XLOOKUP(C114,Códigos!$A$11:$A$415,Códigos!$B$11:$B$415,"Verificar",0)</f>
        <v>0</v>
      </c>
      <c r="E114" s="356"/>
      <c r="F114" s="175"/>
      <c r="G114" s="487">
        <v>0</v>
      </c>
      <c r="H114" s="490" t="s">
        <v>399</v>
      </c>
      <c r="I114" s="488">
        <f t="shared" si="23"/>
        <v>0</v>
      </c>
      <c r="J114" s="490" t="s">
        <v>399</v>
      </c>
      <c r="K114" s="488">
        <f t="shared" si="24"/>
        <v>0</v>
      </c>
      <c r="L114" s="487">
        <v>0</v>
      </c>
      <c r="M114" s="487">
        <v>0</v>
      </c>
      <c r="N114" s="489">
        <f t="shared" si="25"/>
        <v>0</v>
      </c>
      <c r="O114" s="491">
        <f t="shared" si="22"/>
        <v>0</v>
      </c>
      <c r="P114" s="276"/>
      <c r="Q114" s="857"/>
      <c r="R114" s="294"/>
      <c r="S114" s="37"/>
    </row>
    <row r="115" spans="1:19" x14ac:dyDescent="0.2">
      <c r="A115" s="325" t="s">
        <v>340</v>
      </c>
      <c r="B115" s="1304"/>
      <c r="C115" s="649"/>
      <c r="D115" s="339">
        <f>_xlfn.XLOOKUP(C115,Códigos!$A$11:$A$415,Códigos!$B$11:$B$415,"Verificar",0)</f>
        <v>0</v>
      </c>
      <c r="E115" s="356"/>
      <c r="F115" s="175"/>
      <c r="G115" s="487">
        <v>0</v>
      </c>
      <c r="H115" s="490" t="s">
        <v>399</v>
      </c>
      <c r="I115" s="488">
        <f t="shared" si="23"/>
        <v>0</v>
      </c>
      <c r="J115" s="490" t="s">
        <v>399</v>
      </c>
      <c r="K115" s="488">
        <f t="shared" si="24"/>
        <v>0</v>
      </c>
      <c r="L115" s="487">
        <v>0</v>
      </c>
      <c r="M115" s="487">
        <v>0</v>
      </c>
      <c r="N115" s="489">
        <f t="shared" si="25"/>
        <v>0</v>
      </c>
      <c r="O115" s="491">
        <f t="shared" si="22"/>
        <v>0</v>
      </c>
      <c r="P115" s="276"/>
      <c r="Q115" s="857"/>
      <c r="R115" s="294"/>
      <c r="S115" s="37"/>
    </row>
    <row r="116" spans="1:19" x14ac:dyDescent="0.2">
      <c r="A116" s="325"/>
      <c r="B116" s="1304"/>
      <c r="C116" s="649"/>
      <c r="D116" s="339">
        <f>_xlfn.XLOOKUP(C116,Códigos!$A$11:$A$415,Códigos!$B$11:$B$415,"Verificar",0)</f>
        <v>0</v>
      </c>
      <c r="E116" s="356"/>
      <c r="F116" s="175"/>
      <c r="G116" s="487">
        <v>0</v>
      </c>
      <c r="H116" s="490" t="s">
        <v>399</v>
      </c>
      <c r="I116" s="488">
        <f t="shared" si="23"/>
        <v>0</v>
      </c>
      <c r="J116" s="490" t="s">
        <v>399</v>
      </c>
      <c r="K116" s="488">
        <f t="shared" si="24"/>
        <v>0</v>
      </c>
      <c r="L116" s="487">
        <v>0</v>
      </c>
      <c r="M116" s="487">
        <v>0</v>
      </c>
      <c r="N116" s="489">
        <f t="shared" si="25"/>
        <v>0</v>
      </c>
      <c r="O116" s="491">
        <f t="shared" si="22"/>
        <v>0</v>
      </c>
      <c r="P116" s="276"/>
      <c r="Q116" s="857"/>
      <c r="R116" s="294"/>
      <c r="S116" s="37"/>
    </row>
    <row r="117" spans="1:19" x14ac:dyDescent="0.2">
      <c r="A117" s="325"/>
      <c r="B117" s="1304"/>
      <c r="C117" s="649"/>
      <c r="D117" s="339">
        <f>_xlfn.XLOOKUP(C117,Códigos!$A$11:$A$415,Códigos!$B$11:$B$415,"Verificar",0)</f>
        <v>0</v>
      </c>
      <c r="E117" s="356"/>
      <c r="F117" s="175"/>
      <c r="G117" s="487">
        <v>0</v>
      </c>
      <c r="H117" s="490" t="s">
        <v>399</v>
      </c>
      <c r="I117" s="488">
        <f t="shared" si="23"/>
        <v>0</v>
      </c>
      <c r="J117" s="490" t="s">
        <v>399</v>
      </c>
      <c r="K117" s="488">
        <f t="shared" si="24"/>
        <v>0</v>
      </c>
      <c r="L117" s="487">
        <v>0</v>
      </c>
      <c r="M117" s="487">
        <v>0</v>
      </c>
      <c r="N117" s="489">
        <f t="shared" si="25"/>
        <v>0</v>
      </c>
      <c r="O117" s="491">
        <f t="shared" si="22"/>
        <v>0</v>
      </c>
      <c r="P117" s="276"/>
      <c r="Q117" s="857"/>
      <c r="R117" s="294"/>
      <c r="S117" s="37"/>
    </row>
    <row r="118" spans="1:19" x14ac:dyDescent="0.2">
      <c r="A118" s="325"/>
      <c r="B118" s="1304"/>
      <c r="C118" s="649"/>
      <c r="D118" s="339">
        <f>_xlfn.XLOOKUP(C118,Códigos!$A$11:$A$415,Códigos!$B$11:$B$415,"Verificar",0)</f>
        <v>0</v>
      </c>
      <c r="E118" s="356"/>
      <c r="F118" s="175"/>
      <c r="G118" s="487">
        <v>0</v>
      </c>
      <c r="H118" s="490" t="s">
        <v>399</v>
      </c>
      <c r="I118" s="488">
        <f t="shared" si="23"/>
        <v>0</v>
      </c>
      <c r="J118" s="490" t="s">
        <v>399</v>
      </c>
      <c r="K118" s="488">
        <f t="shared" si="24"/>
        <v>0</v>
      </c>
      <c r="L118" s="487">
        <v>0</v>
      </c>
      <c r="M118" s="487">
        <v>0</v>
      </c>
      <c r="N118" s="489">
        <f t="shared" si="25"/>
        <v>0</v>
      </c>
      <c r="O118" s="491">
        <f t="shared" si="22"/>
        <v>0</v>
      </c>
      <c r="P118" s="276"/>
      <c r="Q118" s="857"/>
      <c r="R118" s="294"/>
      <c r="S118" s="37"/>
    </row>
    <row r="119" spans="1:19" x14ac:dyDescent="0.2">
      <c r="A119" s="325"/>
      <c r="B119" s="1304"/>
      <c r="C119" s="649"/>
      <c r="D119" s="339">
        <f>_xlfn.XLOOKUP(C119,Códigos!$A$11:$A$415,Códigos!$B$11:$B$415,"Verificar",0)</f>
        <v>0</v>
      </c>
      <c r="E119" s="356"/>
      <c r="F119" s="175"/>
      <c r="G119" s="487">
        <v>0</v>
      </c>
      <c r="H119" s="490" t="s">
        <v>399</v>
      </c>
      <c r="I119" s="488">
        <f t="shared" si="23"/>
        <v>0</v>
      </c>
      <c r="J119" s="490" t="s">
        <v>399</v>
      </c>
      <c r="K119" s="488">
        <f t="shared" si="24"/>
        <v>0</v>
      </c>
      <c r="L119" s="487">
        <v>0</v>
      </c>
      <c r="M119" s="487">
        <v>0</v>
      </c>
      <c r="N119" s="489">
        <f t="shared" si="25"/>
        <v>0</v>
      </c>
      <c r="O119" s="491">
        <f t="shared" si="22"/>
        <v>0</v>
      </c>
      <c r="P119" s="276"/>
      <c r="Q119" s="857"/>
      <c r="R119" s="294"/>
      <c r="S119" s="37"/>
    </row>
    <row r="120" spans="1:19" x14ac:dyDescent="0.2">
      <c r="A120" s="325"/>
      <c r="B120" s="1304"/>
      <c r="C120" s="649"/>
      <c r="D120" s="339">
        <f>_xlfn.XLOOKUP(C120,Códigos!$A$11:$A$415,Códigos!$B$11:$B$415,"Verificar",0)</f>
        <v>0</v>
      </c>
      <c r="E120" s="356"/>
      <c r="F120" s="175"/>
      <c r="G120" s="487">
        <v>0</v>
      </c>
      <c r="H120" s="490" t="s">
        <v>399</v>
      </c>
      <c r="I120" s="488">
        <f t="shared" si="23"/>
        <v>0</v>
      </c>
      <c r="J120" s="490" t="s">
        <v>399</v>
      </c>
      <c r="K120" s="488">
        <f t="shared" si="24"/>
        <v>0</v>
      </c>
      <c r="L120" s="487">
        <v>0</v>
      </c>
      <c r="M120" s="487">
        <v>0</v>
      </c>
      <c r="N120" s="489">
        <f>IF(+(K121-L121-M120)&lt;0,0,(K121-L121-M120))</f>
        <v>0</v>
      </c>
      <c r="O120" s="491">
        <f>IF(+(K121-L121-M120)&gt;0,0,(K121-L121-M120))</f>
        <v>0</v>
      </c>
      <c r="P120" s="276"/>
      <c r="Q120" s="857"/>
      <c r="R120" s="294"/>
      <c r="S120" s="37"/>
    </row>
    <row r="121" spans="1:19" x14ac:dyDescent="0.2">
      <c r="A121" s="325"/>
      <c r="B121" s="1304"/>
      <c r="C121" s="649"/>
      <c r="D121" s="339">
        <f>_xlfn.XLOOKUP(C121,Códigos!$A$11:$A$415,Códigos!$B$11:$B$415,"Verificar",0)</f>
        <v>0</v>
      </c>
      <c r="E121" s="356"/>
      <c r="F121" s="175"/>
      <c r="G121" s="487">
        <v>0</v>
      </c>
      <c r="H121" s="490" t="s">
        <v>399</v>
      </c>
      <c r="I121" s="488">
        <f t="shared" si="23"/>
        <v>0</v>
      </c>
      <c r="J121" s="490" t="s">
        <v>399</v>
      </c>
      <c r="K121" s="488">
        <f t="shared" si="24"/>
        <v>0</v>
      </c>
      <c r="L121" s="487">
        <v>0</v>
      </c>
      <c r="M121" s="487">
        <v>0</v>
      </c>
      <c r="N121" s="489">
        <f t="shared" si="25"/>
        <v>0</v>
      </c>
      <c r="O121" s="491">
        <f t="shared" si="22"/>
        <v>0</v>
      </c>
      <c r="P121" s="276"/>
      <c r="Q121" s="857"/>
      <c r="R121" s="294"/>
      <c r="S121" s="37"/>
    </row>
    <row r="122" spans="1:19" x14ac:dyDescent="0.2">
      <c r="A122" s="325"/>
      <c r="B122" s="1304"/>
      <c r="C122" s="649"/>
      <c r="D122" s="339">
        <f>_xlfn.XLOOKUP(C122,Códigos!$A$11:$A$415,Códigos!$B$11:$B$415,"Verificar",0)</f>
        <v>0</v>
      </c>
      <c r="E122" s="356"/>
      <c r="F122" s="175"/>
      <c r="G122" s="487">
        <v>0</v>
      </c>
      <c r="H122" s="490" t="s">
        <v>399</v>
      </c>
      <c r="I122" s="488">
        <f t="shared" si="23"/>
        <v>0</v>
      </c>
      <c r="J122" s="490" t="s">
        <v>399</v>
      </c>
      <c r="K122" s="488">
        <f t="shared" si="24"/>
        <v>0</v>
      </c>
      <c r="L122" s="487">
        <v>0</v>
      </c>
      <c r="M122" s="487">
        <v>0</v>
      </c>
      <c r="N122" s="489">
        <f t="shared" si="25"/>
        <v>0</v>
      </c>
      <c r="O122" s="491">
        <f t="shared" si="22"/>
        <v>0</v>
      </c>
      <c r="P122" s="276"/>
      <c r="Q122" s="857"/>
      <c r="R122" s="294"/>
      <c r="S122" s="37"/>
    </row>
    <row r="123" spans="1:19" x14ac:dyDescent="0.2">
      <c r="A123" s="325"/>
      <c r="B123" s="1304"/>
      <c r="C123" s="649"/>
      <c r="D123" s="339">
        <f>_xlfn.XLOOKUP(C123,Códigos!$A$11:$A$415,Códigos!$B$11:$B$415,"Verificar",0)</f>
        <v>0</v>
      </c>
      <c r="E123" s="356"/>
      <c r="F123" s="175"/>
      <c r="G123" s="487">
        <v>0</v>
      </c>
      <c r="H123" s="490" t="s">
        <v>399</v>
      </c>
      <c r="I123" s="488">
        <f t="shared" si="23"/>
        <v>0</v>
      </c>
      <c r="J123" s="490" t="s">
        <v>399</v>
      </c>
      <c r="K123" s="488">
        <f t="shared" si="24"/>
        <v>0</v>
      </c>
      <c r="L123" s="487">
        <v>0</v>
      </c>
      <c r="M123" s="487">
        <v>0</v>
      </c>
      <c r="N123" s="489">
        <f t="shared" si="25"/>
        <v>0</v>
      </c>
      <c r="O123" s="491">
        <f t="shared" si="22"/>
        <v>0</v>
      </c>
      <c r="P123" s="276"/>
      <c r="Q123" s="857"/>
      <c r="R123" s="294"/>
      <c r="S123" s="37"/>
    </row>
    <row r="124" spans="1:19" x14ac:dyDescent="0.2">
      <c r="A124" s="325"/>
      <c r="B124" s="1304"/>
      <c r="C124" s="649"/>
      <c r="D124" s="339">
        <f>_xlfn.XLOOKUP(C124,Códigos!$A$11:$A$415,Códigos!$B$11:$B$415,"Verificar",0)</f>
        <v>0</v>
      </c>
      <c r="E124" s="356"/>
      <c r="F124" s="175"/>
      <c r="G124" s="487">
        <v>0</v>
      </c>
      <c r="H124" s="490" t="s">
        <v>399</v>
      </c>
      <c r="I124" s="488">
        <f t="shared" si="23"/>
        <v>0</v>
      </c>
      <c r="J124" s="490" t="s">
        <v>399</v>
      </c>
      <c r="K124" s="488">
        <f t="shared" si="24"/>
        <v>0</v>
      </c>
      <c r="L124" s="487">
        <v>0</v>
      </c>
      <c r="M124" s="487">
        <v>0</v>
      </c>
      <c r="N124" s="489">
        <f t="shared" si="25"/>
        <v>0</v>
      </c>
      <c r="O124" s="491">
        <f t="shared" si="22"/>
        <v>0</v>
      </c>
      <c r="P124" s="276"/>
      <c r="Q124" s="857"/>
      <c r="R124" s="294"/>
      <c r="S124" s="37"/>
    </row>
    <row r="125" spans="1:19" x14ac:dyDescent="0.2">
      <c r="A125" s="325"/>
      <c r="B125" s="1304"/>
      <c r="C125" s="649"/>
      <c r="D125" s="339">
        <f>_xlfn.XLOOKUP(C125,Códigos!$A$11:$A$415,Códigos!$B$11:$B$415,"Verificar",0)</f>
        <v>0</v>
      </c>
      <c r="E125" s="356"/>
      <c r="F125" s="175"/>
      <c r="G125" s="487">
        <v>0</v>
      </c>
      <c r="H125" s="490" t="s">
        <v>399</v>
      </c>
      <c r="I125" s="488">
        <f t="shared" si="23"/>
        <v>0</v>
      </c>
      <c r="J125" s="490" t="s">
        <v>399</v>
      </c>
      <c r="K125" s="488">
        <f t="shared" si="24"/>
        <v>0</v>
      </c>
      <c r="L125" s="487">
        <v>0</v>
      </c>
      <c r="M125" s="487">
        <v>0</v>
      </c>
      <c r="N125" s="489">
        <f t="shared" si="25"/>
        <v>0</v>
      </c>
      <c r="O125" s="491">
        <f t="shared" si="22"/>
        <v>0</v>
      </c>
      <c r="P125" s="276"/>
      <c r="Q125" s="857"/>
      <c r="R125" s="294"/>
      <c r="S125" s="37"/>
    </row>
    <row r="126" spans="1:19" x14ac:dyDescent="0.2">
      <c r="A126" s="325"/>
      <c r="B126" s="1304"/>
      <c r="C126" s="649"/>
      <c r="D126" s="339">
        <f>_xlfn.XLOOKUP(C126,Códigos!$A$11:$A$415,Códigos!$B$11:$B$415,"Verificar",0)</f>
        <v>0</v>
      </c>
      <c r="E126" s="356"/>
      <c r="F126" s="175"/>
      <c r="G126" s="487">
        <v>0</v>
      </c>
      <c r="H126" s="490" t="s">
        <v>399</v>
      </c>
      <c r="I126" s="488">
        <f t="shared" si="23"/>
        <v>0</v>
      </c>
      <c r="J126" s="490" t="s">
        <v>399</v>
      </c>
      <c r="K126" s="488">
        <f t="shared" si="24"/>
        <v>0</v>
      </c>
      <c r="L126" s="487">
        <v>0</v>
      </c>
      <c r="M126" s="487">
        <v>0</v>
      </c>
      <c r="N126" s="489">
        <f t="shared" si="25"/>
        <v>0</v>
      </c>
      <c r="O126" s="491">
        <f t="shared" si="22"/>
        <v>0</v>
      </c>
      <c r="P126" s="276"/>
      <c r="Q126" s="857"/>
      <c r="R126" s="294"/>
      <c r="S126" s="37"/>
    </row>
    <row r="127" spans="1:19" x14ac:dyDescent="0.2">
      <c r="A127" s="325"/>
      <c r="B127" s="1304"/>
      <c r="C127" s="649"/>
      <c r="D127" s="339">
        <f>_xlfn.XLOOKUP(C127,Códigos!$A$11:$A$415,Códigos!$B$11:$B$415,"Verificar",0)</f>
        <v>0</v>
      </c>
      <c r="E127" s="356"/>
      <c r="F127" s="175"/>
      <c r="G127" s="487">
        <v>0</v>
      </c>
      <c r="H127" s="490" t="s">
        <v>399</v>
      </c>
      <c r="I127" s="488">
        <f t="shared" si="23"/>
        <v>0</v>
      </c>
      <c r="J127" s="490" t="s">
        <v>399</v>
      </c>
      <c r="K127" s="488">
        <f t="shared" si="24"/>
        <v>0</v>
      </c>
      <c r="L127" s="487">
        <v>0</v>
      </c>
      <c r="M127" s="487">
        <v>0</v>
      </c>
      <c r="N127" s="489">
        <f t="shared" si="25"/>
        <v>0</v>
      </c>
      <c r="O127" s="491">
        <f t="shared" si="22"/>
        <v>0</v>
      </c>
      <c r="P127" s="276"/>
      <c r="Q127" s="857"/>
      <c r="R127" s="294"/>
      <c r="S127" s="37"/>
    </row>
    <row r="128" spans="1:19" x14ac:dyDescent="0.2">
      <c r="A128" s="325"/>
      <c r="B128" s="1304"/>
      <c r="C128" s="649"/>
      <c r="D128" s="339">
        <f>_xlfn.XLOOKUP(C128,Códigos!$A$11:$A$415,Códigos!$B$11:$B$415,"Verificar",0)</f>
        <v>0</v>
      </c>
      <c r="E128" s="356"/>
      <c r="F128" s="175"/>
      <c r="G128" s="487">
        <v>0</v>
      </c>
      <c r="H128" s="490" t="s">
        <v>399</v>
      </c>
      <c r="I128" s="488">
        <f t="shared" si="23"/>
        <v>0</v>
      </c>
      <c r="J128" s="490" t="s">
        <v>399</v>
      </c>
      <c r="K128" s="488">
        <f t="shared" si="24"/>
        <v>0</v>
      </c>
      <c r="L128" s="487">
        <v>0</v>
      </c>
      <c r="M128" s="487">
        <v>0</v>
      </c>
      <c r="N128" s="489">
        <f t="shared" si="25"/>
        <v>0</v>
      </c>
      <c r="O128" s="491">
        <f t="shared" si="22"/>
        <v>0</v>
      </c>
      <c r="P128" s="276"/>
      <c r="Q128" s="857"/>
      <c r="R128" s="294"/>
      <c r="S128" s="37"/>
    </row>
    <row r="129" spans="1:19" x14ac:dyDescent="0.2">
      <c r="A129" s="325"/>
      <c r="B129" s="1304"/>
      <c r="C129" s="649"/>
      <c r="D129" s="339">
        <f>_xlfn.XLOOKUP(C129,Códigos!$A$11:$A$415,Códigos!$B$11:$B$415,"Verificar",0)</f>
        <v>0</v>
      </c>
      <c r="E129" s="356"/>
      <c r="F129" s="175"/>
      <c r="G129" s="487">
        <v>0</v>
      </c>
      <c r="H129" s="490" t="s">
        <v>399</v>
      </c>
      <c r="I129" s="488">
        <f t="shared" si="23"/>
        <v>0</v>
      </c>
      <c r="J129" s="490" t="s">
        <v>399</v>
      </c>
      <c r="K129" s="488">
        <f t="shared" si="24"/>
        <v>0</v>
      </c>
      <c r="L129" s="487">
        <v>0</v>
      </c>
      <c r="M129" s="487">
        <v>0</v>
      </c>
      <c r="N129" s="489">
        <f t="shared" si="25"/>
        <v>0</v>
      </c>
      <c r="O129" s="491">
        <f t="shared" si="22"/>
        <v>0</v>
      </c>
      <c r="P129" s="276"/>
      <c r="Q129" s="857"/>
      <c r="R129" s="294"/>
      <c r="S129" s="37"/>
    </row>
    <row r="130" spans="1:19" x14ac:dyDescent="0.2">
      <c r="A130" s="325"/>
      <c r="B130" s="1304"/>
      <c r="C130" s="649"/>
      <c r="D130" s="339">
        <f>_xlfn.XLOOKUP(C130,Códigos!$A$11:$A$415,Códigos!$B$11:$B$415,"Verificar",0)</f>
        <v>0</v>
      </c>
      <c r="E130" s="356"/>
      <c r="F130" s="175"/>
      <c r="G130" s="487">
        <v>0</v>
      </c>
      <c r="H130" s="490" t="s">
        <v>399</v>
      </c>
      <c r="I130" s="488">
        <f t="shared" si="23"/>
        <v>0</v>
      </c>
      <c r="J130" s="490" t="s">
        <v>399</v>
      </c>
      <c r="K130" s="488">
        <f t="shared" si="24"/>
        <v>0</v>
      </c>
      <c r="L130" s="487">
        <v>0</v>
      </c>
      <c r="M130" s="487">
        <v>0</v>
      </c>
      <c r="N130" s="489">
        <f t="shared" si="25"/>
        <v>0</v>
      </c>
      <c r="O130" s="491">
        <f t="shared" si="22"/>
        <v>0</v>
      </c>
      <c r="P130" s="276"/>
      <c r="Q130" s="857"/>
      <c r="R130" s="294"/>
      <c r="S130" s="37"/>
    </row>
    <row r="131" spans="1:19" x14ac:dyDescent="0.2">
      <c r="A131" s="325"/>
      <c r="B131" s="1304"/>
      <c r="C131" s="649"/>
      <c r="D131" s="339">
        <f>_xlfn.XLOOKUP(C131,Códigos!$A$11:$A$415,Códigos!$B$11:$B$415,"Verificar",0)</f>
        <v>0</v>
      </c>
      <c r="E131" s="356"/>
      <c r="F131" s="175"/>
      <c r="G131" s="487">
        <v>0</v>
      </c>
      <c r="H131" s="490" t="s">
        <v>399</v>
      </c>
      <c r="I131" s="488">
        <f t="shared" si="23"/>
        <v>0</v>
      </c>
      <c r="J131" s="490" t="s">
        <v>399</v>
      </c>
      <c r="K131" s="488">
        <f t="shared" si="24"/>
        <v>0</v>
      </c>
      <c r="L131" s="487">
        <v>0</v>
      </c>
      <c r="M131" s="487">
        <v>0</v>
      </c>
      <c r="N131" s="489">
        <f t="shared" si="25"/>
        <v>0</v>
      </c>
      <c r="O131" s="491">
        <f t="shared" si="22"/>
        <v>0</v>
      </c>
      <c r="P131" s="276"/>
      <c r="Q131" s="857"/>
      <c r="R131" s="294"/>
      <c r="S131" s="37"/>
    </row>
    <row r="132" spans="1:19" x14ac:dyDescent="0.2">
      <c r="A132" s="325"/>
      <c r="B132" s="1304"/>
      <c r="C132" s="649"/>
      <c r="D132" s="339">
        <f>_xlfn.XLOOKUP(C132,Códigos!$A$11:$A$415,Códigos!$B$11:$B$415,"Verificar",0)</f>
        <v>0</v>
      </c>
      <c r="E132" s="356"/>
      <c r="F132" s="175"/>
      <c r="G132" s="487">
        <v>0</v>
      </c>
      <c r="H132" s="490" t="s">
        <v>399</v>
      </c>
      <c r="I132" s="488">
        <f t="shared" si="23"/>
        <v>0</v>
      </c>
      <c r="J132" s="490" t="s">
        <v>399</v>
      </c>
      <c r="K132" s="488">
        <f t="shared" si="24"/>
        <v>0</v>
      </c>
      <c r="L132" s="487">
        <v>0</v>
      </c>
      <c r="M132" s="487">
        <v>0</v>
      </c>
      <c r="N132" s="489">
        <f t="shared" si="25"/>
        <v>0</v>
      </c>
      <c r="O132" s="491">
        <f t="shared" si="22"/>
        <v>0</v>
      </c>
      <c r="P132" s="276"/>
      <c r="Q132" s="857"/>
      <c r="R132" s="294"/>
      <c r="S132" s="37"/>
    </row>
    <row r="133" spans="1:19" x14ac:dyDescent="0.2">
      <c r="A133" s="325"/>
      <c r="B133" s="1304"/>
      <c r="C133" s="649"/>
      <c r="D133" s="339">
        <f>_xlfn.XLOOKUP(C133,Códigos!$A$11:$A$415,Códigos!$B$11:$B$415,"Verificar",0)</f>
        <v>0</v>
      </c>
      <c r="E133" s="356"/>
      <c r="F133" s="175"/>
      <c r="G133" s="487">
        <v>0</v>
      </c>
      <c r="H133" s="490" t="s">
        <v>399</v>
      </c>
      <c r="I133" s="488">
        <f t="shared" si="23"/>
        <v>0</v>
      </c>
      <c r="J133" s="490" t="s">
        <v>399</v>
      </c>
      <c r="K133" s="488">
        <f t="shared" si="24"/>
        <v>0</v>
      </c>
      <c r="L133" s="487">
        <v>0</v>
      </c>
      <c r="M133" s="487">
        <v>0</v>
      </c>
      <c r="N133" s="489">
        <f t="shared" si="25"/>
        <v>0</v>
      </c>
      <c r="O133" s="491">
        <f t="shared" si="22"/>
        <v>0</v>
      </c>
      <c r="P133" s="276"/>
      <c r="Q133" s="857"/>
      <c r="R133" s="294"/>
      <c r="S133" s="37"/>
    </row>
    <row r="134" spans="1:19" x14ac:dyDescent="0.2">
      <c r="A134" s="325"/>
      <c r="B134" s="1304"/>
      <c r="C134" s="649"/>
      <c r="D134" s="339">
        <f>_xlfn.XLOOKUP(C134,Códigos!$A$11:$A$415,Códigos!$B$11:$B$415,"Verificar",0)</f>
        <v>0</v>
      </c>
      <c r="E134" s="356"/>
      <c r="F134" s="175"/>
      <c r="G134" s="487">
        <v>0</v>
      </c>
      <c r="H134" s="490" t="s">
        <v>399</v>
      </c>
      <c r="I134" s="488">
        <f t="shared" si="23"/>
        <v>0</v>
      </c>
      <c r="J134" s="490" t="s">
        <v>399</v>
      </c>
      <c r="K134" s="488">
        <f t="shared" si="24"/>
        <v>0</v>
      </c>
      <c r="L134" s="487">
        <v>0</v>
      </c>
      <c r="M134" s="487">
        <v>0</v>
      </c>
      <c r="N134" s="489">
        <f t="shared" si="25"/>
        <v>0</v>
      </c>
      <c r="O134" s="491">
        <f t="shared" si="22"/>
        <v>0</v>
      </c>
      <c r="P134" s="276"/>
      <c r="Q134" s="857"/>
      <c r="R134" s="294"/>
      <c r="S134" s="37"/>
    </row>
    <row r="135" spans="1:19" x14ac:dyDescent="0.2">
      <c r="A135" s="325"/>
      <c r="B135" s="1304"/>
      <c r="C135" s="649"/>
      <c r="D135" s="339">
        <f>_xlfn.XLOOKUP(C135,Códigos!$A$11:$A$415,Códigos!$B$11:$B$415,"Verificar",0)</f>
        <v>0</v>
      </c>
      <c r="E135" s="356"/>
      <c r="F135" s="175"/>
      <c r="G135" s="487">
        <v>0</v>
      </c>
      <c r="H135" s="490" t="s">
        <v>399</v>
      </c>
      <c r="I135" s="488">
        <f t="shared" si="23"/>
        <v>0</v>
      </c>
      <c r="J135" s="490" t="s">
        <v>399</v>
      </c>
      <c r="K135" s="488">
        <f t="shared" si="24"/>
        <v>0</v>
      </c>
      <c r="L135" s="487">
        <v>0</v>
      </c>
      <c r="M135" s="487">
        <v>0</v>
      </c>
      <c r="N135" s="489">
        <f t="shared" si="25"/>
        <v>0</v>
      </c>
      <c r="O135" s="491">
        <f t="shared" si="22"/>
        <v>0</v>
      </c>
      <c r="P135" s="276"/>
      <c r="Q135" s="857"/>
      <c r="R135" s="294"/>
      <c r="S135" s="37"/>
    </row>
    <row r="136" spans="1:19" x14ac:dyDescent="0.2">
      <c r="A136" s="325"/>
      <c r="B136" s="1304"/>
      <c r="C136" s="649"/>
      <c r="D136" s="339">
        <f>_xlfn.XLOOKUP(C136,Códigos!$A$11:$A$415,Códigos!$B$11:$B$415,"Verificar",0)</f>
        <v>0</v>
      </c>
      <c r="E136" s="356"/>
      <c r="F136" s="175"/>
      <c r="G136" s="487">
        <v>0</v>
      </c>
      <c r="H136" s="490" t="s">
        <v>399</v>
      </c>
      <c r="I136" s="488">
        <f t="shared" si="23"/>
        <v>0</v>
      </c>
      <c r="J136" s="490" t="s">
        <v>399</v>
      </c>
      <c r="K136" s="488">
        <f t="shared" si="24"/>
        <v>0</v>
      </c>
      <c r="L136" s="487">
        <v>0</v>
      </c>
      <c r="M136" s="487">
        <v>0</v>
      </c>
      <c r="N136" s="489">
        <f t="shared" si="25"/>
        <v>0</v>
      </c>
      <c r="O136" s="491">
        <f t="shared" si="22"/>
        <v>0</v>
      </c>
      <c r="P136" s="276"/>
      <c r="Q136" s="857"/>
      <c r="R136" s="294"/>
      <c r="S136" s="37"/>
    </row>
    <row r="137" spans="1:19" x14ac:dyDescent="0.2">
      <c r="A137" s="325"/>
      <c r="B137" s="1304"/>
      <c r="C137" s="649"/>
      <c r="D137" s="339">
        <f>_xlfn.XLOOKUP(C137,Códigos!$A$11:$A$415,Códigos!$B$11:$B$415,"Verificar",0)</f>
        <v>0</v>
      </c>
      <c r="E137" s="356"/>
      <c r="F137" s="175"/>
      <c r="G137" s="487">
        <v>0</v>
      </c>
      <c r="H137" s="490" t="s">
        <v>399</v>
      </c>
      <c r="I137" s="488">
        <f t="shared" si="23"/>
        <v>0</v>
      </c>
      <c r="J137" s="490" t="s">
        <v>399</v>
      </c>
      <c r="K137" s="488">
        <f t="shared" si="24"/>
        <v>0</v>
      </c>
      <c r="L137" s="487">
        <v>0</v>
      </c>
      <c r="M137" s="487">
        <v>0</v>
      </c>
      <c r="N137" s="489">
        <f t="shared" si="25"/>
        <v>0</v>
      </c>
      <c r="O137" s="491">
        <f t="shared" si="22"/>
        <v>0</v>
      </c>
      <c r="P137" s="276"/>
      <c r="Q137" s="857"/>
      <c r="R137" s="294"/>
      <c r="S137" s="37"/>
    </row>
    <row r="138" spans="1:19" x14ac:dyDescent="0.2">
      <c r="A138" s="325"/>
      <c r="B138" s="1304"/>
      <c r="C138" s="649"/>
      <c r="D138" s="339">
        <f>_xlfn.XLOOKUP(C138,Códigos!$A$11:$A$415,Códigos!$B$11:$B$415,"Verificar",0)</f>
        <v>0</v>
      </c>
      <c r="E138" s="356"/>
      <c r="F138" s="175"/>
      <c r="G138" s="487">
        <v>0</v>
      </c>
      <c r="H138" s="490" t="s">
        <v>399</v>
      </c>
      <c r="I138" s="488">
        <f t="shared" si="23"/>
        <v>0</v>
      </c>
      <c r="J138" s="490" t="s">
        <v>399</v>
      </c>
      <c r="K138" s="488">
        <f t="shared" si="24"/>
        <v>0</v>
      </c>
      <c r="L138" s="487">
        <v>0</v>
      </c>
      <c r="M138" s="487">
        <v>0</v>
      </c>
      <c r="N138" s="489">
        <f t="shared" si="25"/>
        <v>0</v>
      </c>
      <c r="O138" s="491">
        <f t="shared" si="22"/>
        <v>0</v>
      </c>
      <c r="P138" s="276"/>
      <c r="Q138" s="857"/>
      <c r="R138" s="294"/>
      <c r="S138" s="37"/>
    </row>
    <row r="139" spans="1:19" x14ac:dyDescent="0.2">
      <c r="A139" s="325"/>
      <c r="B139" s="1304"/>
      <c r="C139" s="649"/>
      <c r="D139" s="339">
        <f>_xlfn.XLOOKUP(C139,Códigos!$A$11:$A$415,Códigos!$B$11:$B$415,"Verificar",0)</f>
        <v>0</v>
      </c>
      <c r="E139" s="356"/>
      <c r="F139" s="175"/>
      <c r="G139" s="487">
        <v>0</v>
      </c>
      <c r="H139" s="490" t="s">
        <v>399</v>
      </c>
      <c r="I139" s="488">
        <f t="shared" si="23"/>
        <v>0</v>
      </c>
      <c r="J139" s="490" t="s">
        <v>399</v>
      </c>
      <c r="K139" s="488">
        <f t="shared" si="24"/>
        <v>0</v>
      </c>
      <c r="L139" s="487">
        <v>0</v>
      </c>
      <c r="M139" s="487">
        <v>0</v>
      </c>
      <c r="N139" s="489">
        <f t="shared" si="25"/>
        <v>0</v>
      </c>
      <c r="O139" s="491">
        <f t="shared" si="22"/>
        <v>0</v>
      </c>
      <c r="P139" s="276"/>
      <c r="Q139" s="857"/>
      <c r="R139" s="294"/>
      <c r="S139" s="37"/>
    </row>
    <row r="140" spans="1:19" x14ac:dyDescent="0.2">
      <c r="D140" s="18"/>
      <c r="S140" s="37"/>
    </row>
    <row r="141" spans="1:19" x14ac:dyDescent="0.2">
      <c r="A141" s="361" t="s">
        <v>102</v>
      </c>
      <c r="B141" s="1306" t="str">
        <f>+A107</f>
        <v>OTROS COBROS -GERMÁN TULIO FERNÁNDEZ FERNÁNDEZ-</v>
      </c>
      <c r="C141" s="363"/>
      <c r="D141" s="362"/>
      <c r="E141" s="363"/>
      <c r="F141" s="364"/>
      <c r="G141" s="365">
        <f>SUM(G109:G140)</f>
        <v>0</v>
      </c>
      <c r="H141" s="181">
        <f t="shared" ref="H141:O141" si="26">SUM(H109:H140)</f>
        <v>0</v>
      </c>
      <c r="I141" s="366">
        <f t="shared" si="26"/>
        <v>0</v>
      </c>
      <c r="J141" s="181">
        <f t="shared" si="26"/>
        <v>0</v>
      </c>
      <c r="K141" s="366">
        <f t="shared" si="26"/>
        <v>0</v>
      </c>
      <c r="L141" s="365">
        <f t="shared" si="26"/>
        <v>0</v>
      </c>
      <c r="M141" s="365">
        <f t="shared" si="26"/>
        <v>0</v>
      </c>
      <c r="N141" s="366">
        <f t="shared" si="26"/>
        <v>0</v>
      </c>
      <c r="O141" s="209">
        <f t="shared" si="26"/>
        <v>0</v>
      </c>
      <c r="P141" s="31"/>
      <c r="Q141" s="858"/>
      <c r="R141" s="218"/>
      <c r="S141" s="193"/>
    </row>
    <row r="142" spans="1:19" x14ac:dyDescent="0.2">
      <c r="A142" s="30"/>
      <c r="B142" s="1308"/>
      <c r="C142" s="93"/>
      <c r="D142" s="210"/>
      <c r="F142" s="31"/>
      <c r="G142" s="66"/>
      <c r="I142" s="70"/>
      <c r="K142" s="70"/>
      <c r="L142" s="66"/>
      <c r="M142" s="66"/>
      <c r="O142" s="82"/>
      <c r="P142" s="31"/>
      <c r="Q142" s="858"/>
      <c r="R142" s="218"/>
      <c r="S142" s="193"/>
    </row>
    <row r="143" spans="1:19" ht="5.0999999999999996" customHeight="1" x14ac:dyDescent="0.2">
      <c r="A143" s="242"/>
      <c r="B143" s="1309"/>
      <c r="C143" s="820"/>
      <c r="D143" s="37"/>
      <c r="E143" s="358"/>
      <c r="F143" s="37"/>
      <c r="G143" s="328"/>
      <c r="H143" s="332"/>
      <c r="I143" s="332"/>
      <c r="J143" s="332"/>
      <c r="K143" s="332"/>
      <c r="L143" s="328"/>
      <c r="M143" s="328"/>
      <c r="N143" s="248"/>
      <c r="O143" s="212"/>
      <c r="P143" s="37"/>
      <c r="Q143" s="860"/>
      <c r="R143" s="220"/>
      <c r="S143" s="37"/>
    </row>
    <row r="144" spans="1:19" x14ac:dyDescent="0.2">
      <c r="D144" s="18"/>
    </row>
    <row r="145" spans="1:19" ht="5.0999999999999996" customHeight="1" x14ac:dyDescent="0.2">
      <c r="A145" s="243"/>
      <c r="B145" s="1312"/>
      <c r="C145" s="822"/>
      <c r="D145" s="193"/>
      <c r="E145" s="359"/>
      <c r="F145" s="193"/>
      <c r="G145" s="213"/>
      <c r="H145" s="334"/>
      <c r="I145" s="334"/>
      <c r="J145" s="334"/>
      <c r="K145" s="334"/>
      <c r="L145" s="213"/>
      <c r="M145" s="213"/>
      <c r="N145" s="250"/>
      <c r="O145" s="213"/>
      <c r="P145" s="193"/>
      <c r="Q145" s="863"/>
      <c r="R145" s="221"/>
      <c r="S145" s="193"/>
    </row>
    <row r="146" spans="1:19" x14ac:dyDescent="0.2">
      <c r="A146" s="30" t="s">
        <v>266</v>
      </c>
      <c r="B146" s="1311"/>
      <c r="D146" s="38"/>
      <c r="F146" s="2"/>
      <c r="G146" s="277"/>
      <c r="H146" s="333"/>
      <c r="I146" s="333"/>
      <c r="J146" s="333"/>
      <c r="K146" s="333"/>
      <c r="L146" s="277"/>
      <c r="M146" s="277"/>
      <c r="N146" s="249"/>
      <c r="O146" s="55"/>
      <c r="P146" s="2"/>
      <c r="Q146" s="862"/>
      <c r="S146" s="193"/>
    </row>
    <row r="147" spans="1:19" x14ac:dyDescent="0.2">
      <c r="A147" s="30" t="s">
        <v>405</v>
      </c>
      <c r="B147" s="1313"/>
      <c r="D147" s="38"/>
      <c r="F147" s="2"/>
      <c r="G147" s="277"/>
      <c r="H147" s="333"/>
      <c r="I147" s="333"/>
      <c r="J147" s="333"/>
      <c r="K147" s="333"/>
      <c r="L147" s="277"/>
      <c r="M147" s="277"/>
      <c r="N147" s="249"/>
      <c r="O147" s="55"/>
      <c r="P147" s="2"/>
      <c r="Q147" s="862"/>
      <c r="S147" s="193"/>
    </row>
    <row r="148" spans="1:19" x14ac:dyDescent="0.2">
      <c r="B148" s="1299"/>
      <c r="D148" s="18"/>
      <c r="Q148" s="494"/>
      <c r="S148" s="193"/>
    </row>
    <row r="149" spans="1:19" ht="12" customHeight="1" x14ac:dyDescent="0.2">
      <c r="A149" s="1225" t="s">
        <v>858</v>
      </c>
      <c r="B149" s="1314">
        <v>45701</v>
      </c>
      <c r="C149" s="953">
        <v>364</v>
      </c>
      <c r="D149" s="339" t="str">
        <f>_xlfn.XLOOKUP(C149,Códigos!$A$11:$A$415,Códigos!$B$11:$B$415,"Verificar",0)</f>
        <v>NOMBRE 365</v>
      </c>
      <c r="E149" s="963" t="s">
        <v>429</v>
      </c>
      <c r="F149" s="952" t="s">
        <v>857</v>
      </c>
      <c r="G149" s="964">
        <v>150000</v>
      </c>
      <c r="H149" s="965" t="s">
        <v>399</v>
      </c>
      <c r="I149" s="966">
        <f t="shared" ref="I149:I180" si="27">+G149</f>
        <v>150000</v>
      </c>
      <c r="J149" s="966">
        <v>0</v>
      </c>
      <c r="K149" s="966">
        <f t="shared" ref="K149:K202" si="28">+I149-J149</f>
        <v>150000</v>
      </c>
      <c r="L149" s="964">
        <v>150000</v>
      </c>
      <c r="M149" s="964"/>
      <c r="N149" s="489">
        <f t="shared" ref="N149:N180" si="29">IF(+(K149-L149-M149)&lt;0,0,(K149-L149-M149))</f>
        <v>0</v>
      </c>
      <c r="O149" s="967">
        <f t="shared" ref="O149:O180" si="30">IF(+(K149-L149-M149)&gt;0,0,(K149-L149-M149))</f>
        <v>0</v>
      </c>
      <c r="P149" s="968" t="s">
        <v>1087</v>
      </c>
      <c r="Q149" s="969">
        <v>45701</v>
      </c>
      <c r="R149" s="970"/>
      <c r="S149" s="193"/>
    </row>
    <row r="150" spans="1:19" x14ac:dyDescent="0.2">
      <c r="A150" s="1225" t="s">
        <v>859</v>
      </c>
      <c r="B150" s="1314">
        <v>45756</v>
      </c>
      <c r="C150" s="953">
        <v>366</v>
      </c>
      <c r="D150" s="339" t="str">
        <f>_xlfn.XLOOKUP(C150,Códigos!$A$11:$A$415,Códigos!$B$11:$B$415,"Verificar",0)</f>
        <v>NOMBRE 367</v>
      </c>
      <c r="E150" s="963" t="s">
        <v>429</v>
      </c>
      <c r="F150" s="952" t="s">
        <v>857</v>
      </c>
      <c r="G150" s="964">
        <v>7000000</v>
      </c>
      <c r="H150" s="965" t="s">
        <v>399</v>
      </c>
      <c r="I150" s="966">
        <f t="shared" si="27"/>
        <v>7000000</v>
      </c>
      <c r="J150" s="966">
        <v>0</v>
      </c>
      <c r="K150" s="966">
        <f t="shared" si="28"/>
        <v>7000000</v>
      </c>
      <c r="L150" s="964">
        <v>7000000</v>
      </c>
      <c r="M150" s="964"/>
      <c r="N150" s="489">
        <f t="shared" si="29"/>
        <v>0</v>
      </c>
      <c r="O150" s="967">
        <f t="shared" si="30"/>
        <v>0</v>
      </c>
      <c r="P150" s="968" t="s">
        <v>1087</v>
      </c>
      <c r="Q150" s="969">
        <v>45756</v>
      </c>
      <c r="R150" s="970"/>
      <c r="S150" s="193"/>
    </row>
    <row r="151" spans="1:19" x14ac:dyDescent="0.2">
      <c r="A151" s="1225" t="s">
        <v>860</v>
      </c>
      <c r="B151" s="1314">
        <v>45895</v>
      </c>
      <c r="C151" s="953">
        <v>340</v>
      </c>
      <c r="D151" s="339" t="str">
        <f>_xlfn.XLOOKUP(C151,Códigos!$A$11:$A$415,Códigos!$B$11:$B$415,"Verificar",0)</f>
        <v>NOMBRE 72</v>
      </c>
      <c r="E151" s="963" t="s">
        <v>429</v>
      </c>
      <c r="F151" s="952" t="s">
        <v>857</v>
      </c>
      <c r="G151" s="964">
        <v>200000</v>
      </c>
      <c r="H151" s="965" t="s">
        <v>399</v>
      </c>
      <c r="I151" s="966">
        <f t="shared" si="27"/>
        <v>200000</v>
      </c>
      <c r="J151" s="966">
        <v>0</v>
      </c>
      <c r="K151" s="966">
        <f t="shared" si="28"/>
        <v>200000</v>
      </c>
      <c r="L151" s="964">
        <v>200000</v>
      </c>
      <c r="M151" s="964"/>
      <c r="N151" s="489">
        <f t="shared" si="29"/>
        <v>0</v>
      </c>
      <c r="O151" s="967">
        <f t="shared" si="30"/>
        <v>0</v>
      </c>
      <c r="P151" s="968" t="s">
        <v>308</v>
      </c>
      <c r="Q151" s="969">
        <v>45895</v>
      </c>
      <c r="R151" s="970"/>
      <c r="S151" s="193"/>
    </row>
    <row r="152" spans="1:19" x14ac:dyDescent="0.2">
      <c r="A152" s="1225" t="s">
        <v>861</v>
      </c>
      <c r="B152" s="1314">
        <v>45912</v>
      </c>
      <c r="C152" s="953">
        <v>112</v>
      </c>
      <c r="D152" s="339" t="str">
        <f>_xlfn.XLOOKUP(C152,Códigos!$A$11:$A$415,Códigos!$B$11:$B$415,"Verificar",0)</f>
        <v>NOMBRE 141</v>
      </c>
      <c r="E152" s="963" t="s">
        <v>429</v>
      </c>
      <c r="F152" s="952" t="s">
        <v>857</v>
      </c>
      <c r="G152" s="964">
        <v>410000</v>
      </c>
      <c r="H152" s="965" t="s">
        <v>399</v>
      </c>
      <c r="I152" s="966">
        <f t="shared" si="27"/>
        <v>410000</v>
      </c>
      <c r="J152" s="966">
        <v>0</v>
      </c>
      <c r="K152" s="966">
        <f t="shared" si="28"/>
        <v>410000</v>
      </c>
      <c r="L152" s="964">
        <v>410000</v>
      </c>
      <c r="M152" s="964"/>
      <c r="N152" s="489">
        <f t="shared" si="29"/>
        <v>0</v>
      </c>
      <c r="O152" s="967">
        <f t="shared" si="30"/>
        <v>0</v>
      </c>
      <c r="P152" s="968" t="s">
        <v>1087</v>
      </c>
      <c r="Q152" s="969">
        <v>45912</v>
      </c>
      <c r="R152" s="970"/>
      <c r="S152" s="193"/>
    </row>
    <row r="153" spans="1:19" x14ac:dyDescent="0.2">
      <c r="A153" s="1225" t="s">
        <v>862</v>
      </c>
      <c r="B153" s="1314">
        <v>45926</v>
      </c>
      <c r="C153" s="953">
        <v>46</v>
      </c>
      <c r="D153" s="339" t="str">
        <f>_xlfn.XLOOKUP(C153,Códigos!$A$11:$A$415,Códigos!$B$11:$B$415,"Verificar",0)</f>
        <v>NOMBRE 116</v>
      </c>
      <c r="E153" s="963" t="s">
        <v>429</v>
      </c>
      <c r="F153" s="952" t="s">
        <v>857</v>
      </c>
      <c r="G153" s="964">
        <v>400000</v>
      </c>
      <c r="H153" s="965" t="s">
        <v>399</v>
      </c>
      <c r="I153" s="966">
        <f t="shared" si="27"/>
        <v>400000</v>
      </c>
      <c r="J153" s="966">
        <v>0</v>
      </c>
      <c r="K153" s="966">
        <f t="shared" si="28"/>
        <v>400000</v>
      </c>
      <c r="L153" s="964">
        <v>400000</v>
      </c>
      <c r="M153" s="964"/>
      <c r="N153" s="489">
        <f t="shared" si="29"/>
        <v>0</v>
      </c>
      <c r="O153" s="967">
        <f t="shared" si="30"/>
        <v>0</v>
      </c>
      <c r="P153" s="968" t="s">
        <v>1087</v>
      </c>
      <c r="Q153" s="969">
        <v>45926</v>
      </c>
      <c r="R153" s="970"/>
      <c r="S153" s="193"/>
    </row>
    <row r="154" spans="1:19" x14ac:dyDescent="0.2">
      <c r="A154" s="1225" t="s">
        <v>863</v>
      </c>
      <c r="B154" s="1314">
        <v>45932</v>
      </c>
      <c r="C154" s="953">
        <v>143</v>
      </c>
      <c r="D154" s="339" t="str">
        <f>_xlfn.XLOOKUP(C154,Códigos!$A$11:$A$415,Códigos!$B$11:$B$415,"Verificar",0)</f>
        <v>NOMBRE 236</v>
      </c>
      <c r="E154" s="963" t="s">
        <v>429</v>
      </c>
      <c r="F154" s="952" t="s">
        <v>857</v>
      </c>
      <c r="G154" s="964">
        <v>1350000</v>
      </c>
      <c r="H154" s="965" t="s">
        <v>399</v>
      </c>
      <c r="I154" s="966">
        <f t="shared" si="27"/>
        <v>1350000</v>
      </c>
      <c r="J154" s="966">
        <v>0</v>
      </c>
      <c r="K154" s="966">
        <f t="shared" si="28"/>
        <v>1350000</v>
      </c>
      <c r="L154" s="964"/>
      <c r="M154" s="964"/>
      <c r="N154" s="489">
        <f t="shared" si="29"/>
        <v>1350000</v>
      </c>
      <c r="O154" s="967">
        <f t="shared" si="30"/>
        <v>0</v>
      </c>
      <c r="P154" s="968"/>
      <c r="Q154" s="969"/>
      <c r="R154" s="970"/>
      <c r="S154" s="193"/>
    </row>
    <row r="155" spans="1:19" x14ac:dyDescent="0.2">
      <c r="A155" s="1225" t="s">
        <v>864</v>
      </c>
      <c r="B155" s="1314">
        <v>45932</v>
      </c>
      <c r="C155" s="953">
        <v>217</v>
      </c>
      <c r="D155" s="339" t="str">
        <f>_xlfn.XLOOKUP(C155,Códigos!$A$11:$A$415,Códigos!$B$11:$B$415,"Verificar",0)</f>
        <v>NOMBRE 5</v>
      </c>
      <c r="E155" s="963" t="s">
        <v>429</v>
      </c>
      <c r="F155" s="952" t="s">
        <v>857</v>
      </c>
      <c r="G155" s="964">
        <v>330000</v>
      </c>
      <c r="H155" s="965" t="s">
        <v>399</v>
      </c>
      <c r="I155" s="966">
        <f t="shared" si="27"/>
        <v>330000</v>
      </c>
      <c r="J155" s="966">
        <v>0</v>
      </c>
      <c r="K155" s="966">
        <f t="shared" si="28"/>
        <v>330000</v>
      </c>
      <c r="L155" s="964">
        <v>330000</v>
      </c>
      <c r="M155" s="964"/>
      <c r="N155" s="489">
        <f t="shared" si="29"/>
        <v>0</v>
      </c>
      <c r="O155" s="967">
        <f t="shared" si="30"/>
        <v>0</v>
      </c>
      <c r="P155" s="968" t="s">
        <v>308</v>
      </c>
      <c r="Q155" s="969">
        <v>45957</v>
      </c>
      <c r="R155" s="970"/>
      <c r="S155" s="193"/>
    </row>
    <row r="156" spans="1:19" x14ac:dyDescent="0.2">
      <c r="A156" s="1225" t="s">
        <v>865</v>
      </c>
      <c r="B156" s="1314">
        <v>45932</v>
      </c>
      <c r="C156" s="953">
        <v>65</v>
      </c>
      <c r="D156" s="339" t="str">
        <f>_xlfn.XLOOKUP(C156,Códigos!$A$11:$A$415,Códigos!$B$11:$B$415,"Verificar",0)</f>
        <v>NOMBRE 44</v>
      </c>
      <c r="E156" s="963" t="s">
        <v>429</v>
      </c>
      <c r="F156" s="952" t="s">
        <v>857</v>
      </c>
      <c r="G156" s="964">
        <v>4170000</v>
      </c>
      <c r="H156" s="965" t="s">
        <v>399</v>
      </c>
      <c r="I156" s="966">
        <f t="shared" si="27"/>
        <v>4170000</v>
      </c>
      <c r="J156" s="966">
        <v>0</v>
      </c>
      <c r="K156" s="966">
        <f t="shared" si="28"/>
        <v>4170000</v>
      </c>
      <c r="L156" s="964"/>
      <c r="M156" s="964"/>
      <c r="N156" s="489">
        <f t="shared" si="29"/>
        <v>4170000</v>
      </c>
      <c r="O156" s="967">
        <f t="shared" si="30"/>
        <v>0</v>
      </c>
      <c r="P156" s="968"/>
      <c r="Q156" s="969"/>
      <c r="R156" s="970"/>
      <c r="S156" s="193"/>
    </row>
    <row r="157" spans="1:19" x14ac:dyDescent="0.2">
      <c r="A157" s="1225" t="s">
        <v>866</v>
      </c>
      <c r="B157" s="1314">
        <v>45932</v>
      </c>
      <c r="C157" s="953">
        <v>45</v>
      </c>
      <c r="D157" s="339" t="str">
        <f>_xlfn.XLOOKUP(C157,Códigos!$A$11:$A$415,Códigos!$B$11:$B$415,"Verificar",0)</f>
        <v>NOMBRE 9</v>
      </c>
      <c r="E157" s="963" t="s">
        <v>429</v>
      </c>
      <c r="F157" s="952" t="s">
        <v>857</v>
      </c>
      <c r="G157" s="964">
        <v>980000</v>
      </c>
      <c r="H157" s="965" t="s">
        <v>399</v>
      </c>
      <c r="I157" s="966">
        <f t="shared" si="27"/>
        <v>980000</v>
      </c>
      <c r="J157" s="966">
        <v>0</v>
      </c>
      <c r="K157" s="966">
        <f t="shared" si="28"/>
        <v>980000</v>
      </c>
      <c r="L157" s="964"/>
      <c r="M157" s="964"/>
      <c r="N157" s="489">
        <f t="shared" si="29"/>
        <v>980000</v>
      </c>
      <c r="O157" s="967">
        <f t="shared" si="30"/>
        <v>0</v>
      </c>
      <c r="P157" s="968"/>
      <c r="Q157" s="969"/>
      <c r="R157" s="970"/>
      <c r="S157" s="193"/>
    </row>
    <row r="158" spans="1:19" x14ac:dyDescent="0.2">
      <c r="A158" s="1225" t="s">
        <v>867</v>
      </c>
      <c r="B158" s="1314">
        <v>45932</v>
      </c>
      <c r="C158" s="953">
        <v>48</v>
      </c>
      <c r="D158" s="339" t="str">
        <f>_xlfn.XLOOKUP(C158,Códigos!$A$11:$A$415,Códigos!$B$11:$B$415,"Verificar",0)</f>
        <v>NOMBRE 14</v>
      </c>
      <c r="E158" s="963" t="s">
        <v>429</v>
      </c>
      <c r="F158" s="952" t="s">
        <v>857</v>
      </c>
      <c r="G158" s="964">
        <v>580000</v>
      </c>
      <c r="H158" s="965" t="s">
        <v>399</v>
      </c>
      <c r="I158" s="966">
        <f t="shared" si="27"/>
        <v>580000</v>
      </c>
      <c r="J158" s="966">
        <v>0</v>
      </c>
      <c r="K158" s="966">
        <f t="shared" si="28"/>
        <v>580000</v>
      </c>
      <c r="L158" s="964">
        <v>580000</v>
      </c>
      <c r="M158" s="964"/>
      <c r="N158" s="489">
        <f t="shared" si="29"/>
        <v>0</v>
      </c>
      <c r="O158" s="967">
        <f t="shared" si="30"/>
        <v>0</v>
      </c>
      <c r="P158" s="968" t="s">
        <v>1087</v>
      </c>
      <c r="Q158" s="969">
        <v>45948</v>
      </c>
      <c r="R158" s="970"/>
      <c r="S158" s="193"/>
    </row>
    <row r="159" spans="1:19" x14ac:dyDescent="0.2">
      <c r="A159" s="1225" t="s">
        <v>868</v>
      </c>
      <c r="B159" s="1314">
        <v>45932</v>
      </c>
      <c r="C159" s="953">
        <v>50</v>
      </c>
      <c r="D159" s="339" t="str">
        <f>_xlfn.XLOOKUP(C159,Códigos!$A$11:$A$415,Códigos!$B$11:$B$415,"Verificar",0)</f>
        <v>NOMBRE 18</v>
      </c>
      <c r="E159" s="963" t="s">
        <v>429</v>
      </c>
      <c r="F159" s="952" t="s">
        <v>857</v>
      </c>
      <c r="G159" s="964">
        <v>350000</v>
      </c>
      <c r="H159" s="965" t="s">
        <v>399</v>
      </c>
      <c r="I159" s="966">
        <f t="shared" si="27"/>
        <v>350000</v>
      </c>
      <c r="J159" s="966">
        <v>0</v>
      </c>
      <c r="K159" s="966">
        <f t="shared" si="28"/>
        <v>350000</v>
      </c>
      <c r="L159" s="964"/>
      <c r="M159" s="964"/>
      <c r="N159" s="489">
        <f t="shared" si="29"/>
        <v>350000</v>
      </c>
      <c r="O159" s="967">
        <f t="shared" si="30"/>
        <v>0</v>
      </c>
      <c r="P159" s="968"/>
      <c r="Q159" s="969"/>
      <c r="R159" s="970"/>
      <c r="S159" s="193"/>
    </row>
    <row r="160" spans="1:19" x14ac:dyDescent="0.2">
      <c r="A160" s="1225" t="s">
        <v>869</v>
      </c>
      <c r="B160" s="1314">
        <v>45932</v>
      </c>
      <c r="C160" s="953">
        <v>366</v>
      </c>
      <c r="D160" s="339" t="str">
        <f>_xlfn.XLOOKUP(C160,Códigos!$A$11:$A$415,Códigos!$B$11:$B$415,"Verificar",0)</f>
        <v>NOMBRE 367</v>
      </c>
      <c r="E160" s="963" t="s">
        <v>429</v>
      </c>
      <c r="F160" s="952" t="s">
        <v>857</v>
      </c>
      <c r="G160" s="964">
        <v>200000</v>
      </c>
      <c r="H160" s="965" t="s">
        <v>399</v>
      </c>
      <c r="I160" s="966">
        <f t="shared" si="27"/>
        <v>200000</v>
      </c>
      <c r="J160" s="966">
        <v>0</v>
      </c>
      <c r="K160" s="966">
        <f t="shared" si="28"/>
        <v>200000</v>
      </c>
      <c r="L160" s="964"/>
      <c r="M160" s="964"/>
      <c r="N160" s="489">
        <f t="shared" si="29"/>
        <v>200000</v>
      </c>
      <c r="O160" s="967">
        <f t="shared" si="30"/>
        <v>0</v>
      </c>
      <c r="P160" s="968"/>
      <c r="Q160" s="969"/>
      <c r="R160" s="970"/>
      <c r="S160" s="193"/>
    </row>
    <row r="161" spans="1:19" x14ac:dyDescent="0.2">
      <c r="A161" s="1225" t="s">
        <v>870</v>
      </c>
      <c r="B161" s="1314">
        <v>45932</v>
      </c>
      <c r="C161" s="953">
        <v>260</v>
      </c>
      <c r="D161" s="339" t="str">
        <f>_xlfn.XLOOKUP(C161,Códigos!$A$11:$A$415,Códigos!$B$11:$B$415,"Verificar",0)</f>
        <v>NOMBRE 27</v>
      </c>
      <c r="E161" s="963" t="s">
        <v>429</v>
      </c>
      <c r="F161" s="952" t="s">
        <v>857</v>
      </c>
      <c r="G161" s="964">
        <v>170000</v>
      </c>
      <c r="H161" s="965" t="s">
        <v>399</v>
      </c>
      <c r="I161" s="966">
        <f t="shared" si="27"/>
        <v>170000</v>
      </c>
      <c r="J161" s="966">
        <v>0</v>
      </c>
      <c r="K161" s="966">
        <f t="shared" si="28"/>
        <v>170000</v>
      </c>
      <c r="L161" s="964"/>
      <c r="M161" s="964"/>
      <c r="N161" s="489">
        <f t="shared" si="29"/>
        <v>170000</v>
      </c>
      <c r="O161" s="967">
        <f t="shared" si="30"/>
        <v>0</v>
      </c>
      <c r="P161" s="968"/>
      <c r="Q161" s="969"/>
      <c r="R161" s="970"/>
      <c r="S161" s="193"/>
    </row>
    <row r="162" spans="1:19" x14ac:dyDescent="0.2">
      <c r="A162" s="1225" t="s">
        <v>871</v>
      </c>
      <c r="B162" s="1314">
        <v>45932</v>
      </c>
      <c r="C162" s="953">
        <v>306</v>
      </c>
      <c r="D162" s="339" t="str">
        <f>_xlfn.XLOOKUP(C162,Códigos!$A$11:$A$415,Códigos!$B$11:$B$415,"Verificar",0)</f>
        <v>NOMBRE 33</v>
      </c>
      <c r="E162" s="963" t="s">
        <v>429</v>
      </c>
      <c r="F162" s="952" t="s">
        <v>857</v>
      </c>
      <c r="G162" s="964">
        <v>450000</v>
      </c>
      <c r="H162" s="965" t="s">
        <v>399</v>
      </c>
      <c r="I162" s="966">
        <f t="shared" si="27"/>
        <v>450000</v>
      </c>
      <c r="J162" s="966">
        <v>0</v>
      </c>
      <c r="K162" s="966">
        <f t="shared" si="28"/>
        <v>450000</v>
      </c>
      <c r="L162" s="964">
        <v>450000</v>
      </c>
      <c r="M162" s="964"/>
      <c r="N162" s="489">
        <f t="shared" si="29"/>
        <v>0</v>
      </c>
      <c r="O162" s="967">
        <f t="shared" si="30"/>
        <v>0</v>
      </c>
      <c r="P162" s="968" t="s">
        <v>1087</v>
      </c>
      <c r="Q162" s="969">
        <v>45945</v>
      </c>
      <c r="R162" s="970"/>
      <c r="S162" s="193"/>
    </row>
    <row r="163" spans="1:19" x14ac:dyDescent="0.2">
      <c r="A163" s="1225" t="s">
        <v>872</v>
      </c>
      <c r="B163" s="1314">
        <v>45932</v>
      </c>
      <c r="C163" s="953">
        <v>271</v>
      </c>
      <c r="D163" s="339" t="str">
        <f>_xlfn.XLOOKUP(C163,Códigos!$A$11:$A$415,Códigos!$B$11:$B$415,"Verificar",0)</f>
        <v>NOMBRE 38</v>
      </c>
      <c r="E163" s="963" t="s">
        <v>429</v>
      </c>
      <c r="F163" s="952" t="s">
        <v>857</v>
      </c>
      <c r="G163" s="964">
        <v>330000</v>
      </c>
      <c r="H163" s="965" t="s">
        <v>399</v>
      </c>
      <c r="I163" s="966">
        <f t="shared" si="27"/>
        <v>330000</v>
      </c>
      <c r="J163" s="966">
        <v>0</v>
      </c>
      <c r="K163" s="966">
        <f t="shared" si="28"/>
        <v>330000</v>
      </c>
      <c r="L163" s="964"/>
      <c r="M163" s="964"/>
      <c r="N163" s="489">
        <f t="shared" si="29"/>
        <v>330000</v>
      </c>
      <c r="O163" s="967">
        <f t="shared" si="30"/>
        <v>0</v>
      </c>
      <c r="P163" s="968"/>
      <c r="Q163" s="969"/>
      <c r="R163" s="970"/>
      <c r="S163" s="193"/>
    </row>
    <row r="164" spans="1:19" x14ac:dyDescent="0.2">
      <c r="A164" s="1225" t="s">
        <v>873</v>
      </c>
      <c r="B164" s="1314">
        <v>45932</v>
      </c>
      <c r="C164" s="953">
        <v>62</v>
      </c>
      <c r="D164" s="339" t="str">
        <f>_xlfn.XLOOKUP(C164,Códigos!$A$11:$A$415,Códigos!$B$11:$B$415,"Verificar",0)</f>
        <v>NOMBRE 42</v>
      </c>
      <c r="E164" s="963" t="s">
        <v>429</v>
      </c>
      <c r="F164" s="952" t="s">
        <v>857</v>
      </c>
      <c r="G164" s="964">
        <v>1870000</v>
      </c>
      <c r="H164" s="965" t="s">
        <v>399</v>
      </c>
      <c r="I164" s="966">
        <f t="shared" si="27"/>
        <v>1870000</v>
      </c>
      <c r="J164" s="966">
        <v>0</v>
      </c>
      <c r="K164" s="966">
        <f t="shared" si="28"/>
        <v>1870000</v>
      </c>
      <c r="L164" s="964">
        <v>1870000</v>
      </c>
      <c r="M164" s="964"/>
      <c r="N164" s="489">
        <f t="shared" si="29"/>
        <v>0</v>
      </c>
      <c r="O164" s="967">
        <f t="shared" si="30"/>
        <v>0</v>
      </c>
      <c r="P164" s="968" t="s">
        <v>1087</v>
      </c>
      <c r="Q164" s="969">
        <v>45946</v>
      </c>
      <c r="R164" s="970"/>
      <c r="S164" s="193"/>
    </row>
    <row r="165" spans="1:19" x14ac:dyDescent="0.2">
      <c r="A165" s="1225" t="s">
        <v>874</v>
      </c>
      <c r="B165" s="1314">
        <v>45932</v>
      </c>
      <c r="C165" s="953">
        <v>61</v>
      </c>
      <c r="D165" s="339" t="str">
        <f>_xlfn.XLOOKUP(C165,Códigos!$A$11:$A$415,Códigos!$B$11:$B$415,"Verificar",0)</f>
        <v>NOMBRE 40</v>
      </c>
      <c r="E165" s="963" t="s">
        <v>429</v>
      </c>
      <c r="F165" s="952" t="s">
        <v>857</v>
      </c>
      <c r="G165" s="964">
        <v>400000</v>
      </c>
      <c r="H165" s="965" t="s">
        <v>399</v>
      </c>
      <c r="I165" s="966">
        <f t="shared" si="27"/>
        <v>400000</v>
      </c>
      <c r="J165" s="966">
        <v>0</v>
      </c>
      <c r="K165" s="966">
        <f t="shared" si="28"/>
        <v>400000</v>
      </c>
      <c r="L165" s="964">
        <v>400000</v>
      </c>
      <c r="M165" s="964"/>
      <c r="N165" s="489">
        <f t="shared" si="29"/>
        <v>0</v>
      </c>
      <c r="O165" s="967">
        <f t="shared" si="30"/>
        <v>0</v>
      </c>
      <c r="P165" s="968" t="s">
        <v>1087</v>
      </c>
      <c r="Q165" s="969">
        <v>45959</v>
      </c>
      <c r="R165" s="970"/>
      <c r="S165" s="193"/>
    </row>
    <row r="166" spans="1:19" x14ac:dyDescent="0.2">
      <c r="A166" s="1225" t="s">
        <v>875</v>
      </c>
      <c r="B166" s="1314">
        <v>45932</v>
      </c>
      <c r="C166" s="953">
        <v>68</v>
      </c>
      <c r="D166" s="339" t="str">
        <f>_xlfn.XLOOKUP(C166,Códigos!$A$11:$A$415,Códigos!$B$11:$B$415,"Verificar",0)</f>
        <v>NOMBRE 47</v>
      </c>
      <c r="E166" s="963" t="s">
        <v>429</v>
      </c>
      <c r="F166" s="952" t="s">
        <v>857</v>
      </c>
      <c r="G166" s="964">
        <v>470000</v>
      </c>
      <c r="H166" s="965" t="s">
        <v>399</v>
      </c>
      <c r="I166" s="966">
        <f t="shared" si="27"/>
        <v>470000</v>
      </c>
      <c r="J166" s="966">
        <v>0</v>
      </c>
      <c r="K166" s="966">
        <f t="shared" si="28"/>
        <v>470000</v>
      </c>
      <c r="L166" s="964">
        <v>470000</v>
      </c>
      <c r="M166" s="964"/>
      <c r="N166" s="489">
        <f t="shared" ref="N166" si="31">IF(+(K166-L166-M166)&lt;0,0,(K166-L166-M166))</f>
        <v>0</v>
      </c>
      <c r="O166" s="967">
        <f t="shared" ref="O166" si="32">IF(+(K166-L166-M166)&gt;0,0,(K166-L166-M166))</f>
        <v>0</v>
      </c>
      <c r="P166" s="968" t="s">
        <v>1087</v>
      </c>
      <c r="Q166" s="969">
        <v>45958</v>
      </c>
      <c r="R166" s="970"/>
      <c r="S166" s="193"/>
    </row>
    <row r="167" spans="1:19" x14ac:dyDescent="0.2">
      <c r="A167" s="1225" t="s">
        <v>876</v>
      </c>
      <c r="B167" s="1314">
        <v>45932</v>
      </c>
      <c r="C167" s="953">
        <v>348</v>
      </c>
      <c r="D167" s="339" t="str">
        <f>_xlfn.XLOOKUP(C167,Códigos!$A$11:$A$415,Códigos!$B$11:$B$415,"Verificar",0)</f>
        <v>NOMBRE 68</v>
      </c>
      <c r="E167" s="963" t="s">
        <v>429</v>
      </c>
      <c r="F167" s="952" t="s">
        <v>857</v>
      </c>
      <c r="G167" s="964">
        <v>350000</v>
      </c>
      <c r="H167" s="965" t="s">
        <v>399</v>
      </c>
      <c r="I167" s="966">
        <f t="shared" si="27"/>
        <v>350000</v>
      </c>
      <c r="J167" s="966">
        <v>0</v>
      </c>
      <c r="K167" s="966">
        <f t="shared" si="28"/>
        <v>350000</v>
      </c>
      <c r="L167" s="964"/>
      <c r="M167" s="964"/>
      <c r="N167" s="489">
        <f t="shared" si="29"/>
        <v>350000</v>
      </c>
      <c r="O167" s="967">
        <f t="shared" si="30"/>
        <v>0</v>
      </c>
      <c r="P167" s="968"/>
      <c r="Q167" s="969"/>
      <c r="R167" s="970"/>
      <c r="S167" s="193"/>
    </row>
    <row r="168" spans="1:19" x14ac:dyDescent="0.2">
      <c r="A168" s="1225" t="s">
        <v>877</v>
      </c>
      <c r="B168" s="1314">
        <v>45932</v>
      </c>
      <c r="C168" s="953">
        <v>338</v>
      </c>
      <c r="D168" s="339" t="str">
        <f>_xlfn.XLOOKUP(C168,Códigos!$A$11:$A$415,Códigos!$B$11:$B$415,"Verificar",0)</f>
        <v>NOMBRE 69</v>
      </c>
      <c r="E168" s="963" t="s">
        <v>429</v>
      </c>
      <c r="F168" s="952" t="s">
        <v>857</v>
      </c>
      <c r="G168" s="964">
        <v>550000</v>
      </c>
      <c r="H168" s="965" t="s">
        <v>399</v>
      </c>
      <c r="I168" s="966">
        <f t="shared" si="27"/>
        <v>550000</v>
      </c>
      <c r="J168" s="966">
        <v>0</v>
      </c>
      <c r="K168" s="966">
        <f t="shared" si="28"/>
        <v>550000</v>
      </c>
      <c r="L168" s="964"/>
      <c r="M168" s="964"/>
      <c r="N168" s="489">
        <f t="shared" si="29"/>
        <v>550000</v>
      </c>
      <c r="O168" s="967">
        <f t="shared" si="30"/>
        <v>0</v>
      </c>
      <c r="P168" s="968"/>
      <c r="Q168" s="969"/>
      <c r="R168" s="970"/>
      <c r="S168" s="193"/>
    </row>
    <row r="169" spans="1:19" x14ac:dyDescent="0.2">
      <c r="A169" s="1225" t="s">
        <v>878</v>
      </c>
      <c r="B169" s="1314">
        <v>45932</v>
      </c>
      <c r="C169" s="953">
        <v>317</v>
      </c>
      <c r="D169" s="339" t="str">
        <f>_xlfn.XLOOKUP(C169,Códigos!$A$11:$A$415,Códigos!$B$11:$B$415,"Verificar",0)</f>
        <v>NOMBRE 305</v>
      </c>
      <c r="E169" s="963" t="s">
        <v>429</v>
      </c>
      <c r="F169" s="952" t="s">
        <v>857</v>
      </c>
      <c r="G169" s="964">
        <v>920000</v>
      </c>
      <c r="H169" s="965" t="s">
        <v>399</v>
      </c>
      <c r="I169" s="966">
        <f t="shared" si="27"/>
        <v>920000</v>
      </c>
      <c r="J169" s="966">
        <v>0</v>
      </c>
      <c r="K169" s="966">
        <f t="shared" si="28"/>
        <v>920000</v>
      </c>
      <c r="L169" s="964"/>
      <c r="M169" s="964"/>
      <c r="N169" s="489">
        <f t="shared" si="29"/>
        <v>920000</v>
      </c>
      <c r="O169" s="967">
        <f t="shared" si="30"/>
        <v>0</v>
      </c>
      <c r="P169" s="968"/>
      <c r="Q169" s="969"/>
      <c r="R169" s="970"/>
      <c r="S169" s="193"/>
    </row>
    <row r="170" spans="1:19" x14ac:dyDescent="0.2">
      <c r="A170" s="1225" t="s">
        <v>879</v>
      </c>
      <c r="B170" s="1314">
        <v>45932</v>
      </c>
      <c r="C170" s="953">
        <v>299</v>
      </c>
      <c r="D170" s="339" t="str">
        <f>_xlfn.XLOOKUP(C170,Códigos!$A$11:$A$415,Códigos!$B$11:$B$415,"Verificar",0)</f>
        <v>NOMBRE 76</v>
      </c>
      <c r="E170" s="963" t="s">
        <v>429</v>
      </c>
      <c r="F170" s="952" t="s">
        <v>857</v>
      </c>
      <c r="G170" s="964">
        <v>640000</v>
      </c>
      <c r="H170" s="965" t="s">
        <v>399</v>
      </c>
      <c r="I170" s="966">
        <f t="shared" si="27"/>
        <v>640000</v>
      </c>
      <c r="J170" s="966">
        <v>0</v>
      </c>
      <c r="K170" s="966">
        <f t="shared" si="28"/>
        <v>640000</v>
      </c>
      <c r="L170" s="964">
        <v>640000</v>
      </c>
      <c r="M170" s="964"/>
      <c r="N170" s="489">
        <f t="shared" si="29"/>
        <v>0</v>
      </c>
      <c r="O170" s="967">
        <f t="shared" si="30"/>
        <v>0</v>
      </c>
      <c r="P170" s="968" t="s">
        <v>1087</v>
      </c>
      <c r="Q170" s="969">
        <v>45957</v>
      </c>
      <c r="R170" s="970"/>
      <c r="S170" s="193"/>
    </row>
    <row r="171" spans="1:19" x14ac:dyDescent="0.2">
      <c r="A171" s="1225" t="s">
        <v>880</v>
      </c>
      <c r="B171" s="1314">
        <v>45932</v>
      </c>
      <c r="C171" s="953">
        <v>272</v>
      </c>
      <c r="D171" s="339" t="str">
        <f>_xlfn.XLOOKUP(C171,Códigos!$A$11:$A$415,Códigos!$B$11:$B$415,"Verificar",0)</f>
        <v>NOMBRE 81</v>
      </c>
      <c r="E171" s="963" t="s">
        <v>429</v>
      </c>
      <c r="F171" s="952" t="s">
        <v>857</v>
      </c>
      <c r="G171" s="964">
        <v>350000</v>
      </c>
      <c r="H171" s="965" t="s">
        <v>399</v>
      </c>
      <c r="I171" s="966">
        <f t="shared" si="27"/>
        <v>350000</v>
      </c>
      <c r="J171" s="966">
        <v>0</v>
      </c>
      <c r="K171" s="966">
        <f t="shared" si="28"/>
        <v>350000</v>
      </c>
      <c r="L171" s="964">
        <v>350000</v>
      </c>
      <c r="M171" s="964"/>
      <c r="N171" s="489">
        <f t="shared" si="29"/>
        <v>0</v>
      </c>
      <c r="O171" s="967">
        <f t="shared" si="30"/>
        <v>0</v>
      </c>
      <c r="P171" s="968" t="s">
        <v>1087</v>
      </c>
      <c r="Q171" s="969">
        <v>45950</v>
      </c>
      <c r="R171" s="970"/>
      <c r="S171" s="193"/>
    </row>
    <row r="172" spans="1:19" x14ac:dyDescent="0.2">
      <c r="A172" s="1225" t="s">
        <v>881</v>
      </c>
      <c r="B172" s="1314">
        <v>45932</v>
      </c>
      <c r="C172" s="953">
        <v>84</v>
      </c>
      <c r="D172" s="339" t="str">
        <f>_xlfn.XLOOKUP(C172,Códigos!$A$11:$A$415,Códigos!$B$11:$B$415,"Verificar",0)</f>
        <v>NOMBRE 83</v>
      </c>
      <c r="E172" s="963" t="s">
        <v>429</v>
      </c>
      <c r="F172" s="952" t="s">
        <v>857</v>
      </c>
      <c r="G172" s="964">
        <v>330000</v>
      </c>
      <c r="H172" s="965" t="s">
        <v>399</v>
      </c>
      <c r="I172" s="966">
        <f t="shared" si="27"/>
        <v>330000</v>
      </c>
      <c r="J172" s="966">
        <v>0</v>
      </c>
      <c r="K172" s="966">
        <f t="shared" si="28"/>
        <v>330000</v>
      </c>
      <c r="L172" s="964"/>
      <c r="M172" s="964"/>
      <c r="N172" s="489">
        <f t="shared" si="29"/>
        <v>330000</v>
      </c>
      <c r="O172" s="967">
        <f t="shared" si="30"/>
        <v>0</v>
      </c>
      <c r="P172" s="968"/>
      <c r="Q172" s="969"/>
      <c r="R172" s="970"/>
      <c r="S172" s="193"/>
    </row>
    <row r="173" spans="1:19" x14ac:dyDescent="0.2">
      <c r="A173" s="1225" t="s">
        <v>882</v>
      </c>
      <c r="B173" s="1314">
        <v>45932</v>
      </c>
      <c r="C173" s="953">
        <v>329</v>
      </c>
      <c r="D173" s="339" t="str">
        <f>_xlfn.XLOOKUP(C173,Códigos!$A$11:$A$415,Códigos!$B$11:$B$415,"Verificar",0)</f>
        <v>NOMBRE 85</v>
      </c>
      <c r="E173" s="963" t="s">
        <v>429</v>
      </c>
      <c r="F173" s="952" t="s">
        <v>857</v>
      </c>
      <c r="G173" s="964">
        <v>330000</v>
      </c>
      <c r="H173" s="965" t="s">
        <v>399</v>
      </c>
      <c r="I173" s="966">
        <f t="shared" si="27"/>
        <v>330000</v>
      </c>
      <c r="J173" s="966">
        <v>0</v>
      </c>
      <c r="K173" s="966">
        <f t="shared" si="28"/>
        <v>330000</v>
      </c>
      <c r="L173" s="964"/>
      <c r="M173" s="964"/>
      <c r="N173" s="489">
        <f t="shared" si="29"/>
        <v>330000</v>
      </c>
      <c r="O173" s="967">
        <f t="shared" si="30"/>
        <v>0</v>
      </c>
      <c r="P173" s="968"/>
      <c r="Q173" s="969"/>
      <c r="R173" s="970"/>
      <c r="S173" s="193"/>
    </row>
    <row r="174" spans="1:19" x14ac:dyDescent="0.2">
      <c r="A174" s="1225" t="s">
        <v>883</v>
      </c>
      <c r="B174" s="1314">
        <v>45932</v>
      </c>
      <c r="C174" s="953">
        <v>273</v>
      </c>
      <c r="D174" s="339" t="str">
        <f>_xlfn.XLOOKUP(C174,Códigos!$A$11:$A$415,Códigos!$B$11:$B$415,"Verificar",0)</f>
        <v>NOMBRE 88</v>
      </c>
      <c r="E174" s="963" t="s">
        <v>429</v>
      </c>
      <c r="F174" s="952" t="s">
        <v>857</v>
      </c>
      <c r="G174" s="964">
        <v>610000</v>
      </c>
      <c r="H174" s="965" t="s">
        <v>399</v>
      </c>
      <c r="I174" s="966">
        <f t="shared" si="27"/>
        <v>610000</v>
      </c>
      <c r="J174" s="966">
        <v>0</v>
      </c>
      <c r="K174" s="966">
        <f t="shared" si="28"/>
        <v>610000</v>
      </c>
      <c r="L174" s="964"/>
      <c r="M174" s="964"/>
      <c r="N174" s="489">
        <f t="shared" si="29"/>
        <v>610000</v>
      </c>
      <c r="O174" s="967">
        <f t="shared" si="30"/>
        <v>0</v>
      </c>
      <c r="P174" s="968"/>
      <c r="Q174" s="969"/>
      <c r="R174" s="970"/>
      <c r="S174" s="193"/>
    </row>
    <row r="175" spans="1:19" x14ac:dyDescent="0.2">
      <c r="A175" s="1225" t="s">
        <v>884</v>
      </c>
      <c r="B175" s="1314">
        <v>45932</v>
      </c>
      <c r="C175" s="953">
        <v>309</v>
      </c>
      <c r="D175" s="339" t="str">
        <f>_xlfn.XLOOKUP(C175,Códigos!$A$11:$A$415,Códigos!$B$11:$B$415,"Verificar",0)</f>
        <v>NOMBRE 91</v>
      </c>
      <c r="E175" s="963" t="s">
        <v>429</v>
      </c>
      <c r="F175" s="952" t="s">
        <v>857</v>
      </c>
      <c r="G175" s="964">
        <v>160000</v>
      </c>
      <c r="H175" s="965" t="s">
        <v>399</v>
      </c>
      <c r="I175" s="966">
        <f t="shared" si="27"/>
        <v>160000</v>
      </c>
      <c r="J175" s="966">
        <v>0</v>
      </c>
      <c r="K175" s="966">
        <f t="shared" si="28"/>
        <v>160000</v>
      </c>
      <c r="L175" s="964"/>
      <c r="M175" s="964"/>
      <c r="N175" s="489">
        <f t="shared" si="29"/>
        <v>160000</v>
      </c>
      <c r="O175" s="967">
        <f t="shared" si="30"/>
        <v>0</v>
      </c>
      <c r="P175" s="968"/>
      <c r="Q175" s="969"/>
      <c r="R175" s="970"/>
      <c r="S175" s="193"/>
    </row>
    <row r="176" spans="1:19" x14ac:dyDescent="0.2">
      <c r="A176" s="1225" t="s">
        <v>885</v>
      </c>
      <c r="B176" s="1314">
        <v>45932</v>
      </c>
      <c r="C176" s="953">
        <v>222</v>
      </c>
      <c r="D176" s="339" t="str">
        <f>_xlfn.XLOOKUP(C176,Códigos!$A$11:$A$415,Códigos!$B$11:$B$415,"Verificar",0)</f>
        <v>NOMBRE 101</v>
      </c>
      <c r="E176" s="963" t="s">
        <v>429</v>
      </c>
      <c r="F176" s="952" t="s">
        <v>857</v>
      </c>
      <c r="G176" s="964">
        <v>4880000</v>
      </c>
      <c r="H176" s="965" t="s">
        <v>399</v>
      </c>
      <c r="I176" s="966">
        <f t="shared" si="27"/>
        <v>4880000</v>
      </c>
      <c r="J176" s="966">
        <v>0</v>
      </c>
      <c r="K176" s="966">
        <f t="shared" si="28"/>
        <v>4880000</v>
      </c>
      <c r="L176" s="964"/>
      <c r="M176" s="964"/>
      <c r="N176" s="489">
        <f t="shared" si="29"/>
        <v>4880000</v>
      </c>
      <c r="O176" s="967">
        <f t="shared" si="30"/>
        <v>0</v>
      </c>
      <c r="P176" s="968"/>
      <c r="Q176" s="969"/>
      <c r="R176" s="970"/>
      <c r="S176" s="193"/>
    </row>
    <row r="177" spans="1:19" ht="12" customHeight="1" x14ac:dyDescent="0.2">
      <c r="A177" s="1225" t="s">
        <v>886</v>
      </c>
      <c r="B177" s="1314">
        <v>45932</v>
      </c>
      <c r="C177" s="953">
        <v>92</v>
      </c>
      <c r="D177" s="339" t="str">
        <f>_xlfn.XLOOKUP(C177,Códigos!$A$11:$A$415,Códigos!$B$11:$B$415,"Verificar",0)</f>
        <v>NOMBRE 106</v>
      </c>
      <c r="E177" s="963" t="s">
        <v>429</v>
      </c>
      <c r="F177" s="952" t="s">
        <v>857</v>
      </c>
      <c r="G177" s="964">
        <v>350000</v>
      </c>
      <c r="H177" s="965" t="s">
        <v>399</v>
      </c>
      <c r="I177" s="966">
        <f t="shared" si="27"/>
        <v>350000</v>
      </c>
      <c r="J177" s="966">
        <v>0</v>
      </c>
      <c r="K177" s="966">
        <f t="shared" si="28"/>
        <v>350000</v>
      </c>
      <c r="L177" s="964"/>
      <c r="M177" s="964"/>
      <c r="N177" s="489">
        <f t="shared" si="29"/>
        <v>350000</v>
      </c>
      <c r="O177" s="967">
        <f t="shared" si="30"/>
        <v>0</v>
      </c>
      <c r="P177" s="968"/>
      <c r="Q177" s="969"/>
      <c r="R177" s="970"/>
      <c r="S177" s="193"/>
    </row>
    <row r="178" spans="1:19" ht="15" customHeight="1" x14ac:dyDescent="0.2">
      <c r="A178" s="1225" t="s">
        <v>887</v>
      </c>
      <c r="B178" s="1314">
        <v>45932</v>
      </c>
      <c r="C178" s="953">
        <v>233</v>
      </c>
      <c r="D178" s="339" t="str">
        <f>_xlfn.XLOOKUP(C178,Códigos!$A$11:$A$415,Códigos!$B$11:$B$415,"Verificar",0)</f>
        <v>NOMBRE 122</v>
      </c>
      <c r="E178" s="963" t="s">
        <v>429</v>
      </c>
      <c r="F178" s="952" t="s">
        <v>857</v>
      </c>
      <c r="G178" s="964">
        <v>350000</v>
      </c>
      <c r="H178" s="965" t="s">
        <v>399</v>
      </c>
      <c r="I178" s="966">
        <f t="shared" si="27"/>
        <v>350000</v>
      </c>
      <c r="J178" s="966">
        <v>0</v>
      </c>
      <c r="K178" s="966">
        <f t="shared" si="28"/>
        <v>350000</v>
      </c>
      <c r="L178" s="964"/>
      <c r="M178" s="964"/>
      <c r="N178" s="489">
        <f t="shared" si="29"/>
        <v>350000</v>
      </c>
      <c r="O178" s="967">
        <f t="shared" si="30"/>
        <v>0</v>
      </c>
      <c r="P178" s="968"/>
      <c r="Q178" s="969"/>
      <c r="R178" s="970"/>
      <c r="S178" s="193"/>
    </row>
    <row r="179" spans="1:19" x14ac:dyDescent="0.2">
      <c r="A179" s="1225" t="s">
        <v>888</v>
      </c>
      <c r="B179" s="1314">
        <v>45932</v>
      </c>
      <c r="C179" s="953">
        <v>330</v>
      </c>
      <c r="D179" s="339" t="str">
        <f>_xlfn.XLOOKUP(C179,Códigos!$A$11:$A$415,Códigos!$B$11:$B$415,"Verificar",0)</f>
        <v>NOMBRE 123</v>
      </c>
      <c r="E179" s="963" t="s">
        <v>429</v>
      </c>
      <c r="F179" s="952" t="s">
        <v>857</v>
      </c>
      <c r="G179" s="964">
        <v>1050000</v>
      </c>
      <c r="H179" s="965" t="s">
        <v>399</v>
      </c>
      <c r="I179" s="966">
        <f t="shared" si="27"/>
        <v>1050000</v>
      </c>
      <c r="J179" s="966">
        <v>0</v>
      </c>
      <c r="K179" s="966">
        <f t="shared" si="28"/>
        <v>1050000</v>
      </c>
      <c r="L179" s="964"/>
      <c r="M179" s="964"/>
      <c r="N179" s="489">
        <f t="shared" si="29"/>
        <v>1050000</v>
      </c>
      <c r="O179" s="967">
        <f t="shared" si="30"/>
        <v>0</v>
      </c>
      <c r="P179" s="968"/>
      <c r="Q179" s="969"/>
      <c r="R179" s="970"/>
      <c r="S179" s="193"/>
    </row>
    <row r="180" spans="1:19" x14ac:dyDescent="0.2">
      <c r="A180" s="1225" t="s">
        <v>889</v>
      </c>
      <c r="B180" s="1314">
        <v>45932</v>
      </c>
      <c r="C180" s="953">
        <v>223</v>
      </c>
      <c r="D180" s="339" t="str">
        <f>_xlfn.XLOOKUP(C180,Códigos!$A$11:$A$415,Códigos!$B$11:$B$415,"Verificar",0)</f>
        <v>NOMBRE 125</v>
      </c>
      <c r="E180" s="963" t="s">
        <v>429</v>
      </c>
      <c r="F180" s="952" t="s">
        <v>857</v>
      </c>
      <c r="G180" s="964">
        <v>430000</v>
      </c>
      <c r="H180" s="965" t="s">
        <v>399</v>
      </c>
      <c r="I180" s="966">
        <f t="shared" si="27"/>
        <v>430000</v>
      </c>
      <c r="J180" s="966">
        <v>0</v>
      </c>
      <c r="K180" s="966">
        <f t="shared" si="28"/>
        <v>430000</v>
      </c>
      <c r="L180" s="964"/>
      <c r="M180" s="964"/>
      <c r="N180" s="489">
        <f t="shared" si="29"/>
        <v>430000</v>
      </c>
      <c r="O180" s="967">
        <f t="shared" si="30"/>
        <v>0</v>
      </c>
      <c r="P180" s="968"/>
      <c r="Q180" s="969"/>
      <c r="R180" s="970"/>
      <c r="S180" s="193"/>
    </row>
    <row r="181" spans="1:19" x14ac:dyDescent="0.2">
      <c r="A181" s="1225" t="s">
        <v>890</v>
      </c>
      <c r="B181" s="1314">
        <v>45932</v>
      </c>
      <c r="C181" s="953">
        <v>221</v>
      </c>
      <c r="D181" s="339" t="str">
        <f>_xlfn.XLOOKUP(C181,Códigos!$A$11:$A$415,Códigos!$B$11:$B$415,"Verificar",0)</f>
        <v>NOMBRE 210</v>
      </c>
      <c r="E181" s="963" t="s">
        <v>429</v>
      </c>
      <c r="F181" s="952" t="s">
        <v>857</v>
      </c>
      <c r="G181" s="964">
        <v>950000</v>
      </c>
      <c r="H181" s="965" t="s">
        <v>399</v>
      </c>
      <c r="I181" s="966">
        <f t="shared" ref="I181:I212" si="33">+G181</f>
        <v>950000</v>
      </c>
      <c r="J181" s="966">
        <v>0</v>
      </c>
      <c r="K181" s="966">
        <f t="shared" si="28"/>
        <v>950000</v>
      </c>
      <c r="L181" s="964"/>
      <c r="M181" s="964"/>
      <c r="N181" s="489">
        <f t="shared" ref="N181:N212" si="34">IF(+(K181-L181-M181)&lt;0,0,(K181-L181-M181))</f>
        <v>950000</v>
      </c>
      <c r="O181" s="967">
        <f t="shared" ref="O181:O212" si="35">IF(+(K181-L181-M181)&gt;0,0,(K181-L181-M181))</f>
        <v>0</v>
      </c>
      <c r="P181" s="968"/>
      <c r="Q181" s="969"/>
      <c r="R181" s="970"/>
      <c r="S181" s="193"/>
    </row>
    <row r="182" spans="1:19" x14ac:dyDescent="0.2">
      <c r="A182" s="1225" t="s">
        <v>891</v>
      </c>
      <c r="B182" s="1314">
        <v>45932</v>
      </c>
      <c r="C182" s="953">
        <v>57</v>
      </c>
      <c r="D182" s="339" t="str">
        <f>_xlfn.XLOOKUP(C182,Códigos!$A$11:$A$415,Códigos!$B$11:$B$415,"Verificar",0)</f>
        <v>NOMBRE 130</v>
      </c>
      <c r="E182" s="963" t="s">
        <v>429</v>
      </c>
      <c r="F182" s="952" t="s">
        <v>857</v>
      </c>
      <c r="G182" s="964">
        <v>410000</v>
      </c>
      <c r="H182" s="965" t="s">
        <v>399</v>
      </c>
      <c r="I182" s="966">
        <f t="shared" si="33"/>
        <v>410000</v>
      </c>
      <c r="J182" s="966">
        <v>0</v>
      </c>
      <c r="K182" s="966">
        <f t="shared" si="28"/>
        <v>410000</v>
      </c>
      <c r="L182" s="964"/>
      <c r="M182" s="964"/>
      <c r="N182" s="489">
        <f t="shared" si="34"/>
        <v>410000</v>
      </c>
      <c r="O182" s="967">
        <f t="shared" si="35"/>
        <v>0</v>
      </c>
      <c r="P182" s="968"/>
      <c r="Q182" s="969"/>
      <c r="R182" s="970"/>
      <c r="S182" s="193"/>
    </row>
    <row r="183" spans="1:19" x14ac:dyDescent="0.2">
      <c r="A183" s="1225" t="s">
        <v>892</v>
      </c>
      <c r="B183" s="1314">
        <v>45932</v>
      </c>
      <c r="C183" s="953">
        <v>24</v>
      </c>
      <c r="D183" s="339" t="str">
        <f>_xlfn.XLOOKUP(C183,Códigos!$A$11:$A$415,Códigos!$B$11:$B$415,"Verificar",0)</f>
        <v>NOMBRE 132</v>
      </c>
      <c r="E183" s="963" t="s">
        <v>429</v>
      </c>
      <c r="F183" s="952" t="s">
        <v>857</v>
      </c>
      <c r="G183" s="964">
        <v>470000</v>
      </c>
      <c r="H183" s="965" t="s">
        <v>399</v>
      </c>
      <c r="I183" s="966">
        <f t="shared" si="33"/>
        <v>470000</v>
      </c>
      <c r="J183" s="966">
        <v>0</v>
      </c>
      <c r="K183" s="966">
        <f t="shared" si="28"/>
        <v>470000</v>
      </c>
      <c r="L183" s="964">
        <v>470000</v>
      </c>
      <c r="M183" s="964"/>
      <c r="N183" s="489">
        <f t="shared" si="34"/>
        <v>0</v>
      </c>
      <c r="O183" s="967">
        <f t="shared" si="35"/>
        <v>0</v>
      </c>
      <c r="P183" s="968" t="s">
        <v>1087</v>
      </c>
      <c r="Q183" s="969">
        <v>45953</v>
      </c>
      <c r="R183" s="970"/>
      <c r="S183" s="193"/>
    </row>
    <row r="184" spans="1:19" x14ac:dyDescent="0.2">
      <c r="A184" s="1225" t="s">
        <v>893</v>
      </c>
      <c r="B184" s="1314">
        <v>45932</v>
      </c>
      <c r="C184" s="953">
        <v>110</v>
      </c>
      <c r="D184" s="339" t="str">
        <f>_xlfn.XLOOKUP(C184,Códigos!$A$11:$A$415,Códigos!$B$11:$B$415,"Verificar",0)</f>
        <v>NOMBRE 134</v>
      </c>
      <c r="E184" s="963" t="s">
        <v>429</v>
      </c>
      <c r="F184" s="952" t="s">
        <v>857</v>
      </c>
      <c r="G184" s="964">
        <v>2450000</v>
      </c>
      <c r="H184" s="965" t="s">
        <v>399</v>
      </c>
      <c r="I184" s="966">
        <f t="shared" si="33"/>
        <v>2450000</v>
      </c>
      <c r="J184" s="966">
        <v>0</v>
      </c>
      <c r="K184" s="966">
        <f t="shared" si="28"/>
        <v>2450000</v>
      </c>
      <c r="L184" s="964"/>
      <c r="M184" s="964"/>
      <c r="N184" s="489">
        <f t="shared" si="34"/>
        <v>2450000</v>
      </c>
      <c r="O184" s="967">
        <f t="shared" si="35"/>
        <v>0</v>
      </c>
      <c r="P184" s="968"/>
      <c r="Q184" s="969"/>
      <c r="R184" s="970"/>
      <c r="S184" s="193"/>
    </row>
    <row r="185" spans="1:19" x14ac:dyDescent="0.2">
      <c r="A185" s="1225" t="s">
        <v>894</v>
      </c>
      <c r="B185" s="1314">
        <v>45932</v>
      </c>
      <c r="C185" s="953">
        <v>305</v>
      </c>
      <c r="D185" s="339" t="str">
        <f>_xlfn.XLOOKUP(C185,Códigos!$A$11:$A$415,Códigos!$B$11:$B$415,"Verificar",0)</f>
        <v>NOMBRE 137</v>
      </c>
      <c r="E185" s="963" t="s">
        <v>429</v>
      </c>
      <c r="F185" s="952" t="s">
        <v>857</v>
      </c>
      <c r="G185" s="964">
        <v>370000</v>
      </c>
      <c r="H185" s="965" t="s">
        <v>399</v>
      </c>
      <c r="I185" s="966">
        <f t="shared" si="33"/>
        <v>370000</v>
      </c>
      <c r="J185" s="966">
        <v>0</v>
      </c>
      <c r="K185" s="966">
        <f t="shared" si="28"/>
        <v>370000</v>
      </c>
      <c r="L185" s="964">
        <v>370000</v>
      </c>
      <c r="M185" s="964"/>
      <c r="N185" s="489">
        <f t="shared" si="34"/>
        <v>0</v>
      </c>
      <c r="O185" s="967">
        <f t="shared" si="35"/>
        <v>0</v>
      </c>
      <c r="P185" s="968" t="s">
        <v>1087</v>
      </c>
      <c r="Q185" s="969">
        <v>45958</v>
      </c>
      <c r="R185" s="970"/>
      <c r="S185" s="193"/>
    </row>
    <row r="186" spans="1:19" x14ac:dyDescent="0.2">
      <c r="A186" s="1225" t="s">
        <v>895</v>
      </c>
      <c r="B186" s="1314">
        <v>45932</v>
      </c>
      <c r="C186" s="953">
        <v>289</v>
      </c>
      <c r="D186" s="339" t="str">
        <f>_xlfn.XLOOKUP(C186,Códigos!$A$11:$A$415,Códigos!$B$11:$B$415,"Verificar",0)</f>
        <v>NOMBRE 140</v>
      </c>
      <c r="E186" s="963" t="s">
        <v>429</v>
      </c>
      <c r="F186" s="952" t="s">
        <v>857</v>
      </c>
      <c r="G186" s="964">
        <v>450000</v>
      </c>
      <c r="H186" s="965" t="s">
        <v>399</v>
      </c>
      <c r="I186" s="966">
        <f t="shared" si="33"/>
        <v>450000</v>
      </c>
      <c r="J186" s="966">
        <v>0</v>
      </c>
      <c r="K186" s="966">
        <f t="shared" si="28"/>
        <v>450000</v>
      </c>
      <c r="L186" s="964"/>
      <c r="M186" s="964"/>
      <c r="N186" s="489">
        <f t="shared" si="34"/>
        <v>450000</v>
      </c>
      <c r="O186" s="967">
        <f t="shared" si="35"/>
        <v>0</v>
      </c>
      <c r="P186" s="968"/>
      <c r="Q186" s="969"/>
      <c r="R186" s="970"/>
      <c r="S186" s="193"/>
    </row>
    <row r="187" spans="1:19" x14ac:dyDescent="0.2">
      <c r="A187" s="1225" t="s">
        <v>896</v>
      </c>
      <c r="B187" s="1314">
        <v>45932</v>
      </c>
      <c r="C187" s="953">
        <v>331</v>
      </c>
      <c r="D187" s="339" t="str">
        <f>_xlfn.XLOOKUP(C187,Códigos!$A$11:$A$415,Códigos!$B$11:$B$415,"Verificar",0)</f>
        <v>NOMBRE 147</v>
      </c>
      <c r="E187" s="963" t="s">
        <v>429</v>
      </c>
      <c r="F187" s="952" t="s">
        <v>857</v>
      </c>
      <c r="G187" s="964">
        <v>1050000</v>
      </c>
      <c r="H187" s="965" t="s">
        <v>399</v>
      </c>
      <c r="I187" s="966">
        <f t="shared" si="33"/>
        <v>1050000</v>
      </c>
      <c r="J187" s="966">
        <v>0</v>
      </c>
      <c r="K187" s="966">
        <f t="shared" si="28"/>
        <v>1050000</v>
      </c>
      <c r="L187" s="964"/>
      <c r="M187" s="964"/>
      <c r="N187" s="489">
        <f t="shared" si="34"/>
        <v>1050000</v>
      </c>
      <c r="O187" s="967">
        <f t="shared" si="35"/>
        <v>0</v>
      </c>
      <c r="P187" s="968"/>
      <c r="Q187" s="969"/>
      <c r="R187" s="970"/>
      <c r="S187" s="193"/>
    </row>
    <row r="188" spans="1:19" x14ac:dyDescent="0.2">
      <c r="A188" s="1225" t="s">
        <v>897</v>
      </c>
      <c r="B188" s="1314">
        <v>45932</v>
      </c>
      <c r="C188" s="953">
        <v>118</v>
      </c>
      <c r="D188" s="339" t="str">
        <f>_xlfn.XLOOKUP(C188,Códigos!$A$11:$A$415,Códigos!$B$11:$B$415,"Verificar",0)</f>
        <v>NOMBRE 154</v>
      </c>
      <c r="E188" s="963" t="s">
        <v>429</v>
      </c>
      <c r="F188" s="952" t="s">
        <v>857</v>
      </c>
      <c r="G188" s="964">
        <v>350000</v>
      </c>
      <c r="H188" s="965" t="s">
        <v>399</v>
      </c>
      <c r="I188" s="966">
        <f t="shared" si="33"/>
        <v>350000</v>
      </c>
      <c r="J188" s="966">
        <v>0</v>
      </c>
      <c r="K188" s="966">
        <f t="shared" si="28"/>
        <v>350000</v>
      </c>
      <c r="L188" s="964"/>
      <c r="M188" s="964"/>
      <c r="N188" s="489">
        <f t="shared" si="34"/>
        <v>350000</v>
      </c>
      <c r="O188" s="967">
        <f t="shared" si="35"/>
        <v>0</v>
      </c>
      <c r="P188" s="968"/>
      <c r="Q188" s="969"/>
      <c r="R188" s="970"/>
      <c r="S188" s="193"/>
    </row>
    <row r="189" spans="1:19" x14ac:dyDescent="0.2">
      <c r="A189" s="1225" t="s">
        <v>898</v>
      </c>
      <c r="B189" s="1314">
        <v>45932</v>
      </c>
      <c r="C189" s="953">
        <v>119</v>
      </c>
      <c r="D189" s="339" t="str">
        <f>_xlfn.XLOOKUP(C189,Códigos!$A$11:$A$415,Códigos!$B$11:$B$415,"Verificar",0)</f>
        <v>NOMBRE 157</v>
      </c>
      <c r="E189" s="963" t="s">
        <v>429</v>
      </c>
      <c r="F189" s="952" t="s">
        <v>857</v>
      </c>
      <c r="G189" s="964">
        <v>320000</v>
      </c>
      <c r="H189" s="965" t="s">
        <v>399</v>
      </c>
      <c r="I189" s="966">
        <f t="shared" si="33"/>
        <v>320000</v>
      </c>
      <c r="J189" s="966">
        <v>0</v>
      </c>
      <c r="K189" s="966">
        <f t="shared" si="28"/>
        <v>320000</v>
      </c>
      <c r="L189" s="964"/>
      <c r="M189" s="964"/>
      <c r="N189" s="489">
        <f t="shared" si="34"/>
        <v>320000</v>
      </c>
      <c r="O189" s="967">
        <f t="shared" si="35"/>
        <v>0</v>
      </c>
      <c r="P189" s="968"/>
      <c r="Q189" s="969"/>
      <c r="R189" s="970"/>
      <c r="S189" s="193"/>
    </row>
    <row r="190" spans="1:19" x14ac:dyDescent="0.2">
      <c r="A190" s="1225" t="s">
        <v>899</v>
      </c>
      <c r="B190" s="1314">
        <v>45932</v>
      </c>
      <c r="C190" s="953">
        <v>315</v>
      </c>
      <c r="D190" s="339" t="str">
        <f>_xlfn.XLOOKUP(C190,Códigos!$A$11:$A$415,Códigos!$B$11:$B$415,"Verificar",0)</f>
        <v>NOMBRE 183</v>
      </c>
      <c r="E190" s="963" t="s">
        <v>429</v>
      </c>
      <c r="F190" s="952" t="s">
        <v>857</v>
      </c>
      <c r="G190" s="964">
        <v>470000</v>
      </c>
      <c r="H190" s="965" t="s">
        <v>399</v>
      </c>
      <c r="I190" s="966">
        <f t="shared" si="33"/>
        <v>470000</v>
      </c>
      <c r="J190" s="966">
        <v>0</v>
      </c>
      <c r="K190" s="966">
        <f t="shared" si="28"/>
        <v>470000</v>
      </c>
      <c r="L190" s="964"/>
      <c r="M190" s="964"/>
      <c r="N190" s="489">
        <f t="shared" si="34"/>
        <v>470000</v>
      </c>
      <c r="O190" s="967">
        <f t="shared" si="35"/>
        <v>0</v>
      </c>
      <c r="P190" s="968"/>
      <c r="Q190" s="969"/>
      <c r="R190" s="970"/>
      <c r="S190" s="193"/>
    </row>
    <row r="191" spans="1:19" x14ac:dyDescent="0.2">
      <c r="A191" s="1225" t="s">
        <v>900</v>
      </c>
      <c r="B191" s="1314">
        <v>45932</v>
      </c>
      <c r="C191" s="953">
        <v>230</v>
      </c>
      <c r="D191" s="339" t="str">
        <f>_xlfn.XLOOKUP(C191,Códigos!$A$11:$A$415,Códigos!$B$11:$B$415,"Verificar",0)</f>
        <v>NOMBRE 184</v>
      </c>
      <c r="E191" s="963" t="s">
        <v>429</v>
      </c>
      <c r="F191" s="952" t="s">
        <v>857</v>
      </c>
      <c r="G191" s="964">
        <v>290000</v>
      </c>
      <c r="H191" s="965" t="s">
        <v>399</v>
      </c>
      <c r="I191" s="966">
        <f t="shared" si="33"/>
        <v>290000</v>
      </c>
      <c r="J191" s="966">
        <v>0</v>
      </c>
      <c r="K191" s="966">
        <f t="shared" si="28"/>
        <v>290000</v>
      </c>
      <c r="L191" s="964"/>
      <c r="M191" s="964"/>
      <c r="N191" s="489">
        <f t="shared" si="34"/>
        <v>290000</v>
      </c>
      <c r="O191" s="967">
        <f t="shared" si="35"/>
        <v>0</v>
      </c>
      <c r="P191" s="968"/>
      <c r="Q191" s="969"/>
      <c r="R191" s="970"/>
      <c r="S191" s="193"/>
    </row>
    <row r="192" spans="1:19" x14ac:dyDescent="0.2">
      <c r="A192" s="1225" t="s">
        <v>901</v>
      </c>
      <c r="B192" s="1314">
        <v>45932</v>
      </c>
      <c r="C192" s="953">
        <v>122</v>
      </c>
      <c r="D192" s="339" t="str">
        <f>_xlfn.XLOOKUP(C192,Códigos!$A$11:$A$415,Códigos!$B$11:$B$415,"Verificar",0)</f>
        <v>NOMBRE 191</v>
      </c>
      <c r="E192" s="963" t="s">
        <v>429</v>
      </c>
      <c r="F192" s="952" t="s">
        <v>857</v>
      </c>
      <c r="G192" s="964">
        <v>690000</v>
      </c>
      <c r="H192" s="965" t="s">
        <v>399</v>
      </c>
      <c r="I192" s="966">
        <f t="shared" si="33"/>
        <v>690000</v>
      </c>
      <c r="J192" s="966">
        <v>0</v>
      </c>
      <c r="K192" s="966">
        <f t="shared" si="28"/>
        <v>690000</v>
      </c>
      <c r="L192" s="964"/>
      <c r="M192" s="964"/>
      <c r="N192" s="489">
        <f t="shared" si="34"/>
        <v>690000</v>
      </c>
      <c r="O192" s="967">
        <f t="shared" si="35"/>
        <v>0</v>
      </c>
      <c r="P192" s="968"/>
      <c r="Q192" s="969"/>
      <c r="R192" s="970"/>
      <c r="S192" s="193"/>
    </row>
    <row r="193" spans="1:19" x14ac:dyDescent="0.2">
      <c r="A193" s="1225" t="s">
        <v>902</v>
      </c>
      <c r="B193" s="1314">
        <v>45932</v>
      </c>
      <c r="C193" s="953">
        <v>162</v>
      </c>
      <c r="D193" s="339" t="str">
        <f>_xlfn.XLOOKUP(C193,Códigos!$A$11:$A$415,Códigos!$B$11:$B$415,"Verificar",0)</f>
        <v>NOMBRE 193</v>
      </c>
      <c r="E193" s="963" t="s">
        <v>429</v>
      </c>
      <c r="F193" s="952" t="s">
        <v>857</v>
      </c>
      <c r="G193" s="964">
        <v>230000</v>
      </c>
      <c r="H193" s="965" t="s">
        <v>399</v>
      </c>
      <c r="I193" s="966">
        <f t="shared" si="33"/>
        <v>230000</v>
      </c>
      <c r="J193" s="966">
        <v>0</v>
      </c>
      <c r="K193" s="966">
        <f t="shared" si="28"/>
        <v>230000</v>
      </c>
      <c r="L193" s="964"/>
      <c r="M193" s="964"/>
      <c r="N193" s="489">
        <f t="shared" si="34"/>
        <v>230000</v>
      </c>
      <c r="O193" s="967">
        <f t="shared" si="35"/>
        <v>0</v>
      </c>
      <c r="P193" s="968"/>
      <c r="Q193" s="969"/>
      <c r="R193" s="970"/>
      <c r="S193" s="193"/>
    </row>
    <row r="194" spans="1:19" x14ac:dyDescent="0.2">
      <c r="A194" s="1225" t="s">
        <v>903</v>
      </c>
      <c r="B194" s="1314">
        <v>45932</v>
      </c>
      <c r="C194" s="953">
        <v>367</v>
      </c>
      <c r="D194" s="339" t="str">
        <f>_xlfn.XLOOKUP(C194,Códigos!$A$11:$A$415,Códigos!$B$11:$B$415,"Verificar",0)</f>
        <v>NOMBRE 368</v>
      </c>
      <c r="E194" s="963" t="s">
        <v>429</v>
      </c>
      <c r="F194" s="952" t="s">
        <v>857</v>
      </c>
      <c r="G194" s="964">
        <v>100000</v>
      </c>
      <c r="H194" s="965" t="s">
        <v>399</v>
      </c>
      <c r="I194" s="966">
        <f t="shared" si="33"/>
        <v>100000</v>
      </c>
      <c r="J194" s="966">
        <v>0</v>
      </c>
      <c r="K194" s="966">
        <f t="shared" si="28"/>
        <v>100000</v>
      </c>
      <c r="L194" s="964">
        <v>100000</v>
      </c>
      <c r="M194" s="964"/>
      <c r="N194" s="489">
        <f t="shared" si="34"/>
        <v>0</v>
      </c>
      <c r="O194" s="967">
        <f t="shared" si="35"/>
        <v>0</v>
      </c>
      <c r="P194" s="968" t="s">
        <v>308</v>
      </c>
      <c r="Q194" s="969">
        <v>45936</v>
      </c>
      <c r="R194" s="970"/>
      <c r="S194" s="193"/>
    </row>
    <row r="195" spans="1:19" x14ac:dyDescent="0.2">
      <c r="A195" s="1225" t="s">
        <v>904</v>
      </c>
      <c r="B195" s="1314">
        <v>45932</v>
      </c>
      <c r="C195" s="953">
        <v>346</v>
      </c>
      <c r="D195" s="339" t="str">
        <f>_xlfn.XLOOKUP(C195,Códigos!$A$11:$A$415,Códigos!$B$11:$B$415,"Verificar",0)</f>
        <v>NOMBRE 2</v>
      </c>
      <c r="E195" s="963" t="s">
        <v>429</v>
      </c>
      <c r="F195" s="952" t="s">
        <v>857</v>
      </c>
      <c r="G195" s="964">
        <v>160000</v>
      </c>
      <c r="H195" s="965" t="s">
        <v>399</v>
      </c>
      <c r="I195" s="966">
        <f t="shared" si="33"/>
        <v>160000</v>
      </c>
      <c r="J195" s="966">
        <v>0</v>
      </c>
      <c r="K195" s="966">
        <f t="shared" si="28"/>
        <v>160000</v>
      </c>
      <c r="L195" s="964">
        <v>160000</v>
      </c>
      <c r="M195" s="964"/>
      <c r="N195" s="489">
        <f t="shared" si="34"/>
        <v>0</v>
      </c>
      <c r="O195" s="967">
        <f t="shared" si="35"/>
        <v>0</v>
      </c>
      <c r="P195" s="968" t="s">
        <v>1087</v>
      </c>
      <c r="Q195" s="969">
        <v>45922</v>
      </c>
      <c r="R195" s="970"/>
      <c r="S195" s="193"/>
    </row>
    <row r="196" spans="1:19" x14ac:dyDescent="0.2">
      <c r="A196" s="1225" t="s">
        <v>905</v>
      </c>
      <c r="B196" s="1314">
        <v>45944</v>
      </c>
      <c r="C196" s="953">
        <v>349</v>
      </c>
      <c r="D196" s="339" t="str">
        <f>_xlfn.XLOOKUP(C196,Códigos!$A$11:$A$415,Códigos!$B$11:$B$415,"Verificar",0)</f>
        <v>NOMBRE 73</v>
      </c>
      <c r="E196" s="963" t="s">
        <v>429</v>
      </c>
      <c r="F196" s="952" t="s">
        <v>857</v>
      </c>
      <c r="G196" s="964">
        <v>890000</v>
      </c>
      <c r="H196" s="965" t="s">
        <v>399</v>
      </c>
      <c r="I196" s="966">
        <f t="shared" si="33"/>
        <v>890000</v>
      </c>
      <c r="J196" s="966">
        <v>0</v>
      </c>
      <c r="K196" s="966">
        <f t="shared" si="28"/>
        <v>890000</v>
      </c>
      <c r="L196" s="964"/>
      <c r="M196" s="964"/>
      <c r="N196" s="489">
        <f t="shared" si="34"/>
        <v>890000</v>
      </c>
      <c r="O196" s="967">
        <f t="shared" si="35"/>
        <v>0</v>
      </c>
      <c r="P196" s="968"/>
      <c r="Q196" s="969"/>
      <c r="R196" s="970"/>
      <c r="S196" s="193"/>
    </row>
    <row r="197" spans="1:19" x14ac:dyDescent="0.2">
      <c r="A197" s="1225" t="s">
        <v>906</v>
      </c>
      <c r="B197" s="1314">
        <v>45944</v>
      </c>
      <c r="C197" s="953">
        <v>351</v>
      </c>
      <c r="D197" s="339" t="str">
        <f>_xlfn.XLOOKUP(C197,Códigos!$A$11:$A$415,Códigos!$B$11:$B$415,"Verificar",0)</f>
        <v>NOMBRE 198</v>
      </c>
      <c r="E197" s="963" t="s">
        <v>429</v>
      </c>
      <c r="F197" s="952" t="s">
        <v>857</v>
      </c>
      <c r="G197" s="964">
        <v>890000</v>
      </c>
      <c r="H197" s="965" t="s">
        <v>399</v>
      </c>
      <c r="I197" s="966">
        <f t="shared" si="33"/>
        <v>890000</v>
      </c>
      <c r="J197" s="966">
        <v>0</v>
      </c>
      <c r="K197" s="966">
        <f t="shared" si="28"/>
        <v>890000</v>
      </c>
      <c r="L197" s="964">
        <v>890000</v>
      </c>
      <c r="M197" s="964"/>
      <c r="N197" s="489">
        <f t="shared" ref="N197" si="36">IF(+(K197-L197-M197)&lt;0,0,(K197-L197-M197))</f>
        <v>0</v>
      </c>
      <c r="O197" s="967">
        <f t="shared" si="35"/>
        <v>0</v>
      </c>
      <c r="P197" s="968" t="s">
        <v>1087</v>
      </c>
      <c r="Q197" s="969">
        <v>45955</v>
      </c>
      <c r="R197" s="970"/>
      <c r="S197" s="193"/>
    </row>
    <row r="198" spans="1:19" x14ac:dyDescent="0.2">
      <c r="A198" s="1225" t="s">
        <v>907</v>
      </c>
      <c r="B198" s="1314">
        <v>45944</v>
      </c>
      <c r="C198" s="953">
        <v>43</v>
      </c>
      <c r="D198" s="339" t="str">
        <f>_xlfn.XLOOKUP(C198,Códigos!$A$11:$A$415,Códigos!$B$11:$B$415,"Verificar",0)</f>
        <v>NOMBRE 7</v>
      </c>
      <c r="E198" s="963" t="s">
        <v>429</v>
      </c>
      <c r="F198" s="952" t="s">
        <v>857</v>
      </c>
      <c r="G198" s="964">
        <v>480000</v>
      </c>
      <c r="H198" s="965" t="s">
        <v>399</v>
      </c>
      <c r="I198" s="966">
        <f t="shared" si="33"/>
        <v>480000</v>
      </c>
      <c r="J198" s="966">
        <v>0</v>
      </c>
      <c r="K198" s="966">
        <f t="shared" si="28"/>
        <v>480000</v>
      </c>
      <c r="L198" s="964"/>
      <c r="M198" s="964"/>
      <c r="N198" s="489">
        <f t="shared" si="34"/>
        <v>480000</v>
      </c>
      <c r="O198" s="967">
        <f t="shared" si="35"/>
        <v>0</v>
      </c>
      <c r="P198" s="968"/>
      <c r="Q198" s="969"/>
      <c r="R198" s="970"/>
      <c r="S198" s="193"/>
    </row>
    <row r="199" spans="1:19" x14ac:dyDescent="0.2">
      <c r="A199" s="1225" t="s">
        <v>908</v>
      </c>
      <c r="B199" s="1314">
        <v>45944</v>
      </c>
      <c r="C199" s="953">
        <v>83</v>
      </c>
      <c r="D199" s="339" t="str">
        <f>_xlfn.XLOOKUP(C199,Códigos!$A$11:$A$415,Códigos!$B$11:$B$415,"Verificar",0)</f>
        <v>NOMBRE 82</v>
      </c>
      <c r="E199" s="963" t="s">
        <v>429</v>
      </c>
      <c r="F199" s="952" t="s">
        <v>857</v>
      </c>
      <c r="G199" s="964">
        <v>660000</v>
      </c>
      <c r="H199" s="965" t="s">
        <v>399</v>
      </c>
      <c r="I199" s="966">
        <f t="shared" si="33"/>
        <v>660000</v>
      </c>
      <c r="J199" s="966">
        <v>0</v>
      </c>
      <c r="K199" s="966">
        <f t="shared" si="28"/>
        <v>660000</v>
      </c>
      <c r="L199" s="964"/>
      <c r="M199" s="964"/>
      <c r="N199" s="489">
        <f t="shared" si="34"/>
        <v>660000</v>
      </c>
      <c r="O199" s="967">
        <f t="shared" si="35"/>
        <v>0</v>
      </c>
      <c r="P199" s="968"/>
      <c r="Q199" s="969"/>
      <c r="R199" s="970"/>
      <c r="S199" s="193"/>
    </row>
    <row r="200" spans="1:19" x14ac:dyDescent="0.2">
      <c r="A200" s="1225" t="s">
        <v>909</v>
      </c>
      <c r="B200" s="1314">
        <v>45944</v>
      </c>
      <c r="C200" s="953">
        <v>334</v>
      </c>
      <c r="D200" s="339" t="str">
        <f>_xlfn.XLOOKUP(C200,Códigos!$A$11:$A$415,Códigos!$B$11:$B$415,"Verificar",0)</f>
        <v>NOMBRE 263</v>
      </c>
      <c r="E200" s="963" t="s">
        <v>429</v>
      </c>
      <c r="F200" s="952" t="s">
        <v>857</v>
      </c>
      <c r="G200" s="964">
        <v>240000</v>
      </c>
      <c r="H200" s="965" t="s">
        <v>399</v>
      </c>
      <c r="I200" s="966">
        <f t="shared" si="33"/>
        <v>240000</v>
      </c>
      <c r="J200" s="966">
        <v>0</v>
      </c>
      <c r="K200" s="966">
        <f t="shared" si="28"/>
        <v>240000</v>
      </c>
      <c r="L200" s="964"/>
      <c r="M200" s="964"/>
      <c r="N200" s="489">
        <f t="shared" si="34"/>
        <v>240000</v>
      </c>
      <c r="O200" s="967">
        <f t="shared" si="35"/>
        <v>0</v>
      </c>
      <c r="P200" s="968"/>
      <c r="Q200" s="969"/>
      <c r="R200" s="970"/>
      <c r="S200" s="193"/>
    </row>
    <row r="201" spans="1:19" x14ac:dyDescent="0.2">
      <c r="A201" s="1225" t="s">
        <v>910</v>
      </c>
      <c r="B201" s="1314">
        <v>45945</v>
      </c>
      <c r="C201" s="953">
        <v>95</v>
      </c>
      <c r="D201" s="339" t="str">
        <f>_xlfn.XLOOKUP(C201,Códigos!$A$11:$A$415,Códigos!$B$11:$B$415,"Verificar",0)</f>
        <v>NOMBRE 111</v>
      </c>
      <c r="E201" s="963" t="s">
        <v>429</v>
      </c>
      <c r="F201" s="952" t="s">
        <v>857</v>
      </c>
      <c r="G201" s="964">
        <v>9290000</v>
      </c>
      <c r="H201" s="965" t="s">
        <v>399</v>
      </c>
      <c r="I201" s="966">
        <f t="shared" si="33"/>
        <v>9290000</v>
      </c>
      <c r="J201" s="966">
        <v>0</v>
      </c>
      <c r="K201" s="966">
        <f t="shared" si="28"/>
        <v>9290000</v>
      </c>
      <c r="L201" s="964">
        <v>3000000</v>
      </c>
      <c r="M201" s="964"/>
      <c r="N201" s="489">
        <f t="shared" si="34"/>
        <v>6290000</v>
      </c>
      <c r="O201" s="967">
        <f t="shared" si="35"/>
        <v>0</v>
      </c>
      <c r="P201" s="968" t="s">
        <v>1079</v>
      </c>
      <c r="Q201" s="969">
        <v>45945</v>
      </c>
      <c r="R201" s="970"/>
      <c r="S201" s="193"/>
    </row>
    <row r="202" spans="1:19" x14ac:dyDescent="0.2">
      <c r="A202" s="1225" t="s">
        <v>911</v>
      </c>
      <c r="B202" s="1314">
        <v>45947</v>
      </c>
      <c r="C202" s="953">
        <v>49</v>
      </c>
      <c r="D202" s="339" t="str">
        <f>_xlfn.XLOOKUP(C202,Códigos!$A$11:$A$415,Códigos!$B$11:$B$415,"Verificar",0)</f>
        <v>NOMBRE 17</v>
      </c>
      <c r="E202" s="963" t="s">
        <v>429</v>
      </c>
      <c r="F202" s="952" t="s">
        <v>857</v>
      </c>
      <c r="G202" s="964">
        <v>690000</v>
      </c>
      <c r="H202" s="965" t="s">
        <v>399</v>
      </c>
      <c r="I202" s="966">
        <f t="shared" si="33"/>
        <v>690000</v>
      </c>
      <c r="J202" s="966">
        <v>0</v>
      </c>
      <c r="K202" s="966">
        <f t="shared" si="28"/>
        <v>690000</v>
      </c>
      <c r="L202" s="964"/>
      <c r="M202" s="964"/>
      <c r="N202" s="489">
        <f t="shared" si="34"/>
        <v>690000</v>
      </c>
      <c r="O202" s="967">
        <f t="shared" si="35"/>
        <v>0</v>
      </c>
      <c r="P202" s="968"/>
      <c r="Q202" s="969"/>
      <c r="R202" s="970"/>
      <c r="S202" s="193"/>
    </row>
    <row r="203" spans="1:19" x14ac:dyDescent="0.2">
      <c r="A203" s="1225" t="s">
        <v>912</v>
      </c>
      <c r="B203" s="1314">
        <v>45947</v>
      </c>
      <c r="C203" s="953">
        <v>218</v>
      </c>
      <c r="D203" s="339" t="str">
        <f>_xlfn.XLOOKUP(C203,Códigos!$A$11:$A$415,Códigos!$B$11:$B$415,"Verificar",0)</f>
        <v>NOMBRE 32</v>
      </c>
      <c r="E203" s="963" t="s">
        <v>429</v>
      </c>
      <c r="F203" s="952" t="s">
        <v>857</v>
      </c>
      <c r="G203" s="964">
        <v>290000</v>
      </c>
      <c r="H203" s="965" t="s">
        <v>399</v>
      </c>
      <c r="I203" s="966">
        <f t="shared" si="33"/>
        <v>290000</v>
      </c>
      <c r="J203" s="966">
        <v>0</v>
      </c>
      <c r="K203" s="966">
        <f t="shared" ref="K203:K232" si="37">+I203-J203</f>
        <v>290000</v>
      </c>
      <c r="L203" s="964">
        <v>250000</v>
      </c>
      <c r="M203" s="964">
        <v>40000</v>
      </c>
      <c r="N203" s="489">
        <f t="shared" si="34"/>
        <v>0</v>
      </c>
      <c r="O203" s="967">
        <f t="shared" si="35"/>
        <v>0</v>
      </c>
      <c r="P203" s="968" t="s">
        <v>1087</v>
      </c>
      <c r="Q203" s="969">
        <v>45947</v>
      </c>
      <c r="R203" s="970"/>
      <c r="S203" s="193"/>
    </row>
    <row r="204" spans="1:19" x14ac:dyDescent="0.2">
      <c r="A204" s="1225" t="s">
        <v>913</v>
      </c>
      <c r="B204" s="1314">
        <v>45947</v>
      </c>
      <c r="C204" s="953">
        <v>60</v>
      </c>
      <c r="D204" s="339" t="str">
        <f>_xlfn.XLOOKUP(C204,Códigos!$A$11:$A$415,Códigos!$B$11:$B$415,"Verificar",0)</f>
        <v>NOMBRE 39</v>
      </c>
      <c r="E204" s="963" t="s">
        <v>429</v>
      </c>
      <c r="F204" s="952" t="s">
        <v>857</v>
      </c>
      <c r="G204" s="964">
        <v>350000</v>
      </c>
      <c r="H204" s="965" t="s">
        <v>399</v>
      </c>
      <c r="I204" s="966">
        <f t="shared" si="33"/>
        <v>350000</v>
      </c>
      <c r="J204" s="966">
        <v>0</v>
      </c>
      <c r="K204" s="966">
        <f t="shared" si="37"/>
        <v>350000</v>
      </c>
      <c r="L204" s="964"/>
      <c r="M204" s="964"/>
      <c r="N204" s="489">
        <f t="shared" si="34"/>
        <v>350000</v>
      </c>
      <c r="O204" s="967">
        <f t="shared" si="35"/>
        <v>0</v>
      </c>
      <c r="P204" s="968"/>
      <c r="Q204" s="969"/>
      <c r="R204" s="970"/>
      <c r="S204" s="193"/>
    </row>
    <row r="205" spans="1:19" x14ac:dyDescent="0.2">
      <c r="A205" s="1225" t="s">
        <v>914</v>
      </c>
      <c r="B205" s="1314">
        <v>45947</v>
      </c>
      <c r="C205" s="953">
        <v>295</v>
      </c>
      <c r="D205" s="339" t="str">
        <f>_xlfn.XLOOKUP(C205,Códigos!$A$11:$A$415,Códigos!$B$11:$B$415,"Verificar",0)</f>
        <v>NOMBRE 77</v>
      </c>
      <c r="E205" s="963" t="s">
        <v>429</v>
      </c>
      <c r="F205" s="952" t="s">
        <v>857</v>
      </c>
      <c r="G205" s="964">
        <v>900000</v>
      </c>
      <c r="H205" s="965" t="s">
        <v>399</v>
      </c>
      <c r="I205" s="966">
        <f t="shared" si="33"/>
        <v>900000</v>
      </c>
      <c r="J205" s="966">
        <v>0</v>
      </c>
      <c r="K205" s="966">
        <f t="shared" si="37"/>
        <v>900000</v>
      </c>
      <c r="L205" s="964">
        <v>900000</v>
      </c>
      <c r="M205" s="964"/>
      <c r="N205" s="489">
        <f t="shared" si="34"/>
        <v>0</v>
      </c>
      <c r="O205" s="967">
        <f t="shared" si="35"/>
        <v>0</v>
      </c>
      <c r="P205" s="968" t="s">
        <v>1087</v>
      </c>
      <c r="Q205" s="969">
        <v>45959</v>
      </c>
      <c r="R205" s="970"/>
      <c r="S205" s="193"/>
    </row>
    <row r="206" spans="1:19" x14ac:dyDescent="0.2">
      <c r="A206" s="1225" t="s">
        <v>915</v>
      </c>
      <c r="B206" s="1314">
        <v>45947</v>
      </c>
      <c r="C206" s="953">
        <v>69</v>
      </c>
      <c r="D206" s="339" t="str">
        <f>_xlfn.XLOOKUP(C206,Códigos!$A$11:$A$415,Códigos!$B$11:$B$415,"Verificar",0)</f>
        <v>NOMBRE 51</v>
      </c>
      <c r="E206" s="963" t="s">
        <v>429</v>
      </c>
      <c r="F206" s="952" t="s">
        <v>857</v>
      </c>
      <c r="G206" s="964">
        <v>690000</v>
      </c>
      <c r="H206" s="965" t="s">
        <v>399</v>
      </c>
      <c r="I206" s="966">
        <f t="shared" si="33"/>
        <v>690000</v>
      </c>
      <c r="J206" s="966">
        <v>0</v>
      </c>
      <c r="K206" s="966">
        <f t="shared" si="37"/>
        <v>690000</v>
      </c>
      <c r="L206" s="964"/>
      <c r="M206" s="964"/>
      <c r="N206" s="489">
        <f t="shared" si="34"/>
        <v>690000</v>
      </c>
      <c r="O206" s="967">
        <f t="shared" si="35"/>
        <v>0</v>
      </c>
      <c r="P206" s="968"/>
      <c r="Q206" s="969"/>
      <c r="R206" s="970"/>
      <c r="S206" s="193"/>
    </row>
    <row r="207" spans="1:19" x14ac:dyDescent="0.2">
      <c r="A207" s="1225" t="s">
        <v>916</v>
      </c>
      <c r="B207" s="1314">
        <v>45947</v>
      </c>
      <c r="C207" s="953">
        <v>74</v>
      </c>
      <c r="D207" s="339" t="str">
        <f>_xlfn.XLOOKUP(C207,Códigos!$A$11:$A$415,Códigos!$B$11:$B$415,"Verificar",0)</f>
        <v>NOMBRE 56</v>
      </c>
      <c r="E207" s="963" t="s">
        <v>429</v>
      </c>
      <c r="F207" s="952" t="s">
        <v>857</v>
      </c>
      <c r="G207" s="964">
        <v>4450000</v>
      </c>
      <c r="H207" s="965" t="s">
        <v>399</v>
      </c>
      <c r="I207" s="966">
        <f t="shared" si="33"/>
        <v>4450000</v>
      </c>
      <c r="J207" s="966">
        <v>0</v>
      </c>
      <c r="K207" s="966">
        <f t="shared" si="37"/>
        <v>4450000</v>
      </c>
      <c r="L207" s="964"/>
      <c r="M207" s="964"/>
      <c r="N207" s="489">
        <f t="shared" si="34"/>
        <v>4450000</v>
      </c>
      <c r="O207" s="967">
        <f t="shared" si="35"/>
        <v>0</v>
      </c>
      <c r="P207" s="968"/>
      <c r="Q207" s="969"/>
      <c r="R207" s="970"/>
      <c r="S207" s="193"/>
    </row>
    <row r="208" spans="1:19" x14ac:dyDescent="0.2">
      <c r="A208" s="1225" t="s">
        <v>917</v>
      </c>
      <c r="B208" s="1314">
        <v>45947</v>
      </c>
      <c r="C208" s="953">
        <v>77</v>
      </c>
      <c r="D208" s="339" t="str">
        <f>_xlfn.XLOOKUP(C208,Códigos!$A$11:$A$415,Códigos!$B$11:$B$415,"Verificar",0)</f>
        <v>NOMBRE 62</v>
      </c>
      <c r="E208" s="963" t="s">
        <v>429</v>
      </c>
      <c r="F208" s="952" t="s">
        <v>857</v>
      </c>
      <c r="G208" s="964">
        <v>430000</v>
      </c>
      <c r="H208" s="965" t="s">
        <v>399</v>
      </c>
      <c r="I208" s="966">
        <f t="shared" si="33"/>
        <v>430000</v>
      </c>
      <c r="J208" s="966">
        <v>0</v>
      </c>
      <c r="K208" s="966">
        <f t="shared" si="37"/>
        <v>430000</v>
      </c>
      <c r="L208" s="964">
        <v>430000</v>
      </c>
      <c r="M208" s="964"/>
      <c r="N208" s="489">
        <f t="shared" si="34"/>
        <v>0</v>
      </c>
      <c r="O208" s="967">
        <f t="shared" si="35"/>
        <v>0</v>
      </c>
      <c r="P208" s="968" t="s">
        <v>1087</v>
      </c>
      <c r="Q208" s="969">
        <v>45957</v>
      </c>
      <c r="R208" s="970"/>
      <c r="S208" s="193"/>
    </row>
    <row r="209" spans="1:21" x14ac:dyDescent="0.2">
      <c r="A209" s="1225" t="s">
        <v>918</v>
      </c>
      <c r="B209" s="1314">
        <v>45947</v>
      </c>
      <c r="C209" s="953">
        <v>303</v>
      </c>
      <c r="D209" s="339" t="str">
        <f>_xlfn.XLOOKUP(C209,Códigos!$A$11:$A$415,Códigos!$B$11:$B$415,"Verificar",0)</f>
        <v>NOMBRE 66</v>
      </c>
      <c r="E209" s="963" t="s">
        <v>429</v>
      </c>
      <c r="F209" s="952" t="s">
        <v>857</v>
      </c>
      <c r="G209" s="964">
        <v>1370000</v>
      </c>
      <c r="H209" s="965" t="s">
        <v>399</v>
      </c>
      <c r="I209" s="966">
        <f t="shared" si="33"/>
        <v>1370000</v>
      </c>
      <c r="J209" s="966">
        <v>0</v>
      </c>
      <c r="K209" s="966">
        <f t="shared" si="37"/>
        <v>1370000</v>
      </c>
      <c r="L209" s="964"/>
      <c r="M209" s="964"/>
      <c r="N209" s="489">
        <f t="shared" si="34"/>
        <v>1370000</v>
      </c>
      <c r="O209" s="967">
        <f t="shared" si="35"/>
        <v>0</v>
      </c>
      <c r="P209" s="968"/>
      <c r="Q209" s="969"/>
      <c r="R209" s="970"/>
      <c r="S209" s="193"/>
    </row>
    <row r="210" spans="1:21" x14ac:dyDescent="0.2">
      <c r="A210" s="1225" t="s">
        <v>919</v>
      </c>
      <c r="B210" s="1314">
        <v>45947</v>
      </c>
      <c r="C210" s="953">
        <v>203</v>
      </c>
      <c r="D210" s="339" t="str">
        <f>_xlfn.XLOOKUP(C210,Códigos!$A$11:$A$415,Códigos!$B$11:$B$415,"Verificar",0)</f>
        <v>NOMBRE 344</v>
      </c>
      <c r="E210" s="963" t="s">
        <v>429</v>
      </c>
      <c r="F210" s="952" t="s">
        <v>857</v>
      </c>
      <c r="G210" s="964">
        <v>1840000</v>
      </c>
      <c r="H210" s="965" t="s">
        <v>399</v>
      </c>
      <c r="I210" s="966">
        <f t="shared" si="33"/>
        <v>1840000</v>
      </c>
      <c r="J210" s="966">
        <v>0</v>
      </c>
      <c r="K210" s="966">
        <f t="shared" si="37"/>
        <v>1840000</v>
      </c>
      <c r="L210" s="964"/>
      <c r="M210" s="964"/>
      <c r="N210" s="489">
        <f t="shared" si="34"/>
        <v>1840000</v>
      </c>
      <c r="O210" s="967">
        <f t="shared" si="35"/>
        <v>0</v>
      </c>
      <c r="P210" s="968"/>
      <c r="Q210" s="969"/>
      <c r="R210" s="970"/>
      <c r="S210" s="193"/>
    </row>
    <row r="211" spans="1:21" x14ac:dyDescent="0.2">
      <c r="A211" s="1225" t="s">
        <v>920</v>
      </c>
      <c r="B211" s="1314">
        <v>45947</v>
      </c>
      <c r="C211" s="953">
        <v>244</v>
      </c>
      <c r="D211" s="339" t="str">
        <f>_xlfn.XLOOKUP(C211,Códigos!$A$11:$A$415,Códigos!$B$11:$B$415,"Verificar",0)</f>
        <v>NOMBRE 98</v>
      </c>
      <c r="E211" s="963" t="s">
        <v>429</v>
      </c>
      <c r="F211" s="952" t="s">
        <v>857</v>
      </c>
      <c r="G211" s="964">
        <v>290000</v>
      </c>
      <c r="H211" s="965" t="s">
        <v>399</v>
      </c>
      <c r="I211" s="966">
        <f t="shared" si="33"/>
        <v>290000</v>
      </c>
      <c r="J211" s="966">
        <v>0</v>
      </c>
      <c r="K211" s="966">
        <f t="shared" si="37"/>
        <v>290000</v>
      </c>
      <c r="L211" s="964"/>
      <c r="M211" s="964"/>
      <c r="N211" s="489">
        <f t="shared" si="34"/>
        <v>290000</v>
      </c>
      <c r="O211" s="967">
        <f t="shared" si="35"/>
        <v>0</v>
      </c>
      <c r="P211" s="968"/>
      <c r="Q211" s="969"/>
      <c r="R211" s="970"/>
      <c r="S211" s="193"/>
    </row>
    <row r="212" spans="1:21" x14ac:dyDescent="0.2">
      <c r="A212" s="1225" t="s">
        <v>921</v>
      </c>
      <c r="B212" s="1314">
        <v>45947</v>
      </c>
      <c r="C212" s="953">
        <v>91</v>
      </c>
      <c r="D212" s="339" t="str">
        <f>_xlfn.XLOOKUP(C212,Códigos!$A$11:$A$415,Códigos!$B$11:$B$415,"Verificar",0)</f>
        <v>NOMBRE 100</v>
      </c>
      <c r="E212" s="963" t="s">
        <v>429</v>
      </c>
      <c r="F212" s="952" t="s">
        <v>857</v>
      </c>
      <c r="G212" s="964">
        <v>350000</v>
      </c>
      <c r="H212" s="965" t="s">
        <v>399</v>
      </c>
      <c r="I212" s="966">
        <f t="shared" si="33"/>
        <v>350000</v>
      </c>
      <c r="J212" s="966">
        <v>0</v>
      </c>
      <c r="K212" s="966">
        <f t="shared" si="37"/>
        <v>350000</v>
      </c>
      <c r="L212" s="964"/>
      <c r="M212" s="964"/>
      <c r="N212" s="489">
        <f t="shared" si="34"/>
        <v>350000</v>
      </c>
      <c r="O212" s="967">
        <f t="shared" si="35"/>
        <v>0</v>
      </c>
      <c r="P212" s="968"/>
      <c r="Q212" s="969"/>
      <c r="R212" s="970"/>
      <c r="S212" s="193"/>
    </row>
    <row r="213" spans="1:21" x14ac:dyDescent="0.2">
      <c r="A213" s="1225" t="s">
        <v>922</v>
      </c>
      <c r="B213" s="1314">
        <v>45947</v>
      </c>
      <c r="C213" s="953">
        <v>287</v>
      </c>
      <c r="D213" s="339" t="str">
        <f>_xlfn.XLOOKUP(C213,Códigos!$A$11:$A$415,Códigos!$B$11:$B$415,"Verificar",0)</f>
        <v>NOMBRE 109</v>
      </c>
      <c r="E213" s="963" t="s">
        <v>429</v>
      </c>
      <c r="F213" s="952" t="s">
        <v>857</v>
      </c>
      <c r="G213" s="964">
        <v>160000</v>
      </c>
      <c r="H213" s="965" t="s">
        <v>399</v>
      </c>
      <c r="I213" s="966">
        <f t="shared" ref="I213:I244" si="38">+G213</f>
        <v>160000</v>
      </c>
      <c r="J213" s="966">
        <v>0</v>
      </c>
      <c r="K213" s="966">
        <f t="shared" si="37"/>
        <v>160000</v>
      </c>
      <c r="L213" s="964"/>
      <c r="M213" s="964"/>
      <c r="N213" s="489">
        <f t="shared" ref="N213:N244" si="39">IF(+(K213-L213-M213)&lt;0,0,(K213-L213-M213))</f>
        <v>160000</v>
      </c>
      <c r="O213" s="967">
        <f t="shared" ref="O213:O244" si="40">IF(+(K213-L213-M213)&gt;0,0,(K213-L213-M213))</f>
        <v>0</v>
      </c>
      <c r="P213" s="968"/>
      <c r="Q213" s="969"/>
      <c r="R213" s="970"/>
      <c r="S213" s="193"/>
    </row>
    <row r="214" spans="1:21" x14ac:dyDescent="0.2">
      <c r="A214" s="1225" t="s">
        <v>923</v>
      </c>
      <c r="B214" s="1314">
        <v>45947</v>
      </c>
      <c r="C214" s="953">
        <v>101</v>
      </c>
      <c r="D214" s="339" t="str">
        <f>_xlfn.XLOOKUP(C214,Códigos!$A$11:$A$415,Códigos!$B$11:$B$415,"Verificar",0)</f>
        <v>NOMBRE 126</v>
      </c>
      <c r="E214" s="963" t="s">
        <v>429</v>
      </c>
      <c r="F214" s="952" t="s">
        <v>857</v>
      </c>
      <c r="G214" s="964">
        <v>1190000</v>
      </c>
      <c r="H214" s="965" t="s">
        <v>399</v>
      </c>
      <c r="I214" s="966">
        <f t="shared" si="38"/>
        <v>1190000</v>
      </c>
      <c r="J214" s="966">
        <v>0</v>
      </c>
      <c r="K214" s="966">
        <f t="shared" si="37"/>
        <v>1190000</v>
      </c>
      <c r="L214" s="964"/>
      <c r="M214" s="964"/>
      <c r="N214" s="489">
        <f t="shared" si="39"/>
        <v>1190000</v>
      </c>
      <c r="O214" s="967">
        <f t="shared" si="40"/>
        <v>0</v>
      </c>
      <c r="P214" s="968"/>
      <c r="Q214" s="969"/>
      <c r="R214" s="970"/>
      <c r="S214" s="193"/>
      <c r="U214" s="1">
        <f>1442733+2077257+1760312</f>
        <v>5280302</v>
      </c>
    </row>
    <row r="215" spans="1:21" x14ac:dyDescent="0.2">
      <c r="A215" s="1225" t="s">
        <v>924</v>
      </c>
      <c r="B215" s="1314">
        <v>45947</v>
      </c>
      <c r="C215" s="953">
        <v>111</v>
      </c>
      <c r="D215" s="339" t="str">
        <f>_xlfn.XLOOKUP(C215,Códigos!$A$11:$A$415,Códigos!$B$11:$B$415,"Verificar",0)</f>
        <v>NOMBRE 135</v>
      </c>
      <c r="E215" s="963" t="s">
        <v>429</v>
      </c>
      <c r="F215" s="952" t="s">
        <v>857</v>
      </c>
      <c r="G215" s="964">
        <v>2840000</v>
      </c>
      <c r="H215" s="965" t="s">
        <v>399</v>
      </c>
      <c r="I215" s="966">
        <f t="shared" si="38"/>
        <v>2840000</v>
      </c>
      <c r="J215" s="966">
        <v>0</v>
      </c>
      <c r="K215" s="966">
        <f t="shared" si="37"/>
        <v>2840000</v>
      </c>
      <c r="L215" s="964"/>
      <c r="M215" s="964"/>
      <c r="N215" s="489">
        <f t="shared" si="39"/>
        <v>2840000</v>
      </c>
      <c r="O215" s="967">
        <f t="shared" si="40"/>
        <v>0</v>
      </c>
      <c r="P215" s="968"/>
      <c r="Q215" s="969"/>
      <c r="R215" s="970"/>
      <c r="S215" s="193"/>
    </row>
    <row r="216" spans="1:21" x14ac:dyDescent="0.2">
      <c r="A216" s="1225" t="s">
        <v>925</v>
      </c>
      <c r="B216" s="1314">
        <v>45947</v>
      </c>
      <c r="C216" s="953">
        <v>343</v>
      </c>
      <c r="D216" s="339" t="str">
        <f>_xlfn.XLOOKUP(C216,Códigos!$A$11:$A$415,Códigos!$B$11:$B$415,"Verificar",0)</f>
        <v>NOMBRE 136</v>
      </c>
      <c r="E216" s="963" t="s">
        <v>429</v>
      </c>
      <c r="F216" s="952" t="s">
        <v>857</v>
      </c>
      <c r="G216" s="964">
        <v>260000</v>
      </c>
      <c r="H216" s="965" t="s">
        <v>399</v>
      </c>
      <c r="I216" s="966">
        <f t="shared" si="38"/>
        <v>260000</v>
      </c>
      <c r="J216" s="966">
        <v>0</v>
      </c>
      <c r="K216" s="966">
        <f t="shared" si="37"/>
        <v>260000</v>
      </c>
      <c r="L216" s="964"/>
      <c r="M216" s="964"/>
      <c r="N216" s="489">
        <f t="shared" si="39"/>
        <v>260000</v>
      </c>
      <c r="O216" s="967">
        <f t="shared" si="40"/>
        <v>0</v>
      </c>
      <c r="P216" s="968"/>
      <c r="Q216" s="969"/>
      <c r="R216" s="970"/>
      <c r="S216" s="193"/>
    </row>
    <row r="217" spans="1:21" x14ac:dyDescent="0.2">
      <c r="A217" s="1225" t="s">
        <v>926</v>
      </c>
      <c r="B217" s="1314">
        <v>45947</v>
      </c>
      <c r="C217" s="953">
        <v>116</v>
      </c>
      <c r="D217" s="339" t="str">
        <f>_xlfn.XLOOKUP(C217,Códigos!$A$11:$A$415,Códigos!$B$11:$B$415,"Verificar",0)</f>
        <v>NOMBRE 146</v>
      </c>
      <c r="E217" s="963" t="s">
        <v>429</v>
      </c>
      <c r="F217" s="952" t="s">
        <v>857</v>
      </c>
      <c r="G217" s="964">
        <v>450000</v>
      </c>
      <c r="H217" s="965" t="s">
        <v>399</v>
      </c>
      <c r="I217" s="966">
        <f t="shared" si="38"/>
        <v>450000</v>
      </c>
      <c r="J217" s="966">
        <v>0</v>
      </c>
      <c r="K217" s="966">
        <f t="shared" si="37"/>
        <v>450000</v>
      </c>
      <c r="L217" s="964"/>
      <c r="M217" s="964"/>
      <c r="N217" s="489">
        <f t="shared" si="39"/>
        <v>450000</v>
      </c>
      <c r="O217" s="967">
        <f t="shared" si="40"/>
        <v>0</v>
      </c>
      <c r="P217" s="968"/>
      <c r="Q217" s="969"/>
      <c r="R217" s="970"/>
      <c r="S217" s="193"/>
    </row>
    <row r="218" spans="1:21" x14ac:dyDescent="0.2">
      <c r="A218" s="1225" t="s">
        <v>927</v>
      </c>
      <c r="B218" s="1314">
        <v>45947</v>
      </c>
      <c r="C218" s="953">
        <v>242</v>
      </c>
      <c r="D218" s="339" t="str">
        <f>_xlfn.XLOOKUP(C218,Códigos!$A$11:$A$415,Códigos!$B$11:$B$415,"Verificar",0)</f>
        <v>NOMBRE 149</v>
      </c>
      <c r="E218" s="963" t="s">
        <v>429</v>
      </c>
      <c r="F218" s="952" t="s">
        <v>857</v>
      </c>
      <c r="G218" s="964">
        <v>450000</v>
      </c>
      <c r="H218" s="965" t="s">
        <v>399</v>
      </c>
      <c r="I218" s="966">
        <f t="shared" si="38"/>
        <v>450000</v>
      </c>
      <c r="J218" s="966">
        <v>0</v>
      </c>
      <c r="K218" s="966">
        <f t="shared" si="37"/>
        <v>450000</v>
      </c>
      <c r="L218" s="964">
        <v>450000</v>
      </c>
      <c r="M218" s="964"/>
      <c r="N218" s="489">
        <f t="shared" si="39"/>
        <v>0</v>
      </c>
      <c r="O218" s="967">
        <f t="shared" si="40"/>
        <v>0</v>
      </c>
      <c r="P218" s="968" t="s">
        <v>1087</v>
      </c>
      <c r="Q218" s="969">
        <v>45958</v>
      </c>
      <c r="R218" s="970"/>
      <c r="S218" s="193"/>
    </row>
    <row r="219" spans="1:21" x14ac:dyDescent="0.2">
      <c r="A219" s="1225" t="s">
        <v>928</v>
      </c>
      <c r="B219" s="1314">
        <v>45947</v>
      </c>
      <c r="C219" s="953">
        <v>275</v>
      </c>
      <c r="D219" s="339" t="str">
        <f>_xlfn.XLOOKUP(C219,Códigos!$A$11:$A$415,Códigos!$B$11:$B$415,"Verificar",0)</f>
        <v>NOMBRE 155</v>
      </c>
      <c r="E219" s="963" t="s">
        <v>429</v>
      </c>
      <c r="F219" s="952" t="s">
        <v>857</v>
      </c>
      <c r="G219" s="964">
        <v>350000</v>
      </c>
      <c r="H219" s="965" t="s">
        <v>399</v>
      </c>
      <c r="I219" s="966">
        <f t="shared" si="38"/>
        <v>350000</v>
      </c>
      <c r="J219" s="966">
        <v>0</v>
      </c>
      <c r="K219" s="966">
        <f t="shared" si="37"/>
        <v>350000</v>
      </c>
      <c r="L219" s="964"/>
      <c r="M219" s="964"/>
      <c r="N219" s="489">
        <f t="shared" si="39"/>
        <v>350000</v>
      </c>
      <c r="O219" s="967">
        <f t="shared" si="40"/>
        <v>0</v>
      </c>
      <c r="P219" s="968"/>
      <c r="Q219" s="969"/>
      <c r="R219" s="970"/>
      <c r="S219" s="193"/>
    </row>
    <row r="220" spans="1:21" x14ac:dyDescent="0.2">
      <c r="A220" s="1225" t="s">
        <v>929</v>
      </c>
      <c r="B220" s="1314">
        <v>45947</v>
      </c>
      <c r="C220" s="953">
        <v>123</v>
      </c>
      <c r="D220" s="339" t="str">
        <f>_xlfn.XLOOKUP(C220,Códigos!$A$11:$A$415,Códigos!$B$11:$B$415,"Verificar",0)</f>
        <v>NOMBRE 194</v>
      </c>
      <c r="E220" s="963" t="s">
        <v>429</v>
      </c>
      <c r="F220" s="952" t="s">
        <v>857</v>
      </c>
      <c r="G220" s="964">
        <v>6660000</v>
      </c>
      <c r="H220" s="965" t="s">
        <v>399</v>
      </c>
      <c r="I220" s="966">
        <f t="shared" si="38"/>
        <v>6660000</v>
      </c>
      <c r="J220" s="966">
        <v>0</v>
      </c>
      <c r="K220" s="966">
        <f t="shared" si="37"/>
        <v>6660000</v>
      </c>
      <c r="L220" s="964"/>
      <c r="M220" s="964"/>
      <c r="N220" s="489">
        <f t="shared" si="39"/>
        <v>6660000</v>
      </c>
      <c r="O220" s="967">
        <f t="shared" si="40"/>
        <v>0</v>
      </c>
      <c r="P220" s="968"/>
      <c r="Q220" s="969"/>
      <c r="R220" s="970"/>
      <c r="S220" s="193"/>
    </row>
    <row r="221" spans="1:21" x14ac:dyDescent="0.2">
      <c r="A221" s="1225" t="s">
        <v>930</v>
      </c>
      <c r="B221" s="1314">
        <v>45947</v>
      </c>
      <c r="C221" s="953">
        <v>345</v>
      </c>
      <c r="D221" s="339" t="str">
        <f>_xlfn.XLOOKUP(C221,Códigos!$A$11:$A$415,Códigos!$B$11:$B$415,"Verificar",0)</f>
        <v>NOMBRE 195</v>
      </c>
      <c r="E221" s="963" t="s">
        <v>429</v>
      </c>
      <c r="F221" s="952" t="s">
        <v>857</v>
      </c>
      <c r="G221" s="964">
        <v>460000</v>
      </c>
      <c r="H221" s="965" t="s">
        <v>399</v>
      </c>
      <c r="I221" s="966">
        <f t="shared" si="38"/>
        <v>460000</v>
      </c>
      <c r="J221" s="966">
        <v>0</v>
      </c>
      <c r="K221" s="966">
        <f t="shared" si="37"/>
        <v>460000</v>
      </c>
      <c r="L221" s="964"/>
      <c r="M221" s="964"/>
      <c r="N221" s="489">
        <f t="shared" si="39"/>
        <v>460000</v>
      </c>
      <c r="O221" s="967">
        <f t="shared" si="40"/>
        <v>0</v>
      </c>
      <c r="P221" s="968"/>
      <c r="Q221" s="969"/>
      <c r="R221" s="970"/>
      <c r="S221" s="193"/>
    </row>
    <row r="222" spans="1:21" x14ac:dyDescent="0.2">
      <c r="A222" s="1225" t="s">
        <v>931</v>
      </c>
      <c r="B222" s="1314">
        <v>45947</v>
      </c>
      <c r="C222" s="953">
        <v>350</v>
      </c>
      <c r="D222" s="339" t="str">
        <f>_xlfn.XLOOKUP(C222,Códigos!$A$11:$A$415,Códigos!$B$11:$B$415,"Verificar",0)</f>
        <v>NOMBRE 197</v>
      </c>
      <c r="E222" s="963" t="s">
        <v>429</v>
      </c>
      <c r="F222" s="952" t="s">
        <v>857</v>
      </c>
      <c r="G222" s="964">
        <v>1930000</v>
      </c>
      <c r="H222" s="965" t="s">
        <v>399</v>
      </c>
      <c r="I222" s="966">
        <f t="shared" si="38"/>
        <v>1930000</v>
      </c>
      <c r="J222" s="966">
        <v>0</v>
      </c>
      <c r="K222" s="966">
        <f t="shared" si="37"/>
        <v>1930000</v>
      </c>
      <c r="L222" s="964"/>
      <c r="M222" s="964"/>
      <c r="N222" s="489">
        <f t="shared" si="39"/>
        <v>1930000</v>
      </c>
      <c r="O222" s="967">
        <f t="shared" si="40"/>
        <v>0</v>
      </c>
      <c r="P222" s="968"/>
      <c r="Q222" s="969"/>
      <c r="R222" s="970"/>
      <c r="S222" s="193"/>
    </row>
    <row r="223" spans="1:21" x14ac:dyDescent="0.2">
      <c r="A223" s="1225" t="s">
        <v>932</v>
      </c>
      <c r="B223" s="1314">
        <v>45947</v>
      </c>
      <c r="C223" s="1036">
        <v>26</v>
      </c>
      <c r="D223" s="339" t="str">
        <f>_xlfn.XLOOKUP(C223,Códigos!$A$11:$A$415,Códigos!$B$11:$B$415,"Verificar",0)</f>
        <v>NOMBRE 201</v>
      </c>
      <c r="E223" s="963" t="s">
        <v>429</v>
      </c>
      <c r="F223" s="952" t="s">
        <v>857</v>
      </c>
      <c r="G223" s="964">
        <v>260000</v>
      </c>
      <c r="H223" s="965" t="s">
        <v>399</v>
      </c>
      <c r="I223" s="966">
        <f t="shared" si="38"/>
        <v>260000</v>
      </c>
      <c r="J223" s="966">
        <v>0</v>
      </c>
      <c r="K223" s="966">
        <f t="shared" si="37"/>
        <v>260000</v>
      </c>
      <c r="L223" s="964"/>
      <c r="M223" s="964"/>
      <c r="N223" s="489">
        <f t="shared" si="39"/>
        <v>260000</v>
      </c>
      <c r="O223" s="967">
        <f t="shared" si="40"/>
        <v>0</v>
      </c>
      <c r="P223" s="968"/>
      <c r="Q223" s="969"/>
      <c r="R223" s="970"/>
      <c r="S223" s="193"/>
    </row>
    <row r="224" spans="1:21" x14ac:dyDescent="0.2">
      <c r="A224" s="1225" t="s">
        <v>933</v>
      </c>
      <c r="B224" s="1314">
        <v>45947</v>
      </c>
      <c r="C224" s="953">
        <v>64</v>
      </c>
      <c r="D224" s="339" t="str">
        <f>_xlfn.XLOOKUP(C224,Códigos!$A$11:$A$415,Códigos!$B$11:$B$415,"Verificar",0)</f>
        <v>NOMBRE 202</v>
      </c>
      <c r="E224" s="963" t="s">
        <v>429</v>
      </c>
      <c r="F224" s="952" t="s">
        <v>857</v>
      </c>
      <c r="G224" s="964">
        <v>160000</v>
      </c>
      <c r="H224" s="965" t="s">
        <v>399</v>
      </c>
      <c r="I224" s="966">
        <f t="shared" si="38"/>
        <v>160000</v>
      </c>
      <c r="J224" s="966">
        <v>0</v>
      </c>
      <c r="K224" s="966">
        <f t="shared" si="37"/>
        <v>160000</v>
      </c>
      <c r="L224" s="964"/>
      <c r="M224" s="964"/>
      <c r="N224" s="489">
        <f t="shared" si="39"/>
        <v>160000</v>
      </c>
      <c r="O224" s="967">
        <f t="shared" si="40"/>
        <v>0</v>
      </c>
      <c r="P224" s="968"/>
      <c r="Q224" s="969"/>
      <c r="R224" s="970"/>
      <c r="S224" s="193"/>
    </row>
    <row r="225" spans="1:19" x14ac:dyDescent="0.2">
      <c r="A225" s="1225" t="s">
        <v>934</v>
      </c>
      <c r="B225" s="1314">
        <v>45947</v>
      </c>
      <c r="C225" s="953">
        <v>333</v>
      </c>
      <c r="D225" s="339" t="str">
        <f>_xlfn.XLOOKUP(C225,Códigos!$A$11:$A$415,Códigos!$B$11:$B$415,"Verificar",0)</f>
        <v>NOMBRE 203</v>
      </c>
      <c r="E225" s="963" t="s">
        <v>429</v>
      </c>
      <c r="F225" s="952" t="s">
        <v>857</v>
      </c>
      <c r="G225" s="964">
        <v>160000</v>
      </c>
      <c r="H225" s="965" t="s">
        <v>399</v>
      </c>
      <c r="I225" s="966">
        <f t="shared" si="38"/>
        <v>160000</v>
      </c>
      <c r="J225" s="966">
        <v>0</v>
      </c>
      <c r="K225" s="966">
        <f t="shared" si="37"/>
        <v>160000</v>
      </c>
      <c r="L225" s="964"/>
      <c r="M225" s="964"/>
      <c r="N225" s="489">
        <f t="shared" si="39"/>
        <v>160000</v>
      </c>
      <c r="O225" s="967">
        <f t="shared" si="40"/>
        <v>0</v>
      </c>
      <c r="P225" s="968"/>
      <c r="Q225" s="969"/>
      <c r="R225" s="970"/>
      <c r="S225" s="193"/>
    </row>
    <row r="226" spans="1:19" x14ac:dyDescent="0.2">
      <c r="A226" s="1225" t="s">
        <v>935</v>
      </c>
      <c r="B226" s="1314">
        <v>45947</v>
      </c>
      <c r="C226" s="953">
        <v>186</v>
      </c>
      <c r="D226" s="339" t="str">
        <f>_xlfn.XLOOKUP(C226,Códigos!$A$11:$A$415,Códigos!$B$11:$B$415,"Verificar",0)</f>
        <v>NOMBRE 205</v>
      </c>
      <c r="E226" s="963" t="s">
        <v>429</v>
      </c>
      <c r="F226" s="952" t="s">
        <v>857</v>
      </c>
      <c r="G226" s="964">
        <v>160000</v>
      </c>
      <c r="H226" s="965" t="s">
        <v>399</v>
      </c>
      <c r="I226" s="966">
        <f t="shared" si="38"/>
        <v>160000</v>
      </c>
      <c r="J226" s="966">
        <v>0</v>
      </c>
      <c r="K226" s="966">
        <f t="shared" si="37"/>
        <v>160000</v>
      </c>
      <c r="L226" s="964"/>
      <c r="M226" s="964"/>
      <c r="N226" s="489">
        <f t="shared" si="39"/>
        <v>160000</v>
      </c>
      <c r="O226" s="967">
        <f t="shared" si="40"/>
        <v>0</v>
      </c>
      <c r="P226" s="968"/>
      <c r="Q226" s="969"/>
      <c r="R226" s="970"/>
      <c r="S226" s="193"/>
    </row>
    <row r="227" spans="1:19" x14ac:dyDescent="0.2">
      <c r="A227" s="1225" t="s">
        <v>936</v>
      </c>
      <c r="B227" s="1314">
        <v>45947</v>
      </c>
      <c r="C227" s="953">
        <v>126</v>
      </c>
      <c r="D227" s="339" t="str">
        <f>_xlfn.XLOOKUP(C227,Códigos!$A$11:$A$415,Códigos!$B$11:$B$415,"Verificar",0)</f>
        <v>NOMBRE 206</v>
      </c>
      <c r="E227" s="963" t="s">
        <v>429</v>
      </c>
      <c r="F227" s="952" t="s">
        <v>857</v>
      </c>
      <c r="G227" s="964">
        <v>540000</v>
      </c>
      <c r="H227" s="965" t="s">
        <v>399</v>
      </c>
      <c r="I227" s="966">
        <f t="shared" si="38"/>
        <v>540000</v>
      </c>
      <c r="J227" s="966">
        <v>0</v>
      </c>
      <c r="K227" s="966">
        <f t="shared" si="37"/>
        <v>540000</v>
      </c>
      <c r="L227" s="964"/>
      <c r="M227" s="964"/>
      <c r="N227" s="489">
        <f t="shared" si="39"/>
        <v>540000</v>
      </c>
      <c r="O227" s="967">
        <f t="shared" si="40"/>
        <v>0</v>
      </c>
      <c r="P227" s="968"/>
      <c r="Q227" s="969"/>
      <c r="R227" s="970"/>
      <c r="S227" s="193"/>
    </row>
    <row r="228" spans="1:19" x14ac:dyDescent="0.2">
      <c r="A228" s="1225" t="s">
        <v>937</v>
      </c>
      <c r="B228" s="1314">
        <v>45947</v>
      </c>
      <c r="C228" s="953">
        <v>127</v>
      </c>
      <c r="D228" s="339" t="str">
        <f>_xlfn.XLOOKUP(C228,Códigos!$A$11:$A$415,Códigos!$B$11:$B$415,"Verificar",0)</f>
        <v>NOMBRE 208</v>
      </c>
      <c r="E228" s="963" t="s">
        <v>429</v>
      </c>
      <c r="F228" s="952" t="s">
        <v>857</v>
      </c>
      <c r="G228" s="964">
        <v>760000</v>
      </c>
      <c r="H228" s="965" t="s">
        <v>399</v>
      </c>
      <c r="I228" s="966">
        <f t="shared" si="38"/>
        <v>760000</v>
      </c>
      <c r="J228" s="966">
        <v>0</v>
      </c>
      <c r="K228" s="966">
        <f t="shared" si="37"/>
        <v>760000</v>
      </c>
      <c r="L228" s="964"/>
      <c r="M228" s="964"/>
      <c r="N228" s="489">
        <f t="shared" si="39"/>
        <v>760000</v>
      </c>
      <c r="O228" s="967">
        <f t="shared" si="40"/>
        <v>0</v>
      </c>
      <c r="P228" s="968"/>
      <c r="Q228" s="969"/>
      <c r="R228" s="970"/>
      <c r="S228" s="193"/>
    </row>
    <row r="229" spans="1:19" x14ac:dyDescent="0.2">
      <c r="A229" s="1225" t="s">
        <v>938</v>
      </c>
      <c r="B229" s="1314">
        <v>45947</v>
      </c>
      <c r="C229" s="953">
        <v>269</v>
      </c>
      <c r="D229" s="339" t="str">
        <f>_xlfn.XLOOKUP(C229,Códigos!$A$11:$A$415,Códigos!$B$11:$B$415,"Verificar",0)</f>
        <v>NOMBRE 218</v>
      </c>
      <c r="E229" s="963" t="s">
        <v>429</v>
      </c>
      <c r="F229" s="952" t="s">
        <v>857</v>
      </c>
      <c r="G229" s="964">
        <v>320000</v>
      </c>
      <c r="H229" s="965" t="s">
        <v>399</v>
      </c>
      <c r="I229" s="966">
        <f t="shared" si="38"/>
        <v>320000</v>
      </c>
      <c r="J229" s="966">
        <v>0</v>
      </c>
      <c r="K229" s="966">
        <f t="shared" si="37"/>
        <v>320000</v>
      </c>
      <c r="L229" s="964"/>
      <c r="M229" s="964"/>
      <c r="N229" s="489">
        <f t="shared" si="39"/>
        <v>320000</v>
      </c>
      <c r="O229" s="967">
        <f t="shared" si="40"/>
        <v>0</v>
      </c>
      <c r="P229" s="968"/>
      <c r="Q229" s="969"/>
      <c r="R229" s="970"/>
      <c r="S229" s="193"/>
    </row>
    <row r="230" spans="1:19" x14ac:dyDescent="0.2">
      <c r="A230" s="1225" t="s">
        <v>939</v>
      </c>
      <c r="B230" s="1314">
        <v>45947</v>
      </c>
      <c r="C230" s="953">
        <v>252</v>
      </c>
      <c r="D230" s="339" t="str">
        <f>_xlfn.XLOOKUP(C230,Códigos!$A$11:$A$415,Códigos!$B$11:$B$415,"Verificar",0)</f>
        <v>NOMBRE 219</v>
      </c>
      <c r="E230" s="963" t="s">
        <v>429</v>
      </c>
      <c r="F230" s="952" t="s">
        <v>857</v>
      </c>
      <c r="G230" s="964">
        <v>160000</v>
      </c>
      <c r="H230" s="965" t="s">
        <v>399</v>
      </c>
      <c r="I230" s="966">
        <f t="shared" si="38"/>
        <v>160000</v>
      </c>
      <c r="J230" s="966">
        <v>0</v>
      </c>
      <c r="K230" s="966">
        <f t="shared" si="37"/>
        <v>160000</v>
      </c>
      <c r="L230" s="964">
        <v>160000</v>
      </c>
      <c r="M230" s="964"/>
      <c r="N230" s="489">
        <f t="shared" si="39"/>
        <v>0</v>
      </c>
      <c r="O230" s="967">
        <f t="shared" si="40"/>
        <v>0</v>
      </c>
      <c r="P230" s="968" t="s">
        <v>1645</v>
      </c>
      <c r="Q230" s="969">
        <v>45951</v>
      </c>
      <c r="R230" s="970"/>
      <c r="S230" s="193"/>
    </row>
    <row r="231" spans="1:19" x14ac:dyDescent="0.2">
      <c r="A231" s="1225" t="s">
        <v>940</v>
      </c>
      <c r="B231" s="1314">
        <v>45947</v>
      </c>
      <c r="C231" s="953">
        <v>137</v>
      </c>
      <c r="D231" s="339" t="str">
        <f>_xlfn.XLOOKUP(C231,Códigos!$A$11:$A$415,Códigos!$B$11:$B$415,"Verificar",0)</f>
        <v>NOMBRE 223</v>
      </c>
      <c r="E231" s="963" t="s">
        <v>429</v>
      </c>
      <c r="F231" s="952" t="s">
        <v>857</v>
      </c>
      <c r="G231" s="964">
        <v>490000</v>
      </c>
      <c r="H231" s="965" t="s">
        <v>399</v>
      </c>
      <c r="I231" s="966">
        <f t="shared" si="38"/>
        <v>490000</v>
      </c>
      <c r="J231" s="966">
        <v>0</v>
      </c>
      <c r="K231" s="966">
        <f t="shared" si="37"/>
        <v>490000</v>
      </c>
      <c r="L231" s="964"/>
      <c r="M231" s="964"/>
      <c r="N231" s="489">
        <f t="shared" si="39"/>
        <v>490000</v>
      </c>
      <c r="O231" s="967">
        <f t="shared" si="40"/>
        <v>0</v>
      </c>
      <c r="P231" s="968"/>
      <c r="Q231" s="969"/>
      <c r="R231" s="970"/>
      <c r="S231" s="193"/>
    </row>
    <row r="232" spans="1:19" x14ac:dyDescent="0.2">
      <c r="A232" s="1225" t="s">
        <v>941</v>
      </c>
      <c r="B232" s="1314">
        <v>45947</v>
      </c>
      <c r="C232" s="953">
        <v>267</v>
      </c>
      <c r="D232" s="339" t="str">
        <f>_xlfn.XLOOKUP(C232,Códigos!$A$11:$A$415,Códigos!$B$11:$B$415,"Verificar",0)</f>
        <v>NOMBRE 224</v>
      </c>
      <c r="E232" s="963" t="s">
        <v>429</v>
      </c>
      <c r="F232" s="952" t="s">
        <v>857</v>
      </c>
      <c r="G232" s="964">
        <v>310000</v>
      </c>
      <c r="H232" s="965" t="s">
        <v>399</v>
      </c>
      <c r="I232" s="966">
        <f t="shared" si="38"/>
        <v>310000</v>
      </c>
      <c r="J232" s="966">
        <v>0</v>
      </c>
      <c r="K232" s="966">
        <f t="shared" si="37"/>
        <v>310000</v>
      </c>
      <c r="L232" s="964"/>
      <c r="M232" s="964"/>
      <c r="N232" s="489">
        <f t="shared" si="39"/>
        <v>310000</v>
      </c>
      <c r="O232" s="967">
        <f t="shared" si="40"/>
        <v>0</v>
      </c>
      <c r="P232" s="968"/>
      <c r="Q232" s="969"/>
      <c r="R232" s="970"/>
      <c r="S232" s="193"/>
    </row>
    <row r="233" spans="1:19" x14ac:dyDescent="0.2">
      <c r="A233" s="1225" t="s">
        <v>942</v>
      </c>
      <c r="B233" s="1314">
        <v>45947</v>
      </c>
      <c r="C233" s="1345">
        <v>89</v>
      </c>
      <c r="D233" s="339" t="str">
        <f>_xlfn.XLOOKUP(C233,Códigos!$A$11:$A$415,Códigos!$B$11:$B$415,"Verificar",0)</f>
        <v>NOMBRE 226</v>
      </c>
      <c r="E233" s="963" t="s">
        <v>429</v>
      </c>
      <c r="F233" s="952" t="s">
        <v>857</v>
      </c>
      <c r="G233" s="964">
        <v>400000</v>
      </c>
      <c r="H233" s="965" t="s">
        <v>399</v>
      </c>
      <c r="I233" s="966">
        <f t="shared" si="38"/>
        <v>400000</v>
      </c>
      <c r="J233" s="966">
        <v>0</v>
      </c>
      <c r="K233" s="966">
        <f t="shared" ref="K233:K264" si="41">+I233-J233</f>
        <v>400000</v>
      </c>
      <c r="L233" s="1348">
        <v>400000</v>
      </c>
      <c r="M233" s="964"/>
      <c r="N233" s="489">
        <f t="shared" si="39"/>
        <v>0</v>
      </c>
      <c r="O233" s="967">
        <f t="shared" si="40"/>
        <v>0</v>
      </c>
      <c r="P233" s="1346" t="s">
        <v>1087</v>
      </c>
      <c r="Q233" s="1347">
        <v>45953</v>
      </c>
      <c r="R233" s="970"/>
      <c r="S233" s="193"/>
    </row>
    <row r="234" spans="1:19" x14ac:dyDescent="0.2">
      <c r="A234" s="1225" t="s">
        <v>943</v>
      </c>
      <c r="B234" s="1314">
        <v>45947</v>
      </c>
      <c r="C234" s="953">
        <v>141</v>
      </c>
      <c r="D234" s="339" t="str">
        <f>_xlfn.XLOOKUP(C234,Códigos!$A$11:$A$415,Códigos!$B$11:$B$415,"Verificar",0)</f>
        <v>NOMBRE 228</v>
      </c>
      <c r="E234" s="963" t="s">
        <v>429</v>
      </c>
      <c r="F234" s="952" t="s">
        <v>857</v>
      </c>
      <c r="G234" s="964">
        <v>160000</v>
      </c>
      <c r="H234" s="965" t="s">
        <v>399</v>
      </c>
      <c r="I234" s="966">
        <f t="shared" si="38"/>
        <v>160000</v>
      </c>
      <c r="J234" s="966">
        <v>0</v>
      </c>
      <c r="K234" s="966">
        <f t="shared" si="41"/>
        <v>160000</v>
      </c>
      <c r="L234" s="964"/>
      <c r="M234" s="964"/>
      <c r="N234" s="489">
        <f t="shared" si="39"/>
        <v>160000</v>
      </c>
      <c r="O234" s="967">
        <f t="shared" si="40"/>
        <v>0</v>
      </c>
      <c r="P234" s="968"/>
      <c r="Q234" s="969"/>
      <c r="R234" s="970"/>
      <c r="S234" s="193"/>
    </row>
    <row r="235" spans="1:19" x14ac:dyDescent="0.2">
      <c r="A235" s="1225" t="s">
        <v>944</v>
      </c>
      <c r="B235" s="1314">
        <v>45947</v>
      </c>
      <c r="C235" s="953">
        <v>138</v>
      </c>
      <c r="D235" s="339" t="str">
        <f>_xlfn.XLOOKUP(C235,Códigos!$A$11:$A$415,Códigos!$B$11:$B$415,"Verificar",0)</f>
        <v>NOMBRE 229</v>
      </c>
      <c r="E235" s="963" t="s">
        <v>429</v>
      </c>
      <c r="F235" s="952" t="s">
        <v>857</v>
      </c>
      <c r="G235" s="964">
        <v>450000</v>
      </c>
      <c r="H235" s="965" t="s">
        <v>399</v>
      </c>
      <c r="I235" s="966">
        <f t="shared" si="38"/>
        <v>450000</v>
      </c>
      <c r="J235" s="966">
        <v>0</v>
      </c>
      <c r="K235" s="966">
        <f t="shared" si="41"/>
        <v>450000</v>
      </c>
      <c r="L235" s="964"/>
      <c r="M235" s="964"/>
      <c r="N235" s="489">
        <f t="shared" si="39"/>
        <v>450000</v>
      </c>
      <c r="O235" s="967">
        <f t="shared" si="40"/>
        <v>0</v>
      </c>
      <c r="P235" s="968"/>
      <c r="Q235" s="969"/>
      <c r="R235" s="970"/>
      <c r="S235" s="193"/>
    </row>
    <row r="236" spans="1:19" x14ac:dyDescent="0.2">
      <c r="A236" s="1225" t="s">
        <v>945</v>
      </c>
      <c r="B236" s="1314">
        <v>45947</v>
      </c>
      <c r="C236" s="953">
        <v>139</v>
      </c>
      <c r="D236" s="339" t="str">
        <f>_xlfn.XLOOKUP(C236,Códigos!$A$11:$A$415,Códigos!$B$11:$B$415,"Verificar",0)</f>
        <v>NOMBRE 230</v>
      </c>
      <c r="E236" s="963" t="s">
        <v>429</v>
      </c>
      <c r="F236" s="952" t="s">
        <v>857</v>
      </c>
      <c r="G236" s="964">
        <v>450000</v>
      </c>
      <c r="H236" s="965" t="s">
        <v>399</v>
      </c>
      <c r="I236" s="966">
        <f t="shared" si="38"/>
        <v>450000</v>
      </c>
      <c r="J236" s="966">
        <v>0</v>
      </c>
      <c r="K236" s="966">
        <f t="shared" si="41"/>
        <v>450000</v>
      </c>
      <c r="L236" s="964"/>
      <c r="M236" s="964"/>
      <c r="N236" s="489">
        <f t="shared" si="39"/>
        <v>450000</v>
      </c>
      <c r="O236" s="967">
        <f t="shared" si="40"/>
        <v>0</v>
      </c>
      <c r="P236" s="968"/>
      <c r="Q236" s="969"/>
      <c r="R236" s="970"/>
      <c r="S236" s="193"/>
    </row>
    <row r="237" spans="1:19" x14ac:dyDescent="0.2">
      <c r="A237" s="1225" t="s">
        <v>946</v>
      </c>
      <c r="B237" s="1314">
        <v>45947</v>
      </c>
      <c r="C237" s="953">
        <v>140</v>
      </c>
      <c r="D237" s="339" t="str">
        <f>_xlfn.XLOOKUP(C237,Códigos!$A$11:$A$415,Códigos!$B$11:$B$415,"Verificar",0)</f>
        <v>NOMBRE 231</v>
      </c>
      <c r="E237" s="963" t="s">
        <v>429</v>
      </c>
      <c r="F237" s="952" t="s">
        <v>857</v>
      </c>
      <c r="G237" s="964">
        <v>450000</v>
      </c>
      <c r="H237" s="965" t="s">
        <v>399</v>
      </c>
      <c r="I237" s="966">
        <f t="shared" si="38"/>
        <v>450000</v>
      </c>
      <c r="J237" s="966">
        <v>0</v>
      </c>
      <c r="K237" s="966">
        <f t="shared" si="41"/>
        <v>450000</v>
      </c>
      <c r="L237" s="964"/>
      <c r="M237" s="964"/>
      <c r="N237" s="489">
        <f t="shared" si="39"/>
        <v>450000</v>
      </c>
      <c r="O237" s="967">
        <f t="shared" si="40"/>
        <v>0</v>
      </c>
      <c r="P237" s="968"/>
      <c r="Q237" s="969"/>
      <c r="R237" s="970"/>
      <c r="S237" s="193"/>
    </row>
    <row r="238" spans="1:19" x14ac:dyDescent="0.2">
      <c r="A238" s="1225" t="s">
        <v>947</v>
      </c>
      <c r="B238" s="1314">
        <v>45947</v>
      </c>
      <c r="C238" s="953">
        <v>195</v>
      </c>
      <c r="D238" s="339" t="str">
        <f>_xlfn.XLOOKUP(C238,Códigos!$A$11:$A$415,Códigos!$B$11:$B$415,"Verificar",0)</f>
        <v>NOMBRE 233</v>
      </c>
      <c r="E238" s="963" t="s">
        <v>429</v>
      </c>
      <c r="F238" s="952" t="s">
        <v>857</v>
      </c>
      <c r="G238" s="964">
        <v>470000</v>
      </c>
      <c r="H238" s="965" t="s">
        <v>399</v>
      </c>
      <c r="I238" s="966">
        <f t="shared" si="38"/>
        <v>470000</v>
      </c>
      <c r="J238" s="966">
        <v>0</v>
      </c>
      <c r="K238" s="966">
        <f t="shared" si="41"/>
        <v>470000</v>
      </c>
      <c r="L238" s="964"/>
      <c r="M238" s="964"/>
      <c r="N238" s="489">
        <f t="shared" si="39"/>
        <v>470000</v>
      </c>
      <c r="O238" s="967">
        <f t="shared" si="40"/>
        <v>0</v>
      </c>
      <c r="P238" s="968"/>
      <c r="Q238" s="969"/>
      <c r="R238" s="970"/>
      <c r="S238" s="193"/>
    </row>
    <row r="239" spans="1:19" x14ac:dyDescent="0.2">
      <c r="A239" s="1225" t="s">
        <v>948</v>
      </c>
      <c r="B239" s="1314">
        <v>45947</v>
      </c>
      <c r="C239" s="953">
        <v>170</v>
      </c>
      <c r="D239" s="339" t="str">
        <f>_xlfn.XLOOKUP(C239,Códigos!$A$11:$A$415,Códigos!$B$11:$B$415,"Verificar",0)</f>
        <v>NOMBRE 234</v>
      </c>
      <c r="E239" s="963" t="s">
        <v>429</v>
      </c>
      <c r="F239" s="952" t="s">
        <v>857</v>
      </c>
      <c r="G239" s="964">
        <v>390000</v>
      </c>
      <c r="H239" s="965" t="s">
        <v>399</v>
      </c>
      <c r="I239" s="966">
        <f t="shared" si="38"/>
        <v>390000</v>
      </c>
      <c r="J239" s="966">
        <v>0</v>
      </c>
      <c r="K239" s="966">
        <f t="shared" si="41"/>
        <v>390000</v>
      </c>
      <c r="L239" s="964"/>
      <c r="M239" s="964"/>
      <c r="N239" s="489">
        <f t="shared" si="39"/>
        <v>390000</v>
      </c>
      <c r="O239" s="967">
        <f t="shared" si="40"/>
        <v>0</v>
      </c>
      <c r="P239" s="968"/>
      <c r="Q239" s="969"/>
      <c r="R239" s="970"/>
      <c r="S239" s="193"/>
    </row>
    <row r="240" spans="1:19" x14ac:dyDescent="0.2">
      <c r="A240" s="1225" t="s">
        <v>949</v>
      </c>
      <c r="B240" s="1314">
        <v>45947</v>
      </c>
      <c r="C240" s="953">
        <v>142</v>
      </c>
      <c r="D240" s="339" t="str">
        <f>_xlfn.XLOOKUP(C240,Códigos!$A$11:$A$415,Códigos!$B$11:$B$415,"Verificar",0)</f>
        <v>NOMBRE 235</v>
      </c>
      <c r="E240" s="963" t="s">
        <v>429</v>
      </c>
      <c r="F240" s="952" t="s">
        <v>857</v>
      </c>
      <c r="G240" s="964">
        <v>950000</v>
      </c>
      <c r="H240" s="965" t="s">
        <v>399</v>
      </c>
      <c r="I240" s="966">
        <f t="shared" si="38"/>
        <v>950000</v>
      </c>
      <c r="J240" s="966">
        <v>0</v>
      </c>
      <c r="K240" s="966">
        <f t="shared" si="41"/>
        <v>950000</v>
      </c>
      <c r="L240" s="964"/>
      <c r="M240" s="964"/>
      <c r="N240" s="489">
        <f t="shared" si="39"/>
        <v>950000</v>
      </c>
      <c r="O240" s="967">
        <f t="shared" si="40"/>
        <v>0</v>
      </c>
      <c r="P240" s="968"/>
      <c r="Q240" s="969"/>
      <c r="R240" s="970"/>
      <c r="S240" s="193"/>
    </row>
    <row r="241" spans="1:19" x14ac:dyDescent="0.2">
      <c r="A241" s="1225" t="s">
        <v>950</v>
      </c>
      <c r="B241" s="1314">
        <v>45947</v>
      </c>
      <c r="C241" s="953">
        <v>144</v>
      </c>
      <c r="D241" s="339" t="str">
        <f>_xlfn.XLOOKUP(C241,Códigos!$A$11:$A$415,Códigos!$B$11:$B$415,"Verificar",0)</f>
        <v>NOMBRE 237</v>
      </c>
      <c r="E241" s="963" t="s">
        <v>429</v>
      </c>
      <c r="F241" s="952" t="s">
        <v>857</v>
      </c>
      <c r="G241" s="964">
        <v>450000</v>
      </c>
      <c r="H241" s="965" t="s">
        <v>399</v>
      </c>
      <c r="I241" s="966">
        <f t="shared" si="38"/>
        <v>450000</v>
      </c>
      <c r="J241" s="966">
        <v>0</v>
      </c>
      <c r="K241" s="966">
        <f t="shared" si="41"/>
        <v>450000</v>
      </c>
      <c r="L241" s="964"/>
      <c r="M241" s="964"/>
      <c r="N241" s="489">
        <f t="shared" si="39"/>
        <v>450000</v>
      </c>
      <c r="O241" s="967">
        <f t="shared" si="40"/>
        <v>0</v>
      </c>
      <c r="P241" s="968"/>
      <c r="Q241" s="969"/>
      <c r="R241" s="970"/>
      <c r="S241" s="193"/>
    </row>
    <row r="242" spans="1:19" x14ac:dyDescent="0.2">
      <c r="A242" s="1225" t="s">
        <v>951</v>
      </c>
      <c r="B242" s="1314">
        <v>45947</v>
      </c>
      <c r="C242" s="953">
        <v>152</v>
      </c>
      <c r="D242" s="339" t="str">
        <f>_xlfn.XLOOKUP(C242,Códigos!$A$11:$A$415,Códigos!$B$11:$B$415,"Verificar",0)</f>
        <v>NOMBRE 249</v>
      </c>
      <c r="E242" s="963" t="s">
        <v>429</v>
      </c>
      <c r="F242" s="952" t="s">
        <v>857</v>
      </c>
      <c r="G242" s="964">
        <v>3040000</v>
      </c>
      <c r="H242" s="965" t="s">
        <v>399</v>
      </c>
      <c r="I242" s="966">
        <f t="shared" si="38"/>
        <v>3040000</v>
      </c>
      <c r="J242" s="966">
        <v>0</v>
      </c>
      <c r="K242" s="966">
        <f t="shared" si="41"/>
        <v>3040000</v>
      </c>
      <c r="L242" s="964"/>
      <c r="M242" s="964"/>
      <c r="N242" s="489">
        <f t="shared" si="39"/>
        <v>3040000</v>
      </c>
      <c r="O242" s="967">
        <f t="shared" si="40"/>
        <v>0</v>
      </c>
      <c r="P242" s="968"/>
      <c r="Q242" s="969"/>
      <c r="R242" s="970"/>
      <c r="S242" s="193"/>
    </row>
    <row r="243" spans="1:19" x14ac:dyDescent="0.2">
      <c r="A243" s="1225" t="s">
        <v>952</v>
      </c>
      <c r="B243" s="1314">
        <v>45947</v>
      </c>
      <c r="C243" s="953">
        <v>265</v>
      </c>
      <c r="D243" s="339" t="str">
        <f>_xlfn.XLOOKUP(C243,Códigos!$A$11:$A$415,Códigos!$B$11:$B$415,"Verificar",0)</f>
        <v>NOMBRE 246</v>
      </c>
      <c r="E243" s="963" t="s">
        <v>429</v>
      </c>
      <c r="F243" s="952" t="s">
        <v>857</v>
      </c>
      <c r="G243" s="964">
        <v>370000</v>
      </c>
      <c r="H243" s="965" t="s">
        <v>399</v>
      </c>
      <c r="I243" s="966">
        <f t="shared" si="38"/>
        <v>370000</v>
      </c>
      <c r="J243" s="966">
        <v>0</v>
      </c>
      <c r="K243" s="966">
        <f t="shared" si="41"/>
        <v>370000</v>
      </c>
      <c r="L243" s="964"/>
      <c r="M243" s="964"/>
      <c r="N243" s="489">
        <f t="shared" si="39"/>
        <v>370000</v>
      </c>
      <c r="O243" s="967">
        <f t="shared" si="40"/>
        <v>0</v>
      </c>
      <c r="P243" s="968"/>
      <c r="Q243" s="969"/>
      <c r="R243" s="970"/>
      <c r="S243" s="193"/>
    </row>
    <row r="244" spans="1:19" x14ac:dyDescent="0.2">
      <c r="A244" s="1225" t="s">
        <v>953</v>
      </c>
      <c r="B244" s="1314">
        <v>45947</v>
      </c>
      <c r="C244" s="953">
        <v>151</v>
      </c>
      <c r="D244" s="339" t="str">
        <f>_xlfn.XLOOKUP(C244,Códigos!$A$11:$A$415,Códigos!$B$11:$B$415,"Verificar",0)</f>
        <v>NOMBRE 248</v>
      </c>
      <c r="E244" s="963" t="s">
        <v>429</v>
      </c>
      <c r="F244" s="952" t="s">
        <v>857</v>
      </c>
      <c r="G244" s="964">
        <v>3670000</v>
      </c>
      <c r="H244" s="965" t="s">
        <v>399</v>
      </c>
      <c r="I244" s="966">
        <f t="shared" si="38"/>
        <v>3670000</v>
      </c>
      <c r="J244" s="966">
        <v>0</v>
      </c>
      <c r="K244" s="966">
        <f t="shared" si="41"/>
        <v>3670000</v>
      </c>
      <c r="L244" s="964"/>
      <c r="M244" s="964"/>
      <c r="N244" s="489">
        <f t="shared" si="39"/>
        <v>3670000</v>
      </c>
      <c r="O244" s="967">
        <f t="shared" si="40"/>
        <v>0</v>
      </c>
      <c r="P244" s="968"/>
      <c r="Q244" s="969"/>
      <c r="R244" s="970"/>
      <c r="S244" s="193"/>
    </row>
    <row r="245" spans="1:19" x14ac:dyDescent="0.2">
      <c r="A245" s="1225" t="s">
        <v>954</v>
      </c>
      <c r="B245" s="1314">
        <v>45947</v>
      </c>
      <c r="C245" s="953">
        <v>94</v>
      </c>
      <c r="D245" s="339" t="str">
        <f>_xlfn.XLOOKUP(C245,Códigos!$A$11:$A$415,Códigos!$B$11:$B$415,"Verificar",0)</f>
        <v>NOMBRE 250</v>
      </c>
      <c r="E245" s="963" t="s">
        <v>429</v>
      </c>
      <c r="F245" s="952" t="s">
        <v>857</v>
      </c>
      <c r="G245" s="964">
        <v>370000</v>
      </c>
      <c r="H245" s="965" t="s">
        <v>399</v>
      </c>
      <c r="I245" s="966">
        <f t="shared" ref="I245:I276" si="42">+G245</f>
        <v>370000</v>
      </c>
      <c r="J245" s="966">
        <v>0</v>
      </c>
      <c r="K245" s="966">
        <f t="shared" si="41"/>
        <v>370000</v>
      </c>
      <c r="L245" s="964"/>
      <c r="M245" s="964"/>
      <c r="N245" s="489">
        <f t="shared" ref="N245:N276" si="43">IF(+(K245-L245-M245)&lt;0,0,(K245-L245-M245))</f>
        <v>370000</v>
      </c>
      <c r="O245" s="967">
        <f t="shared" ref="O245:O276" si="44">IF(+(K245-L245-M245)&gt;0,0,(K245-L245-M245))</f>
        <v>0</v>
      </c>
      <c r="P245" s="968"/>
      <c r="Q245" s="969"/>
      <c r="R245" s="970"/>
      <c r="S245" s="193"/>
    </row>
    <row r="246" spans="1:19" x14ac:dyDescent="0.2">
      <c r="A246" s="1225" t="s">
        <v>955</v>
      </c>
      <c r="B246" s="1314">
        <v>45947</v>
      </c>
      <c r="C246" s="953">
        <v>277</v>
      </c>
      <c r="D246" s="339" t="str">
        <f>_xlfn.XLOOKUP(C246,Códigos!$A$11:$A$415,Códigos!$B$11:$B$415,"Verificar",0)</f>
        <v>NOMBRE 257</v>
      </c>
      <c r="E246" s="963" t="s">
        <v>429</v>
      </c>
      <c r="F246" s="952" t="s">
        <v>857</v>
      </c>
      <c r="G246" s="964">
        <v>310000</v>
      </c>
      <c r="H246" s="965" t="s">
        <v>399</v>
      </c>
      <c r="I246" s="966">
        <f t="shared" si="42"/>
        <v>310000</v>
      </c>
      <c r="J246" s="966">
        <v>0</v>
      </c>
      <c r="K246" s="966">
        <f t="shared" si="41"/>
        <v>310000</v>
      </c>
      <c r="L246" s="964"/>
      <c r="M246" s="964"/>
      <c r="N246" s="489">
        <f t="shared" si="43"/>
        <v>310000</v>
      </c>
      <c r="O246" s="967">
        <f t="shared" si="44"/>
        <v>0</v>
      </c>
      <c r="P246" s="968"/>
      <c r="Q246" s="969"/>
      <c r="R246" s="970"/>
      <c r="S246" s="193"/>
    </row>
    <row r="247" spans="1:19" x14ac:dyDescent="0.2">
      <c r="A247" s="1225" t="s">
        <v>956</v>
      </c>
      <c r="B247" s="1314">
        <v>45947</v>
      </c>
      <c r="C247" s="953">
        <v>308</v>
      </c>
      <c r="D247" s="339" t="str">
        <f>_xlfn.XLOOKUP(C247,Códigos!$A$11:$A$415,Códigos!$B$11:$B$415,"Verificar",0)</f>
        <v>NOMBRE 277</v>
      </c>
      <c r="E247" s="963" t="s">
        <v>429</v>
      </c>
      <c r="F247" s="952" t="s">
        <v>857</v>
      </c>
      <c r="G247" s="964">
        <v>230000</v>
      </c>
      <c r="H247" s="965" t="s">
        <v>399</v>
      </c>
      <c r="I247" s="966">
        <f t="shared" si="42"/>
        <v>230000</v>
      </c>
      <c r="J247" s="966">
        <v>0</v>
      </c>
      <c r="K247" s="966">
        <f t="shared" si="41"/>
        <v>230000</v>
      </c>
      <c r="L247" s="964"/>
      <c r="M247" s="964"/>
      <c r="N247" s="489">
        <f t="shared" si="43"/>
        <v>230000</v>
      </c>
      <c r="O247" s="967">
        <f t="shared" si="44"/>
        <v>0</v>
      </c>
      <c r="P247" s="968"/>
      <c r="Q247" s="969"/>
      <c r="R247" s="970"/>
      <c r="S247" s="193"/>
    </row>
    <row r="248" spans="1:19" x14ac:dyDescent="0.2">
      <c r="A248" s="1225" t="s">
        <v>957</v>
      </c>
      <c r="B248" s="1314">
        <v>45947</v>
      </c>
      <c r="C248" s="953">
        <v>237</v>
      </c>
      <c r="D248" s="339" t="str">
        <f>_xlfn.XLOOKUP(C248,Códigos!$A$11:$A$415,Códigos!$B$11:$B$415,"Verificar",0)</f>
        <v>NOMBRE 282</v>
      </c>
      <c r="E248" s="963" t="s">
        <v>429</v>
      </c>
      <c r="F248" s="952" t="s">
        <v>857</v>
      </c>
      <c r="G248" s="964">
        <v>290000</v>
      </c>
      <c r="H248" s="965" t="s">
        <v>399</v>
      </c>
      <c r="I248" s="966">
        <f t="shared" si="42"/>
        <v>290000</v>
      </c>
      <c r="J248" s="966">
        <v>0</v>
      </c>
      <c r="K248" s="966">
        <f t="shared" si="41"/>
        <v>290000</v>
      </c>
      <c r="L248" s="964"/>
      <c r="M248" s="964"/>
      <c r="N248" s="489">
        <f t="shared" si="43"/>
        <v>290000</v>
      </c>
      <c r="O248" s="967">
        <f t="shared" si="44"/>
        <v>0</v>
      </c>
      <c r="P248" s="968"/>
      <c r="Q248" s="969"/>
      <c r="R248" s="970"/>
      <c r="S248" s="193"/>
    </row>
    <row r="249" spans="1:19" x14ac:dyDescent="0.2">
      <c r="A249" s="1242" t="s">
        <v>958</v>
      </c>
      <c r="B249" s="1314">
        <v>45947</v>
      </c>
      <c r="C249" s="953">
        <v>298</v>
      </c>
      <c r="D249" s="339" t="str">
        <f>_xlfn.XLOOKUP(C249,Códigos!$A$11:$A$415,Códigos!$B$11:$B$415,"Verificar",0)</f>
        <v>NOMBRE 283</v>
      </c>
      <c r="E249" s="963" t="s">
        <v>429</v>
      </c>
      <c r="F249" s="952" t="s">
        <v>857</v>
      </c>
      <c r="G249" s="964">
        <v>520000</v>
      </c>
      <c r="H249" s="965" t="s">
        <v>399</v>
      </c>
      <c r="I249" s="966">
        <f t="shared" si="42"/>
        <v>520000</v>
      </c>
      <c r="J249" s="966">
        <v>0</v>
      </c>
      <c r="K249" s="966">
        <f t="shared" si="41"/>
        <v>520000</v>
      </c>
      <c r="L249" s="964"/>
      <c r="M249" s="964"/>
      <c r="N249" s="489">
        <f t="shared" si="43"/>
        <v>520000</v>
      </c>
      <c r="O249" s="967">
        <f t="shared" si="44"/>
        <v>0</v>
      </c>
      <c r="P249" s="968"/>
      <c r="Q249" s="969"/>
      <c r="R249" s="970"/>
      <c r="S249" s="193"/>
    </row>
    <row r="250" spans="1:19" x14ac:dyDescent="0.2">
      <c r="A250" s="1242" t="s">
        <v>959</v>
      </c>
      <c r="B250" s="1314">
        <v>45947</v>
      </c>
      <c r="C250" s="953">
        <v>238</v>
      </c>
      <c r="D250" s="339" t="str">
        <f>_xlfn.XLOOKUP(C250,Códigos!$A$11:$A$415,Códigos!$B$11:$B$415,"Verificar",0)</f>
        <v>NOMBRE 291</v>
      </c>
      <c r="E250" s="963" t="s">
        <v>429</v>
      </c>
      <c r="F250" s="952" t="s">
        <v>857</v>
      </c>
      <c r="G250" s="964"/>
      <c r="H250" s="965" t="s">
        <v>399</v>
      </c>
      <c r="I250" s="966">
        <f t="shared" si="42"/>
        <v>0</v>
      </c>
      <c r="J250" s="966">
        <v>0</v>
      </c>
      <c r="K250" s="966">
        <f t="shared" si="41"/>
        <v>0</v>
      </c>
      <c r="L250" s="964"/>
      <c r="M250" s="964"/>
      <c r="N250" s="489">
        <f t="shared" si="43"/>
        <v>0</v>
      </c>
      <c r="O250" s="967">
        <f t="shared" si="44"/>
        <v>0</v>
      </c>
      <c r="P250" s="968"/>
      <c r="Q250" s="969"/>
      <c r="R250" s="970"/>
      <c r="S250" s="193"/>
    </row>
    <row r="251" spans="1:19" x14ac:dyDescent="0.2">
      <c r="A251" s="1242" t="s">
        <v>960</v>
      </c>
      <c r="B251" s="1314">
        <v>45947</v>
      </c>
      <c r="C251" s="953">
        <v>282</v>
      </c>
      <c r="D251" s="339" t="str">
        <f>_xlfn.XLOOKUP(C251,Códigos!$A$11:$A$415,Códigos!$B$11:$B$415,"Verificar",0)</f>
        <v>NOMBRE 292</v>
      </c>
      <c r="E251" s="963" t="s">
        <v>429</v>
      </c>
      <c r="F251" s="952" t="s">
        <v>857</v>
      </c>
      <c r="G251" s="964"/>
      <c r="H251" s="965" t="s">
        <v>399</v>
      </c>
      <c r="I251" s="966">
        <f t="shared" si="42"/>
        <v>0</v>
      </c>
      <c r="J251" s="966">
        <v>0</v>
      </c>
      <c r="K251" s="966">
        <f t="shared" si="41"/>
        <v>0</v>
      </c>
      <c r="L251" s="964"/>
      <c r="M251" s="964"/>
      <c r="N251" s="489">
        <f t="shared" si="43"/>
        <v>0</v>
      </c>
      <c r="O251" s="967">
        <f t="shared" si="44"/>
        <v>0</v>
      </c>
      <c r="P251" s="968"/>
      <c r="Q251" s="969"/>
      <c r="R251" s="970"/>
      <c r="S251" s="193"/>
    </row>
    <row r="252" spans="1:19" x14ac:dyDescent="0.2">
      <c r="A252" s="1242" t="s">
        <v>961</v>
      </c>
      <c r="B252" s="1314">
        <v>45947</v>
      </c>
      <c r="C252" s="953">
        <v>173</v>
      </c>
      <c r="D252" s="339" t="str">
        <f>_xlfn.XLOOKUP(C252,Códigos!$A$11:$A$415,Códigos!$B$11:$B$415,"Verificar",0)</f>
        <v>NOMBRE 294</v>
      </c>
      <c r="E252" s="963" t="s">
        <v>429</v>
      </c>
      <c r="F252" s="952" t="s">
        <v>857</v>
      </c>
      <c r="G252" s="964">
        <v>3930000</v>
      </c>
      <c r="H252" s="965" t="s">
        <v>399</v>
      </c>
      <c r="I252" s="966">
        <f t="shared" si="42"/>
        <v>3930000</v>
      </c>
      <c r="J252" s="966">
        <v>0</v>
      </c>
      <c r="K252" s="966">
        <f t="shared" si="41"/>
        <v>3930000</v>
      </c>
      <c r="L252" s="964"/>
      <c r="M252" s="964"/>
      <c r="N252" s="489">
        <f t="shared" si="43"/>
        <v>3930000</v>
      </c>
      <c r="O252" s="967">
        <f t="shared" si="44"/>
        <v>0</v>
      </c>
      <c r="P252" s="968"/>
      <c r="Q252" s="969"/>
      <c r="R252" s="970"/>
      <c r="S252" s="193"/>
    </row>
    <row r="253" spans="1:19" x14ac:dyDescent="0.2">
      <c r="A253" s="1242" t="s">
        <v>962</v>
      </c>
      <c r="B253" s="1314">
        <v>45947</v>
      </c>
      <c r="C253" s="953">
        <v>243</v>
      </c>
      <c r="D253" s="339" t="str">
        <f>_xlfn.XLOOKUP(C253,Códigos!$A$11:$A$415,Códigos!$B$11:$B$415,"Verificar",0)</f>
        <v>NOMBRE 298</v>
      </c>
      <c r="E253" s="963" t="s">
        <v>429</v>
      </c>
      <c r="F253" s="952" t="s">
        <v>857</v>
      </c>
      <c r="G253" s="964">
        <v>450000</v>
      </c>
      <c r="H253" s="965" t="s">
        <v>399</v>
      </c>
      <c r="I253" s="966">
        <f t="shared" si="42"/>
        <v>450000</v>
      </c>
      <c r="J253" s="966">
        <v>0</v>
      </c>
      <c r="K253" s="966">
        <f t="shared" si="41"/>
        <v>450000</v>
      </c>
      <c r="L253" s="964"/>
      <c r="M253" s="964"/>
      <c r="N253" s="489">
        <f t="shared" si="43"/>
        <v>450000</v>
      </c>
      <c r="O253" s="967">
        <f t="shared" si="44"/>
        <v>0</v>
      </c>
      <c r="P253" s="968"/>
      <c r="Q253" s="969"/>
      <c r="R253" s="970"/>
      <c r="S253" s="193"/>
    </row>
    <row r="254" spans="1:19" x14ac:dyDescent="0.2">
      <c r="A254" s="1242" t="s">
        <v>963</v>
      </c>
      <c r="B254" s="1314">
        <v>45947</v>
      </c>
      <c r="C254" s="953">
        <v>234</v>
      </c>
      <c r="D254" s="339" t="str">
        <f>_xlfn.XLOOKUP(C254,Códigos!$A$11:$A$415,Códigos!$B$11:$B$415,"Verificar",0)</f>
        <v>NOMBRE 303</v>
      </c>
      <c r="E254" s="963" t="s">
        <v>429</v>
      </c>
      <c r="F254" s="952" t="s">
        <v>857</v>
      </c>
      <c r="G254" s="964">
        <v>310000</v>
      </c>
      <c r="H254" s="965" t="s">
        <v>399</v>
      </c>
      <c r="I254" s="966">
        <f t="shared" si="42"/>
        <v>310000</v>
      </c>
      <c r="J254" s="966">
        <v>0</v>
      </c>
      <c r="K254" s="966">
        <f t="shared" si="41"/>
        <v>310000</v>
      </c>
      <c r="L254" s="964"/>
      <c r="M254" s="964"/>
      <c r="N254" s="489">
        <f t="shared" si="43"/>
        <v>310000</v>
      </c>
      <c r="O254" s="967">
        <f t="shared" si="44"/>
        <v>0</v>
      </c>
      <c r="P254" s="968"/>
      <c r="Q254" s="969"/>
      <c r="R254" s="970"/>
      <c r="S254" s="193"/>
    </row>
    <row r="255" spans="1:19" x14ac:dyDescent="0.2">
      <c r="A255" s="1242" t="s">
        <v>964</v>
      </c>
      <c r="B255" s="1314">
        <v>45947</v>
      </c>
      <c r="C255" s="953">
        <v>266</v>
      </c>
      <c r="D255" s="339" t="str">
        <f>_xlfn.XLOOKUP(C255,Códigos!$A$11:$A$415,Códigos!$B$11:$B$415,"Verificar",0)</f>
        <v>NOMBRE 304</v>
      </c>
      <c r="E255" s="963" t="s">
        <v>429</v>
      </c>
      <c r="F255" s="952" t="s">
        <v>857</v>
      </c>
      <c r="G255" s="964">
        <v>310000</v>
      </c>
      <c r="H255" s="965" t="s">
        <v>399</v>
      </c>
      <c r="I255" s="966">
        <f t="shared" si="42"/>
        <v>310000</v>
      </c>
      <c r="J255" s="966">
        <v>0</v>
      </c>
      <c r="K255" s="966">
        <f t="shared" si="41"/>
        <v>310000</v>
      </c>
      <c r="L255" s="964"/>
      <c r="M255" s="964"/>
      <c r="N255" s="489">
        <f t="shared" si="43"/>
        <v>310000</v>
      </c>
      <c r="O255" s="967">
        <f t="shared" si="44"/>
        <v>0</v>
      </c>
      <c r="P255" s="968"/>
      <c r="Q255" s="969"/>
      <c r="R255" s="970"/>
      <c r="S255" s="193"/>
    </row>
    <row r="256" spans="1:19" x14ac:dyDescent="0.2">
      <c r="A256" s="1242" t="s">
        <v>965</v>
      </c>
      <c r="B256" s="1314">
        <v>45950</v>
      </c>
      <c r="C256" s="953">
        <v>264</v>
      </c>
      <c r="D256" s="339" t="str">
        <f>_xlfn.XLOOKUP(C256,Códigos!$A$11:$A$415,Códigos!$B$11:$B$415,"Verificar",0)</f>
        <v>NOMBRE 312</v>
      </c>
      <c r="E256" s="963" t="s">
        <v>429</v>
      </c>
      <c r="F256" s="952" t="s">
        <v>857</v>
      </c>
      <c r="G256" s="964">
        <v>350000</v>
      </c>
      <c r="H256" s="965" t="s">
        <v>399</v>
      </c>
      <c r="I256" s="966">
        <f t="shared" si="42"/>
        <v>350000</v>
      </c>
      <c r="J256" s="966">
        <v>0</v>
      </c>
      <c r="K256" s="966">
        <f t="shared" si="41"/>
        <v>350000</v>
      </c>
      <c r="L256" s="964"/>
      <c r="M256" s="964"/>
      <c r="N256" s="489">
        <f t="shared" si="43"/>
        <v>350000</v>
      </c>
      <c r="O256" s="967">
        <f t="shared" si="44"/>
        <v>0</v>
      </c>
      <c r="P256" s="968"/>
      <c r="Q256" s="969"/>
      <c r="R256" s="970"/>
      <c r="S256" s="193"/>
    </row>
    <row r="257" spans="1:19" x14ac:dyDescent="0.2">
      <c r="A257" s="1242" t="s">
        <v>966</v>
      </c>
      <c r="B257" s="1314">
        <v>45950</v>
      </c>
      <c r="C257" s="953">
        <v>281</v>
      </c>
      <c r="D257" s="339" t="str">
        <f>_xlfn.XLOOKUP(C257,Códigos!$A$11:$A$415,Códigos!$B$11:$B$415,"Verificar",0)</f>
        <v>NOMBRE 313</v>
      </c>
      <c r="E257" s="963" t="s">
        <v>429</v>
      </c>
      <c r="F257" s="952" t="s">
        <v>857</v>
      </c>
      <c r="G257" s="964">
        <v>260000</v>
      </c>
      <c r="H257" s="965" t="s">
        <v>399</v>
      </c>
      <c r="I257" s="966">
        <f t="shared" si="42"/>
        <v>260000</v>
      </c>
      <c r="J257" s="966">
        <v>0</v>
      </c>
      <c r="K257" s="966">
        <f t="shared" si="41"/>
        <v>260000</v>
      </c>
      <c r="L257" s="964"/>
      <c r="M257" s="964"/>
      <c r="N257" s="489">
        <f t="shared" si="43"/>
        <v>260000</v>
      </c>
      <c r="O257" s="967">
        <f t="shared" si="44"/>
        <v>0</v>
      </c>
      <c r="P257" s="968"/>
      <c r="Q257" s="969"/>
      <c r="R257" s="970"/>
      <c r="S257" s="193"/>
    </row>
    <row r="258" spans="1:19" x14ac:dyDescent="0.2">
      <c r="A258" s="1225" t="s">
        <v>967</v>
      </c>
      <c r="B258" s="1314">
        <v>45950</v>
      </c>
      <c r="C258" s="953">
        <v>180</v>
      </c>
      <c r="D258" s="339" t="str">
        <f>_xlfn.XLOOKUP(C258,Códigos!$A$11:$A$415,Códigos!$B$11:$B$415,"Verificar",0)</f>
        <v>NOMBRE 314</v>
      </c>
      <c r="E258" s="963" t="s">
        <v>429</v>
      </c>
      <c r="F258" s="952" t="s">
        <v>857</v>
      </c>
      <c r="G258" s="964">
        <v>1480000</v>
      </c>
      <c r="H258" s="965" t="s">
        <v>399</v>
      </c>
      <c r="I258" s="966">
        <f t="shared" si="42"/>
        <v>1480000</v>
      </c>
      <c r="J258" s="966">
        <v>0</v>
      </c>
      <c r="K258" s="966">
        <f t="shared" si="41"/>
        <v>1480000</v>
      </c>
      <c r="L258" s="964"/>
      <c r="M258" s="964"/>
      <c r="N258" s="489">
        <f t="shared" si="43"/>
        <v>1480000</v>
      </c>
      <c r="O258" s="967">
        <f t="shared" si="44"/>
        <v>0</v>
      </c>
      <c r="P258" s="968"/>
      <c r="Q258" s="969"/>
      <c r="R258" s="970"/>
      <c r="S258" s="193"/>
    </row>
    <row r="259" spans="1:19" x14ac:dyDescent="0.2">
      <c r="A259" s="1225" t="s">
        <v>968</v>
      </c>
      <c r="B259" s="1314">
        <v>45950</v>
      </c>
      <c r="C259" s="953">
        <v>311</v>
      </c>
      <c r="D259" s="339" t="str">
        <f>_xlfn.XLOOKUP(C259,Códigos!$A$11:$A$415,Códigos!$B$11:$B$415,"Verificar",0)</f>
        <v>NOMBRE 315</v>
      </c>
      <c r="E259" s="963" t="s">
        <v>429</v>
      </c>
      <c r="F259" s="952" t="s">
        <v>857</v>
      </c>
      <c r="G259" s="964">
        <v>1000000</v>
      </c>
      <c r="H259" s="965" t="s">
        <v>399</v>
      </c>
      <c r="I259" s="966">
        <f t="shared" si="42"/>
        <v>1000000</v>
      </c>
      <c r="J259" s="966">
        <v>0</v>
      </c>
      <c r="K259" s="966">
        <f t="shared" si="41"/>
        <v>1000000</v>
      </c>
      <c r="L259" s="964"/>
      <c r="M259" s="964"/>
      <c r="N259" s="489">
        <f t="shared" si="43"/>
        <v>1000000</v>
      </c>
      <c r="O259" s="967">
        <f t="shared" si="44"/>
        <v>0</v>
      </c>
      <c r="P259" s="968"/>
      <c r="Q259" s="969"/>
      <c r="R259" s="970"/>
      <c r="S259" s="193"/>
    </row>
    <row r="260" spans="1:19" x14ac:dyDescent="0.2">
      <c r="A260" s="1225" t="s">
        <v>969</v>
      </c>
      <c r="B260" s="1314">
        <v>45950</v>
      </c>
      <c r="C260" s="953">
        <v>182</v>
      </c>
      <c r="D260" s="339" t="str">
        <f>_xlfn.XLOOKUP(C260,Códigos!$A$11:$A$415,Códigos!$B$11:$B$415,"Verificar",0)</f>
        <v>NOMBRE 317</v>
      </c>
      <c r="E260" s="963" t="s">
        <v>429</v>
      </c>
      <c r="F260" s="952" t="s">
        <v>857</v>
      </c>
      <c r="G260" s="964">
        <v>1370000</v>
      </c>
      <c r="H260" s="965" t="s">
        <v>399</v>
      </c>
      <c r="I260" s="966">
        <f t="shared" si="42"/>
        <v>1370000</v>
      </c>
      <c r="J260" s="966">
        <v>0</v>
      </c>
      <c r="K260" s="966">
        <f t="shared" si="41"/>
        <v>1370000</v>
      </c>
      <c r="L260" s="964"/>
      <c r="M260" s="964"/>
      <c r="N260" s="489">
        <f t="shared" si="43"/>
        <v>1370000</v>
      </c>
      <c r="O260" s="967">
        <f t="shared" si="44"/>
        <v>0</v>
      </c>
      <c r="P260" s="968"/>
      <c r="Q260" s="969"/>
      <c r="R260" s="970"/>
      <c r="S260" s="193"/>
    </row>
    <row r="261" spans="1:19" x14ac:dyDescent="0.2">
      <c r="A261" s="1225" t="s">
        <v>970</v>
      </c>
      <c r="B261" s="1314">
        <v>45950</v>
      </c>
      <c r="C261" s="953">
        <v>183</v>
      </c>
      <c r="D261" s="339" t="str">
        <f>_xlfn.XLOOKUP(C261,Códigos!$A$11:$A$415,Códigos!$B$11:$B$415,"Verificar",0)</f>
        <v>NOMBRE 319</v>
      </c>
      <c r="E261" s="963" t="s">
        <v>429</v>
      </c>
      <c r="F261" s="952" t="s">
        <v>857</v>
      </c>
      <c r="G261" s="964">
        <v>230000</v>
      </c>
      <c r="H261" s="965" t="s">
        <v>399</v>
      </c>
      <c r="I261" s="966">
        <f t="shared" si="42"/>
        <v>230000</v>
      </c>
      <c r="J261" s="966">
        <v>0</v>
      </c>
      <c r="K261" s="966">
        <f t="shared" si="41"/>
        <v>230000</v>
      </c>
      <c r="L261" s="964"/>
      <c r="M261" s="964"/>
      <c r="N261" s="489">
        <f t="shared" si="43"/>
        <v>230000</v>
      </c>
      <c r="O261" s="967">
        <f t="shared" si="44"/>
        <v>0</v>
      </c>
      <c r="P261" s="968"/>
      <c r="Q261" s="969"/>
      <c r="R261" s="970"/>
      <c r="S261" s="193"/>
    </row>
    <row r="262" spans="1:19" x14ac:dyDescent="0.2">
      <c r="A262" s="1225" t="s">
        <v>971</v>
      </c>
      <c r="B262" s="1314">
        <v>45950</v>
      </c>
      <c r="C262" s="953">
        <v>201</v>
      </c>
      <c r="D262" s="339" t="str">
        <f>_xlfn.XLOOKUP(C262,Códigos!$A$11:$A$415,Códigos!$B$11:$B$415,"Verificar",0)</f>
        <v>NOMBRE 321</v>
      </c>
      <c r="E262" s="963" t="s">
        <v>429</v>
      </c>
      <c r="F262" s="952" t="s">
        <v>857</v>
      </c>
      <c r="G262" s="964">
        <v>120000</v>
      </c>
      <c r="H262" s="965" t="s">
        <v>399</v>
      </c>
      <c r="I262" s="966">
        <f t="shared" si="42"/>
        <v>120000</v>
      </c>
      <c r="J262" s="966">
        <v>0</v>
      </c>
      <c r="K262" s="966">
        <f t="shared" si="41"/>
        <v>120000</v>
      </c>
      <c r="L262" s="964"/>
      <c r="M262" s="964"/>
      <c r="N262" s="489">
        <f t="shared" si="43"/>
        <v>120000</v>
      </c>
      <c r="O262" s="967">
        <f t="shared" si="44"/>
        <v>0</v>
      </c>
      <c r="P262" s="968"/>
      <c r="Q262" s="969"/>
      <c r="R262" s="970"/>
      <c r="S262" s="193"/>
    </row>
    <row r="263" spans="1:19" x14ac:dyDescent="0.2">
      <c r="A263" s="1225" t="s">
        <v>972</v>
      </c>
      <c r="B263" s="1314">
        <v>45950</v>
      </c>
      <c r="C263" s="953">
        <v>205</v>
      </c>
      <c r="D263" s="339" t="str">
        <f>_xlfn.XLOOKUP(C263,Códigos!$A$11:$A$415,Códigos!$B$11:$B$415,"Verificar",0)</f>
        <v>NOMBRE 322</v>
      </c>
      <c r="E263" s="963" t="s">
        <v>429</v>
      </c>
      <c r="F263" s="952" t="s">
        <v>857</v>
      </c>
      <c r="G263" s="964">
        <v>120000</v>
      </c>
      <c r="H263" s="965" t="s">
        <v>399</v>
      </c>
      <c r="I263" s="966">
        <f t="shared" si="42"/>
        <v>120000</v>
      </c>
      <c r="J263" s="966">
        <v>0</v>
      </c>
      <c r="K263" s="966">
        <f t="shared" si="41"/>
        <v>120000</v>
      </c>
      <c r="L263" s="964"/>
      <c r="M263" s="964"/>
      <c r="N263" s="489">
        <f t="shared" ref="N263" si="45">IF(+(K263-L263-M263)&lt;0,0,(K263-L263-M263))</f>
        <v>120000</v>
      </c>
      <c r="O263" s="967">
        <f t="shared" ref="O263" si="46">IF(+(K263-L263-M263)&gt;0,0,(K263-L263-M263))</f>
        <v>0</v>
      </c>
      <c r="P263" s="968"/>
      <c r="Q263" s="969"/>
      <c r="R263" s="970"/>
      <c r="S263" s="193"/>
    </row>
    <row r="264" spans="1:19" x14ac:dyDescent="0.2">
      <c r="A264" s="1225" t="s">
        <v>973</v>
      </c>
      <c r="B264" s="1314">
        <v>45950</v>
      </c>
      <c r="C264" s="953">
        <v>188</v>
      </c>
      <c r="D264" s="339" t="str">
        <f>_xlfn.XLOOKUP(C264,Códigos!$A$11:$A$415,Códigos!$B$11:$B$415,"Verificar",0)</f>
        <v>NOMBRE 327</v>
      </c>
      <c r="E264" s="963" t="s">
        <v>429</v>
      </c>
      <c r="F264" s="952" t="s">
        <v>857</v>
      </c>
      <c r="G264" s="964">
        <v>450000</v>
      </c>
      <c r="H264" s="965" t="s">
        <v>399</v>
      </c>
      <c r="I264" s="966">
        <f t="shared" si="42"/>
        <v>450000</v>
      </c>
      <c r="J264" s="966">
        <v>0</v>
      </c>
      <c r="K264" s="966">
        <f t="shared" si="41"/>
        <v>450000</v>
      </c>
      <c r="L264" s="964"/>
      <c r="M264" s="964"/>
      <c r="N264" s="489">
        <f t="shared" si="43"/>
        <v>450000</v>
      </c>
      <c r="O264" s="967">
        <f t="shared" si="44"/>
        <v>0</v>
      </c>
      <c r="P264" s="968"/>
      <c r="Q264" s="969"/>
      <c r="R264" s="970"/>
      <c r="S264" s="193"/>
    </row>
    <row r="265" spans="1:19" x14ac:dyDescent="0.2">
      <c r="A265" s="1225" t="s">
        <v>974</v>
      </c>
      <c r="B265" s="1314">
        <v>45950</v>
      </c>
      <c r="C265" s="953">
        <v>192</v>
      </c>
      <c r="D265" s="339" t="str">
        <f>_xlfn.XLOOKUP(C265,Códigos!$A$11:$A$415,Códigos!$B$11:$B$415,"Verificar",0)</f>
        <v>NOMBRE 331</v>
      </c>
      <c r="E265" s="963" t="s">
        <v>429</v>
      </c>
      <c r="F265" s="952" t="s">
        <v>857</v>
      </c>
      <c r="G265" s="964">
        <v>730000</v>
      </c>
      <c r="H265" s="965" t="s">
        <v>399</v>
      </c>
      <c r="I265" s="966">
        <f t="shared" si="42"/>
        <v>730000</v>
      </c>
      <c r="J265" s="966">
        <v>0</v>
      </c>
      <c r="K265" s="966">
        <f t="shared" ref="K265:K290" si="47">+I265-J265</f>
        <v>730000</v>
      </c>
      <c r="L265" s="964"/>
      <c r="M265" s="964"/>
      <c r="N265" s="489">
        <f t="shared" si="43"/>
        <v>730000</v>
      </c>
      <c r="O265" s="967">
        <f t="shared" si="44"/>
        <v>0</v>
      </c>
      <c r="P265" s="968"/>
      <c r="Q265" s="969"/>
      <c r="R265" s="970"/>
      <c r="S265" s="193"/>
    </row>
    <row r="266" spans="1:19" x14ac:dyDescent="0.2">
      <c r="A266" s="1225" t="s">
        <v>975</v>
      </c>
      <c r="B266" s="1314">
        <v>45953</v>
      </c>
      <c r="C266" s="953">
        <v>41</v>
      </c>
      <c r="D266" s="339" t="str">
        <f>_xlfn.XLOOKUP(C266,Códigos!$A$11:$A$415,Códigos!$B$11:$B$415,"Verificar",0)</f>
        <v>NOMBRE 1</v>
      </c>
      <c r="E266" s="963" t="s">
        <v>429</v>
      </c>
      <c r="F266" s="952" t="s">
        <v>857</v>
      </c>
      <c r="G266" s="964">
        <v>360000</v>
      </c>
      <c r="H266" s="965" t="s">
        <v>399</v>
      </c>
      <c r="I266" s="966">
        <f t="shared" si="42"/>
        <v>360000</v>
      </c>
      <c r="J266" s="966">
        <v>0</v>
      </c>
      <c r="K266" s="966">
        <f t="shared" si="47"/>
        <v>360000</v>
      </c>
      <c r="L266" s="964"/>
      <c r="M266" s="964"/>
      <c r="N266" s="489">
        <f t="shared" si="43"/>
        <v>360000</v>
      </c>
      <c r="O266" s="967">
        <f t="shared" si="44"/>
        <v>0</v>
      </c>
      <c r="P266" s="968"/>
      <c r="Q266" s="969"/>
      <c r="R266" s="970"/>
      <c r="S266" s="193"/>
    </row>
    <row r="267" spans="1:19" x14ac:dyDescent="0.2">
      <c r="A267" s="1225" t="s">
        <v>976</v>
      </c>
      <c r="B267" s="1314">
        <v>45953</v>
      </c>
      <c r="C267" s="953">
        <v>300</v>
      </c>
      <c r="D267" s="339" t="str">
        <f>_xlfn.XLOOKUP(C267,Códigos!$A$11:$A$415,Códigos!$B$11:$B$415,"Verificar",0)</f>
        <v>NOMBRE 3</v>
      </c>
      <c r="E267" s="963" t="s">
        <v>429</v>
      </c>
      <c r="F267" s="952" t="s">
        <v>857</v>
      </c>
      <c r="G267" s="964">
        <v>470000</v>
      </c>
      <c r="H267" s="965" t="s">
        <v>399</v>
      </c>
      <c r="I267" s="966">
        <f t="shared" si="42"/>
        <v>470000</v>
      </c>
      <c r="J267" s="966">
        <v>0</v>
      </c>
      <c r="K267" s="966">
        <f t="shared" si="47"/>
        <v>470000</v>
      </c>
      <c r="L267" s="964"/>
      <c r="M267" s="964"/>
      <c r="N267" s="489">
        <f t="shared" si="43"/>
        <v>470000</v>
      </c>
      <c r="O267" s="967">
        <f t="shared" si="44"/>
        <v>0</v>
      </c>
      <c r="P267" s="968"/>
      <c r="Q267" s="969"/>
      <c r="R267" s="970"/>
      <c r="S267" s="193"/>
    </row>
    <row r="268" spans="1:19" x14ac:dyDescent="0.2">
      <c r="A268" s="1225" t="s">
        <v>977</v>
      </c>
      <c r="B268" s="1314">
        <v>45953</v>
      </c>
      <c r="C268" s="953">
        <v>156</v>
      </c>
      <c r="D268" s="339" t="str">
        <f>_xlfn.XLOOKUP(C268,Códigos!$A$11:$A$415,Códigos!$B$11:$B$415,"Verificar",0)</f>
        <v>NOMBRE 11</v>
      </c>
      <c r="E268" s="963" t="s">
        <v>429</v>
      </c>
      <c r="F268" s="952" t="s">
        <v>857</v>
      </c>
      <c r="G268" s="964">
        <v>210000</v>
      </c>
      <c r="H268" s="965" t="s">
        <v>399</v>
      </c>
      <c r="I268" s="966">
        <f t="shared" si="42"/>
        <v>210000</v>
      </c>
      <c r="J268" s="966">
        <v>0</v>
      </c>
      <c r="K268" s="966">
        <f t="shared" si="47"/>
        <v>210000</v>
      </c>
      <c r="L268" s="964"/>
      <c r="M268" s="964"/>
      <c r="N268" s="489">
        <f t="shared" si="43"/>
        <v>210000</v>
      </c>
      <c r="O268" s="967">
        <f t="shared" si="44"/>
        <v>0</v>
      </c>
      <c r="P268" s="968"/>
      <c r="Q268" s="969"/>
      <c r="R268" s="970"/>
      <c r="S268" s="193"/>
    </row>
    <row r="269" spans="1:19" x14ac:dyDescent="0.2">
      <c r="A269" s="1225" t="s">
        <v>978</v>
      </c>
      <c r="B269" s="1314">
        <v>45953</v>
      </c>
      <c r="C269" s="953">
        <v>179</v>
      </c>
      <c r="D269" s="339" t="str">
        <f>_xlfn.XLOOKUP(C269,Códigos!$A$11:$A$415,Códigos!$B$11:$B$415,"Verificar",0)</f>
        <v>NOMBRE 13</v>
      </c>
      <c r="E269" s="963" t="s">
        <v>429</v>
      </c>
      <c r="F269" s="952" t="s">
        <v>857</v>
      </c>
      <c r="G269" s="964">
        <v>170000</v>
      </c>
      <c r="H269" s="965" t="s">
        <v>399</v>
      </c>
      <c r="I269" s="966">
        <f t="shared" si="42"/>
        <v>170000</v>
      </c>
      <c r="J269" s="966">
        <v>0</v>
      </c>
      <c r="K269" s="966">
        <f t="shared" si="47"/>
        <v>170000</v>
      </c>
      <c r="L269" s="964"/>
      <c r="M269" s="964"/>
      <c r="N269" s="489">
        <f t="shared" ref="N269" si="48">IF(+(K269-L269-M269)&lt;0,0,(K269-L269-M269))</f>
        <v>170000</v>
      </c>
      <c r="O269" s="967">
        <f t="shared" ref="O269" si="49">IF(+(K269-L269-M269)&gt;0,0,(K269-L269-M269))</f>
        <v>0</v>
      </c>
      <c r="P269" s="968"/>
      <c r="Q269" s="969"/>
      <c r="R269" s="970"/>
      <c r="S269" s="193"/>
    </row>
    <row r="270" spans="1:19" x14ac:dyDescent="0.2">
      <c r="A270" s="1225" t="s">
        <v>979</v>
      </c>
      <c r="B270" s="1314">
        <v>45953</v>
      </c>
      <c r="C270" s="953">
        <v>67</v>
      </c>
      <c r="D270" s="339" t="str">
        <f>_xlfn.XLOOKUP(C270,Códigos!$A$11:$A$415,Códigos!$B$11:$B$415,"Verificar",0)</f>
        <v>NOMBRE 45</v>
      </c>
      <c r="E270" s="963" t="s">
        <v>429</v>
      </c>
      <c r="F270" s="952" t="s">
        <v>857</v>
      </c>
      <c r="G270" s="964">
        <v>1400000</v>
      </c>
      <c r="H270" s="965" t="s">
        <v>399</v>
      </c>
      <c r="I270" s="966">
        <f t="shared" si="42"/>
        <v>1400000</v>
      </c>
      <c r="J270" s="966">
        <v>0</v>
      </c>
      <c r="K270" s="966">
        <f t="shared" si="47"/>
        <v>1400000</v>
      </c>
      <c r="L270" s="964"/>
      <c r="M270" s="964"/>
      <c r="N270" s="489">
        <f t="shared" si="43"/>
        <v>1400000</v>
      </c>
      <c r="O270" s="967">
        <f t="shared" si="44"/>
        <v>0</v>
      </c>
      <c r="P270" s="968"/>
      <c r="Q270" s="969"/>
      <c r="R270" s="970"/>
      <c r="S270" s="193"/>
    </row>
    <row r="271" spans="1:19" x14ac:dyDescent="0.2">
      <c r="A271" s="1225" t="s">
        <v>980</v>
      </c>
      <c r="B271" s="1314">
        <v>45954</v>
      </c>
      <c r="C271" s="953">
        <v>259</v>
      </c>
      <c r="D271" s="339" t="str">
        <f>_xlfn.XLOOKUP(C271,Códigos!$A$11:$A$415,Códigos!$B$11:$B$415,"Verificar",0)</f>
        <v>NOMBRE 186</v>
      </c>
      <c r="E271" s="963" t="s">
        <v>429</v>
      </c>
      <c r="F271" s="952" t="s">
        <v>857</v>
      </c>
      <c r="G271" s="964">
        <v>470000</v>
      </c>
      <c r="H271" s="965" t="s">
        <v>399</v>
      </c>
      <c r="I271" s="966">
        <f t="shared" si="42"/>
        <v>470000</v>
      </c>
      <c r="J271" s="966">
        <v>0</v>
      </c>
      <c r="K271" s="966">
        <f t="shared" si="47"/>
        <v>470000</v>
      </c>
      <c r="L271" s="964"/>
      <c r="M271" s="964"/>
      <c r="N271" s="489">
        <f t="shared" si="43"/>
        <v>470000</v>
      </c>
      <c r="O271" s="967">
        <f t="shared" si="44"/>
        <v>0</v>
      </c>
      <c r="P271" s="968"/>
      <c r="Q271" s="969"/>
      <c r="R271" s="970"/>
      <c r="S271" s="193"/>
    </row>
    <row r="272" spans="1:19" x14ac:dyDescent="0.2">
      <c r="A272" s="1225" t="s">
        <v>981</v>
      </c>
      <c r="B272" s="1314">
        <v>45954</v>
      </c>
      <c r="C272" s="953">
        <v>247</v>
      </c>
      <c r="D272" s="339" t="str">
        <f>_xlfn.XLOOKUP(C272,Códigos!$A$11:$A$415,Códigos!$B$11:$B$415,"Verificar",0)</f>
        <v>NOMBRE 200</v>
      </c>
      <c r="E272" s="963" t="s">
        <v>429</v>
      </c>
      <c r="F272" s="952" t="s">
        <v>857</v>
      </c>
      <c r="G272" s="964">
        <v>260000</v>
      </c>
      <c r="H272" s="965" t="s">
        <v>399</v>
      </c>
      <c r="I272" s="966">
        <f t="shared" si="42"/>
        <v>260000</v>
      </c>
      <c r="J272" s="966">
        <v>0</v>
      </c>
      <c r="K272" s="966">
        <f t="shared" si="47"/>
        <v>260000</v>
      </c>
      <c r="L272" s="964"/>
      <c r="M272" s="964"/>
      <c r="N272" s="489">
        <f t="shared" si="43"/>
        <v>260000</v>
      </c>
      <c r="O272" s="967">
        <f t="shared" si="44"/>
        <v>0</v>
      </c>
      <c r="P272" s="968"/>
      <c r="Q272" s="969"/>
      <c r="R272" s="970"/>
      <c r="S272" s="193"/>
    </row>
    <row r="273" spans="1:19" x14ac:dyDescent="0.2">
      <c r="A273" s="1225" t="s">
        <v>982</v>
      </c>
      <c r="B273" s="1314">
        <v>45954</v>
      </c>
      <c r="C273" s="953">
        <v>342</v>
      </c>
      <c r="D273" s="339" t="str">
        <f>_xlfn.XLOOKUP(C273,Códigos!$A$11:$A$415,Códigos!$B$11:$B$415,"Verificar",0)</f>
        <v>NOMBRE 264</v>
      </c>
      <c r="E273" s="963" t="s">
        <v>429</v>
      </c>
      <c r="F273" s="952" t="s">
        <v>857</v>
      </c>
      <c r="G273" s="964">
        <v>120000</v>
      </c>
      <c r="H273" s="965" t="s">
        <v>399</v>
      </c>
      <c r="I273" s="966">
        <f t="shared" si="42"/>
        <v>120000</v>
      </c>
      <c r="J273" s="966">
        <v>0</v>
      </c>
      <c r="K273" s="966">
        <f t="shared" si="47"/>
        <v>120000</v>
      </c>
      <c r="L273" s="964"/>
      <c r="M273" s="964"/>
      <c r="N273" s="489">
        <f t="shared" si="43"/>
        <v>120000</v>
      </c>
      <c r="O273" s="967">
        <f t="shared" si="44"/>
        <v>0</v>
      </c>
      <c r="P273" s="968"/>
      <c r="Q273" s="969"/>
      <c r="R273" s="970"/>
      <c r="S273" s="193"/>
    </row>
    <row r="274" spans="1:19" x14ac:dyDescent="0.2">
      <c r="A274" s="1225" t="s">
        <v>983</v>
      </c>
      <c r="B274" s="1314">
        <v>45954</v>
      </c>
      <c r="C274" s="953">
        <v>189</v>
      </c>
      <c r="D274" s="339" t="str">
        <f>_xlfn.XLOOKUP(C274,Códigos!$A$11:$A$415,Códigos!$B$11:$B$415,"Verificar",0)</f>
        <v>NOMBRE 328</v>
      </c>
      <c r="E274" s="963" t="s">
        <v>429</v>
      </c>
      <c r="F274" s="952" t="s">
        <v>857</v>
      </c>
      <c r="G274" s="964">
        <v>2050000</v>
      </c>
      <c r="H274" s="965" t="s">
        <v>399</v>
      </c>
      <c r="I274" s="966">
        <f t="shared" si="42"/>
        <v>2050000</v>
      </c>
      <c r="J274" s="966">
        <v>0</v>
      </c>
      <c r="K274" s="966">
        <f t="shared" si="47"/>
        <v>2050000</v>
      </c>
      <c r="L274" s="964"/>
      <c r="M274" s="964"/>
      <c r="N274" s="489">
        <f t="shared" si="43"/>
        <v>2050000</v>
      </c>
      <c r="O274" s="967">
        <f t="shared" si="44"/>
        <v>0</v>
      </c>
      <c r="P274" s="968"/>
      <c r="Q274" s="969"/>
      <c r="R274" s="970"/>
      <c r="S274" s="193"/>
    </row>
    <row r="275" spans="1:19" x14ac:dyDescent="0.2">
      <c r="A275" s="1225" t="s">
        <v>984</v>
      </c>
      <c r="B275" s="1314">
        <v>45954</v>
      </c>
      <c r="C275" s="953">
        <v>193</v>
      </c>
      <c r="D275" s="339" t="str">
        <f>_xlfn.XLOOKUP(C275,Códigos!$A$11:$A$415,Códigos!$B$11:$B$415,"Verificar",0)</f>
        <v>NOMBRE 332</v>
      </c>
      <c r="E275" s="963" t="s">
        <v>429</v>
      </c>
      <c r="F275" s="952" t="s">
        <v>857</v>
      </c>
      <c r="G275" s="964">
        <v>470000</v>
      </c>
      <c r="H275" s="965" t="s">
        <v>399</v>
      </c>
      <c r="I275" s="966">
        <f t="shared" si="42"/>
        <v>470000</v>
      </c>
      <c r="J275" s="966">
        <v>0</v>
      </c>
      <c r="K275" s="966">
        <f t="shared" si="47"/>
        <v>470000</v>
      </c>
      <c r="L275" s="964"/>
      <c r="M275" s="964"/>
      <c r="N275" s="489">
        <f t="shared" si="43"/>
        <v>470000</v>
      </c>
      <c r="O275" s="967">
        <f t="shared" si="44"/>
        <v>0</v>
      </c>
      <c r="P275" s="968"/>
      <c r="Q275" s="969"/>
      <c r="R275" s="970"/>
      <c r="S275" s="193"/>
    </row>
    <row r="276" spans="1:19" x14ac:dyDescent="0.2">
      <c r="A276" s="1225" t="s">
        <v>985</v>
      </c>
      <c r="B276" s="1314">
        <v>45954</v>
      </c>
      <c r="C276" s="953">
        <v>194</v>
      </c>
      <c r="D276" s="339" t="str">
        <f>_xlfn.XLOOKUP(C276,Códigos!$A$11:$A$415,Códigos!$B$11:$B$415,"Verificar",0)</f>
        <v>NOMBRE 333</v>
      </c>
      <c r="E276" s="963" t="s">
        <v>429</v>
      </c>
      <c r="F276" s="952" t="s">
        <v>857</v>
      </c>
      <c r="G276" s="964">
        <v>470000</v>
      </c>
      <c r="H276" s="965" t="s">
        <v>399</v>
      </c>
      <c r="I276" s="966">
        <f t="shared" si="42"/>
        <v>470000</v>
      </c>
      <c r="J276" s="966">
        <v>0</v>
      </c>
      <c r="K276" s="966">
        <f t="shared" si="47"/>
        <v>470000</v>
      </c>
      <c r="L276" s="964"/>
      <c r="M276" s="964"/>
      <c r="N276" s="489">
        <f t="shared" si="43"/>
        <v>470000</v>
      </c>
      <c r="O276" s="967">
        <f t="shared" si="44"/>
        <v>0</v>
      </c>
      <c r="P276" s="968"/>
      <c r="Q276" s="969"/>
      <c r="R276" s="970" t="s">
        <v>854</v>
      </c>
      <c r="S276" s="193"/>
    </row>
    <row r="277" spans="1:19" x14ac:dyDescent="0.2">
      <c r="A277" s="1225" t="s">
        <v>986</v>
      </c>
      <c r="B277" s="1314">
        <v>45954</v>
      </c>
      <c r="C277" s="953">
        <v>198</v>
      </c>
      <c r="D277" s="339" t="str">
        <f>_xlfn.XLOOKUP(C277,Códigos!$A$11:$A$415,Códigos!$B$11:$B$415,"Verificar",0)</f>
        <v>NOMBRE 336</v>
      </c>
      <c r="E277" s="963" t="s">
        <v>429</v>
      </c>
      <c r="F277" s="952" t="s">
        <v>857</v>
      </c>
      <c r="G277" s="964">
        <v>450000</v>
      </c>
      <c r="H277" s="965" t="s">
        <v>399</v>
      </c>
      <c r="I277" s="966">
        <f t="shared" ref="I277:I290" si="50">+G277</f>
        <v>450000</v>
      </c>
      <c r="J277" s="966">
        <v>0</v>
      </c>
      <c r="K277" s="966">
        <f t="shared" si="47"/>
        <v>450000</v>
      </c>
      <c r="L277" s="964"/>
      <c r="M277" s="964"/>
      <c r="N277" s="489">
        <f t="shared" ref="N277:N290" si="51">IF(+(K277-L277-M277)&lt;0,0,(K277-L277-M277))</f>
        <v>450000</v>
      </c>
      <c r="O277" s="967">
        <f t="shared" ref="O277:O290" si="52">IF(+(K277-L277-M277)&gt;0,0,(K277-L277-M277))</f>
        <v>0</v>
      </c>
      <c r="P277" s="968"/>
      <c r="Q277" s="969"/>
      <c r="R277" s="970"/>
      <c r="S277" s="193"/>
    </row>
    <row r="278" spans="1:19" x14ac:dyDescent="0.2">
      <c r="A278" s="1225" t="s">
        <v>987</v>
      </c>
      <c r="B278" s="1314">
        <v>45954</v>
      </c>
      <c r="C278" s="953">
        <v>200</v>
      </c>
      <c r="D278" s="339" t="str">
        <f>_xlfn.XLOOKUP(C278,Códigos!$A$11:$A$415,Códigos!$B$11:$B$415,"Verificar",0)</f>
        <v>NOMBRE 339</v>
      </c>
      <c r="E278" s="963" t="s">
        <v>429</v>
      </c>
      <c r="F278" s="952" t="s">
        <v>857</v>
      </c>
      <c r="G278" s="964">
        <v>470000</v>
      </c>
      <c r="H278" s="965" t="s">
        <v>399</v>
      </c>
      <c r="I278" s="966">
        <f t="shared" si="50"/>
        <v>470000</v>
      </c>
      <c r="J278" s="966">
        <v>0</v>
      </c>
      <c r="K278" s="966">
        <f t="shared" si="47"/>
        <v>470000</v>
      </c>
      <c r="L278" s="964"/>
      <c r="M278" s="964"/>
      <c r="N278" s="489">
        <f t="shared" si="51"/>
        <v>470000</v>
      </c>
      <c r="O278" s="967">
        <f t="shared" si="52"/>
        <v>0</v>
      </c>
      <c r="P278" s="968"/>
      <c r="Q278" s="969"/>
      <c r="R278" s="970"/>
      <c r="S278" s="193"/>
    </row>
    <row r="279" spans="1:19" x14ac:dyDescent="0.2">
      <c r="A279" s="1225" t="s">
        <v>988</v>
      </c>
      <c r="B279" s="1314">
        <v>45954</v>
      </c>
      <c r="C279" s="953">
        <v>117</v>
      </c>
      <c r="D279" s="339" t="str">
        <f>_xlfn.XLOOKUP(C279,Códigos!$A$11:$A$415,Códigos!$B$11:$B$415,"Verificar",0)</f>
        <v>NOMBRE 340</v>
      </c>
      <c r="E279" s="963" t="s">
        <v>429</v>
      </c>
      <c r="F279" s="952" t="s">
        <v>857</v>
      </c>
      <c r="G279" s="964">
        <v>350000</v>
      </c>
      <c r="H279" s="965" t="s">
        <v>399</v>
      </c>
      <c r="I279" s="966">
        <f t="shared" si="50"/>
        <v>350000</v>
      </c>
      <c r="J279" s="966">
        <v>0</v>
      </c>
      <c r="K279" s="966">
        <f t="shared" si="47"/>
        <v>350000</v>
      </c>
      <c r="L279" s="964"/>
      <c r="M279" s="964"/>
      <c r="N279" s="489">
        <f t="shared" si="51"/>
        <v>350000</v>
      </c>
      <c r="O279" s="967">
        <f t="shared" si="52"/>
        <v>0</v>
      </c>
      <c r="P279" s="968"/>
      <c r="Q279" s="969"/>
      <c r="R279" s="970"/>
      <c r="S279" s="193"/>
    </row>
    <row r="280" spans="1:19" x14ac:dyDescent="0.2">
      <c r="A280" s="1225" t="s">
        <v>989</v>
      </c>
      <c r="B280" s="1314">
        <v>45954</v>
      </c>
      <c r="C280" s="953">
        <v>240</v>
      </c>
      <c r="D280" s="339" t="str">
        <f>_xlfn.XLOOKUP(C280,Códigos!$A$11:$A$415,Códigos!$B$11:$B$415,"Verificar",0)</f>
        <v>NOMBRE 341</v>
      </c>
      <c r="E280" s="963" t="s">
        <v>429</v>
      </c>
      <c r="F280" s="952" t="s">
        <v>857</v>
      </c>
      <c r="G280" s="964">
        <v>350000</v>
      </c>
      <c r="H280" s="965" t="s">
        <v>399</v>
      </c>
      <c r="I280" s="966">
        <f t="shared" si="50"/>
        <v>350000</v>
      </c>
      <c r="J280" s="966">
        <v>0</v>
      </c>
      <c r="K280" s="966">
        <f t="shared" si="47"/>
        <v>350000</v>
      </c>
      <c r="L280" s="964"/>
      <c r="M280" s="964"/>
      <c r="N280" s="489">
        <f t="shared" si="51"/>
        <v>350000</v>
      </c>
      <c r="O280" s="967">
        <f t="shared" si="52"/>
        <v>0</v>
      </c>
      <c r="P280" s="968"/>
      <c r="Q280" s="969"/>
      <c r="R280" s="970"/>
      <c r="S280" s="193"/>
    </row>
    <row r="281" spans="1:19" x14ac:dyDescent="0.2">
      <c r="A281" s="1225" t="s">
        <v>990</v>
      </c>
      <c r="B281" s="1314">
        <v>45954</v>
      </c>
      <c r="C281" s="953">
        <v>202</v>
      </c>
      <c r="D281" s="339" t="str">
        <f>_xlfn.XLOOKUP(C281,Códigos!$A$11:$A$415,Códigos!$B$11:$B$415,"Verificar",0)</f>
        <v>NOMBRE 342</v>
      </c>
      <c r="E281" s="963" t="s">
        <v>429</v>
      </c>
      <c r="F281" s="952" t="s">
        <v>857</v>
      </c>
      <c r="G281" s="964">
        <v>350000</v>
      </c>
      <c r="H281" s="965" t="s">
        <v>399</v>
      </c>
      <c r="I281" s="966">
        <f t="shared" si="50"/>
        <v>350000</v>
      </c>
      <c r="J281" s="966">
        <v>0</v>
      </c>
      <c r="K281" s="966">
        <f t="shared" si="47"/>
        <v>350000</v>
      </c>
      <c r="L281" s="964"/>
      <c r="M281" s="964"/>
      <c r="N281" s="489">
        <f t="shared" si="51"/>
        <v>350000</v>
      </c>
      <c r="O281" s="967">
        <f t="shared" si="52"/>
        <v>0</v>
      </c>
      <c r="P281" s="968"/>
      <c r="Q281" s="969"/>
      <c r="R281" s="970"/>
      <c r="S281" s="193"/>
    </row>
    <row r="282" spans="1:19" x14ac:dyDescent="0.2">
      <c r="A282" s="1225" t="s">
        <v>991</v>
      </c>
      <c r="B282" s="1314">
        <v>45954</v>
      </c>
      <c r="C282" s="953">
        <v>220</v>
      </c>
      <c r="D282" s="339" t="str">
        <f>_xlfn.XLOOKUP(C282,Códigos!$A$11:$A$415,Códigos!$B$11:$B$415,"Verificar",0)</f>
        <v>NOMBRE 347</v>
      </c>
      <c r="E282" s="963" t="s">
        <v>429</v>
      </c>
      <c r="F282" s="952" t="s">
        <v>857</v>
      </c>
      <c r="G282" s="964">
        <v>500000</v>
      </c>
      <c r="H282" s="965" t="s">
        <v>399</v>
      </c>
      <c r="I282" s="966">
        <f t="shared" si="50"/>
        <v>500000</v>
      </c>
      <c r="J282" s="966">
        <v>0</v>
      </c>
      <c r="K282" s="966">
        <f t="shared" si="47"/>
        <v>500000</v>
      </c>
      <c r="L282" s="964">
        <v>500000</v>
      </c>
      <c r="M282" s="964"/>
      <c r="N282" s="489">
        <f t="shared" si="51"/>
        <v>0</v>
      </c>
      <c r="O282" s="967">
        <f t="shared" si="52"/>
        <v>0</v>
      </c>
      <c r="P282" s="968" t="s">
        <v>1087</v>
      </c>
      <c r="Q282" s="969">
        <v>45959</v>
      </c>
      <c r="R282" s="970"/>
      <c r="S282" s="193"/>
    </row>
    <row r="283" spans="1:19" x14ac:dyDescent="0.2">
      <c r="A283" s="1225" t="s">
        <v>992</v>
      </c>
      <c r="B283" s="1314">
        <v>45954</v>
      </c>
      <c r="C283" s="953">
        <v>335</v>
      </c>
      <c r="D283" s="339" t="str">
        <f>_xlfn.XLOOKUP(C283,Códigos!$A$11:$A$415,Códigos!$B$11:$B$415,"Verificar",0)</f>
        <v>NOMBRE 356</v>
      </c>
      <c r="E283" s="963" t="s">
        <v>429</v>
      </c>
      <c r="F283" s="952" t="s">
        <v>857</v>
      </c>
      <c r="G283" s="964">
        <v>160000</v>
      </c>
      <c r="H283" s="965" t="s">
        <v>399</v>
      </c>
      <c r="I283" s="966">
        <f t="shared" si="50"/>
        <v>160000</v>
      </c>
      <c r="J283" s="966">
        <v>0</v>
      </c>
      <c r="K283" s="966">
        <f t="shared" si="47"/>
        <v>160000</v>
      </c>
      <c r="L283" s="964"/>
      <c r="M283" s="964"/>
      <c r="N283" s="489">
        <f t="shared" si="51"/>
        <v>160000</v>
      </c>
      <c r="O283" s="967">
        <f t="shared" si="52"/>
        <v>0</v>
      </c>
      <c r="P283" s="968"/>
      <c r="Q283" s="969"/>
      <c r="R283" s="970"/>
      <c r="S283" s="193"/>
    </row>
    <row r="284" spans="1:19" x14ac:dyDescent="0.2">
      <c r="A284" s="1225" t="s">
        <v>993</v>
      </c>
      <c r="B284" s="1314">
        <v>45954</v>
      </c>
      <c r="C284" s="953">
        <v>278</v>
      </c>
      <c r="D284" s="339" t="str">
        <f>_xlfn.XLOOKUP(C284,Códigos!$A$11:$A$415,Códigos!$B$11:$B$415,"Verificar",0)</f>
        <v>NOMBRE 357</v>
      </c>
      <c r="E284" s="963" t="s">
        <v>429</v>
      </c>
      <c r="F284" s="952" t="s">
        <v>857</v>
      </c>
      <c r="G284" s="964">
        <v>470000</v>
      </c>
      <c r="H284" s="965" t="s">
        <v>399</v>
      </c>
      <c r="I284" s="966">
        <f t="shared" si="50"/>
        <v>470000</v>
      </c>
      <c r="J284" s="966">
        <v>0</v>
      </c>
      <c r="K284" s="966">
        <f t="shared" si="47"/>
        <v>470000</v>
      </c>
      <c r="L284" s="964"/>
      <c r="M284" s="964"/>
      <c r="N284" s="1243">
        <f t="shared" si="51"/>
        <v>470000</v>
      </c>
      <c r="O284" s="967">
        <f t="shared" si="52"/>
        <v>0</v>
      </c>
      <c r="P284" s="968"/>
      <c r="Q284" s="969"/>
      <c r="R284" s="970"/>
      <c r="S284" s="193"/>
    </row>
    <row r="285" spans="1:19" x14ac:dyDescent="0.2">
      <c r="A285" s="1225" t="s">
        <v>994</v>
      </c>
      <c r="B285" s="1314">
        <v>45954</v>
      </c>
      <c r="C285" s="953">
        <v>363</v>
      </c>
      <c r="D285" s="339" t="str">
        <f>_xlfn.XLOOKUP(C285,Códigos!$A$11:$A$415,Códigos!$B$11:$B$415,"Verificar",0)</f>
        <v>NOMBRE 358</v>
      </c>
      <c r="E285" s="963" t="s">
        <v>429</v>
      </c>
      <c r="F285" s="952" t="s">
        <v>857</v>
      </c>
      <c r="G285" s="964">
        <v>260000</v>
      </c>
      <c r="H285" s="965" t="s">
        <v>399</v>
      </c>
      <c r="I285" s="966">
        <f t="shared" si="50"/>
        <v>260000</v>
      </c>
      <c r="J285" s="966">
        <v>0</v>
      </c>
      <c r="K285" s="966">
        <f t="shared" si="47"/>
        <v>260000</v>
      </c>
      <c r="L285" s="964"/>
      <c r="M285" s="964"/>
      <c r="N285" s="489">
        <f t="shared" si="51"/>
        <v>260000</v>
      </c>
      <c r="O285" s="967">
        <f t="shared" si="52"/>
        <v>0</v>
      </c>
      <c r="P285" s="968"/>
      <c r="Q285" s="969"/>
      <c r="R285" s="970"/>
      <c r="S285" s="193"/>
    </row>
    <row r="286" spans="1:19" x14ac:dyDescent="0.2">
      <c r="A286" s="1225" t="s">
        <v>995</v>
      </c>
      <c r="B286" s="1314">
        <v>45954</v>
      </c>
      <c r="C286" s="953">
        <v>21</v>
      </c>
      <c r="D286" s="339" t="str">
        <f>_xlfn.XLOOKUP(C286,Códigos!$A$11:$A$415,Códigos!$B$11:$B$415,"Verificar",0)</f>
        <v>NOMBRE 168</v>
      </c>
      <c r="E286" s="963" t="s">
        <v>429</v>
      </c>
      <c r="F286" s="952" t="s">
        <v>857</v>
      </c>
      <c r="G286" s="964">
        <v>5630000</v>
      </c>
      <c r="H286" s="965" t="s">
        <v>399</v>
      </c>
      <c r="I286" s="966">
        <f t="shared" si="50"/>
        <v>5630000</v>
      </c>
      <c r="J286" s="966">
        <v>0</v>
      </c>
      <c r="K286" s="966">
        <f t="shared" si="47"/>
        <v>5630000</v>
      </c>
      <c r="L286" s="964"/>
      <c r="M286" s="964"/>
      <c r="N286" s="489">
        <f t="shared" si="51"/>
        <v>5630000</v>
      </c>
      <c r="O286" s="967">
        <f t="shared" si="52"/>
        <v>0</v>
      </c>
      <c r="P286" s="968"/>
      <c r="Q286" s="969"/>
      <c r="R286" s="970"/>
      <c r="S286" s="193"/>
    </row>
    <row r="287" spans="1:19" x14ac:dyDescent="0.2">
      <c r="A287" s="1225" t="s">
        <v>996</v>
      </c>
      <c r="B287" s="1314">
        <v>45950</v>
      </c>
      <c r="C287" s="953"/>
      <c r="D287" s="339">
        <f>_xlfn.XLOOKUP(C287,Códigos!$A$11:$A$415,Códigos!$B$11:$B$415,"Verificar",0)</f>
        <v>0</v>
      </c>
      <c r="E287" s="963" t="s">
        <v>429</v>
      </c>
      <c r="F287" s="952" t="s">
        <v>857</v>
      </c>
      <c r="G287" s="964"/>
      <c r="H287" s="965" t="s">
        <v>399</v>
      </c>
      <c r="I287" s="966">
        <f t="shared" si="50"/>
        <v>0</v>
      </c>
      <c r="J287" s="966">
        <v>0</v>
      </c>
      <c r="K287" s="966">
        <f t="shared" si="47"/>
        <v>0</v>
      </c>
      <c r="L287" s="964"/>
      <c r="M287" s="964"/>
      <c r="N287" s="489">
        <f t="shared" si="51"/>
        <v>0</v>
      </c>
      <c r="O287" s="967">
        <f t="shared" si="52"/>
        <v>0</v>
      </c>
      <c r="P287" s="968"/>
      <c r="Q287" s="969"/>
      <c r="R287" s="970"/>
      <c r="S287" s="193"/>
    </row>
    <row r="288" spans="1:19" x14ac:dyDescent="0.2">
      <c r="A288" s="1225" t="s">
        <v>997</v>
      </c>
      <c r="B288" s="1314"/>
      <c r="C288" s="953"/>
      <c r="D288" s="339">
        <f>_xlfn.XLOOKUP(C288,Códigos!$A$11:$A$415,Códigos!$B$11:$B$415,"Verificar",0)</f>
        <v>0</v>
      </c>
      <c r="E288" s="963" t="s">
        <v>429</v>
      </c>
      <c r="F288" s="952" t="s">
        <v>857</v>
      </c>
      <c r="G288" s="964"/>
      <c r="H288" s="965" t="s">
        <v>399</v>
      </c>
      <c r="I288" s="966">
        <f t="shared" si="50"/>
        <v>0</v>
      </c>
      <c r="J288" s="966">
        <v>0</v>
      </c>
      <c r="K288" s="966">
        <f t="shared" si="47"/>
        <v>0</v>
      </c>
      <c r="L288" s="964"/>
      <c r="M288" s="964"/>
      <c r="N288" s="489">
        <f t="shared" si="51"/>
        <v>0</v>
      </c>
      <c r="O288" s="967">
        <f t="shared" si="52"/>
        <v>0</v>
      </c>
      <c r="P288" s="968"/>
      <c r="Q288" s="969"/>
      <c r="R288" s="970"/>
      <c r="S288" s="193"/>
    </row>
    <row r="289" spans="1:19" x14ac:dyDescent="0.2">
      <c r="A289" s="1225" t="s">
        <v>998</v>
      </c>
      <c r="B289" s="1314"/>
      <c r="C289" s="953"/>
      <c r="D289" s="339">
        <f>_xlfn.XLOOKUP(C289,Códigos!$A$11:$A$415,Códigos!$B$11:$B$415,"Verificar",0)</f>
        <v>0</v>
      </c>
      <c r="E289" s="963" t="s">
        <v>429</v>
      </c>
      <c r="F289" s="952" t="s">
        <v>857</v>
      </c>
      <c r="G289" s="964"/>
      <c r="H289" s="965" t="s">
        <v>399</v>
      </c>
      <c r="I289" s="966">
        <f t="shared" si="50"/>
        <v>0</v>
      </c>
      <c r="J289" s="966">
        <v>0</v>
      </c>
      <c r="K289" s="966">
        <f t="shared" si="47"/>
        <v>0</v>
      </c>
      <c r="L289" s="964"/>
      <c r="M289" s="964"/>
      <c r="N289" s="489">
        <f t="shared" si="51"/>
        <v>0</v>
      </c>
      <c r="O289" s="967">
        <f t="shared" si="52"/>
        <v>0</v>
      </c>
      <c r="P289" s="968"/>
      <c r="Q289" s="969"/>
      <c r="R289" s="970"/>
      <c r="S289" s="193"/>
    </row>
    <row r="290" spans="1:19" x14ac:dyDescent="0.2">
      <c r="A290" s="1225" t="s">
        <v>999</v>
      </c>
      <c r="B290" s="1314"/>
      <c r="C290" s="953"/>
      <c r="D290" s="339">
        <f>_xlfn.XLOOKUP(C290,Códigos!$A$11:$A$415,Códigos!$B$11:$B$415,"Verificar",0)</f>
        <v>0</v>
      </c>
      <c r="E290" s="963" t="s">
        <v>429</v>
      </c>
      <c r="F290" s="952" t="s">
        <v>857</v>
      </c>
      <c r="G290" s="964"/>
      <c r="H290" s="965" t="s">
        <v>399</v>
      </c>
      <c r="I290" s="966">
        <f t="shared" si="50"/>
        <v>0</v>
      </c>
      <c r="J290" s="966">
        <v>0</v>
      </c>
      <c r="K290" s="966">
        <f t="shared" si="47"/>
        <v>0</v>
      </c>
      <c r="L290" s="964"/>
      <c r="M290" s="964"/>
      <c r="N290" s="489">
        <f t="shared" si="51"/>
        <v>0</v>
      </c>
      <c r="O290" s="967">
        <f t="shared" si="52"/>
        <v>0</v>
      </c>
      <c r="P290" s="968"/>
      <c r="Q290" s="969"/>
      <c r="R290" s="970"/>
      <c r="S290" s="193"/>
    </row>
    <row r="291" spans="1:19" x14ac:dyDescent="0.2">
      <c r="A291" s="325" t="s">
        <v>1000</v>
      </c>
      <c r="B291" s="1314"/>
      <c r="C291" s="953"/>
      <c r="D291" s="339">
        <f>_xlfn.XLOOKUP(C291,Códigos!$A$11:$A$415,Códigos!$B$11:$B$415,"Verificar",0)</f>
        <v>0</v>
      </c>
      <c r="E291" s="963" t="s">
        <v>429</v>
      </c>
      <c r="F291" s="952" t="s">
        <v>857</v>
      </c>
      <c r="G291" s="964"/>
      <c r="H291" s="965" t="s">
        <v>399</v>
      </c>
      <c r="I291" s="966">
        <f t="shared" ref="I291:I298" si="53">+G291</f>
        <v>0</v>
      </c>
      <c r="J291" s="966">
        <v>0</v>
      </c>
      <c r="K291" s="966">
        <f t="shared" ref="K291:K298" si="54">+I291-J291</f>
        <v>0</v>
      </c>
      <c r="L291" s="964"/>
      <c r="M291" s="964"/>
      <c r="N291" s="489">
        <f t="shared" ref="N291:N298" si="55">IF(+(K291-L291-M291)&lt;0,0,(K291-L291-M291))</f>
        <v>0</v>
      </c>
      <c r="O291" s="967">
        <f t="shared" ref="O291:O298" si="56">IF(+(K291-L291-M291)&gt;0,0,(K291-L291-M291))</f>
        <v>0</v>
      </c>
      <c r="P291" s="968"/>
      <c r="Q291" s="969"/>
      <c r="R291" s="970"/>
      <c r="S291" s="193"/>
    </row>
    <row r="292" spans="1:19" x14ac:dyDescent="0.2">
      <c r="A292" s="325" t="s">
        <v>1001</v>
      </c>
      <c r="B292" s="1314"/>
      <c r="C292" s="953"/>
      <c r="D292" s="339">
        <f>_xlfn.XLOOKUP(C292,Códigos!$A$11:$A$415,Códigos!$B$11:$B$415,"Verificar",0)</f>
        <v>0</v>
      </c>
      <c r="E292" s="963" t="s">
        <v>429</v>
      </c>
      <c r="F292" s="952" t="s">
        <v>857</v>
      </c>
      <c r="G292" s="964"/>
      <c r="H292" s="965" t="s">
        <v>399</v>
      </c>
      <c r="I292" s="966">
        <f t="shared" si="53"/>
        <v>0</v>
      </c>
      <c r="J292" s="966">
        <v>0</v>
      </c>
      <c r="K292" s="966">
        <f t="shared" si="54"/>
        <v>0</v>
      </c>
      <c r="L292" s="964">
        <v>0</v>
      </c>
      <c r="M292" s="964"/>
      <c r="N292" s="489">
        <f t="shared" si="55"/>
        <v>0</v>
      </c>
      <c r="O292" s="967">
        <f t="shared" si="56"/>
        <v>0</v>
      </c>
      <c r="P292" s="968"/>
      <c r="Q292" s="969"/>
      <c r="R292" s="970"/>
      <c r="S292" s="193"/>
    </row>
    <row r="293" spans="1:19" x14ac:dyDescent="0.2">
      <c r="A293" s="325"/>
      <c r="B293" s="1314"/>
      <c r="C293" s="953"/>
      <c r="D293" s="339">
        <f>_xlfn.XLOOKUP(C293,Códigos!$A$11:$A$415,Códigos!$B$11:$B$415,"Verificar",0)</f>
        <v>0</v>
      </c>
      <c r="E293" s="963"/>
      <c r="F293" s="952"/>
      <c r="G293" s="964"/>
      <c r="H293" s="965" t="s">
        <v>399</v>
      </c>
      <c r="I293" s="966">
        <f t="shared" si="53"/>
        <v>0</v>
      </c>
      <c r="J293" s="966">
        <v>0</v>
      </c>
      <c r="K293" s="966">
        <f t="shared" si="54"/>
        <v>0</v>
      </c>
      <c r="L293" s="964">
        <v>0</v>
      </c>
      <c r="M293" s="964"/>
      <c r="N293" s="489">
        <f t="shared" si="55"/>
        <v>0</v>
      </c>
      <c r="O293" s="967">
        <f t="shared" si="56"/>
        <v>0</v>
      </c>
      <c r="P293" s="968"/>
      <c r="Q293" s="969"/>
      <c r="R293" s="970"/>
      <c r="S293" s="193"/>
    </row>
    <row r="294" spans="1:19" x14ac:dyDescent="0.2">
      <c r="A294" s="325"/>
      <c r="B294" s="1314"/>
      <c r="C294" s="953"/>
      <c r="D294" s="339">
        <f>_xlfn.XLOOKUP(C294,Códigos!$A$11:$A$415,Códigos!$B$11:$B$415,"Verificar",0)</f>
        <v>0</v>
      </c>
      <c r="E294" s="963"/>
      <c r="F294" s="952"/>
      <c r="G294" s="964"/>
      <c r="H294" s="965" t="s">
        <v>399</v>
      </c>
      <c r="I294" s="966">
        <f t="shared" si="53"/>
        <v>0</v>
      </c>
      <c r="J294" s="966">
        <v>0</v>
      </c>
      <c r="K294" s="966">
        <f t="shared" si="54"/>
        <v>0</v>
      </c>
      <c r="L294" s="964">
        <v>0</v>
      </c>
      <c r="M294" s="964"/>
      <c r="N294" s="489">
        <f t="shared" si="55"/>
        <v>0</v>
      </c>
      <c r="O294" s="967">
        <f t="shared" si="56"/>
        <v>0</v>
      </c>
      <c r="P294" s="968"/>
      <c r="Q294" s="969"/>
      <c r="R294" s="970"/>
      <c r="S294" s="193"/>
    </row>
    <row r="295" spans="1:19" x14ac:dyDescent="0.2">
      <c r="A295" s="325"/>
      <c r="B295" s="1314"/>
      <c r="C295" s="953"/>
      <c r="D295" s="339">
        <f>_xlfn.XLOOKUP(C295,Códigos!$A$11:$A$415,Códigos!$B$11:$B$415,"Verificar",0)</f>
        <v>0</v>
      </c>
      <c r="E295" s="963"/>
      <c r="F295" s="952"/>
      <c r="G295" s="964"/>
      <c r="H295" s="965" t="s">
        <v>399</v>
      </c>
      <c r="I295" s="966">
        <f t="shared" si="53"/>
        <v>0</v>
      </c>
      <c r="J295" s="966">
        <v>0</v>
      </c>
      <c r="K295" s="966">
        <f t="shared" si="54"/>
        <v>0</v>
      </c>
      <c r="L295" s="964">
        <v>0</v>
      </c>
      <c r="M295" s="964"/>
      <c r="N295" s="489">
        <f t="shared" si="55"/>
        <v>0</v>
      </c>
      <c r="O295" s="967">
        <f t="shared" si="56"/>
        <v>0</v>
      </c>
      <c r="P295" s="968"/>
      <c r="Q295" s="969"/>
      <c r="R295" s="970"/>
      <c r="S295" s="193"/>
    </row>
    <row r="296" spans="1:19" x14ac:dyDescent="0.2">
      <c r="A296" s="325"/>
      <c r="B296" s="1314"/>
      <c r="C296" s="953"/>
      <c r="D296" s="339">
        <f>_xlfn.XLOOKUP(C296,Códigos!$A$11:$A$415,Códigos!$B$11:$B$415,"Verificar",0)</f>
        <v>0</v>
      </c>
      <c r="E296" s="963"/>
      <c r="F296" s="952"/>
      <c r="G296" s="964"/>
      <c r="H296" s="965" t="s">
        <v>399</v>
      </c>
      <c r="I296" s="966">
        <f t="shared" si="53"/>
        <v>0</v>
      </c>
      <c r="J296" s="966">
        <v>0</v>
      </c>
      <c r="K296" s="966">
        <f t="shared" si="54"/>
        <v>0</v>
      </c>
      <c r="L296" s="964">
        <v>0</v>
      </c>
      <c r="M296" s="964"/>
      <c r="N296" s="489">
        <f t="shared" si="55"/>
        <v>0</v>
      </c>
      <c r="O296" s="967">
        <f t="shared" si="56"/>
        <v>0</v>
      </c>
      <c r="P296" s="968"/>
      <c r="Q296" s="969"/>
      <c r="R296" s="970"/>
      <c r="S296" s="193"/>
    </row>
    <row r="297" spans="1:19" x14ac:dyDescent="0.2">
      <c r="A297" s="325"/>
      <c r="B297" s="1314"/>
      <c r="C297" s="953"/>
      <c r="D297" s="962">
        <f>_xlfn.XLOOKUP(C297,Códigos!$A$11:$A$415,Códigos!$B$11:$B$415,"Verificar",0)</f>
        <v>0</v>
      </c>
      <c r="E297" s="963"/>
      <c r="F297" s="952"/>
      <c r="G297" s="964"/>
      <c r="H297" s="965" t="s">
        <v>399</v>
      </c>
      <c r="I297" s="966">
        <f t="shared" si="53"/>
        <v>0</v>
      </c>
      <c r="J297" s="966">
        <v>0</v>
      </c>
      <c r="K297" s="966">
        <f t="shared" si="54"/>
        <v>0</v>
      </c>
      <c r="L297" s="964">
        <v>0</v>
      </c>
      <c r="M297" s="964"/>
      <c r="N297" s="489">
        <f t="shared" si="55"/>
        <v>0</v>
      </c>
      <c r="O297" s="967">
        <f t="shared" si="56"/>
        <v>0</v>
      </c>
      <c r="P297" s="968"/>
      <c r="Q297" s="969"/>
      <c r="R297" s="970"/>
      <c r="S297" s="193"/>
    </row>
    <row r="298" spans="1:19" x14ac:dyDescent="0.2">
      <c r="A298" s="325"/>
      <c r="B298" s="1314"/>
      <c r="C298" s="953"/>
      <c r="D298" s="962">
        <f>_xlfn.XLOOKUP(C298,Códigos!$A$11:$A$415,Códigos!$B$11:$B$415,"Verificar",0)</f>
        <v>0</v>
      </c>
      <c r="E298" s="963"/>
      <c r="F298" s="952"/>
      <c r="G298" s="964"/>
      <c r="H298" s="965" t="s">
        <v>399</v>
      </c>
      <c r="I298" s="966">
        <f t="shared" si="53"/>
        <v>0</v>
      </c>
      <c r="J298" s="966">
        <v>0</v>
      </c>
      <c r="K298" s="966">
        <f t="shared" si="54"/>
        <v>0</v>
      </c>
      <c r="L298" s="964">
        <v>0</v>
      </c>
      <c r="M298" s="964"/>
      <c r="N298" s="489">
        <f t="shared" si="55"/>
        <v>0</v>
      </c>
      <c r="O298" s="967">
        <f t="shared" si="56"/>
        <v>0</v>
      </c>
      <c r="P298" s="968"/>
      <c r="Q298" s="969"/>
      <c r="R298" s="970"/>
      <c r="S298" s="193"/>
    </row>
    <row r="299" spans="1:19" x14ac:dyDescent="0.2">
      <c r="B299" s="1299"/>
      <c r="D299" s="18"/>
      <c r="Q299" s="494"/>
      <c r="S299" s="193"/>
    </row>
    <row r="300" spans="1:19" x14ac:dyDescent="0.2">
      <c r="A300" s="361" t="s">
        <v>102</v>
      </c>
      <c r="B300" s="1306" t="str">
        <f>+A147</f>
        <v>CUENTAS DE COBRO -DIEGO ALBERTO FERNÁNDEZ FERNÁNDEZ-</v>
      </c>
      <c r="C300" s="363"/>
      <c r="D300" s="362"/>
      <c r="E300" s="363"/>
      <c r="F300" s="364"/>
      <c r="G300" s="365">
        <f t="shared" ref="G300:O300" si="57">SUM(G148:G299)</f>
        <v>121560000</v>
      </c>
      <c r="H300" s="181">
        <f t="shared" si="57"/>
        <v>0</v>
      </c>
      <c r="I300" s="366">
        <f t="shared" si="57"/>
        <v>121560000</v>
      </c>
      <c r="J300" s="181">
        <f t="shared" si="57"/>
        <v>0</v>
      </c>
      <c r="K300" s="366">
        <f t="shared" si="57"/>
        <v>121560000</v>
      </c>
      <c r="L300" s="365">
        <f t="shared" si="57"/>
        <v>21330000</v>
      </c>
      <c r="M300" s="365">
        <f t="shared" si="57"/>
        <v>40000</v>
      </c>
      <c r="N300" s="366">
        <f t="shared" si="57"/>
        <v>100190000</v>
      </c>
      <c r="O300" s="209">
        <f t="shared" si="57"/>
        <v>0</v>
      </c>
      <c r="P300" s="31"/>
      <c r="Q300" s="858"/>
      <c r="R300" s="218"/>
      <c r="S300" s="193"/>
    </row>
    <row r="301" spans="1:19" x14ac:dyDescent="0.2">
      <c r="A301" s="534"/>
      <c r="B301" s="1315"/>
      <c r="C301" s="235"/>
      <c r="D301" s="535"/>
      <c r="E301" s="235"/>
      <c r="F301" s="536"/>
      <c r="G301" s="89"/>
      <c r="H301" s="84"/>
      <c r="I301" s="104"/>
      <c r="J301" s="84"/>
      <c r="K301" s="104"/>
      <c r="L301" s="89"/>
      <c r="M301" s="89"/>
      <c r="N301" s="104"/>
      <c r="O301" s="82"/>
      <c r="P301" s="536"/>
      <c r="Q301" s="858"/>
      <c r="R301" s="218"/>
      <c r="S301" s="193"/>
    </row>
    <row r="302" spans="1:19" x14ac:dyDescent="0.2">
      <c r="A302" s="534" t="s">
        <v>592</v>
      </c>
      <c r="B302" s="1315"/>
      <c r="C302" s="235"/>
      <c r="D302" s="535"/>
      <c r="E302" s="235"/>
      <c r="F302" s="536"/>
      <c r="G302" s="89"/>
      <c r="H302" s="84"/>
      <c r="I302" s="104"/>
      <c r="J302" s="84"/>
      <c r="K302" s="104"/>
      <c r="L302" s="89"/>
      <c r="M302" s="89"/>
      <c r="N302" s="104"/>
      <c r="O302" s="82"/>
      <c r="P302" s="536"/>
      <c r="Q302" s="858"/>
      <c r="R302" s="218"/>
      <c r="S302" s="193"/>
    </row>
    <row r="303" spans="1:19" x14ac:dyDescent="0.2">
      <c r="A303" s="534" t="s">
        <v>593</v>
      </c>
      <c r="B303" s="1315"/>
      <c r="C303" s="235"/>
      <c r="D303" s="535"/>
      <c r="E303" s="235"/>
      <c r="F303" s="536"/>
      <c r="G303" s="89"/>
      <c r="H303" s="84"/>
      <c r="I303" s="104"/>
      <c r="J303" s="84"/>
      <c r="K303" s="104"/>
      <c r="L303" s="89"/>
      <c r="M303" s="89"/>
      <c r="N303" s="104"/>
      <c r="O303" s="82"/>
      <c r="P303" s="536"/>
      <c r="Q303" s="858"/>
      <c r="R303" s="218"/>
      <c r="S303" s="193"/>
    </row>
    <row r="304" spans="1:19" x14ac:dyDescent="0.2">
      <c r="A304" s="534"/>
      <c r="B304" s="1315"/>
      <c r="C304" s="235"/>
      <c r="D304" s="535"/>
      <c r="E304" s="235"/>
      <c r="F304" s="536"/>
      <c r="G304" s="89"/>
      <c r="H304" s="84"/>
      <c r="I304" s="104"/>
      <c r="J304" s="84"/>
      <c r="K304" s="104"/>
      <c r="L304" s="89"/>
      <c r="M304" s="89"/>
      <c r="N304" s="104"/>
      <c r="O304" s="82"/>
      <c r="P304" s="536"/>
      <c r="Q304" s="858"/>
      <c r="R304" s="218"/>
      <c r="S304" s="193"/>
    </row>
    <row r="305" spans="1:19" ht="42" x14ac:dyDescent="0.2">
      <c r="A305" s="280" t="s">
        <v>3</v>
      </c>
      <c r="B305" s="1301" t="s">
        <v>367</v>
      </c>
      <c r="C305" s="270" t="s">
        <v>319</v>
      </c>
      <c r="D305" s="271" t="s">
        <v>579</v>
      </c>
      <c r="E305" s="271"/>
      <c r="F305" s="351" t="s">
        <v>19</v>
      </c>
      <c r="G305" s="351" t="s">
        <v>645</v>
      </c>
      <c r="H305" s="351"/>
      <c r="I305" s="351" t="s">
        <v>645</v>
      </c>
      <c r="J305" s="623" t="s">
        <v>647</v>
      </c>
      <c r="K305" s="351" t="s">
        <v>646</v>
      </c>
      <c r="L305" s="621" t="s">
        <v>648</v>
      </c>
      <c r="M305" s="271" t="s">
        <v>267</v>
      </c>
      <c r="N305" s="271" t="s">
        <v>581</v>
      </c>
      <c r="O305" s="491"/>
      <c r="P305" s="276"/>
      <c r="Q305" s="857"/>
      <c r="R305" s="294"/>
      <c r="S305" s="193"/>
    </row>
    <row r="306" spans="1:19" x14ac:dyDescent="0.2">
      <c r="A306" s="285"/>
      <c r="B306" s="1316"/>
      <c r="C306" s="288"/>
      <c r="D306" s="537">
        <f>_xlfn.XLOOKUP(C306,Códigos!$A$11:$A$415,Códigos!$B$11:$B$415,"Verificar",0)</f>
        <v>0</v>
      </c>
      <c r="E306" s="423"/>
      <c r="F306" s="538"/>
      <c r="G306" s="487">
        <v>0</v>
      </c>
      <c r="H306" s="490" t="s">
        <v>399</v>
      </c>
      <c r="I306" s="488">
        <f t="shared" ref="I306:I308" si="58">+G306</f>
        <v>0</v>
      </c>
      <c r="J306" s="624">
        <f>+I306</f>
        <v>0</v>
      </c>
      <c r="K306" s="488">
        <f t="shared" ref="K306:K320" si="59">+I306-J306</f>
        <v>0</v>
      </c>
      <c r="L306" s="622"/>
      <c r="M306" s="487"/>
      <c r="N306" s="489">
        <f t="shared" ref="N306:N320" si="60">IF(+(K306-L306-M306)&lt;0,0,(K306-L306-M306))</f>
        <v>0</v>
      </c>
      <c r="O306" s="491">
        <f t="shared" ref="O306:O320" si="61">IF(+(K306-L306-M306)&gt;0,0,(K306-L306-M306))</f>
        <v>0</v>
      </c>
      <c r="P306" s="276"/>
      <c r="Q306" s="857"/>
      <c r="R306" s="294"/>
      <c r="S306" s="193"/>
    </row>
    <row r="307" spans="1:19" x14ac:dyDescent="0.2">
      <c r="A307" s="285"/>
      <c r="B307" s="1316"/>
      <c r="C307" s="288"/>
      <c r="D307" s="537">
        <f>_xlfn.XLOOKUP(C307,Códigos!$A$11:$A$415,Códigos!$B$11:$B$415,"Verificar",0)</f>
        <v>0</v>
      </c>
      <c r="E307" s="356"/>
      <c r="F307" s="189"/>
      <c r="G307" s="487">
        <v>0</v>
      </c>
      <c r="H307" s="490" t="s">
        <v>399</v>
      </c>
      <c r="I307" s="488">
        <f t="shared" si="58"/>
        <v>0</v>
      </c>
      <c r="J307" s="624">
        <f>+I307</f>
        <v>0</v>
      </c>
      <c r="K307" s="488">
        <f t="shared" si="59"/>
        <v>0</v>
      </c>
      <c r="L307" s="622"/>
      <c r="M307" s="487"/>
      <c r="N307" s="489">
        <f t="shared" si="60"/>
        <v>0</v>
      </c>
      <c r="O307" s="491">
        <f t="shared" si="61"/>
        <v>0</v>
      </c>
      <c r="P307" s="276"/>
      <c r="Q307" s="857"/>
      <c r="R307" s="294"/>
      <c r="S307" s="193"/>
    </row>
    <row r="308" spans="1:19" x14ac:dyDescent="0.2">
      <c r="A308" s="285"/>
      <c r="B308" s="1316"/>
      <c r="C308" s="288"/>
      <c r="D308" s="537">
        <f>_xlfn.XLOOKUP(C308,Códigos!$A$11:$A$415,Códigos!$B$11:$B$415,"Verificar",0)</f>
        <v>0</v>
      </c>
      <c r="E308" s="356"/>
      <c r="F308" s="326"/>
      <c r="G308" s="487">
        <v>0</v>
      </c>
      <c r="H308" s="490" t="s">
        <v>399</v>
      </c>
      <c r="I308" s="488">
        <f t="shared" si="58"/>
        <v>0</v>
      </c>
      <c r="J308" s="624">
        <v>0</v>
      </c>
      <c r="K308" s="488">
        <f t="shared" si="59"/>
        <v>0</v>
      </c>
      <c r="L308" s="622">
        <f>+K308</f>
        <v>0</v>
      </c>
      <c r="M308" s="487"/>
      <c r="N308" s="489">
        <f t="shared" si="60"/>
        <v>0</v>
      </c>
      <c r="O308" s="491">
        <f t="shared" si="61"/>
        <v>0</v>
      </c>
      <c r="P308" s="276"/>
      <c r="Q308" s="857"/>
      <c r="R308" s="294"/>
      <c r="S308" s="193"/>
    </row>
    <row r="309" spans="1:19" x14ac:dyDescent="0.2">
      <c r="A309" s="325"/>
      <c r="B309" s="1304"/>
      <c r="C309" s="288"/>
      <c r="D309" s="537">
        <f>_xlfn.XLOOKUP(C309,Códigos!$A$11:$A$415,Códigos!$B$11:$B$415,"Verificar",0)</f>
        <v>0</v>
      </c>
      <c r="E309" s="356"/>
      <c r="F309" s="326"/>
      <c r="G309" s="487">
        <v>0</v>
      </c>
      <c r="H309" s="490" t="s">
        <v>399</v>
      </c>
      <c r="I309" s="488">
        <f t="shared" ref="I309:I320" si="62">+G309</f>
        <v>0</v>
      </c>
      <c r="J309" s="624">
        <v>0</v>
      </c>
      <c r="K309" s="488">
        <f t="shared" si="59"/>
        <v>0</v>
      </c>
      <c r="L309" s="622"/>
      <c r="M309" s="487"/>
      <c r="N309" s="489">
        <f t="shared" si="60"/>
        <v>0</v>
      </c>
      <c r="O309" s="491">
        <f t="shared" si="61"/>
        <v>0</v>
      </c>
      <c r="P309" s="276"/>
      <c r="Q309" s="857"/>
      <c r="R309" s="294"/>
      <c r="S309" s="193"/>
    </row>
    <row r="310" spans="1:19" x14ac:dyDescent="0.2">
      <c r="A310" s="325"/>
      <c r="B310" s="1304"/>
      <c r="C310" s="288"/>
      <c r="D310" s="537">
        <f>_xlfn.XLOOKUP(C310,Códigos!$A$11:$A$415,Códigos!$B$11:$B$415,"Verificar",0)</f>
        <v>0</v>
      </c>
      <c r="E310" s="356"/>
      <c r="F310" s="326"/>
      <c r="G310" s="487">
        <v>0</v>
      </c>
      <c r="H310" s="490" t="s">
        <v>399</v>
      </c>
      <c r="I310" s="488">
        <f t="shared" si="62"/>
        <v>0</v>
      </c>
      <c r="J310" s="624">
        <v>0</v>
      </c>
      <c r="K310" s="488">
        <f t="shared" si="59"/>
        <v>0</v>
      </c>
      <c r="L310" s="622"/>
      <c r="M310" s="487"/>
      <c r="N310" s="489">
        <f t="shared" si="60"/>
        <v>0</v>
      </c>
      <c r="O310" s="491">
        <f t="shared" si="61"/>
        <v>0</v>
      </c>
      <c r="P310" s="276"/>
      <c r="Q310" s="857"/>
      <c r="R310" s="294"/>
      <c r="S310" s="193"/>
    </row>
    <row r="311" spans="1:19" x14ac:dyDescent="0.2">
      <c r="A311" s="325"/>
      <c r="B311" s="1304"/>
      <c r="C311" s="288"/>
      <c r="D311" s="537">
        <f>_xlfn.XLOOKUP(C311,Códigos!$A$11:$A$415,Códigos!$B$11:$B$415,"Verificar",0)</f>
        <v>0</v>
      </c>
      <c r="E311" s="356"/>
      <c r="F311" s="326"/>
      <c r="G311" s="487">
        <v>0</v>
      </c>
      <c r="H311" s="490" t="s">
        <v>399</v>
      </c>
      <c r="I311" s="488">
        <f t="shared" si="62"/>
        <v>0</v>
      </c>
      <c r="J311" s="624">
        <v>0</v>
      </c>
      <c r="K311" s="488">
        <f t="shared" si="59"/>
        <v>0</v>
      </c>
      <c r="L311" s="622"/>
      <c r="M311" s="487"/>
      <c r="N311" s="489">
        <f t="shared" si="60"/>
        <v>0</v>
      </c>
      <c r="O311" s="491">
        <f t="shared" si="61"/>
        <v>0</v>
      </c>
      <c r="P311" s="276"/>
      <c r="Q311" s="857"/>
      <c r="R311" s="294"/>
      <c r="S311" s="193"/>
    </row>
    <row r="312" spans="1:19" x14ac:dyDescent="0.2">
      <c r="A312" s="325"/>
      <c r="B312" s="1304"/>
      <c r="C312" s="288"/>
      <c r="D312" s="537">
        <f>_xlfn.XLOOKUP(C312,Códigos!$A$11:$A$415,Códigos!$B$11:$B$415,"Verificar",0)</f>
        <v>0</v>
      </c>
      <c r="E312" s="356"/>
      <c r="F312" s="326"/>
      <c r="G312" s="487">
        <v>0</v>
      </c>
      <c r="H312" s="490" t="s">
        <v>399</v>
      </c>
      <c r="I312" s="488">
        <f t="shared" si="62"/>
        <v>0</v>
      </c>
      <c r="J312" s="624">
        <v>0</v>
      </c>
      <c r="K312" s="488">
        <f t="shared" si="59"/>
        <v>0</v>
      </c>
      <c r="L312" s="622"/>
      <c r="M312" s="487"/>
      <c r="N312" s="489">
        <f t="shared" si="60"/>
        <v>0</v>
      </c>
      <c r="O312" s="491">
        <f t="shared" si="61"/>
        <v>0</v>
      </c>
      <c r="P312" s="276"/>
      <c r="Q312" s="857"/>
      <c r="R312" s="294"/>
      <c r="S312" s="193"/>
    </row>
    <row r="313" spans="1:19" x14ac:dyDescent="0.2">
      <c r="A313" s="325"/>
      <c r="B313" s="1304"/>
      <c r="C313" s="288"/>
      <c r="D313" s="537">
        <f>_xlfn.XLOOKUP(C313,Códigos!$A$11:$A$415,Códigos!$B$11:$B$415,"Verificar",0)</f>
        <v>0</v>
      </c>
      <c r="E313" s="356"/>
      <c r="F313" s="326"/>
      <c r="G313" s="487">
        <v>0</v>
      </c>
      <c r="H313" s="490" t="s">
        <v>399</v>
      </c>
      <c r="I313" s="488">
        <f t="shared" si="62"/>
        <v>0</v>
      </c>
      <c r="J313" s="624">
        <v>0</v>
      </c>
      <c r="K313" s="488">
        <f t="shared" si="59"/>
        <v>0</v>
      </c>
      <c r="L313" s="622"/>
      <c r="M313" s="487"/>
      <c r="N313" s="489">
        <f t="shared" si="60"/>
        <v>0</v>
      </c>
      <c r="O313" s="491">
        <f t="shared" si="61"/>
        <v>0</v>
      </c>
      <c r="P313" s="276"/>
      <c r="Q313" s="857"/>
      <c r="R313" s="294"/>
      <c r="S313" s="193"/>
    </row>
    <row r="314" spans="1:19" x14ac:dyDescent="0.2">
      <c r="A314" s="325"/>
      <c r="B314" s="1304"/>
      <c r="C314" s="288"/>
      <c r="D314" s="537">
        <f>_xlfn.XLOOKUP(C314,Códigos!$A$11:$A$415,Códigos!$B$11:$B$415,"Verificar",0)</f>
        <v>0</v>
      </c>
      <c r="E314" s="356"/>
      <c r="F314" s="326"/>
      <c r="G314" s="487">
        <v>0</v>
      </c>
      <c r="H314" s="490" t="s">
        <v>399</v>
      </c>
      <c r="I314" s="488">
        <f t="shared" si="62"/>
        <v>0</v>
      </c>
      <c r="J314" s="624">
        <v>0</v>
      </c>
      <c r="K314" s="488">
        <f t="shared" si="59"/>
        <v>0</v>
      </c>
      <c r="L314" s="622"/>
      <c r="M314" s="487"/>
      <c r="N314" s="489">
        <f t="shared" si="60"/>
        <v>0</v>
      </c>
      <c r="O314" s="491">
        <f t="shared" si="61"/>
        <v>0</v>
      </c>
      <c r="P314" s="276"/>
      <c r="Q314" s="857"/>
      <c r="R314" s="294"/>
      <c r="S314" s="193"/>
    </row>
    <row r="315" spans="1:19" x14ac:dyDescent="0.2">
      <c r="A315" s="325"/>
      <c r="B315" s="1304"/>
      <c r="C315" s="288"/>
      <c r="D315" s="537">
        <f>_xlfn.XLOOKUP(C315,Códigos!$A$11:$A$415,Códigos!$B$11:$B$415,"Verificar",0)</f>
        <v>0</v>
      </c>
      <c r="E315" s="356"/>
      <c r="F315" s="326"/>
      <c r="G315" s="487">
        <v>0</v>
      </c>
      <c r="H315" s="490" t="s">
        <v>399</v>
      </c>
      <c r="I315" s="488">
        <f t="shared" si="62"/>
        <v>0</v>
      </c>
      <c r="J315" s="624">
        <v>0</v>
      </c>
      <c r="K315" s="488">
        <f t="shared" si="59"/>
        <v>0</v>
      </c>
      <c r="L315" s="622"/>
      <c r="M315" s="487"/>
      <c r="N315" s="489">
        <f t="shared" si="60"/>
        <v>0</v>
      </c>
      <c r="O315" s="491">
        <f t="shared" si="61"/>
        <v>0</v>
      </c>
      <c r="P315" s="276"/>
      <c r="Q315" s="857"/>
      <c r="R315" s="294"/>
      <c r="S315" s="193"/>
    </row>
    <row r="316" spans="1:19" x14ac:dyDescent="0.2">
      <c r="A316" s="325"/>
      <c r="B316" s="1304"/>
      <c r="C316" s="288"/>
      <c r="D316" s="537">
        <f>_xlfn.XLOOKUP(C316,Códigos!$A$11:$A$415,Códigos!$B$11:$B$415,"Verificar",0)</f>
        <v>0</v>
      </c>
      <c r="E316" s="356"/>
      <c r="F316" s="326"/>
      <c r="G316" s="487">
        <v>0</v>
      </c>
      <c r="H316" s="490" t="s">
        <v>399</v>
      </c>
      <c r="I316" s="488">
        <f t="shared" si="62"/>
        <v>0</v>
      </c>
      <c r="J316" s="624">
        <v>0</v>
      </c>
      <c r="K316" s="488">
        <f t="shared" si="59"/>
        <v>0</v>
      </c>
      <c r="L316" s="622"/>
      <c r="M316" s="487"/>
      <c r="N316" s="489">
        <f t="shared" si="60"/>
        <v>0</v>
      </c>
      <c r="O316" s="491">
        <f t="shared" si="61"/>
        <v>0</v>
      </c>
      <c r="P316" s="276"/>
      <c r="Q316" s="857"/>
      <c r="R316" s="294"/>
      <c r="S316" s="193"/>
    </row>
    <row r="317" spans="1:19" x14ac:dyDescent="0.2">
      <c r="A317" s="325"/>
      <c r="B317" s="1304"/>
      <c r="C317" s="288"/>
      <c r="D317" s="537">
        <f>_xlfn.XLOOKUP(C317,Códigos!$A$11:$A$415,Códigos!$B$11:$B$415,"Verificar",0)</f>
        <v>0</v>
      </c>
      <c r="E317" s="356"/>
      <c r="F317" s="326"/>
      <c r="G317" s="487">
        <v>0</v>
      </c>
      <c r="H317" s="490" t="s">
        <v>399</v>
      </c>
      <c r="I317" s="488">
        <f t="shared" si="62"/>
        <v>0</v>
      </c>
      <c r="J317" s="624">
        <v>0</v>
      </c>
      <c r="K317" s="488">
        <f t="shared" si="59"/>
        <v>0</v>
      </c>
      <c r="L317" s="622"/>
      <c r="M317" s="487"/>
      <c r="N317" s="489">
        <f t="shared" si="60"/>
        <v>0</v>
      </c>
      <c r="O317" s="491">
        <f t="shared" si="61"/>
        <v>0</v>
      </c>
      <c r="P317" s="276"/>
      <c r="Q317" s="857"/>
      <c r="R317" s="294"/>
      <c r="S317" s="193"/>
    </row>
    <row r="318" spans="1:19" x14ac:dyDescent="0.2">
      <c r="A318" s="325"/>
      <c r="B318" s="1304"/>
      <c r="C318" s="288"/>
      <c r="D318" s="537">
        <f>_xlfn.XLOOKUP(C318,Códigos!$A$11:$A$415,Códigos!$B$11:$B$415,"Verificar",0)</f>
        <v>0</v>
      </c>
      <c r="E318" s="356"/>
      <c r="F318" s="326"/>
      <c r="G318" s="487">
        <v>0</v>
      </c>
      <c r="H318" s="490" t="s">
        <v>399</v>
      </c>
      <c r="I318" s="488">
        <f t="shared" si="62"/>
        <v>0</v>
      </c>
      <c r="J318" s="624">
        <v>0</v>
      </c>
      <c r="K318" s="488">
        <f t="shared" si="59"/>
        <v>0</v>
      </c>
      <c r="L318" s="622"/>
      <c r="M318" s="487"/>
      <c r="N318" s="489">
        <f t="shared" si="60"/>
        <v>0</v>
      </c>
      <c r="O318" s="491">
        <f t="shared" si="61"/>
        <v>0</v>
      </c>
      <c r="P318" s="276"/>
      <c r="Q318" s="857"/>
      <c r="R318" s="294"/>
      <c r="S318" s="193"/>
    </row>
    <row r="319" spans="1:19" x14ac:dyDescent="0.2">
      <c r="A319" s="325"/>
      <c r="B319" s="1304"/>
      <c r="C319" s="288"/>
      <c r="D319" s="537">
        <f>_xlfn.XLOOKUP(C319,Códigos!$A$11:$A$415,Códigos!$B$11:$B$415,"Verificar",0)</f>
        <v>0</v>
      </c>
      <c r="E319" s="356"/>
      <c r="F319" s="326"/>
      <c r="G319" s="487">
        <v>0</v>
      </c>
      <c r="H319" s="490" t="s">
        <v>399</v>
      </c>
      <c r="I319" s="488">
        <f t="shared" si="62"/>
        <v>0</v>
      </c>
      <c r="J319" s="624">
        <v>0</v>
      </c>
      <c r="K319" s="488">
        <f t="shared" si="59"/>
        <v>0</v>
      </c>
      <c r="L319" s="622"/>
      <c r="M319" s="487"/>
      <c r="N319" s="489">
        <f t="shared" si="60"/>
        <v>0</v>
      </c>
      <c r="O319" s="491">
        <f t="shared" si="61"/>
        <v>0</v>
      </c>
      <c r="P319" s="276"/>
      <c r="Q319" s="857"/>
      <c r="R319" s="294"/>
      <c r="S319" s="193"/>
    </row>
    <row r="320" spans="1:19" x14ac:dyDescent="0.2">
      <c r="A320" s="325"/>
      <c r="B320" s="1304"/>
      <c r="C320" s="288"/>
      <c r="D320" s="537">
        <f>_xlfn.XLOOKUP(C320,Códigos!$A$11:$A$415,Códigos!$B$11:$B$415,"Verificar",0)</f>
        <v>0</v>
      </c>
      <c r="E320" s="356"/>
      <c r="F320" s="326"/>
      <c r="G320" s="487">
        <v>0</v>
      </c>
      <c r="H320" s="490" t="s">
        <v>399</v>
      </c>
      <c r="I320" s="488">
        <f t="shared" si="62"/>
        <v>0</v>
      </c>
      <c r="J320" s="624">
        <v>0</v>
      </c>
      <c r="K320" s="488">
        <f t="shared" si="59"/>
        <v>0</v>
      </c>
      <c r="L320" s="622"/>
      <c r="M320" s="487"/>
      <c r="N320" s="489">
        <f t="shared" si="60"/>
        <v>0</v>
      </c>
      <c r="O320" s="491">
        <f t="shared" si="61"/>
        <v>0</v>
      </c>
      <c r="P320" s="276"/>
      <c r="Q320" s="857"/>
      <c r="R320" s="294"/>
      <c r="S320" s="193"/>
    </row>
    <row r="321" spans="1:19" x14ac:dyDescent="0.2">
      <c r="B321" s="1299"/>
      <c r="D321" s="18"/>
      <c r="Q321" s="494"/>
      <c r="S321" s="193"/>
    </row>
    <row r="322" spans="1:19" x14ac:dyDescent="0.2">
      <c r="A322" s="361" t="s">
        <v>102</v>
      </c>
      <c r="B322" s="1306" t="str">
        <f>+A302</f>
        <v>OTROS INGRESOS SIN FACTURACIÓN</v>
      </c>
      <c r="C322" s="363"/>
      <c r="D322" s="362"/>
      <c r="E322" s="363"/>
      <c r="F322" s="364"/>
      <c r="G322" s="365">
        <f>SUM(G306:G321)</f>
        <v>0</v>
      </c>
      <c r="H322" s="365">
        <f t="shared" ref="H322:N322" si="63">SUM(H306:H321)</f>
        <v>0</v>
      </c>
      <c r="I322" s="365">
        <f t="shared" si="63"/>
        <v>0</v>
      </c>
      <c r="J322" s="794">
        <f t="shared" si="63"/>
        <v>0</v>
      </c>
      <c r="K322" s="365">
        <f t="shared" si="63"/>
        <v>0</v>
      </c>
      <c r="L322" s="365">
        <f t="shared" si="63"/>
        <v>0</v>
      </c>
      <c r="M322" s="365">
        <f t="shared" si="63"/>
        <v>0</v>
      </c>
      <c r="N322" s="365">
        <f t="shared" si="63"/>
        <v>0</v>
      </c>
      <c r="O322" s="209">
        <f>SUM(O170:O321)</f>
        <v>0</v>
      </c>
      <c r="P322" s="31"/>
      <c r="Q322" s="858"/>
      <c r="R322" s="218"/>
      <c r="S322" s="193"/>
    </row>
    <row r="323" spans="1:19" x14ac:dyDescent="0.2">
      <c r="A323" s="30"/>
      <c r="B323" s="1308"/>
      <c r="C323" s="93"/>
      <c r="D323" s="210"/>
      <c r="F323" s="31"/>
      <c r="G323" s="66"/>
      <c r="H323" s="66"/>
      <c r="I323" s="66"/>
      <c r="J323" s="66"/>
      <c r="K323" s="66"/>
      <c r="L323" s="66"/>
      <c r="M323" s="66"/>
      <c r="N323" s="66"/>
      <c r="O323" s="31"/>
      <c r="P323" s="31"/>
      <c r="Q323" s="858"/>
      <c r="R323" s="218"/>
      <c r="S323" s="193"/>
    </row>
    <row r="324" spans="1:19" s="61" customFormat="1" x14ac:dyDescent="0.2">
      <c r="A324" s="789" t="s">
        <v>708</v>
      </c>
      <c r="B324" s="1317"/>
      <c r="C324" s="791"/>
      <c r="D324" s="790"/>
      <c r="E324" s="791"/>
      <c r="F324" s="792"/>
      <c r="G324" s="793">
        <f>+G98+G141+G300+G322</f>
        <v>151163000</v>
      </c>
      <c r="H324" s="793">
        <f t="shared" ref="H324:O324" si="64">+H98+H141+H300+H322</f>
        <v>5624570</v>
      </c>
      <c r="I324" s="793">
        <f t="shared" si="64"/>
        <v>156787570</v>
      </c>
      <c r="J324" s="793">
        <f t="shared" si="64"/>
        <v>3256330</v>
      </c>
      <c r="K324" s="793">
        <f t="shared" si="64"/>
        <v>153531240</v>
      </c>
      <c r="L324" s="793">
        <f t="shared" si="64"/>
        <v>53301240</v>
      </c>
      <c r="M324" s="793">
        <f t="shared" si="64"/>
        <v>40000</v>
      </c>
      <c r="N324" s="793">
        <f t="shared" si="64"/>
        <v>100190000</v>
      </c>
      <c r="O324" s="795">
        <f t="shared" si="64"/>
        <v>0</v>
      </c>
      <c r="P324" s="218"/>
      <c r="Q324" s="864"/>
      <c r="R324" s="218"/>
      <c r="S324" s="221"/>
    </row>
    <row r="325" spans="1:19" ht="5.0999999999999996" customHeight="1" x14ac:dyDescent="0.2">
      <c r="A325" s="243"/>
      <c r="B325" s="1312"/>
      <c r="C325" s="822"/>
      <c r="D325" s="193"/>
      <c r="E325" s="359"/>
      <c r="F325" s="193"/>
      <c r="G325" s="213"/>
      <c r="H325" s="334"/>
      <c r="I325" s="334"/>
      <c r="J325" s="334"/>
      <c r="K325" s="334"/>
      <c r="L325" s="213"/>
      <c r="M325" s="213"/>
      <c r="N325" s="250"/>
      <c r="O325" s="213"/>
      <c r="P325" s="193"/>
      <c r="Q325" s="863"/>
      <c r="R325" s="221"/>
      <c r="S325" s="193"/>
    </row>
    <row r="326" spans="1:19" x14ac:dyDescent="0.2">
      <c r="D326" s="18"/>
    </row>
    <row r="327" spans="1:19" x14ac:dyDescent="0.2">
      <c r="A327" s="14" t="s">
        <v>815</v>
      </c>
      <c r="D327" s="18"/>
    </row>
    <row r="328" spans="1:19" x14ac:dyDescent="0.2">
      <c r="A328" s="1211" t="s">
        <v>813</v>
      </c>
      <c r="B328" s="1318">
        <v>42412</v>
      </c>
      <c r="C328" s="1003">
        <v>3500</v>
      </c>
      <c r="D328" s="18"/>
    </row>
    <row r="329" spans="1:19" x14ac:dyDescent="0.2">
      <c r="A329" s="1212" t="s">
        <v>814</v>
      </c>
      <c r="B329" s="1319">
        <v>38004</v>
      </c>
      <c r="C329" s="1003">
        <v>3500</v>
      </c>
      <c r="D329" s="18"/>
    </row>
    <row r="330" spans="1:19" x14ac:dyDescent="0.2">
      <c r="D330" s="18"/>
    </row>
    <row r="331" spans="1:19" x14ac:dyDescent="0.2">
      <c r="A331" s="340" t="s">
        <v>812</v>
      </c>
      <c r="B331" s="1320"/>
      <c r="C331" s="185"/>
      <c r="D331" s="195"/>
      <c r="E331" s="341"/>
      <c r="F331" s="196"/>
      <c r="G331" s="223">
        <f>+B328*C328</f>
        <v>148442000</v>
      </c>
      <c r="H331" s="252">
        <f>+G300-K331</f>
        <v>121130000</v>
      </c>
      <c r="J331" s="334" t="s">
        <v>308</v>
      </c>
      <c r="K331" s="250">
        <f>SUMIF(P152:P298,J331,K152:K298)</f>
        <v>430000</v>
      </c>
      <c r="L331" s="128">
        <f>+L300-K331</f>
        <v>20900000</v>
      </c>
    </row>
    <row r="332" spans="1:19" x14ac:dyDescent="0.2">
      <c r="A332" s="340" t="s">
        <v>811</v>
      </c>
      <c r="B332" s="1320"/>
      <c r="C332" s="185"/>
      <c r="D332" s="195"/>
      <c r="E332" s="341"/>
      <c r="F332" s="196"/>
      <c r="G332" s="223">
        <f>+B329*C329</f>
        <v>133014000</v>
      </c>
      <c r="L332" s="128">
        <f>+G331-L331</f>
        <v>127542000</v>
      </c>
    </row>
    <row r="333" spans="1:19" x14ac:dyDescent="0.2">
      <c r="D333" s="18"/>
      <c r="F333" s="222" t="s">
        <v>754</v>
      </c>
      <c r="G333" s="329">
        <f>+G331-G300</f>
        <v>26882000</v>
      </c>
    </row>
    <row r="334" spans="1:19" x14ac:dyDescent="0.2">
      <c r="D334" s="18"/>
      <c r="F334" s="222" t="s">
        <v>755</v>
      </c>
      <c r="G334" s="329">
        <f>+G332-G300</f>
        <v>11454000</v>
      </c>
    </row>
    <row r="335" spans="1:19" x14ac:dyDescent="0.2">
      <c r="D335" s="18"/>
    </row>
    <row r="336" spans="1:19" x14ac:dyDescent="0.2">
      <c r="A336" s="344" t="s">
        <v>401</v>
      </c>
      <c r="B336" s="1321"/>
      <c r="C336" s="823"/>
      <c r="D336" s="197"/>
      <c r="E336" s="360"/>
      <c r="F336" s="197"/>
      <c r="G336" s="330"/>
      <c r="H336" s="335"/>
      <c r="I336" s="335"/>
      <c r="J336" s="335"/>
      <c r="K336" s="335"/>
      <c r="L336" s="330"/>
      <c r="M336" s="330"/>
      <c r="N336" s="245"/>
      <c r="O336" s="214"/>
    </row>
    <row r="337" spans="1:18" x14ac:dyDescent="0.2">
      <c r="A337" s="244"/>
      <c r="B337" s="1321"/>
      <c r="C337" s="823"/>
      <c r="D337" s="197"/>
      <c r="E337" s="360"/>
      <c r="F337" s="197"/>
      <c r="G337" s="330"/>
      <c r="H337" s="335"/>
      <c r="I337" s="335"/>
      <c r="J337" s="335"/>
      <c r="K337" s="335"/>
      <c r="L337" s="330"/>
      <c r="M337" s="330"/>
      <c r="N337" s="245"/>
      <c r="O337" s="214"/>
    </row>
    <row r="338" spans="1:18" x14ac:dyDescent="0.2">
      <c r="A338" s="241" t="s">
        <v>330</v>
      </c>
      <c r="B338" s="1321"/>
      <c r="C338" s="823"/>
      <c r="D338" s="197"/>
      <c r="E338" s="360"/>
      <c r="F338" s="197"/>
      <c r="G338" s="330">
        <f t="shared" ref="G338:N338" si="65">G98</f>
        <v>29603000</v>
      </c>
      <c r="H338" s="335">
        <f t="shared" si="65"/>
        <v>5624570</v>
      </c>
      <c r="I338" s="335">
        <f t="shared" si="65"/>
        <v>35227570</v>
      </c>
      <c r="J338" s="335">
        <f t="shared" si="65"/>
        <v>3256330</v>
      </c>
      <c r="K338" s="335">
        <f t="shared" si="65"/>
        <v>31971240</v>
      </c>
      <c r="L338" s="330">
        <f t="shared" si="65"/>
        <v>31971240</v>
      </c>
      <c r="M338" s="330">
        <f t="shared" si="65"/>
        <v>0</v>
      </c>
      <c r="N338" s="245">
        <f t="shared" si="65"/>
        <v>0</v>
      </c>
      <c r="O338" s="214"/>
    </row>
    <row r="339" spans="1:18" x14ac:dyDescent="0.2">
      <c r="A339" s="241" t="s">
        <v>331</v>
      </c>
      <c r="B339" s="1321"/>
      <c r="C339" s="823"/>
      <c r="D339" s="197"/>
      <c r="E339" s="360"/>
      <c r="F339" s="197"/>
      <c r="G339" s="330">
        <f t="shared" ref="G339:N339" si="66">+G141</f>
        <v>0</v>
      </c>
      <c r="H339" s="335">
        <f t="shared" si="66"/>
        <v>0</v>
      </c>
      <c r="I339" s="335">
        <f t="shared" si="66"/>
        <v>0</v>
      </c>
      <c r="J339" s="335">
        <f t="shared" si="66"/>
        <v>0</v>
      </c>
      <c r="K339" s="335">
        <f t="shared" si="66"/>
        <v>0</v>
      </c>
      <c r="L339" s="330">
        <f t="shared" si="66"/>
        <v>0</v>
      </c>
      <c r="M339" s="330">
        <f t="shared" si="66"/>
        <v>0</v>
      </c>
      <c r="N339" s="245">
        <f t="shared" si="66"/>
        <v>0</v>
      </c>
      <c r="O339" s="214"/>
    </row>
    <row r="340" spans="1:18" x14ac:dyDescent="0.2">
      <c r="A340" s="241" t="s">
        <v>259</v>
      </c>
      <c r="B340" s="1321"/>
      <c r="C340" s="823"/>
      <c r="D340" s="197"/>
      <c r="E340" s="360"/>
      <c r="F340" s="197"/>
      <c r="G340" s="330">
        <f t="shared" ref="G340:N340" si="67">+G300</f>
        <v>121560000</v>
      </c>
      <c r="H340" s="335">
        <f t="shared" si="67"/>
        <v>0</v>
      </c>
      <c r="I340" s="335">
        <f t="shared" si="67"/>
        <v>121560000</v>
      </c>
      <c r="J340" s="335">
        <f t="shared" si="67"/>
        <v>0</v>
      </c>
      <c r="K340" s="335">
        <f t="shared" si="67"/>
        <v>121560000</v>
      </c>
      <c r="L340" s="330">
        <f t="shared" si="67"/>
        <v>21330000</v>
      </c>
      <c r="M340" s="330">
        <f t="shared" si="67"/>
        <v>40000</v>
      </c>
      <c r="N340" s="245">
        <f t="shared" si="67"/>
        <v>100190000</v>
      </c>
      <c r="O340" s="214"/>
    </row>
    <row r="341" spans="1:18" x14ac:dyDescent="0.2">
      <c r="A341" s="241"/>
      <c r="B341" s="1321"/>
      <c r="C341" s="823"/>
      <c r="D341" s="197"/>
      <c r="E341" s="360"/>
      <c r="F341" s="197"/>
      <c r="G341" s="330"/>
      <c r="H341" s="335"/>
      <c r="I341" s="335"/>
      <c r="J341" s="335"/>
      <c r="K341" s="335"/>
      <c r="L341" s="330"/>
      <c r="M341" s="330"/>
      <c r="N341" s="245"/>
      <c r="O341" s="214"/>
    </row>
    <row r="342" spans="1:18" x14ac:dyDescent="0.2">
      <c r="A342" s="244" t="s">
        <v>104</v>
      </c>
      <c r="B342" s="1322"/>
      <c r="C342" s="823"/>
      <c r="D342" s="197"/>
      <c r="E342" s="360"/>
      <c r="F342" s="198"/>
      <c r="G342" s="331">
        <f t="shared" ref="G342:N342" si="68">SUM(G338:G341)</f>
        <v>151163000</v>
      </c>
      <c r="H342" s="335">
        <f t="shared" si="68"/>
        <v>5624570</v>
      </c>
      <c r="I342" s="245">
        <f t="shared" si="68"/>
        <v>156787570</v>
      </c>
      <c r="J342" s="335">
        <f t="shared" si="68"/>
        <v>3256330</v>
      </c>
      <c r="K342" s="245">
        <f t="shared" si="68"/>
        <v>153531240</v>
      </c>
      <c r="L342" s="331">
        <f t="shared" si="68"/>
        <v>53301240</v>
      </c>
      <c r="M342" s="331">
        <f t="shared" si="68"/>
        <v>40000</v>
      </c>
      <c r="N342" s="245">
        <f t="shared" si="68"/>
        <v>100190000</v>
      </c>
      <c r="O342" s="215"/>
      <c r="P342" s="31"/>
      <c r="Q342" s="858"/>
      <c r="R342" s="218"/>
    </row>
    <row r="343" spans="1:18" x14ac:dyDescent="0.2">
      <c r="D343" s="18"/>
    </row>
    <row r="344" spans="1:18" x14ac:dyDescent="0.2">
      <c r="D344" s="18"/>
    </row>
    <row r="345" spans="1:18" x14ac:dyDescent="0.2">
      <c r="D345" s="18"/>
    </row>
    <row r="346" spans="1:18" x14ac:dyDescent="0.2">
      <c r="D346" s="18"/>
      <c r="G346" s="1"/>
      <c r="H346" s="1"/>
    </row>
    <row r="347" spans="1:18" x14ac:dyDescent="0.2">
      <c r="D347" s="18"/>
      <c r="G347" s="1"/>
      <c r="H347" s="1"/>
    </row>
    <row r="348" spans="1:18" x14ac:dyDescent="0.2">
      <c r="D348" s="18"/>
      <c r="G348" s="1"/>
      <c r="H348" s="1"/>
    </row>
    <row r="349" spans="1:18" x14ac:dyDescent="0.2">
      <c r="D349" s="18"/>
      <c r="G349" s="1"/>
      <c r="H349" s="1"/>
    </row>
    <row r="350" spans="1:18" x14ac:dyDescent="0.2">
      <c r="D350" s="18"/>
      <c r="G350" s="1"/>
      <c r="H350" s="1"/>
    </row>
    <row r="351" spans="1:18" x14ac:dyDescent="0.2">
      <c r="D351" s="18"/>
    </row>
    <row r="352" spans="1:18" x14ac:dyDescent="0.2">
      <c r="D352" s="18"/>
    </row>
    <row r="353" spans="4:8" x14ac:dyDescent="0.2">
      <c r="D353" s="18"/>
    </row>
    <row r="354" spans="4:8" x14ac:dyDescent="0.2">
      <c r="D354" s="18"/>
    </row>
    <row r="355" spans="4:8" x14ac:dyDescent="0.2">
      <c r="D355" s="18"/>
    </row>
    <row r="356" spans="4:8" x14ac:dyDescent="0.2">
      <c r="D356" s="18"/>
    </row>
    <row r="357" spans="4:8" x14ac:dyDescent="0.2">
      <c r="D357" s="18"/>
      <c r="H357" s="1210"/>
    </row>
    <row r="358" spans="4:8" x14ac:dyDescent="0.2">
      <c r="D358" s="18"/>
    </row>
    <row r="359" spans="4:8" x14ac:dyDescent="0.2">
      <c r="D359" s="18"/>
    </row>
    <row r="360" spans="4:8" x14ac:dyDescent="0.2">
      <c r="D360" s="18"/>
    </row>
    <row r="361" spans="4:8" x14ac:dyDescent="0.2">
      <c r="D361" s="18"/>
    </row>
    <row r="362" spans="4:8" x14ac:dyDescent="0.2">
      <c r="D362" s="18"/>
    </row>
    <row r="363" spans="4:8" x14ac:dyDescent="0.2">
      <c r="D363" s="18"/>
    </row>
    <row r="364" spans="4:8" x14ac:dyDescent="0.2">
      <c r="D364" s="18"/>
    </row>
    <row r="365" spans="4:8" x14ac:dyDescent="0.2">
      <c r="D365" s="18"/>
    </row>
    <row r="366" spans="4:8" x14ac:dyDescent="0.2">
      <c r="D366" s="18"/>
    </row>
    <row r="367" spans="4:8" x14ac:dyDescent="0.2">
      <c r="D367" s="18"/>
    </row>
    <row r="368" spans="4:8" x14ac:dyDescent="0.2">
      <c r="D368" s="18"/>
    </row>
    <row r="369" spans="4:4" x14ac:dyDescent="0.2">
      <c r="D369" s="18"/>
    </row>
    <row r="370" spans="4:4" x14ac:dyDescent="0.2">
      <c r="D370" s="18"/>
    </row>
    <row r="371" spans="4:4" x14ac:dyDescent="0.2">
      <c r="D371" s="18"/>
    </row>
    <row r="372" spans="4:4" x14ac:dyDescent="0.2">
      <c r="D372" s="18"/>
    </row>
    <row r="373" spans="4:4" x14ac:dyDescent="0.2">
      <c r="D373" s="18"/>
    </row>
    <row r="374" spans="4:4" x14ac:dyDescent="0.2">
      <c r="D374" s="18"/>
    </row>
    <row r="375" spans="4:4" x14ac:dyDescent="0.2">
      <c r="D375" s="18"/>
    </row>
    <row r="376" spans="4:4" x14ac:dyDescent="0.2">
      <c r="D376" s="18"/>
    </row>
    <row r="377" spans="4:4" x14ac:dyDescent="0.2">
      <c r="D377" s="18"/>
    </row>
    <row r="378" spans="4:4" x14ac:dyDescent="0.2">
      <c r="D378" s="18"/>
    </row>
    <row r="379" spans="4:4" x14ac:dyDescent="0.2">
      <c r="D379" s="18"/>
    </row>
    <row r="380" spans="4:4" x14ac:dyDescent="0.2">
      <c r="D380" s="18"/>
    </row>
    <row r="381" spans="4:4" x14ac:dyDescent="0.2">
      <c r="D381" s="18"/>
    </row>
    <row r="382" spans="4:4" x14ac:dyDescent="0.2">
      <c r="D382" s="18"/>
    </row>
    <row r="383" spans="4:4" x14ac:dyDescent="0.2">
      <c r="D383" s="18"/>
    </row>
    <row r="384" spans="4:4" x14ac:dyDescent="0.2">
      <c r="D384" s="18"/>
    </row>
    <row r="385" spans="4:4" x14ac:dyDescent="0.2">
      <c r="D385" s="18"/>
    </row>
    <row r="386" spans="4:4" x14ac:dyDescent="0.2">
      <c r="D386" s="18"/>
    </row>
    <row r="387" spans="4:4" x14ac:dyDescent="0.2">
      <c r="D387" s="18"/>
    </row>
    <row r="388" spans="4:4" x14ac:dyDescent="0.2">
      <c r="D388" s="18"/>
    </row>
    <row r="389" spans="4:4" x14ac:dyDescent="0.2">
      <c r="D389" s="18"/>
    </row>
    <row r="390" spans="4:4" x14ac:dyDescent="0.2">
      <c r="D390" s="18"/>
    </row>
    <row r="391" spans="4:4" x14ac:dyDescent="0.2">
      <c r="D391" s="18"/>
    </row>
    <row r="392" spans="4:4" x14ac:dyDescent="0.2">
      <c r="D392" s="18"/>
    </row>
  </sheetData>
  <autoFilter ref="P6:P320" xr:uid="{00000000-0001-0000-0400-000000000000}"/>
  <sortState xmlns:xlrd2="http://schemas.microsoft.com/office/spreadsheetml/2017/richdata2" ref="A149:R290">
    <sortCondition ref="A149:A290"/>
  </sortState>
  <printOptions horizontalCentered="1"/>
  <pageMargins left="0.15972222222222221" right="0.28333333333333333" top="0.39374999999999999" bottom="0.58333333333333337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92"/>
  <sheetViews>
    <sheetView showGridLines="0" zoomScale="80" zoomScaleNormal="80" workbookViewId="0">
      <pane xSplit="3" ySplit="8" topLeftCell="D9" activePane="bottomRight" state="frozen"/>
      <selection pane="topRight"/>
      <selection pane="bottomLeft"/>
      <selection pane="bottomRight" activeCell="D9" sqref="D9"/>
    </sheetView>
  </sheetViews>
  <sheetFormatPr baseColWidth="10" defaultRowHeight="12.75" x14ac:dyDescent="0.2"/>
  <cols>
    <col min="1" max="1" width="7.77734375" style="72" customWidth="1"/>
    <col min="2" max="2" width="55.77734375" style="72" customWidth="1"/>
    <col min="3" max="3" width="13.77734375" style="72" bestFit="1" customWidth="1"/>
    <col min="4" max="5" width="15.77734375" style="72" customWidth="1"/>
    <col min="6" max="7" width="12.88671875" style="72" bestFit="1" customWidth="1"/>
    <col min="8" max="8" width="11.88671875" style="72" bestFit="1" customWidth="1"/>
    <col min="9" max="9" width="14.6640625" style="72" customWidth="1"/>
    <col min="10" max="10" width="30.77734375" style="72" customWidth="1"/>
    <col min="11" max="11" width="1.77734375" style="81" customWidth="1"/>
    <col min="12" max="12" width="13.88671875" style="72" customWidth="1"/>
    <col min="13" max="16384" width="11.5546875" style="72"/>
  </cols>
  <sheetData>
    <row r="1" spans="1:10" x14ac:dyDescent="0.2">
      <c r="A1" s="225" t="str">
        <f>+Códigos!$A$1</f>
        <v>LIBRO DIARIO OFICINA</v>
      </c>
      <c r="B1" s="506"/>
      <c r="C1" s="229">
        <f t="shared" ref="C1:I1" si="0">+C392</f>
        <v>-103018216.7</v>
      </c>
      <c r="D1" s="229" t="e">
        <f t="shared" si="0"/>
        <v>#REF!</v>
      </c>
      <c r="E1" s="229">
        <f t="shared" si="0"/>
        <v>70794200</v>
      </c>
      <c r="F1" s="229">
        <f t="shared" si="0"/>
        <v>153531240</v>
      </c>
      <c r="G1" s="229">
        <f t="shared" si="0"/>
        <v>99028600</v>
      </c>
      <c r="H1" s="229">
        <f t="shared" si="0"/>
        <v>60987200</v>
      </c>
      <c r="I1" s="229" t="e">
        <f t="shared" si="0"/>
        <v>#REF!</v>
      </c>
      <c r="J1" s="554" t="s">
        <v>679</v>
      </c>
    </row>
    <row r="2" spans="1:10" ht="15" x14ac:dyDescent="0.2">
      <c r="A2" s="89" t="s">
        <v>677</v>
      </c>
      <c r="B2" s="506"/>
      <c r="C2" s="91"/>
      <c r="D2" s="506"/>
      <c r="E2" s="506"/>
      <c r="F2" s="91"/>
      <c r="G2" s="90"/>
      <c r="H2" s="90"/>
      <c r="I2" s="84"/>
      <c r="J2" s="555"/>
    </row>
    <row r="3" spans="1:10" ht="15" x14ac:dyDescent="0.2">
      <c r="A3" s="66" t="str">
        <f>+Códigos!$A$3</f>
        <v>AÑO:</v>
      </c>
      <c r="B3" s="772">
        <f>+Códigos!$B$3</f>
        <v>2025</v>
      </c>
      <c r="C3" s="91"/>
      <c r="D3" s="506"/>
      <c r="E3" s="506"/>
      <c r="F3" s="91"/>
      <c r="G3" s="91"/>
      <c r="H3" s="91"/>
      <c r="I3" s="84"/>
      <c r="J3" s="555"/>
    </row>
    <row r="4" spans="1:10" x14ac:dyDescent="0.2">
      <c r="A4" s="501" t="s">
        <v>1</v>
      </c>
      <c r="B4" s="507">
        <f>+'INGRESOS A CAJA'!D4</f>
        <v>45658</v>
      </c>
      <c r="C4" s="85"/>
      <c r="D4" s="507"/>
      <c r="E4" s="507"/>
      <c r="F4" s="85"/>
      <c r="G4" s="85"/>
      <c r="H4" s="85"/>
      <c r="I4" s="530"/>
      <c r="J4" s="555"/>
    </row>
    <row r="5" spans="1:10" x14ac:dyDescent="0.2">
      <c r="A5" s="501" t="s">
        <v>2</v>
      </c>
      <c r="B5" s="507">
        <f>+'INGRESOS A CAJA'!D5</f>
        <v>46022</v>
      </c>
      <c r="C5" s="85"/>
      <c r="D5" s="507"/>
      <c r="E5" s="507"/>
      <c r="F5" s="85"/>
      <c r="G5" s="85"/>
      <c r="H5" s="85"/>
      <c r="I5" s="530"/>
      <c r="J5" s="555"/>
    </row>
    <row r="6" spans="1:10" ht="31.5" x14ac:dyDescent="0.2">
      <c r="A6" s="501"/>
      <c r="B6" s="507"/>
      <c r="C6" s="85"/>
      <c r="D6" s="1355" t="s">
        <v>583</v>
      </c>
      <c r="E6" s="1356"/>
      <c r="F6" s="628" t="s">
        <v>587</v>
      </c>
      <c r="G6" s="628" t="s">
        <v>588</v>
      </c>
      <c r="H6" s="628" t="s">
        <v>589</v>
      </c>
      <c r="I6" s="530"/>
      <c r="J6" s="555"/>
    </row>
    <row r="7" spans="1:10" ht="31.5" x14ac:dyDescent="0.2">
      <c r="A7" s="271" t="s">
        <v>377</v>
      </c>
      <c r="B7" s="532" t="s">
        <v>579</v>
      </c>
      <c r="C7" s="271" t="s">
        <v>678</v>
      </c>
      <c r="D7" s="271" t="s">
        <v>643</v>
      </c>
      <c r="E7" s="271" t="s">
        <v>651</v>
      </c>
      <c r="F7" s="271" t="s">
        <v>584</v>
      </c>
      <c r="G7" s="271" t="s">
        <v>585</v>
      </c>
      <c r="H7" s="271" t="s">
        <v>586</v>
      </c>
      <c r="I7" s="246" t="s">
        <v>658</v>
      </c>
      <c r="J7" s="348" t="s">
        <v>26</v>
      </c>
    </row>
    <row r="8" spans="1:10" x14ac:dyDescent="0.2">
      <c r="A8" s="106"/>
      <c r="B8" s="508"/>
      <c r="C8" s="83"/>
      <c r="D8" s="83"/>
      <c r="E8" s="83"/>
      <c r="F8" s="83"/>
      <c r="G8" s="83"/>
      <c r="H8" s="83"/>
      <c r="I8" s="105"/>
      <c r="J8" s="556"/>
    </row>
    <row r="9" spans="1:10" x14ac:dyDescent="0.2">
      <c r="A9" s="103"/>
      <c r="B9" s="506"/>
      <c r="C9" s="81"/>
      <c r="D9" s="81"/>
      <c r="E9" s="81"/>
      <c r="F9" s="81"/>
      <c r="G9" s="81"/>
      <c r="H9" s="81"/>
      <c r="I9" s="104"/>
      <c r="J9" s="555"/>
    </row>
    <row r="10" spans="1:10" x14ac:dyDescent="0.2">
      <c r="A10" s="560">
        <v>1</v>
      </c>
      <c r="B10" s="511" t="str">
        <f>_xlfn.XLOOKUP(A10,Códigos!$A$11:$A$415,Códigos!$B$11:$B$415,"Verificar",0)</f>
        <v>NOMBRE 21</v>
      </c>
      <c r="C10" s="727"/>
      <c r="D10" s="525">
        <f>SUMIF('CARTERA años anteriores'!$C$9:$C$234,A10,'CARTERA años anteriores'!$J$9:$J$234)</f>
        <v>0</v>
      </c>
      <c r="E10" s="525">
        <f>SUMIF('CARTERA años anteriores'!$C$9:$C$234,A10,'CARTERA años anteriores'!$L$9:$L$234)</f>
        <v>0</v>
      </c>
      <c r="F10" s="525">
        <f>SUMIF(FACTURACIÓN!$C$8:$C$1082,A10,FACTURACIÓN!$K$8:$K$1082)</f>
        <v>0</v>
      </c>
      <c r="G10" s="525">
        <f>SUMIF('INGRESOS A CAJA'!$C$10:$C$954,A10,'INGRESOS A CAJA'!$F$10:$F$954)</f>
        <v>0</v>
      </c>
      <c r="H10" s="525">
        <f>SUMIF('EGRESOS DE CAJA'!$C$10:$C$2251,A10,'EGRESOS DE CAJA'!$G$10:$G$2251)</f>
        <v>0</v>
      </c>
      <c r="I10" s="512">
        <f t="shared" ref="I10:I33" si="1">IF((+C10+D10-E10+F10+G10*0+H10)&lt;0,(+C10+D10-E10+F10+G10*0+H10),0)</f>
        <v>0</v>
      </c>
      <c r="J10" s="557"/>
    </row>
    <row r="11" spans="1:10" x14ac:dyDescent="0.2">
      <c r="A11" s="560">
        <v>2</v>
      </c>
      <c r="B11" s="511" t="str">
        <f>_xlfn.XLOOKUP(A11,Códigos!$A$11:$A$415,Códigos!$B$11:$B$415,"Verificar",0)</f>
        <v>NOMBRE 23</v>
      </c>
      <c r="C11" s="727"/>
      <c r="D11" s="525">
        <f>SUMIF('CARTERA años anteriores'!$C$9:$C$234,A11,'CARTERA años anteriores'!$J$9:$J$234)</f>
        <v>4310000</v>
      </c>
      <c r="E11" s="525">
        <f>SUMIF('CARTERA años anteriores'!$C$9:$C$234,A11,'CARTERA años anteriores'!$L$9:$L$234)</f>
        <v>0</v>
      </c>
      <c r="F11" s="525">
        <f>SUMIF(FACTURACIÓN!$C$8:$C$1082,A11,FACTURACIÓN!$K$8:$K$1082)</f>
        <v>0</v>
      </c>
      <c r="G11" s="525">
        <f>SUMIF('INGRESOS A CAJA'!$C$10:$C$954,A11,'INGRESOS A CAJA'!$F$10:$F$954)</f>
        <v>0</v>
      </c>
      <c r="H11" s="525">
        <f>SUMIF('EGRESOS DE CAJA'!$C$10:$C$2251,A11,'EGRESOS DE CAJA'!$G$10:$G$2251)</f>
        <v>0</v>
      </c>
      <c r="I11" s="512">
        <f t="shared" si="1"/>
        <v>0</v>
      </c>
      <c r="J11" s="557"/>
    </row>
    <row r="12" spans="1:10" x14ac:dyDescent="0.2">
      <c r="A12" s="679">
        <v>3</v>
      </c>
      <c r="B12" s="728" t="str">
        <f>_xlfn.XLOOKUP(A12,Códigos!$A$11:$A$415,Códigos!$B$11:$B$415,"Verificar",0)</f>
        <v>NOMBRE 24</v>
      </c>
      <c r="C12" s="729"/>
      <c r="D12" s="729">
        <f>SUMIF('CARTERA años anteriores'!$C$9:$C$234,A12,'CARTERA años anteriores'!$J$9:$J$234)</f>
        <v>0</v>
      </c>
      <c r="E12" s="729">
        <f>SUMIF('CARTERA años anteriores'!$C$9:$C$234,A12,'CARTERA años anteriores'!$L$9:$L$234)</f>
        <v>0</v>
      </c>
      <c r="F12" s="729">
        <f>SUMIF(FACTURACIÓN!$C$8:$C$1082,A12,FACTURACIÓN!$K$8:$K$1082)*0</f>
        <v>0</v>
      </c>
      <c r="G12" s="730">
        <f>SUMIF('INGRESOS A CAJA'!$C$10:$C$954,A12,'INGRESOS A CAJA'!$F$10:$F$954)*0</f>
        <v>0</v>
      </c>
      <c r="H12" s="730">
        <f>SUMIF('EGRESOS DE CAJA'!$C$10:$C$2251,A12,'EGRESOS DE CAJA'!$G$10:$G$2251)*0</f>
        <v>0</v>
      </c>
      <c r="I12" s="731">
        <f t="shared" si="1"/>
        <v>0</v>
      </c>
      <c r="J12" s="732" t="s">
        <v>399</v>
      </c>
    </row>
    <row r="13" spans="1:10" x14ac:dyDescent="0.2">
      <c r="A13" s="560">
        <v>4</v>
      </c>
      <c r="B13" s="511" t="str">
        <f>_xlfn.XLOOKUP(A13,Códigos!$A$11:$A$415,Códigos!$B$11:$B$415,"Verificar",0)</f>
        <v>NOMBRE 35</v>
      </c>
      <c r="C13" s="727"/>
      <c r="D13" s="525">
        <f>SUMIF('CARTERA años anteriores'!$C$9:$C$234,A13,'CARTERA años anteriores'!$J$9:$J$234)</f>
        <v>0</v>
      </c>
      <c r="E13" s="525">
        <f>SUMIF('CARTERA años anteriores'!$C$9:$C$234,A13,'CARTERA años anteriores'!$L$9:$L$234)</f>
        <v>0</v>
      </c>
      <c r="F13" s="525">
        <f>SUMIF(FACTURACIÓN!$C$8:$C$1082,A13,FACTURACIÓN!$K$8:$K$1082)</f>
        <v>0</v>
      </c>
      <c r="G13" s="525">
        <f>SUMIF('INGRESOS A CAJA'!$C$10:$C$954,A13,'INGRESOS A CAJA'!$F$10:$F$954)</f>
        <v>0</v>
      </c>
      <c r="H13" s="525">
        <f>SUMIF('EGRESOS DE CAJA'!$C$10:$C$2251,A13,'EGRESOS DE CAJA'!$G$10:$G$2251)</f>
        <v>0</v>
      </c>
      <c r="I13" s="512">
        <f t="shared" si="1"/>
        <v>0</v>
      </c>
      <c r="J13" s="557"/>
    </row>
    <row r="14" spans="1:10" x14ac:dyDescent="0.2">
      <c r="A14" s="679">
        <v>5</v>
      </c>
      <c r="B14" s="728" t="str">
        <f>_xlfn.XLOOKUP(A14,Códigos!$A$11:$A$415,Códigos!$B$11:$B$415,"Verificar",0)</f>
        <v>NOMBRE 25</v>
      </c>
      <c r="C14" s="729"/>
      <c r="D14" s="729">
        <f>SUMIF('CARTERA años anteriores'!$C$9:$C$234,A14,'CARTERA años anteriores'!$J$9:$J$234)</f>
        <v>0</v>
      </c>
      <c r="E14" s="729">
        <f>SUMIF('CARTERA años anteriores'!$C$9:$C$234,A14,'CARTERA años anteriores'!$L$9:$L$234)</f>
        <v>0</v>
      </c>
      <c r="F14" s="729">
        <f>SUMIF(FACTURACIÓN!$C$8:$C$1082,A14,FACTURACIÓN!$K$8:$K$1082)*0</f>
        <v>0</v>
      </c>
      <c r="G14" s="730">
        <f>SUMIF('INGRESOS A CAJA'!$C$10:$C$954,A14,'INGRESOS A CAJA'!$F$10:$F$954)*0</f>
        <v>0</v>
      </c>
      <c r="H14" s="730">
        <f>SUMIF('EGRESOS DE CAJA'!$C$10:$C$2251,A14,'EGRESOS DE CAJA'!$G$10:$G$2251)*0</f>
        <v>0</v>
      </c>
      <c r="I14" s="731">
        <f t="shared" si="1"/>
        <v>0</v>
      </c>
      <c r="J14" s="732" t="s">
        <v>399</v>
      </c>
    </row>
    <row r="15" spans="1:10" x14ac:dyDescent="0.2">
      <c r="A15" s="560">
        <v>6</v>
      </c>
      <c r="B15" s="511" t="str">
        <f>_xlfn.XLOOKUP(A15,Códigos!$A$11:$A$415,Códigos!$B$11:$B$415,"Verificar",0)</f>
        <v>NOMBRE 57</v>
      </c>
      <c r="C15" s="727"/>
      <c r="D15" s="525">
        <f>SUMIF('CARTERA años anteriores'!$C$9:$C$234,A15,'CARTERA años anteriores'!$J$9:$J$234)</f>
        <v>0</v>
      </c>
      <c r="E15" s="525">
        <f>SUMIF('CARTERA años anteriores'!$C$9:$C$234,A15,'CARTERA años anteriores'!$L$9:$L$234)</f>
        <v>0</v>
      </c>
      <c r="F15" s="525">
        <f>SUMIF(FACTURACIÓN!$C$8:$C$1082,A15,FACTURACIÓN!$K$8:$K$1082)</f>
        <v>0</v>
      </c>
      <c r="G15" s="525">
        <f>SUMIF('INGRESOS A CAJA'!$C$10:$C$954,A15,'INGRESOS A CAJA'!$F$10:$F$954)</f>
        <v>0</v>
      </c>
      <c r="H15" s="525">
        <f>SUMIF('EGRESOS DE CAJA'!$C$10:$C$2251,A15,'EGRESOS DE CAJA'!$G$10:$G$2251)</f>
        <v>0</v>
      </c>
      <c r="I15" s="512">
        <f t="shared" si="1"/>
        <v>0</v>
      </c>
      <c r="J15" s="557"/>
    </row>
    <row r="16" spans="1:10" x14ac:dyDescent="0.2">
      <c r="A16" s="679">
        <v>7</v>
      </c>
      <c r="B16" s="728" t="str">
        <f>_xlfn.XLOOKUP(A16,Códigos!$A$11:$A$415,Códigos!$B$11:$B$415,"Verificar",0)</f>
        <v>NOMBRE 59</v>
      </c>
      <c r="C16" s="729"/>
      <c r="D16" s="729">
        <f>SUMIF('CARTERA años anteriores'!$C$9:$C$234,A16,'CARTERA años anteriores'!$J$9:$J$234)</f>
        <v>0</v>
      </c>
      <c r="E16" s="729">
        <f>SUMIF('CARTERA años anteriores'!$C$9:$C$234,A16,'CARTERA años anteriores'!$L$9:$L$234)</f>
        <v>0</v>
      </c>
      <c r="F16" s="730">
        <f>SUMIF(FACTURACIÓN!$C$8:$C$1082,A16,FACTURACIÓN!$K$8:$K$1082)*0</f>
        <v>0</v>
      </c>
      <c r="G16" s="730">
        <f>SUMIF('INGRESOS A CAJA'!$C$10:$C$954,A16,'INGRESOS A CAJA'!$F$10:$F$954)*0</f>
        <v>0</v>
      </c>
      <c r="H16" s="730">
        <f>SUMIF('EGRESOS DE CAJA'!$C$10:$C$2251,A16,'EGRESOS DE CAJA'!$G$10:$G$2251)*0</f>
        <v>0</v>
      </c>
      <c r="I16" s="731">
        <f t="shared" si="1"/>
        <v>0</v>
      </c>
      <c r="J16" s="732" t="s">
        <v>399</v>
      </c>
    </row>
    <row r="17" spans="1:10" x14ac:dyDescent="0.2">
      <c r="A17" s="560">
        <v>8</v>
      </c>
      <c r="B17" s="511" t="str">
        <f>_xlfn.XLOOKUP(A17,Códigos!$A$11:$A$415,Códigos!$B$11:$B$415,"Verificar",0)</f>
        <v>NOMBRE 64</v>
      </c>
      <c r="C17" s="727"/>
      <c r="D17" s="525">
        <f>SUMIF('CARTERA años anteriores'!$C$9:$C$234,A17,'CARTERA años anteriores'!$J$9:$J$234)</f>
        <v>252000</v>
      </c>
      <c r="E17" s="525">
        <f>SUMIF('CARTERA años anteriores'!$C$9:$C$234,A17,'CARTERA años anteriores'!$L$9:$L$234)</f>
        <v>0</v>
      </c>
      <c r="F17" s="525">
        <f>SUMIF(FACTURACIÓN!$C$8:$C$1082,A17,FACTURACIÓN!$K$8:$K$1082)</f>
        <v>0</v>
      </c>
      <c r="G17" s="525">
        <f>SUMIF('INGRESOS A CAJA'!$C$10:$C$954,A17,'INGRESOS A CAJA'!$F$10:$F$954)</f>
        <v>0</v>
      </c>
      <c r="H17" s="525">
        <f>SUMIF('EGRESOS DE CAJA'!$C$10:$C$2251,A17,'EGRESOS DE CAJA'!$G$10:$G$2251)</f>
        <v>900100</v>
      </c>
      <c r="I17" s="512">
        <f t="shared" si="1"/>
        <v>0</v>
      </c>
      <c r="J17" s="557"/>
    </row>
    <row r="18" spans="1:10" x14ac:dyDescent="0.2">
      <c r="A18" s="560">
        <v>9</v>
      </c>
      <c r="B18" s="511" t="str">
        <f>_xlfn.XLOOKUP(A18,Códigos!$A$11:$A$415,Códigos!$B$11:$B$415,"Verificar",0)</f>
        <v>NOMBRE 65</v>
      </c>
      <c r="C18" s="727"/>
      <c r="D18" s="525">
        <f>SUMIF('CARTERA años anteriores'!$C$9:$C$234,A18,'CARTERA años anteriores'!$J$9:$J$234)</f>
        <v>8661600</v>
      </c>
      <c r="E18" s="525">
        <f>SUMIF('CARTERA años anteriores'!$C$9:$C$234,A18,'CARTERA años anteriores'!$L$9:$L$234)</f>
        <v>0</v>
      </c>
      <c r="F18" s="525">
        <f>SUMIF(FACTURACIÓN!$C$8:$C$1082,A18,FACTURACIÓN!$K$8:$K$1082)</f>
        <v>0</v>
      </c>
      <c r="G18" s="525">
        <f>SUMIF('INGRESOS A CAJA'!$C$10:$C$954,A18,'INGRESOS A CAJA'!$F$10:$F$954)</f>
        <v>0</v>
      </c>
      <c r="H18" s="525">
        <f>SUMIF('EGRESOS DE CAJA'!$C$10:$C$2251,A18,'EGRESOS DE CAJA'!$G$10:$G$2251)</f>
        <v>0</v>
      </c>
      <c r="I18" s="512">
        <f t="shared" si="1"/>
        <v>0</v>
      </c>
      <c r="J18" s="557"/>
    </row>
    <row r="19" spans="1:10" x14ac:dyDescent="0.2">
      <c r="A19" s="560">
        <v>10</v>
      </c>
      <c r="B19" s="511" t="str">
        <f>_xlfn.XLOOKUP(A19,Códigos!$A$11:$A$415,Códigos!$B$11:$B$415,"Verificar",0)</f>
        <v>NOMBRE 80</v>
      </c>
      <c r="C19" s="727"/>
      <c r="D19" s="525">
        <f>SUMIF('CARTERA años anteriores'!$C$9:$C$234,A19,'CARTERA años anteriores'!$J$9:$J$234)</f>
        <v>0</v>
      </c>
      <c r="E19" s="525">
        <f>SUMIF('CARTERA años anteriores'!$C$9:$C$234,A19,'CARTERA años anteriores'!$L$9:$L$234)</f>
        <v>0</v>
      </c>
      <c r="F19" s="525">
        <f>SUMIF(FACTURACIÓN!$C$8:$C$1082,A19,FACTURACIÓN!$K$8:$K$1082)</f>
        <v>8157240</v>
      </c>
      <c r="G19" s="525">
        <f>SUMIF('INGRESOS A CAJA'!$C$10:$C$954,A19,'INGRESOS A CAJA'!$F$10:$F$954)</f>
        <v>0</v>
      </c>
      <c r="H19" s="525">
        <f>SUMIF('EGRESOS DE CAJA'!$C$10:$C$2251,A19,'EGRESOS DE CAJA'!$G$10:$G$2251)</f>
        <v>0</v>
      </c>
      <c r="I19" s="512">
        <f t="shared" si="1"/>
        <v>0</v>
      </c>
      <c r="J19" s="557"/>
    </row>
    <row r="20" spans="1:10" x14ac:dyDescent="0.2">
      <c r="A20" s="560">
        <v>11</v>
      </c>
      <c r="B20" s="511" t="str">
        <f>_xlfn.XLOOKUP(A20,Códigos!$A$11:$A$415,Códigos!$B$11:$B$415,"Verificar",0)</f>
        <v>NOMBRE 92</v>
      </c>
      <c r="C20" s="727"/>
      <c r="D20" s="525">
        <f>SUMIF('CARTERA años anteriores'!$C$9:$C$234,A20,'CARTERA años anteriores'!$J$9:$J$234)</f>
        <v>0</v>
      </c>
      <c r="E20" s="525">
        <f>SUMIF('CARTERA años anteriores'!$C$9:$C$234,A20,'CARTERA años anteriores'!$L$9:$L$234)</f>
        <v>0</v>
      </c>
      <c r="F20" s="525">
        <f>SUMIF(FACTURACIÓN!$C$8:$C$1082,A20,FACTURACIÓN!$K$8:$K$1082)</f>
        <v>0</v>
      </c>
      <c r="G20" s="525">
        <f>SUMIF('INGRESOS A CAJA'!$C$10:$C$954,A20,'INGRESOS A CAJA'!$F$10:$F$954)</f>
        <v>0</v>
      </c>
      <c r="H20" s="525">
        <f>SUMIF('EGRESOS DE CAJA'!$C$10:$C$2251,A20,'EGRESOS DE CAJA'!$G$10:$G$2251)</f>
        <v>0</v>
      </c>
      <c r="I20" s="512">
        <f t="shared" si="1"/>
        <v>0</v>
      </c>
      <c r="J20" s="557"/>
    </row>
    <row r="21" spans="1:10" x14ac:dyDescent="0.2">
      <c r="A21" s="560">
        <v>12</v>
      </c>
      <c r="B21" s="511" t="str">
        <f>_xlfn.XLOOKUP(A21,Códigos!$A$11:$A$415,Códigos!$B$11:$B$415,"Verificar",0)</f>
        <v>NOMBRE 115</v>
      </c>
      <c r="C21" s="727"/>
      <c r="D21" s="525">
        <f>SUMIF('CARTERA años anteriores'!$C$9:$C$234,A21,'CARTERA años anteriores'!$J$9:$J$234)</f>
        <v>0</v>
      </c>
      <c r="E21" s="525">
        <f>SUMIF('CARTERA años anteriores'!$C$9:$C$234,A21,'CARTERA años anteriores'!$L$9:$L$234)</f>
        <v>0</v>
      </c>
      <c r="F21" s="525">
        <f>SUMIF(FACTURACIÓN!$C$8:$C$1082,A21,FACTURACIÓN!$K$8:$K$1082)</f>
        <v>0</v>
      </c>
      <c r="G21" s="525">
        <f>SUMIF('INGRESOS A CAJA'!$C$10:$C$954,A21,'INGRESOS A CAJA'!$F$10:$F$954)</f>
        <v>0</v>
      </c>
      <c r="H21" s="525">
        <f>SUMIF('EGRESOS DE CAJA'!$C$10:$C$2251,A21,'EGRESOS DE CAJA'!$G$10:$G$2251)</f>
        <v>0</v>
      </c>
      <c r="I21" s="512">
        <f t="shared" si="1"/>
        <v>0</v>
      </c>
      <c r="J21" s="557"/>
    </row>
    <row r="22" spans="1:10" x14ac:dyDescent="0.2">
      <c r="A22" s="560">
        <v>13</v>
      </c>
      <c r="B22" s="511" t="str">
        <f>_xlfn.XLOOKUP(A22,Códigos!$A$11:$A$415,Códigos!$B$11:$B$415,"Verificar",0)</f>
        <v>NOMBRE 50</v>
      </c>
      <c r="C22" s="727"/>
      <c r="D22" s="525">
        <f>SUMIF('CARTERA años anteriores'!$C$9:$C$234,A22,'CARTERA años anteriores'!$J$9:$J$234)</f>
        <v>0</v>
      </c>
      <c r="E22" s="525">
        <f>SUMIF('CARTERA años anteriores'!$C$9:$C$234,A22,'CARTERA años anteriores'!$L$9:$L$234)</f>
        <v>0</v>
      </c>
      <c r="F22" s="525">
        <f>SUMIF(FACTURACIÓN!$C$8:$C$1082,A22,FACTURACIÓN!$K$8:$K$1082)</f>
        <v>0</v>
      </c>
      <c r="G22" s="525">
        <f>SUMIF('INGRESOS A CAJA'!$C$10:$C$954,A22,'INGRESOS A CAJA'!$F$10:$F$954)</f>
        <v>0</v>
      </c>
      <c r="H22" s="525">
        <f>SUMIF('EGRESOS DE CAJA'!$C$10:$C$2251,A22,'EGRESOS DE CAJA'!$G$10:$G$2251)</f>
        <v>0</v>
      </c>
      <c r="I22" s="512">
        <f t="shared" si="1"/>
        <v>0</v>
      </c>
      <c r="J22" s="557"/>
    </row>
    <row r="23" spans="1:10" x14ac:dyDescent="0.2">
      <c r="A23" s="560">
        <v>14</v>
      </c>
      <c r="B23" s="511" t="str">
        <f>_xlfn.XLOOKUP(A23,Códigos!$A$11:$A$415,Códigos!$B$11:$B$415,"Verificar",0)</f>
        <v>NOMBRE 158</v>
      </c>
      <c r="C23" s="727"/>
      <c r="D23" s="525">
        <f>SUMIF('CARTERA años anteriores'!$C$9:$C$234,A23,'CARTERA años anteriores'!$J$9:$J$234)</f>
        <v>0</v>
      </c>
      <c r="E23" s="525">
        <f>SUMIF('CARTERA años anteriores'!$C$9:$C$234,A23,'CARTERA años anteriores'!$L$9:$L$234)</f>
        <v>0</v>
      </c>
      <c r="F23" s="525">
        <f>SUMIF(FACTURACIÓN!$C$8:$C$1082,A23,FACTURACIÓN!$K$8:$K$1082)</f>
        <v>0</v>
      </c>
      <c r="G23" s="525">
        <f>SUMIF('INGRESOS A CAJA'!$C$10:$C$954,A23,'INGRESOS A CAJA'!$F$10:$F$954)</f>
        <v>0</v>
      </c>
      <c r="H23" s="525">
        <f>SUMIF('EGRESOS DE CAJA'!$C$10:$C$2251,A23,'EGRESOS DE CAJA'!$G$10:$G$2251)</f>
        <v>0</v>
      </c>
      <c r="I23" s="512">
        <f t="shared" si="1"/>
        <v>0</v>
      </c>
      <c r="J23" s="557"/>
    </row>
    <row r="24" spans="1:10" x14ac:dyDescent="0.2">
      <c r="A24" s="560">
        <v>15</v>
      </c>
      <c r="B24" s="511" t="str">
        <f>_xlfn.XLOOKUP(A24,Códigos!$A$11:$A$415,Códigos!$B$11:$B$415,"Verificar",0)</f>
        <v>NOMBRE 159</v>
      </c>
      <c r="C24" s="727"/>
      <c r="D24" s="525">
        <f>SUMIF('CARTERA años anteriores'!$C$9:$C$234,A24,'CARTERA años anteriores'!$J$9:$J$234)</f>
        <v>0</v>
      </c>
      <c r="E24" s="525">
        <f>SUMIF('CARTERA años anteriores'!$C$9:$C$234,A24,'CARTERA años anteriores'!$L$9:$L$234)</f>
        <v>0</v>
      </c>
      <c r="F24" s="525">
        <f>SUMIF(FACTURACIÓN!$C$8:$C$1082,A24,FACTURACIÓN!$K$8:$K$1082)</f>
        <v>0</v>
      </c>
      <c r="G24" s="525">
        <f>SUMIF('INGRESOS A CAJA'!$C$10:$C$954,A24,'INGRESOS A CAJA'!$F$10:$F$954)</f>
        <v>0</v>
      </c>
      <c r="H24" s="525">
        <f>SUMIF('EGRESOS DE CAJA'!$C$10:$C$2251,A24,'EGRESOS DE CAJA'!$G$10:$G$2251)</f>
        <v>0</v>
      </c>
      <c r="I24" s="512">
        <f t="shared" si="1"/>
        <v>0</v>
      </c>
      <c r="J24" s="557"/>
    </row>
    <row r="25" spans="1:10" x14ac:dyDescent="0.2">
      <c r="A25" s="560">
        <v>16</v>
      </c>
      <c r="B25" s="511" t="str">
        <f>_xlfn.XLOOKUP(A25,Códigos!$A$11:$A$415,Códigos!$B$11:$B$415,"Verificar",0)</f>
        <v>NOMBRE 105</v>
      </c>
      <c r="C25" s="727"/>
      <c r="D25" s="525">
        <f>SUMIF('CARTERA años anteriores'!$C$9:$C$234,A25,'CARTERA años anteriores'!$J$9:$J$234)</f>
        <v>0</v>
      </c>
      <c r="E25" s="525">
        <f>SUMIF('CARTERA años anteriores'!$C$9:$C$234,A25,'CARTERA años anteriores'!$L$9:$L$234)</f>
        <v>0</v>
      </c>
      <c r="F25" s="525">
        <f>SUMIF(FACTURACIÓN!$C$8:$C$1082,A25,FACTURACIÓN!$K$8:$K$1082)</f>
        <v>0</v>
      </c>
      <c r="G25" s="525">
        <f>SUMIF('INGRESOS A CAJA'!$C$10:$C$954,A25,'INGRESOS A CAJA'!$F$10:$F$954)</f>
        <v>0</v>
      </c>
      <c r="H25" s="525">
        <f>SUMIF('EGRESOS DE CAJA'!$C$10:$C$2251,A25,'EGRESOS DE CAJA'!$G$10:$G$2251)</f>
        <v>0</v>
      </c>
      <c r="I25" s="512">
        <f t="shared" si="1"/>
        <v>0</v>
      </c>
      <c r="J25" s="557"/>
    </row>
    <row r="26" spans="1:10" x14ac:dyDescent="0.2">
      <c r="A26" s="560">
        <v>17</v>
      </c>
      <c r="B26" s="511" t="str">
        <f>_xlfn.XLOOKUP(A26,Códigos!$A$11:$A$415,Códigos!$B$11:$B$415,"Verificar",0)</f>
        <v>NOMBRE 160</v>
      </c>
      <c r="C26" s="727"/>
      <c r="D26" s="525">
        <f>SUMIF('CARTERA años anteriores'!$C$9:$C$234,A26,'CARTERA años anteriores'!$J$9:$J$234)</f>
        <v>0</v>
      </c>
      <c r="E26" s="525">
        <f>SUMIF('CARTERA años anteriores'!$C$9:$C$234,A26,'CARTERA años anteriores'!$L$9:$L$234)</f>
        <v>0</v>
      </c>
      <c r="F26" s="525">
        <f>SUMIF(FACTURACIÓN!$C$8:$C$1082,A26,FACTURACIÓN!$K$8:$K$1082)</f>
        <v>0</v>
      </c>
      <c r="G26" s="525">
        <f>SUMIF('INGRESOS A CAJA'!$C$10:$C$954,A26,'INGRESOS A CAJA'!$F$10:$F$954)</f>
        <v>0</v>
      </c>
      <c r="H26" s="525">
        <f>SUMIF('EGRESOS DE CAJA'!$C$10:$C$2251,A26,'EGRESOS DE CAJA'!$G$10:$G$2251)</f>
        <v>0</v>
      </c>
      <c r="I26" s="512">
        <f t="shared" si="1"/>
        <v>0</v>
      </c>
      <c r="J26" s="557"/>
    </row>
    <row r="27" spans="1:10" x14ac:dyDescent="0.2">
      <c r="A27" s="560">
        <v>18</v>
      </c>
      <c r="B27" s="511" t="str">
        <f>_xlfn.XLOOKUP(A27,Códigos!$A$11:$A$415,Códigos!$B$11:$B$415,"Verificar",0)</f>
        <v>NOMBRE 161</v>
      </c>
      <c r="C27" s="727"/>
      <c r="D27" s="525">
        <f>SUMIF('CARTERA años anteriores'!$C$9:$C$234,A27,'CARTERA años anteriores'!$J$9:$J$234)</f>
        <v>0</v>
      </c>
      <c r="E27" s="525">
        <f>SUMIF('CARTERA años anteriores'!$C$9:$C$234,A27,'CARTERA años anteriores'!$L$9:$L$234)</f>
        <v>0</v>
      </c>
      <c r="F27" s="525">
        <f>SUMIF(FACTURACIÓN!$C$8:$C$1082,A27,FACTURACIÓN!$K$8:$K$1082)</f>
        <v>0</v>
      </c>
      <c r="G27" s="525">
        <f>SUMIF('INGRESOS A CAJA'!$C$10:$C$954,A27,'INGRESOS A CAJA'!$F$10:$F$954)</f>
        <v>0</v>
      </c>
      <c r="H27" s="525">
        <f>SUMIF('EGRESOS DE CAJA'!$C$10:$C$2251,A27,'EGRESOS DE CAJA'!$G$10:$G$2251)</f>
        <v>0</v>
      </c>
      <c r="I27" s="512">
        <f t="shared" si="1"/>
        <v>0</v>
      </c>
      <c r="J27" s="557"/>
    </row>
    <row r="28" spans="1:10" x14ac:dyDescent="0.2">
      <c r="A28" s="560">
        <v>19</v>
      </c>
      <c r="B28" s="511" t="str">
        <f>_xlfn.XLOOKUP(A28,Códigos!$A$11:$A$415,Códigos!$B$11:$B$415,"Verificar",0)</f>
        <v>NOMBRE 164</v>
      </c>
      <c r="C28" s="727"/>
      <c r="D28" s="525">
        <f>SUMIF('CARTERA años anteriores'!$C$9:$C$234,A28,'CARTERA años anteriores'!$J$9:$J$234)</f>
        <v>0</v>
      </c>
      <c r="E28" s="525">
        <f>SUMIF('CARTERA años anteriores'!$C$9:$C$234,A28,'CARTERA años anteriores'!$L$9:$L$234)</f>
        <v>0</v>
      </c>
      <c r="F28" s="525">
        <f>SUMIF(FACTURACIÓN!$C$8:$C$1082,A28,FACTURACIÓN!$K$8:$K$1082)</f>
        <v>11907000</v>
      </c>
      <c r="G28" s="525">
        <f>SUMIF('INGRESOS A CAJA'!$C$10:$C$954,A28,'INGRESOS A CAJA'!$F$10:$F$954)</f>
        <v>0</v>
      </c>
      <c r="H28" s="525">
        <f>SUMIF('EGRESOS DE CAJA'!$C$10:$C$2251,A28,'EGRESOS DE CAJA'!$G$10:$G$2251)</f>
        <v>0</v>
      </c>
      <c r="I28" s="512">
        <f t="shared" si="1"/>
        <v>0</v>
      </c>
      <c r="J28" s="557"/>
    </row>
    <row r="29" spans="1:10" x14ac:dyDescent="0.2">
      <c r="A29" s="560">
        <v>20</v>
      </c>
      <c r="B29" s="511" t="str">
        <f>_xlfn.XLOOKUP(A29,Códigos!$A$11:$A$415,Códigos!$B$11:$B$415,"Verificar",0)</f>
        <v>NOMBRE 167</v>
      </c>
      <c r="C29" s="727"/>
      <c r="D29" s="525">
        <f>SUMIF('CARTERA años anteriores'!$C$9:$C$234,A29,'CARTERA años anteriores'!$J$9:$J$234)</f>
        <v>0</v>
      </c>
      <c r="E29" s="525">
        <f>SUMIF('CARTERA años anteriores'!$C$9:$C$234,A29,'CARTERA años anteriores'!$L$9:$L$234)</f>
        <v>0</v>
      </c>
      <c r="F29" s="525">
        <f>SUMIF(FACTURACIÓN!$C$8:$C$1082,A29,FACTURACIÓN!$K$8:$K$1082)</f>
        <v>0</v>
      </c>
      <c r="G29" s="525">
        <f>SUMIF('INGRESOS A CAJA'!$C$10:$C$954,A29,'INGRESOS A CAJA'!$F$10:$F$954)</f>
        <v>0</v>
      </c>
      <c r="H29" s="525">
        <f>SUMIF('EGRESOS DE CAJA'!$C$10:$C$2251,A29,'EGRESOS DE CAJA'!$G$10:$G$2251)</f>
        <v>0</v>
      </c>
      <c r="I29" s="512">
        <f t="shared" si="1"/>
        <v>0</v>
      </c>
      <c r="J29" s="557"/>
    </row>
    <row r="30" spans="1:10" x14ac:dyDescent="0.2">
      <c r="A30" s="560">
        <v>21</v>
      </c>
      <c r="B30" s="511" t="str">
        <f>_xlfn.XLOOKUP(A30,Códigos!$A$11:$A$415,Códigos!$B$11:$B$415,"Verificar",0)</f>
        <v>NOMBRE 168</v>
      </c>
      <c r="C30" s="727"/>
      <c r="D30" s="525">
        <f>SUMIF('CARTERA años anteriores'!$C$9:$C$234,A30,'CARTERA años anteriores'!$J$9:$J$234)</f>
        <v>5380000</v>
      </c>
      <c r="E30" s="525">
        <f>SUMIF('CARTERA años anteriores'!$C$9:$C$234,A30,'CARTERA años anteriores'!$L$9:$L$234)</f>
        <v>0</v>
      </c>
      <c r="F30" s="525">
        <f>SUMIF(FACTURACIÓN!$C$8:$C$1082,A30,FACTURACIÓN!$K$8:$K$1082)</f>
        <v>5630000</v>
      </c>
      <c r="G30" s="525">
        <f>SUMIF('INGRESOS A CAJA'!$C$10:$C$954,A30,'INGRESOS A CAJA'!$F$10:$F$954)</f>
        <v>0</v>
      </c>
      <c r="H30" s="525">
        <f>SUMIF('EGRESOS DE CAJA'!$C$10:$C$2251,A30,'EGRESOS DE CAJA'!$G$10:$G$2251)</f>
        <v>0</v>
      </c>
      <c r="I30" s="512">
        <f t="shared" si="1"/>
        <v>0</v>
      </c>
      <c r="J30" s="557"/>
    </row>
    <row r="31" spans="1:10" x14ac:dyDescent="0.2">
      <c r="A31" s="560">
        <v>22</v>
      </c>
      <c r="B31" s="511" t="str">
        <f>_xlfn.XLOOKUP(A31,Códigos!$A$11:$A$415,Códigos!$B$11:$B$415,"Verificar",0)</f>
        <v>NOMBRE 240</v>
      </c>
      <c r="C31" s="727"/>
      <c r="D31" s="525">
        <f>SUMIF('CARTERA años anteriores'!$C$9:$C$234,A31,'CARTERA años anteriores'!$J$9:$J$234)</f>
        <v>0</v>
      </c>
      <c r="E31" s="525">
        <f>SUMIF('CARTERA años anteriores'!$C$9:$C$234,A31,'CARTERA años anteriores'!$L$9:$L$234)</f>
        <v>0</v>
      </c>
      <c r="F31" s="525">
        <f>SUMIF(FACTURACIÓN!$C$8:$C$1082,A31,FACTURACIÓN!$K$8:$K$1082)</f>
        <v>0</v>
      </c>
      <c r="G31" s="525">
        <f>SUMIF('INGRESOS A CAJA'!$C$10:$C$954,A31,'INGRESOS A CAJA'!$F$10:$F$954)</f>
        <v>0</v>
      </c>
      <c r="H31" s="525">
        <f>SUMIF('EGRESOS DE CAJA'!$C$10:$C$2251,A31,'EGRESOS DE CAJA'!$G$10:$G$2251)</f>
        <v>0</v>
      </c>
      <c r="I31" s="512">
        <f t="shared" si="1"/>
        <v>0</v>
      </c>
      <c r="J31" s="557"/>
    </row>
    <row r="32" spans="1:10" x14ac:dyDescent="0.2">
      <c r="A32" s="560">
        <v>23</v>
      </c>
      <c r="B32" s="511" t="str">
        <f>_xlfn.XLOOKUP(A32,Códigos!$A$11:$A$415,Códigos!$B$11:$B$415,"Verificar",0)</f>
        <v>NOMBRE 169</v>
      </c>
      <c r="C32" s="727"/>
      <c r="D32" s="525">
        <f>SUMIF('CARTERA años anteriores'!$C$9:$C$234,A32,'CARTERA años anteriores'!$J$9:$J$234)</f>
        <v>0</v>
      </c>
      <c r="E32" s="525">
        <f>SUMIF('CARTERA años anteriores'!$C$9:$C$234,A32,'CARTERA años anteriores'!$L$9:$L$234)</f>
        <v>0</v>
      </c>
      <c r="F32" s="525">
        <f>SUMIF(FACTURACIÓN!$C$8:$C$1082,A32,FACTURACIÓN!$K$8:$K$1082)</f>
        <v>0</v>
      </c>
      <c r="G32" s="525">
        <f>SUMIF('INGRESOS A CAJA'!$C$10:$C$954,A32,'INGRESOS A CAJA'!$F$10:$F$954)</f>
        <v>0</v>
      </c>
      <c r="H32" s="525">
        <f>SUMIF('EGRESOS DE CAJA'!$C$10:$C$2251,A32,'EGRESOS DE CAJA'!$G$10:$G$2251)</f>
        <v>0</v>
      </c>
      <c r="I32" s="512">
        <f t="shared" si="1"/>
        <v>0</v>
      </c>
      <c r="J32" s="557"/>
    </row>
    <row r="33" spans="1:10" x14ac:dyDescent="0.2">
      <c r="A33" s="560">
        <v>24</v>
      </c>
      <c r="B33" s="511" t="str">
        <f>_xlfn.XLOOKUP(A33,Códigos!$A$11:$A$415,Códigos!$B$11:$B$415,"Verificar",0)</f>
        <v>NOMBRE 132</v>
      </c>
      <c r="C33" s="727"/>
      <c r="D33" s="525">
        <f>SUMIF('CARTERA años anteriores'!$C$9:$C$234,A33,'CARTERA años anteriores'!$J$9:$J$234)</f>
        <v>0</v>
      </c>
      <c r="E33" s="525">
        <f>SUMIF('CARTERA años anteriores'!$C$9:$C$234,A33,'CARTERA años anteriores'!$L$9:$L$234)</f>
        <v>0</v>
      </c>
      <c r="F33" s="525">
        <f>SUMIF(FACTURACIÓN!$C$8:$C$1082,A33,FACTURACIÓN!$K$8:$K$1082)</f>
        <v>470000</v>
      </c>
      <c r="G33" s="525">
        <f>SUMIF('INGRESOS A CAJA'!$C$10:$C$954,A33,'INGRESOS A CAJA'!$F$10:$F$954)</f>
        <v>470000</v>
      </c>
      <c r="H33" s="525">
        <f>SUMIF('EGRESOS DE CAJA'!$C$10:$C$2251,A33,'EGRESOS DE CAJA'!$G$10:$G$2251)</f>
        <v>0</v>
      </c>
      <c r="I33" s="512">
        <f t="shared" si="1"/>
        <v>0</v>
      </c>
      <c r="J33" s="557"/>
    </row>
    <row r="34" spans="1:10" x14ac:dyDescent="0.2">
      <c r="A34" s="560">
        <v>25</v>
      </c>
      <c r="B34" s="511" t="str">
        <f>_xlfn.XLOOKUP(A34,Códigos!$A$11:$A$415,Códigos!$B$11:$B$415,"Verificar",0)</f>
        <v>NOMBRE 178</v>
      </c>
      <c r="C34" s="727"/>
      <c r="D34" s="525">
        <f>SUMIF('CARTERA años anteriores'!$C$9:$C$234,A34,'CARTERA años anteriores'!$J$9:$J$234)</f>
        <v>13481200</v>
      </c>
      <c r="E34" s="525">
        <f>SUMIF('CARTERA años anteriores'!$C$9:$C$234,A34,'CARTERA años anteriores'!$L$9:$L$234)</f>
        <v>9776200</v>
      </c>
      <c r="F34" s="525">
        <f>SUMIF(FACTURACIÓN!$C$8:$C$1082,A34,FACTURACIÓN!$K$8:$K$1082)</f>
        <v>0</v>
      </c>
      <c r="G34" s="525">
        <f>SUMIF('INGRESOS A CAJA'!$C$10:$C$954,A34,'INGRESOS A CAJA'!$F$10:$F$954)</f>
        <v>9776200</v>
      </c>
      <c r="H34" s="525">
        <f>SUMIF('EGRESOS DE CAJA'!$C$10:$C$2251,A34,'EGRESOS DE CAJA'!$G$10:$G$2251)</f>
        <v>0</v>
      </c>
      <c r="I34" s="512">
        <f>IF((+C34+D34-E34+F34+G34*0+H34)&lt;0,(+C34+D34-E34+F34+G34*0+H34),0)</f>
        <v>0</v>
      </c>
      <c r="J34" s="557"/>
    </row>
    <row r="35" spans="1:10" x14ac:dyDescent="0.2">
      <c r="A35" s="560">
        <v>26</v>
      </c>
      <c r="B35" s="511" t="str">
        <f>_xlfn.XLOOKUP(A35,Códigos!$A$11:$A$415,Códigos!$B$11:$B$415,"Verificar",0)</f>
        <v>NOMBRE 201</v>
      </c>
      <c r="C35" s="727"/>
      <c r="D35" s="525">
        <f>SUMIF('CARTERA años anteriores'!$C$9:$C$234,A35,'CARTERA años anteriores'!$J$9:$J$234)</f>
        <v>0</v>
      </c>
      <c r="E35" s="525">
        <f>SUMIF('CARTERA años anteriores'!$C$9:$C$234,A35,'CARTERA años anteriores'!$L$9:$L$234)</f>
        <v>0</v>
      </c>
      <c r="F35" s="525">
        <f>SUMIF(FACTURACIÓN!$C$8:$C$1082,A35,FACTURACIÓN!$K$8:$K$1082)</f>
        <v>260000</v>
      </c>
      <c r="G35" s="525">
        <f>SUMIF('INGRESOS A CAJA'!$C$10:$C$954,A35,'INGRESOS A CAJA'!$F$10:$F$954)</f>
        <v>0</v>
      </c>
      <c r="H35" s="525">
        <f>SUMIF('EGRESOS DE CAJA'!$C$10:$C$2251,A35,'EGRESOS DE CAJA'!$G$10:$G$2251)</f>
        <v>0</v>
      </c>
      <c r="I35" s="512">
        <f t="shared" ref="I35:I98" si="2">IF((+C35+D35-E35+F35+G35*0+H35)&lt;0,(+C35+D35-E35+F35+G35*0+H35),0)</f>
        <v>0</v>
      </c>
      <c r="J35" s="557"/>
    </row>
    <row r="36" spans="1:10" x14ac:dyDescent="0.2">
      <c r="A36" s="560">
        <v>27</v>
      </c>
      <c r="B36" s="511" t="str">
        <f>_xlfn.XLOOKUP(A36,Códigos!$A$11:$A$415,Códigos!$B$11:$B$415,"Verificar",0)</f>
        <v>NOMBRE 345</v>
      </c>
      <c r="C36" s="727"/>
      <c r="D36" s="525">
        <f>SUMIF('CARTERA años anteriores'!$C$9:$C$234,A36,'CARTERA años anteriores'!$J$9:$J$234)</f>
        <v>0</v>
      </c>
      <c r="E36" s="525">
        <f>SUMIF('CARTERA años anteriores'!$C$9:$C$234,A36,'CARTERA años anteriores'!$L$9:$L$234)</f>
        <v>0</v>
      </c>
      <c r="F36" s="525">
        <f>SUMIF(FACTURACIÓN!$C$8:$C$1082,A36,FACTURACIÓN!$K$8:$K$1082)</f>
        <v>0</v>
      </c>
      <c r="G36" s="525">
        <f>SUMIF('INGRESOS A CAJA'!$C$10:$C$954,A36,'INGRESOS A CAJA'!$F$10:$F$954)</f>
        <v>0</v>
      </c>
      <c r="H36" s="525">
        <f>SUMIF('EGRESOS DE CAJA'!$C$10:$C$2251,A36,'EGRESOS DE CAJA'!$G$10:$G$2251)</f>
        <v>0</v>
      </c>
      <c r="I36" s="512">
        <f t="shared" si="2"/>
        <v>0</v>
      </c>
      <c r="J36" s="557"/>
    </row>
    <row r="37" spans="1:10" x14ac:dyDescent="0.2">
      <c r="A37" s="560">
        <v>28</v>
      </c>
      <c r="B37" s="511" t="str">
        <f>_xlfn.XLOOKUP(A37,Códigos!$A$11:$A$415,Códigos!$B$11:$B$415,"Verificar",0)</f>
        <v>NOMBRE 180</v>
      </c>
      <c r="C37" s="727"/>
      <c r="D37" s="525">
        <f>SUMIF('CARTERA años anteriores'!$C$9:$C$234,A37,'CARTERA años anteriores'!$J$9:$J$234)</f>
        <v>0</v>
      </c>
      <c r="E37" s="525">
        <f>SUMIF('CARTERA años anteriores'!$C$9:$C$234,A37,'CARTERA años anteriores'!$L$9:$L$234)</f>
        <v>0</v>
      </c>
      <c r="F37" s="525">
        <f>SUMIF(FACTURACIÓN!$C$8:$C$1082,A37,FACTURACIÓN!$K$8:$K$1082)</f>
        <v>11907000</v>
      </c>
      <c r="G37" s="525">
        <f>SUMIF('INGRESOS A CAJA'!$C$10:$C$954,A37,'INGRESOS A CAJA'!$F$10:$F$954)</f>
        <v>0</v>
      </c>
      <c r="H37" s="525">
        <f>SUMIF('EGRESOS DE CAJA'!$C$10:$C$2251,A37,'EGRESOS DE CAJA'!$G$10:$G$2251)</f>
        <v>0</v>
      </c>
      <c r="I37" s="512">
        <f t="shared" si="2"/>
        <v>0</v>
      </c>
      <c r="J37" s="557"/>
    </row>
    <row r="38" spans="1:10" x14ac:dyDescent="0.2">
      <c r="A38" s="560">
        <v>29</v>
      </c>
      <c r="B38" s="511" t="str">
        <f>_xlfn.XLOOKUP(A38,Códigos!$A$11:$A$415,Códigos!$B$11:$B$415,"Verificar",0)</f>
        <v>NOMBRE 187</v>
      </c>
      <c r="C38" s="727"/>
      <c r="D38" s="525">
        <f>SUMIF('CARTERA años anteriores'!$C$9:$C$234,A38,'CARTERA años anteriores'!$J$9:$J$234)</f>
        <v>8000</v>
      </c>
      <c r="E38" s="525">
        <f>SUMIF('CARTERA años anteriores'!$C$9:$C$234,A38,'CARTERA años anteriores'!$L$9:$L$234)</f>
        <v>0</v>
      </c>
      <c r="F38" s="525">
        <f>SUMIF(FACTURACIÓN!$C$8:$C$1082,A38,FACTURACIÓN!$K$8:$K$1082)</f>
        <v>0</v>
      </c>
      <c r="G38" s="525">
        <f>SUMIF('INGRESOS A CAJA'!$C$10:$C$954,A38,'INGRESOS A CAJA'!$F$10:$F$954)</f>
        <v>0</v>
      </c>
      <c r="H38" s="525">
        <f>SUMIF('EGRESOS DE CAJA'!$C$10:$C$2251,A38,'EGRESOS DE CAJA'!$G$10:$G$2251)</f>
        <v>0</v>
      </c>
      <c r="I38" s="512">
        <f t="shared" si="2"/>
        <v>0</v>
      </c>
      <c r="J38" s="557"/>
    </row>
    <row r="39" spans="1:10" x14ac:dyDescent="0.2">
      <c r="A39" s="560">
        <v>30</v>
      </c>
      <c r="B39" s="511" t="str">
        <f>_xlfn.XLOOKUP(A39,Códigos!$A$11:$A$415,Códigos!$B$11:$B$415,"Verificar",0)</f>
        <v>NOMBRE 188</v>
      </c>
      <c r="C39" s="727"/>
      <c r="D39" s="525">
        <f>SUMIF('CARTERA años anteriores'!$C$9:$C$234,A39,'CARTERA años anteriores'!$J$9:$J$234)</f>
        <v>0</v>
      </c>
      <c r="E39" s="525">
        <f>SUMIF('CARTERA años anteriores'!$C$9:$C$234,A39,'CARTERA años anteriores'!$L$9:$L$234)</f>
        <v>0</v>
      </c>
      <c r="F39" s="525">
        <f>SUMIF(FACTURACIÓN!$C$8:$C$1082,A39,FACTURACIÓN!$K$8:$K$1082)</f>
        <v>0</v>
      </c>
      <c r="G39" s="525">
        <f>SUMIF('INGRESOS A CAJA'!$C$10:$C$954,A39,'INGRESOS A CAJA'!$F$10:$F$954)</f>
        <v>0</v>
      </c>
      <c r="H39" s="525">
        <f>SUMIF('EGRESOS DE CAJA'!$C$10:$C$2251,A39,'EGRESOS DE CAJA'!$G$10:$G$2251)</f>
        <v>0</v>
      </c>
      <c r="I39" s="512">
        <f t="shared" si="2"/>
        <v>0</v>
      </c>
      <c r="J39" s="557"/>
    </row>
    <row r="40" spans="1:10" x14ac:dyDescent="0.2">
      <c r="A40" s="560">
        <v>31</v>
      </c>
      <c r="B40" s="511" t="str">
        <f>_xlfn.XLOOKUP(A40,Códigos!$A$11:$A$415,Códigos!$B$11:$B$415,"Verificar",0)</f>
        <v>NOMBRE 189</v>
      </c>
      <c r="C40" s="727"/>
      <c r="D40" s="525">
        <f>SUMIF('CARTERA años anteriores'!$C$9:$C$234,A40,'CARTERA años anteriores'!$J$9:$J$234)</f>
        <v>0</v>
      </c>
      <c r="E40" s="525">
        <f>SUMIF('CARTERA años anteriores'!$C$9:$C$234,A40,'CARTERA años anteriores'!$L$9:$L$234)</f>
        <v>0</v>
      </c>
      <c r="F40" s="525">
        <f>SUMIF(FACTURACIÓN!$C$8:$C$1082,A40,FACTURACIÓN!$K$8:$K$1082)</f>
        <v>0</v>
      </c>
      <c r="G40" s="525">
        <f>SUMIF('INGRESOS A CAJA'!$C$10:$C$954,A40,'INGRESOS A CAJA'!$F$10:$F$954)</f>
        <v>0</v>
      </c>
      <c r="H40" s="525">
        <f>SUMIF('EGRESOS DE CAJA'!$C$10:$C$2251,A40,'EGRESOS DE CAJA'!$G$10:$G$2251)</f>
        <v>0</v>
      </c>
      <c r="I40" s="512">
        <f t="shared" si="2"/>
        <v>0</v>
      </c>
      <c r="J40" s="557"/>
    </row>
    <row r="41" spans="1:10" x14ac:dyDescent="0.2">
      <c r="A41" s="560">
        <v>32</v>
      </c>
      <c r="B41" s="511" t="str">
        <f>_xlfn.XLOOKUP(A41,Códigos!$A$11:$A$415,Códigos!$B$11:$B$415,"Verificar",0)</f>
        <v>NOMBRE 199</v>
      </c>
      <c r="C41" s="727"/>
      <c r="D41" s="525">
        <f>SUMIF('CARTERA años anteriores'!$C$9:$C$234,A41,'CARTERA años anteriores'!$J$9:$J$234)</f>
        <v>127500</v>
      </c>
      <c r="E41" s="525">
        <f>SUMIF('CARTERA años anteriores'!$C$9:$C$234,A41,'CARTERA años anteriores'!$L$9:$L$234)</f>
        <v>0</v>
      </c>
      <c r="F41" s="525">
        <f>SUMIF(FACTURACIÓN!$C$8:$C$1082,A41,FACTURACIÓN!$K$8:$K$1082)</f>
        <v>0</v>
      </c>
      <c r="G41" s="525">
        <f>SUMIF('INGRESOS A CAJA'!$C$10:$C$954,A41,'INGRESOS A CAJA'!$F$10:$F$954)</f>
        <v>0</v>
      </c>
      <c r="H41" s="525">
        <f>SUMIF('EGRESOS DE CAJA'!$C$10:$C$2251,A41,'EGRESOS DE CAJA'!$G$10:$G$2251)</f>
        <v>0</v>
      </c>
      <c r="I41" s="512">
        <f t="shared" si="2"/>
        <v>0</v>
      </c>
      <c r="J41" s="557"/>
    </row>
    <row r="42" spans="1:10" x14ac:dyDescent="0.2">
      <c r="A42" s="560">
        <v>33</v>
      </c>
      <c r="B42" s="511" t="str">
        <f>_xlfn.XLOOKUP(A42,Códigos!$A$11:$A$415,Códigos!$B$11:$B$415,"Verificar",0)</f>
        <v>NOMBRE 171</v>
      </c>
      <c r="C42" s="727"/>
      <c r="D42" s="525">
        <f>SUMIF('CARTERA años anteriores'!$C$9:$C$234,A42,'CARTERA años anteriores'!$J$9:$J$234)</f>
        <v>3466800</v>
      </c>
      <c r="E42" s="525">
        <f>SUMIF('CARTERA años anteriores'!$C$9:$C$234,A42,'CARTERA años anteriores'!$L$9:$L$234)</f>
        <v>3466800</v>
      </c>
      <c r="F42" s="525">
        <f>SUMIF(FACTURACIÓN!$C$8:$C$1082,A42,FACTURACIÓN!$K$8:$K$1082)</f>
        <v>0</v>
      </c>
      <c r="G42" s="525">
        <f>SUMIF('INGRESOS A CAJA'!$C$10:$C$954,A42,'INGRESOS A CAJA'!$F$10:$F$954)</f>
        <v>0</v>
      </c>
      <c r="H42" s="525">
        <f>SUMIF('EGRESOS DE CAJA'!$C$10:$C$2251,A42,'EGRESOS DE CAJA'!$G$10:$G$2251)</f>
        <v>0</v>
      </c>
      <c r="I42" s="512">
        <f t="shared" si="2"/>
        <v>0</v>
      </c>
      <c r="J42" s="557"/>
    </row>
    <row r="43" spans="1:10" x14ac:dyDescent="0.2">
      <c r="A43" s="560">
        <v>34</v>
      </c>
      <c r="B43" s="511" t="str">
        <f>_xlfn.XLOOKUP(A43,Códigos!$A$11:$A$415,Códigos!$B$11:$B$415,"Verificar",0)</f>
        <v>NOMBRE 176</v>
      </c>
      <c r="C43" s="727"/>
      <c r="D43" s="525">
        <f>SUMIF('CARTERA años anteriores'!$C$9:$C$234,A43,'CARTERA años anteriores'!$J$9:$J$234)</f>
        <v>0</v>
      </c>
      <c r="E43" s="525">
        <f>SUMIF('CARTERA años anteriores'!$C$9:$C$234,A43,'CARTERA años anteriores'!$L$9:$L$234)</f>
        <v>0</v>
      </c>
      <c r="F43" s="525">
        <f>SUMIF(FACTURACIÓN!$C$8:$C$1082,A43,FACTURACIÓN!$K$8:$K$1082)</f>
        <v>0</v>
      </c>
      <c r="G43" s="525">
        <f>SUMIF('INGRESOS A CAJA'!$C$10:$C$954,A43,'INGRESOS A CAJA'!$F$10:$F$954)</f>
        <v>0</v>
      </c>
      <c r="H43" s="525">
        <f>SUMIF('EGRESOS DE CAJA'!$C$10:$C$2251,A43,'EGRESOS DE CAJA'!$G$10:$G$2251)</f>
        <v>0</v>
      </c>
      <c r="I43" s="512">
        <f t="shared" si="2"/>
        <v>0</v>
      </c>
      <c r="J43" s="557"/>
    </row>
    <row r="44" spans="1:10" x14ac:dyDescent="0.2">
      <c r="A44" s="560">
        <v>35</v>
      </c>
      <c r="B44" s="511" t="str">
        <f>_xlfn.XLOOKUP(A44,Códigos!$A$11:$A$415,Códigos!$B$11:$B$415,"Verificar",0)</f>
        <v>NOMBRE 274</v>
      </c>
      <c r="C44" s="727"/>
      <c r="D44" s="525">
        <f>SUMIF('CARTERA años anteriores'!$C$9:$C$234,A44,'CARTERA años anteriores'!$J$9:$J$234)</f>
        <v>0</v>
      </c>
      <c r="E44" s="525">
        <f>SUMIF('CARTERA años anteriores'!$C$9:$C$234,A44,'CARTERA años anteriores'!$L$9:$L$234)</f>
        <v>0</v>
      </c>
      <c r="F44" s="525">
        <f>SUMIF(FACTURACIÓN!$C$8:$C$1082,A44,FACTURACIÓN!$K$8:$K$1082)</f>
        <v>0</v>
      </c>
      <c r="G44" s="525">
        <f>SUMIF('INGRESOS A CAJA'!$C$10:$C$954,A44,'INGRESOS A CAJA'!$F$10:$F$954)</f>
        <v>0</v>
      </c>
      <c r="H44" s="525">
        <f>SUMIF('EGRESOS DE CAJA'!$C$10:$C$2251,A44,'EGRESOS DE CAJA'!$G$10:$G$2251)</f>
        <v>0</v>
      </c>
      <c r="I44" s="512">
        <f t="shared" si="2"/>
        <v>0</v>
      </c>
      <c r="J44" s="557"/>
    </row>
    <row r="45" spans="1:10" x14ac:dyDescent="0.2">
      <c r="A45" s="560">
        <v>36</v>
      </c>
      <c r="B45" s="511" t="str">
        <f>_xlfn.XLOOKUP(A45,Códigos!$A$11:$A$415,Códigos!$B$11:$B$415,"Verificar",0)</f>
        <v>NOMBRE 15</v>
      </c>
      <c r="C45" s="727"/>
      <c r="D45" s="525">
        <f>SUMIF('CARTERA años anteriores'!$C$9:$C$234,A45,'CARTERA años anteriores'!$J$9:$J$234)</f>
        <v>0</v>
      </c>
      <c r="E45" s="525">
        <f>SUMIF('CARTERA años anteriores'!$C$9:$C$234,A45,'CARTERA años anteriores'!$L$9:$L$234)</f>
        <v>0</v>
      </c>
      <c r="F45" s="525">
        <f>SUMIF(FACTURACIÓN!$C$8:$C$1082,A45,FACTURACIÓN!$K$8:$K$1082)</f>
        <v>0</v>
      </c>
      <c r="G45" s="525">
        <f>SUMIF('INGRESOS A CAJA'!$C$10:$C$954,A45,'INGRESOS A CAJA'!$F$10:$F$954)</f>
        <v>0</v>
      </c>
      <c r="H45" s="525">
        <f>SUMIF('EGRESOS DE CAJA'!$C$10:$C$2251,A45,'EGRESOS DE CAJA'!$G$10:$G$2251)</f>
        <v>0</v>
      </c>
      <c r="I45" s="512">
        <f t="shared" si="2"/>
        <v>0</v>
      </c>
      <c r="J45" s="557"/>
    </row>
    <row r="46" spans="1:10" x14ac:dyDescent="0.2">
      <c r="A46" s="676">
        <v>37</v>
      </c>
      <c r="B46" s="887" t="str">
        <f>_xlfn.XLOOKUP(A46,Códigos!$A$11:$A$415,Códigos!$B$11:$B$415,"Verificar",0)</f>
        <v>NOMBRE 310</v>
      </c>
      <c r="C46" s="888"/>
      <c r="D46" s="888">
        <f>SUMIF('CARTERA años anteriores'!$C$9:$C$234,A46,'CARTERA años anteriores'!$J$9:$J$234)</f>
        <v>3466800</v>
      </c>
      <c r="E46" s="888">
        <f>SUMIF('CARTERA años anteriores'!$C$9:$C$234,A46,'CARTERA años anteriores'!$L$9:$L$234)</f>
        <v>3466800</v>
      </c>
      <c r="F46" s="889">
        <f>SUMIF(FACTURACIÓN!$C$8:$C$1082,A46,FACTURACIÓN!$K$8:$K$1082)</f>
        <v>0</v>
      </c>
      <c r="G46" s="889">
        <f>SUMIF('INGRESOS A CAJA'!$C$10:$C$954,A46,'INGRESOS A CAJA'!$F$10:$F$954)</f>
        <v>1933600</v>
      </c>
      <c r="H46" s="889">
        <f>SUMIF('EGRESOS DE CAJA'!$C$10:$C$2251,A46,'EGRESOS DE CAJA'!$G$10:$G$2251)</f>
        <v>0</v>
      </c>
      <c r="I46" s="890">
        <f t="shared" si="2"/>
        <v>0</v>
      </c>
      <c r="J46" s="891"/>
    </row>
    <row r="47" spans="1:10" x14ac:dyDescent="0.2">
      <c r="A47" s="560">
        <v>38</v>
      </c>
      <c r="B47" s="511" t="str">
        <f>_xlfn.XLOOKUP(A47,Códigos!$A$11:$A$415,Códigos!$B$11:$B$415,"Verificar",0)</f>
        <v>NOMBRE 16</v>
      </c>
      <c r="C47" s="727"/>
      <c r="D47" s="525">
        <f>SUMIF('CARTERA años anteriores'!$C$9:$C$234,A47,'CARTERA años anteriores'!$J$9:$J$234)</f>
        <v>0</v>
      </c>
      <c r="E47" s="525">
        <f>SUMIF('CARTERA años anteriores'!$C$9:$C$234,A47,'CARTERA años anteriores'!$L$9:$L$234)</f>
        <v>0</v>
      </c>
      <c r="F47" s="525">
        <f>SUMIF(FACTURACIÓN!$C$8:$C$1082,A47,FACTURACIÓN!$K$8:$K$1082)</f>
        <v>0</v>
      </c>
      <c r="G47" s="525">
        <f>SUMIF('INGRESOS A CAJA'!$C$10:$C$954,A47,'INGRESOS A CAJA'!$F$10:$F$954)</f>
        <v>0</v>
      </c>
      <c r="H47" s="525">
        <f>SUMIF('EGRESOS DE CAJA'!$C$10:$C$2251,A47,'EGRESOS DE CAJA'!$G$10:$G$2251)</f>
        <v>0</v>
      </c>
      <c r="I47" s="512">
        <f t="shared" si="2"/>
        <v>0</v>
      </c>
      <c r="J47" s="557"/>
    </row>
    <row r="48" spans="1:10" x14ac:dyDescent="0.2">
      <c r="A48" s="560">
        <v>39</v>
      </c>
      <c r="B48" s="511" t="str">
        <f>_xlfn.XLOOKUP(A48,Códigos!$A$11:$A$415,Códigos!$B$11:$B$415,"Verificar",0)</f>
        <v>NOMBRE 79</v>
      </c>
      <c r="C48" s="727"/>
      <c r="D48" s="525">
        <f>SUMIF('CARTERA años anteriores'!$C$9:$C$234,A48,'CARTERA años anteriores'!$J$9:$J$234)</f>
        <v>0</v>
      </c>
      <c r="E48" s="525">
        <f>SUMIF('CARTERA años anteriores'!$C$9:$C$234,A48,'CARTERA años anteriores'!$L$9:$L$234)</f>
        <v>0</v>
      </c>
      <c r="F48" s="525">
        <f>SUMIF(FACTURACIÓN!$C$8:$C$1082,A48,FACTURACIÓN!$K$8:$K$1082)</f>
        <v>0</v>
      </c>
      <c r="G48" s="525">
        <f>SUMIF('INGRESOS A CAJA'!$C$10:$C$954,A48,'INGRESOS A CAJA'!$F$10:$F$954)</f>
        <v>0</v>
      </c>
      <c r="H48" s="525">
        <f>SUMIF('EGRESOS DE CAJA'!$C$10:$C$2251,A48,'EGRESOS DE CAJA'!$G$10:$G$2251)</f>
        <v>0</v>
      </c>
      <c r="I48" s="512">
        <f t="shared" si="2"/>
        <v>0</v>
      </c>
      <c r="J48" s="557"/>
    </row>
    <row r="49" spans="1:10" x14ac:dyDescent="0.2">
      <c r="A49" s="560">
        <v>40</v>
      </c>
      <c r="B49" s="511" t="str">
        <f>_xlfn.XLOOKUP(A49,Códigos!$A$11:$A$415,Códigos!$B$11:$B$415,"Verificar",0)</f>
        <v>NOMBRE 325</v>
      </c>
      <c r="C49" s="727"/>
      <c r="D49" s="525">
        <f>SUMIF('CARTERA años anteriores'!$C$9:$C$234,A49,'CARTERA años anteriores'!$J$9:$J$234)</f>
        <v>8615600</v>
      </c>
      <c r="E49" s="525">
        <f>SUMIF('CARTERA años anteriores'!$C$9:$C$234,A49,'CARTERA años anteriores'!$L$9:$L$234)</f>
        <v>7819200</v>
      </c>
      <c r="F49" s="525">
        <f>SUMIF(FACTURACIÓN!$C$8:$C$1082,A49,FACTURACIÓN!$K$8:$K$1082)</f>
        <v>0</v>
      </c>
      <c r="G49" s="525">
        <f>SUMIF('INGRESOS A CAJA'!$C$10:$C$954,A49,'INGRESOS A CAJA'!$F$10:$F$954)</f>
        <v>7819200</v>
      </c>
      <c r="H49" s="525">
        <f>SUMIF('EGRESOS DE CAJA'!$C$10:$C$2251,A49,'EGRESOS DE CAJA'!$G$10:$G$2251)</f>
        <v>0</v>
      </c>
      <c r="I49" s="512">
        <f t="shared" si="2"/>
        <v>0</v>
      </c>
      <c r="J49" s="557"/>
    </row>
    <row r="50" spans="1:10" x14ac:dyDescent="0.2">
      <c r="A50" s="560">
        <v>41</v>
      </c>
      <c r="B50" s="511" t="str">
        <f>_xlfn.XLOOKUP(A50,Códigos!$A$11:$A$415,Códigos!$B$11:$B$415,"Verificar",0)</f>
        <v>NOMBRE 1</v>
      </c>
      <c r="C50" s="727"/>
      <c r="D50" s="525">
        <f>SUMIF('CARTERA años anteriores'!$C$9:$C$234,A50,'CARTERA años anteriores'!$J$9:$J$234)</f>
        <v>0</v>
      </c>
      <c r="E50" s="525">
        <f>SUMIF('CARTERA años anteriores'!$C$9:$C$234,A50,'CARTERA años anteriores'!$L$9:$L$234)</f>
        <v>0</v>
      </c>
      <c r="F50" s="525">
        <f>SUMIF(FACTURACIÓN!$C$8:$C$1082,A50,FACTURACIÓN!$K$8:$K$1082)</f>
        <v>360000</v>
      </c>
      <c r="G50" s="525">
        <f>SUMIF('INGRESOS A CAJA'!$C$10:$C$954,A50,'INGRESOS A CAJA'!$F$10:$F$954)</f>
        <v>0</v>
      </c>
      <c r="H50" s="525">
        <f>SUMIF('EGRESOS DE CAJA'!$C$10:$C$2251,A50,'EGRESOS DE CAJA'!$G$10:$G$2251)</f>
        <v>0</v>
      </c>
      <c r="I50" s="512">
        <f t="shared" si="2"/>
        <v>0</v>
      </c>
      <c r="J50" s="557"/>
    </row>
    <row r="51" spans="1:10" x14ac:dyDescent="0.2">
      <c r="A51" s="560">
        <v>42</v>
      </c>
      <c r="B51" s="511" t="str">
        <f>_xlfn.XLOOKUP(A51,Códigos!$A$11:$A$415,Códigos!$B$11:$B$415,"Verificar",0)</f>
        <v>NOMBRE 6</v>
      </c>
      <c r="C51" s="727"/>
      <c r="D51" s="525">
        <f>SUMIF('CARTERA años anteriores'!$C$9:$C$234,A51,'CARTERA años anteriores'!$J$9:$J$234)</f>
        <v>0</v>
      </c>
      <c r="E51" s="525">
        <f>SUMIF('CARTERA años anteriores'!$C$9:$C$234,A51,'CARTERA años anteriores'!$L$9:$L$234)</f>
        <v>0</v>
      </c>
      <c r="F51" s="525">
        <f>SUMIF(FACTURACIÓN!$C$8:$C$1082,A51,FACTURACIÓN!$K$8:$K$1082)</f>
        <v>0</v>
      </c>
      <c r="G51" s="525">
        <f>SUMIF('INGRESOS A CAJA'!$C$10:$C$954,A51,'INGRESOS A CAJA'!$F$10:$F$954)</f>
        <v>0</v>
      </c>
      <c r="H51" s="525">
        <f>SUMIF('EGRESOS DE CAJA'!$C$10:$C$2251,A51,'EGRESOS DE CAJA'!$G$10:$G$2251)</f>
        <v>0</v>
      </c>
      <c r="I51" s="512">
        <f t="shared" si="2"/>
        <v>0</v>
      </c>
      <c r="J51" s="557"/>
    </row>
    <row r="52" spans="1:10" x14ac:dyDescent="0.2">
      <c r="A52" s="560">
        <v>43</v>
      </c>
      <c r="B52" s="511" t="str">
        <f>_xlfn.XLOOKUP(A52,Códigos!$A$11:$A$415,Códigos!$B$11:$B$415,"Verificar",0)</f>
        <v>NOMBRE 7</v>
      </c>
      <c r="C52" s="727"/>
      <c r="D52" s="525">
        <f>SUMIF('CARTERA años anteriores'!$C$9:$C$234,A52,'CARTERA años anteriores'!$J$9:$J$234)</f>
        <v>0</v>
      </c>
      <c r="E52" s="525">
        <f>SUMIF('CARTERA años anteriores'!$C$9:$C$234,A52,'CARTERA años anteriores'!$L$9:$L$234)</f>
        <v>0</v>
      </c>
      <c r="F52" s="525">
        <f>SUMIF(FACTURACIÓN!$C$8:$C$1082,A52,FACTURACIÓN!$K$8:$K$1082)</f>
        <v>480000</v>
      </c>
      <c r="G52" s="525">
        <f>SUMIF('INGRESOS A CAJA'!$C$10:$C$954,A52,'INGRESOS A CAJA'!$F$10:$F$954)</f>
        <v>0</v>
      </c>
      <c r="H52" s="525">
        <f>SUMIF('EGRESOS DE CAJA'!$C$10:$C$2251,A52,'EGRESOS DE CAJA'!$G$10:$G$2251)</f>
        <v>0</v>
      </c>
      <c r="I52" s="512">
        <f t="shared" si="2"/>
        <v>0</v>
      </c>
      <c r="J52" s="557"/>
    </row>
    <row r="53" spans="1:10" x14ac:dyDescent="0.2">
      <c r="A53" s="560">
        <v>44</v>
      </c>
      <c r="B53" s="511" t="str">
        <f>_xlfn.XLOOKUP(A53,Códigos!$A$11:$A$415,Códigos!$B$11:$B$415,"Verificar",0)</f>
        <v>NOMBRE 8</v>
      </c>
      <c r="C53" s="727"/>
      <c r="D53" s="525">
        <f>SUMIF('CARTERA años anteriores'!$C$9:$C$234,A53,'CARTERA años anteriores'!$J$9:$J$234)</f>
        <v>0</v>
      </c>
      <c r="E53" s="525">
        <f>SUMIF('CARTERA años anteriores'!$C$9:$C$234,A53,'CARTERA años anteriores'!$L$9:$L$234)</f>
        <v>0</v>
      </c>
      <c r="F53" s="525">
        <f>SUMIF(FACTURACIÓN!$C$8:$C$1082,A53,FACTURACIÓN!$K$8:$K$1082)</f>
        <v>0</v>
      </c>
      <c r="G53" s="525">
        <f>SUMIF('INGRESOS A CAJA'!$C$10:$C$954,A53,'INGRESOS A CAJA'!$F$10:$F$954)</f>
        <v>0</v>
      </c>
      <c r="H53" s="525">
        <f>SUMIF('EGRESOS DE CAJA'!$C$10:$C$2251,A53,'EGRESOS DE CAJA'!$G$10:$G$2251)</f>
        <v>0</v>
      </c>
      <c r="I53" s="512">
        <f t="shared" si="2"/>
        <v>0</v>
      </c>
      <c r="J53" s="557"/>
    </row>
    <row r="54" spans="1:10" x14ac:dyDescent="0.2">
      <c r="A54" s="560">
        <v>45</v>
      </c>
      <c r="B54" s="511" t="str">
        <f>_xlfn.XLOOKUP(A54,Códigos!$A$11:$A$415,Códigos!$B$11:$B$415,"Verificar",0)</f>
        <v>NOMBRE 9</v>
      </c>
      <c r="C54" s="727"/>
      <c r="D54" s="525">
        <f>SUMIF('CARTERA años anteriores'!$C$9:$C$234,A54,'CARTERA años anteriores'!$J$9:$J$234)</f>
        <v>0</v>
      </c>
      <c r="E54" s="525">
        <f>SUMIF('CARTERA años anteriores'!$C$9:$C$234,A54,'CARTERA años anteriores'!$L$9:$L$234)</f>
        <v>0</v>
      </c>
      <c r="F54" s="525">
        <f>SUMIF(FACTURACIÓN!$C$8:$C$1082,A54,FACTURACIÓN!$K$8:$K$1082)</f>
        <v>980000</v>
      </c>
      <c r="G54" s="525">
        <f>SUMIF('INGRESOS A CAJA'!$C$10:$C$954,A54,'INGRESOS A CAJA'!$F$10:$F$954)</f>
        <v>0</v>
      </c>
      <c r="H54" s="525">
        <f>SUMIF('EGRESOS DE CAJA'!$C$10:$C$2251,A54,'EGRESOS DE CAJA'!$G$10:$G$2251)</f>
        <v>0</v>
      </c>
      <c r="I54" s="512">
        <f t="shared" si="2"/>
        <v>0</v>
      </c>
      <c r="J54" s="557"/>
    </row>
    <row r="55" spans="1:10" x14ac:dyDescent="0.2">
      <c r="A55" s="560">
        <v>46</v>
      </c>
      <c r="B55" s="511" t="str">
        <f>_xlfn.XLOOKUP(A55,Códigos!$A$11:$A$415,Códigos!$B$11:$B$415,"Verificar",0)</f>
        <v>NOMBRE 116</v>
      </c>
      <c r="C55" s="727"/>
      <c r="D55" s="525">
        <f>SUMIF('CARTERA años anteriores'!$C$9:$C$234,A55,'CARTERA años anteriores'!$J$9:$J$234)</f>
        <v>0</v>
      </c>
      <c r="E55" s="525">
        <f>SUMIF('CARTERA años anteriores'!$C$9:$C$234,A55,'CARTERA años anteriores'!$L$9:$L$234)</f>
        <v>0</v>
      </c>
      <c r="F55" s="525">
        <f>SUMIF(FACTURACIÓN!$C$8:$C$1082,A55,FACTURACIÓN!$K$8:$K$1082)</f>
        <v>400000</v>
      </c>
      <c r="G55" s="525">
        <f>SUMIF('INGRESOS A CAJA'!$C$10:$C$954,A55,'INGRESOS A CAJA'!$F$10:$F$954)</f>
        <v>400000</v>
      </c>
      <c r="H55" s="525">
        <f>SUMIF('EGRESOS DE CAJA'!$C$10:$C$2251,A55,'EGRESOS DE CAJA'!$G$10:$G$2251)</f>
        <v>0</v>
      </c>
      <c r="I55" s="512">
        <f t="shared" si="2"/>
        <v>0</v>
      </c>
      <c r="J55" s="557"/>
    </row>
    <row r="56" spans="1:10" s="942" customFormat="1" x14ac:dyDescent="0.2">
      <c r="A56" s="936">
        <v>47</v>
      </c>
      <c r="B56" s="937" t="str">
        <f>_xlfn.XLOOKUP(A56,Códigos!$A$11:$A$415,Códigos!$B$11:$B$415,"Verificar",0)</f>
        <v>NOMBRE 12</v>
      </c>
      <c r="C56" s="938"/>
      <c r="D56" s="525">
        <f>SUMIF('CARTERA años anteriores'!$C$9:$C$234,A56,'CARTERA años anteriores'!$J$9:$J$234)</f>
        <v>0</v>
      </c>
      <c r="E56" s="525">
        <f>SUMIF('CARTERA años anteriores'!$C$9:$C$234,A56,'CARTERA años anteriores'!$L$9:$L$234)</f>
        <v>0</v>
      </c>
      <c r="F56" s="939">
        <f>SUMIF(FACTURACIÓN!$C$8:$C$1082,A56,FACTURACIÓN!$K$8:$K$1082)</f>
        <v>0</v>
      </c>
      <c r="G56" s="939">
        <f>SUMIF('INGRESOS A CAJA'!$C$10:$C$954,A56,'INGRESOS A CAJA'!$F$10:$F$954)</f>
        <v>0</v>
      </c>
      <c r="H56" s="939">
        <f>SUMIF('EGRESOS DE CAJA'!$C$10:$C$2251,A56,'EGRESOS DE CAJA'!$G$10:$G$2251)</f>
        <v>0</v>
      </c>
      <c r="I56" s="940">
        <f t="shared" si="2"/>
        <v>0</v>
      </c>
      <c r="J56" s="941"/>
    </row>
    <row r="57" spans="1:10" x14ac:dyDescent="0.2">
      <c r="A57" s="560">
        <v>48</v>
      </c>
      <c r="B57" s="511" t="str">
        <f>_xlfn.XLOOKUP(A57,Códigos!$A$11:$A$415,Códigos!$B$11:$B$415,"Verificar",0)</f>
        <v>NOMBRE 14</v>
      </c>
      <c r="C57" s="727"/>
      <c r="D57" s="525">
        <f>SUMIF('CARTERA años anteriores'!$C$9:$C$234,A57,'CARTERA años anteriores'!$J$9:$J$234)</f>
        <v>0</v>
      </c>
      <c r="E57" s="525">
        <f>SUMIF('CARTERA años anteriores'!$C$9:$C$234,A57,'CARTERA años anteriores'!$L$9:$L$234)</f>
        <v>0</v>
      </c>
      <c r="F57" s="525">
        <f>SUMIF(FACTURACIÓN!$C$8:$C$1082,A57,FACTURACIÓN!$K$8:$K$1082)</f>
        <v>580000</v>
      </c>
      <c r="G57" s="525">
        <f>SUMIF('INGRESOS A CAJA'!$C$10:$C$954,A57,'INGRESOS A CAJA'!$F$10:$F$954)</f>
        <v>580000</v>
      </c>
      <c r="H57" s="525">
        <f>SUMIF('EGRESOS DE CAJA'!$C$10:$C$2251,A57,'EGRESOS DE CAJA'!$G$10:$G$2251)</f>
        <v>0</v>
      </c>
      <c r="I57" s="512">
        <f t="shared" si="2"/>
        <v>0</v>
      </c>
      <c r="J57" s="557"/>
    </row>
    <row r="58" spans="1:10" x14ac:dyDescent="0.2">
      <c r="A58" s="560">
        <v>49</v>
      </c>
      <c r="B58" s="511" t="str">
        <f>_xlfn.XLOOKUP(A58,Códigos!$A$11:$A$415,Códigos!$B$11:$B$415,"Verificar",0)</f>
        <v>NOMBRE 17</v>
      </c>
      <c r="C58" s="727"/>
      <c r="D58" s="525">
        <f>SUMIF('CARTERA años anteriores'!$C$9:$C$234,A58,'CARTERA años anteriores'!$J$9:$J$234)</f>
        <v>660000</v>
      </c>
      <c r="E58" s="525">
        <f>SUMIF('CARTERA años anteriores'!$C$9:$C$234,A58,'CARTERA años anteriores'!$L$9:$L$234)</f>
        <v>660000</v>
      </c>
      <c r="F58" s="525">
        <f>SUMIF(FACTURACIÓN!$C$8:$C$1082,A58,FACTURACIÓN!$K$8:$K$1082)</f>
        <v>690000</v>
      </c>
      <c r="G58" s="525">
        <f>SUMIF('INGRESOS A CAJA'!$C$10:$C$954,A58,'INGRESOS A CAJA'!$F$10:$F$954)</f>
        <v>660000</v>
      </c>
      <c r="H58" s="525">
        <f>SUMIF('EGRESOS DE CAJA'!$C$10:$C$2251,A58,'EGRESOS DE CAJA'!$G$10:$G$2251)</f>
        <v>0</v>
      </c>
      <c r="I58" s="512">
        <f t="shared" si="2"/>
        <v>0</v>
      </c>
      <c r="J58" s="557"/>
    </row>
    <row r="59" spans="1:10" x14ac:dyDescent="0.2">
      <c r="A59" s="560">
        <v>50</v>
      </c>
      <c r="B59" s="511" t="str">
        <f>_xlfn.XLOOKUP(A59,Códigos!$A$11:$A$415,Códigos!$B$11:$B$415,"Verificar",0)</f>
        <v>NOMBRE 18</v>
      </c>
      <c r="C59" s="727"/>
      <c r="D59" s="525">
        <f>SUMIF('CARTERA años anteriores'!$C$9:$C$234,A59,'CARTERA años anteriores'!$J$9:$J$234)</f>
        <v>0</v>
      </c>
      <c r="E59" s="525">
        <f>SUMIF('CARTERA años anteriores'!$C$9:$C$234,A59,'CARTERA años anteriores'!$L$9:$L$234)</f>
        <v>0</v>
      </c>
      <c r="F59" s="525">
        <f>SUMIF(FACTURACIÓN!$C$8:$C$1082,A59,FACTURACIÓN!$K$8:$K$1082)</f>
        <v>350000</v>
      </c>
      <c r="G59" s="525">
        <f>SUMIF('INGRESOS A CAJA'!$C$10:$C$954,A59,'INGRESOS A CAJA'!$F$10:$F$954)</f>
        <v>0</v>
      </c>
      <c r="H59" s="525">
        <f>SUMIF('EGRESOS DE CAJA'!$C$10:$C$2251,A59,'EGRESOS DE CAJA'!$G$10:$G$2251)</f>
        <v>0</v>
      </c>
      <c r="I59" s="512">
        <f t="shared" si="2"/>
        <v>0</v>
      </c>
      <c r="J59" s="557"/>
    </row>
    <row r="60" spans="1:10" x14ac:dyDescent="0.2">
      <c r="A60" s="560">
        <v>51</v>
      </c>
      <c r="B60" s="511" t="str">
        <f>_xlfn.XLOOKUP(A60,Códigos!$A$11:$A$415,Códigos!$B$11:$B$415,"Verificar",0)</f>
        <v>NOMBRE 19</v>
      </c>
      <c r="C60" s="727"/>
      <c r="D60" s="525">
        <f>SUMIF('CARTERA años anteriores'!$C$9:$C$234,A60,'CARTERA años anteriores'!$J$9:$J$234)</f>
        <v>0</v>
      </c>
      <c r="E60" s="525">
        <f>SUMIF('CARTERA años anteriores'!$C$9:$C$234,A60,'CARTERA años anteriores'!$L$9:$L$234)</f>
        <v>0</v>
      </c>
      <c r="F60" s="525">
        <f>SUMIF(FACTURACIÓN!$C$8:$C$1082,A60,FACTURACIÓN!$K$8:$K$1082)</f>
        <v>0</v>
      </c>
      <c r="G60" s="525">
        <f>SUMIF('INGRESOS A CAJA'!$C$10:$C$954,A60,'INGRESOS A CAJA'!$F$10:$F$954)</f>
        <v>0</v>
      </c>
      <c r="H60" s="525">
        <f>SUMIF('EGRESOS DE CAJA'!$C$10:$C$2251,A60,'EGRESOS DE CAJA'!$G$10:$G$2251)</f>
        <v>0</v>
      </c>
      <c r="I60" s="512">
        <f t="shared" si="2"/>
        <v>0</v>
      </c>
      <c r="J60" s="557"/>
    </row>
    <row r="61" spans="1:10" x14ac:dyDescent="0.2">
      <c r="A61" s="560">
        <v>52</v>
      </c>
      <c r="B61" s="511" t="str">
        <f>_xlfn.XLOOKUP(A61,Códigos!$A$11:$A$415,Códigos!$B$11:$B$415,"Verificar",0)</f>
        <v>NOMBRE 20</v>
      </c>
      <c r="C61" s="727"/>
      <c r="D61" s="525">
        <f>SUMIF('CARTERA años anteriores'!$C$9:$C$234,A61,'CARTERA años anteriores'!$J$9:$J$234)</f>
        <v>0</v>
      </c>
      <c r="E61" s="525">
        <f>SUMIF('CARTERA años anteriores'!$C$9:$C$234,A61,'CARTERA años anteriores'!$L$9:$L$234)</f>
        <v>0</v>
      </c>
      <c r="F61" s="525">
        <f>SUMIF(FACTURACIÓN!$C$8:$C$1082,A61,FACTURACIÓN!$K$8:$K$1082)</f>
        <v>0</v>
      </c>
      <c r="G61" s="525">
        <f>SUMIF('INGRESOS A CAJA'!$C$10:$C$954,A61,'INGRESOS A CAJA'!$F$10:$F$954)</f>
        <v>0</v>
      </c>
      <c r="H61" s="525">
        <f>SUMIF('EGRESOS DE CAJA'!$C$10:$C$2251,A61,'EGRESOS DE CAJA'!$G$10:$G$2251)</f>
        <v>0</v>
      </c>
      <c r="I61" s="512">
        <f t="shared" si="2"/>
        <v>0</v>
      </c>
      <c r="J61" s="557"/>
    </row>
    <row r="62" spans="1:10" x14ac:dyDescent="0.2">
      <c r="A62" s="560">
        <v>53</v>
      </c>
      <c r="B62" s="511" t="str">
        <f>_xlfn.XLOOKUP(A62,Códigos!$A$11:$A$415,Códigos!$B$11:$B$415,"Verificar",0)</f>
        <v>NOMBRE 22</v>
      </c>
      <c r="C62" s="727"/>
      <c r="D62" s="525">
        <f>SUMIF('CARTERA años anteriores'!$C$9:$C$234,A62,'CARTERA años anteriores'!$J$9:$J$234)</f>
        <v>0</v>
      </c>
      <c r="E62" s="525">
        <f>SUMIF('CARTERA años anteriores'!$C$9:$C$234,A62,'CARTERA años anteriores'!$L$9:$L$234)</f>
        <v>0</v>
      </c>
      <c r="F62" s="525">
        <f>SUMIF(FACTURACIÓN!$C$8:$C$1082,A62,FACTURACIÓN!$K$8:$K$1082)</f>
        <v>0</v>
      </c>
      <c r="G62" s="525">
        <f>SUMIF('INGRESOS A CAJA'!$C$10:$C$954,A62,'INGRESOS A CAJA'!$F$10:$F$954)</f>
        <v>0</v>
      </c>
      <c r="H62" s="525">
        <f>SUMIF('EGRESOS DE CAJA'!$C$10:$C$2251,A62,'EGRESOS DE CAJA'!$G$10:$G$2251)</f>
        <v>0</v>
      </c>
      <c r="I62" s="512">
        <f t="shared" si="2"/>
        <v>0</v>
      </c>
      <c r="J62" s="557"/>
    </row>
    <row r="63" spans="1:10" x14ac:dyDescent="0.2">
      <c r="A63" s="560">
        <v>54</v>
      </c>
      <c r="B63" s="511" t="str">
        <f>_xlfn.XLOOKUP(A63,Códigos!$A$11:$A$415,Códigos!$B$11:$B$415,"Verificar",0)</f>
        <v>NOMBRE 118</v>
      </c>
      <c r="C63" s="727"/>
      <c r="D63" s="525">
        <f>SUMIF('CARTERA años anteriores'!$C$9:$C$234,A63,'CARTERA años anteriores'!$J$9:$J$234)</f>
        <v>0</v>
      </c>
      <c r="E63" s="525">
        <f>SUMIF('CARTERA años anteriores'!$C$9:$C$234,A63,'CARTERA años anteriores'!$L$9:$L$234)</f>
        <v>0</v>
      </c>
      <c r="F63" s="525">
        <f>SUMIF(FACTURACIÓN!$C$8:$C$1082,A63,FACTURACIÓN!$K$8:$K$1082)</f>
        <v>0</v>
      </c>
      <c r="G63" s="525">
        <f>SUMIF('INGRESOS A CAJA'!$C$10:$C$954,A63,'INGRESOS A CAJA'!$F$10:$F$954)</f>
        <v>0</v>
      </c>
      <c r="H63" s="525">
        <f>SUMIF('EGRESOS DE CAJA'!$C$10:$C$2251,A63,'EGRESOS DE CAJA'!$G$10:$G$2251)</f>
        <v>0</v>
      </c>
      <c r="I63" s="512">
        <f t="shared" si="2"/>
        <v>0</v>
      </c>
      <c r="J63" s="557"/>
    </row>
    <row r="64" spans="1:10" x14ac:dyDescent="0.2">
      <c r="A64" s="560">
        <v>55</v>
      </c>
      <c r="B64" s="511" t="str">
        <f>_xlfn.XLOOKUP(A64,Códigos!$A$11:$A$415,Códigos!$B$11:$B$415,"Verificar",0)</f>
        <v>NOMBRE 120</v>
      </c>
      <c r="C64" s="727"/>
      <c r="D64" s="525">
        <f>SUMIF('CARTERA años anteriores'!$C$9:$C$234,A64,'CARTERA años anteriores'!$J$9:$J$234)</f>
        <v>0</v>
      </c>
      <c r="E64" s="525">
        <f>SUMIF('CARTERA años anteriores'!$C$9:$C$234,A64,'CARTERA años anteriores'!$L$9:$L$234)</f>
        <v>0</v>
      </c>
      <c r="F64" s="525">
        <f>SUMIF(FACTURACIÓN!$C$8:$C$1082,A64,FACTURACIÓN!$K$8:$K$1082)</f>
        <v>0</v>
      </c>
      <c r="G64" s="525">
        <f>SUMIF('INGRESOS A CAJA'!$C$10:$C$954,A64,'INGRESOS A CAJA'!$F$10:$F$954)</f>
        <v>0</v>
      </c>
      <c r="H64" s="525">
        <f>SUMIF('EGRESOS DE CAJA'!$C$10:$C$2251,A64,'EGRESOS DE CAJA'!$G$10:$G$2251)</f>
        <v>0</v>
      </c>
      <c r="I64" s="512">
        <f t="shared" si="2"/>
        <v>0</v>
      </c>
      <c r="J64" s="557"/>
    </row>
    <row r="65" spans="1:10" x14ac:dyDescent="0.2">
      <c r="A65" s="560">
        <v>56</v>
      </c>
      <c r="B65" s="511" t="str">
        <f>_xlfn.XLOOKUP(A65,Códigos!$A$11:$A$415,Códigos!$B$11:$B$415,"Verificar",0)</f>
        <v>NOMBRE 30</v>
      </c>
      <c r="C65" s="727"/>
      <c r="D65" s="525">
        <f>SUMIF('CARTERA años anteriores'!$C$9:$C$234,A65,'CARTERA años anteriores'!$J$9:$J$234)</f>
        <v>0</v>
      </c>
      <c r="E65" s="525">
        <f>SUMIF('CARTERA años anteriores'!$C$9:$C$234,A65,'CARTERA años anteriores'!$L$9:$L$234)</f>
        <v>0</v>
      </c>
      <c r="F65" s="525">
        <f>SUMIF(FACTURACIÓN!$C$8:$C$1082,A65,FACTURACIÓN!$K$8:$K$1082)</f>
        <v>0</v>
      </c>
      <c r="G65" s="525">
        <f>SUMIF('INGRESOS A CAJA'!$C$10:$C$954,A65,'INGRESOS A CAJA'!$F$10:$F$954)</f>
        <v>0</v>
      </c>
      <c r="H65" s="525">
        <f>SUMIF('EGRESOS DE CAJA'!$C$10:$C$2251,A65,'EGRESOS DE CAJA'!$G$10:$G$2251)</f>
        <v>0</v>
      </c>
      <c r="I65" s="512">
        <f t="shared" si="2"/>
        <v>0</v>
      </c>
      <c r="J65" s="557"/>
    </row>
    <row r="66" spans="1:10" x14ac:dyDescent="0.2">
      <c r="A66" s="560">
        <v>57</v>
      </c>
      <c r="B66" s="511" t="str">
        <f>_xlfn.XLOOKUP(A66,Códigos!$A$11:$A$415,Códigos!$B$11:$B$415,"Verificar",0)</f>
        <v>NOMBRE 130</v>
      </c>
      <c r="C66" s="727"/>
      <c r="D66" s="525">
        <f>SUMIF('CARTERA años anteriores'!$C$9:$C$234,A66,'CARTERA años anteriores'!$J$9:$J$234)</f>
        <v>0</v>
      </c>
      <c r="E66" s="525">
        <f>SUMIF('CARTERA años anteriores'!$C$9:$C$234,A66,'CARTERA años anteriores'!$L$9:$L$234)</f>
        <v>0</v>
      </c>
      <c r="F66" s="525">
        <f>SUMIF(FACTURACIÓN!$C$8:$C$1082,A66,FACTURACIÓN!$K$8:$K$1082)</f>
        <v>410000</v>
      </c>
      <c r="G66" s="525">
        <f>SUMIF('INGRESOS A CAJA'!$C$10:$C$954,A66,'INGRESOS A CAJA'!$F$10:$F$954)</f>
        <v>0</v>
      </c>
      <c r="H66" s="525">
        <f>SUMIF('EGRESOS DE CAJA'!$C$10:$C$2251,A66,'EGRESOS DE CAJA'!$G$10:$G$2251)</f>
        <v>0</v>
      </c>
      <c r="I66" s="512">
        <f t="shared" si="2"/>
        <v>0</v>
      </c>
      <c r="J66" s="557"/>
    </row>
    <row r="67" spans="1:10" x14ac:dyDescent="0.2">
      <c r="A67" s="560">
        <v>58</v>
      </c>
      <c r="B67" s="511" t="str">
        <f>_xlfn.XLOOKUP(A67,Códigos!$A$11:$A$415,Códigos!$B$11:$B$415,"Verificar",0)</f>
        <v>NOMBRE 192</v>
      </c>
      <c r="C67" s="727"/>
      <c r="D67" s="525">
        <f>SUMIF('CARTERA años anteriores'!$C$9:$C$234,A67,'CARTERA años anteriores'!$J$9:$J$234)</f>
        <v>0</v>
      </c>
      <c r="E67" s="525">
        <f>SUMIF('CARTERA años anteriores'!$C$9:$C$234,A67,'CARTERA años anteriores'!$L$9:$L$234)</f>
        <v>0</v>
      </c>
      <c r="F67" s="525">
        <f>SUMIF(FACTURACIÓN!$C$8:$C$1082,A67,FACTURACIÓN!$K$8:$K$1082)</f>
        <v>0</v>
      </c>
      <c r="G67" s="525">
        <f>SUMIF('INGRESOS A CAJA'!$C$10:$C$954,A67,'INGRESOS A CAJA'!$F$10:$F$954)</f>
        <v>0</v>
      </c>
      <c r="H67" s="525">
        <f>SUMIF('EGRESOS DE CAJA'!$C$10:$C$2251,A67,'EGRESOS DE CAJA'!$G$10:$G$2251)</f>
        <v>0</v>
      </c>
      <c r="I67" s="512">
        <f t="shared" si="2"/>
        <v>0</v>
      </c>
      <c r="J67" s="557"/>
    </row>
    <row r="68" spans="1:10" x14ac:dyDescent="0.2">
      <c r="A68" s="560">
        <v>59</v>
      </c>
      <c r="B68" s="511" t="str">
        <f>_xlfn.XLOOKUP(A68,Códigos!$A$11:$A$415,Códigos!$B$11:$B$415,"Verificar",0)</f>
        <v>NOMBRE 36</v>
      </c>
      <c r="C68" s="727"/>
      <c r="D68" s="525">
        <f>SUMIF('CARTERA años anteriores'!$C$9:$C$234,A68,'CARTERA años anteriores'!$J$9:$J$234)</f>
        <v>0</v>
      </c>
      <c r="E68" s="525">
        <f>SUMIF('CARTERA años anteriores'!$C$9:$C$234,A68,'CARTERA años anteriores'!$L$9:$L$234)</f>
        <v>0</v>
      </c>
      <c r="F68" s="525">
        <f>SUMIF(FACTURACIÓN!$C$8:$C$1082,A68,FACTURACIÓN!$K$8:$K$1082)</f>
        <v>0</v>
      </c>
      <c r="G68" s="525">
        <f>SUMIF('INGRESOS A CAJA'!$C$10:$C$954,A68,'INGRESOS A CAJA'!$F$10:$F$954)</f>
        <v>0</v>
      </c>
      <c r="H68" s="525">
        <f>SUMIF('EGRESOS DE CAJA'!$C$10:$C$2251,A68,'EGRESOS DE CAJA'!$G$10:$G$2251)</f>
        <v>0</v>
      </c>
      <c r="I68" s="512">
        <f t="shared" si="2"/>
        <v>0</v>
      </c>
      <c r="J68" s="557"/>
    </row>
    <row r="69" spans="1:10" x14ac:dyDescent="0.2">
      <c r="A69" s="560">
        <v>60</v>
      </c>
      <c r="B69" s="511" t="str">
        <f>_xlfn.XLOOKUP(A69,Códigos!$A$11:$A$415,Códigos!$B$11:$B$415,"Verificar",0)</f>
        <v>NOMBRE 39</v>
      </c>
      <c r="C69" s="727"/>
      <c r="D69" s="525">
        <f>SUMIF('CARTERA años anteriores'!$C$9:$C$234,A69,'CARTERA años anteriores'!$J$9:$J$234)</f>
        <v>0</v>
      </c>
      <c r="E69" s="525">
        <f>SUMIF('CARTERA años anteriores'!$C$9:$C$234,A69,'CARTERA años anteriores'!$L$9:$L$234)</f>
        <v>0</v>
      </c>
      <c r="F69" s="525">
        <f>SUMIF(FACTURACIÓN!$C$8:$C$1082,A69,FACTURACIÓN!$K$8:$K$1082)</f>
        <v>350000</v>
      </c>
      <c r="G69" s="525">
        <f>SUMIF('INGRESOS A CAJA'!$C$10:$C$954,A69,'INGRESOS A CAJA'!$F$10:$F$954)</f>
        <v>0</v>
      </c>
      <c r="H69" s="525">
        <f>SUMIF('EGRESOS DE CAJA'!$C$10:$C$2251,A69,'EGRESOS DE CAJA'!$G$10:$G$2251)</f>
        <v>0</v>
      </c>
      <c r="I69" s="512">
        <f t="shared" si="2"/>
        <v>0</v>
      </c>
      <c r="J69" s="557"/>
    </row>
    <row r="70" spans="1:10" x14ac:dyDescent="0.2">
      <c r="A70" s="560">
        <v>61</v>
      </c>
      <c r="B70" s="511" t="str">
        <f>_xlfn.XLOOKUP(A70,Códigos!$A$11:$A$415,Códigos!$B$11:$B$415,"Verificar",0)</f>
        <v>NOMBRE 40</v>
      </c>
      <c r="C70" s="727"/>
      <c r="D70" s="525">
        <f>SUMIF('CARTERA años anteriores'!$C$9:$C$234,A70,'CARTERA años anteriores'!$J$9:$J$234)</f>
        <v>0</v>
      </c>
      <c r="E70" s="525">
        <f>SUMIF('CARTERA años anteriores'!$C$9:$C$234,A70,'CARTERA años anteriores'!$L$9:$L$234)</f>
        <v>0</v>
      </c>
      <c r="F70" s="525">
        <f>SUMIF(FACTURACIÓN!$C$8:$C$1082,A70,FACTURACIÓN!$K$8:$K$1082)</f>
        <v>400000</v>
      </c>
      <c r="G70" s="525">
        <f>SUMIF('INGRESOS A CAJA'!$C$10:$C$954,A70,'INGRESOS A CAJA'!$F$10:$F$954)</f>
        <v>400000</v>
      </c>
      <c r="H70" s="525">
        <f>SUMIF('EGRESOS DE CAJA'!$C$10:$C$2251,A70,'EGRESOS DE CAJA'!$G$10:$G$2251)</f>
        <v>0</v>
      </c>
      <c r="I70" s="512">
        <f t="shared" si="2"/>
        <v>0</v>
      </c>
      <c r="J70" s="557"/>
    </row>
    <row r="71" spans="1:10" x14ac:dyDescent="0.2">
      <c r="A71" s="560">
        <v>62</v>
      </c>
      <c r="B71" s="511" t="str">
        <f>_xlfn.XLOOKUP(A71,Códigos!$A$11:$A$415,Códigos!$B$11:$B$415,"Verificar",0)</f>
        <v>NOMBRE 42</v>
      </c>
      <c r="C71" s="727"/>
      <c r="D71" s="525">
        <f>SUMIF('CARTERA años anteriores'!$C$9:$C$234,A71,'CARTERA años anteriores'!$J$9:$J$234)</f>
        <v>0</v>
      </c>
      <c r="E71" s="525">
        <f>SUMIF('CARTERA años anteriores'!$C$9:$C$234,A71,'CARTERA años anteriores'!$L$9:$L$234)</f>
        <v>0</v>
      </c>
      <c r="F71" s="525">
        <f>SUMIF(FACTURACIÓN!$C$8:$C$1082,A71,FACTURACIÓN!$K$8:$K$1082)</f>
        <v>1870000</v>
      </c>
      <c r="G71" s="525">
        <f>SUMIF('INGRESOS A CAJA'!$C$10:$C$954,A71,'INGRESOS A CAJA'!$F$10:$F$954)</f>
        <v>1870000</v>
      </c>
      <c r="H71" s="525">
        <f>SUMIF('EGRESOS DE CAJA'!$C$10:$C$2251,A71,'EGRESOS DE CAJA'!$G$10:$G$2251)</f>
        <v>0</v>
      </c>
      <c r="I71" s="512">
        <f t="shared" si="2"/>
        <v>0</v>
      </c>
      <c r="J71" s="557"/>
    </row>
    <row r="72" spans="1:10" x14ac:dyDescent="0.2">
      <c r="A72" s="560">
        <v>63</v>
      </c>
      <c r="B72" s="511" t="str">
        <f>_xlfn.XLOOKUP(A72,Códigos!$A$11:$A$415,Códigos!$B$11:$B$415,"Verificar",0)</f>
        <v>NOMBRE 43</v>
      </c>
      <c r="C72" s="727"/>
      <c r="D72" s="525">
        <f>SUMIF('CARTERA años anteriores'!$C$9:$C$234,A72,'CARTERA años anteriores'!$J$9:$J$234)</f>
        <v>0</v>
      </c>
      <c r="E72" s="525">
        <f>SUMIF('CARTERA años anteriores'!$C$9:$C$234,A72,'CARTERA años anteriores'!$L$9:$L$234)</f>
        <v>0</v>
      </c>
      <c r="F72" s="525">
        <f>SUMIF(FACTURACIÓN!$C$8:$C$1082,A72,FACTURACIÓN!$K$8:$K$1082)</f>
        <v>0</v>
      </c>
      <c r="G72" s="525">
        <f>SUMIF('INGRESOS A CAJA'!$C$10:$C$954,A72,'INGRESOS A CAJA'!$F$10:$F$954)</f>
        <v>0</v>
      </c>
      <c r="H72" s="525">
        <f>SUMIF('EGRESOS DE CAJA'!$C$10:$C$2251,A72,'EGRESOS DE CAJA'!$G$10:$G$2251)</f>
        <v>0</v>
      </c>
      <c r="I72" s="512">
        <f t="shared" si="2"/>
        <v>0</v>
      </c>
      <c r="J72" s="557"/>
    </row>
    <row r="73" spans="1:10" x14ac:dyDescent="0.2">
      <c r="A73" s="560">
        <v>64</v>
      </c>
      <c r="B73" s="511" t="str">
        <f>_xlfn.XLOOKUP(A73,Códigos!$A$11:$A$415,Códigos!$B$11:$B$415,"Verificar",0)</f>
        <v>NOMBRE 202</v>
      </c>
      <c r="C73" s="727"/>
      <c r="D73" s="525">
        <f>SUMIF('CARTERA años anteriores'!$C$9:$C$234,A73,'CARTERA años anteriores'!$J$9:$J$234)</f>
        <v>0</v>
      </c>
      <c r="E73" s="525">
        <f>SUMIF('CARTERA años anteriores'!$C$9:$C$234,A73,'CARTERA años anteriores'!$L$9:$L$234)</f>
        <v>0</v>
      </c>
      <c r="F73" s="525">
        <f>SUMIF(FACTURACIÓN!$C$8:$C$1082,A73,FACTURACIÓN!$K$8:$K$1082)</f>
        <v>160000</v>
      </c>
      <c r="G73" s="525">
        <f>SUMIF('INGRESOS A CAJA'!$C$10:$C$954,A73,'INGRESOS A CAJA'!$F$10:$F$954)</f>
        <v>0</v>
      </c>
      <c r="H73" s="525">
        <f>SUMIF('EGRESOS DE CAJA'!$C$10:$C$2251,A73,'EGRESOS DE CAJA'!$G$10:$G$2251)</f>
        <v>0</v>
      </c>
      <c r="I73" s="512">
        <f t="shared" si="2"/>
        <v>0</v>
      </c>
      <c r="J73" s="557"/>
    </row>
    <row r="74" spans="1:10" x14ac:dyDescent="0.2">
      <c r="A74" s="560">
        <v>65</v>
      </c>
      <c r="B74" s="511" t="str">
        <f>_xlfn.XLOOKUP(A74,Códigos!$A$11:$A$415,Códigos!$B$11:$B$415,"Verificar",0)</f>
        <v>NOMBRE 44</v>
      </c>
      <c r="C74" s="727"/>
      <c r="D74" s="525">
        <f>SUMIF('CARTERA años anteriores'!$C$9:$C$234,A74,'CARTERA años anteriores'!$J$9:$J$234)</f>
        <v>0</v>
      </c>
      <c r="E74" s="525">
        <f>SUMIF('CARTERA años anteriores'!$C$9:$C$234,A74,'CARTERA años anteriores'!$L$9:$L$234)</f>
        <v>0</v>
      </c>
      <c r="F74" s="525">
        <f>SUMIF(FACTURACIÓN!$C$8:$C$1082,A74,FACTURACIÓN!$K$8:$K$1082)</f>
        <v>4170000</v>
      </c>
      <c r="G74" s="525">
        <f>SUMIF('INGRESOS A CAJA'!$C$10:$C$954,A74,'INGRESOS A CAJA'!$F$10:$F$954)</f>
        <v>0</v>
      </c>
      <c r="H74" s="525">
        <f>SUMIF('EGRESOS DE CAJA'!$C$10:$C$2251,A74,'EGRESOS DE CAJA'!$G$10:$G$2251)</f>
        <v>0</v>
      </c>
      <c r="I74" s="512">
        <f t="shared" si="2"/>
        <v>0</v>
      </c>
      <c r="J74" s="557"/>
    </row>
    <row r="75" spans="1:10" x14ac:dyDescent="0.2">
      <c r="A75" s="560">
        <v>66</v>
      </c>
      <c r="B75" s="511" t="str">
        <f>_xlfn.XLOOKUP(A75,Códigos!$A$11:$A$415,Códigos!$B$11:$B$415,"Verificar",0)</f>
        <v>NOMBRE 207</v>
      </c>
      <c r="C75" s="727"/>
      <c r="D75" s="525">
        <f>SUMIF('CARTERA años anteriores'!$C$9:$C$234,A75,'CARTERA años anteriores'!$J$9:$J$234)</f>
        <v>0</v>
      </c>
      <c r="E75" s="525">
        <f>SUMIF('CARTERA años anteriores'!$C$9:$C$234,A75,'CARTERA años anteriores'!$L$9:$L$234)</f>
        <v>0</v>
      </c>
      <c r="F75" s="525">
        <f>SUMIF(FACTURACIÓN!$C$8:$C$1082,A75,FACTURACIÓN!$K$8:$K$1082)</f>
        <v>0</v>
      </c>
      <c r="G75" s="525">
        <f>SUMIF('INGRESOS A CAJA'!$C$10:$C$954,A75,'INGRESOS A CAJA'!$F$10:$F$954)</f>
        <v>0</v>
      </c>
      <c r="H75" s="525">
        <f>SUMIF('EGRESOS DE CAJA'!$C$10:$C$2251,A75,'EGRESOS DE CAJA'!$G$10:$G$2251)</f>
        <v>0</v>
      </c>
      <c r="I75" s="512">
        <f t="shared" si="2"/>
        <v>0</v>
      </c>
      <c r="J75" s="557"/>
    </row>
    <row r="76" spans="1:10" x14ac:dyDescent="0.2">
      <c r="A76" s="560">
        <v>67</v>
      </c>
      <c r="B76" s="511" t="str">
        <f>_xlfn.XLOOKUP(A76,Códigos!$A$11:$A$415,Códigos!$B$11:$B$415,"Verificar",0)</f>
        <v>NOMBRE 45</v>
      </c>
      <c r="C76" s="727"/>
      <c r="D76" s="525">
        <f>SUMIF('CARTERA años anteriores'!$C$9:$C$234,A76,'CARTERA años anteriores'!$J$9:$J$234)</f>
        <v>6030000</v>
      </c>
      <c r="E76" s="525">
        <f>SUMIF('CARTERA años anteriores'!$C$9:$C$234,A76,'CARTERA años anteriores'!$L$9:$L$234)</f>
        <v>494200</v>
      </c>
      <c r="F76" s="525">
        <f>SUMIF(FACTURACIÓN!$C$8:$C$1082,A76,FACTURACIÓN!$K$8:$K$1082)</f>
        <v>1400000</v>
      </c>
      <c r="G76" s="525">
        <f>SUMIF('INGRESOS A CAJA'!$C$10:$C$954,A76,'INGRESOS A CAJA'!$F$10:$F$954)</f>
        <v>0</v>
      </c>
      <c r="H76" s="525">
        <f>SUMIF('EGRESOS DE CAJA'!$C$10:$C$2251,A76,'EGRESOS DE CAJA'!$G$10:$G$2251)</f>
        <v>0</v>
      </c>
      <c r="I76" s="512">
        <f t="shared" si="2"/>
        <v>0</v>
      </c>
      <c r="J76" s="557"/>
    </row>
    <row r="77" spans="1:10" x14ac:dyDescent="0.2">
      <c r="A77" s="560">
        <v>68</v>
      </c>
      <c r="B77" s="511" t="str">
        <f>_xlfn.XLOOKUP(A77,Códigos!$A$11:$A$415,Códigos!$B$11:$B$415,"Verificar",0)</f>
        <v>NOMBRE 47</v>
      </c>
      <c r="C77" s="727"/>
      <c r="D77" s="525">
        <f>SUMIF('CARTERA años anteriores'!$C$9:$C$234,A77,'CARTERA años anteriores'!$J$9:$J$234)</f>
        <v>0</v>
      </c>
      <c r="E77" s="525">
        <f>SUMIF('CARTERA años anteriores'!$C$9:$C$234,A77,'CARTERA años anteriores'!$L$9:$L$234)</f>
        <v>0</v>
      </c>
      <c r="F77" s="525">
        <f>SUMIF(FACTURACIÓN!$C$8:$C$1082,A77,FACTURACIÓN!$K$8:$K$1082)</f>
        <v>470000</v>
      </c>
      <c r="G77" s="525">
        <f>SUMIF('INGRESOS A CAJA'!$C$10:$C$954,A77,'INGRESOS A CAJA'!$F$10:$F$954)</f>
        <v>470000</v>
      </c>
      <c r="H77" s="525">
        <f>SUMIF('EGRESOS DE CAJA'!$C$10:$C$2251,A77,'EGRESOS DE CAJA'!$G$10:$G$2251)</f>
        <v>0</v>
      </c>
      <c r="I77" s="512">
        <f t="shared" si="2"/>
        <v>0</v>
      </c>
      <c r="J77" s="557"/>
    </row>
    <row r="78" spans="1:10" x14ac:dyDescent="0.2">
      <c r="A78" s="560">
        <v>69</v>
      </c>
      <c r="B78" s="511" t="str">
        <f>_xlfn.XLOOKUP(A78,Códigos!$A$11:$A$415,Códigos!$B$11:$B$415,"Verificar",0)</f>
        <v>NOMBRE 51</v>
      </c>
      <c r="C78" s="727"/>
      <c r="D78" s="525">
        <f>SUMIF('CARTERA años anteriores'!$C$9:$C$234,A78,'CARTERA años anteriores'!$J$9:$J$234)</f>
        <v>0</v>
      </c>
      <c r="E78" s="525">
        <f>SUMIF('CARTERA años anteriores'!$C$9:$C$234,A78,'CARTERA años anteriores'!$L$9:$L$234)</f>
        <v>0</v>
      </c>
      <c r="F78" s="525">
        <f>SUMIF(FACTURACIÓN!$C$8:$C$1082,A78,FACTURACIÓN!$K$8:$K$1082)</f>
        <v>690000</v>
      </c>
      <c r="G78" s="525">
        <f>SUMIF('INGRESOS A CAJA'!$C$10:$C$954,A78,'INGRESOS A CAJA'!$F$10:$F$954)</f>
        <v>0</v>
      </c>
      <c r="H78" s="525">
        <f>SUMIF('EGRESOS DE CAJA'!$C$10:$C$2251,A78,'EGRESOS DE CAJA'!$G$10:$G$2251)</f>
        <v>0</v>
      </c>
      <c r="I78" s="512">
        <f t="shared" si="2"/>
        <v>0</v>
      </c>
      <c r="J78" s="557"/>
    </row>
    <row r="79" spans="1:10" x14ac:dyDescent="0.2">
      <c r="A79" s="560">
        <v>70</v>
      </c>
      <c r="B79" s="511" t="str">
        <f>_xlfn.XLOOKUP(A79,Códigos!$A$11:$A$415,Códigos!$B$11:$B$415,"Verificar",0)</f>
        <v>NOMBRE 52</v>
      </c>
      <c r="C79" s="727"/>
      <c r="D79" s="525">
        <f>SUMIF('CARTERA años anteriores'!$C$9:$C$234,A79,'CARTERA años anteriores'!$J$9:$J$234)</f>
        <v>0</v>
      </c>
      <c r="E79" s="525">
        <f>SUMIF('CARTERA años anteriores'!$C$9:$C$234,A79,'CARTERA años anteriores'!$L$9:$L$234)</f>
        <v>0</v>
      </c>
      <c r="F79" s="525">
        <f>SUMIF(FACTURACIÓN!$C$8:$C$1082,A79,FACTURACIÓN!$K$8:$K$1082)</f>
        <v>0</v>
      </c>
      <c r="G79" s="525">
        <f>SUMIF('INGRESOS A CAJA'!$C$10:$C$954,A79,'INGRESOS A CAJA'!$F$10:$F$954)</f>
        <v>0</v>
      </c>
      <c r="H79" s="525">
        <f>SUMIF('EGRESOS DE CAJA'!$C$10:$C$2251,A79,'EGRESOS DE CAJA'!$G$10:$G$2251)</f>
        <v>0</v>
      </c>
      <c r="I79" s="512">
        <f t="shared" si="2"/>
        <v>0</v>
      </c>
      <c r="J79" s="557"/>
    </row>
    <row r="80" spans="1:10" x14ac:dyDescent="0.2">
      <c r="A80" s="560">
        <v>71</v>
      </c>
      <c r="B80" s="511" t="str">
        <f>_xlfn.XLOOKUP(A80,Códigos!$A$11:$A$415,Códigos!$B$11:$B$415,"Verificar",0)</f>
        <v>NOMBRE 53</v>
      </c>
      <c r="C80" s="727"/>
      <c r="D80" s="525">
        <f>SUMIF('CARTERA años anteriores'!$C$9:$C$234,A80,'CARTERA años anteriores'!$J$9:$J$234)</f>
        <v>0</v>
      </c>
      <c r="E80" s="525">
        <f>SUMIF('CARTERA años anteriores'!$C$9:$C$234,A80,'CARTERA años anteriores'!$L$9:$L$234)</f>
        <v>0</v>
      </c>
      <c r="F80" s="525">
        <f>SUMIF(FACTURACIÓN!$C$8:$C$1082,A80,FACTURACIÓN!$K$8:$K$1082)</f>
        <v>0</v>
      </c>
      <c r="G80" s="525">
        <f>SUMIF('INGRESOS A CAJA'!$C$10:$C$954,A80,'INGRESOS A CAJA'!$F$10:$F$954)</f>
        <v>0</v>
      </c>
      <c r="H80" s="525">
        <f>SUMIF('EGRESOS DE CAJA'!$C$10:$C$2251,A80,'EGRESOS DE CAJA'!$G$10:$G$2251)</f>
        <v>0</v>
      </c>
      <c r="I80" s="512">
        <f t="shared" si="2"/>
        <v>0</v>
      </c>
      <c r="J80" s="557"/>
    </row>
    <row r="81" spans="1:10" x14ac:dyDescent="0.2">
      <c r="A81" s="560">
        <v>72</v>
      </c>
      <c r="B81" s="511" t="str">
        <f>_xlfn.XLOOKUP(A81,Códigos!$A$11:$A$415,Códigos!$B$11:$B$415,"Verificar",0)</f>
        <v>NOMBRE 54</v>
      </c>
      <c r="C81" s="727"/>
      <c r="D81" s="525">
        <f>SUMIF('CARTERA años anteriores'!$C$9:$C$234,A81,'CARTERA años anteriores'!$J$9:$J$234)</f>
        <v>0</v>
      </c>
      <c r="E81" s="525">
        <f>SUMIF('CARTERA años anteriores'!$C$9:$C$234,A81,'CARTERA años anteriores'!$L$9:$L$234)</f>
        <v>0</v>
      </c>
      <c r="F81" s="525">
        <f>SUMIF(FACTURACIÓN!$C$8:$C$1082,A81,FACTURACIÓN!$K$8:$K$1082)</f>
        <v>0</v>
      </c>
      <c r="G81" s="525">
        <f>SUMIF('INGRESOS A CAJA'!$C$10:$C$954,A81,'INGRESOS A CAJA'!$F$10:$F$954)</f>
        <v>0</v>
      </c>
      <c r="H81" s="525">
        <f>SUMIF('EGRESOS DE CAJA'!$C$10:$C$2251,A81,'EGRESOS DE CAJA'!$G$10:$G$2251)</f>
        <v>0</v>
      </c>
      <c r="I81" s="512">
        <f t="shared" si="2"/>
        <v>0</v>
      </c>
      <c r="J81" s="557"/>
    </row>
    <row r="82" spans="1:10" x14ac:dyDescent="0.2">
      <c r="A82" s="560">
        <v>73</v>
      </c>
      <c r="B82" s="511" t="str">
        <f>_xlfn.XLOOKUP(A82,Códigos!$A$11:$A$415,Códigos!$B$11:$B$415,"Verificar",0)</f>
        <v>NOMBRE 55</v>
      </c>
      <c r="C82" s="727"/>
      <c r="D82" s="525">
        <f>SUMIF('CARTERA años anteriores'!$C$9:$C$234,A82,'CARTERA años anteriores'!$J$9:$J$234)</f>
        <v>0</v>
      </c>
      <c r="E82" s="525">
        <f>SUMIF('CARTERA años anteriores'!$C$9:$C$234,A82,'CARTERA años anteriores'!$L$9:$L$234)</f>
        <v>0</v>
      </c>
      <c r="F82" s="525">
        <f>SUMIF(FACTURACIÓN!$C$8:$C$1082,A82,FACTURACIÓN!$K$8:$K$1082)</f>
        <v>0</v>
      </c>
      <c r="G82" s="525">
        <f>SUMIF('INGRESOS A CAJA'!$C$10:$C$954,A82,'INGRESOS A CAJA'!$F$10:$F$954)</f>
        <v>0</v>
      </c>
      <c r="H82" s="525">
        <f>SUMIF('EGRESOS DE CAJA'!$C$10:$C$2251,A82,'EGRESOS DE CAJA'!$G$10:$G$2251)</f>
        <v>0</v>
      </c>
      <c r="I82" s="512">
        <f t="shared" si="2"/>
        <v>0</v>
      </c>
      <c r="J82" s="557"/>
    </row>
    <row r="83" spans="1:10" x14ac:dyDescent="0.2">
      <c r="A83" s="560">
        <v>74</v>
      </c>
      <c r="B83" s="511" t="str">
        <f>_xlfn.XLOOKUP(A83,Códigos!$A$11:$A$415,Códigos!$B$11:$B$415,"Verificar",0)</f>
        <v>NOMBRE 56</v>
      </c>
      <c r="C83" s="727"/>
      <c r="D83" s="525">
        <f>SUMIF('CARTERA años anteriores'!$C$9:$C$234,A83,'CARTERA años anteriores'!$J$9:$J$234)</f>
        <v>0</v>
      </c>
      <c r="E83" s="525">
        <f>SUMIF('CARTERA años anteriores'!$C$9:$C$234,A83,'CARTERA años anteriores'!$L$9:$L$234)</f>
        <v>0</v>
      </c>
      <c r="F83" s="525">
        <f>SUMIF(FACTURACIÓN!$C$8:$C$1082,A83,FACTURACIÓN!$K$8:$K$1082)</f>
        <v>4450000</v>
      </c>
      <c r="G83" s="525">
        <f>SUMIF('INGRESOS A CAJA'!$C$10:$C$954,A83,'INGRESOS A CAJA'!$F$10:$F$954)</f>
        <v>0</v>
      </c>
      <c r="H83" s="525">
        <f>SUMIF('EGRESOS DE CAJA'!$C$10:$C$2251,A83,'EGRESOS DE CAJA'!$G$10:$G$2251)</f>
        <v>0</v>
      </c>
      <c r="I83" s="512">
        <f t="shared" si="2"/>
        <v>0</v>
      </c>
      <c r="J83" s="557"/>
    </row>
    <row r="84" spans="1:10" x14ac:dyDescent="0.2">
      <c r="A84" s="560">
        <v>75</v>
      </c>
      <c r="B84" s="511" t="str">
        <f>_xlfn.XLOOKUP(A84,Códigos!$A$11:$A$415,Códigos!$B$11:$B$415,"Verificar",0)</f>
        <v>NOMBRE 60</v>
      </c>
      <c r="C84" s="727"/>
      <c r="D84" s="525">
        <f>SUMIF('CARTERA años anteriores'!$C$9:$C$234,A84,'CARTERA años anteriores'!$J$9:$J$234)</f>
        <v>0</v>
      </c>
      <c r="E84" s="525">
        <f>SUMIF('CARTERA años anteriores'!$C$9:$C$234,A84,'CARTERA años anteriores'!$L$9:$L$234)</f>
        <v>0</v>
      </c>
      <c r="F84" s="525">
        <f>SUMIF(FACTURACIÓN!$C$8:$C$1082,A84,FACTURACIÓN!$K$8:$K$1082)</f>
        <v>0</v>
      </c>
      <c r="G84" s="525">
        <f>SUMIF('INGRESOS A CAJA'!$C$10:$C$954,A84,'INGRESOS A CAJA'!$F$10:$F$954)</f>
        <v>0</v>
      </c>
      <c r="H84" s="525">
        <f>SUMIF('EGRESOS DE CAJA'!$C$10:$C$2251,A84,'EGRESOS DE CAJA'!$G$10:$G$2251)</f>
        <v>0</v>
      </c>
      <c r="I84" s="512">
        <f t="shared" si="2"/>
        <v>0</v>
      </c>
      <c r="J84" s="557"/>
    </row>
    <row r="85" spans="1:10" x14ac:dyDescent="0.2">
      <c r="A85" s="560">
        <v>76</v>
      </c>
      <c r="B85" s="511" t="str">
        <f>_xlfn.XLOOKUP(A85,Códigos!$A$11:$A$415,Códigos!$B$11:$B$415,"Verificar",0)</f>
        <v>NOMBRE 61</v>
      </c>
      <c r="C85" s="727"/>
      <c r="D85" s="525">
        <f>SUMIF('CARTERA años anteriores'!$C$9:$C$234,A85,'CARTERA años anteriores'!$J$9:$J$234)</f>
        <v>0</v>
      </c>
      <c r="E85" s="525">
        <f>SUMIF('CARTERA años anteriores'!$C$9:$C$234,A85,'CARTERA años anteriores'!$L$9:$L$234)</f>
        <v>0</v>
      </c>
      <c r="F85" s="525">
        <f>SUMIF(FACTURACIÓN!$C$8:$C$1082,A85,FACTURACIÓN!$K$8:$K$1082)</f>
        <v>0</v>
      </c>
      <c r="G85" s="525">
        <f>SUMIF('INGRESOS A CAJA'!$C$10:$C$954,A85,'INGRESOS A CAJA'!$F$10:$F$954)</f>
        <v>0</v>
      </c>
      <c r="H85" s="525">
        <f>SUMIF('EGRESOS DE CAJA'!$C$10:$C$2251,A85,'EGRESOS DE CAJA'!$G$10:$G$2251)</f>
        <v>0</v>
      </c>
      <c r="I85" s="512">
        <f t="shared" si="2"/>
        <v>0</v>
      </c>
      <c r="J85" s="557"/>
    </row>
    <row r="86" spans="1:10" x14ac:dyDescent="0.2">
      <c r="A86" s="560">
        <v>77</v>
      </c>
      <c r="B86" s="511" t="str">
        <f>_xlfn.XLOOKUP(A86,Códigos!$A$11:$A$415,Códigos!$B$11:$B$415,"Verificar",0)</f>
        <v>NOMBRE 62</v>
      </c>
      <c r="C86" s="727"/>
      <c r="D86" s="525">
        <f>SUMIF('CARTERA años anteriores'!$C$9:$C$234,A86,'CARTERA años anteriores'!$J$9:$J$234)</f>
        <v>0</v>
      </c>
      <c r="E86" s="525">
        <f>SUMIF('CARTERA años anteriores'!$C$9:$C$234,A86,'CARTERA años anteriores'!$L$9:$L$234)</f>
        <v>0</v>
      </c>
      <c r="F86" s="525">
        <f>SUMIF(FACTURACIÓN!$C$8:$C$1082,A86,FACTURACIÓN!$K$8:$K$1082)</f>
        <v>430000</v>
      </c>
      <c r="G86" s="525">
        <f>SUMIF('INGRESOS A CAJA'!$C$10:$C$954,A86,'INGRESOS A CAJA'!$F$10:$F$954)</f>
        <v>430000</v>
      </c>
      <c r="H86" s="525">
        <f>SUMIF('EGRESOS DE CAJA'!$C$10:$C$2251,A86,'EGRESOS DE CAJA'!$G$10:$G$2251)</f>
        <v>0</v>
      </c>
      <c r="I86" s="512">
        <f t="shared" si="2"/>
        <v>0</v>
      </c>
      <c r="J86" s="557"/>
    </row>
    <row r="87" spans="1:10" x14ac:dyDescent="0.2">
      <c r="A87" s="560">
        <v>78</v>
      </c>
      <c r="B87" s="511" t="str">
        <f>_xlfn.XLOOKUP(A87,Códigos!$A$11:$A$415,Códigos!$B$11:$B$415,"Verificar",0)</f>
        <v>NOMBRE 63</v>
      </c>
      <c r="C87" s="727"/>
      <c r="D87" s="525">
        <f>SUMIF('CARTERA años anteriores'!$C$9:$C$234,A87,'CARTERA años anteriores'!$J$9:$J$234)</f>
        <v>0</v>
      </c>
      <c r="E87" s="525">
        <f>SUMIF('CARTERA años anteriores'!$C$9:$C$234,A87,'CARTERA años anteriores'!$L$9:$L$234)</f>
        <v>0</v>
      </c>
      <c r="F87" s="525">
        <f>SUMIF(FACTURACIÓN!$C$8:$C$1082,A87,FACTURACIÓN!$K$8:$K$1082)</f>
        <v>0</v>
      </c>
      <c r="G87" s="525">
        <f>SUMIF('INGRESOS A CAJA'!$C$10:$C$954,A87,'INGRESOS A CAJA'!$F$10:$F$954)</f>
        <v>0</v>
      </c>
      <c r="H87" s="525">
        <f>SUMIF('EGRESOS DE CAJA'!$C$10:$C$2251,A87,'EGRESOS DE CAJA'!$G$10:$G$2251)</f>
        <v>0</v>
      </c>
      <c r="I87" s="512">
        <f t="shared" si="2"/>
        <v>0</v>
      </c>
      <c r="J87" s="557"/>
    </row>
    <row r="88" spans="1:10" x14ac:dyDescent="0.2">
      <c r="A88" s="560">
        <v>79</v>
      </c>
      <c r="B88" s="511" t="str">
        <f>_xlfn.XLOOKUP(A88,Códigos!$A$11:$A$415,Códigos!$B$11:$B$415,"Verificar",0)</f>
        <v>NOMBRE 67</v>
      </c>
      <c r="C88" s="727"/>
      <c r="D88" s="525">
        <f>SUMIF('CARTERA años anteriores'!$C$9:$C$234,A88,'CARTERA años anteriores'!$J$9:$J$234)</f>
        <v>0</v>
      </c>
      <c r="E88" s="525">
        <f>SUMIF('CARTERA años anteriores'!$C$9:$C$234,A88,'CARTERA años anteriores'!$L$9:$L$234)</f>
        <v>0</v>
      </c>
      <c r="F88" s="525">
        <f>SUMIF(FACTURACIÓN!$C$8:$C$1082,A88,FACTURACIÓN!$K$8:$K$1082)</f>
        <v>0</v>
      </c>
      <c r="G88" s="525">
        <f>SUMIF('INGRESOS A CAJA'!$C$10:$C$954,A88,'INGRESOS A CAJA'!$F$10:$F$954)</f>
        <v>0</v>
      </c>
      <c r="H88" s="525">
        <f>SUMIF('EGRESOS DE CAJA'!$C$10:$C$2251,A88,'EGRESOS DE CAJA'!$G$10:$G$2251)</f>
        <v>0</v>
      </c>
      <c r="I88" s="512">
        <f t="shared" si="2"/>
        <v>0</v>
      </c>
      <c r="J88" s="557"/>
    </row>
    <row r="89" spans="1:10" x14ac:dyDescent="0.2">
      <c r="A89" s="560">
        <v>80</v>
      </c>
      <c r="B89" s="511" t="str">
        <f>_xlfn.XLOOKUP(A89,Códigos!$A$11:$A$415,Códigos!$B$11:$B$415,"Verificar",0)</f>
        <v>NOMBRE 211</v>
      </c>
      <c r="C89" s="727"/>
      <c r="D89" s="525">
        <f>SUMIF('CARTERA años anteriores'!$C$9:$C$234,A89,'CARTERA años anteriores'!$J$9:$J$234)</f>
        <v>0</v>
      </c>
      <c r="E89" s="525">
        <f>SUMIF('CARTERA años anteriores'!$C$9:$C$234,A89,'CARTERA años anteriores'!$L$9:$L$234)</f>
        <v>0</v>
      </c>
      <c r="F89" s="525">
        <f>SUMIF(FACTURACIÓN!$C$8:$C$1082,A89,FACTURACIÓN!$K$8:$K$1082)</f>
        <v>0</v>
      </c>
      <c r="G89" s="525">
        <f>SUMIF('INGRESOS A CAJA'!$C$10:$C$954,A89,'INGRESOS A CAJA'!$F$10:$F$954)</f>
        <v>0</v>
      </c>
      <c r="H89" s="525">
        <f>SUMIF('EGRESOS DE CAJA'!$C$10:$C$2251,A89,'EGRESOS DE CAJA'!$G$10:$G$2251)</f>
        <v>0</v>
      </c>
      <c r="I89" s="512">
        <f t="shared" si="2"/>
        <v>0</v>
      </c>
      <c r="J89" s="557"/>
    </row>
    <row r="90" spans="1:10" x14ac:dyDescent="0.2">
      <c r="A90" s="560">
        <v>81</v>
      </c>
      <c r="B90" s="511" t="str">
        <f>_xlfn.XLOOKUP(A90,Códigos!$A$11:$A$415,Códigos!$B$11:$B$415,"Verificar",0)</f>
        <v>NOMBRE 78</v>
      </c>
      <c r="C90" s="727"/>
      <c r="D90" s="525">
        <f>SUMIF('CARTERA años anteriores'!$C$9:$C$234,A90,'CARTERA años anteriores'!$J$9:$J$234)</f>
        <v>0</v>
      </c>
      <c r="E90" s="525">
        <f>SUMIF('CARTERA años anteriores'!$C$9:$C$234,A90,'CARTERA años anteriores'!$L$9:$L$234)</f>
        <v>0</v>
      </c>
      <c r="F90" s="525">
        <f>SUMIF(FACTURACIÓN!$C$8:$C$1082,A90,FACTURACIÓN!$K$8:$K$1082)</f>
        <v>0</v>
      </c>
      <c r="G90" s="525">
        <f>SUMIF('INGRESOS A CAJA'!$C$10:$C$954,A90,'INGRESOS A CAJA'!$F$10:$F$954)</f>
        <v>0</v>
      </c>
      <c r="H90" s="525">
        <f>SUMIF('EGRESOS DE CAJA'!$C$10:$C$2251,A90,'EGRESOS DE CAJA'!$G$10:$G$2251)</f>
        <v>0</v>
      </c>
      <c r="I90" s="512">
        <f t="shared" si="2"/>
        <v>0</v>
      </c>
      <c r="J90" s="557"/>
    </row>
    <row r="91" spans="1:10" x14ac:dyDescent="0.2">
      <c r="A91" s="560">
        <v>82</v>
      </c>
      <c r="B91" s="511" t="str">
        <f>_xlfn.XLOOKUP(A91,Códigos!$A$11:$A$415,Códigos!$B$11:$B$415,"Verificar",0)</f>
        <v>NOMBRE 221</v>
      </c>
      <c r="C91" s="727"/>
      <c r="D91" s="525">
        <f>SUMIF('CARTERA años anteriores'!$C$9:$C$234,A91,'CARTERA años anteriores'!$J$9:$J$234)</f>
        <v>0</v>
      </c>
      <c r="E91" s="525">
        <f>SUMIF('CARTERA años anteriores'!$C$9:$C$234,A91,'CARTERA años anteriores'!$L$9:$L$234)</f>
        <v>0</v>
      </c>
      <c r="F91" s="525">
        <f>SUMIF(FACTURACIÓN!$C$8:$C$1082,A91,FACTURACIÓN!$K$8:$K$1082)</f>
        <v>0</v>
      </c>
      <c r="G91" s="525">
        <f>SUMIF('INGRESOS A CAJA'!$C$10:$C$954,A91,'INGRESOS A CAJA'!$F$10:$F$954)</f>
        <v>0</v>
      </c>
      <c r="H91" s="525">
        <f>SUMIF('EGRESOS DE CAJA'!$C$10:$C$2251,A91,'EGRESOS DE CAJA'!$G$10:$G$2251)</f>
        <v>0</v>
      </c>
      <c r="I91" s="512">
        <f t="shared" si="2"/>
        <v>0</v>
      </c>
      <c r="J91" s="557"/>
    </row>
    <row r="92" spans="1:10" x14ac:dyDescent="0.2">
      <c r="A92" s="560">
        <v>83</v>
      </c>
      <c r="B92" s="511" t="str">
        <f>_xlfn.XLOOKUP(A92,Códigos!$A$11:$A$415,Códigos!$B$11:$B$415,"Verificar",0)</f>
        <v>NOMBRE 82</v>
      </c>
      <c r="C92" s="727"/>
      <c r="D92" s="525">
        <f>SUMIF('CARTERA años anteriores'!$C$9:$C$234,A92,'CARTERA años anteriores'!$J$9:$J$234)</f>
        <v>620000</v>
      </c>
      <c r="E92" s="525">
        <f>SUMIF('CARTERA años anteriores'!$C$9:$C$234,A92,'CARTERA años anteriores'!$L$9:$L$234)</f>
        <v>620000</v>
      </c>
      <c r="F92" s="525">
        <f>SUMIF(FACTURACIÓN!$C$8:$C$1082,A92,FACTURACIÓN!$K$8:$K$1082)</f>
        <v>660000</v>
      </c>
      <c r="G92" s="525">
        <f>SUMIF('INGRESOS A CAJA'!$C$10:$C$954,A92,'INGRESOS A CAJA'!$F$10:$F$954)</f>
        <v>620000</v>
      </c>
      <c r="H92" s="525">
        <f>SUMIF('EGRESOS DE CAJA'!$C$10:$C$2251,A92,'EGRESOS DE CAJA'!$G$10:$G$2251)</f>
        <v>0</v>
      </c>
      <c r="I92" s="512">
        <f t="shared" si="2"/>
        <v>0</v>
      </c>
      <c r="J92" s="557"/>
    </row>
    <row r="93" spans="1:10" x14ac:dyDescent="0.2">
      <c r="A93" s="560">
        <v>84</v>
      </c>
      <c r="B93" s="511" t="str">
        <f>_xlfn.XLOOKUP(A93,Códigos!$A$11:$A$415,Códigos!$B$11:$B$415,"Verificar",0)</f>
        <v>NOMBRE 83</v>
      </c>
      <c r="C93" s="727"/>
      <c r="D93" s="525">
        <f>SUMIF('CARTERA años anteriores'!$C$9:$C$234,A93,'CARTERA años anteriores'!$J$9:$J$234)</f>
        <v>0</v>
      </c>
      <c r="E93" s="525">
        <f>SUMIF('CARTERA años anteriores'!$C$9:$C$234,A93,'CARTERA años anteriores'!$L$9:$L$234)</f>
        <v>0</v>
      </c>
      <c r="F93" s="525">
        <f>SUMIF(FACTURACIÓN!$C$8:$C$1082,A93,FACTURACIÓN!$K$8:$K$1082)</f>
        <v>330000</v>
      </c>
      <c r="G93" s="525">
        <f>SUMIF('INGRESOS A CAJA'!$C$10:$C$954,A93,'INGRESOS A CAJA'!$F$10:$F$954)</f>
        <v>0</v>
      </c>
      <c r="H93" s="525">
        <f>SUMIF('EGRESOS DE CAJA'!$C$10:$C$2251,A93,'EGRESOS DE CAJA'!$G$10:$G$2251)</f>
        <v>0</v>
      </c>
      <c r="I93" s="512">
        <f t="shared" si="2"/>
        <v>0</v>
      </c>
      <c r="J93" s="557"/>
    </row>
    <row r="94" spans="1:10" x14ac:dyDescent="0.2">
      <c r="A94" s="560">
        <v>85</v>
      </c>
      <c r="B94" s="511" t="str">
        <f>_xlfn.XLOOKUP(A94,Códigos!$A$11:$A$415,Códigos!$B$11:$B$415,"Verificar",0)</f>
        <v>NOMBRE 86</v>
      </c>
      <c r="C94" s="727"/>
      <c r="D94" s="525">
        <f>SUMIF('CARTERA años anteriores'!$C$9:$C$234,A94,'CARTERA años anteriores'!$J$9:$J$234)</f>
        <v>0</v>
      </c>
      <c r="E94" s="525">
        <f>SUMIF('CARTERA años anteriores'!$C$9:$C$234,A94,'CARTERA años anteriores'!$L$9:$L$234)</f>
        <v>0</v>
      </c>
      <c r="F94" s="525">
        <f>SUMIF(FACTURACIÓN!$C$8:$C$1082,A94,FACTURACIÓN!$K$8:$K$1082)</f>
        <v>0</v>
      </c>
      <c r="G94" s="525">
        <f>SUMIF('INGRESOS A CAJA'!$C$10:$C$954,A94,'INGRESOS A CAJA'!$F$10:$F$954)</f>
        <v>0</v>
      </c>
      <c r="H94" s="525">
        <f>SUMIF('EGRESOS DE CAJA'!$C$10:$C$2251,A94,'EGRESOS DE CAJA'!$G$10:$G$2251)</f>
        <v>0</v>
      </c>
      <c r="I94" s="512">
        <f t="shared" si="2"/>
        <v>0</v>
      </c>
      <c r="J94" s="557"/>
    </row>
    <row r="95" spans="1:10" x14ac:dyDescent="0.2">
      <c r="A95" s="560">
        <v>86</v>
      </c>
      <c r="B95" s="511" t="str">
        <f>_xlfn.XLOOKUP(A95,Códigos!$A$11:$A$415,Códigos!$B$11:$B$415,"Verificar",0)</f>
        <v>NOMBRE 87</v>
      </c>
      <c r="C95" s="727"/>
      <c r="D95" s="525">
        <f>SUMIF('CARTERA años anteriores'!$C$9:$C$234,A95,'CARTERA años anteriores'!$J$9:$J$234)</f>
        <v>0</v>
      </c>
      <c r="E95" s="525">
        <f>SUMIF('CARTERA años anteriores'!$C$9:$C$234,A95,'CARTERA años anteriores'!$L$9:$L$234)</f>
        <v>0</v>
      </c>
      <c r="F95" s="525">
        <f>SUMIF(FACTURACIÓN!$C$8:$C$1082,A95,FACTURACIÓN!$K$8:$K$1082)</f>
        <v>0</v>
      </c>
      <c r="G95" s="525">
        <f>SUMIF('INGRESOS A CAJA'!$C$10:$C$954,A95,'INGRESOS A CAJA'!$F$10:$F$954)</f>
        <v>0</v>
      </c>
      <c r="H95" s="525">
        <f>SUMIF('EGRESOS DE CAJA'!$C$10:$C$2251,A95,'EGRESOS DE CAJA'!$G$10:$G$2251)</f>
        <v>0</v>
      </c>
      <c r="I95" s="512">
        <f t="shared" si="2"/>
        <v>0</v>
      </c>
      <c r="J95" s="557"/>
    </row>
    <row r="96" spans="1:10" x14ac:dyDescent="0.2">
      <c r="A96" s="560">
        <v>87</v>
      </c>
      <c r="B96" s="511" t="str">
        <f>_xlfn.XLOOKUP(A96,Códigos!$A$11:$A$415,Códigos!$B$11:$B$415,"Verificar",0)</f>
        <v>NOMBRE 89</v>
      </c>
      <c r="C96" s="727"/>
      <c r="D96" s="525">
        <f>SUMIF('CARTERA años anteriores'!$C$9:$C$234,A96,'CARTERA años anteriores'!$J$9:$J$234)</f>
        <v>0</v>
      </c>
      <c r="E96" s="525">
        <f>SUMIF('CARTERA años anteriores'!$C$9:$C$234,A96,'CARTERA años anteriores'!$L$9:$L$234)</f>
        <v>0</v>
      </c>
      <c r="F96" s="525">
        <f>SUMIF(FACTURACIÓN!$C$8:$C$1082,A96,FACTURACIÓN!$K$8:$K$1082)</f>
        <v>0</v>
      </c>
      <c r="G96" s="525">
        <f>SUMIF('INGRESOS A CAJA'!$C$10:$C$954,A96,'INGRESOS A CAJA'!$F$10:$F$954)</f>
        <v>0</v>
      </c>
      <c r="H96" s="525">
        <f>SUMIF('EGRESOS DE CAJA'!$C$10:$C$2251,A96,'EGRESOS DE CAJA'!$G$10:$G$2251)</f>
        <v>0</v>
      </c>
      <c r="I96" s="512">
        <f t="shared" si="2"/>
        <v>0</v>
      </c>
      <c r="J96" s="557"/>
    </row>
    <row r="97" spans="1:10" x14ac:dyDescent="0.2">
      <c r="A97" s="560">
        <v>88</v>
      </c>
      <c r="B97" s="511" t="str">
        <f>_xlfn.XLOOKUP(A97,Códigos!$A$11:$A$415,Códigos!$B$11:$B$415,"Verificar",0)</f>
        <v>NOMBRE 90</v>
      </c>
      <c r="C97" s="727"/>
      <c r="D97" s="525">
        <f>SUMIF('CARTERA años anteriores'!$C$9:$C$234,A97,'CARTERA años anteriores'!$J$9:$J$234)</f>
        <v>0</v>
      </c>
      <c r="E97" s="525">
        <f>SUMIF('CARTERA años anteriores'!$C$9:$C$234,A97,'CARTERA años anteriores'!$L$9:$L$234)</f>
        <v>0</v>
      </c>
      <c r="F97" s="525">
        <f>SUMIF(FACTURACIÓN!$C$8:$C$1082,A97,FACTURACIÓN!$K$8:$K$1082)</f>
        <v>0</v>
      </c>
      <c r="G97" s="525">
        <f>SUMIF('INGRESOS A CAJA'!$C$10:$C$954,A97,'INGRESOS A CAJA'!$F$10:$F$954)</f>
        <v>0</v>
      </c>
      <c r="H97" s="525">
        <f>SUMIF('EGRESOS DE CAJA'!$C$10:$C$2251,A97,'EGRESOS DE CAJA'!$G$10:$G$2251)</f>
        <v>0</v>
      </c>
      <c r="I97" s="512">
        <f t="shared" si="2"/>
        <v>0</v>
      </c>
      <c r="J97" s="557"/>
    </row>
    <row r="98" spans="1:10" x14ac:dyDescent="0.2">
      <c r="A98" s="560">
        <v>89</v>
      </c>
      <c r="B98" s="511" t="str">
        <f>_xlfn.XLOOKUP(A98,Códigos!$A$11:$A$415,Códigos!$B$11:$B$415,"Verificar",0)</f>
        <v>NOMBRE 226</v>
      </c>
      <c r="C98" s="727"/>
      <c r="D98" s="525">
        <f>SUMIF('CARTERA años anteriores'!$C$9:$C$234,A98,'CARTERA años anteriores'!$J$9:$J$234)</f>
        <v>0</v>
      </c>
      <c r="E98" s="525">
        <f>SUMIF('CARTERA años anteriores'!$C$9:$C$234,A98,'CARTERA años anteriores'!$L$9:$L$234)</f>
        <v>0</v>
      </c>
      <c r="F98" s="525">
        <f>SUMIF(FACTURACIÓN!$C$8:$C$1082,A98,FACTURACIÓN!$K$8:$K$1082)</f>
        <v>400000</v>
      </c>
      <c r="G98" s="525">
        <f>SUMIF('INGRESOS A CAJA'!$C$10:$C$954,A98,'INGRESOS A CAJA'!$F$10:$F$954)</f>
        <v>400000</v>
      </c>
      <c r="H98" s="525">
        <f>SUMIF('EGRESOS DE CAJA'!$C$10:$C$2251,A98,'EGRESOS DE CAJA'!$G$10:$G$2251)</f>
        <v>0</v>
      </c>
      <c r="I98" s="512">
        <f t="shared" si="2"/>
        <v>0</v>
      </c>
      <c r="J98" s="557"/>
    </row>
    <row r="99" spans="1:10" x14ac:dyDescent="0.2">
      <c r="A99" s="560">
        <v>90</v>
      </c>
      <c r="B99" s="511" t="str">
        <f>_xlfn.XLOOKUP(A99,Códigos!$A$11:$A$415,Códigos!$B$11:$B$415,"Verificar",0)</f>
        <v>NOMBRE 93</v>
      </c>
      <c r="C99" s="727"/>
      <c r="D99" s="525">
        <f>SUMIF('CARTERA años anteriores'!$C$9:$C$234,A99,'CARTERA años anteriores'!$J$9:$J$234)</f>
        <v>0</v>
      </c>
      <c r="E99" s="525">
        <f>SUMIF('CARTERA años anteriores'!$C$9:$C$234,A99,'CARTERA años anteriores'!$L$9:$L$234)</f>
        <v>0</v>
      </c>
      <c r="F99" s="525">
        <f>SUMIF(FACTURACIÓN!$C$8:$C$1082,A99,FACTURACIÓN!$K$8:$K$1082)</f>
        <v>0</v>
      </c>
      <c r="G99" s="525">
        <f>SUMIF('INGRESOS A CAJA'!$C$10:$C$954,A99,'INGRESOS A CAJA'!$F$10:$F$954)</f>
        <v>0</v>
      </c>
      <c r="H99" s="525">
        <f>SUMIF('EGRESOS DE CAJA'!$C$10:$C$2251,A99,'EGRESOS DE CAJA'!$G$10:$G$2251)</f>
        <v>0</v>
      </c>
      <c r="I99" s="512">
        <f t="shared" ref="I99:I162" si="3">IF((+C99+D99-E99+F99+G99*0+H99)&lt;0,(+C99+D99-E99+F99+G99*0+H99),0)</f>
        <v>0</v>
      </c>
      <c r="J99" s="557"/>
    </row>
    <row r="100" spans="1:10" x14ac:dyDescent="0.2">
      <c r="A100" s="560">
        <v>91</v>
      </c>
      <c r="B100" s="511" t="str">
        <f>_xlfn.XLOOKUP(A100,Códigos!$A$11:$A$415,Códigos!$B$11:$B$415,"Verificar",0)</f>
        <v>NOMBRE 100</v>
      </c>
      <c r="C100" s="727"/>
      <c r="D100" s="525">
        <f>SUMIF('CARTERA años anteriores'!$C$9:$C$234,A100,'CARTERA años anteriores'!$J$9:$J$234)</f>
        <v>0</v>
      </c>
      <c r="E100" s="525">
        <f>SUMIF('CARTERA años anteriores'!$C$9:$C$234,A100,'CARTERA años anteriores'!$L$9:$L$234)</f>
        <v>0</v>
      </c>
      <c r="F100" s="525">
        <f>SUMIF(FACTURACIÓN!$C$8:$C$1082,A100,FACTURACIÓN!$K$8:$K$1082)</f>
        <v>350000</v>
      </c>
      <c r="G100" s="525">
        <f>SUMIF('INGRESOS A CAJA'!$C$10:$C$954,A100,'INGRESOS A CAJA'!$F$10:$F$954)</f>
        <v>0</v>
      </c>
      <c r="H100" s="525">
        <f>SUMIF('EGRESOS DE CAJA'!$C$10:$C$2251,A100,'EGRESOS DE CAJA'!$G$10:$G$2251)</f>
        <v>0</v>
      </c>
      <c r="I100" s="512">
        <f t="shared" si="3"/>
        <v>0</v>
      </c>
      <c r="J100" s="557"/>
    </row>
    <row r="101" spans="1:10" x14ac:dyDescent="0.2">
      <c r="A101" s="560">
        <v>92</v>
      </c>
      <c r="B101" s="511" t="str">
        <f>_xlfn.XLOOKUP(A101,Códigos!$A$11:$A$415,Códigos!$B$11:$B$415,"Verificar",0)</f>
        <v>NOMBRE 106</v>
      </c>
      <c r="C101" s="727"/>
      <c r="D101" s="525">
        <f>SUMIF('CARTERA años anteriores'!$C$9:$C$234,A101,'CARTERA años anteriores'!$J$9:$J$234)</f>
        <v>0</v>
      </c>
      <c r="E101" s="525">
        <f>SUMIF('CARTERA años anteriores'!$C$9:$C$234,A101,'CARTERA años anteriores'!$L$9:$L$234)</f>
        <v>0</v>
      </c>
      <c r="F101" s="525">
        <f>SUMIF(FACTURACIÓN!$C$8:$C$1082,A101,FACTURACIÓN!$K$8:$K$1082)</f>
        <v>350000</v>
      </c>
      <c r="G101" s="525">
        <f>SUMIF('INGRESOS A CAJA'!$C$10:$C$954,A101,'INGRESOS A CAJA'!$F$10:$F$954)</f>
        <v>0</v>
      </c>
      <c r="H101" s="525">
        <f>SUMIF('EGRESOS DE CAJA'!$C$10:$C$2251,A101,'EGRESOS DE CAJA'!$G$10:$G$2251)</f>
        <v>0</v>
      </c>
      <c r="I101" s="512">
        <f t="shared" si="3"/>
        <v>0</v>
      </c>
      <c r="J101" s="557"/>
    </row>
    <row r="102" spans="1:10" x14ac:dyDescent="0.2">
      <c r="A102" s="560">
        <v>93</v>
      </c>
      <c r="B102" s="511" t="str">
        <f>_xlfn.XLOOKUP(A102,Códigos!$A$11:$A$415,Códigos!$B$11:$B$415,"Verificar",0)</f>
        <v>NOMBRE 243</v>
      </c>
      <c r="C102" s="727"/>
      <c r="D102" s="525">
        <f>SUMIF('CARTERA años anteriores'!$C$9:$C$234,A102,'CARTERA años anteriores'!$J$9:$J$234)</f>
        <v>0</v>
      </c>
      <c r="E102" s="525">
        <f>SUMIF('CARTERA años anteriores'!$C$9:$C$234,A102,'CARTERA años anteriores'!$L$9:$L$234)</f>
        <v>0</v>
      </c>
      <c r="F102" s="525">
        <f>SUMIF(FACTURACIÓN!$C$8:$C$1082,A102,FACTURACIÓN!$K$8:$K$1082)</f>
        <v>0</v>
      </c>
      <c r="G102" s="525">
        <f>SUMIF('INGRESOS A CAJA'!$C$10:$C$954,A102,'INGRESOS A CAJA'!$F$10:$F$954)</f>
        <v>0</v>
      </c>
      <c r="H102" s="525">
        <f>SUMIF('EGRESOS DE CAJA'!$C$10:$C$2251,A102,'EGRESOS DE CAJA'!$G$10:$G$2251)</f>
        <v>0</v>
      </c>
      <c r="I102" s="512">
        <f t="shared" si="3"/>
        <v>0</v>
      </c>
      <c r="J102" s="557"/>
    </row>
    <row r="103" spans="1:10" x14ac:dyDescent="0.2">
      <c r="A103" s="560">
        <v>94</v>
      </c>
      <c r="B103" s="511" t="str">
        <f>_xlfn.XLOOKUP(A103,Códigos!$A$11:$A$415,Códigos!$B$11:$B$415,"Verificar",0)</f>
        <v>NOMBRE 250</v>
      </c>
      <c r="C103" s="727"/>
      <c r="D103" s="525">
        <f>SUMIF('CARTERA años anteriores'!$C$9:$C$234,A103,'CARTERA años anteriores'!$J$9:$J$234)</f>
        <v>0</v>
      </c>
      <c r="E103" s="525">
        <f>SUMIF('CARTERA años anteriores'!$C$9:$C$234,A103,'CARTERA años anteriores'!$L$9:$L$234)</f>
        <v>0</v>
      </c>
      <c r="F103" s="525">
        <f>SUMIF(FACTURACIÓN!$C$8:$C$1082,A103,FACTURACIÓN!$K$8:$K$1082)</f>
        <v>370000</v>
      </c>
      <c r="G103" s="525">
        <f>SUMIF('INGRESOS A CAJA'!$C$10:$C$954,A103,'INGRESOS A CAJA'!$F$10:$F$954)</f>
        <v>0</v>
      </c>
      <c r="H103" s="525">
        <f>SUMIF('EGRESOS DE CAJA'!$C$10:$C$2251,A103,'EGRESOS DE CAJA'!$G$10:$G$2251)</f>
        <v>0</v>
      </c>
      <c r="I103" s="512">
        <f t="shared" si="3"/>
        <v>0</v>
      </c>
      <c r="J103" s="557"/>
    </row>
    <row r="104" spans="1:10" x14ac:dyDescent="0.2">
      <c r="A104" s="560">
        <v>95</v>
      </c>
      <c r="B104" s="511" t="str">
        <f>_xlfn.XLOOKUP(A104,Códigos!$A$11:$A$415,Códigos!$B$11:$B$415,"Verificar",0)</f>
        <v>NOMBRE 111</v>
      </c>
      <c r="C104" s="727"/>
      <c r="D104" s="525">
        <f>SUMIF('CARTERA años anteriores'!$C$9:$C$234,A104,'CARTERA años anteriores'!$J$9:$J$234)</f>
        <v>0</v>
      </c>
      <c r="E104" s="525">
        <f>SUMIF('CARTERA años anteriores'!$C$9:$C$234,A104,'CARTERA años anteriores'!$L$9:$L$234)</f>
        <v>0</v>
      </c>
      <c r="F104" s="525">
        <f>SUMIF(FACTURACIÓN!$C$8:$C$1082,A104,FACTURACIÓN!$K$8:$K$1082)</f>
        <v>9290000</v>
      </c>
      <c r="G104" s="525">
        <f>SUMIF('INGRESOS A CAJA'!$C$10:$C$954,A104,'INGRESOS A CAJA'!$F$10:$F$954)</f>
        <v>3000000</v>
      </c>
      <c r="H104" s="525">
        <f>SUMIF('EGRESOS DE CAJA'!$C$10:$C$2251,A104,'EGRESOS DE CAJA'!$G$10:$G$2251)</f>
        <v>0</v>
      </c>
      <c r="I104" s="512">
        <f t="shared" si="3"/>
        <v>0</v>
      </c>
      <c r="J104" s="557"/>
    </row>
    <row r="105" spans="1:10" x14ac:dyDescent="0.2">
      <c r="A105" s="560">
        <v>96</v>
      </c>
      <c r="B105" s="511" t="str">
        <f>_xlfn.XLOOKUP(A105,Códigos!$A$11:$A$415,Códigos!$B$11:$B$415,"Verificar",0)</f>
        <v>NOMBRE 112</v>
      </c>
      <c r="C105" s="727"/>
      <c r="D105" s="525">
        <f>SUMIF('CARTERA años anteriores'!$C$9:$C$234,A105,'CARTERA años anteriores'!$J$9:$J$234)</f>
        <v>0</v>
      </c>
      <c r="E105" s="525">
        <f>SUMIF('CARTERA años anteriores'!$C$9:$C$234,A105,'CARTERA años anteriores'!$L$9:$L$234)</f>
        <v>0</v>
      </c>
      <c r="F105" s="525">
        <f>SUMIF(FACTURACIÓN!$C$8:$C$1082,A105,FACTURACIÓN!$K$8:$K$1082)</f>
        <v>0</v>
      </c>
      <c r="G105" s="525">
        <f>SUMIF('INGRESOS A CAJA'!$C$10:$C$954,A105,'INGRESOS A CAJA'!$F$10:$F$954)</f>
        <v>0</v>
      </c>
      <c r="H105" s="525">
        <f>SUMIF('EGRESOS DE CAJA'!$C$10:$C$2251,A105,'EGRESOS DE CAJA'!$G$10:$G$2251)</f>
        <v>0</v>
      </c>
      <c r="I105" s="512">
        <f t="shared" si="3"/>
        <v>0</v>
      </c>
      <c r="J105" s="557"/>
    </row>
    <row r="106" spans="1:10" x14ac:dyDescent="0.2">
      <c r="A106" s="560">
        <v>97</v>
      </c>
      <c r="B106" s="511" t="str">
        <f>_xlfn.XLOOKUP(A106,Códigos!$A$11:$A$415,Códigos!$B$11:$B$415,"Verificar",0)</f>
        <v>NOMBRE 113</v>
      </c>
      <c r="C106" s="727"/>
      <c r="D106" s="525">
        <f>SUMIF('CARTERA años anteriores'!$C$9:$C$234,A106,'CARTERA años anteriores'!$J$9:$J$234)</f>
        <v>0</v>
      </c>
      <c r="E106" s="525">
        <f>SUMIF('CARTERA años anteriores'!$C$9:$C$234,A106,'CARTERA años anteriores'!$L$9:$L$234)</f>
        <v>0</v>
      </c>
      <c r="F106" s="525">
        <f>SUMIF(FACTURACIÓN!$C$8:$C$1082,A106,FACTURACIÓN!$K$8:$K$1082)</f>
        <v>0</v>
      </c>
      <c r="G106" s="525">
        <f>SUMIF('INGRESOS A CAJA'!$C$10:$C$954,A106,'INGRESOS A CAJA'!$F$10:$F$954)</f>
        <v>0</v>
      </c>
      <c r="H106" s="525">
        <f>SUMIF('EGRESOS DE CAJA'!$C$10:$C$2251,A106,'EGRESOS DE CAJA'!$G$10:$G$2251)</f>
        <v>0</v>
      </c>
      <c r="I106" s="512">
        <f t="shared" si="3"/>
        <v>0</v>
      </c>
      <c r="J106" s="557"/>
    </row>
    <row r="107" spans="1:10" x14ac:dyDescent="0.2">
      <c r="A107" s="560">
        <v>98</v>
      </c>
      <c r="B107" s="511" t="str">
        <f>_xlfn.XLOOKUP(A107,Códigos!$A$11:$A$415,Códigos!$B$11:$B$415,"Verificar",0)</f>
        <v>NOMBRE 114</v>
      </c>
      <c r="C107" s="727"/>
      <c r="D107" s="525">
        <f>SUMIF('CARTERA años anteriores'!$C$9:$C$234,A107,'CARTERA años anteriores'!$J$9:$J$234)</f>
        <v>0</v>
      </c>
      <c r="E107" s="525">
        <f>SUMIF('CARTERA años anteriores'!$C$9:$C$234,A107,'CARTERA años anteriores'!$L$9:$L$234)</f>
        <v>0</v>
      </c>
      <c r="F107" s="525">
        <f>SUMIF(FACTURACIÓN!$C$8:$C$1082,A107,FACTURACIÓN!$K$8:$K$1082)</f>
        <v>0</v>
      </c>
      <c r="G107" s="525">
        <f>SUMIF('INGRESOS A CAJA'!$C$10:$C$954,A107,'INGRESOS A CAJA'!$F$10:$F$954)</f>
        <v>0</v>
      </c>
      <c r="H107" s="525">
        <f>SUMIF('EGRESOS DE CAJA'!$C$10:$C$2251,A107,'EGRESOS DE CAJA'!$G$10:$G$2251)</f>
        <v>0</v>
      </c>
      <c r="I107" s="512">
        <f t="shared" si="3"/>
        <v>0</v>
      </c>
      <c r="J107" s="557"/>
    </row>
    <row r="108" spans="1:10" x14ac:dyDescent="0.2">
      <c r="A108" s="560">
        <v>99</v>
      </c>
      <c r="B108" s="511" t="str">
        <f>_xlfn.XLOOKUP(A108,Códigos!$A$11:$A$415,Códigos!$B$11:$B$415,"Verificar",0)</f>
        <v>NOMBRE 119</v>
      </c>
      <c r="C108" s="727"/>
      <c r="D108" s="525">
        <f>SUMIF('CARTERA años anteriores'!$C$9:$C$234,A108,'CARTERA años anteriores'!$J$9:$J$234)</f>
        <v>0</v>
      </c>
      <c r="E108" s="525">
        <f>SUMIF('CARTERA años anteriores'!$C$9:$C$234,A108,'CARTERA años anteriores'!$L$9:$L$234)</f>
        <v>0</v>
      </c>
      <c r="F108" s="525">
        <f>SUMIF(FACTURACIÓN!$C$8:$C$1082,A108,FACTURACIÓN!$K$8:$K$1082)</f>
        <v>0</v>
      </c>
      <c r="G108" s="525">
        <f>SUMIF('INGRESOS A CAJA'!$C$10:$C$954,A108,'INGRESOS A CAJA'!$F$10:$F$954)</f>
        <v>0</v>
      </c>
      <c r="H108" s="525">
        <f>SUMIF('EGRESOS DE CAJA'!$C$10:$C$2251,A108,'EGRESOS DE CAJA'!$G$10:$G$2251)</f>
        <v>0</v>
      </c>
      <c r="I108" s="512">
        <f t="shared" si="3"/>
        <v>0</v>
      </c>
      <c r="J108" s="557"/>
    </row>
    <row r="109" spans="1:10" x14ac:dyDescent="0.2">
      <c r="A109" s="560">
        <v>100</v>
      </c>
      <c r="B109" s="511" t="str">
        <f>_xlfn.XLOOKUP(A109,Códigos!$A$11:$A$415,Códigos!$B$11:$B$415,"Verificar",0)</f>
        <v>NOMBRE 124</v>
      </c>
      <c r="C109" s="727"/>
      <c r="D109" s="525">
        <f>SUMIF('CARTERA años anteriores'!$C$9:$C$234,A109,'CARTERA años anteriores'!$J$9:$J$234)</f>
        <v>0</v>
      </c>
      <c r="E109" s="525">
        <f>SUMIF('CARTERA años anteriores'!$C$9:$C$234,A109,'CARTERA años anteriores'!$L$9:$L$234)</f>
        <v>0</v>
      </c>
      <c r="F109" s="525">
        <f>SUMIF(FACTURACIÓN!$C$8:$C$1082,A109,FACTURACIÓN!$K$8:$K$1082)</f>
        <v>0</v>
      </c>
      <c r="G109" s="525">
        <f>SUMIF('INGRESOS A CAJA'!$C$10:$C$954,A109,'INGRESOS A CAJA'!$F$10:$F$954)</f>
        <v>0</v>
      </c>
      <c r="H109" s="525">
        <f>SUMIF('EGRESOS DE CAJA'!$C$10:$C$2251,A109,'EGRESOS DE CAJA'!$G$10:$G$2251)</f>
        <v>0</v>
      </c>
      <c r="I109" s="512">
        <f t="shared" si="3"/>
        <v>0</v>
      </c>
      <c r="J109" s="557"/>
    </row>
    <row r="110" spans="1:10" s="942" customFormat="1" x14ac:dyDescent="0.2">
      <c r="A110" s="936">
        <v>101</v>
      </c>
      <c r="B110" s="937" t="str">
        <f>_xlfn.XLOOKUP(A110,Códigos!$A$11:$A$415,Códigos!$B$11:$B$415,"Verificar",0)</f>
        <v>NOMBRE 126</v>
      </c>
      <c r="C110" s="938"/>
      <c r="D110" s="525">
        <f>SUMIF('CARTERA años anteriores'!$C$9:$C$234,A110,'CARTERA años anteriores'!$J$9:$J$234)</f>
        <v>0</v>
      </c>
      <c r="E110" s="525">
        <f>SUMIF('CARTERA años anteriores'!$C$9:$C$234,A110,'CARTERA años anteriores'!$L$9:$L$234)</f>
        <v>0</v>
      </c>
      <c r="F110" s="939">
        <f>SUMIF(FACTURACIÓN!$C$8:$C$1082,A110,FACTURACIÓN!$K$8:$K$1082)</f>
        <v>1190000</v>
      </c>
      <c r="G110" s="939">
        <f>SUMIF('INGRESOS A CAJA'!$C$10:$C$954,A110,'INGRESOS A CAJA'!$F$10:$F$954)</f>
        <v>1096000</v>
      </c>
      <c r="H110" s="939">
        <f>SUMIF('EGRESOS DE CAJA'!$C$10:$C$2251,A110,'EGRESOS DE CAJA'!$G$10:$G$2251)</f>
        <v>1096000</v>
      </c>
      <c r="I110" s="940">
        <f t="shared" si="3"/>
        <v>0</v>
      </c>
      <c r="J110" s="941"/>
    </row>
    <row r="111" spans="1:10" x14ac:dyDescent="0.2">
      <c r="A111" s="560">
        <v>102</v>
      </c>
      <c r="B111" s="511" t="str">
        <f>_xlfn.XLOOKUP(A111,Códigos!$A$11:$A$415,Códigos!$B$11:$B$415,"Verificar",0)</f>
        <v>NOMBRE 255</v>
      </c>
      <c r="C111" s="727"/>
      <c r="D111" s="525">
        <f>SUMIF('CARTERA años anteriores'!$C$9:$C$234,A111,'CARTERA años anteriores'!$J$9:$J$234)</f>
        <v>0</v>
      </c>
      <c r="E111" s="525">
        <f>SUMIF('CARTERA años anteriores'!$C$9:$C$234,A111,'CARTERA años anteriores'!$L$9:$L$234)</f>
        <v>0</v>
      </c>
      <c r="F111" s="525">
        <f>SUMIF(FACTURACIÓN!$C$8:$C$1082,A111,FACTURACIÓN!$K$8:$K$1082)</f>
        <v>0</v>
      </c>
      <c r="G111" s="525">
        <f>SUMIF('INGRESOS A CAJA'!$C$10:$C$954,A111,'INGRESOS A CAJA'!$F$10:$F$954)</f>
        <v>0</v>
      </c>
      <c r="H111" s="525">
        <f>SUMIF('EGRESOS DE CAJA'!$C$10:$C$2251,A111,'EGRESOS DE CAJA'!$G$10:$G$2251)</f>
        <v>0</v>
      </c>
      <c r="I111" s="512">
        <f t="shared" si="3"/>
        <v>0</v>
      </c>
      <c r="J111" s="557"/>
    </row>
    <row r="112" spans="1:10" x14ac:dyDescent="0.2">
      <c r="A112" s="560">
        <v>103</v>
      </c>
      <c r="B112" s="511" t="str">
        <f>_xlfn.XLOOKUP(A112,Códigos!$A$11:$A$415,Códigos!$B$11:$B$415,"Verificar",0)</f>
        <v>NOMBRE 261</v>
      </c>
      <c r="C112" s="727"/>
      <c r="D112" s="525">
        <f>SUMIF('CARTERA años anteriores'!$C$9:$C$234,A112,'CARTERA años anteriores'!$J$9:$J$234)</f>
        <v>0</v>
      </c>
      <c r="E112" s="525">
        <f>SUMIF('CARTERA años anteriores'!$C$9:$C$234,A112,'CARTERA años anteriores'!$L$9:$L$234)</f>
        <v>0</v>
      </c>
      <c r="F112" s="525">
        <f>SUMIF(FACTURACIÓN!$C$8:$C$1082,A112,FACTURACIÓN!$K$8:$K$1082)</f>
        <v>0</v>
      </c>
      <c r="G112" s="525">
        <f>SUMIF('INGRESOS A CAJA'!$C$10:$C$954,A112,'INGRESOS A CAJA'!$F$10:$F$954)</f>
        <v>0</v>
      </c>
      <c r="H112" s="525">
        <f>SUMIF('EGRESOS DE CAJA'!$C$10:$C$2251,A112,'EGRESOS DE CAJA'!$G$10:$G$2251)</f>
        <v>0</v>
      </c>
      <c r="I112" s="512">
        <f t="shared" si="3"/>
        <v>0</v>
      </c>
      <c r="J112" s="557"/>
    </row>
    <row r="113" spans="1:10" x14ac:dyDescent="0.2">
      <c r="A113" s="560">
        <v>104</v>
      </c>
      <c r="B113" s="511" t="str">
        <f>_xlfn.XLOOKUP(A113,Códigos!$A$11:$A$415,Códigos!$B$11:$B$415,"Verificar",0)</f>
        <v>NOMBRE 276</v>
      </c>
      <c r="C113" s="727"/>
      <c r="D113" s="525">
        <f>SUMIF('CARTERA años anteriores'!$C$9:$C$234,A113,'CARTERA años anteriores'!$J$9:$J$234)</f>
        <v>0</v>
      </c>
      <c r="E113" s="525">
        <f>SUMIF('CARTERA años anteriores'!$C$9:$C$234,A113,'CARTERA años anteriores'!$L$9:$L$234)</f>
        <v>0</v>
      </c>
      <c r="F113" s="525">
        <f>SUMIF(FACTURACIÓN!$C$8:$C$1082,A113,FACTURACIÓN!$K$8:$K$1082)</f>
        <v>0</v>
      </c>
      <c r="G113" s="525">
        <f>SUMIF('INGRESOS A CAJA'!$C$10:$C$954,A113,'INGRESOS A CAJA'!$F$10:$F$954)</f>
        <v>0</v>
      </c>
      <c r="H113" s="525">
        <f>SUMIF('EGRESOS DE CAJA'!$C$10:$C$2251,A113,'EGRESOS DE CAJA'!$G$10:$G$2251)</f>
        <v>0</v>
      </c>
      <c r="I113" s="512">
        <f t="shared" si="3"/>
        <v>0</v>
      </c>
      <c r="J113" s="557"/>
    </row>
    <row r="114" spans="1:10" x14ac:dyDescent="0.2">
      <c r="A114" s="560">
        <v>105</v>
      </c>
      <c r="B114" s="511" t="str">
        <f>_xlfn.XLOOKUP(A114,Códigos!$A$11:$A$415,Códigos!$B$11:$B$415,"Verificar",0)</f>
        <v>NOMBRE 311</v>
      </c>
      <c r="C114" s="727"/>
      <c r="D114" s="525">
        <f>SUMIF('CARTERA años anteriores'!$C$9:$C$234,A114,'CARTERA años anteriores'!$J$9:$J$234)</f>
        <v>0</v>
      </c>
      <c r="E114" s="525">
        <f>SUMIF('CARTERA años anteriores'!$C$9:$C$234,A114,'CARTERA años anteriores'!$L$9:$L$234)</f>
        <v>0</v>
      </c>
      <c r="F114" s="525">
        <f>SUMIF(FACTURACIÓN!$C$8:$C$1082,A114,FACTURACIÓN!$K$8:$K$1082)</f>
        <v>0</v>
      </c>
      <c r="G114" s="525">
        <f>SUMIF('INGRESOS A CAJA'!$C$10:$C$954,A114,'INGRESOS A CAJA'!$F$10:$F$954)</f>
        <v>0</v>
      </c>
      <c r="H114" s="525">
        <f>SUMIF('EGRESOS DE CAJA'!$C$10:$C$2251,A114,'EGRESOS DE CAJA'!$G$10:$G$2251)</f>
        <v>0</v>
      </c>
      <c r="I114" s="512">
        <f t="shared" si="3"/>
        <v>0</v>
      </c>
      <c r="J114" s="557"/>
    </row>
    <row r="115" spans="1:10" x14ac:dyDescent="0.2">
      <c r="A115" s="560">
        <v>106</v>
      </c>
      <c r="B115" s="511" t="str">
        <f>_xlfn.XLOOKUP(A115,Códigos!$A$11:$A$415,Códigos!$B$11:$B$415,"Verificar",0)</f>
        <v>NOMBRE 279</v>
      </c>
      <c r="C115" s="727"/>
      <c r="D115" s="525">
        <f>SUMIF('CARTERA años anteriores'!$C$9:$C$234,A115,'CARTERA años anteriores'!$J$9:$J$234)</f>
        <v>0</v>
      </c>
      <c r="E115" s="525">
        <f>SUMIF('CARTERA años anteriores'!$C$9:$C$234,A115,'CARTERA años anteriores'!$L$9:$L$234)</f>
        <v>0</v>
      </c>
      <c r="F115" s="525">
        <f>SUMIF(FACTURACIÓN!$C$8:$C$1082,A115,FACTURACIÓN!$K$8:$K$1082)</f>
        <v>0</v>
      </c>
      <c r="G115" s="525">
        <f>SUMIF('INGRESOS A CAJA'!$C$10:$C$954,A115,'INGRESOS A CAJA'!$F$10:$F$954)</f>
        <v>0</v>
      </c>
      <c r="H115" s="525">
        <f>SUMIF('EGRESOS DE CAJA'!$C$10:$C$2251,A115,'EGRESOS DE CAJA'!$G$10:$G$2251)</f>
        <v>0</v>
      </c>
      <c r="I115" s="512">
        <f t="shared" si="3"/>
        <v>0</v>
      </c>
      <c r="J115" s="557"/>
    </row>
    <row r="116" spans="1:10" x14ac:dyDescent="0.2">
      <c r="A116" s="560">
        <v>107</v>
      </c>
      <c r="B116" s="511" t="str">
        <f>_xlfn.XLOOKUP(A116,Códigos!$A$11:$A$415,Códigos!$B$11:$B$415,"Verificar",0)</f>
        <v>NOMBRE 288</v>
      </c>
      <c r="C116" s="727"/>
      <c r="D116" s="525">
        <f>SUMIF('CARTERA años anteriores'!$C$9:$C$234,A116,'CARTERA años anteriores'!$J$9:$J$234)</f>
        <v>0</v>
      </c>
      <c r="E116" s="525">
        <f>SUMIF('CARTERA años anteriores'!$C$9:$C$234,A116,'CARTERA años anteriores'!$L$9:$L$234)</f>
        <v>0</v>
      </c>
      <c r="F116" s="525">
        <f>SUMIF(FACTURACIÓN!$C$8:$C$1082,A116,FACTURACIÓN!$K$8:$K$1082)</f>
        <v>0</v>
      </c>
      <c r="G116" s="525">
        <f>SUMIF('INGRESOS A CAJA'!$C$10:$C$954,A116,'INGRESOS A CAJA'!$F$10:$F$954)</f>
        <v>0</v>
      </c>
      <c r="H116" s="525">
        <f>SUMIF('EGRESOS DE CAJA'!$C$10:$C$2251,A116,'EGRESOS DE CAJA'!$G$10:$G$2251)</f>
        <v>0</v>
      </c>
      <c r="I116" s="512">
        <f t="shared" si="3"/>
        <v>0</v>
      </c>
      <c r="J116" s="557"/>
    </row>
    <row r="117" spans="1:10" x14ac:dyDescent="0.2">
      <c r="A117" s="560">
        <v>108</v>
      </c>
      <c r="B117" s="511" t="str">
        <f>_xlfn.XLOOKUP(A117,Códigos!$A$11:$A$415,Códigos!$B$11:$B$415,"Verificar",0)</f>
        <v>NOMBRE 131</v>
      </c>
      <c r="C117" s="727"/>
      <c r="D117" s="525">
        <f>SUMIF('CARTERA años anteriores'!$C$9:$C$234,A117,'CARTERA años anteriores'!$J$9:$J$234)</f>
        <v>0</v>
      </c>
      <c r="E117" s="525">
        <f>SUMIF('CARTERA años anteriores'!$C$9:$C$234,A117,'CARTERA años anteriores'!$L$9:$L$234)</f>
        <v>0</v>
      </c>
      <c r="F117" s="525">
        <f>SUMIF(FACTURACIÓN!$C$8:$C$1082,A117,FACTURACIÓN!$K$8:$K$1082)</f>
        <v>0</v>
      </c>
      <c r="G117" s="525">
        <f>SUMIF('INGRESOS A CAJA'!$C$10:$C$954,A117,'INGRESOS A CAJA'!$F$10:$F$954)</f>
        <v>0</v>
      </c>
      <c r="H117" s="525">
        <f>SUMIF('EGRESOS DE CAJA'!$C$10:$C$2251,A117,'EGRESOS DE CAJA'!$G$10:$G$2251)</f>
        <v>0</v>
      </c>
      <c r="I117" s="512">
        <f t="shared" si="3"/>
        <v>0</v>
      </c>
      <c r="J117" s="557"/>
    </row>
    <row r="118" spans="1:10" x14ac:dyDescent="0.2">
      <c r="A118" s="560">
        <v>109</v>
      </c>
      <c r="B118" s="511" t="str">
        <f>_xlfn.XLOOKUP(A118,Códigos!$A$11:$A$415,Códigos!$B$11:$B$415,"Verificar",0)</f>
        <v>NOMBRE 133</v>
      </c>
      <c r="C118" s="727"/>
      <c r="D118" s="525">
        <f>SUMIF('CARTERA años anteriores'!$C$9:$C$234,A118,'CARTERA años anteriores'!$J$9:$J$234)</f>
        <v>0</v>
      </c>
      <c r="E118" s="525">
        <f>SUMIF('CARTERA años anteriores'!$C$9:$C$234,A118,'CARTERA años anteriores'!$L$9:$L$234)</f>
        <v>0</v>
      </c>
      <c r="F118" s="525">
        <f>SUMIF(FACTURACIÓN!$C$8:$C$1082,A118,FACTURACIÓN!$K$8:$K$1082)</f>
        <v>0</v>
      </c>
      <c r="G118" s="525">
        <f>SUMIF('INGRESOS A CAJA'!$C$10:$C$954,A118,'INGRESOS A CAJA'!$F$10:$F$954)</f>
        <v>0</v>
      </c>
      <c r="H118" s="525">
        <f>SUMIF('EGRESOS DE CAJA'!$C$10:$C$2251,A118,'EGRESOS DE CAJA'!$G$10:$G$2251)</f>
        <v>0</v>
      </c>
      <c r="I118" s="512">
        <f t="shared" si="3"/>
        <v>0</v>
      </c>
      <c r="J118" s="557"/>
    </row>
    <row r="119" spans="1:10" x14ac:dyDescent="0.2">
      <c r="A119" s="560">
        <v>110</v>
      </c>
      <c r="B119" s="511" t="str">
        <f>_xlfn.XLOOKUP(A119,Códigos!$A$11:$A$415,Códigos!$B$11:$B$415,"Verificar",0)</f>
        <v>NOMBRE 134</v>
      </c>
      <c r="C119" s="727"/>
      <c r="D119" s="525">
        <f>SUMIF('CARTERA años anteriores'!$C$9:$C$234,A119,'CARTERA años anteriores'!$J$9:$J$234)</f>
        <v>0</v>
      </c>
      <c r="E119" s="525">
        <f>SUMIF('CARTERA años anteriores'!$C$9:$C$234,A119,'CARTERA años anteriores'!$L$9:$L$234)</f>
        <v>0</v>
      </c>
      <c r="F119" s="525">
        <f>SUMIF(FACTURACIÓN!$C$8:$C$1082,A119,FACTURACIÓN!$K$8:$K$1082)</f>
        <v>2450000</v>
      </c>
      <c r="G119" s="525">
        <f>SUMIF('INGRESOS A CAJA'!$C$10:$C$954,A119,'INGRESOS A CAJA'!$F$10:$F$954)</f>
        <v>0</v>
      </c>
      <c r="H119" s="525">
        <f>SUMIF('EGRESOS DE CAJA'!$C$10:$C$2251,A119,'EGRESOS DE CAJA'!$G$10:$G$2251)</f>
        <v>0</v>
      </c>
      <c r="I119" s="512">
        <f t="shared" si="3"/>
        <v>0</v>
      </c>
      <c r="J119" s="557"/>
    </row>
    <row r="120" spans="1:10" x14ac:dyDescent="0.2">
      <c r="A120" s="560">
        <v>111</v>
      </c>
      <c r="B120" s="511" t="str">
        <f>_xlfn.XLOOKUP(A120,Códigos!$A$11:$A$415,Códigos!$B$11:$B$415,"Verificar",0)</f>
        <v>NOMBRE 135</v>
      </c>
      <c r="C120" s="727"/>
      <c r="D120" s="525">
        <f>SUMIF('CARTERA años anteriores'!$C$9:$C$234,A120,'CARTERA años anteriores'!$J$9:$J$234)</f>
        <v>0</v>
      </c>
      <c r="E120" s="525">
        <f>SUMIF('CARTERA años anteriores'!$C$9:$C$234,A120,'CARTERA años anteriores'!$L$9:$L$234)</f>
        <v>0</v>
      </c>
      <c r="F120" s="525">
        <f>SUMIF(FACTURACIÓN!$C$8:$C$1082,A120,FACTURACIÓN!$K$8:$K$1082)</f>
        <v>2840000</v>
      </c>
      <c r="G120" s="525">
        <f>SUMIF('INGRESOS A CAJA'!$C$10:$C$954,A120,'INGRESOS A CAJA'!$F$10:$F$954)</f>
        <v>0</v>
      </c>
      <c r="H120" s="525">
        <f>SUMIF('EGRESOS DE CAJA'!$C$10:$C$2251,A120,'EGRESOS DE CAJA'!$G$10:$G$2251)</f>
        <v>0</v>
      </c>
      <c r="I120" s="512">
        <f t="shared" si="3"/>
        <v>0</v>
      </c>
      <c r="J120" s="557"/>
    </row>
    <row r="121" spans="1:10" x14ac:dyDescent="0.2">
      <c r="A121" s="560">
        <v>112</v>
      </c>
      <c r="B121" s="511" t="str">
        <f>_xlfn.XLOOKUP(A121,Códigos!$A$11:$A$415,Códigos!$B$11:$B$415,"Verificar",0)</f>
        <v>NOMBRE 141</v>
      </c>
      <c r="C121" s="727"/>
      <c r="D121" s="525">
        <f>SUMIF('CARTERA años anteriores'!$C$9:$C$234,A121,'CARTERA años anteriores'!$J$9:$J$234)</f>
        <v>0</v>
      </c>
      <c r="E121" s="525">
        <f>SUMIF('CARTERA años anteriores'!$C$9:$C$234,A121,'CARTERA años anteriores'!$L$9:$L$234)</f>
        <v>0</v>
      </c>
      <c r="F121" s="525">
        <f>SUMIF(FACTURACIÓN!$C$8:$C$1082,A121,FACTURACIÓN!$K$8:$K$1082)</f>
        <v>410000</v>
      </c>
      <c r="G121" s="525">
        <f>SUMIF('INGRESOS A CAJA'!$C$10:$C$954,A121,'INGRESOS A CAJA'!$F$10:$F$954)</f>
        <v>410000</v>
      </c>
      <c r="H121" s="525">
        <f>SUMIF('EGRESOS DE CAJA'!$C$10:$C$2251,A121,'EGRESOS DE CAJA'!$G$10:$G$2251)</f>
        <v>0</v>
      </c>
      <c r="I121" s="512">
        <f t="shared" si="3"/>
        <v>0</v>
      </c>
      <c r="J121" s="557"/>
    </row>
    <row r="122" spans="1:10" x14ac:dyDescent="0.2">
      <c r="A122" s="560">
        <v>113</v>
      </c>
      <c r="B122" s="511" t="str">
        <f>_xlfn.XLOOKUP(A122,Códigos!$A$11:$A$415,Códigos!$B$11:$B$415,"Verificar",0)</f>
        <v>NOMBRE 142</v>
      </c>
      <c r="C122" s="727"/>
      <c r="D122" s="525">
        <f>SUMIF('CARTERA años anteriores'!$C$9:$C$234,A122,'CARTERA años anteriores'!$J$9:$J$234)</f>
        <v>0</v>
      </c>
      <c r="E122" s="525">
        <f>SUMIF('CARTERA años anteriores'!$C$9:$C$234,A122,'CARTERA años anteriores'!$L$9:$L$234)</f>
        <v>0</v>
      </c>
      <c r="F122" s="525">
        <f>SUMIF(FACTURACIÓN!$C$8:$C$1082,A122,FACTURACIÓN!$K$8:$K$1082)</f>
        <v>0</v>
      </c>
      <c r="G122" s="525">
        <f>SUMIF('INGRESOS A CAJA'!$C$10:$C$954,A122,'INGRESOS A CAJA'!$F$10:$F$954)</f>
        <v>0</v>
      </c>
      <c r="H122" s="525">
        <f>SUMIF('EGRESOS DE CAJA'!$C$10:$C$2251,A122,'EGRESOS DE CAJA'!$G$10:$G$2251)</f>
        <v>0</v>
      </c>
      <c r="I122" s="512">
        <f t="shared" si="3"/>
        <v>0</v>
      </c>
      <c r="J122" s="557"/>
    </row>
    <row r="123" spans="1:10" x14ac:dyDescent="0.2">
      <c r="A123" s="560">
        <v>114</v>
      </c>
      <c r="B123" s="511" t="str">
        <f>_xlfn.XLOOKUP(A123,Códigos!$A$11:$A$415,Códigos!$B$11:$B$415,"Verificar",0)</f>
        <v>NOMBRE 308</v>
      </c>
      <c r="C123" s="727"/>
      <c r="D123" s="525">
        <f>SUMIF('CARTERA años anteriores'!$C$9:$C$234,A123,'CARTERA años anteriores'!$J$9:$J$234)</f>
        <v>0</v>
      </c>
      <c r="E123" s="525">
        <f>SUMIF('CARTERA años anteriores'!$C$9:$C$234,A123,'CARTERA años anteriores'!$L$9:$L$234)</f>
        <v>0</v>
      </c>
      <c r="F123" s="525">
        <f>SUMIF(FACTURACIÓN!$C$8:$C$1082,A123,FACTURACIÓN!$K$8:$K$1082)</f>
        <v>0</v>
      </c>
      <c r="G123" s="525">
        <f>SUMIF('INGRESOS A CAJA'!$C$10:$C$954,A123,'INGRESOS A CAJA'!$F$10:$F$954)</f>
        <v>0</v>
      </c>
      <c r="H123" s="525">
        <f>SUMIF('EGRESOS DE CAJA'!$C$10:$C$2251,A123,'EGRESOS DE CAJA'!$G$10:$G$2251)</f>
        <v>0</v>
      </c>
      <c r="I123" s="512">
        <f t="shared" si="3"/>
        <v>0</v>
      </c>
      <c r="J123" s="557"/>
    </row>
    <row r="124" spans="1:10" x14ac:dyDescent="0.2">
      <c r="A124" s="560">
        <v>115</v>
      </c>
      <c r="B124" s="511" t="str">
        <f>_xlfn.XLOOKUP(A124,Códigos!$A$11:$A$415,Códigos!$B$11:$B$415,"Verificar",0)</f>
        <v>NOMBRE 145</v>
      </c>
      <c r="C124" s="727"/>
      <c r="D124" s="525">
        <f>SUMIF('CARTERA años anteriores'!$C$9:$C$234,A124,'CARTERA años anteriores'!$J$9:$J$234)</f>
        <v>0</v>
      </c>
      <c r="E124" s="525">
        <f>SUMIF('CARTERA años anteriores'!$C$9:$C$234,A124,'CARTERA años anteriores'!$L$9:$L$234)</f>
        <v>0</v>
      </c>
      <c r="F124" s="525">
        <f>SUMIF(FACTURACIÓN!$C$8:$C$1082,A124,FACTURACIÓN!$K$8:$K$1082)</f>
        <v>0</v>
      </c>
      <c r="G124" s="525">
        <f>SUMIF('INGRESOS A CAJA'!$C$10:$C$954,A124,'INGRESOS A CAJA'!$F$10:$F$954)</f>
        <v>0</v>
      </c>
      <c r="H124" s="525">
        <f>SUMIF('EGRESOS DE CAJA'!$C$10:$C$2251,A124,'EGRESOS DE CAJA'!$G$10:$G$2251)</f>
        <v>0</v>
      </c>
      <c r="I124" s="512">
        <f t="shared" si="3"/>
        <v>0</v>
      </c>
      <c r="J124" s="557"/>
    </row>
    <row r="125" spans="1:10" x14ac:dyDescent="0.2">
      <c r="A125" s="560">
        <v>116</v>
      </c>
      <c r="B125" s="511" t="str">
        <f>_xlfn.XLOOKUP(A125,Códigos!$A$11:$A$415,Códigos!$B$11:$B$415,"Verificar",0)</f>
        <v>NOMBRE 146</v>
      </c>
      <c r="C125" s="727"/>
      <c r="D125" s="525">
        <f>SUMIF('CARTERA años anteriores'!$C$9:$C$234,A125,'CARTERA años anteriores'!$J$9:$J$234)</f>
        <v>430000</v>
      </c>
      <c r="E125" s="525">
        <f>SUMIF('CARTERA años anteriores'!$C$9:$C$234,A125,'CARTERA años anteriores'!$L$9:$L$234)</f>
        <v>385000</v>
      </c>
      <c r="F125" s="525">
        <f>SUMIF(FACTURACIÓN!$C$8:$C$1082,A125,FACTURACIÓN!$K$8:$K$1082)</f>
        <v>450000</v>
      </c>
      <c r="G125" s="525">
        <f>SUMIF('INGRESOS A CAJA'!$C$10:$C$954,A125,'INGRESOS A CAJA'!$F$10:$F$954)</f>
        <v>385000</v>
      </c>
      <c r="H125" s="525">
        <f>SUMIF('EGRESOS DE CAJA'!$C$10:$C$2251,A125,'EGRESOS DE CAJA'!$G$10:$G$2251)</f>
        <v>0</v>
      </c>
      <c r="I125" s="512">
        <f t="shared" si="3"/>
        <v>0</v>
      </c>
      <c r="J125" s="557"/>
    </row>
    <row r="126" spans="1:10" x14ac:dyDescent="0.2">
      <c r="A126" s="560">
        <v>117</v>
      </c>
      <c r="B126" s="511" t="str">
        <f>_xlfn.XLOOKUP(A126,Códigos!$A$11:$A$415,Códigos!$B$11:$B$415,"Verificar",0)</f>
        <v>NOMBRE 340</v>
      </c>
      <c r="C126" s="727"/>
      <c r="D126" s="525">
        <f>SUMIF('CARTERA años anteriores'!$C$9:$C$234,A126,'CARTERA años anteriores'!$J$9:$J$234)</f>
        <v>0</v>
      </c>
      <c r="E126" s="525">
        <f>SUMIF('CARTERA años anteriores'!$C$9:$C$234,A126,'CARTERA años anteriores'!$L$9:$L$234)</f>
        <v>0</v>
      </c>
      <c r="F126" s="525">
        <f>SUMIF(FACTURACIÓN!$C$8:$C$1082,A126,FACTURACIÓN!$K$8:$K$1082)</f>
        <v>350000</v>
      </c>
      <c r="G126" s="525">
        <f>SUMIF('INGRESOS A CAJA'!$C$10:$C$954,A126,'INGRESOS A CAJA'!$F$10:$F$954)</f>
        <v>0</v>
      </c>
      <c r="H126" s="525">
        <f>SUMIF('EGRESOS DE CAJA'!$C$10:$C$2251,A126,'EGRESOS DE CAJA'!$G$10:$G$2251)</f>
        <v>0</v>
      </c>
      <c r="I126" s="512">
        <f t="shared" si="3"/>
        <v>0</v>
      </c>
      <c r="J126" s="557"/>
    </row>
    <row r="127" spans="1:10" x14ac:dyDescent="0.2">
      <c r="A127" s="560">
        <v>118</v>
      </c>
      <c r="B127" s="511" t="str">
        <f>_xlfn.XLOOKUP(A127,Códigos!$A$11:$A$415,Códigos!$B$11:$B$415,"Verificar",0)</f>
        <v>NOMBRE 154</v>
      </c>
      <c r="C127" s="727"/>
      <c r="D127" s="525">
        <f>SUMIF('CARTERA años anteriores'!$C$9:$C$234,A127,'CARTERA años anteriores'!$J$9:$J$234)</f>
        <v>330000</v>
      </c>
      <c r="E127" s="525">
        <f>SUMIF('CARTERA años anteriores'!$C$9:$C$234,A127,'CARTERA años anteriores'!$L$9:$L$234)</f>
        <v>330000</v>
      </c>
      <c r="F127" s="525">
        <f>SUMIF(FACTURACIÓN!$C$8:$C$1082,A127,FACTURACIÓN!$K$8:$K$1082)</f>
        <v>350000</v>
      </c>
      <c r="G127" s="525">
        <f>SUMIF('INGRESOS A CAJA'!$C$10:$C$954,A127,'INGRESOS A CAJA'!$F$10:$F$954)</f>
        <v>330000</v>
      </c>
      <c r="H127" s="525">
        <f>SUMIF('EGRESOS DE CAJA'!$C$10:$C$2251,A127,'EGRESOS DE CAJA'!$G$10:$G$2251)</f>
        <v>0</v>
      </c>
      <c r="I127" s="512">
        <f t="shared" si="3"/>
        <v>0</v>
      </c>
      <c r="J127" s="557"/>
    </row>
    <row r="128" spans="1:10" x14ac:dyDescent="0.2">
      <c r="A128" s="560">
        <v>119</v>
      </c>
      <c r="B128" s="511" t="str">
        <f>_xlfn.XLOOKUP(A128,Códigos!$A$11:$A$415,Códigos!$B$11:$B$415,"Verificar",0)</f>
        <v>NOMBRE 157</v>
      </c>
      <c r="C128" s="727"/>
      <c r="D128" s="525">
        <f>SUMIF('CARTERA años anteriores'!$C$9:$C$234,A128,'CARTERA años anteriores'!$J$9:$J$234)</f>
        <v>470000</v>
      </c>
      <c r="E128" s="525">
        <f>SUMIF('CARTERA años anteriores'!$C$9:$C$234,A128,'CARTERA años anteriores'!$L$9:$L$234)</f>
        <v>0</v>
      </c>
      <c r="F128" s="525">
        <f>SUMIF(FACTURACIÓN!$C$8:$C$1082,A128,FACTURACIÓN!$K$8:$K$1082)</f>
        <v>320000</v>
      </c>
      <c r="G128" s="525">
        <f>SUMIF('INGRESOS A CAJA'!$C$10:$C$954,A128,'INGRESOS A CAJA'!$F$10:$F$954)</f>
        <v>0</v>
      </c>
      <c r="H128" s="525">
        <f>SUMIF('EGRESOS DE CAJA'!$C$10:$C$2251,A128,'EGRESOS DE CAJA'!$G$10:$G$2251)</f>
        <v>0</v>
      </c>
      <c r="I128" s="512">
        <f t="shared" si="3"/>
        <v>0</v>
      </c>
      <c r="J128" s="557"/>
    </row>
    <row r="129" spans="1:10" x14ac:dyDescent="0.2">
      <c r="A129" s="560">
        <v>120</v>
      </c>
      <c r="B129" s="511" t="str">
        <f>_xlfn.XLOOKUP(A129,Códigos!$A$11:$A$415,Códigos!$B$11:$B$415,"Verificar",0)</f>
        <v>NOMBRE 343</v>
      </c>
      <c r="C129" s="727"/>
      <c r="D129" s="525">
        <f>SUMIF('CARTERA años anteriores'!$C$9:$C$234,A129,'CARTERA años anteriores'!$J$9:$J$234)</f>
        <v>0</v>
      </c>
      <c r="E129" s="525">
        <f>SUMIF('CARTERA años anteriores'!$C$9:$C$234,A129,'CARTERA años anteriores'!$L$9:$L$234)</f>
        <v>0</v>
      </c>
      <c r="F129" s="525">
        <f>SUMIF(FACTURACIÓN!$C$8:$C$1082,A129,FACTURACIÓN!$K$8:$K$1082)</f>
        <v>0</v>
      </c>
      <c r="G129" s="525">
        <f>SUMIF('INGRESOS A CAJA'!$C$10:$C$954,A129,'INGRESOS A CAJA'!$F$10:$F$954)</f>
        <v>0</v>
      </c>
      <c r="H129" s="525">
        <f>SUMIF('EGRESOS DE CAJA'!$C$10:$C$2251,A129,'EGRESOS DE CAJA'!$G$10:$G$2251)</f>
        <v>0</v>
      </c>
      <c r="I129" s="512">
        <f t="shared" si="3"/>
        <v>0</v>
      </c>
      <c r="J129" s="557"/>
    </row>
    <row r="130" spans="1:10" x14ac:dyDescent="0.2">
      <c r="A130" s="560">
        <v>121</v>
      </c>
      <c r="B130" s="511" t="str">
        <f>_xlfn.XLOOKUP(A130,Códigos!$A$11:$A$415,Códigos!$B$11:$B$415,"Verificar",0)</f>
        <v>NOMBRE 190</v>
      </c>
      <c r="C130" s="727"/>
      <c r="D130" s="525">
        <f>SUMIF('CARTERA años anteriores'!$C$9:$C$234,A130,'CARTERA años anteriores'!$J$9:$J$234)</f>
        <v>0</v>
      </c>
      <c r="E130" s="525">
        <f>SUMIF('CARTERA años anteriores'!$C$9:$C$234,A130,'CARTERA años anteriores'!$L$9:$L$234)</f>
        <v>0</v>
      </c>
      <c r="F130" s="525">
        <f>SUMIF(FACTURACIÓN!$C$8:$C$1082,A130,FACTURACIÓN!$K$8:$K$1082)</f>
        <v>0</v>
      </c>
      <c r="G130" s="525">
        <f>SUMIF('INGRESOS A CAJA'!$C$10:$C$954,A130,'INGRESOS A CAJA'!$F$10:$F$954)</f>
        <v>0</v>
      </c>
      <c r="H130" s="525">
        <f>SUMIF('EGRESOS DE CAJA'!$C$10:$C$2251,A130,'EGRESOS DE CAJA'!$G$10:$G$2251)</f>
        <v>0</v>
      </c>
      <c r="I130" s="512">
        <f t="shared" si="3"/>
        <v>0</v>
      </c>
      <c r="J130" s="557"/>
    </row>
    <row r="131" spans="1:10" x14ac:dyDescent="0.2">
      <c r="A131" s="560">
        <v>122</v>
      </c>
      <c r="B131" s="511" t="str">
        <f>_xlfn.XLOOKUP(A131,Códigos!$A$11:$A$415,Códigos!$B$11:$B$415,"Verificar",0)</f>
        <v>NOMBRE 191</v>
      </c>
      <c r="C131" s="727"/>
      <c r="D131" s="525">
        <f>SUMIF('CARTERA años anteriores'!$C$9:$C$234,A131,'CARTERA años anteriores'!$J$9:$J$234)</f>
        <v>0</v>
      </c>
      <c r="E131" s="525">
        <f>SUMIF('CARTERA años anteriores'!$C$9:$C$234,A131,'CARTERA años anteriores'!$L$9:$L$234)</f>
        <v>0</v>
      </c>
      <c r="F131" s="525">
        <f>SUMIF(FACTURACIÓN!$C$8:$C$1082,A131,FACTURACIÓN!$K$8:$K$1082)</f>
        <v>690000</v>
      </c>
      <c r="G131" s="525">
        <f>SUMIF('INGRESOS A CAJA'!$C$10:$C$954,A131,'INGRESOS A CAJA'!$F$10:$F$954)</f>
        <v>0</v>
      </c>
      <c r="H131" s="525">
        <f>SUMIF('EGRESOS DE CAJA'!$C$10:$C$2251,A131,'EGRESOS DE CAJA'!$G$10:$G$2251)</f>
        <v>0</v>
      </c>
      <c r="I131" s="512">
        <f t="shared" si="3"/>
        <v>0</v>
      </c>
      <c r="J131" s="557"/>
    </row>
    <row r="132" spans="1:10" x14ac:dyDescent="0.2">
      <c r="A132" s="560">
        <v>123</v>
      </c>
      <c r="B132" s="511" t="str">
        <f>_xlfn.XLOOKUP(A132,Códigos!$A$11:$A$415,Códigos!$B$11:$B$415,"Verificar",0)</f>
        <v>NOMBRE 194</v>
      </c>
      <c r="C132" s="727"/>
      <c r="D132" s="525">
        <f>SUMIF('CARTERA años anteriores'!$C$9:$C$234,A132,'CARTERA años anteriores'!$J$9:$J$234)</f>
        <v>0</v>
      </c>
      <c r="E132" s="525">
        <f>SUMIF('CARTERA años anteriores'!$C$9:$C$234,A132,'CARTERA años anteriores'!$L$9:$L$234)</f>
        <v>0</v>
      </c>
      <c r="F132" s="525">
        <f>SUMIF(FACTURACIÓN!$C$8:$C$1082,A132,FACTURACIÓN!$K$8:$K$1082)</f>
        <v>6660000</v>
      </c>
      <c r="G132" s="525">
        <f>SUMIF('INGRESOS A CAJA'!$C$10:$C$954,A132,'INGRESOS A CAJA'!$F$10:$F$954)</f>
        <v>0</v>
      </c>
      <c r="H132" s="525">
        <f>SUMIF('EGRESOS DE CAJA'!$C$10:$C$2251,A132,'EGRESOS DE CAJA'!$G$10:$G$2251)</f>
        <v>283000</v>
      </c>
      <c r="I132" s="512">
        <f t="shared" si="3"/>
        <v>0</v>
      </c>
      <c r="J132" s="557"/>
    </row>
    <row r="133" spans="1:10" x14ac:dyDescent="0.2">
      <c r="A133" s="560">
        <v>124</v>
      </c>
      <c r="B133" s="511" t="str">
        <f>_xlfn.XLOOKUP(A133,Códigos!$A$11:$A$415,Códigos!$B$11:$B$415,"Verificar",0)</f>
        <v>NOMBRE 196</v>
      </c>
      <c r="C133" s="727"/>
      <c r="D133" s="525">
        <f>SUMIF('CARTERA años anteriores'!$C$9:$C$234,A133,'CARTERA años anteriores'!$J$9:$J$234)</f>
        <v>0</v>
      </c>
      <c r="E133" s="525">
        <f>SUMIF('CARTERA años anteriores'!$C$9:$C$234,A133,'CARTERA años anteriores'!$L$9:$L$234)</f>
        <v>0</v>
      </c>
      <c r="F133" s="525">
        <f>SUMIF(FACTURACIÓN!$C$8:$C$1082,A133,FACTURACIÓN!$K$8:$K$1082)</f>
        <v>0</v>
      </c>
      <c r="G133" s="525">
        <f>SUMIF('INGRESOS A CAJA'!$C$10:$C$954,A133,'INGRESOS A CAJA'!$F$10:$F$954)</f>
        <v>0</v>
      </c>
      <c r="H133" s="525">
        <f>SUMIF('EGRESOS DE CAJA'!$C$10:$C$2251,A133,'EGRESOS DE CAJA'!$G$10:$G$2251)</f>
        <v>0</v>
      </c>
      <c r="I133" s="512">
        <f t="shared" si="3"/>
        <v>0</v>
      </c>
      <c r="J133" s="557"/>
    </row>
    <row r="134" spans="1:10" x14ac:dyDescent="0.2">
      <c r="A134" s="560">
        <v>125</v>
      </c>
      <c r="B134" s="511" t="str">
        <f>_xlfn.XLOOKUP(A134,Códigos!$A$11:$A$415,Códigos!$B$11:$B$415,"Verificar",0)</f>
        <v>NOMBRE 355</v>
      </c>
      <c r="C134" s="727"/>
      <c r="D134" s="525">
        <f>SUMIF('CARTERA años anteriores'!$C$9:$C$234,A134,'CARTERA años anteriores'!$J$9:$J$234)</f>
        <v>0</v>
      </c>
      <c r="E134" s="525">
        <f>SUMIF('CARTERA años anteriores'!$C$9:$C$234,A134,'CARTERA años anteriores'!$L$9:$L$234)</f>
        <v>0</v>
      </c>
      <c r="F134" s="525">
        <f>SUMIF(FACTURACIÓN!$C$8:$C$1082,A134,FACTURACIÓN!$K$8:$K$1082)</f>
        <v>0</v>
      </c>
      <c r="G134" s="525">
        <f>SUMIF('INGRESOS A CAJA'!$C$10:$C$954,A134,'INGRESOS A CAJA'!$F$10:$F$954)</f>
        <v>0</v>
      </c>
      <c r="H134" s="525">
        <f>SUMIF('EGRESOS DE CAJA'!$C$10:$C$2251,A134,'EGRESOS DE CAJA'!$G$10:$G$2251)</f>
        <v>0</v>
      </c>
      <c r="I134" s="512">
        <f t="shared" si="3"/>
        <v>0</v>
      </c>
      <c r="J134" s="557"/>
    </row>
    <row r="135" spans="1:10" x14ac:dyDescent="0.2">
      <c r="A135" s="560">
        <v>126</v>
      </c>
      <c r="B135" s="511" t="str">
        <f>_xlfn.XLOOKUP(A135,Códigos!$A$11:$A$415,Códigos!$B$11:$B$415,"Verificar",0)</f>
        <v>NOMBRE 206</v>
      </c>
      <c r="C135" s="727"/>
      <c r="D135" s="525">
        <f>SUMIF('CARTERA años anteriores'!$C$9:$C$234,A135,'CARTERA años anteriores'!$J$9:$J$234)</f>
        <v>0</v>
      </c>
      <c r="E135" s="525">
        <f>SUMIF('CARTERA años anteriores'!$C$9:$C$234,A135,'CARTERA años anteriores'!$L$9:$L$234)</f>
        <v>0</v>
      </c>
      <c r="F135" s="525">
        <f>SUMIF(FACTURACIÓN!$C$8:$C$1082,A135,FACTURACIÓN!$K$8:$K$1082)</f>
        <v>540000</v>
      </c>
      <c r="G135" s="525">
        <f>SUMIF('INGRESOS A CAJA'!$C$10:$C$954,A135,'INGRESOS A CAJA'!$F$10:$F$954)</f>
        <v>0</v>
      </c>
      <c r="H135" s="525">
        <f>SUMIF('EGRESOS DE CAJA'!$C$10:$C$2251,A135,'EGRESOS DE CAJA'!$G$10:$G$2251)</f>
        <v>0</v>
      </c>
      <c r="I135" s="512">
        <f t="shared" si="3"/>
        <v>0</v>
      </c>
      <c r="J135" s="557"/>
    </row>
    <row r="136" spans="1:10" x14ac:dyDescent="0.2">
      <c r="A136" s="560">
        <v>127</v>
      </c>
      <c r="B136" s="511" t="str">
        <f>_xlfn.XLOOKUP(A136,Códigos!$A$11:$A$415,Códigos!$B$11:$B$415,"Verificar",0)</f>
        <v>NOMBRE 208</v>
      </c>
      <c r="C136" s="727"/>
      <c r="D136" s="525">
        <f>SUMIF('CARTERA años anteriores'!$C$9:$C$234,A136,'CARTERA años anteriores'!$J$9:$J$234)</f>
        <v>0</v>
      </c>
      <c r="E136" s="525">
        <f>SUMIF('CARTERA años anteriores'!$C$9:$C$234,A136,'CARTERA años anteriores'!$L$9:$L$234)</f>
        <v>0</v>
      </c>
      <c r="F136" s="525">
        <f>SUMIF(FACTURACIÓN!$C$8:$C$1082,A136,FACTURACIÓN!$K$8:$K$1082)</f>
        <v>760000</v>
      </c>
      <c r="G136" s="525">
        <f>SUMIF('INGRESOS A CAJA'!$C$10:$C$954,A136,'INGRESOS A CAJA'!$F$10:$F$954)</f>
        <v>0</v>
      </c>
      <c r="H136" s="525">
        <f>SUMIF('EGRESOS DE CAJA'!$C$10:$C$2251,A136,'EGRESOS DE CAJA'!$G$10:$G$2251)</f>
        <v>0</v>
      </c>
      <c r="I136" s="512">
        <f t="shared" si="3"/>
        <v>0</v>
      </c>
      <c r="J136" s="557"/>
    </row>
    <row r="137" spans="1:10" x14ac:dyDescent="0.2">
      <c r="A137" s="560">
        <v>128</v>
      </c>
      <c r="B137" s="511" t="str">
        <f>_xlfn.XLOOKUP(A137,Códigos!$A$11:$A$415,Códigos!$B$11:$B$415,"Verificar",0)</f>
        <v>NOMBRE 209</v>
      </c>
      <c r="C137" s="727"/>
      <c r="D137" s="525">
        <f>SUMIF('CARTERA años anteriores'!$C$9:$C$234,A137,'CARTERA años anteriores'!$J$9:$J$234)</f>
        <v>0</v>
      </c>
      <c r="E137" s="525">
        <f>SUMIF('CARTERA años anteriores'!$C$9:$C$234,A137,'CARTERA años anteriores'!$L$9:$L$234)</f>
        <v>0</v>
      </c>
      <c r="F137" s="525">
        <f>SUMIF(FACTURACIÓN!$C$8:$C$1082,A137,FACTURACIÓN!$K$8:$K$1082)</f>
        <v>0</v>
      </c>
      <c r="G137" s="525">
        <f>SUMIF('INGRESOS A CAJA'!$C$10:$C$954,A137,'INGRESOS A CAJA'!$F$10:$F$954)</f>
        <v>0</v>
      </c>
      <c r="H137" s="525">
        <f>SUMIF('EGRESOS DE CAJA'!$C$10:$C$2251,A137,'EGRESOS DE CAJA'!$G$10:$G$2251)</f>
        <v>0</v>
      </c>
      <c r="I137" s="512">
        <f t="shared" si="3"/>
        <v>0</v>
      </c>
      <c r="J137" s="557"/>
    </row>
    <row r="138" spans="1:10" x14ac:dyDescent="0.2">
      <c r="A138" s="560">
        <v>129</v>
      </c>
      <c r="B138" s="511" t="str">
        <f>_xlfn.XLOOKUP(A138,Códigos!$A$11:$A$415,Códigos!$B$11:$B$415,"Verificar",0)</f>
        <v>NOMBRE 214</v>
      </c>
      <c r="C138" s="727"/>
      <c r="D138" s="525">
        <f>SUMIF('CARTERA años anteriores'!$C$9:$C$234,A138,'CARTERA años anteriores'!$J$9:$J$234)</f>
        <v>0</v>
      </c>
      <c r="E138" s="525">
        <f>SUMIF('CARTERA años anteriores'!$C$9:$C$234,A138,'CARTERA años anteriores'!$L$9:$L$234)</f>
        <v>0</v>
      </c>
      <c r="F138" s="525">
        <f>SUMIF(FACTURACIÓN!$C$8:$C$1082,A138,FACTURACIÓN!$K$8:$K$1082)</f>
        <v>0</v>
      </c>
      <c r="G138" s="525">
        <f>SUMIF('INGRESOS A CAJA'!$C$10:$C$954,A138,'INGRESOS A CAJA'!$F$10:$F$954)</f>
        <v>0</v>
      </c>
      <c r="H138" s="525">
        <f>SUMIF('EGRESOS DE CAJA'!$C$10:$C$2251,A138,'EGRESOS DE CAJA'!$G$10:$G$2251)</f>
        <v>0</v>
      </c>
      <c r="I138" s="512">
        <f t="shared" si="3"/>
        <v>0</v>
      </c>
      <c r="J138" s="557"/>
    </row>
    <row r="139" spans="1:10" x14ac:dyDescent="0.2">
      <c r="A139" s="560">
        <v>130</v>
      </c>
      <c r="B139" s="511" t="str">
        <f>_xlfn.XLOOKUP(A139,Códigos!$A$11:$A$415,Códigos!$B$11:$B$415,"Verificar",0)</f>
        <v>NOMBRE 359</v>
      </c>
      <c r="C139" s="727"/>
      <c r="D139" s="525">
        <f>SUMIF('CARTERA años anteriores'!$C$9:$C$234,A139,'CARTERA años anteriores'!$J$9:$J$234)</f>
        <v>0</v>
      </c>
      <c r="E139" s="525">
        <f>SUMIF('CARTERA años anteriores'!$C$9:$C$234,A139,'CARTERA años anteriores'!$L$9:$L$234)</f>
        <v>0</v>
      </c>
      <c r="F139" s="525">
        <f>SUMIF(FACTURACIÓN!$C$8:$C$1082,A139,FACTURACIÓN!$K$8:$K$1082)</f>
        <v>0</v>
      </c>
      <c r="G139" s="525">
        <f>SUMIF('INGRESOS A CAJA'!$C$10:$C$954,A139,'INGRESOS A CAJA'!$F$10:$F$954)</f>
        <v>0</v>
      </c>
      <c r="H139" s="525">
        <f>SUMIF('EGRESOS DE CAJA'!$C$10:$C$2251,A139,'EGRESOS DE CAJA'!$G$10:$G$2251)</f>
        <v>0</v>
      </c>
      <c r="I139" s="512">
        <f t="shared" si="3"/>
        <v>0</v>
      </c>
      <c r="J139" s="557"/>
    </row>
    <row r="140" spans="1:10" x14ac:dyDescent="0.2">
      <c r="A140" s="560">
        <v>131</v>
      </c>
      <c r="B140" s="511" t="str">
        <f>_xlfn.XLOOKUP(A140,Códigos!$A$11:$A$415,Códigos!$B$11:$B$415,"Verificar",0)</f>
        <v>NOMBRE 117</v>
      </c>
      <c r="C140" s="727"/>
      <c r="D140" s="525">
        <f>SUMIF('CARTERA años anteriores'!$C$9:$C$234,A140,'CARTERA años anteriores'!$J$9:$J$234)</f>
        <v>0</v>
      </c>
      <c r="E140" s="525">
        <f>SUMIF('CARTERA años anteriores'!$C$9:$C$234,A140,'CARTERA años anteriores'!$L$9:$L$234)</f>
        <v>0</v>
      </c>
      <c r="F140" s="525">
        <f>SUMIF(FACTURACIÓN!$C$8:$C$1082,A140,FACTURACIÓN!$K$8:$K$1082)</f>
        <v>0</v>
      </c>
      <c r="G140" s="525">
        <f>SUMIF('INGRESOS A CAJA'!$C$10:$C$954,A140,'INGRESOS A CAJA'!$F$10:$F$954)</f>
        <v>0</v>
      </c>
      <c r="H140" s="525">
        <f>SUMIF('EGRESOS DE CAJA'!$C$10:$C$2251,A140,'EGRESOS DE CAJA'!$G$10:$G$2251)</f>
        <v>0</v>
      </c>
      <c r="I140" s="512">
        <f t="shared" si="3"/>
        <v>0</v>
      </c>
      <c r="J140" s="557"/>
    </row>
    <row r="141" spans="1:10" x14ac:dyDescent="0.2">
      <c r="A141" s="560">
        <v>132</v>
      </c>
      <c r="B141" s="511" t="str">
        <f>_xlfn.XLOOKUP(A141,Códigos!$A$11:$A$415,Códigos!$B$11:$B$415,"Verificar",0)</f>
        <v>NOMBRE 215</v>
      </c>
      <c r="C141" s="727"/>
      <c r="D141" s="525">
        <f>SUMIF('CARTERA años anteriores'!$C$9:$C$234,A141,'CARTERA años anteriores'!$J$9:$J$234)</f>
        <v>6710000</v>
      </c>
      <c r="E141" s="525">
        <f>SUMIF('CARTERA años anteriores'!$C$9:$C$234,A141,'CARTERA años anteriores'!$L$9:$L$234)</f>
        <v>6710000</v>
      </c>
      <c r="F141" s="525">
        <f>SUMIF(FACTURACIÓN!$C$8:$C$1082,A141,FACTURACIÓN!$K$8:$K$1082)</f>
        <v>0</v>
      </c>
      <c r="G141" s="525">
        <f>SUMIF('INGRESOS A CAJA'!$C$10:$C$954,A141,'INGRESOS A CAJA'!$F$10:$F$954)</f>
        <v>0</v>
      </c>
      <c r="H141" s="525">
        <f>SUMIF('EGRESOS DE CAJA'!$C$10:$C$2251,A141,'EGRESOS DE CAJA'!$G$10:$G$2251)</f>
        <v>0</v>
      </c>
      <c r="I141" s="512">
        <f t="shared" si="3"/>
        <v>0</v>
      </c>
      <c r="J141" s="557"/>
    </row>
    <row r="142" spans="1:10" x14ac:dyDescent="0.2">
      <c r="A142" s="560">
        <v>133</v>
      </c>
      <c r="B142" s="511" t="str">
        <f>_xlfn.XLOOKUP(A142,Códigos!$A$11:$A$415,Códigos!$B$11:$B$415,"Verificar",0)</f>
        <v>NOMBRE 216</v>
      </c>
      <c r="C142" s="727"/>
      <c r="D142" s="525">
        <f>SUMIF('CARTERA años anteriores'!$C$9:$C$234,A142,'CARTERA años anteriores'!$J$9:$J$234)</f>
        <v>1160000</v>
      </c>
      <c r="E142" s="525">
        <f>SUMIF('CARTERA años anteriores'!$C$9:$C$234,A142,'CARTERA años anteriores'!$L$9:$L$234)</f>
        <v>1160000</v>
      </c>
      <c r="F142" s="525">
        <f>SUMIF(FACTURACIÓN!$C$8:$C$1082,A142,FACTURACIÓN!$K$8:$K$1082)</f>
        <v>0</v>
      </c>
      <c r="G142" s="525">
        <f>SUMIF('INGRESOS A CAJA'!$C$10:$C$954,A142,'INGRESOS A CAJA'!$F$10:$F$954)</f>
        <v>1160000</v>
      </c>
      <c r="H142" s="525">
        <f>SUMIF('EGRESOS DE CAJA'!$C$10:$C$2251,A142,'EGRESOS DE CAJA'!$G$10:$G$2251)</f>
        <v>0</v>
      </c>
      <c r="I142" s="512">
        <f t="shared" si="3"/>
        <v>0</v>
      </c>
      <c r="J142" s="557"/>
    </row>
    <row r="143" spans="1:10" x14ac:dyDescent="0.2">
      <c r="A143" s="560">
        <v>134</v>
      </c>
      <c r="B143" s="511" t="str">
        <f>_xlfn.XLOOKUP(A143,Códigos!$A$11:$A$415,Códigos!$B$11:$B$415,"Verificar",0)</f>
        <v>NOMBRE 217</v>
      </c>
      <c r="C143" s="727"/>
      <c r="D143" s="525">
        <f>SUMIF('CARTERA años anteriores'!$C$9:$C$234,A143,'CARTERA años anteriores'!$J$9:$J$234)</f>
        <v>1160000</v>
      </c>
      <c r="E143" s="525">
        <f>SUMIF('CARTERA años anteriores'!$C$9:$C$234,A143,'CARTERA años anteriores'!$L$9:$L$234)</f>
        <v>1160000</v>
      </c>
      <c r="F143" s="525">
        <f>SUMIF(FACTURACIÓN!$C$8:$C$1082,A143,FACTURACIÓN!$K$8:$K$1082)</f>
        <v>0</v>
      </c>
      <c r="G143" s="525">
        <f>SUMIF('INGRESOS A CAJA'!$C$10:$C$954,A143,'INGRESOS A CAJA'!$F$10:$F$954)</f>
        <v>1160000</v>
      </c>
      <c r="H143" s="525">
        <f>SUMIF('EGRESOS DE CAJA'!$C$10:$C$2251,A143,'EGRESOS DE CAJA'!$G$10:$G$2251)</f>
        <v>0</v>
      </c>
      <c r="I143" s="512">
        <f t="shared" si="3"/>
        <v>0</v>
      </c>
      <c r="J143" s="557"/>
    </row>
    <row r="144" spans="1:10" x14ac:dyDescent="0.2">
      <c r="A144" s="560">
        <v>135</v>
      </c>
      <c r="B144" s="511" t="str">
        <f>_xlfn.XLOOKUP(A144,Códigos!$A$11:$A$415,Códigos!$B$11:$B$415,"Verificar",0)</f>
        <v>NOMBRE 306</v>
      </c>
      <c r="C144" s="727"/>
      <c r="D144" s="525">
        <f>SUMIF('CARTERA años anteriores'!$C$9:$C$234,A144,'CARTERA años anteriores'!$J$9:$J$234)</f>
        <v>0</v>
      </c>
      <c r="E144" s="525">
        <f>SUMIF('CARTERA años anteriores'!$C$9:$C$234,A144,'CARTERA años anteriores'!$L$9:$L$234)</f>
        <v>0</v>
      </c>
      <c r="F144" s="525">
        <f>SUMIF(FACTURACIÓN!$C$8:$C$1082,A144,FACTURACIÓN!$K$8:$K$1082)</f>
        <v>0</v>
      </c>
      <c r="G144" s="525">
        <f>SUMIF('INGRESOS A CAJA'!$C$10:$C$954,A144,'INGRESOS A CAJA'!$F$10:$F$954)</f>
        <v>0</v>
      </c>
      <c r="H144" s="525">
        <f>SUMIF('EGRESOS DE CAJA'!$C$10:$C$2251,A144,'EGRESOS DE CAJA'!$G$10:$G$2251)</f>
        <v>0</v>
      </c>
      <c r="I144" s="512">
        <f t="shared" si="3"/>
        <v>0</v>
      </c>
      <c r="J144" s="557"/>
    </row>
    <row r="145" spans="1:10" x14ac:dyDescent="0.2">
      <c r="A145" s="560">
        <v>136</v>
      </c>
      <c r="B145" s="511" t="str">
        <f>_xlfn.XLOOKUP(A145,Códigos!$A$11:$A$415,Códigos!$B$11:$B$415,"Verificar",0)</f>
        <v>NOMBRE 222</v>
      </c>
      <c r="C145" s="727"/>
      <c r="D145" s="525">
        <f>SUMIF('CARTERA años anteriores'!$C$9:$C$234,A145,'CARTERA años anteriores'!$J$9:$J$234)</f>
        <v>0</v>
      </c>
      <c r="E145" s="525">
        <f>SUMIF('CARTERA años anteriores'!$C$9:$C$234,A145,'CARTERA años anteriores'!$L$9:$L$234)</f>
        <v>0</v>
      </c>
      <c r="F145" s="525">
        <f>SUMIF(FACTURACIÓN!$C$8:$C$1082,A145,FACTURACIÓN!$K$8:$K$1082)</f>
        <v>0</v>
      </c>
      <c r="G145" s="525">
        <f>SUMIF('INGRESOS A CAJA'!$C$10:$C$954,A145,'INGRESOS A CAJA'!$F$10:$F$954)</f>
        <v>0</v>
      </c>
      <c r="H145" s="525">
        <f>SUMIF('EGRESOS DE CAJA'!$C$10:$C$2251,A145,'EGRESOS DE CAJA'!$G$10:$G$2251)</f>
        <v>0</v>
      </c>
      <c r="I145" s="512">
        <f t="shared" si="3"/>
        <v>0</v>
      </c>
      <c r="J145" s="557"/>
    </row>
    <row r="146" spans="1:10" x14ac:dyDescent="0.2">
      <c r="A146" s="560">
        <v>137</v>
      </c>
      <c r="B146" s="511" t="str">
        <f>_xlfn.XLOOKUP(A146,Códigos!$A$11:$A$415,Códigos!$B$11:$B$415,"Verificar",0)</f>
        <v>NOMBRE 223</v>
      </c>
      <c r="C146" s="727"/>
      <c r="D146" s="525">
        <f>SUMIF('CARTERA años anteriores'!$C$9:$C$234,A146,'CARTERA años anteriores'!$J$9:$J$234)</f>
        <v>0</v>
      </c>
      <c r="E146" s="525">
        <f>SUMIF('CARTERA años anteriores'!$C$9:$C$234,A146,'CARTERA años anteriores'!$L$9:$L$234)</f>
        <v>0</v>
      </c>
      <c r="F146" s="525">
        <f>SUMIF(FACTURACIÓN!$C$8:$C$1082,A146,FACTURACIÓN!$K$8:$K$1082)</f>
        <v>490000</v>
      </c>
      <c r="G146" s="525">
        <f>SUMIF('INGRESOS A CAJA'!$C$10:$C$954,A146,'INGRESOS A CAJA'!$F$10:$F$954)</f>
        <v>0</v>
      </c>
      <c r="H146" s="525">
        <f>SUMIF('EGRESOS DE CAJA'!$C$10:$C$2251,A146,'EGRESOS DE CAJA'!$G$10:$G$2251)</f>
        <v>0</v>
      </c>
      <c r="I146" s="512">
        <f t="shared" si="3"/>
        <v>0</v>
      </c>
      <c r="J146" s="557"/>
    </row>
    <row r="147" spans="1:10" x14ac:dyDescent="0.2">
      <c r="A147" s="560">
        <v>138</v>
      </c>
      <c r="B147" s="511" t="str">
        <f>_xlfn.XLOOKUP(A147,Códigos!$A$11:$A$415,Códigos!$B$11:$B$415,"Verificar",0)</f>
        <v>NOMBRE 229</v>
      </c>
      <c r="C147" s="727"/>
      <c r="D147" s="525">
        <f>SUMIF('CARTERA años anteriores'!$C$9:$C$234,A147,'CARTERA años anteriores'!$J$9:$J$234)</f>
        <v>0</v>
      </c>
      <c r="E147" s="525">
        <f>SUMIF('CARTERA años anteriores'!$C$9:$C$234,A147,'CARTERA años anteriores'!$L$9:$L$234)</f>
        <v>0</v>
      </c>
      <c r="F147" s="525">
        <f>SUMIF(FACTURACIÓN!$C$8:$C$1082,A147,FACTURACIÓN!$K$8:$K$1082)</f>
        <v>450000</v>
      </c>
      <c r="G147" s="525">
        <f>SUMIF('INGRESOS A CAJA'!$C$10:$C$954,A147,'INGRESOS A CAJA'!$F$10:$F$954)</f>
        <v>0</v>
      </c>
      <c r="H147" s="525">
        <f>SUMIF('EGRESOS DE CAJA'!$C$10:$C$2251,A147,'EGRESOS DE CAJA'!$G$10:$G$2251)</f>
        <v>0</v>
      </c>
      <c r="I147" s="512">
        <f t="shared" si="3"/>
        <v>0</v>
      </c>
      <c r="J147" s="557"/>
    </row>
    <row r="148" spans="1:10" x14ac:dyDescent="0.2">
      <c r="A148" s="560">
        <v>139</v>
      </c>
      <c r="B148" s="511" t="str">
        <f>_xlfn.XLOOKUP(A148,Códigos!$A$11:$A$415,Códigos!$B$11:$B$415,"Verificar",0)</f>
        <v>NOMBRE 230</v>
      </c>
      <c r="C148" s="727"/>
      <c r="D148" s="525">
        <f>SUMIF('CARTERA años anteriores'!$C$9:$C$234,A148,'CARTERA años anteriores'!$J$9:$J$234)</f>
        <v>0</v>
      </c>
      <c r="E148" s="525">
        <f>SUMIF('CARTERA años anteriores'!$C$9:$C$234,A148,'CARTERA años anteriores'!$L$9:$L$234)</f>
        <v>0</v>
      </c>
      <c r="F148" s="525">
        <f>SUMIF(FACTURACIÓN!$C$8:$C$1082,A148,FACTURACIÓN!$K$8:$K$1082)</f>
        <v>450000</v>
      </c>
      <c r="G148" s="525">
        <f>SUMIF('INGRESOS A CAJA'!$C$10:$C$954,A148,'INGRESOS A CAJA'!$F$10:$F$954)</f>
        <v>0</v>
      </c>
      <c r="H148" s="525">
        <f>SUMIF('EGRESOS DE CAJA'!$C$10:$C$2251,A148,'EGRESOS DE CAJA'!$G$10:$G$2251)</f>
        <v>0</v>
      </c>
      <c r="I148" s="512">
        <f t="shared" si="3"/>
        <v>0</v>
      </c>
      <c r="J148" s="557"/>
    </row>
    <row r="149" spans="1:10" x14ac:dyDescent="0.2">
      <c r="A149" s="560">
        <v>140</v>
      </c>
      <c r="B149" s="511" t="str">
        <f>_xlfn.XLOOKUP(A149,Códigos!$A$11:$A$415,Códigos!$B$11:$B$415,"Verificar",0)</f>
        <v>NOMBRE 231</v>
      </c>
      <c r="C149" s="727"/>
      <c r="D149" s="525">
        <f>SUMIF('CARTERA años anteriores'!$C$9:$C$234,A149,'CARTERA años anteriores'!$J$9:$J$234)</f>
        <v>0</v>
      </c>
      <c r="E149" s="525">
        <f>SUMIF('CARTERA años anteriores'!$C$9:$C$234,A149,'CARTERA años anteriores'!$L$9:$L$234)</f>
        <v>0</v>
      </c>
      <c r="F149" s="525">
        <f>SUMIF(FACTURACIÓN!$C$8:$C$1082,A149,FACTURACIÓN!$K$8:$K$1082)</f>
        <v>450000</v>
      </c>
      <c r="G149" s="525">
        <f>SUMIF('INGRESOS A CAJA'!$C$10:$C$954,A149,'INGRESOS A CAJA'!$F$10:$F$954)</f>
        <v>0</v>
      </c>
      <c r="H149" s="525">
        <f>SUMIF('EGRESOS DE CAJA'!$C$10:$C$2251,A149,'EGRESOS DE CAJA'!$G$10:$G$2251)</f>
        <v>0</v>
      </c>
      <c r="I149" s="512">
        <f t="shared" si="3"/>
        <v>0</v>
      </c>
      <c r="J149" s="557"/>
    </row>
    <row r="150" spans="1:10" x14ac:dyDescent="0.2">
      <c r="A150" s="560">
        <v>141</v>
      </c>
      <c r="B150" s="511" t="str">
        <f>_xlfn.XLOOKUP(A150,Códigos!$A$11:$A$415,Códigos!$B$11:$B$415,"Verificar",0)</f>
        <v>NOMBRE 228</v>
      </c>
      <c r="C150" s="727"/>
      <c r="D150" s="525">
        <f>SUMIF('CARTERA años anteriores'!$C$9:$C$234,A150,'CARTERA años anteriores'!$J$9:$J$234)</f>
        <v>0</v>
      </c>
      <c r="E150" s="525">
        <f>SUMIF('CARTERA años anteriores'!$C$9:$C$234,A150,'CARTERA años anteriores'!$L$9:$L$234)</f>
        <v>0</v>
      </c>
      <c r="F150" s="525">
        <f>SUMIF(FACTURACIÓN!$C$8:$C$1082,A150,FACTURACIÓN!$K$8:$K$1082)</f>
        <v>160000</v>
      </c>
      <c r="G150" s="525">
        <f>SUMIF('INGRESOS A CAJA'!$C$10:$C$954,A150,'INGRESOS A CAJA'!$F$10:$F$954)</f>
        <v>0</v>
      </c>
      <c r="H150" s="525">
        <f>SUMIF('EGRESOS DE CAJA'!$C$10:$C$2251,A150,'EGRESOS DE CAJA'!$G$10:$G$2251)</f>
        <v>0</v>
      </c>
      <c r="I150" s="512">
        <f t="shared" si="3"/>
        <v>0</v>
      </c>
      <c r="J150" s="557"/>
    </row>
    <row r="151" spans="1:10" x14ac:dyDescent="0.2">
      <c r="A151" s="560">
        <v>142</v>
      </c>
      <c r="B151" s="511" t="str">
        <f>_xlfn.XLOOKUP(A151,Códigos!$A$11:$A$415,Códigos!$B$11:$B$415,"Verificar",0)</f>
        <v>NOMBRE 235</v>
      </c>
      <c r="C151" s="727"/>
      <c r="D151" s="525">
        <f>SUMIF('CARTERA años anteriores'!$C$9:$C$234,A151,'CARTERA años anteriores'!$J$9:$J$234)</f>
        <v>2190000</v>
      </c>
      <c r="E151" s="525">
        <f>SUMIF('CARTERA años anteriores'!$C$9:$C$234,A151,'CARTERA años anteriores'!$L$9:$L$234)</f>
        <v>1500000</v>
      </c>
      <c r="F151" s="525">
        <f>SUMIF(FACTURACIÓN!$C$8:$C$1082,A151,FACTURACIÓN!$K$8:$K$1082)</f>
        <v>950000</v>
      </c>
      <c r="G151" s="525">
        <f>SUMIF('INGRESOS A CAJA'!$C$10:$C$954,A151,'INGRESOS A CAJA'!$F$10:$F$954)</f>
        <v>0</v>
      </c>
      <c r="H151" s="525">
        <f>SUMIF('EGRESOS DE CAJA'!$C$10:$C$2251,A151,'EGRESOS DE CAJA'!$G$10:$G$2251)</f>
        <v>0</v>
      </c>
      <c r="I151" s="512">
        <f t="shared" si="3"/>
        <v>0</v>
      </c>
      <c r="J151" s="557"/>
    </row>
    <row r="152" spans="1:10" x14ac:dyDescent="0.2">
      <c r="A152" s="560">
        <v>143</v>
      </c>
      <c r="B152" s="511" t="str">
        <f>_xlfn.XLOOKUP(A152,Códigos!$A$11:$A$415,Códigos!$B$11:$B$415,"Verificar",0)</f>
        <v>NOMBRE 236</v>
      </c>
      <c r="C152" s="727"/>
      <c r="D152" s="525">
        <f>SUMIF('CARTERA años anteriores'!$C$9:$C$234,A152,'CARTERA años anteriores'!$J$9:$J$234)</f>
        <v>730000</v>
      </c>
      <c r="E152" s="525">
        <f>SUMIF('CARTERA años anteriores'!$C$9:$C$234,A152,'CARTERA años anteriores'!$L$9:$L$234)</f>
        <v>0</v>
      </c>
      <c r="F152" s="525">
        <f>SUMIF(FACTURACIÓN!$C$8:$C$1082,A152,FACTURACIÓN!$K$8:$K$1082)</f>
        <v>1350000</v>
      </c>
      <c r="G152" s="525">
        <f>SUMIF('INGRESOS A CAJA'!$C$10:$C$954,A152,'INGRESOS A CAJA'!$F$10:$F$954)</f>
        <v>0</v>
      </c>
      <c r="H152" s="525">
        <f>SUMIF('EGRESOS DE CAJA'!$C$10:$C$2251,A152,'EGRESOS DE CAJA'!$G$10:$G$2251)</f>
        <v>0</v>
      </c>
      <c r="I152" s="512">
        <f t="shared" si="3"/>
        <v>0</v>
      </c>
      <c r="J152" s="557"/>
    </row>
    <row r="153" spans="1:10" x14ac:dyDescent="0.2">
      <c r="A153" s="560">
        <v>144</v>
      </c>
      <c r="B153" s="511" t="str">
        <f>_xlfn.XLOOKUP(A153,Códigos!$A$11:$A$415,Códigos!$B$11:$B$415,"Verificar",0)</f>
        <v>NOMBRE 237</v>
      </c>
      <c r="C153" s="727"/>
      <c r="D153" s="525">
        <f>SUMIF('CARTERA años anteriores'!$C$9:$C$234,A153,'CARTERA años anteriores'!$J$9:$J$234)</f>
        <v>0</v>
      </c>
      <c r="E153" s="525">
        <f>SUMIF('CARTERA años anteriores'!$C$9:$C$234,A153,'CARTERA años anteriores'!$L$9:$L$234)</f>
        <v>0</v>
      </c>
      <c r="F153" s="525">
        <f>SUMIF(FACTURACIÓN!$C$8:$C$1082,A153,FACTURACIÓN!$K$8:$K$1082)</f>
        <v>450000</v>
      </c>
      <c r="G153" s="525">
        <f>SUMIF('INGRESOS A CAJA'!$C$10:$C$954,A153,'INGRESOS A CAJA'!$F$10:$F$954)</f>
        <v>0</v>
      </c>
      <c r="H153" s="525">
        <f>SUMIF('EGRESOS DE CAJA'!$C$10:$C$2251,A153,'EGRESOS DE CAJA'!$G$10:$G$2251)</f>
        <v>0</v>
      </c>
      <c r="I153" s="512">
        <f t="shared" si="3"/>
        <v>0</v>
      </c>
      <c r="J153" s="557"/>
    </row>
    <row r="154" spans="1:10" x14ac:dyDescent="0.2">
      <c r="A154" s="560">
        <v>145</v>
      </c>
      <c r="B154" s="511" t="str">
        <f>_xlfn.XLOOKUP(A154,Códigos!$A$11:$A$415,Códigos!$B$11:$B$415,"Verificar",0)</f>
        <v>NOMBRE 238</v>
      </c>
      <c r="C154" s="727"/>
      <c r="D154" s="525">
        <f>SUMIF('CARTERA años anteriores'!$C$9:$C$234,A154,'CARTERA años anteriores'!$J$9:$J$234)</f>
        <v>0</v>
      </c>
      <c r="E154" s="525">
        <f>SUMIF('CARTERA años anteriores'!$C$9:$C$234,A154,'CARTERA años anteriores'!$L$9:$L$234)</f>
        <v>0</v>
      </c>
      <c r="F154" s="525">
        <f>SUMIF(FACTURACIÓN!$C$8:$C$1082,A154,FACTURACIÓN!$K$8:$K$1082)</f>
        <v>0</v>
      </c>
      <c r="G154" s="525">
        <f>SUMIF('INGRESOS A CAJA'!$C$10:$C$954,A154,'INGRESOS A CAJA'!$F$10:$F$954)</f>
        <v>9790000</v>
      </c>
      <c r="H154" s="525">
        <f>SUMIF('EGRESOS DE CAJA'!$C$10:$C$2251,A154,'EGRESOS DE CAJA'!$G$10:$G$2251)</f>
        <v>0</v>
      </c>
      <c r="I154" s="512">
        <f t="shared" si="3"/>
        <v>0</v>
      </c>
      <c r="J154" s="557"/>
    </row>
    <row r="155" spans="1:10" x14ac:dyDescent="0.2">
      <c r="A155" s="560">
        <v>146</v>
      </c>
      <c r="B155" s="511" t="str">
        <f>_xlfn.XLOOKUP(A155,Códigos!$A$11:$A$415,Códigos!$B$11:$B$415,"Verificar",0)</f>
        <v>NOMBRE 239</v>
      </c>
      <c r="C155" s="727"/>
      <c r="D155" s="525">
        <f>SUMIF('CARTERA años anteriores'!$C$9:$C$234,A155,'CARTERA años anteriores'!$J$9:$J$234)</f>
        <v>0</v>
      </c>
      <c r="E155" s="525">
        <f>SUMIF('CARTERA años anteriores'!$C$9:$C$234,A155,'CARTERA años anteriores'!$L$9:$L$234)</f>
        <v>0</v>
      </c>
      <c r="F155" s="525">
        <f>SUMIF(FACTURACIÓN!$C$8:$C$1082,A155,FACTURACIÓN!$K$8:$K$1082)</f>
        <v>0</v>
      </c>
      <c r="G155" s="525">
        <f>SUMIF('INGRESOS A CAJA'!$C$10:$C$954,A155,'INGRESOS A CAJA'!$F$10:$F$954)</f>
        <v>0</v>
      </c>
      <c r="H155" s="525">
        <f>SUMIF('EGRESOS DE CAJA'!$C$10:$C$2251,A155,'EGRESOS DE CAJA'!$G$10:$G$2251)</f>
        <v>0</v>
      </c>
      <c r="I155" s="512">
        <f t="shared" si="3"/>
        <v>0</v>
      </c>
      <c r="J155" s="557"/>
    </row>
    <row r="156" spans="1:10" x14ac:dyDescent="0.2">
      <c r="A156" s="560">
        <v>147</v>
      </c>
      <c r="B156" s="511" t="str">
        <f>_xlfn.XLOOKUP(A156,Códigos!$A$11:$A$415,Códigos!$B$11:$B$415,"Verificar",0)</f>
        <v>NOMBRE 241</v>
      </c>
      <c r="C156" s="727"/>
      <c r="D156" s="525">
        <f>SUMIF('CARTERA años anteriores'!$C$9:$C$234,A156,'CARTERA años anteriores'!$J$9:$J$234)</f>
        <v>0</v>
      </c>
      <c r="E156" s="525">
        <f>SUMIF('CARTERA años anteriores'!$C$9:$C$234,A156,'CARTERA años anteriores'!$L$9:$L$234)</f>
        <v>0</v>
      </c>
      <c r="F156" s="525">
        <f>SUMIF(FACTURACIÓN!$C$8:$C$1082,A156,FACTURACIÓN!$K$8:$K$1082)</f>
        <v>0</v>
      </c>
      <c r="G156" s="525">
        <f>SUMIF('INGRESOS A CAJA'!$C$10:$C$954,A156,'INGRESOS A CAJA'!$F$10:$F$954)</f>
        <v>0</v>
      </c>
      <c r="H156" s="525">
        <f>SUMIF('EGRESOS DE CAJA'!$C$10:$C$2251,A156,'EGRESOS DE CAJA'!$G$10:$G$2251)</f>
        <v>0</v>
      </c>
      <c r="I156" s="512">
        <f t="shared" si="3"/>
        <v>0</v>
      </c>
      <c r="J156" s="557"/>
    </row>
    <row r="157" spans="1:10" x14ac:dyDescent="0.2">
      <c r="A157" s="560">
        <v>148</v>
      </c>
      <c r="B157" s="511" t="str">
        <f>_xlfn.XLOOKUP(A157,Códigos!$A$11:$A$415,Códigos!$B$11:$B$415,"Verificar",0)</f>
        <v>NOMBRE 143</v>
      </c>
      <c r="C157" s="727"/>
      <c r="D157" s="525">
        <f>SUMIF('CARTERA años anteriores'!$C$9:$C$234,A157,'CARTERA años anteriores'!$J$9:$J$234)</f>
        <v>0</v>
      </c>
      <c r="E157" s="525">
        <f>SUMIF('CARTERA años anteriores'!$C$9:$C$234,A157,'CARTERA años anteriores'!$L$9:$L$234)</f>
        <v>0</v>
      </c>
      <c r="F157" s="525">
        <f>SUMIF(FACTURACIÓN!$C$8:$C$1082,A157,FACTURACIÓN!$K$8:$K$1082)</f>
        <v>0</v>
      </c>
      <c r="G157" s="525">
        <f>SUMIF('INGRESOS A CAJA'!$C$10:$C$954,A157,'INGRESOS A CAJA'!$F$10:$F$954)</f>
        <v>0</v>
      </c>
      <c r="H157" s="525">
        <f>SUMIF('EGRESOS DE CAJA'!$C$10:$C$2251,A157,'EGRESOS DE CAJA'!$G$10:$G$2251)</f>
        <v>0</v>
      </c>
      <c r="I157" s="512">
        <f t="shared" si="3"/>
        <v>0</v>
      </c>
      <c r="J157" s="557"/>
    </row>
    <row r="158" spans="1:10" x14ac:dyDescent="0.2">
      <c r="A158" s="560">
        <v>149</v>
      </c>
      <c r="B158" s="511" t="str">
        <f>_xlfn.XLOOKUP(A158,Códigos!$A$11:$A$415,Códigos!$B$11:$B$415,"Verificar",0)</f>
        <v>NOMBRE 244</v>
      </c>
      <c r="C158" s="727"/>
      <c r="D158" s="525">
        <f>SUMIF('CARTERA años anteriores'!$C$9:$C$234,A158,'CARTERA años anteriores'!$J$9:$J$234)</f>
        <v>0</v>
      </c>
      <c r="E158" s="525">
        <f>SUMIF('CARTERA años anteriores'!$C$9:$C$234,A158,'CARTERA años anteriores'!$L$9:$L$234)</f>
        <v>0</v>
      </c>
      <c r="F158" s="525">
        <f>SUMIF(FACTURACIÓN!$C$8:$C$1082,A158,FACTURACIÓN!$K$8:$K$1082)</f>
        <v>0</v>
      </c>
      <c r="G158" s="525">
        <f>SUMIF('INGRESOS A CAJA'!$C$10:$C$954,A158,'INGRESOS A CAJA'!$F$10:$F$954)</f>
        <v>0</v>
      </c>
      <c r="H158" s="525">
        <f>SUMIF('EGRESOS DE CAJA'!$C$10:$C$2251,A158,'EGRESOS DE CAJA'!$G$10:$G$2251)</f>
        <v>0</v>
      </c>
      <c r="I158" s="512">
        <f t="shared" si="3"/>
        <v>0</v>
      </c>
      <c r="J158" s="557"/>
    </row>
    <row r="159" spans="1:10" x14ac:dyDescent="0.2">
      <c r="A159" s="560">
        <v>150</v>
      </c>
      <c r="B159" s="511" t="str">
        <f>_xlfn.XLOOKUP(A159,Códigos!$A$11:$A$415,Códigos!$B$11:$B$415,"Verificar",0)</f>
        <v>NOMBRE 247</v>
      </c>
      <c r="C159" s="727"/>
      <c r="D159" s="525">
        <f>SUMIF('CARTERA años anteriores'!$C$9:$C$234,A159,'CARTERA años anteriores'!$J$9:$J$234)</f>
        <v>0</v>
      </c>
      <c r="E159" s="525">
        <f>SUMIF('CARTERA años anteriores'!$C$9:$C$234,A159,'CARTERA años anteriores'!$L$9:$L$234)</f>
        <v>0</v>
      </c>
      <c r="F159" s="525">
        <f>SUMIF(FACTURACIÓN!$C$8:$C$1082,A159,FACTURACIÓN!$K$8:$K$1082)</f>
        <v>0</v>
      </c>
      <c r="G159" s="525">
        <f>SUMIF('INGRESOS A CAJA'!$C$10:$C$954,A159,'INGRESOS A CAJA'!$F$10:$F$954)</f>
        <v>0</v>
      </c>
      <c r="H159" s="525">
        <f>SUMIF('EGRESOS DE CAJA'!$C$10:$C$2251,A159,'EGRESOS DE CAJA'!$G$10:$G$2251)</f>
        <v>0</v>
      </c>
      <c r="I159" s="512">
        <f t="shared" si="3"/>
        <v>0</v>
      </c>
      <c r="J159" s="557"/>
    </row>
    <row r="160" spans="1:10" x14ac:dyDescent="0.2">
      <c r="A160" s="560">
        <v>151</v>
      </c>
      <c r="B160" s="511" t="str">
        <f>_xlfn.XLOOKUP(A160,Códigos!$A$11:$A$415,Códigos!$B$11:$B$415,"Verificar",0)</f>
        <v>NOMBRE 248</v>
      </c>
      <c r="C160" s="727"/>
      <c r="D160" s="525">
        <f>SUMIF('CARTERA años anteriores'!$C$9:$C$234,A160,'CARTERA años anteriores'!$J$9:$J$234)</f>
        <v>1980000</v>
      </c>
      <c r="E160" s="525">
        <f>SUMIF('CARTERA años anteriores'!$C$9:$C$234,A160,'CARTERA años anteriores'!$L$9:$L$234)</f>
        <v>1980000</v>
      </c>
      <c r="F160" s="525">
        <f>SUMIF(FACTURACIÓN!$C$8:$C$1082,A160,FACTURACIÓN!$K$8:$K$1082)</f>
        <v>3670000</v>
      </c>
      <c r="G160" s="525">
        <f>SUMIF('INGRESOS A CAJA'!$C$10:$C$954,A160,'INGRESOS A CAJA'!$F$10:$F$954)</f>
        <v>6980000</v>
      </c>
      <c r="H160" s="525">
        <f>SUMIF('EGRESOS DE CAJA'!$C$10:$C$2251,A160,'EGRESOS DE CAJA'!$G$10:$G$2251)</f>
        <v>0</v>
      </c>
      <c r="I160" s="512">
        <f t="shared" si="3"/>
        <v>0</v>
      </c>
      <c r="J160" s="557"/>
    </row>
    <row r="161" spans="1:10" x14ac:dyDescent="0.2">
      <c r="A161" s="560">
        <v>152</v>
      </c>
      <c r="B161" s="511" t="str">
        <f>_xlfn.XLOOKUP(A161,Códigos!$A$11:$A$415,Códigos!$B$11:$B$415,"Verificar",0)</f>
        <v>NOMBRE 249</v>
      </c>
      <c r="C161" s="727"/>
      <c r="D161" s="525">
        <f>SUMIF('CARTERA años anteriores'!$C$9:$C$234,A161,'CARTERA años anteriores'!$J$9:$J$234)</f>
        <v>0</v>
      </c>
      <c r="E161" s="525">
        <f>SUMIF('CARTERA años anteriores'!$C$9:$C$234,A161,'CARTERA años anteriores'!$L$9:$L$234)</f>
        <v>0</v>
      </c>
      <c r="F161" s="525">
        <f>SUMIF(FACTURACIÓN!$C$8:$C$1082,A161,FACTURACIÓN!$K$8:$K$1082)</f>
        <v>3040000</v>
      </c>
      <c r="G161" s="525">
        <f>SUMIF('INGRESOS A CAJA'!$C$10:$C$954,A161,'INGRESOS A CAJA'!$F$10:$F$954)</f>
        <v>0</v>
      </c>
      <c r="H161" s="525">
        <f>SUMIF('EGRESOS DE CAJA'!$C$10:$C$2251,A161,'EGRESOS DE CAJA'!$G$10:$G$2251)</f>
        <v>0</v>
      </c>
      <c r="I161" s="512">
        <f t="shared" si="3"/>
        <v>0</v>
      </c>
      <c r="J161" s="557"/>
    </row>
    <row r="162" spans="1:10" x14ac:dyDescent="0.2">
      <c r="A162" s="560">
        <v>153</v>
      </c>
      <c r="B162" s="511" t="str">
        <f>_xlfn.XLOOKUP(A162,Códigos!$A$11:$A$415,Códigos!$B$11:$B$415,"Verificar",0)</f>
        <v>NOMBRE 286</v>
      </c>
      <c r="C162" s="727"/>
      <c r="D162" s="525">
        <f>SUMIF('CARTERA años anteriores'!$C$9:$C$234,A162,'CARTERA años anteriores'!$J$9:$J$234)</f>
        <v>0</v>
      </c>
      <c r="E162" s="525">
        <f>SUMIF('CARTERA años anteriores'!$C$9:$C$234,A162,'CARTERA años anteriores'!$L$9:$L$234)</f>
        <v>0</v>
      </c>
      <c r="F162" s="525">
        <f>SUMIF(FACTURACIÓN!$C$8:$C$1082,A162,FACTURACIÓN!$K$8:$K$1082)</f>
        <v>0</v>
      </c>
      <c r="G162" s="525">
        <f>SUMIF('INGRESOS A CAJA'!$C$10:$C$954,A162,'INGRESOS A CAJA'!$F$10:$F$954)</f>
        <v>0</v>
      </c>
      <c r="H162" s="525">
        <f>SUMIF('EGRESOS DE CAJA'!$C$10:$C$2251,A162,'EGRESOS DE CAJA'!$G$10:$G$2251)</f>
        <v>0</v>
      </c>
      <c r="I162" s="512">
        <f t="shared" si="3"/>
        <v>0</v>
      </c>
      <c r="J162" s="557"/>
    </row>
    <row r="163" spans="1:10" x14ac:dyDescent="0.2">
      <c r="A163" s="560">
        <v>154</v>
      </c>
      <c r="B163" s="511" t="str">
        <f>_xlfn.XLOOKUP(A163,Códigos!$A$11:$A$415,Códigos!$B$11:$B$415,"Verificar",0)</f>
        <v>NOMBRE 251</v>
      </c>
      <c r="C163" s="727"/>
      <c r="D163" s="525">
        <f>SUMIF('CARTERA años anteriores'!$C$9:$C$234,A163,'CARTERA años anteriores'!$J$9:$J$234)</f>
        <v>0</v>
      </c>
      <c r="E163" s="525">
        <f>SUMIF('CARTERA años anteriores'!$C$9:$C$234,A163,'CARTERA años anteriores'!$L$9:$L$234)</f>
        <v>0</v>
      </c>
      <c r="F163" s="525">
        <f>SUMIF(FACTURACIÓN!$C$8:$C$1082,A163,FACTURACIÓN!$K$8:$K$1082)</f>
        <v>0</v>
      </c>
      <c r="G163" s="525">
        <f>SUMIF('INGRESOS A CAJA'!$C$10:$C$954,A163,'INGRESOS A CAJA'!$F$10:$F$954)</f>
        <v>0</v>
      </c>
      <c r="H163" s="525">
        <f>SUMIF('EGRESOS DE CAJA'!$C$10:$C$2251,A163,'EGRESOS DE CAJA'!$G$10:$G$2251)</f>
        <v>0</v>
      </c>
      <c r="I163" s="512">
        <f t="shared" ref="I163:I226" si="4">IF((+C163+D163-E163+F163+G163*0+H163)&lt;0,(+C163+D163-E163+F163+G163*0+H163),0)</f>
        <v>0</v>
      </c>
      <c r="J163" s="557"/>
    </row>
    <row r="164" spans="1:10" x14ac:dyDescent="0.2">
      <c r="A164" s="560">
        <v>155</v>
      </c>
      <c r="B164" s="511" t="str">
        <f>_xlfn.XLOOKUP(A164,Códigos!$A$11:$A$415,Códigos!$B$11:$B$415,"Verificar",0)</f>
        <v>NOMBRE 259</v>
      </c>
      <c r="C164" s="727"/>
      <c r="D164" s="525">
        <f>SUMIF('CARTERA años anteriores'!$C$9:$C$234,A164,'CARTERA años anteriores'!$J$9:$J$234)</f>
        <v>0</v>
      </c>
      <c r="E164" s="525">
        <f>SUMIF('CARTERA años anteriores'!$C$9:$C$234,A164,'CARTERA años anteriores'!$L$9:$L$234)</f>
        <v>0</v>
      </c>
      <c r="F164" s="525">
        <f>SUMIF(FACTURACIÓN!$C$8:$C$1082,A164,FACTURACIÓN!$K$8:$K$1082)</f>
        <v>0</v>
      </c>
      <c r="G164" s="525">
        <f>SUMIF('INGRESOS A CAJA'!$C$10:$C$954,A164,'INGRESOS A CAJA'!$F$10:$F$954)</f>
        <v>0</v>
      </c>
      <c r="H164" s="525">
        <f>SUMIF('EGRESOS DE CAJA'!$C$10:$C$2251,A164,'EGRESOS DE CAJA'!$G$10:$G$2251)</f>
        <v>0</v>
      </c>
      <c r="I164" s="512">
        <f t="shared" si="4"/>
        <v>0</v>
      </c>
      <c r="J164" s="557"/>
    </row>
    <row r="165" spans="1:10" x14ac:dyDescent="0.2">
      <c r="A165" s="560">
        <v>156</v>
      </c>
      <c r="B165" s="511" t="str">
        <f>_xlfn.XLOOKUP(A165,Códigos!$A$11:$A$415,Códigos!$B$11:$B$415,"Verificar",0)</f>
        <v>NOMBRE 11</v>
      </c>
      <c r="C165" s="727"/>
      <c r="D165" s="525">
        <f>SUMIF('CARTERA años anteriores'!$C$9:$C$234,A165,'CARTERA años anteriores'!$J$9:$J$234)</f>
        <v>0</v>
      </c>
      <c r="E165" s="525">
        <f>SUMIF('CARTERA años anteriores'!$C$9:$C$234,A165,'CARTERA años anteriores'!$L$9:$L$234)</f>
        <v>0</v>
      </c>
      <c r="F165" s="525">
        <f>SUMIF(FACTURACIÓN!$C$8:$C$1082,A165,FACTURACIÓN!$K$8:$K$1082)</f>
        <v>210000</v>
      </c>
      <c r="G165" s="525">
        <f>SUMIF('INGRESOS A CAJA'!$C$10:$C$954,A165,'INGRESOS A CAJA'!$F$10:$F$954)</f>
        <v>0</v>
      </c>
      <c r="H165" s="525">
        <f>SUMIF('EGRESOS DE CAJA'!$C$10:$C$2251,A165,'EGRESOS DE CAJA'!$G$10:$G$2251)</f>
        <v>0</v>
      </c>
      <c r="I165" s="512">
        <f t="shared" si="4"/>
        <v>0</v>
      </c>
      <c r="J165" s="557"/>
    </row>
    <row r="166" spans="1:10" x14ac:dyDescent="0.2">
      <c r="A166" s="560">
        <v>157</v>
      </c>
      <c r="B166" s="511" t="str">
        <f>_xlfn.XLOOKUP(A166,Códigos!$A$11:$A$415,Códigos!$B$11:$B$415,"Verificar",0)</f>
        <v>NOMBRE 260</v>
      </c>
      <c r="C166" s="727"/>
      <c r="D166" s="525">
        <f>SUMIF('CARTERA años anteriores'!$C$9:$C$234,A166,'CARTERA años anteriores'!$J$9:$J$234)</f>
        <v>0</v>
      </c>
      <c r="E166" s="525">
        <f>SUMIF('CARTERA años anteriores'!$C$9:$C$234,A166,'CARTERA años anteriores'!$L$9:$L$234)</f>
        <v>0</v>
      </c>
      <c r="F166" s="525">
        <f>SUMIF(FACTURACIÓN!$C$8:$C$1082,A166,FACTURACIÓN!$K$8:$K$1082)</f>
        <v>0</v>
      </c>
      <c r="G166" s="525">
        <f>SUMIF('INGRESOS A CAJA'!$C$10:$C$954,A166,'INGRESOS A CAJA'!$F$10:$F$954)</f>
        <v>0</v>
      </c>
      <c r="H166" s="525">
        <f>SUMIF('EGRESOS DE CAJA'!$C$10:$C$2251,A166,'EGRESOS DE CAJA'!$G$10:$G$2251)</f>
        <v>0</v>
      </c>
      <c r="I166" s="512">
        <f t="shared" si="4"/>
        <v>0</v>
      </c>
      <c r="J166" s="557"/>
    </row>
    <row r="167" spans="1:10" x14ac:dyDescent="0.2">
      <c r="A167" s="560">
        <v>158</v>
      </c>
      <c r="B167" s="511" t="str">
        <f>_xlfn.XLOOKUP(A167,Códigos!$A$11:$A$415,Códigos!$B$11:$B$415,"Verificar",0)</f>
        <v>NOMBRE 262</v>
      </c>
      <c r="C167" s="727"/>
      <c r="D167" s="525">
        <f>SUMIF('CARTERA años anteriores'!$C$9:$C$234,A167,'CARTERA años anteriores'!$J$9:$J$234)</f>
        <v>9758000</v>
      </c>
      <c r="E167" s="525">
        <f>SUMIF('CARTERA años anteriores'!$C$9:$C$234,A167,'CARTERA años anteriores'!$L$9:$L$234)</f>
        <v>6937700</v>
      </c>
      <c r="F167" s="525">
        <f>SUMIF(FACTURACIÓN!$C$8:$C$1082,A167,FACTURACIÓN!$K$8:$K$1082)</f>
        <v>0</v>
      </c>
      <c r="G167" s="525">
        <f>SUMIF('INGRESOS A CAJA'!$C$10:$C$954,A167,'INGRESOS A CAJA'!$F$10:$F$954)</f>
        <v>6937700</v>
      </c>
      <c r="H167" s="525">
        <f>SUMIF('EGRESOS DE CAJA'!$C$10:$C$2251,A167,'EGRESOS DE CAJA'!$G$10:$G$2251)</f>
        <v>0</v>
      </c>
      <c r="I167" s="512">
        <f t="shared" si="4"/>
        <v>0</v>
      </c>
      <c r="J167" s="557"/>
    </row>
    <row r="168" spans="1:10" x14ac:dyDescent="0.2">
      <c r="A168" s="560">
        <v>159</v>
      </c>
      <c r="B168" s="511" t="str">
        <f>_xlfn.XLOOKUP(A168,Códigos!$A$11:$A$415,Códigos!$B$11:$B$415,"Verificar",0)</f>
        <v>NOMBRE 266</v>
      </c>
      <c r="C168" s="727"/>
      <c r="D168" s="525">
        <f>SUMIF('CARTERA años anteriores'!$C$9:$C$234,A168,'CARTERA años anteriores'!$J$9:$J$234)</f>
        <v>0</v>
      </c>
      <c r="E168" s="525">
        <f>SUMIF('CARTERA años anteriores'!$C$9:$C$234,A168,'CARTERA años anteriores'!$L$9:$L$234)</f>
        <v>0</v>
      </c>
      <c r="F168" s="525">
        <f>SUMIF(FACTURACIÓN!$C$8:$C$1082,A168,FACTURACIÓN!$K$8:$K$1082)</f>
        <v>0</v>
      </c>
      <c r="G168" s="525">
        <f>SUMIF('INGRESOS A CAJA'!$C$10:$C$954,A168,'INGRESOS A CAJA'!$F$10:$F$954)</f>
        <v>0</v>
      </c>
      <c r="H168" s="525">
        <f>SUMIF('EGRESOS DE CAJA'!$C$10:$C$2251,A168,'EGRESOS DE CAJA'!$G$10:$G$2251)</f>
        <v>0</v>
      </c>
      <c r="I168" s="512">
        <f t="shared" si="4"/>
        <v>0</v>
      </c>
      <c r="J168" s="557"/>
    </row>
    <row r="169" spans="1:10" x14ac:dyDescent="0.2">
      <c r="A169" s="560">
        <v>160</v>
      </c>
      <c r="B169" s="511" t="str">
        <f>_xlfn.XLOOKUP(A169,Códigos!$A$11:$A$415,Códigos!$B$11:$B$415,"Verificar",0)</f>
        <v>NOMBRE 267</v>
      </c>
      <c r="C169" s="727"/>
      <c r="D169" s="525">
        <f>SUMIF('CARTERA años anteriores'!$C$9:$C$234,A169,'CARTERA años anteriores'!$J$9:$J$234)</f>
        <v>0</v>
      </c>
      <c r="E169" s="525">
        <f>SUMIF('CARTERA años anteriores'!$C$9:$C$234,A169,'CARTERA años anteriores'!$L$9:$L$234)</f>
        <v>0</v>
      </c>
      <c r="F169" s="525">
        <f>SUMIF(FACTURACIÓN!$C$8:$C$1082,A169,FACTURACIÓN!$K$8:$K$1082)</f>
        <v>0</v>
      </c>
      <c r="G169" s="525">
        <f>SUMIF('INGRESOS A CAJA'!$C$10:$C$954,A169,'INGRESOS A CAJA'!$F$10:$F$954)</f>
        <v>0</v>
      </c>
      <c r="H169" s="525">
        <f>SUMIF('EGRESOS DE CAJA'!$C$10:$C$2251,A169,'EGRESOS DE CAJA'!$G$10:$G$2251)</f>
        <v>0</v>
      </c>
      <c r="I169" s="512">
        <f t="shared" si="4"/>
        <v>0</v>
      </c>
      <c r="J169" s="557"/>
    </row>
    <row r="170" spans="1:10" x14ac:dyDescent="0.2">
      <c r="A170" s="560">
        <v>161</v>
      </c>
      <c r="B170" s="511" t="str">
        <f>_xlfn.XLOOKUP(A170,Códigos!$A$11:$A$415,Códigos!$B$11:$B$415,"Verificar",0)</f>
        <v>NOMBRE 268</v>
      </c>
      <c r="C170" s="727"/>
      <c r="D170" s="525">
        <f>SUMIF('CARTERA años anteriores'!$C$9:$C$234,A170,'CARTERA años anteriores'!$J$9:$J$234)</f>
        <v>0</v>
      </c>
      <c r="E170" s="525">
        <f>SUMIF('CARTERA años anteriores'!$C$9:$C$234,A170,'CARTERA años anteriores'!$L$9:$L$234)</f>
        <v>0</v>
      </c>
      <c r="F170" s="525">
        <f>SUMIF(FACTURACIÓN!$C$8:$C$1082,A170,FACTURACIÓN!$K$8:$K$1082)</f>
        <v>0</v>
      </c>
      <c r="G170" s="525">
        <f>SUMIF('INGRESOS A CAJA'!$C$10:$C$954,A170,'INGRESOS A CAJA'!$F$10:$F$954)</f>
        <v>0</v>
      </c>
      <c r="H170" s="525">
        <f>SUMIF('EGRESOS DE CAJA'!$C$10:$C$2251,A170,'EGRESOS DE CAJA'!$G$10:$G$2251)</f>
        <v>0</v>
      </c>
      <c r="I170" s="512">
        <f t="shared" si="4"/>
        <v>0</v>
      </c>
      <c r="J170" s="557"/>
    </row>
    <row r="171" spans="1:10" x14ac:dyDescent="0.2">
      <c r="A171" s="560">
        <v>162</v>
      </c>
      <c r="B171" s="511" t="str">
        <f>_xlfn.XLOOKUP(A171,Códigos!$A$11:$A$415,Códigos!$B$11:$B$415,"Verificar",0)</f>
        <v>NOMBRE 193</v>
      </c>
      <c r="C171" s="727"/>
      <c r="D171" s="525">
        <f>SUMIF('CARTERA años anteriores'!$C$9:$C$234,A171,'CARTERA años anteriores'!$J$9:$J$234)</f>
        <v>0</v>
      </c>
      <c r="E171" s="525">
        <f>SUMIF('CARTERA años anteriores'!$C$9:$C$234,A171,'CARTERA años anteriores'!$L$9:$L$234)</f>
        <v>0</v>
      </c>
      <c r="F171" s="525">
        <f>SUMIF(FACTURACIÓN!$C$8:$C$1082,A171,FACTURACIÓN!$K$8:$K$1082)</f>
        <v>230000</v>
      </c>
      <c r="G171" s="525">
        <f>SUMIF('INGRESOS A CAJA'!$C$10:$C$954,A171,'INGRESOS A CAJA'!$F$10:$F$954)</f>
        <v>0</v>
      </c>
      <c r="H171" s="525">
        <f>SUMIF('EGRESOS DE CAJA'!$C$10:$C$2251,A171,'EGRESOS DE CAJA'!$G$10:$G$2251)</f>
        <v>0</v>
      </c>
      <c r="I171" s="512">
        <f t="shared" si="4"/>
        <v>0</v>
      </c>
      <c r="J171" s="557"/>
    </row>
    <row r="172" spans="1:10" x14ac:dyDescent="0.2">
      <c r="A172" s="560">
        <v>163</v>
      </c>
      <c r="B172" s="511" t="str">
        <f>_xlfn.XLOOKUP(A172,Códigos!$A$11:$A$415,Códigos!$B$11:$B$415,"Verificar",0)</f>
        <v>NOMBRE 253</v>
      </c>
      <c r="C172" s="727"/>
      <c r="D172" s="525">
        <f>SUMIF('CARTERA años anteriores'!$C$9:$C$234,A172,'CARTERA años anteriores'!$J$9:$J$234)</f>
        <v>0</v>
      </c>
      <c r="E172" s="525">
        <f>SUMIF('CARTERA años anteriores'!$C$9:$C$234,A172,'CARTERA años anteriores'!$L$9:$L$234)</f>
        <v>0</v>
      </c>
      <c r="F172" s="525">
        <f>SUMIF(FACTURACIÓN!$C$8:$C$1082,A172,FACTURACIÓN!$K$8:$K$1082)</f>
        <v>0</v>
      </c>
      <c r="G172" s="525">
        <f>SUMIF('INGRESOS A CAJA'!$C$10:$C$954,A172,'INGRESOS A CAJA'!$F$10:$F$954)</f>
        <v>0</v>
      </c>
      <c r="H172" s="525">
        <f>SUMIF('EGRESOS DE CAJA'!$C$10:$C$2251,A172,'EGRESOS DE CAJA'!$G$10:$G$2251)</f>
        <v>0</v>
      </c>
      <c r="I172" s="512">
        <f t="shared" si="4"/>
        <v>0</v>
      </c>
      <c r="J172" s="557"/>
    </row>
    <row r="173" spans="1:10" x14ac:dyDescent="0.2">
      <c r="A173" s="560">
        <v>164</v>
      </c>
      <c r="B173" s="511" t="str">
        <f>_xlfn.XLOOKUP(A173,Códigos!$A$11:$A$415,Códigos!$B$11:$B$415,"Verificar",0)</f>
        <v>NOMBRE 269</v>
      </c>
      <c r="C173" s="727"/>
      <c r="D173" s="525">
        <f>SUMIF('CARTERA años anteriores'!$C$9:$C$234,A173,'CARTERA años anteriores'!$J$9:$J$234)</f>
        <v>0</v>
      </c>
      <c r="E173" s="525">
        <f>SUMIF('CARTERA años anteriores'!$C$9:$C$234,A173,'CARTERA años anteriores'!$L$9:$L$234)</f>
        <v>0</v>
      </c>
      <c r="F173" s="525">
        <f>SUMIF(FACTURACIÓN!$C$8:$C$1082,A173,FACTURACIÓN!$K$8:$K$1082)</f>
        <v>0</v>
      </c>
      <c r="G173" s="525">
        <f>SUMIF('INGRESOS A CAJA'!$C$10:$C$954,A173,'INGRESOS A CAJA'!$F$10:$F$954)</f>
        <v>0</v>
      </c>
      <c r="H173" s="525">
        <f>SUMIF('EGRESOS DE CAJA'!$C$10:$C$2251,A173,'EGRESOS DE CAJA'!$G$10:$G$2251)</f>
        <v>0</v>
      </c>
      <c r="I173" s="512">
        <f t="shared" si="4"/>
        <v>0</v>
      </c>
      <c r="J173" s="557"/>
    </row>
    <row r="174" spans="1:10" x14ac:dyDescent="0.2">
      <c r="A174" s="560">
        <v>165</v>
      </c>
      <c r="B174" s="511" t="str">
        <f>_xlfn.XLOOKUP(A174,Códigos!$A$11:$A$415,Códigos!$B$11:$B$415,"Verificar",0)</f>
        <v>NOMBRE 270</v>
      </c>
      <c r="C174" s="727"/>
      <c r="D174" s="525">
        <f>SUMIF('CARTERA años anteriores'!$C$9:$C$234,A174,'CARTERA años anteriores'!$J$9:$J$234)</f>
        <v>0</v>
      </c>
      <c r="E174" s="525">
        <f>SUMIF('CARTERA años anteriores'!$C$9:$C$234,A174,'CARTERA años anteriores'!$L$9:$L$234)</f>
        <v>0</v>
      </c>
      <c r="F174" s="525">
        <f>SUMIF(FACTURACIÓN!$C$8:$C$1082,A174,FACTURACIÓN!$K$8:$K$1082)</f>
        <v>0</v>
      </c>
      <c r="G174" s="525">
        <f>SUMIF('INGRESOS A CAJA'!$C$10:$C$954,A174,'INGRESOS A CAJA'!$F$10:$F$954)</f>
        <v>0</v>
      </c>
      <c r="H174" s="525">
        <f>SUMIF('EGRESOS DE CAJA'!$C$10:$C$2251,A174,'EGRESOS DE CAJA'!$G$10:$G$2251)</f>
        <v>0</v>
      </c>
      <c r="I174" s="512">
        <f t="shared" si="4"/>
        <v>0</v>
      </c>
      <c r="J174" s="557"/>
    </row>
    <row r="175" spans="1:10" x14ac:dyDescent="0.2">
      <c r="A175" s="560">
        <v>166</v>
      </c>
      <c r="B175" s="511" t="str">
        <f>_xlfn.XLOOKUP(A175,Códigos!$A$11:$A$415,Códigos!$B$11:$B$415,"Verificar",0)</f>
        <v>NOMBRE 271</v>
      </c>
      <c r="C175" s="727"/>
      <c r="D175" s="525">
        <f>SUMIF('CARTERA años anteriores'!$C$9:$C$234,A175,'CARTERA años anteriores'!$J$9:$J$234)</f>
        <v>0</v>
      </c>
      <c r="E175" s="525">
        <f>SUMIF('CARTERA años anteriores'!$C$9:$C$234,A175,'CARTERA años anteriores'!$L$9:$L$234)</f>
        <v>0</v>
      </c>
      <c r="F175" s="525">
        <f>SUMIF(FACTURACIÓN!$C$8:$C$1082,A175,FACTURACIÓN!$K$8:$K$1082)</f>
        <v>0</v>
      </c>
      <c r="G175" s="525">
        <f>SUMIF('INGRESOS A CAJA'!$C$10:$C$954,A175,'INGRESOS A CAJA'!$F$10:$F$954)</f>
        <v>0</v>
      </c>
      <c r="H175" s="525">
        <f>SUMIF('EGRESOS DE CAJA'!$C$10:$C$2251,A175,'EGRESOS DE CAJA'!$G$10:$G$2251)</f>
        <v>0</v>
      </c>
      <c r="I175" s="512">
        <f t="shared" si="4"/>
        <v>0</v>
      </c>
      <c r="J175" s="557"/>
    </row>
    <row r="176" spans="1:10" x14ac:dyDescent="0.2">
      <c r="A176" s="560">
        <v>167</v>
      </c>
      <c r="B176" s="511" t="str">
        <f>_xlfn.XLOOKUP(A176,Códigos!$A$11:$A$415,Códigos!$B$11:$B$415,"Verificar",0)</f>
        <v>NOMBRE 272</v>
      </c>
      <c r="C176" s="727"/>
      <c r="D176" s="525">
        <f>SUMIF('CARTERA años anteriores'!$C$9:$C$234,A176,'CARTERA años anteriores'!$J$9:$J$234)</f>
        <v>0</v>
      </c>
      <c r="E176" s="525">
        <f>SUMIF('CARTERA años anteriores'!$C$9:$C$234,A176,'CARTERA años anteriores'!$L$9:$L$234)</f>
        <v>0</v>
      </c>
      <c r="F176" s="525">
        <f>SUMIF(FACTURACIÓN!$C$8:$C$1082,A176,FACTURACIÓN!$K$8:$K$1082)</f>
        <v>0</v>
      </c>
      <c r="G176" s="525">
        <f>SUMIF('INGRESOS A CAJA'!$C$10:$C$954,A176,'INGRESOS A CAJA'!$F$10:$F$954)</f>
        <v>0</v>
      </c>
      <c r="H176" s="525">
        <f>SUMIF('EGRESOS DE CAJA'!$C$10:$C$2251,A176,'EGRESOS DE CAJA'!$G$10:$G$2251)</f>
        <v>0</v>
      </c>
      <c r="I176" s="512">
        <f t="shared" si="4"/>
        <v>0</v>
      </c>
      <c r="J176" s="557"/>
    </row>
    <row r="177" spans="1:10" x14ac:dyDescent="0.2">
      <c r="A177" s="560">
        <v>168</v>
      </c>
      <c r="B177" s="511" t="str">
        <f>_xlfn.XLOOKUP(A177,Códigos!$A$11:$A$415,Códigos!$B$11:$B$415,"Verificar",0)</f>
        <v>NOMBRE 273</v>
      </c>
      <c r="C177" s="727"/>
      <c r="D177" s="525">
        <f>SUMIF('CARTERA años anteriores'!$C$9:$C$234,A177,'CARTERA años anteriores'!$J$9:$J$234)</f>
        <v>0</v>
      </c>
      <c r="E177" s="525">
        <f>SUMIF('CARTERA años anteriores'!$C$9:$C$234,A177,'CARTERA años anteriores'!$L$9:$L$234)</f>
        <v>0</v>
      </c>
      <c r="F177" s="525">
        <f>SUMIF(FACTURACIÓN!$C$8:$C$1082,A177,FACTURACIÓN!$K$8:$K$1082)</f>
        <v>0</v>
      </c>
      <c r="G177" s="525">
        <f>SUMIF('INGRESOS A CAJA'!$C$10:$C$954,A177,'INGRESOS A CAJA'!$F$10:$F$954)</f>
        <v>0</v>
      </c>
      <c r="H177" s="525">
        <f>SUMIF('EGRESOS DE CAJA'!$C$10:$C$2251,A177,'EGRESOS DE CAJA'!$G$10:$G$2251)</f>
        <v>0</v>
      </c>
      <c r="I177" s="512">
        <f t="shared" si="4"/>
        <v>0</v>
      </c>
      <c r="J177" s="557"/>
    </row>
    <row r="178" spans="1:10" x14ac:dyDescent="0.2">
      <c r="A178" s="560">
        <v>169</v>
      </c>
      <c r="B178" s="511" t="str">
        <f>_xlfn.XLOOKUP(A178,Códigos!$A$11:$A$415,Códigos!$B$11:$B$415,"Verificar",0)</f>
        <v>NOMBRE 284</v>
      </c>
      <c r="C178" s="727"/>
      <c r="D178" s="525">
        <f>SUMIF('CARTERA años anteriores'!$C$9:$C$234,A178,'CARTERA años anteriores'!$J$9:$J$234)</f>
        <v>0</v>
      </c>
      <c r="E178" s="525">
        <f>SUMIF('CARTERA años anteriores'!$C$9:$C$234,A178,'CARTERA años anteriores'!$L$9:$L$234)</f>
        <v>0</v>
      </c>
      <c r="F178" s="525">
        <f>SUMIF(FACTURACIÓN!$C$8:$C$1082,A178,FACTURACIÓN!$K$8:$K$1082)</f>
        <v>0</v>
      </c>
      <c r="G178" s="525">
        <f>SUMIF('INGRESOS A CAJA'!$C$10:$C$954,A178,'INGRESOS A CAJA'!$F$10:$F$954)</f>
        <v>0</v>
      </c>
      <c r="H178" s="525">
        <f>SUMIF('EGRESOS DE CAJA'!$C$10:$C$2251,A178,'EGRESOS DE CAJA'!$G$10:$G$2251)</f>
        <v>0</v>
      </c>
      <c r="I178" s="512">
        <f t="shared" si="4"/>
        <v>0</v>
      </c>
      <c r="J178" s="557"/>
    </row>
    <row r="179" spans="1:10" x14ac:dyDescent="0.2">
      <c r="A179" s="560">
        <v>170</v>
      </c>
      <c r="B179" s="511" t="str">
        <f>_xlfn.XLOOKUP(A179,Códigos!$A$11:$A$415,Códigos!$B$11:$B$415,"Verificar",0)</f>
        <v>NOMBRE 234</v>
      </c>
      <c r="C179" s="727"/>
      <c r="D179" s="525">
        <f>SUMIF('CARTERA años anteriores'!$C$9:$C$234,A179,'CARTERA años anteriores'!$J$9:$J$234)</f>
        <v>0</v>
      </c>
      <c r="E179" s="525">
        <f>SUMIF('CARTERA años anteriores'!$C$9:$C$234,A179,'CARTERA años anteriores'!$L$9:$L$234)</f>
        <v>0</v>
      </c>
      <c r="F179" s="525">
        <f>SUMIF(FACTURACIÓN!$C$8:$C$1082,A179,FACTURACIÓN!$K$8:$K$1082)</f>
        <v>390000</v>
      </c>
      <c r="G179" s="525">
        <f>SUMIF('INGRESOS A CAJA'!$C$10:$C$954,A179,'INGRESOS A CAJA'!$F$10:$F$954)</f>
        <v>0</v>
      </c>
      <c r="H179" s="525">
        <f>SUMIF('EGRESOS DE CAJA'!$C$10:$C$2251,A179,'EGRESOS DE CAJA'!$G$10:$G$2251)</f>
        <v>0</v>
      </c>
      <c r="I179" s="512">
        <f t="shared" si="4"/>
        <v>0</v>
      </c>
      <c r="J179" s="557"/>
    </row>
    <row r="180" spans="1:10" x14ac:dyDescent="0.2">
      <c r="A180" s="560">
        <v>171</v>
      </c>
      <c r="B180" s="511" t="str">
        <f>_xlfn.XLOOKUP(A180,Códigos!$A$11:$A$415,Códigos!$B$11:$B$415,"Verificar",0)</f>
        <v>NOMBRE 290</v>
      </c>
      <c r="C180" s="727"/>
      <c r="D180" s="525">
        <f>SUMIF('CARTERA años anteriores'!$C$9:$C$234,A180,'CARTERA años anteriores'!$J$9:$J$234)</f>
        <v>0</v>
      </c>
      <c r="E180" s="525">
        <f>SUMIF('CARTERA años anteriores'!$C$9:$C$234,A180,'CARTERA años anteriores'!$L$9:$L$234)</f>
        <v>0</v>
      </c>
      <c r="F180" s="525">
        <f>SUMIF(FACTURACIÓN!$C$8:$C$1082,A180,FACTURACIÓN!$K$8:$K$1082)</f>
        <v>0</v>
      </c>
      <c r="G180" s="525">
        <f>SUMIF('INGRESOS A CAJA'!$C$10:$C$954,A180,'INGRESOS A CAJA'!$F$10:$F$954)</f>
        <v>0</v>
      </c>
      <c r="H180" s="525">
        <f>SUMIF('EGRESOS DE CAJA'!$C$10:$C$2251,A180,'EGRESOS DE CAJA'!$G$10:$G$2251)</f>
        <v>0</v>
      </c>
      <c r="I180" s="512">
        <f t="shared" si="4"/>
        <v>0</v>
      </c>
      <c r="J180" s="557"/>
    </row>
    <row r="181" spans="1:10" x14ac:dyDescent="0.2">
      <c r="A181" s="560">
        <v>172</v>
      </c>
      <c r="B181" s="511" t="str">
        <f>_xlfn.XLOOKUP(A181,Códigos!$A$11:$A$415,Códigos!$B$11:$B$415,"Verificar",0)</f>
        <v>NOMBRE 10</v>
      </c>
      <c r="C181" s="727"/>
      <c r="D181" s="525">
        <f>SUMIF('CARTERA años anteriores'!$C$9:$C$234,A181,'CARTERA años anteriores'!$J$9:$J$234)</f>
        <v>0</v>
      </c>
      <c r="E181" s="525">
        <f>SUMIF('CARTERA años anteriores'!$C$9:$C$234,A181,'CARTERA años anteriores'!$L$9:$L$234)</f>
        <v>0</v>
      </c>
      <c r="F181" s="525">
        <f>SUMIF(FACTURACIÓN!$C$8:$C$1082,A181,FACTURACIÓN!$K$8:$K$1082)</f>
        <v>0</v>
      </c>
      <c r="G181" s="525">
        <f>SUMIF('INGRESOS A CAJA'!$C$10:$C$954,A181,'INGRESOS A CAJA'!$F$10:$F$954)</f>
        <v>0</v>
      </c>
      <c r="H181" s="525">
        <f>SUMIF('EGRESOS DE CAJA'!$C$10:$C$2251,A181,'EGRESOS DE CAJA'!$G$10:$G$2251)</f>
        <v>0</v>
      </c>
      <c r="I181" s="512">
        <f t="shared" si="4"/>
        <v>0</v>
      </c>
      <c r="J181" s="557"/>
    </row>
    <row r="182" spans="1:10" x14ac:dyDescent="0.2">
      <c r="A182" s="560">
        <v>173</v>
      </c>
      <c r="B182" s="511" t="str">
        <f>_xlfn.XLOOKUP(A182,Códigos!$A$11:$A$415,Códigos!$B$11:$B$415,"Verificar",0)</f>
        <v>NOMBRE 294</v>
      </c>
      <c r="C182" s="727"/>
      <c r="D182" s="525">
        <f>SUMIF('CARTERA años anteriores'!$C$9:$C$234,A182,'CARTERA años anteriores'!$J$9:$J$234)</f>
        <v>0</v>
      </c>
      <c r="E182" s="525">
        <f>SUMIF('CARTERA años anteriores'!$C$9:$C$234,A182,'CARTERA años anteriores'!$L$9:$L$234)</f>
        <v>0</v>
      </c>
      <c r="F182" s="525">
        <f>SUMIF(FACTURACIÓN!$C$8:$C$1082,A182,FACTURACIÓN!$K$8:$K$1082)</f>
        <v>3930000</v>
      </c>
      <c r="G182" s="525">
        <f>SUMIF('INGRESOS A CAJA'!$C$10:$C$954,A182,'INGRESOS A CAJA'!$F$10:$F$954)</f>
        <v>0</v>
      </c>
      <c r="H182" s="525">
        <f>SUMIF('EGRESOS DE CAJA'!$C$10:$C$2251,A182,'EGRESOS DE CAJA'!$G$10:$G$2251)</f>
        <v>0</v>
      </c>
      <c r="I182" s="512">
        <f t="shared" si="4"/>
        <v>0</v>
      </c>
      <c r="J182" s="557"/>
    </row>
    <row r="183" spans="1:10" x14ac:dyDescent="0.2">
      <c r="A183" s="560">
        <v>174</v>
      </c>
      <c r="B183" s="511" t="str">
        <f>_xlfn.XLOOKUP(A183,Códigos!$A$11:$A$415,Códigos!$B$11:$B$415,"Verificar",0)</f>
        <v>NOMBRE 293</v>
      </c>
      <c r="C183" s="727"/>
      <c r="D183" s="525">
        <f>SUMIF('CARTERA años anteriores'!$C$9:$C$234,A183,'CARTERA años anteriores'!$J$9:$J$234)</f>
        <v>0</v>
      </c>
      <c r="E183" s="525">
        <f>SUMIF('CARTERA años anteriores'!$C$9:$C$234,A183,'CARTERA años anteriores'!$L$9:$L$234)</f>
        <v>0</v>
      </c>
      <c r="F183" s="525">
        <f>SUMIF(FACTURACIÓN!$C$8:$C$1082,A183,FACTURACIÓN!$K$8:$K$1082)</f>
        <v>0</v>
      </c>
      <c r="G183" s="525">
        <f>SUMIF('INGRESOS A CAJA'!$C$10:$C$954,A183,'INGRESOS A CAJA'!$F$10:$F$954)</f>
        <v>0</v>
      </c>
      <c r="H183" s="525">
        <f>SUMIF('EGRESOS DE CAJA'!$C$10:$C$2251,A183,'EGRESOS DE CAJA'!$G$10:$G$2251)</f>
        <v>0</v>
      </c>
      <c r="I183" s="512">
        <f t="shared" si="4"/>
        <v>0</v>
      </c>
      <c r="J183" s="557"/>
    </row>
    <row r="184" spans="1:10" x14ac:dyDescent="0.2">
      <c r="A184" s="560">
        <v>175</v>
      </c>
      <c r="B184" s="511" t="str">
        <f>_xlfn.XLOOKUP(A184,Códigos!$A$11:$A$415,Códigos!$B$11:$B$415,"Verificar",0)</f>
        <v>NOMBRE 299</v>
      </c>
      <c r="C184" s="727"/>
      <c r="D184" s="525">
        <f>SUMIF('CARTERA años anteriores'!$C$9:$C$234,A184,'CARTERA años anteriores'!$J$9:$J$234)</f>
        <v>0</v>
      </c>
      <c r="E184" s="525">
        <f>SUMIF('CARTERA años anteriores'!$C$9:$C$234,A184,'CARTERA años anteriores'!$L$9:$L$234)</f>
        <v>0</v>
      </c>
      <c r="F184" s="525">
        <f>SUMIF(FACTURACIÓN!$C$8:$C$1082,A184,FACTURACIÓN!$K$8:$K$1082)</f>
        <v>0</v>
      </c>
      <c r="G184" s="525">
        <f>SUMIF('INGRESOS A CAJA'!$C$10:$C$954,A184,'INGRESOS A CAJA'!$F$10:$F$954)</f>
        <v>0</v>
      </c>
      <c r="H184" s="525">
        <f>SUMIF('EGRESOS DE CAJA'!$C$10:$C$2251,A184,'EGRESOS DE CAJA'!$G$10:$G$2251)</f>
        <v>0</v>
      </c>
      <c r="I184" s="512">
        <f t="shared" si="4"/>
        <v>0</v>
      </c>
      <c r="J184" s="557"/>
    </row>
    <row r="185" spans="1:10" x14ac:dyDescent="0.2">
      <c r="A185" s="560">
        <v>176</v>
      </c>
      <c r="B185" s="511" t="str">
        <f>_xlfn.XLOOKUP(A185,Códigos!$A$11:$A$415,Códigos!$B$11:$B$415,"Verificar",0)</f>
        <v>NOMBRE 301</v>
      </c>
      <c r="C185" s="727"/>
      <c r="D185" s="525">
        <f>SUMIF('CARTERA años anteriores'!$C$9:$C$234,A185,'CARTERA años anteriores'!$J$9:$J$234)</f>
        <v>0</v>
      </c>
      <c r="E185" s="525">
        <f>SUMIF('CARTERA años anteriores'!$C$9:$C$234,A185,'CARTERA años anteriores'!$L$9:$L$234)</f>
        <v>0</v>
      </c>
      <c r="F185" s="525">
        <f>SUMIF(FACTURACIÓN!$C$8:$C$1082,A185,FACTURACIÓN!$K$8:$K$1082)</f>
        <v>0</v>
      </c>
      <c r="G185" s="525">
        <f>SUMIF('INGRESOS A CAJA'!$C$10:$C$954,A185,'INGRESOS A CAJA'!$F$10:$F$954)</f>
        <v>0</v>
      </c>
      <c r="H185" s="525">
        <f>SUMIF('EGRESOS DE CAJA'!$C$10:$C$2251,A185,'EGRESOS DE CAJA'!$G$10:$G$2251)</f>
        <v>0</v>
      </c>
      <c r="I185" s="512">
        <f t="shared" si="4"/>
        <v>0</v>
      </c>
      <c r="J185" s="557"/>
    </row>
    <row r="186" spans="1:10" x14ac:dyDescent="0.2">
      <c r="A186" s="560">
        <v>177</v>
      </c>
      <c r="B186" s="511" t="str">
        <f>_xlfn.XLOOKUP(A186,Códigos!$A$11:$A$415,Códigos!$B$11:$B$415,"Verificar",0)</f>
        <v>NOMBRE 302</v>
      </c>
      <c r="C186" s="727"/>
      <c r="D186" s="525">
        <f>SUMIF('CARTERA años anteriores'!$C$9:$C$234,A186,'CARTERA años anteriores'!$J$9:$J$234)</f>
        <v>0</v>
      </c>
      <c r="E186" s="525">
        <f>SUMIF('CARTERA años anteriores'!$C$9:$C$234,A186,'CARTERA años anteriores'!$L$9:$L$234)</f>
        <v>0</v>
      </c>
      <c r="F186" s="525">
        <f>SUMIF(FACTURACIÓN!$C$8:$C$1082,A186,FACTURACIÓN!$K$8:$K$1082)</f>
        <v>0</v>
      </c>
      <c r="G186" s="525">
        <f>SUMIF('INGRESOS A CAJA'!$C$10:$C$954,A186,'INGRESOS A CAJA'!$F$10:$F$954)</f>
        <v>0</v>
      </c>
      <c r="H186" s="525">
        <f>SUMIF('EGRESOS DE CAJA'!$C$10:$C$2251,A186,'EGRESOS DE CAJA'!$G$10:$G$2251)</f>
        <v>0</v>
      </c>
      <c r="I186" s="512">
        <f t="shared" si="4"/>
        <v>0</v>
      </c>
      <c r="J186" s="557"/>
    </row>
    <row r="187" spans="1:10" x14ac:dyDescent="0.2">
      <c r="A187" s="560">
        <v>178</v>
      </c>
      <c r="B187" s="511" t="str">
        <f>_xlfn.XLOOKUP(A187,Códigos!$A$11:$A$415,Códigos!$B$11:$B$415,"Verificar",0)</f>
        <v>NOMBRE 307</v>
      </c>
      <c r="C187" s="727"/>
      <c r="D187" s="525">
        <f>SUMIF('CARTERA años anteriores'!$C$9:$C$234,A187,'CARTERA años anteriores'!$J$9:$J$234)</f>
        <v>0</v>
      </c>
      <c r="E187" s="525">
        <f>SUMIF('CARTERA años anteriores'!$C$9:$C$234,A187,'CARTERA años anteriores'!$L$9:$L$234)</f>
        <v>0</v>
      </c>
      <c r="F187" s="525">
        <f>SUMIF(FACTURACIÓN!$C$8:$C$1082,A187,FACTURACIÓN!$K$8:$K$1082)</f>
        <v>0</v>
      </c>
      <c r="G187" s="525">
        <f>SUMIF('INGRESOS A CAJA'!$C$10:$C$954,A187,'INGRESOS A CAJA'!$F$10:$F$954)</f>
        <v>0</v>
      </c>
      <c r="H187" s="525">
        <f>SUMIF('EGRESOS DE CAJA'!$C$10:$C$2251,A187,'EGRESOS DE CAJA'!$G$10:$G$2251)</f>
        <v>0</v>
      </c>
      <c r="I187" s="512">
        <f t="shared" si="4"/>
        <v>0</v>
      </c>
      <c r="J187" s="557"/>
    </row>
    <row r="188" spans="1:10" x14ac:dyDescent="0.2">
      <c r="A188" s="560">
        <v>179</v>
      </c>
      <c r="B188" s="511" t="str">
        <f>_xlfn.XLOOKUP(A188,Códigos!$A$11:$A$415,Códigos!$B$11:$B$415,"Verificar",0)</f>
        <v>NOMBRE 13</v>
      </c>
      <c r="C188" s="727"/>
      <c r="D188" s="525">
        <f>SUMIF('CARTERA años anteriores'!$C$9:$C$234,A188,'CARTERA años anteriores'!$J$9:$J$234)</f>
        <v>0</v>
      </c>
      <c r="E188" s="525">
        <f>SUMIF('CARTERA años anteriores'!$C$9:$C$234,A188,'CARTERA años anteriores'!$L$9:$L$234)</f>
        <v>0</v>
      </c>
      <c r="F188" s="525">
        <f>SUMIF(FACTURACIÓN!$C$8:$C$1082,A188,FACTURACIÓN!$K$8:$K$1082)</f>
        <v>170000</v>
      </c>
      <c r="G188" s="525">
        <f>SUMIF('INGRESOS A CAJA'!$C$10:$C$954,A188,'INGRESOS A CAJA'!$F$10:$F$954)</f>
        <v>0</v>
      </c>
      <c r="H188" s="525">
        <f>SUMIF('EGRESOS DE CAJA'!$C$10:$C$2251,A188,'EGRESOS DE CAJA'!$G$10:$G$2251)</f>
        <v>0</v>
      </c>
      <c r="I188" s="512">
        <f t="shared" si="4"/>
        <v>0</v>
      </c>
      <c r="J188" s="557"/>
    </row>
    <row r="189" spans="1:10" x14ac:dyDescent="0.2">
      <c r="A189" s="560">
        <v>180</v>
      </c>
      <c r="B189" s="511" t="str">
        <f>_xlfn.XLOOKUP(A189,Códigos!$A$11:$A$415,Códigos!$B$11:$B$415,"Verificar",0)</f>
        <v>NOMBRE 314</v>
      </c>
      <c r="C189" s="727"/>
      <c r="D189" s="525">
        <f>SUMIF('CARTERA años anteriores'!$C$9:$C$234,A189,'CARTERA años anteriores'!$J$9:$J$234)</f>
        <v>0</v>
      </c>
      <c r="E189" s="525">
        <f>SUMIF('CARTERA años anteriores'!$C$9:$C$234,A189,'CARTERA años anteriores'!$L$9:$L$234)</f>
        <v>0</v>
      </c>
      <c r="F189" s="525">
        <f>SUMIF(FACTURACIÓN!$C$8:$C$1082,A189,FACTURACIÓN!$K$8:$K$1082)</f>
        <v>1480000</v>
      </c>
      <c r="G189" s="525">
        <f>SUMIF('INGRESOS A CAJA'!$C$10:$C$954,A189,'INGRESOS A CAJA'!$F$10:$F$954)</f>
        <v>0</v>
      </c>
      <c r="H189" s="525">
        <f>SUMIF('EGRESOS DE CAJA'!$C$10:$C$2251,A189,'EGRESOS DE CAJA'!$G$10:$G$2251)</f>
        <v>0</v>
      </c>
      <c r="I189" s="512">
        <f t="shared" si="4"/>
        <v>0</v>
      </c>
      <c r="J189" s="557"/>
    </row>
    <row r="190" spans="1:10" x14ac:dyDescent="0.2">
      <c r="A190" s="560">
        <v>181</v>
      </c>
      <c r="B190" s="511" t="str">
        <f>_xlfn.XLOOKUP(A190,Códigos!$A$11:$A$415,Códigos!$B$11:$B$415,"Verificar",0)</f>
        <v>NOMBRE 287</v>
      </c>
      <c r="C190" s="727"/>
      <c r="D190" s="525">
        <f>SUMIF('CARTERA años anteriores'!$C$9:$C$234,A190,'CARTERA años anteriores'!$J$9:$J$234)</f>
        <v>0</v>
      </c>
      <c r="E190" s="525">
        <f>SUMIF('CARTERA años anteriores'!$C$9:$C$234,A190,'CARTERA años anteriores'!$L$9:$L$234)</f>
        <v>0</v>
      </c>
      <c r="F190" s="525">
        <f>SUMIF(FACTURACIÓN!$C$8:$C$1082,A190,FACTURACIÓN!$K$8:$K$1082)</f>
        <v>0</v>
      </c>
      <c r="G190" s="525">
        <f>SUMIF('INGRESOS A CAJA'!$C$10:$C$954,A190,'INGRESOS A CAJA'!$F$10:$F$954)</f>
        <v>0</v>
      </c>
      <c r="H190" s="525">
        <f>SUMIF('EGRESOS DE CAJA'!$C$10:$C$2251,A190,'EGRESOS DE CAJA'!$G$10:$G$2251)</f>
        <v>0</v>
      </c>
      <c r="I190" s="512">
        <f t="shared" si="4"/>
        <v>0</v>
      </c>
      <c r="J190" s="557"/>
    </row>
    <row r="191" spans="1:10" x14ac:dyDescent="0.2">
      <c r="A191" s="560">
        <v>182</v>
      </c>
      <c r="B191" s="511" t="str">
        <f>_xlfn.XLOOKUP(A191,Códigos!$A$11:$A$415,Códigos!$B$11:$B$415,"Verificar",0)</f>
        <v>NOMBRE 317</v>
      </c>
      <c r="C191" s="727"/>
      <c r="D191" s="525">
        <f>SUMIF('CARTERA años anteriores'!$C$9:$C$234,A191,'CARTERA años anteriores'!$J$9:$J$234)</f>
        <v>1300000</v>
      </c>
      <c r="E191" s="525">
        <f>SUMIF('CARTERA años anteriores'!$C$9:$C$234,A191,'CARTERA años anteriores'!$L$9:$L$234)</f>
        <v>1300000</v>
      </c>
      <c r="F191" s="525">
        <f>SUMIF(FACTURACIÓN!$C$8:$C$1082,A191,FACTURACIÓN!$K$8:$K$1082)</f>
        <v>1370000</v>
      </c>
      <c r="G191" s="525">
        <f>SUMIF('INGRESOS A CAJA'!$C$10:$C$954,A191,'INGRESOS A CAJA'!$F$10:$F$954)</f>
        <v>1800000</v>
      </c>
      <c r="H191" s="525">
        <f>SUMIF('EGRESOS DE CAJA'!$C$10:$C$2251,A191,'EGRESOS DE CAJA'!$G$10:$G$2251)</f>
        <v>0</v>
      </c>
      <c r="I191" s="512">
        <f t="shared" si="4"/>
        <v>0</v>
      </c>
      <c r="J191" s="557"/>
    </row>
    <row r="192" spans="1:10" x14ac:dyDescent="0.2">
      <c r="A192" s="560">
        <v>183</v>
      </c>
      <c r="B192" s="511" t="str">
        <f>_xlfn.XLOOKUP(A192,Códigos!$A$11:$A$415,Códigos!$B$11:$B$415,"Verificar",0)</f>
        <v>NOMBRE 319</v>
      </c>
      <c r="C192" s="727"/>
      <c r="D192" s="525">
        <f>SUMIF('CARTERA años anteriores'!$C$9:$C$234,A192,'CARTERA años anteriores'!$J$9:$J$234)</f>
        <v>0</v>
      </c>
      <c r="E192" s="525">
        <f>SUMIF('CARTERA años anteriores'!$C$9:$C$234,A192,'CARTERA años anteriores'!$L$9:$L$234)</f>
        <v>0</v>
      </c>
      <c r="F192" s="525">
        <f>SUMIF(FACTURACIÓN!$C$8:$C$1082,A192,FACTURACIÓN!$K$8:$K$1082)</f>
        <v>230000</v>
      </c>
      <c r="G192" s="525">
        <f>SUMIF('INGRESOS A CAJA'!$C$10:$C$954,A192,'INGRESOS A CAJA'!$F$10:$F$954)</f>
        <v>0</v>
      </c>
      <c r="H192" s="525">
        <f>SUMIF('EGRESOS DE CAJA'!$C$10:$C$2251,A192,'EGRESOS DE CAJA'!$G$10:$G$2251)</f>
        <v>0</v>
      </c>
      <c r="I192" s="512">
        <f t="shared" si="4"/>
        <v>0</v>
      </c>
      <c r="J192" s="557"/>
    </row>
    <row r="193" spans="1:10" x14ac:dyDescent="0.2">
      <c r="A193" s="560">
        <v>184</v>
      </c>
      <c r="B193" s="511" t="str">
        <f>_xlfn.XLOOKUP(A193,Códigos!$A$11:$A$415,Códigos!$B$11:$B$415,"Verificar",0)</f>
        <v>NOMBRE 245</v>
      </c>
      <c r="C193" s="727"/>
      <c r="D193" s="525">
        <f>SUMIF('CARTERA años anteriores'!$C$9:$C$234,A193,'CARTERA años anteriores'!$J$9:$J$234)</f>
        <v>0</v>
      </c>
      <c r="E193" s="525">
        <f>SUMIF('CARTERA años anteriores'!$C$9:$C$234,A193,'CARTERA años anteriores'!$L$9:$L$234)</f>
        <v>0</v>
      </c>
      <c r="F193" s="525">
        <f>SUMIF(FACTURACIÓN!$C$8:$C$1082,A193,FACTURACIÓN!$K$8:$K$1082)</f>
        <v>0</v>
      </c>
      <c r="G193" s="525">
        <f>SUMIF('INGRESOS A CAJA'!$C$10:$C$954,A193,'INGRESOS A CAJA'!$F$10:$F$954)</f>
        <v>0</v>
      </c>
      <c r="H193" s="525">
        <f>SUMIF('EGRESOS DE CAJA'!$C$10:$C$2251,A193,'EGRESOS DE CAJA'!$G$10:$G$2251)</f>
        <v>0</v>
      </c>
      <c r="I193" s="512">
        <f t="shared" si="4"/>
        <v>0</v>
      </c>
      <c r="J193" s="557"/>
    </row>
    <row r="194" spans="1:10" x14ac:dyDescent="0.2">
      <c r="A194" s="560">
        <v>185</v>
      </c>
      <c r="B194" s="511" t="str">
        <f>_xlfn.XLOOKUP(A194,Códigos!$A$11:$A$415,Códigos!$B$11:$B$415,"Verificar",0)</f>
        <v>NOMBRE 323</v>
      </c>
      <c r="C194" s="727"/>
      <c r="D194" s="525">
        <f>SUMIF('CARTERA años anteriores'!$C$9:$C$234,A194,'CARTERA años anteriores'!$J$9:$J$234)</f>
        <v>3080000</v>
      </c>
      <c r="E194" s="525">
        <f>SUMIF('CARTERA años anteriores'!$C$9:$C$234,A194,'CARTERA años anteriores'!$L$9:$L$234)</f>
        <v>3080000</v>
      </c>
      <c r="F194" s="525">
        <f>SUMIF(FACTURACIÓN!$C$8:$C$1082,A194,FACTURACIÓN!$K$8:$K$1082)</f>
        <v>0</v>
      </c>
      <c r="G194" s="525">
        <f>SUMIF('INGRESOS A CAJA'!$C$10:$C$954,A194,'INGRESOS A CAJA'!$F$10:$F$954)</f>
        <v>0</v>
      </c>
      <c r="H194" s="525">
        <f>SUMIF('EGRESOS DE CAJA'!$C$10:$C$2251,A194,'EGRESOS DE CAJA'!$G$10:$G$2251)</f>
        <v>0</v>
      </c>
      <c r="I194" s="512">
        <f t="shared" si="4"/>
        <v>0</v>
      </c>
      <c r="J194" s="557"/>
    </row>
    <row r="195" spans="1:10" x14ac:dyDescent="0.2">
      <c r="A195" s="560">
        <v>186</v>
      </c>
      <c r="B195" s="511" t="str">
        <f>_xlfn.XLOOKUP(A195,Códigos!$A$11:$A$415,Códigos!$B$11:$B$415,"Verificar",0)</f>
        <v>NOMBRE 205</v>
      </c>
      <c r="C195" s="727"/>
      <c r="D195" s="525">
        <f>SUMIF('CARTERA años anteriores'!$C$9:$C$234,A195,'CARTERA años anteriores'!$J$9:$J$234)</f>
        <v>0</v>
      </c>
      <c r="E195" s="525">
        <f>SUMIF('CARTERA años anteriores'!$C$9:$C$234,A195,'CARTERA años anteriores'!$L$9:$L$234)</f>
        <v>0</v>
      </c>
      <c r="F195" s="525">
        <f>SUMIF(FACTURACIÓN!$C$8:$C$1082,A195,FACTURACIÓN!$K$8:$K$1082)</f>
        <v>160000</v>
      </c>
      <c r="G195" s="525">
        <f>SUMIF('INGRESOS A CAJA'!$C$10:$C$954,A195,'INGRESOS A CAJA'!$F$10:$F$954)</f>
        <v>0</v>
      </c>
      <c r="H195" s="525">
        <f>SUMIF('EGRESOS DE CAJA'!$C$10:$C$2251,A195,'EGRESOS DE CAJA'!$G$10:$G$2251)</f>
        <v>0</v>
      </c>
      <c r="I195" s="512">
        <f t="shared" si="4"/>
        <v>0</v>
      </c>
      <c r="J195" s="557"/>
    </row>
    <row r="196" spans="1:10" x14ac:dyDescent="0.2">
      <c r="A196" s="560">
        <v>187</v>
      </c>
      <c r="B196" s="511" t="str">
        <f>_xlfn.XLOOKUP(A196,Códigos!$A$11:$A$415,Códigos!$B$11:$B$415,"Verificar",0)</f>
        <v>NOMBRE 324</v>
      </c>
      <c r="C196" s="727"/>
      <c r="D196" s="525">
        <f>SUMIF('CARTERA años anteriores'!$C$9:$C$234,A196,'CARTERA años anteriores'!$J$9:$J$234)</f>
        <v>0</v>
      </c>
      <c r="E196" s="525">
        <f>SUMIF('CARTERA años anteriores'!$C$9:$C$234,A196,'CARTERA años anteriores'!$L$9:$L$234)</f>
        <v>0</v>
      </c>
      <c r="F196" s="525">
        <f>SUMIF(FACTURACIÓN!$C$8:$C$1082,A196,FACTURACIÓN!$K$8:$K$1082)</f>
        <v>0</v>
      </c>
      <c r="G196" s="525">
        <f>SUMIF('INGRESOS A CAJA'!$C$10:$C$954,A196,'INGRESOS A CAJA'!$F$10:$F$954)</f>
        <v>0</v>
      </c>
      <c r="H196" s="525">
        <f>SUMIF('EGRESOS DE CAJA'!$C$10:$C$2251,A196,'EGRESOS DE CAJA'!$G$10:$G$2251)</f>
        <v>0</v>
      </c>
      <c r="I196" s="512">
        <f t="shared" si="4"/>
        <v>0</v>
      </c>
      <c r="J196" s="557"/>
    </row>
    <row r="197" spans="1:10" x14ac:dyDescent="0.2">
      <c r="A197" s="560">
        <v>188</v>
      </c>
      <c r="B197" s="511" t="str">
        <f>_xlfn.XLOOKUP(A197,Códigos!$A$11:$A$415,Códigos!$B$11:$B$415,"Verificar",0)</f>
        <v>NOMBRE 327</v>
      </c>
      <c r="C197" s="727"/>
      <c r="D197" s="525">
        <f>SUMIF('CARTERA años anteriores'!$C$9:$C$234,A197,'CARTERA años anteriores'!$J$9:$J$234)</f>
        <v>0</v>
      </c>
      <c r="E197" s="525">
        <f>SUMIF('CARTERA años anteriores'!$C$9:$C$234,A197,'CARTERA años anteriores'!$L$9:$L$234)</f>
        <v>0</v>
      </c>
      <c r="F197" s="525">
        <f>SUMIF(FACTURACIÓN!$C$8:$C$1082,A197,FACTURACIÓN!$K$8:$K$1082)</f>
        <v>450000</v>
      </c>
      <c r="G197" s="525">
        <f>SUMIF('INGRESOS A CAJA'!$C$10:$C$954,A197,'INGRESOS A CAJA'!$F$10:$F$954)</f>
        <v>0</v>
      </c>
      <c r="H197" s="525">
        <f>SUMIF('EGRESOS DE CAJA'!$C$10:$C$2251,A197,'EGRESOS DE CAJA'!$G$10:$G$2251)</f>
        <v>0</v>
      </c>
      <c r="I197" s="512">
        <f t="shared" si="4"/>
        <v>0</v>
      </c>
      <c r="J197" s="557"/>
    </row>
    <row r="198" spans="1:10" x14ac:dyDescent="0.2">
      <c r="A198" s="560">
        <v>189</v>
      </c>
      <c r="B198" s="511" t="str">
        <f>_xlfn.XLOOKUP(A198,Códigos!$A$11:$A$415,Códigos!$B$11:$B$415,"Verificar",0)</f>
        <v>NOMBRE 328</v>
      </c>
      <c r="C198" s="727"/>
      <c r="D198" s="525">
        <f>SUMIF('CARTERA años anteriores'!$C$9:$C$234,A198,'CARTERA años anteriores'!$J$9:$J$234)</f>
        <v>0</v>
      </c>
      <c r="E198" s="525">
        <f>SUMIF('CARTERA años anteriores'!$C$9:$C$234,A198,'CARTERA años anteriores'!$L$9:$L$234)</f>
        <v>0</v>
      </c>
      <c r="F198" s="525">
        <f>SUMIF(FACTURACIÓN!$C$8:$C$1082,A198,FACTURACIÓN!$K$8:$K$1082)</f>
        <v>2050000</v>
      </c>
      <c r="G198" s="525">
        <f>SUMIF('INGRESOS A CAJA'!$C$10:$C$954,A198,'INGRESOS A CAJA'!$F$10:$F$954)</f>
        <v>0</v>
      </c>
      <c r="H198" s="525">
        <f>SUMIF('EGRESOS DE CAJA'!$C$10:$C$2251,A198,'EGRESOS DE CAJA'!$G$10:$G$2251)</f>
        <v>0</v>
      </c>
      <c r="I198" s="512">
        <f t="shared" si="4"/>
        <v>0</v>
      </c>
      <c r="J198" s="557"/>
    </row>
    <row r="199" spans="1:10" x14ac:dyDescent="0.2">
      <c r="A199" s="560">
        <v>190</v>
      </c>
      <c r="B199" s="511" t="str">
        <f>_xlfn.XLOOKUP(A199,Códigos!$A$11:$A$415,Códigos!$B$11:$B$415,"Verificar",0)</f>
        <v>NOMBRE 329</v>
      </c>
      <c r="C199" s="727"/>
      <c r="D199" s="525">
        <f>SUMIF('CARTERA años anteriores'!$C$9:$C$234,A199,'CARTERA años anteriores'!$J$9:$J$234)</f>
        <v>0</v>
      </c>
      <c r="E199" s="525">
        <f>SUMIF('CARTERA años anteriores'!$C$9:$C$234,A199,'CARTERA años anteriores'!$L$9:$L$234)</f>
        <v>0</v>
      </c>
      <c r="F199" s="525">
        <f>SUMIF(FACTURACIÓN!$C$8:$C$1082,A199,FACTURACIÓN!$K$8:$K$1082)</f>
        <v>0</v>
      </c>
      <c r="G199" s="525">
        <f>SUMIF('INGRESOS A CAJA'!$C$10:$C$954,A199,'INGRESOS A CAJA'!$F$10:$F$954)</f>
        <v>0</v>
      </c>
      <c r="H199" s="525">
        <f>SUMIF('EGRESOS DE CAJA'!$C$10:$C$2251,A199,'EGRESOS DE CAJA'!$G$10:$G$2251)</f>
        <v>0</v>
      </c>
      <c r="I199" s="512">
        <f t="shared" si="4"/>
        <v>0</v>
      </c>
      <c r="J199" s="557"/>
    </row>
    <row r="200" spans="1:10" x14ac:dyDescent="0.2">
      <c r="A200" s="560">
        <v>191</v>
      </c>
      <c r="B200" s="511" t="str">
        <f>_xlfn.XLOOKUP(A200,Códigos!$A$11:$A$415,Códigos!$B$11:$B$415,"Verificar",0)</f>
        <v>NOMBRE 330</v>
      </c>
      <c r="C200" s="727"/>
      <c r="D200" s="525">
        <f>SUMIF('CARTERA años anteriores'!$C$9:$C$234,A200,'CARTERA años anteriores'!$J$9:$J$234)</f>
        <v>0</v>
      </c>
      <c r="E200" s="525">
        <f>SUMIF('CARTERA años anteriores'!$C$9:$C$234,A200,'CARTERA años anteriores'!$L$9:$L$234)</f>
        <v>0</v>
      </c>
      <c r="F200" s="525">
        <f>SUMIF(FACTURACIÓN!$C$8:$C$1082,A200,FACTURACIÓN!$K$8:$K$1082)</f>
        <v>0</v>
      </c>
      <c r="G200" s="525">
        <f>SUMIF('INGRESOS A CAJA'!$C$10:$C$954,A200,'INGRESOS A CAJA'!$F$10:$F$954)</f>
        <v>0</v>
      </c>
      <c r="H200" s="525">
        <f>SUMIF('EGRESOS DE CAJA'!$C$10:$C$2251,A200,'EGRESOS DE CAJA'!$G$10:$G$2251)</f>
        <v>0</v>
      </c>
      <c r="I200" s="512">
        <f t="shared" si="4"/>
        <v>0</v>
      </c>
      <c r="J200" s="557"/>
    </row>
    <row r="201" spans="1:10" x14ac:dyDescent="0.2">
      <c r="A201" s="560">
        <v>192</v>
      </c>
      <c r="B201" s="511" t="str">
        <f>_xlfn.XLOOKUP(A201,Códigos!$A$11:$A$415,Códigos!$B$11:$B$415,"Verificar",0)</f>
        <v>NOMBRE 331</v>
      </c>
      <c r="C201" s="727"/>
      <c r="D201" s="525">
        <f>SUMIF('CARTERA años anteriores'!$C$9:$C$234,A201,'CARTERA años anteriores'!$J$9:$J$234)</f>
        <v>0</v>
      </c>
      <c r="E201" s="525">
        <f>SUMIF('CARTERA años anteriores'!$C$9:$C$234,A201,'CARTERA años anteriores'!$L$9:$L$234)</f>
        <v>0</v>
      </c>
      <c r="F201" s="525">
        <f>SUMIF(FACTURACIÓN!$C$8:$C$1082,A201,FACTURACIÓN!$K$8:$K$1082)</f>
        <v>730000</v>
      </c>
      <c r="G201" s="525">
        <f>SUMIF('INGRESOS A CAJA'!$C$10:$C$954,A201,'INGRESOS A CAJA'!$F$10:$F$954)</f>
        <v>0</v>
      </c>
      <c r="H201" s="525">
        <f>SUMIF('EGRESOS DE CAJA'!$C$10:$C$2251,A201,'EGRESOS DE CAJA'!$G$10:$G$2251)</f>
        <v>0</v>
      </c>
      <c r="I201" s="512">
        <f t="shared" si="4"/>
        <v>0</v>
      </c>
      <c r="J201" s="557"/>
    </row>
    <row r="202" spans="1:10" x14ac:dyDescent="0.2">
      <c r="A202" s="560">
        <v>193</v>
      </c>
      <c r="B202" s="511" t="str">
        <f>_xlfn.XLOOKUP(A202,Códigos!$A$11:$A$415,Códigos!$B$11:$B$415,"Verificar",0)</f>
        <v>NOMBRE 332</v>
      </c>
      <c r="C202" s="727"/>
      <c r="D202" s="525">
        <f>SUMIF('CARTERA años anteriores'!$C$9:$C$234,A202,'CARTERA años anteriores'!$J$9:$J$234)</f>
        <v>0</v>
      </c>
      <c r="E202" s="525">
        <f>SUMIF('CARTERA años anteriores'!$C$9:$C$234,A202,'CARTERA años anteriores'!$L$9:$L$234)</f>
        <v>0</v>
      </c>
      <c r="F202" s="525">
        <f>SUMIF(FACTURACIÓN!$C$8:$C$1082,A202,FACTURACIÓN!$K$8:$K$1082)</f>
        <v>470000</v>
      </c>
      <c r="G202" s="525">
        <f>SUMIF('INGRESOS A CAJA'!$C$10:$C$954,A202,'INGRESOS A CAJA'!$F$10:$F$954)</f>
        <v>0</v>
      </c>
      <c r="H202" s="525">
        <f>SUMIF('EGRESOS DE CAJA'!$C$10:$C$2251,A202,'EGRESOS DE CAJA'!$G$10:$G$2251)</f>
        <v>0</v>
      </c>
      <c r="I202" s="512">
        <f t="shared" si="4"/>
        <v>0</v>
      </c>
      <c r="J202" s="557"/>
    </row>
    <row r="203" spans="1:10" x14ac:dyDescent="0.2">
      <c r="A203" s="560">
        <v>194</v>
      </c>
      <c r="B203" s="511" t="str">
        <f>_xlfn.XLOOKUP(A203,Códigos!$A$11:$A$415,Códigos!$B$11:$B$415,"Verificar",0)</f>
        <v>NOMBRE 333</v>
      </c>
      <c r="C203" s="727"/>
      <c r="D203" s="525">
        <f>SUMIF('CARTERA años anteriores'!$C$9:$C$234,A203,'CARTERA años anteriores'!$J$9:$J$234)</f>
        <v>450000</v>
      </c>
      <c r="E203" s="525">
        <f>SUMIF('CARTERA años anteriores'!$C$9:$C$234,A203,'CARTERA años anteriores'!$L$9:$L$234)</f>
        <v>450000</v>
      </c>
      <c r="F203" s="525">
        <f>SUMIF(FACTURACIÓN!$C$8:$C$1082,A203,FACTURACIÓN!$K$8:$K$1082)</f>
        <v>470000</v>
      </c>
      <c r="G203" s="525">
        <f>SUMIF('INGRESOS A CAJA'!$C$10:$C$954,A203,'INGRESOS A CAJA'!$F$10:$F$954)</f>
        <v>450000</v>
      </c>
      <c r="H203" s="525">
        <f>SUMIF('EGRESOS DE CAJA'!$C$10:$C$2251,A203,'EGRESOS DE CAJA'!$G$10:$G$2251)</f>
        <v>0</v>
      </c>
      <c r="I203" s="512">
        <f t="shared" si="4"/>
        <v>0</v>
      </c>
      <c r="J203" s="557"/>
    </row>
    <row r="204" spans="1:10" x14ac:dyDescent="0.2">
      <c r="A204" s="560">
        <v>195</v>
      </c>
      <c r="B204" s="511" t="str">
        <f>_xlfn.XLOOKUP(A204,Códigos!$A$11:$A$415,Códigos!$B$11:$B$415,"Verificar",0)</f>
        <v>NOMBRE 233</v>
      </c>
      <c r="C204" s="727"/>
      <c r="D204" s="525">
        <f>SUMIF('CARTERA años anteriores'!$C$9:$C$234,A204,'CARTERA años anteriores'!$J$9:$J$234)</f>
        <v>0</v>
      </c>
      <c r="E204" s="525">
        <f>SUMIF('CARTERA años anteriores'!$C$9:$C$234,A204,'CARTERA años anteriores'!$L$9:$L$234)</f>
        <v>0</v>
      </c>
      <c r="F204" s="525">
        <f>SUMIF(FACTURACIÓN!$C$8:$C$1082,A204,FACTURACIÓN!$K$8:$K$1082)</f>
        <v>470000</v>
      </c>
      <c r="G204" s="525">
        <f>SUMIF('INGRESOS A CAJA'!$C$10:$C$954,A204,'INGRESOS A CAJA'!$F$10:$F$954)</f>
        <v>0</v>
      </c>
      <c r="H204" s="525">
        <f>SUMIF('EGRESOS DE CAJA'!$C$10:$C$2251,A204,'EGRESOS DE CAJA'!$G$10:$G$2251)</f>
        <v>0</v>
      </c>
      <c r="I204" s="512">
        <f t="shared" si="4"/>
        <v>0</v>
      </c>
      <c r="J204" s="557"/>
    </row>
    <row r="205" spans="1:10" x14ac:dyDescent="0.2">
      <c r="A205" s="560">
        <v>196</v>
      </c>
      <c r="B205" s="511" t="str">
        <f>_xlfn.XLOOKUP(A205,Códigos!$A$11:$A$415,Códigos!$B$11:$B$415,"Verificar",0)</f>
        <v>NOMBRE 165</v>
      </c>
      <c r="C205" s="727"/>
      <c r="D205" s="525">
        <f>SUMIF('CARTERA años anteriores'!$C$9:$C$234,A205,'CARTERA años anteriores'!$J$9:$J$234)</f>
        <v>7200</v>
      </c>
      <c r="E205" s="525">
        <f>SUMIF('CARTERA años anteriores'!$C$9:$C$234,A205,'CARTERA años anteriores'!$L$9:$L$234)</f>
        <v>0</v>
      </c>
      <c r="F205" s="525">
        <f>SUMIF(FACTURACIÓN!$C$8:$C$1082,A205,FACTURACIÓN!$K$8:$K$1082)</f>
        <v>0</v>
      </c>
      <c r="G205" s="525">
        <f>SUMIF('INGRESOS A CAJA'!$C$10:$C$954,A205,'INGRESOS A CAJA'!$F$10:$F$954)</f>
        <v>0</v>
      </c>
      <c r="H205" s="525">
        <f>SUMIF('EGRESOS DE CAJA'!$C$10:$C$2251,A205,'EGRESOS DE CAJA'!$G$10:$G$2251)</f>
        <v>0</v>
      </c>
      <c r="I205" s="512">
        <f t="shared" si="4"/>
        <v>0</v>
      </c>
      <c r="J205" s="557"/>
    </row>
    <row r="206" spans="1:10" x14ac:dyDescent="0.2">
      <c r="A206" s="560">
        <v>197</v>
      </c>
      <c r="B206" s="511" t="str">
        <f>_xlfn.XLOOKUP(A206,Códigos!$A$11:$A$415,Códigos!$B$11:$B$415,"Verificar",0)</f>
        <v>NOMBRE 334</v>
      </c>
      <c r="C206" s="727"/>
      <c r="D206" s="525">
        <f>SUMIF('CARTERA años anteriores'!$C$9:$C$234,A206,'CARTERA años anteriores'!$J$9:$J$234)</f>
        <v>0</v>
      </c>
      <c r="E206" s="525">
        <f>SUMIF('CARTERA años anteriores'!$C$9:$C$234,A206,'CARTERA años anteriores'!$L$9:$L$234)</f>
        <v>0</v>
      </c>
      <c r="F206" s="525">
        <f>SUMIF(FACTURACIÓN!$C$8:$C$1082,A206,FACTURACIÓN!$K$8:$K$1082)</f>
        <v>0</v>
      </c>
      <c r="G206" s="525">
        <f>SUMIF('INGRESOS A CAJA'!$C$10:$C$954,A206,'INGRESOS A CAJA'!$F$10:$F$954)</f>
        <v>0</v>
      </c>
      <c r="H206" s="525">
        <f>SUMIF('EGRESOS DE CAJA'!$C$10:$C$2251,A206,'EGRESOS DE CAJA'!$G$10:$G$2251)</f>
        <v>0</v>
      </c>
      <c r="I206" s="512">
        <f t="shared" si="4"/>
        <v>0</v>
      </c>
      <c r="J206" s="557"/>
    </row>
    <row r="207" spans="1:10" x14ac:dyDescent="0.2">
      <c r="A207" s="560">
        <v>198</v>
      </c>
      <c r="B207" s="511" t="str">
        <f>_xlfn.XLOOKUP(A207,Códigos!$A$11:$A$415,Códigos!$B$11:$B$415,"Verificar",0)</f>
        <v>NOMBRE 336</v>
      </c>
      <c r="C207" s="727"/>
      <c r="D207" s="525">
        <f>SUMIF('CARTERA años anteriores'!$C$9:$C$234,A207,'CARTERA años anteriores'!$J$9:$J$234)</f>
        <v>430000</v>
      </c>
      <c r="E207" s="525">
        <f>SUMIF('CARTERA años anteriores'!$C$9:$C$234,A207,'CARTERA años anteriores'!$L$9:$L$234)</f>
        <v>385000</v>
      </c>
      <c r="F207" s="525">
        <f>SUMIF(FACTURACIÓN!$C$8:$C$1082,A207,FACTURACIÓN!$K$8:$K$1082)</f>
        <v>450000</v>
      </c>
      <c r="G207" s="525">
        <f>SUMIF('INGRESOS A CAJA'!$C$10:$C$954,A207,'INGRESOS A CAJA'!$F$10:$F$954)</f>
        <v>385000</v>
      </c>
      <c r="H207" s="525">
        <f>SUMIF('EGRESOS DE CAJA'!$C$10:$C$2251,A207,'EGRESOS DE CAJA'!$G$10:$G$2251)</f>
        <v>0</v>
      </c>
      <c r="I207" s="512">
        <f t="shared" si="4"/>
        <v>0</v>
      </c>
      <c r="J207" s="557"/>
    </row>
    <row r="208" spans="1:10" x14ac:dyDescent="0.2">
      <c r="A208" s="560">
        <v>199</v>
      </c>
      <c r="B208" s="511" t="str">
        <f>_xlfn.XLOOKUP(A208,Códigos!$A$11:$A$415,Códigos!$B$11:$B$415,"Verificar",0)</f>
        <v>NOMBRE 337</v>
      </c>
      <c r="C208" s="727"/>
      <c r="D208" s="525">
        <f>SUMIF('CARTERA años anteriores'!$C$9:$C$234,A208,'CARTERA años anteriores'!$J$9:$J$234)</f>
        <v>0</v>
      </c>
      <c r="E208" s="525">
        <f>SUMIF('CARTERA años anteriores'!$C$9:$C$234,A208,'CARTERA años anteriores'!$L$9:$L$234)</f>
        <v>0</v>
      </c>
      <c r="F208" s="525">
        <f>SUMIF(FACTURACIÓN!$C$8:$C$1082,A208,FACTURACIÓN!$K$8:$K$1082)</f>
        <v>0</v>
      </c>
      <c r="G208" s="525">
        <f>SUMIF('INGRESOS A CAJA'!$C$10:$C$954,A208,'INGRESOS A CAJA'!$F$10:$F$954)</f>
        <v>0</v>
      </c>
      <c r="H208" s="525">
        <f>SUMIF('EGRESOS DE CAJA'!$C$10:$C$2251,A208,'EGRESOS DE CAJA'!$G$10:$G$2251)</f>
        <v>0</v>
      </c>
      <c r="I208" s="512">
        <f t="shared" si="4"/>
        <v>0</v>
      </c>
      <c r="J208" s="557"/>
    </row>
    <row r="209" spans="1:10" x14ac:dyDescent="0.2">
      <c r="A209" s="560">
        <v>200</v>
      </c>
      <c r="B209" s="511" t="str">
        <f>_xlfn.XLOOKUP(A209,Códigos!$A$11:$A$415,Códigos!$B$11:$B$415,"Verificar",0)</f>
        <v>NOMBRE 339</v>
      </c>
      <c r="C209" s="727"/>
      <c r="D209" s="525">
        <f>SUMIF('CARTERA años anteriores'!$C$9:$C$234,A209,'CARTERA años anteriores'!$J$9:$J$234)</f>
        <v>0</v>
      </c>
      <c r="E209" s="525">
        <f>SUMIF('CARTERA años anteriores'!$C$9:$C$234,A209,'CARTERA años anteriores'!$L$9:$L$234)</f>
        <v>0</v>
      </c>
      <c r="F209" s="525">
        <f>SUMIF(FACTURACIÓN!$C$8:$C$1082,A209,FACTURACIÓN!$K$8:$K$1082)</f>
        <v>470000</v>
      </c>
      <c r="G209" s="525">
        <f>SUMIF('INGRESOS A CAJA'!$C$10:$C$954,A209,'INGRESOS A CAJA'!$F$10:$F$954)</f>
        <v>0</v>
      </c>
      <c r="H209" s="525">
        <f>SUMIF('EGRESOS DE CAJA'!$C$10:$C$2251,A209,'EGRESOS DE CAJA'!$G$10:$G$2251)</f>
        <v>0</v>
      </c>
      <c r="I209" s="512">
        <f t="shared" si="4"/>
        <v>0</v>
      </c>
      <c r="J209" s="557"/>
    </row>
    <row r="210" spans="1:10" x14ac:dyDescent="0.2">
      <c r="A210" s="560">
        <v>201</v>
      </c>
      <c r="B210" s="511" t="str">
        <f>_xlfn.XLOOKUP(A210,Códigos!$A$11:$A$415,Códigos!$B$11:$B$415,"Verificar",0)</f>
        <v>NOMBRE 321</v>
      </c>
      <c r="C210" s="727"/>
      <c r="D210" s="525">
        <f>SUMIF('CARTERA años anteriores'!$C$9:$C$234,A210,'CARTERA años anteriores'!$J$9:$J$234)</f>
        <v>0</v>
      </c>
      <c r="E210" s="525">
        <f>SUMIF('CARTERA años anteriores'!$C$9:$C$234,A210,'CARTERA años anteriores'!$L$9:$L$234)</f>
        <v>0</v>
      </c>
      <c r="F210" s="525">
        <f>SUMIF(FACTURACIÓN!$C$8:$C$1082,A210,FACTURACIÓN!$K$8:$K$1082)</f>
        <v>120000</v>
      </c>
      <c r="G210" s="525">
        <f>SUMIF('INGRESOS A CAJA'!$C$10:$C$954,A210,'INGRESOS A CAJA'!$F$10:$F$954)</f>
        <v>0</v>
      </c>
      <c r="H210" s="525">
        <f>SUMIF('EGRESOS DE CAJA'!$C$10:$C$2251,A210,'EGRESOS DE CAJA'!$G$10:$G$2251)</f>
        <v>0</v>
      </c>
      <c r="I210" s="512">
        <f t="shared" si="4"/>
        <v>0</v>
      </c>
      <c r="J210" s="557"/>
    </row>
    <row r="211" spans="1:10" x14ac:dyDescent="0.2">
      <c r="A211" s="560">
        <v>202</v>
      </c>
      <c r="B211" s="511" t="str">
        <f>_xlfn.XLOOKUP(A211,Códigos!$A$11:$A$415,Códigos!$B$11:$B$415,"Verificar",0)</f>
        <v>NOMBRE 342</v>
      </c>
      <c r="C211" s="727"/>
      <c r="D211" s="525">
        <f>SUMIF('CARTERA años anteriores'!$C$9:$C$234,A211,'CARTERA años anteriores'!$J$9:$J$234)</f>
        <v>0</v>
      </c>
      <c r="E211" s="525">
        <f>SUMIF('CARTERA años anteriores'!$C$9:$C$234,A211,'CARTERA años anteriores'!$L$9:$L$234)</f>
        <v>0</v>
      </c>
      <c r="F211" s="525">
        <f>SUMIF(FACTURACIÓN!$C$8:$C$1082,A211,FACTURACIÓN!$K$8:$K$1082)</f>
        <v>350000</v>
      </c>
      <c r="G211" s="525">
        <f>SUMIF('INGRESOS A CAJA'!$C$10:$C$954,A211,'INGRESOS A CAJA'!$F$10:$F$954)</f>
        <v>0</v>
      </c>
      <c r="H211" s="525">
        <f>SUMIF('EGRESOS DE CAJA'!$C$10:$C$2251,A211,'EGRESOS DE CAJA'!$G$10:$G$2251)</f>
        <v>0</v>
      </c>
      <c r="I211" s="512">
        <f t="shared" si="4"/>
        <v>0</v>
      </c>
      <c r="J211" s="557"/>
    </row>
    <row r="212" spans="1:10" x14ac:dyDescent="0.2">
      <c r="A212" s="560">
        <v>203</v>
      </c>
      <c r="B212" s="511" t="str">
        <f>_xlfn.XLOOKUP(A212,Códigos!$A$11:$A$415,Códigos!$B$11:$B$415,"Verificar",0)</f>
        <v>NOMBRE 344</v>
      </c>
      <c r="C212" s="727"/>
      <c r="D212" s="525">
        <f>SUMIF('CARTERA años anteriores'!$C$9:$C$234,A212,'CARTERA años anteriores'!$J$9:$J$234)</f>
        <v>0</v>
      </c>
      <c r="E212" s="525">
        <f>SUMIF('CARTERA años anteriores'!$C$9:$C$234,A212,'CARTERA años anteriores'!$L$9:$L$234)</f>
        <v>0</v>
      </c>
      <c r="F212" s="525">
        <f>SUMIF(FACTURACIÓN!$C$8:$C$1082,A212,FACTURACIÓN!$K$8:$K$1082)</f>
        <v>1840000</v>
      </c>
      <c r="G212" s="525">
        <f>SUMIF('INGRESOS A CAJA'!$C$10:$C$954,A212,'INGRESOS A CAJA'!$F$10:$F$954)</f>
        <v>0</v>
      </c>
      <c r="H212" s="525">
        <f>SUMIF('EGRESOS DE CAJA'!$C$10:$C$2251,A212,'EGRESOS DE CAJA'!$G$10:$G$2251)</f>
        <v>0</v>
      </c>
      <c r="I212" s="512">
        <f t="shared" si="4"/>
        <v>0</v>
      </c>
      <c r="J212" s="557"/>
    </row>
    <row r="213" spans="1:10" x14ac:dyDescent="0.2">
      <c r="A213" s="560">
        <v>204</v>
      </c>
      <c r="B213" s="511" t="str">
        <f>_xlfn.XLOOKUP(A213,Códigos!$A$11:$A$415,Códigos!$B$11:$B$415,"Verificar",0)</f>
        <v>NOMBRE 346</v>
      </c>
      <c r="C213" s="727"/>
      <c r="D213" s="525">
        <f>SUMIF('CARTERA años anteriores'!$C$9:$C$234,A213,'CARTERA años anteriores'!$J$9:$J$234)</f>
        <v>0</v>
      </c>
      <c r="E213" s="525">
        <f>SUMIF('CARTERA años anteriores'!$C$9:$C$234,A213,'CARTERA años anteriores'!$L$9:$L$234)</f>
        <v>0</v>
      </c>
      <c r="F213" s="525">
        <f>SUMIF(FACTURACIÓN!$C$8:$C$1082,A213,FACTURACIÓN!$K$8:$K$1082)</f>
        <v>0</v>
      </c>
      <c r="G213" s="525">
        <f>SUMIF('INGRESOS A CAJA'!$C$10:$C$954,A213,'INGRESOS A CAJA'!$F$10:$F$954)</f>
        <v>0</v>
      </c>
      <c r="H213" s="525">
        <f>SUMIF('EGRESOS DE CAJA'!$C$10:$C$2251,A213,'EGRESOS DE CAJA'!$G$10:$G$2251)</f>
        <v>0</v>
      </c>
      <c r="I213" s="512">
        <f t="shared" si="4"/>
        <v>0</v>
      </c>
      <c r="J213" s="557"/>
    </row>
    <row r="214" spans="1:10" x14ac:dyDescent="0.2">
      <c r="A214" s="560">
        <v>205</v>
      </c>
      <c r="B214" s="511" t="str">
        <f>_xlfn.XLOOKUP(A214,Códigos!$A$11:$A$415,Códigos!$B$11:$B$415,"Verificar",0)</f>
        <v>NOMBRE 322</v>
      </c>
      <c r="C214" s="727"/>
      <c r="D214" s="525">
        <f>SUMIF('CARTERA años anteriores'!$C$9:$C$234,A214,'CARTERA años anteriores'!$J$9:$J$234)</f>
        <v>0</v>
      </c>
      <c r="E214" s="525">
        <f>SUMIF('CARTERA años anteriores'!$C$9:$C$234,A214,'CARTERA años anteriores'!$L$9:$L$234)</f>
        <v>0</v>
      </c>
      <c r="F214" s="525">
        <f>SUMIF(FACTURACIÓN!$C$8:$C$1082,A214,FACTURACIÓN!$K$8:$K$1082)</f>
        <v>120000</v>
      </c>
      <c r="G214" s="525">
        <f>SUMIF('INGRESOS A CAJA'!$C$10:$C$954,A214,'INGRESOS A CAJA'!$F$10:$F$954)</f>
        <v>0</v>
      </c>
      <c r="H214" s="525">
        <f>SUMIF('EGRESOS DE CAJA'!$C$10:$C$2251,A214,'EGRESOS DE CAJA'!$G$10:$G$2251)</f>
        <v>0</v>
      </c>
      <c r="I214" s="512">
        <f t="shared" si="4"/>
        <v>0</v>
      </c>
      <c r="J214" s="557"/>
    </row>
    <row r="215" spans="1:10" x14ac:dyDescent="0.2">
      <c r="A215" s="560">
        <v>206</v>
      </c>
      <c r="B215" s="511" t="str">
        <f>_xlfn.XLOOKUP(A215,Códigos!$A$11:$A$415,Códigos!$B$11:$B$415,"Verificar",0)</f>
        <v>NOMBRE 349</v>
      </c>
      <c r="C215" s="727"/>
      <c r="D215" s="525">
        <f>SUMIF('CARTERA años anteriores'!$C$9:$C$234,A215,'CARTERA años anteriores'!$J$9:$J$234)</f>
        <v>1750000</v>
      </c>
      <c r="E215" s="525">
        <f>SUMIF('CARTERA años anteriores'!$C$9:$C$234,A215,'CARTERA años anteriores'!$L$9:$L$234)</f>
        <v>0</v>
      </c>
      <c r="F215" s="525">
        <f>SUMIF(FACTURACIÓN!$C$8:$C$1082,A215,FACTURACIÓN!$K$8:$K$1082)</f>
        <v>0</v>
      </c>
      <c r="G215" s="525">
        <f>SUMIF('INGRESOS A CAJA'!$C$10:$C$954,A215,'INGRESOS A CAJA'!$F$10:$F$954)</f>
        <v>0</v>
      </c>
      <c r="H215" s="525">
        <f>SUMIF('EGRESOS DE CAJA'!$C$10:$C$2251,A215,'EGRESOS DE CAJA'!$G$10:$G$2251)</f>
        <v>0</v>
      </c>
      <c r="I215" s="512">
        <f t="shared" si="4"/>
        <v>0</v>
      </c>
      <c r="J215" s="557"/>
    </row>
    <row r="216" spans="1:10" x14ac:dyDescent="0.2">
      <c r="A216" s="560">
        <v>207</v>
      </c>
      <c r="B216" s="511" t="str">
        <f>_xlfn.XLOOKUP(A216,Códigos!$A$11:$A$415,Códigos!$B$11:$B$415,"Verificar",0)</f>
        <v>NOMBRE 350</v>
      </c>
      <c r="C216" s="727"/>
      <c r="D216" s="525">
        <f>SUMIF('CARTERA años anteriores'!$C$9:$C$234,A216,'CARTERA años anteriores'!$J$9:$J$234)</f>
        <v>0</v>
      </c>
      <c r="E216" s="525">
        <f>SUMIF('CARTERA años anteriores'!$C$9:$C$234,A216,'CARTERA años anteriores'!$L$9:$L$234)</f>
        <v>0</v>
      </c>
      <c r="F216" s="525">
        <f>SUMIF(FACTURACIÓN!$C$8:$C$1082,A216,FACTURACIÓN!$K$8:$K$1082)</f>
        <v>0</v>
      </c>
      <c r="G216" s="525">
        <f>SUMIF('INGRESOS A CAJA'!$C$10:$C$954,A216,'INGRESOS A CAJA'!$F$10:$F$954)</f>
        <v>0</v>
      </c>
      <c r="H216" s="525">
        <f>SUMIF('EGRESOS DE CAJA'!$C$10:$C$2251,A216,'EGRESOS DE CAJA'!$G$10:$G$2251)</f>
        <v>0</v>
      </c>
      <c r="I216" s="512">
        <f t="shared" si="4"/>
        <v>0</v>
      </c>
      <c r="J216" s="557"/>
    </row>
    <row r="217" spans="1:10" x14ac:dyDescent="0.2">
      <c r="A217" s="560">
        <v>208</v>
      </c>
      <c r="B217" s="511" t="str">
        <f>_xlfn.XLOOKUP(A217,Códigos!$A$11:$A$415,Códigos!$B$11:$B$415,"Verificar",0)</f>
        <v>NOMBRE 351</v>
      </c>
      <c r="C217" s="727"/>
      <c r="D217" s="525">
        <f>SUMIF('CARTERA años anteriores'!$C$9:$C$234,A217,'CARTERA años anteriores'!$J$9:$J$234)</f>
        <v>0</v>
      </c>
      <c r="E217" s="525">
        <f>SUMIF('CARTERA años anteriores'!$C$9:$C$234,A217,'CARTERA años anteriores'!$L$9:$L$234)</f>
        <v>0</v>
      </c>
      <c r="F217" s="525">
        <f>SUMIF(FACTURACIÓN!$C$8:$C$1082,A217,FACTURACIÓN!$K$8:$K$1082)</f>
        <v>0</v>
      </c>
      <c r="G217" s="525">
        <f>SUMIF('INGRESOS A CAJA'!$C$10:$C$954,A217,'INGRESOS A CAJA'!$F$10:$F$954)</f>
        <v>0</v>
      </c>
      <c r="H217" s="525">
        <f>SUMIF('EGRESOS DE CAJA'!$C$10:$C$2251,A217,'EGRESOS DE CAJA'!$G$10:$G$2251)</f>
        <v>0</v>
      </c>
      <c r="I217" s="512">
        <f t="shared" si="4"/>
        <v>0</v>
      </c>
      <c r="J217" s="557"/>
    </row>
    <row r="218" spans="1:10" x14ac:dyDescent="0.2">
      <c r="A218" s="560">
        <v>209</v>
      </c>
      <c r="B218" s="511" t="str">
        <f>_xlfn.XLOOKUP(A218,Códigos!$A$11:$A$415,Códigos!$B$11:$B$415,"Verificar",0)</f>
        <v>NOMBRE 352</v>
      </c>
      <c r="C218" s="727"/>
      <c r="D218" s="525">
        <f>SUMIF('CARTERA años anteriores'!$C$9:$C$234,A218,'CARTERA años anteriores'!$J$9:$J$234)</f>
        <v>0</v>
      </c>
      <c r="E218" s="525">
        <f>SUMIF('CARTERA años anteriores'!$C$9:$C$234,A218,'CARTERA años anteriores'!$L$9:$L$234)</f>
        <v>0</v>
      </c>
      <c r="F218" s="525">
        <f>SUMIF(FACTURACIÓN!$C$8:$C$1082,A218,FACTURACIÓN!$K$8:$K$1082)</f>
        <v>0</v>
      </c>
      <c r="G218" s="525">
        <f>SUMIF('INGRESOS A CAJA'!$C$10:$C$954,A218,'INGRESOS A CAJA'!$F$10:$F$954)</f>
        <v>0</v>
      </c>
      <c r="H218" s="525">
        <f>SUMIF('EGRESOS DE CAJA'!$C$10:$C$2251,A218,'EGRESOS DE CAJA'!$G$10:$G$2251)</f>
        <v>0</v>
      </c>
      <c r="I218" s="512">
        <f t="shared" si="4"/>
        <v>0</v>
      </c>
      <c r="J218" s="557"/>
    </row>
    <row r="219" spans="1:10" x14ac:dyDescent="0.2">
      <c r="A219" s="560">
        <v>210</v>
      </c>
      <c r="B219" s="511" t="str">
        <f>_xlfn.XLOOKUP(A219,Códigos!$A$11:$A$415,Códigos!$B$11:$B$415,"Verificar",0)</f>
        <v>NOMBRE 353</v>
      </c>
      <c r="C219" s="727"/>
      <c r="D219" s="525">
        <f>SUMIF('CARTERA años anteriores'!$C$9:$C$234,A219,'CARTERA años anteriores'!$J$9:$J$234)</f>
        <v>0</v>
      </c>
      <c r="E219" s="525">
        <f>SUMIF('CARTERA años anteriores'!$C$9:$C$234,A219,'CARTERA años anteriores'!$L$9:$L$234)</f>
        <v>0</v>
      </c>
      <c r="F219" s="525">
        <f>SUMIF(FACTURACIÓN!$C$8:$C$1082,A219,FACTURACIÓN!$K$8:$K$1082)</f>
        <v>0</v>
      </c>
      <c r="G219" s="525">
        <f>SUMIF('INGRESOS A CAJA'!$C$10:$C$954,A219,'INGRESOS A CAJA'!$F$10:$F$954)</f>
        <v>0</v>
      </c>
      <c r="H219" s="525">
        <f>SUMIF('EGRESOS DE CAJA'!$C$10:$C$2251,A219,'EGRESOS DE CAJA'!$G$10:$G$2251)</f>
        <v>0</v>
      </c>
      <c r="I219" s="512">
        <f t="shared" si="4"/>
        <v>0</v>
      </c>
      <c r="J219" s="557"/>
    </row>
    <row r="220" spans="1:10" x14ac:dyDescent="0.2">
      <c r="A220" s="560">
        <v>211</v>
      </c>
      <c r="B220" s="511" t="str">
        <f>_xlfn.XLOOKUP(A220,Códigos!$A$11:$A$415,Códigos!$B$11:$B$415,"Verificar",0)</f>
        <v>NOMBRE 354</v>
      </c>
      <c r="C220" s="727"/>
      <c r="D220" s="525">
        <f>SUMIF('CARTERA años anteriores'!$C$9:$C$234,A220,'CARTERA años anteriores'!$J$9:$J$234)</f>
        <v>0</v>
      </c>
      <c r="E220" s="525">
        <f>SUMIF('CARTERA años anteriores'!$C$9:$C$234,A220,'CARTERA años anteriores'!$L$9:$L$234)</f>
        <v>0</v>
      </c>
      <c r="F220" s="525">
        <f>SUMIF(FACTURACIÓN!$C$8:$C$1082,A220,FACTURACIÓN!$K$8:$K$1082)</f>
        <v>0</v>
      </c>
      <c r="G220" s="525">
        <f>SUMIF('INGRESOS A CAJA'!$C$10:$C$954,A220,'INGRESOS A CAJA'!$F$10:$F$954)</f>
        <v>0</v>
      </c>
      <c r="H220" s="525">
        <f>SUMIF('EGRESOS DE CAJA'!$C$10:$C$2251,A220,'EGRESOS DE CAJA'!$G$10:$G$2251)</f>
        <v>0</v>
      </c>
      <c r="I220" s="512">
        <f t="shared" si="4"/>
        <v>0</v>
      </c>
      <c r="J220" s="557"/>
    </row>
    <row r="221" spans="1:10" x14ac:dyDescent="0.2">
      <c r="A221" s="560">
        <v>212</v>
      </c>
      <c r="B221" s="511" t="str">
        <f>_xlfn.XLOOKUP(A221,Códigos!$A$11:$A$415,Códigos!$B$11:$B$415,"Verificar",0)</f>
        <v>NOMBRE 360</v>
      </c>
      <c r="C221" s="727"/>
      <c r="D221" s="525">
        <f>SUMIF('CARTERA años anteriores'!$C$9:$C$234,A221,'CARTERA años anteriores'!$J$9:$J$234)</f>
        <v>0</v>
      </c>
      <c r="E221" s="525">
        <f>SUMIF('CARTERA años anteriores'!$C$9:$C$234,A221,'CARTERA años anteriores'!$L$9:$L$234)</f>
        <v>0</v>
      </c>
      <c r="F221" s="525">
        <f>SUMIF(FACTURACIÓN!$C$8:$C$1082,A221,FACTURACIÓN!$K$8:$K$1082)</f>
        <v>0</v>
      </c>
      <c r="G221" s="525">
        <f>SUMIF('INGRESOS A CAJA'!$C$10:$C$954,A221,'INGRESOS A CAJA'!$F$10:$F$954)</f>
        <v>0</v>
      </c>
      <c r="H221" s="525">
        <f>SUMIF('EGRESOS DE CAJA'!$C$10:$C$2251,A221,'EGRESOS DE CAJA'!$G$10:$G$2251)</f>
        <v>0</v>
      </c>
      <c r="I221" s="512">
        <f t="shared" si="4"/>
        <v>0</v>
      </c>
      <c r="J221" s="557"/>
    </row>
    <row r="222" spans="1:10" x14ac:dyDescent="0.2">
      <c r="A222" s="560">
        <v>213</v>
      </c>
      <c r="B222" s="511" t="str">
        <f>_xlfn.XLOOKUP(A222,Códigos!$A$11:$A$415,Códigos!$B$11:$B$415,"Verificar",0)</f>
        <v>NOMBRE 362</v>
      </c>
      <c r="C222" s="727"/>
      <c r="D222" s="525">
        <f>SUMIF('CARTERA años anteriores'!$C$9:$C$234,A222,'CARTERA años anteriores'!$J$9:$J$234)</f>
        <v>0</v>
      </c>
      <c r="E222" s="525">
        <f>SUMIF('CARTERA años anteriores'!$C$9:$C$234,A222,'CARTERA años anteriores'!$L$9:$L$234)</f>
        <v>0</v>
      </c>
      <c r="F222" s="525">
        <f>SUMIF(FACTURACIÓN!$C$8:$C$1082,A222,FACTURACIÓN!$K$8:$K$1082)</f>
        <v>0</v>
      </c>
      <c r="G222" s="525">
        <f>SUMIF('INGRESOS A CAJA'!$C$10:$C$954,A222,'INGRESOS A CAJA'!$F$10:$F$954)</f>
        <v>0</v>
      </c>
      <c r="H222" s="525">
        <f>SUMIF('EGRESOS DE CAJA'!$C$10:$C$2251,A222,'EGRESOS DE CAJA'!$G$10:$G$2251)</f>
        <v>0</v>
      </c>
      <c r="I222" s="512">
        <f t="shared" si="4"/>
        <v>0</v>
      </c>
      <c r="J222" s="557"/>
    </row>
    <row r="223" spans="1:10" x14ac:dyDescent="0.2">
      <c r="A223" s="560">
        <v>214</v>
      </c>
      <c r="B223" s="511" t="str">
        <f>_xlfn.XLOOKUP(A223,Códigos!$A$11:$A$415,Códigos!$B$11:$B$415,"Verificar",0)</f>
        <v>NOMBRE 363</v>
      </c>
      <c r="C223" s="727"/>
      <c r="D223" s="525">
        <f>SUMIF('CARTERA años anteriores'!$C$9:$C$234,A223,'CARTERA años anteriores'!$J$9:$J$234)</f>
        <v>0</v>
      </c>
      <c r="E223" s="525">
        <f>SUMIF('CARTERA años anteriores'!$C$9:$C$234,A223,'CARTERA años anteriores'!$L$9:$L$234)</f>
        <v>0</v>
      </c>
      <c r="F223" s="525">
        <f>SUMIF(FACTURACIÓN!$C$8:$C$1082,A223,FACTURACIÓN!$K$8:$K$1082)</f>
        <v>0</v>
      </c>
      <c r="G223" s="525">
        <f>SUMIF('INGRESOS A CAJA'!$C$10:$C$954,A223,'INGRESOS A CAJA'!$F$10:$F$954)</f>
        <v>0</v>
      </c>
      <c r="H223" s="525">
        <f>SUMIF('EGRESOS DE CAJA'!$C$10:$C$2251,A223,'EGRESOS DE CAJA'!$G$10:$G$2251)</f>
        <v>0</v>
      </c>
      <c r="I223" s="512">
        <f t="shared" si="4"/>
        <v>0</v>
      </c>
      <c r="J223" s="557"/>
    </row>
    <row r="224" spans="1:10" x14ac:dyDescent="0.2">
      <c r="A224" s="560">
        <v>215</v>
      </c>
      <c r="B224" s="511" t="str">
        <f>_xlfn.XLOOKUP(A224,Códigos!$A$11:$A$415,Códigos!$B$11:$B$415,"Verificar",0)</f>
        <v>NOMBRE 364</v>
      </c>
      <c r="C224" s="727"/>
      <c r="D224" s="525">
        <f>SUMIF('CARTERA años anteriores'!$C$9:$C$234,A224,'CARTERA años anteriores'!$J$9:$J$234)</f>
        <v>0</v>
      </c>
      <c r="E224" s="525">
        <f>SUMIF('CARTERA años anteriores'!$C$9:$C$234,A224,'CARTERA años anteriores'!$L$9:$L$234)</f>
        <v>0</v>
      </c>
      <c r="F224" s="525">
        <f>SUMIF(FACTURACIÓN!$C$8:$C$1082,A224,FACTURACIÓN!$K$8:$K$1082)</f>
        <v>0</v>
      </c>
      <c r="G224" s="525">
        <f>SUMIF('INGRESOS A CAJA'!$C$10:$C$954,A224,'INGRESOS A CAJA'!$F$10:$F$954)</f>
        <v>0</v>
      </c>
      <c r="H224" s="525">
        <f>SUMIF('EGRESOS DE CAJA'!$C$10:$C$2251,A224,'EGRESOS DE CAJA'!$G$10:$G$2251)</f>
        <v>0</v>
      </c>
      <c r="I224" s="512">
        <f t="shared" si="4"/>
        <v>0</v>
      </c>
      <c r="J224" s="557"/>
    </row>
    <row r="225" spans="1:10" x14ac:dyDescent="0.2">
      <c r="A225" s="560">
        <v>216</v>
      </c>
      <c r="B225" s="511" t="str">
        <f>_xlfn.XLOOKUP(A225,Códigos!$A$11:$A$415,Códigos!$B$11:$B$415,"Verificar",0)</f>
        <v>NOMBRE 213</v>
      </c>
      <c r="C225" s="727"/>
      <c r="D225" s="525">
        <f>SUMIF('CARTERA años anteriores'!$C$9:$C$234,A225,'CARTERA años anteriores'!$J$9:$J$234)</f>
        <v>0</v>
      </c>
      <c r="E225" s="525">
        <f>SUMIF('CARTERA años anteriores'!$C$9:$C$234,A225,'CARTERA años anteriores'!$L$9:$L$234)</f>
        <v>0</v>
      </c>
      <c r="F225" s="525">
        <f>SUMIF(FACTURACIÓN!$C$8:$C$1082,A225,FACTURACIÓN!$K$8:$K$1082)</f>
        <v>0</v>
      </c>
      <c r="G225" s="525">
        <f>SUMIF('INGRESOS A CAJA'!$C$10:$C$954,A225,'INGRESOS A CAJA'!$F$10:$F$954)</f>
        <v>0</v>
      </c>
      <c r="H225" s="525">
        <f>SUMIF('EGRESOS DE CAJA'!$C$10:$C$2251,A225,'EGRESOS DE CAJA'!$G$10:$G$2251)</f>
        <v>0</v>
      </c>
      <c r="I225" s="512">
        <f t="shared" si="4"/>
        <v>0</v>
      </c>
      <c r="J225" s="557"/>
    </row>
    <row r="226" spans="1:10" x14ac:dyDescent="0.2">
      <c r="A226" s="560">
        <v>217</v>
      </c>
      <c r="B226" s="511" t="str">
        <f>_xlfn.XLOOKUP(A226,Códigos!$A$11:$A$415,Códigos!$B$11:$B$415,"Verificar",0)</f>
        <v>NOMBRE 5</v>
      </c>
      <c r="C226" s="727"/>
      <c r="D226" s="525">
        <f>SUMIF('CARTERA años anteriores'!$C$9:$C$234,A226,'CARTERA años anteriores'!$J$9:$J$234)</f>
        <v>0</v>
      </c>
      <c r="E226" s="525">
        <f>SUMIF('CARTERA años anteriores'!$C$9:$C$234,A226,'CARTERA años anteriores'!$L$9:$L$234)</f>
        <v>0</v>
      </c>
      <c r="F226" s="525">
        <f>SUMIF(FACTURACIÓN!$C$8:$C$1082,A226,FACTURACIÓN!$K$8:$K$1082)</f>
        <v>330000</v>
      </c>
      <c r="G226" s="525">
        <f>SUMIF('INGRESOS A CAJA'!$C$10:$C$954,A226,'INGRESOS A CAJA'!$F$10:$F$954)</f>
        <v>330000</v>
      </c>
      <c r="H226" s="525">
        <f>SUMIF('EGRESOS DE CAJA'!$C$10:$C$2251,A226,'EGRESOS DE CAJA'!$G$10:$G$2251)</f>
        <v>0</v>
      </c>
      <c r="I226" s="512">
        <f t="shared" si="4"/>
        <v>0</v>
      </c>
      <c r="J226" s="557"/>
    </row>
    <row r="227" spans="1:10" x14ac:dyDescent="0.2">
      <c r="A227" s="560">
        <v>218</v>
      </c>
      <c r="B227" s="511" t="str">
        <f>_xlfn.XLOOKUP(A227,Códigos!$A$11:$A$415,Códigos!$B$11:$B$415,"Verificar",0)</f>
        <v>NOMBRE 32</v>
      </c>
      <c r="C227" s="727"/>
      <c r="D227" s="525">
        <f>SUMIF('CARTERA años anteriores'!$C$9:$C$234,A227,'CARTERA años anteriores'!$J$9:$J$234)</f>
        <v>0</v>
      </c>
      <c r="E227" s="525">
        <f>SUMIF('CARTERA años anteriores'!$C$9:$C$234,A227,'CARTERA años anteriores'!$L$9:$L$234)</f>
        <v>0</v>
      </c>
      <c r="F227" s="525">
        <f>SUMIF(FACTURACIÓN!$C$8:$C$1082,A227,FACTURACIÓN!$K$8:$K$1082)</f>
        <v>290000</v>
      </c>
      <c r="G227" s="525">
        <f>SUMIF('INGRESOS A CAJA'!$C$10:$C$954,A227,'INGRESOS A CAJA'!$F$10:$F$954)</f>
        <v>250000</v>
      </c>
      <c r="H227" s="525">
        <f>SUMIF('EGRESOS DE CAJA'!$C$10:$C$2251,A227,'EGRESOS DE CAJA'!$G$10:$G$2251)</f>
        <v>0</v>
      </c>
      <c r="I227" s="512">
        <f t="shared" ref="I227:I290" si="5">IF((+C227+D227-E227+F227+G227*0+H227)&lt;0,(+C227+D227-E227+F227+G227*0+H227),0)</f>
        <v>0</v>
      </c>
      <c r="J227" s="557"/>
    </row>
    <row r="228" spans="1:10" x14ac:dyDescent="0.2">
      <c r="A228" s="560">
        <v>219</v>
      </c>
      <c r="B228" s="511" t="str">
        <f>_xlfn.XLOOKUP(A228,Códigos!$A$11:$A$415,Códigos!$B$11:$B$415,"Verificar",0)</f>
        <v>NOMBRE 348</v>
      </c>
      <c r="C228" s="727"/>
      <c r="D228" s="525">
        <f>SUMIF('CARTERA años anteriores'!$C$9:$C$234,A228,'CARTERA años anteriores'!$J$9:$J$234)</f>
        <v>0</v>
      </c>
      <c r="E228" s="525">
        <f>SUMIF('CARTERA años anteriores'!$C$9:$C$234,A228,'CARTERA años anteriores'!$L$9:$L$234)</f>
        <v>0</v>
      </c>
      <c r="F228" s="525">
        <f>SUMIF(FACTURACIÓN!$C$8:$C$1082,A228,FACTURACIÓN!$K$8:$K$1082)</f>
        <v>0</v>
      </c>
      <c r="G228" s="525">
        <f>SUMIF('INGRESOS A CAJA'!$C$10:$C$954,A228,'INGRESOS A CAJA'!$F$10:$F$954)</f>
        <v>0</v>
      </c>
      <c r="H228" s="525">
        <f>SUMIF('EGRESOS DE CAJA'!$C$10:$C$2251,A228,'EGRESOS DE CAJA'!$G$10:$G$2251)</f>
        <v>0</v>
      </c>
      <c r="I228" s="512">
        <f t="shared" si="5"/>
        <v>0</v>
      </c>
      <c r="J228" s="557"/>
    </row>
    <row r="229" spans="1:10" x14ac:dyDescent="0.2">
      <c r="A229" s="560">
        <v>220</v>
      </c>
      <c r="B229" s="511" t="str">
        <f>_xlfn.XLOOKUP(A229,Códigos!$A$11:$A$415,Códigos!$B$11:$B$415,"Verificar",0)</f>
        <v>NOMBRE 347</v>
      </c>
      <c r="C229" s="727"/>
      <c r="D229" s="525">
        <f>SUMIF('CARTERA años anteriores'!$C$9:$C$234,A229,'CARTERA años anteriores'!$J$9:$J$234)</f>
        <v>0</v>
      </c>
      <c r="E229" s="525">
        <f>SUMIF('CARTERA años anteriores'!$C$9:$C$234,A229,'CARTERA años anteriores'!$L$9:$L$234)</f>
        <v>0</v>
      </c>
      <c r="F229" s="525">
        <f>SUMIF(FACTURACIÓN!$C$8:$C$1082,A229,FACTURACIÓN!$K$8:$K$1082)</f>
        <v>500000</v>
      </c>
      <c r="G229" s="525">
        <f>SUMIF('INGRESOS A CAJA'!$C$10:$C$954,A229,'INGRESOS A CAJA'!$F$10:$F$954)</f>
        <v>500000</v>
      </c>
      <c r="H229" s="525">
        <f>SUMIF('EGRESOS DE CAJA'!$C$10:$C$2251,A229,'EGRESOS DE CAJA'!$G$10:$G$2251)</f>
        <v>0</v>
      </c>
      <c r="I229" s="512">
        <f t="shared" si="5"/>
        <v>0</v>
      </c>
      <c r="J229" s="557"/>
    </row>
    <row r="230" spans="1:10" x14ac:dyDescent="0.2">
      <c r="A230" s="560">
        <v>221</v>
      </c>
      <c r="B230" s="511" t="str">
        <f>_xlfn.XLOOKUP(A230,Códigos!$A$11:$A$415,Códigos!$B$11:$B$415,"Verificar",0)</f>
        <v>NOMBRE 210</v>
      </c>
      <c r="C230" s="727"/>
      <c r="D230" s="525">
        <f>SUMIF('CARTERA años anteriores'!$C$9:$C$234,A230,'CARTERA años anteriores'!$J$9:$J$234)</f>
        <v>0</v>
      </c>
      <c r="E230" s="525">
        <f>SUMIF('CARTERA años anteriores'!$C$9:$C$234,A230,'CARTERA años anteriores'!$L$9:$L$234)</f>
        <v>0</v>
      </c>
      <c r="F230" s="525">
        <f>SUMIF(FACTURACIÓN!$C$8:$C$1082,A230,FACTURACIÓN!$K$8:$K$1082)</f>
        <v>950000</v>
      </c>
      <c r="G230" s="525">
        <f>SUMIF('INGRESOS A CAJA'!$C$10:$C$954,A230,'INGRESOS A CAJA'!$F$10:$F$954)</f>
        <v>0</v>
      </c>
      <c r="H230" s="525">
        <f>SUMIF('EGRESOS DE CAJA'!$C$10:$C$2251,A230,'EGRESOS DE CAJA'!$G$10:$G$2251)</f>
        <v>0</v>
      </c>
      <c r="I230" s="512">
        <f t="shared" si="5"/>
        <v>0</v>
      </c>
      <c r="J230" s="557"/>
    </row>
    <row r="231" spans="1:10" x14ac:dyDescent="0.2">
      <c r="A231" s="560">
        <v>222</v>
      </c>
      <c r="B231" s="511" t="str">
        <f>_xlfn.XLOOKUP(A231,Códigos!$A$11:$A$415,Códigos!$B$11:$B$415,"Verificar",0)</f>
        <v>NOMBRE 101</v>
      </c>
      <c r="C231" s="727"/>
      <c r="D231" s="525">
        <f>SUMIF('CARTERA años anteriores'!$C$9:$C$234,A231,'CARTERA años anteriores'!$J$9:$J$234)</f>
        <v>3280000</v>
      </c>
      <c r="E231" s="525">
        <f>SUMIF('CARTERA años anteriores'!$C$9:$C$234,A231,'CARTERA años anteriores'!$L$9:$L$234)</f>
        <v>0</v>
      </c>
      <c r="F231" s="525">
        <f>SUMIF(FACTURACIÓN!$C$8:$C$1082,A231,FACTURACIÓN!$K$8:$K$1082)</f>
        <v>4880000</v>
      </c>
      <c r="G231" s="525">
        <f>SUMIF('INGRESOS A CAJA'!$C$10:$C$954,A231,'INGRESOS A CAJA'!$F$10:$F$954)</f>
        <v>0</v>
      </c>
      <c r="H231" s="525">
        <f>SUMIF('EGRESOS DE CAJA'!$C$10:$C$2251,A231,'EGRESOS DE CAJA'!$G$10:$G$2251)</f>
        <v>2929800</v>
      </c>
      <c r="I231" s="985">
        <f t="shared" si="5"/>
        <v>0</v>
      </c>
      <c r="J231" s="557"/>
    </row>
    <row r="232" spans="1:10" x14ac:dyDescent="0.2">
      <c r="A232" s="560">
        <v>223</v>
      </c>
      <c r="B232" s="511" t="str">
        <f>_xlfn.XLOOKUP(A232,Códigos!$A$11:$A$415,Códigos!$B$11:$B$415,"Verificar",0)</f>
        <v>NOMBRE 125</v>
      </c>
      <c r="C232" s="727"/>
      <c r="D232" s="525">
        <f>SUMIF('CARTERA años anteriores'!$C$9:$C$234,A232,'CARTERA años anteriores'!$J$9:$J$234)</f>
        <v>0</v>
      </c>
      <c r="E232" s="525">
        <f>SUMIF('CARTERA años anteriores'!$C$9:$C$234,A232,'CARTERA años anteriores'!$L$9:$L$234)</f>
        <v>0</v>
      </c>
      <c r="F232" s="525">
        <f>SUMIF(FACTURACIÓN!$C$8:$C$1082,A232,FACTURACIÓN!$K$8:$K$1082)</f>
        <v>430000</v>
      </c>
      <c r="G232" s="525">
        <f>SUMIF('INGRESOS A CAJA'!$C$10:$C$954,A232,'INGRESOS A CAJA'!$F$10:$F$954)</f>
        <v>0</v>
      </c>
      <c r="H232" s="525">
        <f>SUMIF('EGRESOS DE CAJA'!$C$10:$C$2251,A232,'EGRESOS DE CAJA'!$G$10:$G$2251)</f>
        <v>0</v>
      </c>
      <c r="I232" s="512">
        <f t="shared" si="5"/>
        <v>0</v>
      </c>
      <c r="J232" s="557"/>
    </row>
    <row r="233" spans="1:10" x14ac:dyDescent="0.2">
      <c r="A233" s="560">
        <v>224</v>
      </c>
      <c r="B233" s="511" t="str">
        <f>_xlfn.XLOOKUP(A233,Códigos!$A$11:$A$415,Códigos!$B$11:$B$415,"Verificar",0)</f>
        <v>NOMBRE 138</v>
      </c>
      <c r="C233" s="727"/>
      <c r="D233" s="525">
        <f>SUMIF('CARTERA años anteriores'!$C$9:$C$234,A233,'CARTERA años anteriores'!$J$9:$J$234)</f>
        <v>0</v>
      </c>
      <c r="E233" s="525">
        <f>SUMIF('CARTERA años anteriores'!$C$9:$C$234,A233,'CARTERA años anteriores'!$L$9:$L$234)</f>
        <v>0</v>
      </c>
      <c r="F233" s="525">
        <f>SUMIF(FACTURACIÓN!$C$8:$C$1082,A233,FACTURACIÓN!$K$8:$K$1082)</f>
        <v>0</v>
      </c>
      <c r="G233" s="525">
        <f>SUMIF('INGRESOS A CAJA'!$C$10:$C$954,A233,'INGRESOS A CAJA'!$F$10:$F$954)</f>
        <v>0</v>
      </c>
      <c r="H233" s="525">
        <f>SUMIF('EGRESOS DE CAJA'!$C$10:$C$2251,A233,'EGRESOS DE CAJA'!$G$10:$G$2251)</f>
        <v>0</v>
      </c>
      <c r="I233" s="512">
        <f t="shared" si="5"/>
        <v>0</v>
      </c>
      <c r="J233" s="557"/>
    </row>
    <row r="234" spans="1:10" x14ac:dyDescent="0.2">
      <c r="A234" s="560">
        <v>225</v>
      </c>
      <c r="B234" s="511" t="str">
        <f>_xlfn.XLOOKUP(A234,Códigos!$A$11:$A$415,Códigos!$B$11:$B$415,"Verificar",0)</f>
        <v>NOMBRE 28</v>
      </c>
      <c r="C234" s="727"/>
      <c r="D234" s="525">
        <f>SUMIF('CARTERA años anteriores'!$C$9:$C$234,A234,'CARTERA años anteriores'!$J$9:$J$234)</f>
        <v>0</v>
      </c>
      <c r="E234" s="525">
        <f>SUMIF('CARTERA años anteriores'!$C$9:$C$234,A234,'CARTERA años anteriores'!$L$9:$L$234)</f>
        <v>0</v>
      </c>
      <c r="F234" s="525">
        <f>SUMIF(FACTURACIÓN!$C$8:$C$1082,A234,FACTURACIÓN!$K$8:$K$1082)</f>
        <v>0</v>
      </c>
      <c r="G234" s="525">
        <f>SUMIF('INGRESOS A CAJA'!$C$10:$C$954,A234,'INGRESOS A CAJA'!$F$10:$F$954)</f>
        <v>0</v>
      </c>
      <c r="H234" s="525">
        <f>SUMIF('EGRESOS DE CAJA'!$C$10:$C$2251,A234,'EGRESOS DE CAJA'!$G$10:$G$2251)</f>
        <v>0</v>
      </c>
      <c r="I234" s="512">
        <f t="shared" si="5"/>
        <v>0</v>
      </c>
      <c r="J234" s="557"/>
    </row>
    <row r="235" spans="1:10" x14ac:dyDescent="0.2">
      <c r="A235" s="560">
        <v>226</v>
      </c>
      <c r="B235" s="511" t="str">
        <f>_xlfn.XLOOKUP(A235,Códigos!$A$11:$A$415,Códigos!$B$11:$B$415,"Verificar",0)</f>
        <v>NOMBRE 335</v>
      </c>
      <c r="C235" s="727"/>
      <c r="D235" s="525">
        <f>SUMIF('CARTERA años anteriores'!$C$9:$C$234,A235,'CARTERA años anteriores'!$J$9:$J$234)</f>
        <v>0</v>
      </c>
      <c r="E235" s="525">
        <f>SUMIF('CARTERA años anteriores'!$C$9:$C$234,A235,'CARTERA años anteriores'!$L$9:$L$234)</f>
        <v>0</v>
      </c>
      <c r="F235" s="525">
        <f>SUMIF(FACTURACIÓN!$C$8:$C$1082,A235,FACTURACIÓN!$K$8:$K$1082)</f>
        <v>0</v>
      </c>
      <c r="G235" s="525">
        <f>SUMIF('INGRESOS A CAJA'!$C$10:$C$954,A235,'INGRESOS A CAJA'!$F$10:$F$954)</f>
        <v>0</v>
      </c>
      <c r="H235" s="525">
        <f>SUMIF('EGRESOS DE CAJA'!$C$10:$C$2251,A235,'EGRESOS DE CAJA'!$G$10:$G$2251)</f>
        <v>0</v>
      </c>
      <c r="I235" s="512">
        <f t="shared" si="5"/>
        <v>0</v>
      </c>
      <c r="J235" s="557"/>
    </row>
    <row r="236" spans="1:10" x14ac:dyDescent="0.2">
      <c r="A236" s="560">
        <v>227</v>
      </c>
      <c r="B236" s="511" t="str">
        <f>_xlfn.XLOOKUP(A236,Códigos!$A$11:$A$415,Códigos!$B$11:$B$415,"Verificar",0)</f>
        <v>NOMBRE 74</v>
      </c>
      <c r="C236" s="727"/>
      <c r="D236" s="525">
        <f>SUMIF('CARTERA años anteriores'!$C$9:$C$234,A236,'CARTERA años anteriores'!$J$9:$J$234)</f>
        <v>0</v>
      </c>
      <c r="E236" s="525">
        <f>SUMIF('CARTERA años anteriores'!$C$9:$C$234,A236,'CARTERA años anteriores'!$L$9:$L$234)</f>
        <v>0</v>
      </c>
      <c r="F236" s="525">
        <f>SUMIF(FACTURACIÓN!$C$8:$C$1082,A236,FACTURACIÓN!$K$8:$K$1082)</f>
        <v>0</v>
      </c>
      <c r="G236" s="525">
        <f>SUMIF('INGRESOS A CAJA'!$C$10:$C$954,A236,'INGRESOS A CAJA'!$F$10:$F$954)</f>
        <v>0</v>
      </c>
      <c r="H236" s="525">
        <f>SUMIF('EGRESOS DE CAJA'!$C$10:$C$2251,A236,'EGRESOS DE CAJA'!$G$10:$G$2251)</f>
        <v>0</v>
      </c>
      <c r="I236" s="512">
        <f t="shared" si="5"/>
        <v>0</v>
      </c>
      <c r="J236" s="557"/>
    </row>
    <row r="237" spans="1:10" x14ac:dyDescent="0.2">
      <c r="A237" s="560">
        <v>228</v>
      </c>
      <c r="B237" s="511" t="str">
        <f>_xlfn.XLOOKUP(A237,Códigos!$A$11:$A$415,Códigos!$B$11:$B$415,"Verificar",0)</f>
        <v>NOMBRE 139</v>
      </c>
      <c r="C237" s="727"/>
      <c r="D237" s="525">
        <f>SUMIF('CARTERA años anteriores'!$C$9:$C$234,A237,'CARTERA años anteriores'!$J$9:$J$234)</f>
        <v>0</v>
      </c>
      <c r="E237" s="525">
        <f>SUMIF('CARTERA años anteriores'!$C$9:$C$234,A237,'CARTERA años anteriores'!$L$9:$L$234)</f>
        <v>0</v>
      </c>
      <c r="F237" s="525">
        <f>SUMIF(FACTURACIÓN!$C$8:$C$1082,A237,FACTURACIÓN!$K$8:$K$1082)</f>
        <v>0</v>
      </c>
      <c r="G237" s="525">
        <f>SUMIF('INGRESOS A CAJA'!$C$10:$C$954,A237,'INGRESOS A CAJA'!$F$10:$F$954)</f>
        <v>0</v>
      </c>
      <c r="H237" s="525">
        <f>SUMIF('EGRESOS DE CAJA'!$C$10:$C$2251,A237,'EGRESOS DE CAJA'!$G$10:$G$2251)</f>
        <v>0</v>
      </c>
      <c r="I237" s="512">
        <f t="shared" si="5"/>
        <v>0</v>
      </c>
      <c r="J237" s="557"/>
    </row>
    <row r="238" spans="1:10" x14ac:dyDescent="0.2">
      <c r="A238" s="560">
        <v>229</v>
      </c>
      <c r="B238" s="511" t="str">
        <f>_xlfn.XLOOKUP(A238,Códigos!$A$11:$A$415,Códigos!$B$11:$B$415,"Verificar",0)</f>
        <v>NOMBRE 289</v>
      </c>
      <c r="C238" s="727"/>
      <c r="D238" s="525">
        <f>SUMIF('CARTERA años anteriores'!$C$9:$C$234,A238,'CARTERA años anteriores'!$J$9:$J$234)</f>
        <v>0</v>
      </c>
      <c r="E238" s="525">
        <f>SUMIF('CARTERA años anteriores'!$C$9:$C$234,A238,'CARTERA años anteriores'!$L$9:$L$234)</f>
        <v>0</v>
      </c>
      <c r="F238" s="525">
        <f>SUMIF(FACTURACIÓN!$C$8:$C$1082,A238,FACTURACIÓN!$K$8:$K$1082)</f>
        <v>0</v>
      </c>
      <c r="G238" s="525">
        <f>SUMIF('INGRESOS A CAJA'!$C$10:$C$954,A238,'INGRESOS A CAJA'!$F$10:$F$954)</f>
        <v>0</v>
      </c>
      <c r="H238" s="525">
        <f>SUMIF('EGRESOS DE CAJA'!$C$10:$C$2251,A238,'EGRESOS DE CAJA'!$G$10:$G$2251)</f>
        <v>0</v>
      </c>
      <c r="I238" s="512">
        <f t="shared" si="5"/>
        <v>0</v>
      </c>
      <c r="J238" s="557"/>
    </row>
    <row r="239" spans="1:10" x14ac:dyDescent="0.2">
      <c r="A239" s="560">
        <v>230</v>
      </c>
      <c r="B239" s="511" t="str">
        <f>_xlfn.XLOOKUP(A239,Códigos!$A$11:$A$415,Códigos!$B$11:$B$415,"Verificar",0)</f>
        <v>NOMBRE 184</v>
      </c>
      <c r="C239" s="727"/>
      <c r="D239" s="525">
        <f>SUMIF('CARTERA años anteriores'!$C$9:$C$234,A239,'CARTERA años anteriores'!$J$9:$J$234)</f>
        <v>270000</v>
      </c>
      <c r="E239" s="525">
        <f>SUMIF('CARTERA años anteriores'!$C$9:$C$234,A239,'CARTERA años anteriores'!$L$9:$L$234)</f>
        <v>260000</v>
      </c>
      <c r="F239" s="525">
        <f>SUMIF(FACTURACIÓN!$C$8:$C$1082,A239,FACTURACIÓN!$K$8:$K$1082)</f>
        <v>290000</v>
      </c>
      <c r="G239" s="525">
        <f>SUMIF('INGRESOS A CAJA'!$C$10:$C$954,A239,'INGRESOS A CAJA'!$F$10:$F$954)</f>
        <v>0</v>
      </c>
      <c r="H239" s="525">
        <f>SUMIF('EGRESOS DE CAJA'!$C$10:$C$2251,A239,'EGRESOS DE CAJA'!$G$10:$G$2251)</f>
        <v>0</v>
      </c>
      <c r="I239" s="512">
        <f t="shared" si="5"/>
        <v>0</v>
      </c>
      <c r="J239" s="557"/>
    </row>
    <row r="240" spans="1:10" x14ac:dyDescent="0.2">
      <c r="A240" s="560">
        <v>231</v>
      </c>
      <c r="B240" s="511" t="str">
        <f>_xlfn.XLOOKUP(A240,Códigos!$A$11:$A$415,Códigos!$B$11:$B$415,"Verificar",0)</f>
        <v>NOMBRE 212</v>
      </c>
      <c r="C240" s="727"/>
      <c r="D240" s="525">
        <f>SUMIF('CARTERA años anteriores'!$C$9:$C$234,A240,'CARTERA años anteriores'!$J$9:$J$234)</f>
        <v>0</v>
      </c>
      <c r="E240" s="525">
        <f>SUMIF('CARTERA años anteriores'!$C$9:$C$234,A240,'CARTERA años anteriores'!$L$9:$L$234)</f>
        <v>0</v>
      </c>
      <c r="F240" s="525">
        <f>SUMIF(FACTURACIÓN!$C$8:$C$1082,A240,FACTURACIÓN!$K$8:$K$1082)</f>
        <v>0</v>
      </c>
      <c r="G240" s="525">
        <f>SUMIF('INGRESOS A CAJA'!$C$10:$C$954,A240,'INGRESOS A CAJA'!$F$10:$F$954)</f>
        <v>0</v>
      </c>
      <c r="H240" s="525">
        <f>SUMIF('EGRESOS DE CAJA'!$C$10:$C$2251,A240,'EGRESOS DE CAJA'!$G$10:$G$2251)</f>
        <v>0</v>
      </c>
      <c r="I240" s="512">
        <f t="shared" si="5"/>
        <v>0</v>
      </c>
      <c r="J240" s="557"/>
    </row>
    <row r="241" spans="1:10" x14ac:dyDescent="0.2">
      <c r="A241" s="560">
        <v>232</v>
      </c>
      <c r="B241" s="511" t="str">
        <f>_xlfn.XLOOKUP(A241,Códigos!$A$11:$A$415,Códigos!$B$11:$B$415,"Verificar",0)</f>
        <v>NOMBRE 121</v>
      </c>
      <c r="C241" s="727"/>
      <c r="D241" s="525">
        <f>SUMIF('CARTERA años anteriores'!$C$9:$C$234,A241,'CARTERA años anteriores'!$J$9:$J$234)</f>
        <v>0</v>
      </c>
      <c r="E241" s="525">
        <f>SUMIF('CARTERA años anteriores'!$C$9:$C$234,A241,'CARTERA años anteriores'!$L$9:$L$234)</f>
        <v>0</v>
      </c>
      <c r="F241" s="525">
        <f>SUMIF(FACTURACIÓN!$C$8:$C$1082,A241,FACTURACIÓN!$K$8:$K$1082)</f>
        <v>0</v>
      </c>
      <c r="G241" s="525">
        <f>SUMIF('INGRESOS A CAJA'!$C$10:$C$954,A241,'INGRESOS A CAJA'!$F$10:$F$954)</f>
        <v>0</v>
      </c>
      <c r="H241" s="525">
        <f>SUMIF('EGRESOS DE CAJA'!$C$10:$C$2251,A241,'EGRESOS DE CAJA'!$G$10:$G$2251)</f>
        <v>0</v>
      </c>
      <c r="I241" s="512">
        <f t="shared" si="5"/>
        <v>0</v>
      </c>
      <c r="J241" s="557"/>
    </row>
    <row r="242" spans="1:10" x14ac:dyDescent="0.2">
      <c r="A242" s="560">
        <v>233</v>
      </c>
      <c r="B242" s="511" t="str">
        <f>_xlfn.XLOOKUP(A242,Códigos!$A$11:$A$415,Códigos!$B$11:$B$415,"Verificar",0)</f>
        <v>NOMBRE 122</v>
      </c>
      <c r="C242" s="727"/>
      <c r="D242" s="525">
        <f>SUMIF('CARTERA años anteriores'!$C$9:$C$234,A242,'CARTERA años anteriores'!$J$9:$J$234)</f>
        <v>0</v>
      </c>
      <c r="E242" s="525">
        <f>SUMIF('CARTERA años anteriores'!$C$9:$C$234,A242,'CARTERA años anteriores'!$L$9:$L$234)</f>
        <v>0</v>
      </c>
      <c r="F242" s="525">
        <f>SUMIF(FACTURACIÓN!$C$8:$C$1082,A242,FACTURACIÓN!$K$8:$K$1082)</f>
        <v>350000</v>
      </c>
      <c r="G242" s="525">
        <f>SUMIF('INGRESOS A CAJA'!$C$10:$C$954,A242,'INGRESOS A CAJA'!$F$10:$F$954)</f>
        <v>0</v>
      </c>
      <c r="H242" s="525">
        <f>SUMIF('EGRESOS DE CAJA'!$C$10:$C$2251,A242,'EGRESOS DE CAJA'!$G$10:$G$2251)</f>
        <v>0</v>
      </c>
      <c r="I242" s="512">
        <f t="shared" si="5"/>
        <v>0</v>
      </c>
      <c r="J242" s="557"/>
    </row>
    <row r="243" spans="1:10" x14ac:dyDescent="0.2">
      <c r="A243" s="560">
        <v>234</v>
      </c>
      <c r="B243" s="511" t="str">
        <f>_xlfn.XLOOKUP(A243,Códigos!$A$11:$A$415,Códigos!$B$11:$B$415,"Verificar",0)</f>
        <v>NOMBRE 303</v>
      </c>
      <c r="C243" s="727"/>
      <c r="D243" s="525">
        <f>SUMIF('CARTERA años anteriores'!$C$9:$C$234,A243,'CARTERA años anteriores'!$J$9:$J$234)</f>
        <v>0</v>
      </c>
      <c r="E243" s="525">
        <f>SUMIF('CARTERA años anteriores'!$C$9:$C$234,A243,'CARTERA años anteriores'!$L$9:$L$234)</f>
        <v>0</v>
      </c>
      <c r="F243" s="525">
        <f>SUMIF(FACTURACIÓN!$C$8:$C$1082,A243,FACTURACIÓN!$K$8:$K$1082)</f>
        <v>310000</v>
      </c>
      <c r="G243" s="525">
        <f>SUMIF('INGRESOS A CAJA'!$C$10:$C$954,A243,'INGRESOS A CAJA'!$F$10:$F$954)</f>
        <v>0</v>
      </c>
      <c r="H243" s="525">
        <f>SUMIF('EGRESOS DE CAJA'!$C$10:$C$2251,A243,'EGRESOS DE CAJA'!$G$10:$G$2251)</f>
        <v>0</v>
      </c>
      <c r="I243" s="512">
        <f t="shared" si="5"/>
        <v>0</v>
      </c>
      <c r="J243" s="557"/>
    </row>
    <row r="244" spans="1:10" x14ac:dyDescent="0.2">
      <c r="A244" s="560">
        <v>235</v>
      </c>
      <c r="B244" s="511" t="str">
        <f>_xlfn.XLOOKUP(A244,Códigos!$A$11:$A$415,Códigos!$B$11:$B$415,"Verificar",0)</f>
        <v>NOMBRE 185</v>
      </c>
      <c r="C244" s="727"/>
      <c r="D244" s="525">
        <f>SUMIF('CARTERA años anteriores'!$C$9:$C$234,A244,'CARTERA años anteriores'!$J$9:$J$234)</f>
        <v>0</v>
      </c>
      <c r="E244" s="525">
        <f>SUMIF('CARTERA años anteriores'!$C$9:$C$234,A244,'CARTERA años anteriores'!$L$9:$L$234)</f>
        <v>0</v>
      </c>
      <c r="F244" s="525">
        <f>SUMIF(FACTURACIÓN!$C$8:$C$1082,A244,FACTURACIÓN!$K$8:$K$1082)</f>
        <v>0</v>
      </c>
      <c r="G244" s="525">
        <f>SUMIF('INGRESOS A CAJA'!$C$10:$C$954,A244,'INGRESOS A CAJA'!$F$10:$F$954)</f>
        <v>0</v>
      </c>
      <c r="H244" s="525">
        <f>SUMIF('EGRESOS DE CAJA'!$C$10:$C$2251,A244,'EGRESOS DE CAJA'!$G$10:$G$2251)</f>
        <v>0</v>
      </c>
      <c r="I244" s="512">
        <f t="shared" si="5"/>
        <v>0</v>
      </c>
      <c r="J244" s="557"/>
    </row>
    <row r="245" spans="1:10" x14ac:dyDescent="0.2">
      <c r="A245" s="560">
        <v>236</v>
      </c>
      <c r="B245" s="511" t="str">
        <f>_xlfn.XLOOKUP(A245,Códigos!$A$11:$A$415,Códigos!$B$11:$B$415,"Verificar",0)</f>
        <v>NOMBRE 48</v>
      </c>
      <c r="C245" s="727"/>
      <c r="D245" s="525">
        <f>SUMIF('CARTERA años anteriores'!$C$9:$C$234,A245,'CARTERA años anteriores'!$J$9:$J$234)</f>
        <v>0</v>
      </c>
      <c r="E245" s="525">
        <f>SUMIF('CARTERA años anteriores'!$C$9:$C$234,A245,'CARTERA años anteriores'!$L$9:$L$234)</f>
        <v>0</v>
      </c>
      <c r="F245" s="525">
        <f>SUMIF(FACTURACIÓN!$C$8:$C$1082,A245,FACTURACIÓN!$K$8:$K$1082)</f>
        <v>0</v>
      </c>
      <c r="G245" s="525">
        <f>SUMIF('INGRESOS A CAJA'!$C$10:$C$954,A245,'INGRESOS A CAJA'!$F$10:$F$954)</f>
        <v>0</v>
      </c>
      <c r="H245" s="525">
        <f>SUMIF('EGRESOS DE CAJA'!$C$10:$C$2251,A245,'EGRESOS DE CAJA'!$G$10:$G$2251)</f>
        <v>0</v>
      </c>
      <c r="I245" s="512">
        <f t="shared" si="5"/>
        <v>0</v>
      </c>
      <c r="J245" s="557"/>
    </row>
    <row r="246" spans="1:10" x14ac:dyDescent="0.2">
      <c r="A246" s="560">
        <v>237</v>
      </c>
      <c r="B246" s="511" t="str">
        <f>_xlfn.XLOOKUP(A246,Códigos!$A$11:$A$415,Códigos!$B$11:$B$415,"Verificar",0)</f>
        <v>NOMBRE 282</v>
      </c>
      <c r="C246" s="727"/>
      <c r="D246" s="525">
        <f>SUMIF('CARTERA años anteriores'!$C$9:$C$234,A246,'CARTERA años anteriores'!$J$9:$J$234)</f>
        <v>0</v>
      </c>
      <c r="E246" s="525">
        <f>SUMIF('CARTERA años anteriores'!$C$9:$C$234,A246,'CARTERA años anteriores'!$L$9:$L$234)</f>
        <v>0</v>
      </c>
      <c r="F246" s="525">
        <f>SUMIF(FACTURACIÓN!$C$8:$C$1082,A246,FACTURACIÓN!$K$8:$K$1082)</f>
        <v>290000</v>
      </c>
      <c r="G246" s="525">
        <f>SUMIF('INGRESOS A CAJA'!$C$10:$C$954,A246,'INGRESOS A CAJA'!$F$10:$F$954)</f>
        <v>0</v>
      </c>
      <c r="H246" s="525">
        <f>SUMIF('EGRESOS DE CAJA'!$C$10:$C$2251,A246,'EGRESOS DE CAJA'!$G$10:$G$2251)</f>
        <v>0</v>
      </c>
      <c r="I246" s="512">
        <f t="shared" si="5"/>
        <v>0</v>
      </c>
      <c r="J246" s="557"/>
    </row>
    <row r="247" spans="1:10" x14ac:dyDescent="0.2">
      <c r="A247" s="560">
        <v>238</v>
      </c>
      <c r="B247" s="511" t="str">
        <f>_xlfn.XLOOKUP(A247,Códigos!$A$11:$A$415,Códigos!$B$11:$B$415,"Verificar",0)</f>
        <v>NOMBRE 291</v>
      </c>
      <c r="C247" s="727"/>
      <c r="D247" s="525">
        <f>SUMIF('CARTERA años anteriores'!$C$9:$C$234,A247,'CARTERA años anteriores'!$J$9:$J$234)</f>
        <v>650000</v>
      </c>
      <c r="E247" s="525">
        <f>SUMIF('CARTERA años anteriores'!$C$9:$C$234,A247,'CARTERA años anteriores'!$L$9:$L$234)</f>
        <v>0</v>
      </c>
      <c r="F247" s="525">
        <f>SUMIF(FACTURACIÓN!$C$8:$C$1082,A247,FACTURACIÓN!$K$8:$K$1082)</f>
        <v>0</v>
      </c>
      <c r="G247" s="525">
        <f>SUMIF('INGRESOS A CAJA'!$C$10:$C$954,A247,'INGRESOS A CAJA'!$F$10:$F$954)</f>
        <v>0</v>
      </c>
      <c r="H247" s="525">
        <f>SUMIF('EGRESOS DE CAJA'!$C$10:$C$2251,A247,'EGRESOS DE CAJA'!$G$10:$G$2251)</f>
        <v>0</v>
      </c>
      <c r="I247" s="512">
        <f t="shared" si="5"/>
        <v>0</v>
      </c>
      <c r="J247" s="557"/>
    </row>
    <row r="248" spans="1:10" x14ac:dyDescent="0.2">
      <c r="A248" s="560">
        <v>239</v>
      </c>
      <c r="B248" s="511" t="str">
        <f>_xlfn.XLOOKUP(A248,Códigos!$A$11:$A$415,Códigos!$B$11:$B$415,"Verificar",0)</f>
        <v>NOMBRE 127</v>
      </c>
      <c r="C248" s="727"/>
      <c r="D248" s="525">
        <f>SUMIF('CARTERA años anteriores'!$C$9:$C$234,A248,'CARTERA años anteriores'!$J$9:$J$234)</f>
        <v>0</v>
      </c>
      <c r="E248" s="525">
        <f>SUMIF('CARTERA años anteriores'!$C$9:$C$234,A248,'CARTERA años anteriores'!$L$9:$L$234)</f>
        <v>0</v>
      </c>
      <c r="F248" s="525">
        <f>SUMIF(FACTURACIÓN!$C$8:$C$1082,A248,FACTURACIÓN!$K$8:$K$1082)</f>
        <v>0</v>
      </c>
      <c r="G248" s="525">
        <f>SUMIF('INGRESOS A CAJA'!$C$10:$C$954,A248,'INGRESOS A CAJA'!$F$10:$F$954)</f>
        <v>0</v>
      </c>
      <c r="H248" s="525">
        <f>SUMIF('EGRESOS DE CAJA'!$C$10:$C$2251,A248,'EGRESOS DE CAJA'!$G$10:$G$2251)</f>
        <v>0</v>
      </c>
      <c r="I248" s="512">
        <f t="shared" si="5"/>
        <v>0</v>
      </c>
      <c r="J248" s="557"/>
    </row>
    <row r="249" spans="1:10" x14ac:dyDescent="0.2">
      <c r="A249" s="560">
        <v>240</v>
      </c>
      <c r="B249" s="511" t="str">
        <f>_xlfn.XLOOKUP(A249,Códigos!$A$11:$A$415,Códigos!$B$11:$B$415,"Verificar",0)</f>
        <v>NOMBRE 341</v>
      </c>
      <c r="C249" s="727"/>
      <c r="D249" s="525">
        <f>SUMIF('CARTERA años anteriores'!$C$9:$C$234,A249,'CARTERA años anteriores'!$J$9:$J$234)</f>
        <v>0</v>
      </c>
      <c r="E249" s="525">
        <f>SUMIF('CARTERA años anteriores'!$C$9:$C$234,A249,'CARTERA años anteriores'!$L$9:$L$234)</f>
        <v>0</v>
      </c>
      <c r="F249" s="525">
        <f>SUMIF(FACTURACIÓN!$C$8:$C$1082,A249,FACTURACIÓN!$K$8:$K$1082)</f>
        <v>350000</v>
      </c>
      <c r="G249" s="525">
        <f>SUMIF('INGRESOS A CAJA'!$C$10:$C$954,A249,'INGRESOS A CAJA'!$F$10:$F$954)</f>
        <v>0</v>
      </c>
      <c r="H249" s="525">
        <f>SUMIF('EGRESOS DE CAJA'!$C$10:$C$2251,A249,'EGRESOS DE CAJA'!$G$10:$G$2251)</f>
        <v>0</v>
      </c>
      <c r="I249" s="512">
        <f t="shared" si="5"/>
        <v>0</v>
      </c>
      <c r="J249" s="557"/>
    </row>
    <row r="250" spans="1:10" x14ac:dyDescent="0.2">
      <c r="A250" s="560">
        <v>241</v>
      </c>
      <c r="B250" s="511" t="str">
        <f>_xlfn.XLOOKUP(A250,Códigos!$A$11:$A$415,Códigos!$B$11:$B$415,"Verificar",0)</f>
        <v>NOMBRE 316</v>
      </c>
      <c r="C250" s="727"/>
      <c r="D250" s="525">
        <f>SUMIF('CARTERA años anteriores'!$C$9:$C$234,A250,'CARTERA años anteriores'!$J$9:$J$234)</f>
        <v>0</v>
      </c>
      <c r="E250" s="525">
        <f>SUMIF('CARTERA años anteriores'!$C$9:$C$234,A250,'CARTERA años anteriores'!$L$9:$L$234)</f>
        <v>0</v>
      </c>
      <c r="F250" s="525">
        <f>SUMIF(FACTURACIÓN!$C$8:$C$1082,A250,FACTURACIÓN!$K$8:$K$1082)</f>
        <v>0</v>
      </c>
      <c r="G250" s="525">
        <f>SUMIF('INGRESOS A CAJA'!$C$10:$C$954,A250,'INGRESOS A CAJA'!$F$10:$F$954)</f>
        <v>0</v>
      </c>
      <c r="H250" s="525">
        <f>SUMIF('EGRESOS DE CAJA'!$C$10:$C$2251,A250,'EGRESOS DE CAJA'!$G$10:$G$2251)</f>
        <v>0</v>
      </c>
      <c r="I250" s="512">
        <f t="shared" si="5"/>
        <v>0</v>
      </c>
      <c r="J250" s="557"/>
    </row>
    <row r="251" spans="1:10" x14ac:dyDescent="0.2">
      <c r="A251" s="560">
        <v>242</v>
      </c>
      <c r="B251" s="511" t="str">
        <f>_xlfn.XLOOKUP(A251,Códigos!$A$11:$A$415,Códigos!$B$11:$B$415,"Verificar",0)</f>
        <v>NOMBRE 149</v>
      </c>
      <c r="C251" s="727"/>
      <c r="D251" s="525">
        <f>SUMIF('CARTERA años anteriores'!$C$9:$C$234,A251,'CARTERA años anteriores'!$J$9:$J$234)</f>
        <v>430000</v>
      </c>
      <c r="E251" s="525">
        <f>SUMIF('CARTERA años anteriores'!$C$9:$C$234,A251,'CARTERA años anteriores'!$L$9:$L$234)</f>
        <v>430000</v>
      </c>
      <c r="F251" s="525">
        <f>SUMIF(FACTURACIÓN!$C$8:$C$1082,A251,FACTURACIÓN!$K$8:$K$1082)</f>
        <v>450000</v>
      </c>
      <c r="G251" s="525">
        <f>SUMIF('INGRESOS A CAJA'!$C$10:$C$954,A251,'INGRESOS A CAJA'!$F$10:$F$954)</f>
        <v>880000</v>
      </c>
      <c r="H251" s="525">
        <f>SUMIF('EGRESOS DE CAJA'!$C$10:$C$2251,A251,'EGRESOS DE CAJA'!$G$10:$G$2251)</f>
        <v>0</v>
      </c>
      <c r="I251" s="512">
        <f t="shared" si="5"/>
        <v>0</v>
      </c>
      <c r="J251" s="557"/>
    </row>
    <row r="252" spans="1:10" x14ac:dyDescent="0.2">
      <c r="A252" s="560">
        <v>243</v>
      </c>
      <c r="B252" s="511" t="str">
        <f>_xlfn.XLOOKUP(A252,Códigos!$A$11:$A$415,Códigos!$B$11:$B$415,"Verificar",0)</f>
        <v>NOMBRE 298</v>
      </c>
      <c r="C252" s="727"/>
      <c r="D252" s="525">
        <f>SUMIF('CARTERA años anteriores'!$C$9:$C$234,A252,'CARTERA años anteriores'!$J$9:$J$234)</f>
        <v>0</v>
      </c>
      <c r="E252" s="525">
        <f>SUMIF('CARTERA años anteriores'!$C$9:$C$234,A252,'CARTERA años anteriores'!$L$9:$L$234)</f>
        <v>0</v>
      </c>
      <c r="F252" s="525">
        <f>SUMIF(FACTURACIÓN!$C$8:$C$1082,A252,FACTURACIÓN!$K$8:$K$1082)</f>
        <v>450000</v>
      </c>
      <c r="G252" s="525">
        <f>SUMIF('INGRESOS A CAJA'!$C$10:$C$954,A252,'INGRESOS A CAJA'!$F$10:$F$954)</f>
        <v>0</v>
      </c>
      <c r="H252" s="525">
        <f>SUMIF('EGRESOS DE CAJA'!$C$10:$C$2251,A252,'EGRESOS DE CAJA'!$G$10:$G$2251)</f>
        <v>0</v>
      </c>
      <c r="I252" s="512">
        <f t="shared" si="5"/>
        <v>0</v>
      </c>
      <c r="J252" s="557"/>
    </row>
    <row r="253" spans="1:10" x14ac:dyDescent="0.2">
      <c r="A253" s="560">
        <v>244</v>
      </c>
      <c r="B253" s="511" t="str">
        <f>_xlfn.XLOOKUP(A253,Códigos!$A$11:$A$415,Códigos!$B$11:$B$415,"Verificar",0)</f>
        <v>NOMBRE 98</v>
      </c>
      <c r="C253" s="727"/>
      <c r="D253" s="525">
        <f>SUMIF('CARTERA años anteriores'!$C$9:$C$234,A253,'CARTERA años anteriores'!$J$9:$J$234)</f>
        <v>270000</v>
      </c>
      <c r="E253" s="525">
        <f>SUMIF('CARTERA años anteriores'!$C$9:$C$234,A253,'CARTERA años anteriores'!$L$9:$L$234)</f>
        <v>0</v>
      </c>
      <c r="F253" s="525">
        <f>SUMIF(FACTURACIÓN!$C$8:$C$1082,A253,FACTURACIÓN!$K$8:$K$1082)</f>
        <v>290000</v>
      </c>
      <c r="G253" s="525">
        <f>SUMIF('INGRESOS A CAJA'!$C$10:$C$954,A253,'INGRESOS A CAJA'!$F$10:$F$954)</f>
        <v>0</v>
      </c>
      <c r="H253" s="525">
        <f>SUMIF('EGRESOS DE CAJA'!$C$10:$C$2251,A253,'EGRESOS DE CAJA'!$G$10:$G$2251)</f>
        <v>0</v>
      </c>
      <c r="I253" s="512">
        <f t="shared" si="5"/>
        <v>0</v>
      </c>
      <c r="J253" s="557"/>
    </row>
    <row r="254" spans="1:10" x14ac:dyDescent="0.2">
      <c r="A254" s="560">
        <v>245</v>
      </c>
      <c r="B254" s="511" t="str">
        <f>_xlfn.XLOOKUP(A254,Códigos!$A$11:$A$415,Códigos!$B$11:$B$415,"Verificar",0)</f>
        <v>NOMBRE 162</v>
      </c>
      <c r="C254" s="727"/>
      <c r="D254" s="525">
        <f>SUMIF('CARTERA años anteriores'!$C$9:$C$234,A254,'CARTERA años anteriores'!$J$9:$J$234)</f>
        <v>0</v>
      </c>
      <c r="E254" s="525">
        <f>SUMIF('CARTERA años anteriores'!$C$9:$C$234,A254,'CARTERA años anteriores'!$L$9:$L$234)</f>
        <v>0</v>
      </c>
      <c r="F254" s="525">
        <f>SUMIF(FACTURACIÓN!$C$8:$C$1082,A254,FACTURACIÓN!$K$8:$K$1082)</f>
        <v>0</v>
      </c>
      <c r="G254" s="525">
        <f>SUMIF('INGRESOS A CAJA'!$C$10:$C$954,A254,'INGRESOS A CAJA'!$F$10:$F$954)</f>
        <v>0</v>
      </c>
      <c r="H254" s="525">
        <f>SUMIF('EGRESOS DE CAJA'!$C$10:$C$2251,A254,'EGRESOS DE CAJA'!$G$10:$G$2251)</f>
        <v>0</v>
      </c>
      <c r="I254" s="512">
        <f t="shared" si="5"/>
        <v>0</v>
      </c>
      <c r="J254" s="557"/>
    </row>
    <row r="255" spans="1:10" x14ac:dyDescent="0.2">
      <c r="A255" s="560">
        <v>246</v>
      </c>
      <c r="B255" s="511" t="str">
        <f>_xlfn.XLOOKUP(A255,Códigos!$A$11:$A$415,Códigos!$B$11:$B$415,"Verificar",0)</f>
        <v>NOMBRE 41</v>
      </c>
      <c r="C255" s="727"/>
      <c r="D255" s="525">
        <f>SUMIF('CARTERA años anteriores'!$C$9:$C$234,A255,'CARTERA años anteriores'!$J$9:$J$234)</f>
        <v>0</v>
      </c>
      <c r="E255" s="525">
        <f>SUMIF('CARTERA años anteriores'!$C$9:$C$234,A255,'CARTERA años anteriores'!$L$9:$L$234)</f>
        <v>0</v>
      </c>
      <c r="F255" s="525">
        <f>SUMIF(FACTURACIÓN!$C$8:$C$1082,A255,FACTURACIÓN!$K$8:$K$1082)</f>
        <v>0</v>
      </c>
      <c r="G255" s="525">
        <f>SUMIF('INGRESOS A CAJA'!$C$10:$C$954,A255,'INGRESOS A CAJA'!$F$10:$F$954)</f>
        <v>0</v>
      </c>
      <c r="H255" s="525">
        <f>SUMIF('EGRESOS DE CAJA'!$C$10:$C$2251,A255,'EGRESOS DE CAJA'!$G$10:$G$2251)</f>
        <v>0</v>
      </c>
      <c r="I255" s="512">
        <f t="shared" si="5"/>
        <v>0</v>
      </c>
      <c r="J255" s="557"/>
    </row>
    <row r="256" spans="1:10" x14ac:dyDescent="0.2">
      <c r="A256" s="560">
        <v>247</v>
      </c>
      <c r="B256" s="511" t="str">
        <f>_xlfn.XLOOKUP(A256,Códigos!$A$11:$A$415,Códigos!$B$11:$B$415,"Verificar",0)</f>
        <v>NOMBRE 200</v>
      </c>
      <c r="C256" s="727"/>
      <c r="D256" s="525">
        <f>SUMIF('CARTERA años anteriores'!$C$9:$C$234,A256,'CARTERA años anteriores'!$J$9:$J$234)</f>
        <v>0</v>
      </c>
      <c r="E256" s="525">
        <f>SUMIF('CARTERA años anteriores'!$C$9:$C$234,A256,'CARTERA años anteriores'!$L$9:$L$234)</f>
        <v>0</v>
      </c>
      <c r="F256" s="525">
        <f>SUMIF(FACTURACIÓN!$C$8:$C$1082,A256,FACTURACIÓN!$K$8:$K$1082)</f>
        <v>260000</v>
      </c>
      <c r="G256" s="525">
        <f>SUMIF('INGRESOS A CAJA'!$C$10:$C$954,A256,'INGRESOS A CAJA'!$F$10:$F$954)</f>
        <v>0</v>
      </c>
      <c r="H256" s="525">
        <f>SUMIF('EGRESOS DE CAJA'!$C$10:$C$2251,A256,'EGRESOS DE CAJA'!$G$10:$G$2251)</f>
        <v>0</v>
      </c>
      <c r="I256" s="512">
        <f t="shared" si="5"/>
        <v>0</v>
      </c>
      <c r="J256" s="557"/>
    </row>
    <row r="257" spans="1:10" x14ac:dyDescent="0.2">
      <c r="A257" s="560">
        <v>248</v>
      </c>
      <c r="B257" s="511" t="str">
        <f>_xlfn.XLOOKUP(A257,Códigos!$A$11:$A$415,Códigos!$B$11:$B$415,"Verificar",0)</f>
        <v>NOMBRE 151</v>
      </c>
      <c r="C257" s="727"/>
      <c r="D257" s="525">
        <f>SUMIF('CARTERA años anteriores'!$C$9:$C$234,A257,'CARTERA años anteriores'!$J$9:$J$234)</f>
        <v>0</v>
      </c>
      <c r="E257" s="525">
        <f>SUMIF('CARTERA años anteriores'!$C$9:$C$234,A257,'CARTERA años anteriores'!$L$9:$L$234)</f>
        <v>0</v>
      </c>
      <c r="F257" s="525">
        <f>SUMIF(FACTURACIÓN!$C$8:$C$1082,A257,FACTURACIÓN!$K$8:$K$1082)</f>
        <v>0</v>
      </c>
      <c r="G257" s="525">
        <f>SUMIF('INGRESOS A CAJA'!$C$10:$C$954,A257,'INGRESOS A CAJA'!$F$10:$F$954)</f>
        <v>0</v>
      </c>
      <c r="H257" s="525">
        <f>SUMIF('EGRESOS DE CAJA'!$C$10:$C$2251,A257,'EGRESOS DE CAJA'!$G$10:$G$2251)</f>
        <v>0</v>
      </c>
      <c r="I257" s="512">
        <f t="shared" si="5"/>
        <v>0</v>
      </c>
      <c r="J257" s="557"/>
    </row>
    <row r="258" spans="1:10" x14ac:dyDescent="0.2">
      <c r="A258" s="560">
        <v>249</v>
      </c>
      <c r="B258" s="511" t="str">
        <f>_xlfn.XLOOKUP(A258,Códigos!$A$11:$A$415,Códigos!$B$11:$B$415,"Verificar",0)</f>
        <v>NOMBRE 220</v>
      </c>
      <c r="C258" s="727"/>
      <c r="D258" s="525">
        <f>SUMIF('CARTERA años anteriores'!$C$9:$C$234,A258,'CARTERA años anteriores'!$J$9:$J$234)</f>
        <v>0</v>
      </c>
      <c r="E258" s="525">
        <f>SUMIF('CARTERA años anteriores'!$C$9:$C$234,A258,'CARTERA años anteriores'!$L$9:$L$234)</f>
        <v>0</v>
      </c>
      <c r="F258" s="525">
        <f>SUMIF(FACTURACIÓN!$C$8:$C$1082,A258,FACTURACIÓN!$K$8:$K$1082)</f>
        <v>0</v>
      </c>
      <c r="G258" s="525">
        <f>SUMIF('INGRESOS A CAJA'!$C$10:$C$954,A258,'INGRESOS A CAJA'!$F$10:$F$954)</f>
        <v>0</v>
      </c>
      <c r="H258" s="525">
        <f>SUMIF('EGRESOS DE CAJA'!$C$10:$C$2251,A258,'EGRESOS DE CAJA'!$G$10:$G$2251)</f>
        <v>30664600</v>
      </c>
      <c r="I258" s="512">
        <f t="shared" si="5"/>
        <v>0</v>
      </c>
      <c r="J258" s="557"/>
    </row>
    <row r="259" spans="1:10" x14ac:dyDescent="0.2">
      <c r="A259" s="560">
        <v>250</v>
      </c>
      <c r="B259" s="511" t="str">
        <f>_xlfn.XLOOKUP(A259,Códigos!$A$11:$A$415,Códigos!$B$11:$B$415,"Verificar",0)</f>
        <v>NOMBRE 75</v>
      </c>
      <c r="C259" s="727"/>
      <c r="D259" s="525">
        <f>SUMIF('CARTERA años anteriores'!$C$9:$C$234,A259,'CARTERA años anteriores'!$J$9:$J$234)</f>
        <v>0</v>
      </c>
      <c r="E259" s="525">
        <f>SUMIF('CARTERA años anteriores'!$C$9:$C$234,A259,'CARTERA años anteriores'!$L$9:$L$234)</f>
        <v>0</v>
      </c>
      <c r="F259" s="525">
        <f>SUMIF(FACTURACIÓN!$C$8:$C$1082,A259,FACTURACIÓN!$K$8:$K$1082)</f>
        <v>0</v>
      </c>
      <c r="G259" s="525">
        <f>SUMIF('INGRESOS A CAJA'!$C$10:$C$954,A259,'INGRESOS A CAJA'!$F$10:$F$954)</f>
        <v>3396800</v>
      </c>
      <c r="H259" s="525">
        <f>SUMIF('EGRESOS DE CAJA'!$C$10:$C$2251,A259,'EGRESOS DE CAJA'!$G$10:$G$2251)</f>
        <v>3396800</v>
      </c>
      <c r="I259" s="512">
        <f t="shared" si="5"/>
        <v>0</v>
      </c>
      <c r="J259" s="557"/>
    </row>
    <row r="260" spans="1:10" x14ac:dyDescent="0.2">
      <c r="A260" s="560">
        <v>251</v>
      </c>
      <c r="B260" s="511" t="str">
        <f>_xlfn.XLOOKUP(A260,Códigos!$A$11:$A$415,Códigos!$B$11:$B$415,"Verificar",0)</f>
        <v>NOMBRE 152</v>
      </c>
      <c r="C260" s="727"/>
      <c r="D260" s="525">
        <f>SUMIF('CARTERA años anteriores'!$C$9:$C$234,A260,'CARTERA años anteriores'!$J$9:$J$234)</f>
        <v>0</v>
      </c>
      <c r="E260" s="525">
        <f>SUMIF('CARTERA años anteriores'!$C$9:$C$234,A260,'CARTERA años anteriores'!$L$9:$L$234)</f>
        <v>0</v>
      </c>
      <c r="F260" s="525">
        <f>SUMIF(FACTURACIÓN!$C$8:$C$1082,A260,FACTURACIÓN!$K$8:$K$1082)</f>
        <v>0</v>
      </c>
      <c r="G260" s="525">
        <f>SUMIF('INGRESOS A CAJA'!$C$10:$C$954,A260,'INGRESOS A CAJA'!$F$10:$F$954)</f>
        <v>0</v>
      </c>
      <c r="H260" s="525">
        <f>SUMIF('EGRESOS DE CAJA'!$C$10:$C$2251,A260,'EGRESOS DE CAJA'!$G$10:$G$2251)</f>
        <v>0</v>
      </c>
      <c r="I260" s="512">
        <f t="shared" si="5"/>
        <v>0</v>
      </c>
      <c r="J260" s="557"/>
    </row>
    <row r="261" spans="1:10" x14ac:dyDescent="0.2">
      <c r="A261" s="560">
        <v>252</v>
      </c>
      <c r="B261" s="511" t="str">
        <f>_xlfn.XLOOKUP(A261,Códigos!$A$11:$A$415,Códigos!$B$11:$B$415,"Verificar",0)</f>
        <v>NOMBRE 219</v>
      </c>
      <c r="C261" s="727"/>
      <c r="D261" s="525">
        <f>SUMIF('CARTERA años anteriores'!$C$9:$C$234,A261,'CARTERA años anteriores'!$J$9:$J$234)</f>
        <v>3290000</v>
      </c>
      <c r="E261" s="525">
        <f>SUMIF('CARTERA años anteriores'!$C$9:$C$234,A261,'CARTERA años anteriores'!$L$9:$L$234)</f>
        <v>320000</v>
      </c>
      <c r="F261" s="525">
        <f>SUMIF(FACTURACIÓN!$C$8:$C$1082,A261,FACTURACIÓN!$K$8:$K$1082)</f>
        <v>160000</v>
      </c>
      <c r="G261" s="525">
        <f>SUMIF('INGRESOS A CAJA'!$C$10:$C$954,A261,'INGRESOS A CAJA'!$F$10:$F$954)</f>
        <v>1540000</v>
      </c>
      <c r="H261" s="525">
        <f>SUMIF('EGRESOS DE CAJA'!$C$10:$C$2251,A261,'EGRESOS DE CAJA'!$G$10:$G$2251)</f>
        <v>3111000</v>
      </c>
      <c r="I261" s="512">
        <f t="shared" si="5"/>
        <v>0</v>
      </c>
      <c r="J261" s="557"/>
    </row>
    <row r="262" spans="1:10" x14ac:dyDescent="0.2">
      <c r="A262" s="560">
        <v>253</v>
      </c>
      <c r="B262" s="511" t="str">
        <f>_xlfn.XLOOKUP(A262,Códigos!$A$11:$A$415,Códigos!$B$11:$B$415,"Verificar",0)</f>
        <v>NOMBRE 102</v>
      </c>
      <c r="C262" s="727"/>
      <c r="D262" s="525">
        <f>SUMIF('CARTERA años anteriores'!$C$9:$C$234,A262,'CARTERA años anteriores'!$J$9:$J$234)</f>
        <v>0</v>
      </c>
      <c r="E262" s="525">
        <f>SUMIF('CARTERA años anteriores'!$C$9:$C$234,A262,'CARTERA años anteriores'!$L$9:$L$234)</f>
        <v>0</v>
      </c>
      <c r="F262" s="525">
        <f>SUMIF(FACTURACIÓN!$C$8:$C$1082,A262,FACTURACIÓN!$K$8:$K$1082)</f>
        <v>0</v>
      </c>
      <c r="G262" s="525">
        <f>SUMIF('INGRESOS A CAJA'!$C$10:$C$954,A262,'INGRESOS A CAJA'!$F$10:$F$954)</f>
        <v>0</v>
      </c>
      <c r="H262" s="525">
        <f>SUMIF('EGRESOS DE CAJA'!$C$10:$C$2251,A262,'EGRESOS DE CAJA'!$G$10:$G$2251)</f>
        <v>0</v>
      </c>
      <c r="I262" s="512">
        <f t="shared" si="5"/>
        <v>0</v>
      </c>
      <c r="J262" s="557"/>
    </row>
    <row r="263" spans="1:10" x14ac:dyDescent="0.2">
      <c r="A263" s="560">
        <v>254</v>
      </c>
      <c r="B263" s="511" t="str">
        <f>_xlfn.XLOOKUP(A263,Códigos!$A$11:$A$415,Códigos!$B$11:$B$415,"Verificar",0)</f>
        <v>NOMBRE 181</v>
      </c>
      <c r="C263" s="727"/>
      <c r="D263" s="525">
        <f>SUMIF('CARTERA años anteriores'!$C$9:$C$234,A263,'CARTERA años anteriores'!$J$9:$J$234)</f>
        <v>0</v>
      </c>
      <c r="E263" s="525">
        <f>SUMIF('CARTERA años anteriores'!$C$9:$C$234,A263,'CARTERA años anteriores'!$L$9:$L$234)</f>
        <v>0</v>
      </c>
      <c r="F263" s="525">
        <f>SUMIF(FACTURACIÓN!$C$8:$C$1082,A263,FACTURACIÓN!$K$8:$K$1082)</f>
        <v>0</v>
      </c>
      <c r="G263" s="525">
        <f>SUMIF('INGRESOS A CAJA'!$C$10:$C$954,A263,'INGRESOS A CAJA'!$F$10:$F$954)</f>
        <v>0</v>
      </c>
      <c r="H263" s="525">
        <f>SUMIF('EGRESOS DE CAJA'!$C$10:$C$2251,A263,'EGRESOS DE CAJA'!$G$10:$G$2251)</f>
        <v>0</v>
      </c>
      <c r="I263" s="512">
        <f t="shared" si="5"/>
        <v>0</v>
      </c>
      <c r="J263" s="557"/>
    </row>
    <row r="264" spans="1:10" x14ac:dyDescent="0.2">
      <c r="A264" s="560">
        <v>255</v>
      </c>
      <c r="B264" s="511" t="str">
        <f>_xlfn.XLOOKUP(A264,Códigos!$A$11:$A$415,Códigos!$B$11:$B$415,"Verificar",0)</f>
        <v>NOMBRE 166</v>
      </c>
      <c r="C264" s="727"/>
      <c r="D264" s="525">
        <f>SUMIF('CARTERA años anteriores'!$C$9:$C$234,A264,'CARTERA años anteriores'!$J$9:$J$234)</f>
        <v>0</v>
      </c>
      <c r="E264" s="525">
        <f>SUMIF('CARTERA años anteriores'!$C$9:$C$234,A264,'CARTERA años anteriores'!$L$9:$L$234)</f>
        <v>0</v>
      </c>
      <c r="F264" s="525">
        <f>SUMIF(FACTURACIÓN!$C$8:$C$1082,A264,FACTURACIÓN!$K$8:$K$1082)</f>
        <v>0</v>
      </c>
      <c r="G264" s="525">
        <f>SUMIF('INGRESOS A CAJA'!$C$10:$C$954,A264,'INGRESOS A CAJA'!$F$10:$F$954)</f>
        <v>0</v>
      </c>
      <c r="H264" s="525">
        <f>SUMIF('EGRESOS DE CAJA'!$C$10:$C$2251,A264,'EGRESOS DE CAJA'!$G$10:$G$2251)</f>
        <v>0</v>
      </c>
      <c r="I264" s="512">
        <f t="shared" si="5"/>
        <v>0</v>
      </c>
      <c r="J264" s="557"/>
    </row>
    <row r="265" spans="1:10" x14ac:dyDescent="0.2">
      <c r="A265" s="560">
        <v>256</v>
      </c>
      <c r="B265" s="511" t="str">
        <f>_xlfn.XLOOKUP(A265,Códigos!$A$11:$A$415,Códigos!$B$11:$B$415,"Verificar",0)</f>
        <v>NOMBRE 148</v>
      </c>
      <c r="C265" s="727"/>
      <c r="D265" s="525">
        <f>SUMIF('CARTERA años anteriores'!$C$9:$C$234,A265,'CARTERA años anteriores'!$J$9:$J$234)</f>
        <v>0</v>
      </c>
      <c r="E265" s="525">
        <f>SUMIF('CARTERA años anteriores'!$C$9:$C$234,A265,'CARTERA años anteriores'!$L$9:$L$234)</f>
        <v>0</v>
      </c>
      <c r="F265" s="525">
        <f>SUMIF(FACTURACIÓN!$C$8:$C$1082,A265,FACTURACIÓN!$K$8:$K$1082)</f>
        <v>0</v>
      </c>
      <c r="G265" s="525">
        <f>SUMIF('INGRESOS A CAJA'!$C$10:$C$954,A265,'INGRESOS A CAJA'!$F$10:$F$954)</f>
        <v>0</v>
      </c>
      <c r="H265" s="525">
        <f>SUMIF('EGRESOS DE CAJA'!$C$10:$C$2251,A265,'EGRESOS DE CAJA'!$G$10:$G$2251)</f>
        <v>0</v>
      </c>
      <c r="I265" s="512">
        <f t="shared" si="5"/>
        <v>0</v>
      </c>
      <c r="J265" s="557"/>
    </row>
    <row r="266" spans="1:10" x14ac:dyDescent="0.2">
      <c r="A266" s="560">
        <v>257</v>
      </c>
      <c r="B266" s="511" t="str">
        <f>_xlfn.XLOOKUP(A266,Códigos!$A$11:$A$415,Códigos!$B$11:$B$415,"Verificar",0)</f>
        <v>NOMBRE 29</v>
      </c>
      <c r="C266" s="727"/>
      <c r="D266" s="525">
        <f>SUMIF('CARTERA años anteriores'!$C$9:$C$234,A266,'CARTERA años anteriores'!$J$9:$J$234)</f>
        <v>0</v>
      </c>
      <c r="E266" s="525">
        <f>SUMIF('CARTERA años anteriores'!$C$9:$C$234,A266,'CARTERA años anteriores'!$L$9:$L$234)</f>
        <v>0</v>
      </c>
      <c r="F266" s="525">
        <f>SUMIF(FACTURACIÓN!$C$8:$C$1082,A266,FACTURACIÓN!$K$8:$K$1082)</f>
        <v>0</v>
      </c>
      <c r="G266" s="525">
        <f>SUMIF('INGRESOS A CAJA'!$C$10:$C$954,A266,'INGRESOS A CAJA'!$F$10:$F$954)</f>
        <v>0</v>
      </c>
      <c r="H266" s="525">
        <f>SUMIF('EGRESOS DE CAJA'!$C$10:$C$2251,A266,'EGRESOS DE CAJA'!$G$10:$G$2251)</f>
        <v>0</v>
      </c>
      <c r="I266" s="512">
        <f t="shared" si="5"/>
        <v>0</v>
      </c>
      <c r="J266" s="557"/>
    </row>
    <row r="267" spans="1:10" x14ac:dyDescent="0.2">
      <c r="A267" s="560">
        <v>258</v>
      </c>
      <c r="B267" s="511" t="str">
        <f>_xlfn.XLOOKUP(A267,Códigos!$A$11:$A$415,Códigos!$B$11:$B$415,"Verificar",0)</f>
        <v>NOMBRE 144</v>
      </c>
      <c r="C267" s="727"/>
      <c r="D267" s="525">
        <f>SUMIF('CARTERA años anteriores'!$C$9:$C$234,A267,'CARTERA años anteriores'!$J$9:$J$234)</f>
        <v>0</v>
      </c>
      <c r="E267" s="525">
        <f>SUMIF('CARTERA años anteriores'!$C$9:$C$234,A267,'CARTERA años anteriores'!$L$9:$L$234)</f>
        <v>0</v>
      </c>
      <c r="F267" s="525">
        <f>SUMIF(FACTURACIÓN!$C$8:$C$1082,A267,FACTURACIÓN!$K$8:$K$1082)</f>
        <v>0</v>
      </c>
      <c r="G267" s="525">
        <f>SUMIF('INGRESOS A CAJA'!$C$10:$C$954,A267,'INGRESOS A CAJA'!$F$10:$F$954)</f>
        <v>0</v>
      </c>
      <c r="H267" s="525">
        <f>SUMIF('EGRESOS DE CAJA'!$C$10:$C$2251,A267,'EGRESOS DE CAJA'!$G$10:$G$2251)</f>
        <v>0</v>
      </c>
      <c r="I267" s="512">
        <f t="shared" si="5"/>
        <v>0</v>
      </c>
      <c r="J267" s="557"/>
    </row>
    <row r="268" spans="1:10" x14ac:dyDescent="0.2">
      <c r="A268" s="560">
        <v>259</v>
      </c>
      <c r="B268" s="511" t="str">
        <f>_xlfn.XLOOKUP(A268,Códigos!$A$11:$A$415,Códigos!$B$11:$B$415,"Verificar",0)</f>
        <v>NOMBRE 186</v>
      </c>
      <c r="C268" s="727"/>
      <c r="D268" s="525">
        <f>SUMIF('CARTERA años anteriores'!$C$9:$C$234,A268,'CARTERA años anteriores'!$J$9:$J$234)</f>
        <v>0</v>
      </c>
      <c r="E268" s="525">
        <f>SUMIF('CARTERA años anteriores'!$C$9:$C$234,A268,'CARTERA años anteriores'!$L$9:$L$234)</f>
        <v>0</v>
      </c>
      <c r="F268" s="525">
        <f>SUMIF(FACTURACIÓN!$C$8:$C$1082,A268,FACTURACIÓN!$K$8:$K$1082)</f>
        <v>470000</v>
      </c>
      <c r="G268" s="525">
        <f>SUMIF('INGRESOS A CAJA'!$C$10:$C$954,A268,'INGRESOS A CAJA'!$F$10:$F$954)</f>
        <v>0</v>
      </c>
      <c r="H268" s="525">
        <f>SUMIF('EGRESOS DE CAJA'!$C$10:$C$2251,A268,'EGRESOS DE CAJA'!$G$10:$G$2251)</f>
        <v>0</v>
      </c>
      <c r="I268" s="512">
        <f t="shared" si="5"/>
        <v>0</v>
      </c>
      <c r="J268" s="557"/>
    </row>
    <row r="269" spans="1:10" x14ac:dyDescent="0.2">
      <c r="A269" s="560">
        <v>260</v>
      </c>
      <c r="B269" s="511" t="str">
        <f>_xlfn.XLOOKUP(A269,Códigos!$A$11:$A$415,Códigos!$B$11:$B$415,"Verificar",0)</f>
        <v>NOMBRE 27</v>
      </c>
      <c r="C269" s="727"/>
      <c r="D269" s="525">
        <f>SUMIF('CARTERA años anteriores'!$C$9:$C$234,A269,'CARTERA años anteriores'!$J$9:$J$234)</f>
        <v>0</v>
      </c>
      <c r="E269" s="525">
        <f>SUMIF('CARTERA años anteriores'!$C$9:$C$234,A269,'CARTERA años anteriores'!$L$9:$L$234)</f>
        <v>0</v>
      </c>
      <c r="F269" s="525">
        <f>SUMIF(FACTURACIÓN!$C$8:$C$1082,A269,FACTURACIÓN!$K$8:$K$1082)</f>
        <v>170000</v>
      </c>
      <c r="G269" s="525">
        <f>SUMIF('INGRESOS A CAJA'!$C$10:$C$954,A269,'INGRESOS A CAJA'!$F$10:$F$954)</f>
        <v>0</v>
      </c>
      <c r="H269" s="525">
        <f>SUMIF('EGRESOS DE CAJA'!$C$10:$C$2251,A269,'EGRESOS DE CAJA'!$G$10:$G$2251)</f>
        <v>0</v>
      </c>
      <c r="I269" s="512">
        <f t="shared" si="5"/>
        <v>0</v>
      </c>
      <c r="J269" s="557"/>
    </row>
    <row r="270" spans="1:10" x14ac:dyDescent="0.2">
      <c r="A270" s="560">
        <v>261</v>
      </c>
      <c r="B270" s="511" t="str">
        <f>_xlfn.XLOOKUP(A270,Códigos!$A$11:$A$415,Códigos!$B$11:$B$415,"Verificar",0)</f>
        <v>NOMBRE 153</v>
      </c>
      <c r="C270" s="727"/>
      <c r="D270" s="525">
        <f>SUMIF('CARTERA años anteriores'!$C$9:$C$234,A270,'CARTERA años anteriores'!$J$9:$J$234)</f>
        <v>0</v>
      </c>
      <c r="E270" s="525">
        <f>SUMIF('CARTERA años anteriores'!$C$9:$C$234,A270,'CARTERA años anteriores'!$L$9:$L$234)</f>
        <v>0</v>
      </c>
      <c r="F270" s="525">
        <f>SUMIF(FACTURACIÓN!$C$8:$C$1082,A270,FACTURACIÓN!$K$8:$K$1082)</f>
        <v>0</v>
      </c>
      <c r="G270" s="525">
        <f>SUMIF('INGRESOS A CAJA'!$C$10:$C$954,A270,'INGRESOS A CAJA'!$F$10:$F$954)</f>
        <v>0</v>
      </c>
      <c r="H270" s="525">
        <f>SUMIF('EGRESOS DE CAJA'!$C$10:$C$2251,A270,'EGRESOS DE CAJA'!$G$10:$G$2251)</f>
        <v>0</v>
      </c>
      <c r="I270" s="512">
        <f t="shared" si="5"/>
        <v>0</v>
      </c>
      <c r="J270" s="557"/>
    </row>
    <row r="271" spans="1:10" x14ac:dyDescent="0.2">
      <c r="A271" s="560">
        <v>262</v>
      </c>
      <c r="B271" s="511" t="str">
        <f>_xlfn.XLOOKUP(A271,Códigos!$A$11:$A$415,Códigos!$B$11:$B$415,"Verificar",0)</f>
        <v>NOMBRE 95</v>
      </c>
      <c r="C271" s="727"/>
      <c r="D271" s="730">
        <f>SUMIF('CARTERA años anteriores'!$C$9:$C$234,A271,'CARTERA años anteriores'!$J$9:$J$234)</f>
        <v>43100984</v>
      </c>
      <c r="E271" s="730">
        <f>SUMIF('CARTERA años anteriores'!$C$9:$C$234,A271,'CARTERA años anteriores'!$L$9:$L$234)</f>
        <v>1744200</v>
      </c>
      <c r="F271" s="730"/>
      <c r="G271" s="730"/>
      <c r="H271" s="525">
        <f>+'EMPLEADO 2'!E14</f>
        <v>12065900</v>
      </c>
      <c r="I271" s="512">
        <f t="shared" si="5"/>
        <v>0</v>
      </c>
      <c r="J271" s="719"/>
    </row>
    <row r="272" spans="1:10" x14ac:dyDescent="0.2">
      <c r="A272" s="560">
        <v>263</v>
      </c>
      <c r="B272" s="511" t="str">
        <f>_xlfn.XLOOKUP(A272,Códigos!$A$11:$A$415,Códigos!$B$11:$B$415,"Verificar",0)</f>
        <v>NOMBRE 128</v>
      </c>
      <c r="C272" s="727"/>
      <c r="D272" s="525">
        <f>SUMIF('CARTERA años anteriores'!$C$9:$C$234,A272,'CARTERA años anteriores'!$J$9:$J$234)</f>
        <v>0</v>
      </c>
      <c r="E272" s="525">
        <f>SUMIF('CARTERA años anteriores'!$C$9:$C$234,A272,'CARTERA años anteriores'!$L$9:$L$234)</f>
        <v>0</v>
      </c>
      <c r="F272" s="525">
        <f>SUMIF(FACTURACIÓN!$C$8:$C$1082,A272,FACTURACIÓN!$K$8:$K$1082)</f>
        <v>0</v>
      </c>
      <c r="G272" s="525">
        <f>SUMIF('INGRESOS A CAJA'!$C$10:$C$954,A272,'INGRESOS A CAJA'!$F$10:$F$954)</f>
        <v>0</v>
      </c>
      <c r="H272" s="525">
        <f>SUMIF('EGRESOS DE CAJA'!$C$10:$C$2251,A272,'EGRESOS DE CAJA'!$G$10:$G$2251)</f>
        <v>0</v>
      </c>
      <c r="I272" s="512">
        <f t="shared" si="5"/>
        <v>0</v>
      </c>
      <c r="J272" s="557"/>
    </row>
    <row r="273" spans="1:10" x14ac:dyDescent="0.2">
      <c r="A273" s="560">
        <v>264</v>
      </c>
      <c r="B273" s="511" t="str">
        <f>_xlfn.XLOOKUP(A273,Códigos!$A$11:$A$415,Códigos!$B$11:$B$415,"Verificar",0)</f>
        <v>NOMBRE 312</v>
      </c>
      <c r="C273" s="727"/>
      <c r="D273" s="525">
        <f>SUMIF('CARTERA años anteriores'!$C$9:$C$234,A273,'CARTERA años anteriores'!$J$9:$J$234)</f>
        <v>0</v>
      </c>
      <c r="E273" s="525">
        <f>SUMIF('CARTERA años anteriores'!$C$9:$C$234,A273,'CARTERA años anteriores'!$L$9:$L$234)</f>
        <v>0</v>
      </c>
      <c r="F273" s="525">
        <f>SUMIF(FACTURACIÓN!$C$8:$C$1082,A273,FACTURACIÓN!$K$8:$K$1082)</f>
        <v>350000</v>
      </c>
      <c r="G273" s="525">
        <f>SUMIF('INGRESOS A CAJA'!$C$10:$C$954,A273,'INGRESOS A CAJA'!$F$10:$F$954)</f>
        <v>0</v>
      </c>
      <c r="H273" s="525">
        <f>SUMIF('EGRESOS DE CAJA'!$C$10:$C$2251,A273,'EGRESOS DE CAJA'!$G$10:$G$2251)</f>
        <v>0</v>
      </c>
      <c r="I273" s="512">
        <f t="shared" si="5"/>
        <v>0</v>
      </c>
      <c r="J273" s="557"/>
    </row>
    <row r="274" spans="1:10" x14ac:dyDescent="0.2">
      <c r="A274" s="560">
        <v>265</v>
      </c>
      <c r="B274" s="511" t="str">
        <f>_xlfn.XLOOKUP(A274,Códigos!$A$11:$A$415,Códigos!$B$11:$B$415,"Verificar",0)</f>
        <v>NOMBRE 246</v>
      </c>
      <c r="C274" s="727"/>
      <c r="D274" s="525">
        <f>SUMIF('CARTERA años anteriores'!$C$9:$C$234,A274,'CARTERA años anteriores'!$J$9:$J$234)</f>
        <v>320000</v>
      </c>
      <c r="E274" s="525">
        <f>SUMIF('CARTERA años anteriores'!$C$9:$C$234,A274,'CARTERA años anteriores'!$L$9:$L$234)</f>
        <v>0</v>
      </c>
      <c r="F274" s="525">
        <f>SUMIF(FACTURACIÓN!$C$8:$C$1082,A274,FACTURACIÓN!$K$8:$K$1082)</f>
        <v>370000</v>
      </c>
      <c r="G274" s="525">
        <f>SUMIF('INGRESOS A CAJA'!$C$10:$C$954,A274,'INGRESOS A CAJA'!$F$10:$F$954)</f>
        <v>0</v>
      </c>
      <c r="H274" s="525">
        <f>SUMIF('EGRESOS DE CAJA'!$C$10:$C$2251,A274,'EGRESOS DE CAJA'!$G$10:$G$2251)</f>
        <v>0</v>
      </c>
      <c r="I274" s="512">
        <f t="shared" si="5"/>
        <v>0</v>
      </c>
      <c r="J274" s="557"/>
    </row>
    <row r="275" spans="1:10" x14ac:dyDescent="0.2">
      <c r="A275" s="560">
        <v>266</v>
      </c>
      <c r="B275" s="511" t="str">
        <f>_xlfn.XLOOKUP(A275,Códigos!$A$11:$A$415,Códigos!$B$11:$B$415,"Verificar",0)</f>
        <v>NOMBRE 304</v>
      </c>
      <c r="C275" s="727"/>
      <c r="D275" s="525">
        <f>SUMIF('CARTERA años anteriores'!$C$9:$C$234,A275,'CARTERA años anteriores'!$J$9:$J$234)</f>
        <v>0</v>
      </c>
      <c r="E275" s="525">
        <f>SUMIF('CARTERA años anteriores'!$C$9:$C$234,A275,'CARTERA años anteriores'!$L$9:$L$234)</f>
        <v>0</v>
      </c>
      <c r="F275" s="525">
        <f>SUMIF(FACTURACIÓN!$C$8:$C$1082,A275,FACTURACIÓN!$K$8:$K$1082)</f>
        <v>310000</v>
      </c>
      <c r="G275" s="525">
        <f>SUMIF('INGRESOS A CAJA'!$C$10:$C$954,A275,'INGRESOS A CAJA'!$F$10:$F$954)</f>
        <v>0</v>
      </c>
      <c r="H275" s="525">
        <f>SUMIF('EGRESOS DE CAJA'!$C$10:$C$2251,A275,'EGRESOS DE CAJA'!$G$10:$G$2251)</f>
        <v>0</v>
      </c>
      <c r="I275" s="512">
        <f t="shared" si="5"/>
        <v>0</v>
      </c>
      <c r="J275" s="557"/>
    </row>
    <row r="276" spans="1:10" x14ac:dyDescent="0.2">
      <c r="A276" s="560">
        <v>267</v>
      </c>
      <c r="B276" s="511" t="str">
        <f>_xlfn.XLOOKUP(A276,Códigos!$A$11:$A$415,Códigos!$B$11:$B$415,"Verificar",0)</f>
        <v>NOMBRE 224</v>
      </c>
      <c r="C276" s="727"/>
      <c r="D276" s="525">
        <f>SUMIF('CARTERA años anteriores'!$C$9:$C$234,A276,'CARTERA años anteriores'!$J$9:$J$234)</f>
        <v>0</v>
      </c>
      <c r="E276" s="525">
        <f>SUMIF('CARTERA años anteriores'!$C$9:$C$234,A276,'CARTERA años anteriores'!$L$9:$L$234)</f>
        <v>0</v>
      </c>
      <c r="F276" s="525">
        <f>SUMIF(FACTURACIÓN!$C$8:$C$1082,A276,FACTURACIÓN!$K$8:$K$1082)</f>
        <v>310000</v>
      </c>
      <c r="G276" s="525">
        <f>SUMIF('INGRESOS A CAJA'!$C$10:$C$954,A276,'INGRESOS A CAJA'!$F$10:$F$954)</f>
        <v>0</v>
      </c>
      <c r="H276" s="525">
        <f>SUMIF('EGRESOS DE CAJA'!$C$10:$C$2251,A276,'EGRESOS DE CAJA'!$G$10:$G$2251)</f>
        <v>0</v>
      </c>
      <c r="I276" s="512">
        <f t="shared" si="5"/>
        <v>0</v>
      </c>
      <c r="J276" s="557"/>
    </row>
    <row r="277" spans="1:10" x14ac:dyDescent="0.2">
      <c r="A277" s="560">
        <v>268</v>
      </c>
      <c r="B277" s="511" t="str">
        <f>_xlfn.XLOOKUP(A277,Códigos!$A$11:$A$415,Códigos!$B$11:$B$415,"Verificar",0)</f>
        <v>NOMBRE 326</v>
      </c>
      <c r="C277" s="727"/>
      <c r="D277" s="525">
        <f>SUMIF('CARTERA años anteriores'!$C$9:$C$234,A277,'CARTERA años anteriores'!$J$9:$J$234)</f>
        <v>0</v>
      </c>
      <c r="E277" s="525">
        <f>SUMIF('CARTERA años anteriores'!$C$9:$C$234,A277,'CARTERA años anteriores'!$L$9:$L$234)</f>
        <v>0</v>
      </c>
      <c r="F277" s="525">
        <f>SUMIF(FACTURACIÓN!$C$8:$C$1082,A277,FACTURACIÓN!$K$8:$K$1082)</f>
        <v>0</v>
      </c>
      <c r="G277" s="525">
        <f>SUMIF('INGRESOS A CAJA'!$C$10:$C$954,A277,'INGRESOS A CAJA'!$F$10:$F$954)</f>
        <v>0</v>
      </c>
      <c r="H277" s="525">
        <f>SUMIF('EGRESOS DE CAJA'!$C$10:$C$2251,A277,'EGRESOS DE CAJA'!$G$10:$G$2251)</f>
        <v>0</v>
      </c>
      <c r="I277" s="512">
        <f t="shared" si="5"/>
        <v>0</v>
      </c>
      <c r="J277" s="557"/>
    </row>
    <row r="278" spans="1:10" x14ac:dyDescent="0.2">
      <c r="A278" s="560">
        <v>269</v>
      </c>
      <c r="B278" s="511" t="str">
        <f>_xlfn.XLOOKUP(A278,Códigos!$A$11:$A$415,Códigos!$B$11:$B$415,"Verificar",0)</f>
        <v>NOMBRE 218</v>
      </c>
      <c r="C278" s="727"/>
      <c r="D278" s="525">
        <f>SUMIF('CARTERA años anteriores'!$C$9:$C$234,A278,'CARTERA años anteriores'!$J$9:$J$234)</f>
        <v>0</v>
      </c>
      <c r="E278" s="525">
        <f>SUMIF('CARTERA años anteriores'!$C$9:$C$234,A278,'CARTERA años anteriores'!$L$9:$L$234)</f>
        <v>0</v>
      </c>
      <c r="F278" s="525">
        <f>SUMIF(FACTURACIÓN!$C$8:$C$1082,A278,FACTURACIÓN!$K$8:$K$1082)</f>
        <v>320000</v>
      </c>
      <c r="G278" s="525">
        <f>SUMIF('INGRESOS A CAJA'!$C$10:$C$954,A278,'INGRESOS A CAJA'!$F$10:$F$954)</f>
        <v>0</v>
      </c>
      <c r="H278" s="525">
        <f>SUMIF('EGRESOS DE CAJA'!$C$10:$C$2251,A278,'EGRESOS DE CAJA'!$G$10:$G$2251)</f>
        <v>0</v>
      </c>
      <c r="I278" s="512">
        <f t="shared" si="5"/>
        <v>0</v>
      </c>
      <c r="J278" s="557"/>
    </row>
    <row r="279" spans="1:10" x14ac:dyDescent="0.2">
      <c r="A279" s="560">
        <v>270</v>
      </c>
      <c r="B279" s="511" t="str">
        <f>_xlfn.XLOOKUP(A279,Códigos!$A$11:$A$415,Códigos!$B$11:$B$415,"Verificar",0)</f>
        <v>NOMBRE 34</v>
      </c>
      <c r="C279" s="727"/>
      <c r="D279" s="525">
        <f>SUMIF('CARTERA años anteriores'!$C$9:$C$234,A279,'CARTERA años anteriores'!$J$9:$J$234)</f>
        <v>0</v>
      </c>
      <c r="E279" s="525">
        <f>SUMIF('CARTERA años anteriores'!$C$9:$C$234,A279,'CARTERA años anteriores'!$L$9:$L$234)</f>
        <v>0</v>
      </c>
      <c r="F279" s="525">
        <f>SUMIF(FACTURACIÓN!$C$8:$C$1082,A279,FACTURACIÓN!$K$8:$K$1082)</f>
        <v>0</v>
      </c>
      <c r="G279" s="525">
        <f>SUMIF('INGRESOS A CAJA'!$C$10:$C$954,A279,'INGRESOS A CAJA'!$F$10:$F$954)</f>
        <v>0</v>
      </c>
      <c r="H279" s="525">
        <f>SUMIF('EGRESOS DE CAJA'!$C$10:$C$2251,A279,'EGRESOS DE CAJA'!$G$10:$G$2251)</f>
        <v>0</v>
      </c>
      <c r="I279" s="512">
        <f t="shared" si="5"/>
        <v>0</v>
      </c>
      <c r="J279" s="557"/>
    </row>
    <row r="280" spans="1:10" x14ac:dyDescent="0.2">
      <c r="A280" s="560">
        <v>271</v>
      </c>
      <c r="B280" s="511" t="str">
        <f>_xlfn.XLOOKUP(A280,Códigos!$A$11:$A$415,Códigos!$B$11:$B$415,"Verificar",0)</f>
        <v>NOMBRE 38</v>
      </c>
      <c r="C280" s="727"/>
      <c r="D280" s="525">
        <f>SUMIF('CARTERA años anteriores'!$C$9:$C$234,A280,'CARTERA años anteriores'!$J$9:$J$234)</f>
        <v>0</v>
      </c>
      <c r="E280" s="525">
        <f>SUMIF('CARTERA años anteriores'!$C$9:$C$234,A280,'CARTERA años anteriores'!$L$9:$L$234)</f>
        <v>0</v>
      </c>
      <c r="F280" s="525">
        <f>SUMIF(FACTURACIÓN!$C$8:$C$1082,A280,FACTURACIÓN!$K$8:$K$1082)</f>
        <v>330000</v>
      </c>
      <c r="G280" s="525">
        <f>SUMIF('INGRESOS A CAJA'!$C$10:$C$954,A280,'INGRESOS A CAJA'!$F$10:$F$954)</f>
        <v>0</v>
      </c>
      <c r="H280" s="525">
        <f>SUMIF('EGRESOS DE CAJA'!$C$10:$C$2251,A280,'EGRESOS DE CAJA'!$G$10:$G$2251)</f>
        <v>0</v>
      </c>
      <c r="I280" s="512">
        <f t="shared" si="5"/>
        <v>0</v>
      </c>
      <c r="J280" s="557"/>
    </row>
    <row r="281" spans="1:10" x14ac:dyDescent="0.2">
      <c r="A281" s="560">
        <v>272</v>
      </c>
      <c r="B281" s="511" t="str">
        <f>_xlfn.XLOOKUP(A281,Códigos!$A$11:$A$415,Códigos!$B$11:$B$415,"Verificar",0)</f>
        <v>NOMBRE 81</v>
      </c>
      <c r="C281" s="727"/>
      <c r="D281" s="525">
        <f>SUMIF('CARTERA años anteriores'!$C$9:$C$234,A281,'CARTERA años anteriores'!$J$9:$J$234)</f>
        <v>0</v>
      </c>
      <c r="E281" s="525">
        <f>SUMIF('CARTERA años anteriores'!$C$9:$C$234,A281,'CARTERA años anteriores'!$L$9:$L$234)</f>
        <v>0</v>
      </c>
      <c r="F281" s="525">
        <f>SUMIF(FACTURACIÓN!$C$8:$C$1082,A281,FACTURACIÓN!$K$8:$K$1082)</f>
        <v>350000</v>
      </c>
      <c r="G281" s="525">
        <f>SUMIF('INGRESOS A CAJA'!$C$10:$C$954,A281,'INGRESOS A CAJA'!$F$10:$F$954)</f>
        <v>350000</v>
      </c>
      <c r="H281" s="525">
        <f>SUMIF('EGRESOS DE CAJA'!$C$10:$C$2251,A281,'EGRESOS DE CAJA'!$G$10:$G$2251)</f>
        <v>0</v>
      </c>
      <c r="I281" s="512">
        <f t="shared" si="5"/>
        <v>0</v>
      </c>
      <c r="J281" s="557"/>
    </row>
    <row r="282" spans="1:10" x14ac:dyDescent="0.2">
      <c r="A282" s="560">
        <v>273</v>
      </c>
      <c r="B282" s="511" t="str">
        <f>_xlfn.XLOOKUP(A282,Códigos!$A$11:$A$415,Códigos!$B$11:$B$415,"Verificar",0)</f>
        <v>NOMBRE 88</v>
      </c>
      <c r="C282" s="727"/>
      <c r="D282" s="525">
        <f>SUMIF('CARTERA años anteriores'!$C$9:$C$234,A282,'CARTERA años anteriores'!$J$9:$J$234)</f>
        <v>580000</v>
      </c>
      <c r="E282" s="525">
        <f>SUMIF('CARTERA años anteriores'!$C$9:$C$234,A282,'CARTERA años anteriores'!$L$9:$L$234)</f>
        <v>580000</v>
      </c>
      <c r="F282" s="525">
        <f>SUMIF(FACTURACIÓN!$C$8:$C$1082,A282,FACTURACIÓN!$K$8:$K$1082)</f>
        <v>610000</v>
      </c>
      <c r="G282" s="525">
        <f>SUMIF('INGRESOS A CAJA'!$C$10:$C$954,A282,'INGRESOS A CAJA'!$F$10:$F$954)</f>
        <v>580000</v>
      </c>
      <c r="H282" s="525">
        <f>SUMIF('EGRESOS DE CAJA'!$C$10:$C$2251,A282,'EGRESOS DE CAJA'!$G$10:$G$2251)</f>
        <v>0</v>
      </c>
      <c r="I282" s="512">
        <f t="shared" si="5"/>
        <v>0</v>
      </c>
      <c r="J282" s="557"/>
    </row>
    <row r="283" spans="1:10" x14ac:dyDescent="0.2">
      <c r="A283" s="560">
        <v>274</v>
      </c>
      <c r="B283" s="511" t="str">
        <f>_xlfn.XLOOKUP(A283,Códigos!$A$11:$A$415,Códigos!$B$11:$B$415,"Verificar",0)</f>
        <v>NOMBRE 280</v>
      </c>
      <c r="C283" s="727"/>
      <c r="D283" s="525">
        <f>SUMIF('CARTERA años anteriores'!$C$9:$C$234,A283,'CARTERA años anteriores'!$J$9:$J$234)</f>
        <v>0</v>
      </c>
      <c r="E283" s="525">
        <f>SUMIF('CARTERA años anteriores'!$C$9:$C$234,A283,'CARTERA años anteriores'!$L$9:$L$234)</f>
        <v>0</v>
      </c>
      <c r="F283" s="525">
        <f>SUMIF(FACTURACIÓN!$C$8:$C$1082,A283,FACTURACIÓN!$K$8:$K$1082)</f>
        <v>0</v>
      </c>
      <c r="G283" s="525">
        <f>SUMIF('INGRESOS A CAJA'!$C$10:$C$954,A283,'INGRESOS A CAJA'!$F$10:$F$954)</f>
        <v>0</v>
      </c>
      <c r="H283" s="525">
        <f>SUMIF('EGRESOS DE CAJA'!$C$10:$C$2251,A283,'EGRESOS DE CAJA'!$G$10:$G$2251)</f>
        <v>0</v>
      </c>
      <c r="I283" s="512">
        <f t="shared" si="5"/>
        <v>0</v>
      </c>
      <c r="J283" s="557"/>
    </row>
    <row r="284" spans="1:10" x14ac:dyDescent="0.2">
      <c r="A284" s="560">
        <v>275</v>
      </c>
      <c r="B284" s="511" t="str">
        <f>_xlfn.XLOOKUP(A284,Códigos!$A$11:$A$415,Códigos!$B$11:$B$415,"Verificar",0)</f>
        <v>NOMBRE 155</v>
      </c>
      <c r="C284" s="727"/>
      <c r="D284" s="525">
        <f>SUMIF('CARTERA años anteriores'!$C$9:$C$234,A284,'CARTERA años anteriores'!$J$9:$J$234)</f>
        <v>1140000</v>
      </c>
      <c r="E284" s="525">
        <f>SUMIF('CARTERA años anteriores'!$C$9:$C$234,A284,'CARTERA años anteriores'!$L$9:$L$234)</f>
        <v>580000</v>
      </c>
      <c r="F284" s="525">
        <f>SUMIF(FACTURACIÓN!$C$8:$C$1082,A284,FACTURACIÓN!$K$8:$K$1082)</f>
        <v>350000</v>
      </c>
      <c r="G284" s="525">
        <f>SUMIF('INGRESOS A CAJA'!$C$10:$C$954,A284,'INGRESOS A CAJA'!$F$10:$F$954)</f>
        <v>580000</v>
      </c>
      <c r="H284" s="525">
        <f>SUMIF('EGRESOS DE CAJA'!$C$10:$C$2251,A284,'EGRESOS DE CAJA'!$G$10:$G$2251)</f>
        <v>0</v>
      </c>
      <c r="I284" s="512">
        <f t="shared" si="5"/>
        <v>0</v>
      </c>
      <c r="J284" s="557"/>
    </row>
    <row r="285" spans="1:10" x14ac:dyDescent="0.2">
      <c r="A285" s="560">
        <v>276</v>
      </c>
      <c r="B285" s="511" t="str">
        <f>_xlfn.XLOOKUP(A285,Códigos!$A$11:$A$415,Códigos!$B$11:$B$415,"Verificar",0)</f>
        <v>NOMBRE 156</v>
      </c>
      <c r="C285" s="727"/>
      <c r="D285" s="525">
        <f>SUMIF('CARTERA años anteriores'!$C$9:$C$234,A285,'CARTERA años anteriores'!$J$9:$J$234)</f>
        <v>0</v>
      </c>
      <c r="E285" s="525">
        <f>SUMIF('CARTERA años anteriores'!$C$9:$C$234,A285,'CARTERA años anteriores'!$L$9:$L$234)</f>
        <v>0</v>
      </c>
      <c r="F285" s="525">
        <f>SUMIF(FACTURACIÓN!$C$8:$C$1082,A285,FACTURACIÓN!$K$8:$K$1082)</f>
        <v>0</v>
      </c>
      <c r="G285" s="525">
        <f>SUMIF('INGRESOS A CAJA'!$C$10:$C$954,A285,'INGRESOS A CAJA'!$F$10:$F$954)</f>
        <v>0</v>
      </c>
      <c r="H285" s="525">
        <f>SUMIF('EGRESOS DE CAJA'!$C$10:$C$2251,A285,'EGRESOS DE CAJA'!$G$10:$G$2251)</f>
        <v>0</v>
      </c>
      <c r="I285" s="512">
        <f t="shared" si="5"/>
        <v>0</v>
      </c>
      <c r="J285" s="557"/>
    </row>
    <row r="286" spans="1:10" x14ac:dyDescent="0.2">
      <c r="A286" s="560">
        <v>277</v>
      </c>
      <c r="B286" s="511" t="str">
        <f>_xlfn.XLOOKUP(A286,Códigos!$A$11:$A$415,Códigos!$B$11:$B$415,"Verificar",0)</f>
        <v>NOMBRE 257</v>
      </c>
      <c r="C286" s="727"/>
      <c r="D286" s="525">
        <f>SUMIF('CARTERA años anteriores'!$C$9:$C$234,A286,'CARTERA años anteriores'!$J$9:$J$234)</f>
        <v>300000</v>
      </c>
      <c r="E286" s="525">
        <f>SUMIF('CARTERA años anteriores'!$C$9:$C$234,A286,'CARTERA años anteriores'!$L$9:$L$234)</f>
        <v>0</v>
      </c>
      <c r="F286" s="525">
        <f>SUMIF(FACTURACIÓN!$C$8:$C$1082,A286,FACTURACIÓN!$K$8:$K$1082)</f>
        <v>310000</v>
      </c>
      <c r="G286" s="525">
        <f>SUMIF('INGRESOS A CAJA'!$C$10:$C$954,A286,'INGRESOS A CAJA'!$F$10:$F$954)</f>
        <v>0</v>
      </c>
      <c r="H286" s="525">
        <f>SUMIF('EGRESOS DE CAJA'!$C$10:$C$2251,A286,'EGRESOS DE CAJA'!$G$10:$G$2251)</f>
        <v>0</v>
      </c>
      <c r="I286" s="512">
        <f t="shared" si="5"/>
        <v>0</v>
      </c>
      <c r="J286" s="557"/>
    </row>
    <row r="287" spans="1:10" x14ac:dyDescent="0.2">
      <c r="A287" s="560">
        <v>278</v>
      </c>
      <c r="B287" s="511" t="str">
        <f>_xlfn.XLOOKUP(A287,Códigos!$A$11:$A$415,Códigos!$B$11:$B$415,"Verificar",0)</f>
        <v>NOMBRE 357</v>
      </c>
      <c r="C287" s="727"/>
      <c r="D287" s="525">
        <f>SUMIF('CARTERA años anteriores'!$C$9:$C$234,A287,'CARTERA años anteriores'!$J$9:$J$234)</f>
        <v>0</v>
      </c>
      <c r="E287" s="525">
        <f>SUMIF('CARTERA años anteriores'!$C$9:$C$234,A287,'CARTERA años anteriores'!$L$9:$L$234)</f>
        <v>0</v>
      </c>
      <c r="F287" s="525">
        <f>SUMIF(FACTURACIÓN!$C$8:$C$1082,A287,FACTURACIÓN!$K$8:$K$1082)</f>
        <v>470000</v>
      </c>
      <c r="G287" s="525">
        <f>SUMIF('INGRESOS A CAJA'!$C$10:$C$954,A287,'INGRESOS A CAJA'!$F$10:$F$954)</f>
        <v>0</v>
      </c>
      <c r="H287" s="525">
        <f>SUMIF('EGRESOS DE CAJA'!$C$10:$C$2251,A287,'EGRESOS DE CAJA'!$G$10:$G$2251)</f>
        <v>0</v>
      </c>
      <c r="I287" s="512">
        <f t="shared" si="5"/>
        <v>0</v>
      </c>
      <c r="J287" s="557"/>
    </row>
    <row r="288" spans="1:10" x14ac:dyDescent="0.2">
      <c r="A288" s="560">
        <v>279</v>
      </c>
      <c r="B288" s="511" t="str">
        <f>_xlfn.XLOOKUP(A288,Códigos!$A$11:$A$415,Códigos!$B$11:$B$415,"Verificar",0)</f>
        <v>NOMBRE 46</v>
      </c>
      <c r="C288" s="727"/>
      <c r="D288" s="525">
        <f>SUMIF('CARTERA años anteriores'!$C$9:$C$234,A288,'CARTERA años anteriores'!$J$9:$J$234)</f>
        <v>0</v>
      </c>
      <c r="E288" s="525">
        <f>SUMIF('CARTERA años anteriores'!$C$9:$C$234,A288,'CARTERA años anteriores'!$L$9:$L$234)</f>
        <v>0</v>
      </c>
      <c r="F288" s="525">
        <f>SUMIF(FACTURACIÓN!$C$8:$C$1082,A288,FACTURACIÓN!$K$8:$K$1082)</f>
        <v>0</v>
      </c>
      <c r="G288" s="525">
        <f>SUMIF('INGRESOS A CAJA'!$C$10:$C$954,A288,'INGRESOS A CAJA'!$F$10:$F$954)</f>
        <v>0</v>
      </c>
      <c r="H288" s="525">
        <f>SUMIF('EGRESOS DE CAJA'!$C$10:$C$2251,A288,'EGRESOS DE CAJA'!$G$10:$G$2251)</f>
        <v>0</v>
      </c>
      <c r="I288" s="512">
        <f t="shared" si="5"/>
        <v>0</v>
      </c>
      <c r="J288" s="557"/>
    </row>
    <row r="289" spans="1:10" x14ac:dyDescent="0.2">
      <c r="A289" s="560">
        <v>280</v>
      </c>
      <c r="B289" s="511" t="str">
        <f>_xlfn.XLOOKUP(A289,Códigos!$A$11:$A$415,Códigos!$B$11:$B$415,"Verificar",0)</f>
        <v>NOMBRE 225</v>
      </c>
      <c r="C289" s="727"/>
      <c r="D289" s="525">
        <f>SUMIF('CARTERA años anteriores'!$C$9:$C$234,A289,'CARTERA años anteriores'!$J$9:$J$234)</f>
        <v>300000</v>
      </c>
      <c r="E289" s="525">
        <f>SUMIF('CARTERA años anteriores'!$C$9:$C$234,A289,'CARTERA años anteriores'!$L$9:$L$234)</f>
        <v>0</v>
      </c>
      <c r="F289" s="525">
        <f>SUMIF(FACTURACIÓN!$C$8:$C$1082,A289,FACTURACIÓN!$K$8:$K$1082)</f>
        <v>0</v>
      </c>
      <c r="G289" s="525">
        <f>SUMIF('INGRESOS A CAJA'!$C$10:$C$954,A289,'INGRESOS A CAJA'!$F$10:$F$954)</f>
        <v>0</v>
      </c>
      <c r="H289" s="525">
        <f>SUMIF('EGRESOS DE CAJA'!$C$10:$C$2251,A289,'EGRESOS DE CAJA'!$G$10:$G$2251)</f>
        <v>0</v>
      </c>
      <c r="I289" s="512">
        <f t="shared" si="5"/>
        <v>0</v>
      </c>
      <c r="J289" s="557"/>
    </row>
    <row r="290" spans="1:10" x14ac:dyDescent="0.2">
      <c r="A290" s="560">
        <v>281</v>
      </c>
      <c r="B290" s="511" t="str">
        <f>_xlfn.XLOOKUP(A290,Códigos!$A$11:$A$415,Códigos!$B$11:$B$415,"Verificar",0)</f>
        <v>NOMBRE 313</v>
      </c>
      <c r="C290" s="727"/>
      <c r="D290" s="525">
        <f>SUMIF('CARTERA años anteriores'!$C$9:$C$234,A290,'CARTERA años anteriores'!$J$9:$J$234)</f>
        <v>0</v>
      </c>
      <c r="E290" s="525">
        <f>SUMIF('CARTERA años anteriores'!$C$9:$C$234,A290,'CARTERA años anteriores'!$L$9:$L$234)</f>
        <v>0</v>
      </c>
      <c r="F290" s="525">
        <f>SUMIF(FACTURACIÓN!$C$8:$C$1082,A290,FACTURACIÓN!$K$8:$K$1082)</f>
        <v>260000</v>
      </c>
      <c r="G290" s="525">
        <f>SUMIF('INGRESOS A CAJA'!$C$10:$C$954,A290,'INGRESOS A CAJA'!$F$10:$F$954)</f>
        <v>0</v>
      </c>
      <c r="H290" s="525">
        <f>SUMIF('EGRESOS DE CAJA'!$C$10:$C$2251,A290,'EGRESOS DE CAJA'!$G$10:$G$2251)</f>
        <v>0</v>
      </c>
      <c r="I290" s="512">
        <f t="shared" si="5"/>
        <v>0</v>
      </c>
      <c r="J290" s="557"/>
    </row>
    <row r="291" spans="1:10" x14ac:dyDescent="0.2">
      <c r="A291" s="560">
        <v>282</v>
      </c>
      <c r="B291" s="511" t="str">
        <f>_xlfn.XLOOKUP(A291,Códigos!$A$11:$A$415,Códigos!$B$11:$B$415,"Verificar",0)</f>
        <v>NOMBRE 292</v>
      </c>
      <c r="C291" s="727"/>
      <c r="D291" s="525">
        <f>SUMIF('CARTERA años anteriores'!$C$9:$C$234,A291,'CARTERA años anteriores'!$J$9:$J$234)</f>
        <v>2170000</v>
      </c>
      <c r="E291" s="525">
        <f>SUMIF('CARTERA años anteriores'!$C$9:$C$234,A291,'CARTERA años anteriores'!$L$9:$L$234)</f>
        <v>0</v>
      </c>
      <c r="F291" s="525">
        <f>SUMIF(FACTURACIÓN!$C$8:$C$1082,A291,FACTURACIÓN!$K$8:$K$1082)</f>
        <v>0</v>
      </c>
      <c r="G291" s="525">
        <f>SUMIF('INGRESOS A CAJA'!$C$10:$C$954,A291,'INGRESOS A CAJA'!$F$10:$F$954)</f>
        <v>0</v>
      </c>
      <c r="H291" s="525">
        <f>SUMIF('EGRESOS DE CAJA'!$C$10:$C$2251,A291,'EGRESOS DE CAJA'!$G$10:$G$2251)</f>
        <v>0</v>
      </c>
      <c r="I291" s="512">
        <f t="shared" ref="I291:I354" si="6">IF((+C291+D291-E291+F291+G291*0+H291)&lt;0,(+C291+D291-E291+F291+G291*0+H291),0)</f>
        <v>0</v>
      </c>
      <c r="J291" s="557"/>
    </row>
    <row r="292" spans="1:10" x14ac:dyDescent="0.2">
      <c r="A292" s="560">
        <v>283</v>
      </c>
      <c r="B292" s="511" t="str">
        <f>_xlfn.XLOOKUP(A292,Códigos!$A$11:$A$415,Códigos!$B$11:$B$415,"Verificar",0)</f>
        <v>NOMBRE 104</v>
      </c>
      <c r="C292" s="727"/>
      <c r="D292" s="525" t="e">
        <f>SUMIF('CARTERA años anteriores'!$C$9:$C$234,A292,'CARTERA años anteriores'!$J$9:$J$234)</f>
        <v>#REF!</v>
      </c>
      <c r="E292" s="525">
        <f>SUMIF('CARTERA años anteriores'!$C$9:$C$234,A292,'CARTERA años anteriores'!$L$9:$L$234)</f>
        <v>0</v>
      </c>
      <c r="F292" s="525">
        <f>SUMIF(FACTURACIÓN!$C$8:$C$1082,A292,FACTURACIÓN!$K$8:$K$1082)</f>
        <v>0</v>
      </c>
      <c r="G292" s="525">
        <f>SUMIF('INGRESOS A CAJA'!$C$10:$C$954,A292,'INGRESOS A CAJA'!$F$10:$F$954)</f>
        <v>0</v>
      </c>
      <c r="H292" s="525">
        <f>SUMIF('EGRESOS DE CAJA'!$C$10:$C$2251,A292,'EGRESOS DE CAJA'!$G$10:$G$2251)</f>
        <v>0</v>
      </c>
      <c r="I292" s="512" t="e">
        <f t="shared" si="6"/>
        <v>#REF!</v>
      </c>
      <c r="J292" s="557"/>
    </row>
    <row r="293" spans="1:10" x14ac:dyDescent="0.2">
      <c r="A293" s="560">
        <v>284</v>
      </c>
      <c r="B293" s="511" t="str">
        <f>_xlfn.XLOOKUP(A293,Códigos!$A$11:$A$415,Códigos!$B$11:$B$415,"Verificar",0)</f>
        <v>NOMBRE 103</v>
      </c>
      <c r="C293" s="727">
        <v>-75575216.700000003</v>
      </c>
      <c r="D293" s="525">
        <f>SUMIF('CARTERA años anteriores'!$C$9:$C$234,A293,'CARTERA años anteriores'!$J$9:$J$234)</f>
        <v>0</v>
      </c>
      <c r="E293" s="525">
        <f>SUMIF('CARTERA años anteriores'!$C$9:$C$234,A293,'CARTERA años anteriores'!$L$9:$L$234)</f>
        <v>0</v>
      </c>
      <c r="F293" s="525">
        <f>SUMIF(FACTURACIÓN!$C$8:$C$1082,A293,FACTURACIÓN!$K$8:$K$1082)</f>
        <v>0</v>
      </c>
      <c r="G293" s="525">
        <f>SUMIF('INGRESOS A CAJA'!$C$10:$C$954,A293,'INGRESOS A CAJA'!$F$10:$F$954)</f>
        <v>0</v>
      </c>
      <c r="H293" s="525">
        <f>SUMIF('EGRESOS DE CAJA'!$C$10:$C$2251,A293,'EGRESOS DE CAJA'!$G$10:$G$2251)</f>
        <v>0</v>
      </c>
      <c r="I293" s="512">
        <f t="shared" si="6"/>
        <v>-75575216.700000003</v>
      </c>
      <c r="J293" s="557"/>
    </row>
    <row r="294" spans="1:10" x14ac:dyDescent="0.2">
      <c r="A294" s="560">
        <v>285</v>
      </c>
      <c r="B294" s="511" t="str">
        <f>_xlfn.XLOOKUP(A294,Códigos!$A$11:$A$415,Códigos!$B$11:$B$415,"Verificar",0)</f>
        <v>NOMBRE 99</v>
      </c>
      <c r="C294" s="727"/>
      <c r="D294" s="525">
        <f>SUMIF('CARTERA años anteriores'!$C$9:$C$234,A294,'CARTERA años anteriores'!$J$9:$J$234)</f>
        <v>0</v>
      </c>
      <c r="E294" s="525">
        <f>SUMIF('CARTERA años anteriores'!$C$9:$C$234,A294,'CARTERA años anteriores'!$L$9:$L$234)</f>
        <v>0</v>
      </c>
      <c r="F294" s="525">
        <f>SUMIF(FACTURACIÓN!$C$8:$C$1082,A294,FACTURACIÓN!$K$8:$K$1082)</f>
        <v>0</v>
      </c>
      <c r="G294" s="525">
        <f>SUMIF('INGRESOS A CAJA'!$C$10:$C$954,A294,'INGRESOS A CAJA'!$F$10:$F$954)</f>
        <v>0</v>
      </c>
      <c r="H294" s="525">
        <f>SUMIF('EGRESOS DE CAJA'!$C$10:$C$2251,A294,'EGRESOS DE CAJA'!$G$10:$G$2251)</f>
        <v>0</v>
      </c>
      <c r="I294" s="512">
        <f t="shared" si="6"/>
        <v>0</v>
      </c>
      <c r="J294" s="557"/>
    </row>
    <row r="295" spans="1:10" x14ac:dyDescent="0.2">
      <c r="A295" s="560">
        <v>286</v>
      </c>
      <c r="B295" s="511" t="str">
        <f>_xlfn.XLOOKUP(A295,Códigos!$A$11:$A$415,Códigos!$B$11:$B$415,"Verificar",0)</f>
        <v>NOMBRE 129</v>
      </c>
      <c r="C295" s="727"/>
      <c r="D295" s="525">
        <f>SUMIF('CARTERA años anteriores'!$C$9:$C$234,A295,'CARTERA años anteriores'!$J$9:$J$234)</f>
        <v>0</v>
      </c>
      <c r="E295" s="525">
        <f>SUMIF('CARTERA años anteriores'!$C$9:$C$234,A295,'CARTERA años anteriores'!$L$9:$L$234)</f>
        <v>0</v>
      </c>
      <c r="F295" s="525">
        <f>SUMIF(FACTURACIÓN!$C$8:$C$1082,A295,FACTURACIÓN!$K$8:$K$1082)</f>
        <v>0</v>
      </c>
      <c r="G295" s="525">
        <f>SUMIF('INGRESOS A CAJA'!$C$10:$C$954,A295,'INGRESOS A CAJA'!$F$10:$F$954)</f>
        <v>0</v>
      </c>
      <c r="H295" s="525">
        <f>SUMIF('EGRESOS DE CAJA'!$C$10:$C$2251,A295,'EGRESOS DE CAJA'!$G$10:$G$2251)</f>
        <v>0</v>
      </c>
      <c r="I295" s="512">
        <f t="shared" si="6"/>
        <v>0</v>
      </c>
      <c r="J295" s="557"/>
    </row>
    <row r="296" spans="1:10" x14ac:dyDescent="0.2">
      <c r="A296" s="560">
        <v>287</v>
      </c>
      <c r="B296" s="511" t="str">
        <f>_xlfn.XLOOKUP(A296,Códigos!$A$11:$A$415,Códigos!$B$11:$B$415,"Verificar",0)</f>
        <v>NOMBRE 109</v>
      </c>
      <c r="C296" s="727"/>
      <c r="D296" s="525">
        <f>SUMIF('CARTERA años anteriores'!$C$9:$C$234,A296,'CARTERA años anteriores'!$J$9:$J$234)</f>
        <v>150000</v>
      </c>
      <c r="E296" s="525">
        <f>SUMIF('CARTERA años anteriores'!$C$9:$C$234,A296,'CARTERA años anteriores'!$L$9:$L$234)</f>
        <v>150000</v>
      </c>
      <c r="F296" s="525">
        <f>SUMIF(FACTURACIÓN!$C$8:$C$1082,A296,FACTURACIÓN!$K$8:$K$1082)</f>
        <v>160000</v>
      </c>
      <c r="G296" s="525">
        <f>SUMIF('INGRESOS A CAJA'!$C$10:$C$954,A296,'INGRESOS A CAJA'!$F$10:$F$954)</f>
        <v>150000</v>
      </c>
      <c r="H296" s="525">
        <f>SUMIF('EGRESOS DE CAJA'!$C$10:$C$2251,A296,'EGRESOS DE CAJA'!$G$10:$G$2251)</f>
        <v>0</v>
      </c>
      <c r="I296" s="512">
        <f t="shared" si="6"/>
        <v>0</v>
      </c>
      <c r="J296" s="557"/>
    </row>
    <row r="297" spans="1:10" x14ac:dyDescent="0.2">
      <c r="A297" s="560">
        <v>288</v>
      </c>
      <c r="B297" s="511" t="str">
        <f>_xlfn.XLOOKUP(A297,Códigos!$A$11:$A$415,Códigos!$B$11:$B$415,"Verificar",0)</f>
        <v>NOMBRE 182</v>
      </c>
      <c r="C297" s="727"/>
      <c r="D297" s="525">
        <f>SUMIF('CARTERA años anteriores'!$C$9:$C$234,A297,'CARTERA años anteriores'!$J$9:$J$234)</f>
        <v>0</v>
      </c>
      <c r="E297" s="525">
        <f>SUMIF('CARTERA años anteriores'!$C$9:$C$234,A297,'CARTERA años anteriores'!$L$9:$L$234)</f>
        <v>0</v>
      </c>
      <c r="F297" s="525">
        <f>SUMIF(FACTURACIÓN!$C$8:$C$1082,A297,FACTURACIÓN!$K$8:$K$1082)</f>
        <v>0</v>
      </c>
      <c r="G297" s="525">
        <f>SUMIF('INGRESOS A CAJA'!$C$10:$C$954,A297,'INGRESOS A CAJA'!$F$10:$F$954)</f>
        <v>0</v>
      </c>
      <c r="H297" s="525">
        <f>SUMIF('EGRESOS DE CAJA'!$C$10:$C$2251,A297,'EGRESOS DE CAJA'!$G$10:$G$2251)</f>
        <v>0</v>
      </c>
      <c r="I297" s="512">
        <f t="shared" si="6"/>
        <v>0</v>
      </c>
      <c r="J297" s="557"/>
    </row>
    <row r="298" spans="1:10" x14ac:dyDescent="0.2">
      <c r="A298" s="560">
        <v>289</v>
      </c>
      <c r="B298" s="511" t="str">
        <f>_xlfn.XLOOKUP(A298,Códigos!$A$11:$A$415,Códigos!$B$11:$B$415,"Verificar",0)</f>
        <v>NOMBRE 140</v>
      </c>
      <c r="C298" s="727"/>
      <c r="D298" s="525">
        <f>SUMIF('CARTERA años anteriores'!$C$9:$C$234,A298,'CARTERA años anteriores'!$J$9:$J$234)</f>
        <v>430000</v>
      </c>
      <c r="E298" s="525">
        <f>SUMIF('CARTERA años anteriores'!$C$9:$C$234,A298,'CARTERA años anteriores'!$L$9:$L$234)</f>
        <v>0</v>
      </c>
      <c r="F298" s="525">
        <f>SUMIF(FACTURACIÓN!$C$8:$C$1082,A298,FACTURACIÓN!$K$8:$K$1082)</f>
        <v>450000</v>
      </c>
      <c r="G298" s="525">
        <f>SUMIF('INGRESOS A CAJA'!$C$10:$C$954,A298,'INGRESOS A CAJA'!$F$10:$F$954)</f>
        <v>0</v>
      </c>
      <c r="H298" s="525">
        <f>SUMIF('EGRESOS DE CAJA'!$C$10:$C$2251,A298,'EGRESOS DE CAJA'!$G$10:$G$2251)</f>
        <v>0</v>
      </c>
      <c r="I298" s="512">
        <f t="shared" si="6"/>
        <v>0</v>
      </c>
      <c r="J298" s="557"/>
    </row>
    <row r="299" spans="1:10" x14ac:dyDescent="0.2">
      <c r="A299" s="560">
        <v>290</v>
      </c>
      <c r="B299" s="511" t="str">
        <f>_xlfn.XLOOKUP(A299,Códigos!$A$11:$A$415,Códigos!$B$11:$B$415,"Verificar",0)</f>
        <v>NOMBRE 170</v>
      </c>
      <c r="C299" s="727"/>
      <c r="D299" s="525">
        <f>SUMIF('CARTERA años anteriores'!$C$9:$C$234,A299,'CARTERA años anteriores'!$J$9:$J$234)</f>
        <v>15957100</v>
      </c>
      <c r="E299" s="525">
        <f>SUMIF('CARTERA años anteriores'!$C$9:$C$234,A299,'CARTERA años anteriores'!$L$9:$L$234)</f>
        <v>11983300</v>
      </c>
      <c r="F299" s="525">
        <f>SUMIF(FACTURACIÓN!$C$8:$C$1082,A299,FACTURACIÓN!$K$8:$K$1082)</f>
        <v>0</v>
      </c>
      <c r="G299" s="525">
        <f>SUMIF('INGRESOS A CAJA'!$C$10:$C$954,A299,'INGRESOS A CAJA'!$F$10:$F$954)</f>
        <v>11983300</v>
      </c>
      <c r="H299" s="525">
        <f>SUMIF('EGRESOS DE CAJA'!$C$10:$C$2251,A299,'EGRESOS DE CAJA'!$G$10:$G$2251)</f>
        <v>0</v>
      </c>
      <c r="I299" s="512">
        <f t="shared" si="6"/>
        <v>0</v>
      </c>
      <c r="J299" s="557"/>
    </row>
    <row r="300" spans="1:10" x14ac:dyDescent="0.2">
      <c r="A300" s="560">
        <v>291</v>
      </c>
      <c r="B300" s="511" t="str">
        <f>_xlfn.XLOOKUP(A300,Códigos!$A$11:$A$415,Códigos!$B$11:$B$415,"Verificar",0)</f>
        <v>NOMBRE 173</v>
      </c>
      <c r="C300" s="727"/>
      <c r="D300" s="525">
        <f>SUMIF('CARTERA años anteriores'!$C$9:$C$234,A300,'CARTERA años anteriores'!$J$9:$J$234)</f>
        <v>0</v>
      </c>
      <c r="E300" s="525">
        <f>SUMIF('CARTERA años anteriores'!$C$9:$C$234,A300,'CARTERA años anteriores'!$L$9:$L$234)</f>
        <v>0</v>
      </c>
      <c r="F300" s="525">
        <f>SUMIF(FACTURACIÓN!$C$8:$C$1082,A300,FACTURACIÓN!$K$8:$K$1082)</f>
        <v>0</v>
      </c>
      <c r="G300" s="525">
        <f>SUMIF('INGRESOS A CAJA'!$C$10:$C$954,A300,'INGRESOS A CAJA'!$F$10:$F$954)</f>
        <v>0</v>
      </c>
      <c r="H300" s="525">
        <f>SUMIF('EGRESOS DE CAJA'!$C$10:$C$2251,A300,'EGRESOS DE CAJA'!$G$10:$G$2251)</f>
        <v>0</v>
      </c>
      <c r="I300" s="512">
        <f t="shared" si="6"/>
        <v>0</v>
      </c>
      <c r="J300" s="557"/>
    </row>
    <row r="301" spans="1:10" x14ac:dyDescent="0.2">
      <c r="A301" s="560">
        <v>292</v>
      </c>
      <c r="B301" s="511" t="str">
        <f>_xlfn.XLOOKUP(A301,Códigos!$A$11:$A$415,Códigos!$B$11:$B$415,"Verificar",0)</f>
        <v>NOMBRE 174</v>
      </c>
      <c r="C301" s="727"/>
      <c r="D301" s="525">
        <f>SUMIF('CARTERA años anteriores'!$C$9:$C$234,A301,'CARTERA años anteriores'!$J$9:$J$234)</f>
        <v>0</v>
      </c>
      <c r="E301" s="525">
        <f>SUMIF('CARTERA años anteriores'!$C$9:$C$234,A301,'CARTERA años anteriores'!$L$9:$L$234)</f>
        <v>0</v>
      </c>
      <c r="F301" s="525">
        <f>SUMIF(FACTURACIÓN!$C$8:$C$1082,A301,FACTURACIÓN!$K$8:$K$1082)</f>
        <v>0</v>
      </c>
      <c r="G301" s="525">
        <f>SUMIF('INGRESOS A CAJA'!$C$10:$C$954,A301,'INGRESOS A CAJA'!$F$10:$F$954)</f>
        <v>0</v>
      </c>
      <c r="H301" s="525">
        <f>SUMIF('EGRESOS DE CAJA'!$C$10:$C$2251,A301,'EGRESOS DE CAJA'!$G$10:$G$2251)</f>
        <v>0</v>
      </c>
      <c r="I301" s="512">
        <f t="shared" si="6"/>
        <v>0</v>
      </c>
      <c r="J301" s="557"/>
    </row>
    <row r="302" spans="1:10" x14ac:dyDescent="0.2">
      <c r="A302" s="560">
        <v>293</v>
      </c>
      <c r="B302" s="511" t="str">
        <f>_xlfn.XLOOKUP(A302,Códigos!$A$11:$A$415,Códigos!$B$11:$B$415,"Verificar",0)</f>
        <v>NOMBRE 175</v>
      </c>
      <c r="C302" s="727"/>
      <c r="D302" s="525">
        <f>SUMIF('CARTERA años anteriores'!$C$9:$C$234,A302,'CARTERA años anteriores'!$J$9:$J$234)</f>
        <v>0</v>
      </c>
      <c r="E302" s="525">
        <f>SUMIF('CARTERA años anteriores'!$C$9:$C$234,A302,'CARTERA años anteriores'!$L$9:$L$234)</f>
        <v>0</v>
      </c>
      <c r="F302" s="525">
        <f>SUMIF(FACTURACIÓN!$C$8:$C$1082,A302,FACTURACIÓN!$K$8:$K$1082)</f>
        <v>0</v>
      </c>
      <c r="G302" s="525">
        <f>SUMIF('INGRESOS A CAJA'!$C$10:$C$954,A302,'INGRESOS A CAJA'!$F$10:$F$954)</f>
        <v>0</v>
      </c>
      <c r="H302" s="525">
        <f>SUMIF('EGRESOS DE CAJA'!$C$10:$C$2251,A302,'EGRESOS DE CAJA'!$G$10:$G$2251)</f>
        <v>0</v>
      </c>
      <c r="I302" s="512">
        <f t="shared" si="6"/>
        <v>0</v>
      </c>
      <c r="J302" s="557"/>
    </row>
    <row r="303" spans="1:10" x14ac:dyDescent="0.2">
      <c r="A303" s="560">
        <v>294</v>
      </c>
      <c r="B303" s="511" t="str">
        <f>_xlfn.XLOOKUP(A303,Códigos!$A$11:$A$415,Códigos!$B$11:$B$415,"Verificar",0)</f>
        <v>NOMBRE 296</v>
      </c>
      <c r="C303" s="727"/>
      <c r="D303" s="525">
        <f>SUMIF('CARTERA años anteriores'!$C$9:$C$234,A303,'CARTERA años anteriores'!$J$9:$J$234)</f>
        <v>0</v>
      </c>
      <c r="E303" s="525">
        <f>SUMIF('CARTERA años anteriores'!$C$9:$C$234,A303,'CARTERA años anteriores'!$L$9:$L$234)</f>
        <v>0</v>
      </c>
      <c r="F303" s="525">
        <f>SUMIF(FACTURACIÓN!$C$8:$C$1082,A303,FACTURACIÓN!$K$8:$K$1082)</f>
        <v>0</v>
      </c>
      <c r="G303" s="525">
        <f>SUMIF('INGRESOS A CAJA'!$C$10:$C$954,A303,'INGRESOS A CAJA'!$F$10:$F$954)</f>
        <v>0</v>
      </c>
      <c r="H303" s="525">
        <f>SUMIF('EGRESOS DE CAJA'!$C$10:$C$2251,A303,'EGRESOS DE CAJA'!$G$10:$G$2251)</f>
        <v>0</v>
      </c>
      <c r="I303" s="512">
        <f t="shared" si="6"/>
        <v>0</v>
      </c>
      <c r="J303" s="557"/>
    </row>
    <row r="304" spans="1:10" x14ac:dyDescent="0.2">
      <c r="A304" s="560">
        <v>295</v>
      </c>
      <c r="B304" s="511" t="str">
        <f>_xlfn.XLOOKUP(A304,Códigos!$A$11:$A$415,Códigos!$B$11:$B$415,"Verificar",0)</f>
        <v>NOMBRE 77</v>
      </c>
      <c r="C304" s="727"/>
      <c r="D304" s="525">
        <f>SUMIF('CARTERA años anteriores'!$C$9:$C$234,A304,'CARTERA años anteriores'!$J$9:$J$234)</f>
        <v>0</v>
      </c>
      <c r="E304" s="525">
        <f>SUMIF('CARTERA años anteriores'!$C$9:$C$234,A304,'CARTERA años anteriores'!$L$9:$L$234)</f>
        <v>0</v>
      </c>
      <c r="F304" s="525">
        <f>SUMIF(FACTURACIÓN!$C$8:$C$1082,A304,FACTURACIÓN!$K$8:$K$1082)</f>
        <v>900000</v>
      </c>
      <c r="G304" s="525">
        <f>SUMIF('INGRESOS A CAJA'!$C$10:$C$954,A304,'INGRESOS A CAJA'!$F$10:$F$954)</f>
        <v>900000</v>
      </c>
      <c r="H304" s="525">
        <f>SUMIF('EGRESOS DE CAJA'!$C$10:$C$2251,A304,'EGRESOS DE CAJA'!$G$10:$G$2251)</f>
        <v>0</v>
      </c>
      <c r="I304" s="512">
        <f t="shared" si="6"/>
        <v>0</v>
      </c>
      <c r="J304" s="557"/>
    </row>
    <row r="305" spans="1:10" x14ac:dyDescent="0.2">
      <c r="A305" s="560">
        <v>296</v>
      </c>
      <c r="B305" s="511" t="str">
        <f>_xlfn.XLOOKUP(A305,Códigos!$A$11:$A$415,Códigos!$B$11:$B$415,"Verificar",0)</f>
        <v>NOMBRE 300</v>
      </c>
      <c r="C305" s="727"/>
      <c r="D305" s="525">
        <f>SUMIF('CARTERA años anteriores'!$C$9:$C$234,A305,'CARTERA años anteriores'!$J$9:$J$234)</f>
        <v>2701300</v>
      </c>
      <c r="E305" s="525">
        <f>SUMIF('CARTERA años anteriores'!$C$9:$C$234,A305,'CARTERA años anteriores'!$L$9:$L$234)</f>
        <v>2165800</v>
      </c>
      <c r="F305" s="525">
        <f>SUMIF(FACTURACIÓN!$C$8:$C$1082,A305,FACTURACIÓN!$K$8:$K$1082)</f>
        <v>0</v>
      </c>
      <c r="G305" s="525">
        <f>SUMIF('INGRESOS A CAJA'!$C$10:$C$954,A305,'INGRESOS A CAJA'!$F$10:$F$954)</f>
        <v>2165800</v>
      </c>
      <c r="H305" s="525">
        <f>SUMIF('EGRESOS DE CAJA'!$C$10:$C$2251,A305,'EGRESOS DE CAJA'!$G$10:$G$2251)</f>
        <v>0</v>
      </c>
      <c r="I305" s="512">
        <f t="shared" si="6"/>
        <v>0</v>
      </c>
      <c r="J305" s="557"/>
    </row>
    <row r="306" spans="1:10" x14ac:dyDescent="0.2">
      <c r="A306" s="560">
        <v>297</v>
      </c>
      <c r="B306" s="511" t="str">
        <f>_xlfn.XLOOKUP(A306,Códigos!$A$11:$A$415,Códigos!$B$11:$B$415,"Verificar",0)</f>
        <v>NOMBRE 252</v>
      </c>
      <c r="C306" s="727"/>
      <c r="D306" s="525">
        <f>SUMIF('CARTERA años anteriores'!$C$9:$C$234,A306,'CARTERA años anteriores'!$J$9:$J$234)</f>
        <v>0</v>
      </c>
      <c r="E306" s="525">
        <f>SUMIF('CARTERA años anteriores'!$C$9:$C$234,A306,'CARTERA años anteriores'!$L$9:$L$234)</f>
        <v>0</v>
      </c>
      <c r="F306" s="525">
        <f>SUMIF(FACTURACIÓN!$C$8:$C$1082,A306,FACTURACIÓN!$K$8:$K$1082)</f>
        <v>0</v>
      </c>
      <c r="G306" s="525">
        <f>SUMIF('INGRESOS A CAJA'!$C$10:$C$954,A306,'INGRESOS A CAJA'!$F$10:$F$954)</f>
        <v>0</v>
      </c>
      <c r="H306" s="525">
        <f>SUMIF('EGRESOS DE CAJA'!$C$10:$C$2251,A306,'EGRESOS DE CAJA'!$G$10:$G$2251)</f>
        <v>0</v>
      </c>
      <c r="I306" s="512">
        <f t="shared" si="6"/>
        <v>0</v>
      </c>
      <c r="J306" s="557"/>
    </row>
    <row r="307" spans="1:10" x14ac:dyDescent="0.2">
      <c r="A307" s="560">
        <v>298</v>
      </c>
      <c r="B307" s="511" t="str">
        <f>_xlfn.XLOOKUP(A307,Códigos!$A$11:$A$415,Códigos!$B$11:$B$415,"Verificar",0)</f>
        <v>NOMBRE 283</v>
      </c>
      <c r="C307" s="727"/>
      <c r="D307" s="525">
        <f>SUMIF('CARTERA años anteriores'!$C$9:$C$234,A307,'CARTERA años anteriores'!$J$9:$J$234)</f>
        <v>0</v>
      </c>
      <c r="E307" s="525">
        <f>SUMIF('CARTERA años anteriores'!$C$9:$C$234,A307,'CARTERA años anteriores'!$L$9:$L$234)</f>
        <v>0</v>
      </c>
      <c r="F307" s="525">
        <f>SUMIF(FACTURACIÓN!$C$8:$C$1082,A307,FACTURACIÓN!$K$8:$K$1082)</f>
        <v>520000</v>
      </c>
      <c r="G307" s="525">
        <f>SUMIF('INGRESOS A CAJA'!$C$10:$C$954,A307,'INGRESOS A CAJA'!$F$10:$F$954)</f>
        <v>0</v>
      </c>
      <c r="H307" s="525">
        <f>SUMIF('EGRESOS DE CAJA'!$C$10:$C$2251,A307,'EGRESOS DE CAJA'!$G$10:$G$2251)</f>
        <v>438000</v>
      </c>
      <c r="I307" s="512">
        <f t="shared" si="6"/>
        <v>0</v>
      </c>
      <c r="J307" s="557"/>
    </row>
    <row r="308" spans="1:10" x14ac:dyDescent="0.2">
      <c r="A308" s="560">
        <v>299</v>
      </c>
      <c r="B308" s="511" t="str">
        <f>_xlfn.XLOOKUP(A308,Códigos!$A$11:$A$415,Códigos!$B$11:$B$415,"Verificar",0)</f>
        <v>NOMBRE 76</v>
      </c>
      <c r="C308" s="727"/>
      <c r="D308" s="525">
        <f>SUMIF('CARTERA años anteriores'!$C$9:$C$234,A308,'CARTERA años anteriores'!$J$9:$J$234)</f>
        <v>0</v>
      </c>
      <c r="E308" s="525">
        <f>SUMIF('CARTERA años anteriores'!$C$9:$C$234,A308,'CARTERA años anteriores'!$L$9:$L$234)</f>
        <v>0</v>
      </c>
      <c r="F308" s="525">
        <f>SUMIF(FACTURACIÓN!$C$8:$C$1082,A308,FACTURACIÓN!$K$8:$K$1082)</f>
        <v>640000</v>
      </c>
      <c r="G308" s="525">
        <f>SUMIF('INGRESOS A CAJA'!$C$10:$C$954,A308,'INGRESOS A CAJA'!$F$10:$F$954)</f>
        <v>640000</v>
      </c>
      <c r="H308" s="525">
        <f>SUMIF('EGRESOS DE CAJA'!$C$10:$C$2251,A308,'EGRESOS DE CAJA'!$G$10:$G$2251)</f>
        <v>0</v>
      </c>
      <c r="I308" s="512">
        <f t="shared" si="6"/>
        <v>0</v>
      </c>
      <c r="J308" s="557"/>
    </row>
    <row r="309" spans="1:10" x14ac:dyDescent="0.2">
      <c r="A309" s="560">
        <v>300</v>
      </c>
      <c r="B309" s="511" t="str">
        <f>_xlfn.XLOOKUP(A309,Códigos!$A$11:$A$415,Códigos!$B$11:$B$415,"Verificar",0)</f>
        <v>NOMBRE 3</v>
      </c>
      <c r="C309" s="727"/>
      <c r="D309" s="525">
        <f>SUMIF('CARTERA años anteriores'!$C$9:$C$234,A309,'CARTERA años anteriores'!$J$9:$J$234)</f>
        <v>0</v>
      </c>
      <c r="E309" s="525">
        <f>SUMIF('CARTERA años anteriores'!$C$9:$C$234,A309,'CARTERA años anteriores'!$L$9:$L$234)</f>
        <v>0</v>
      </c>
      <c r="F309" s="525">
        <f>SUMIF(FACTURACIÓN!$C$8:$C$1082,A309,FACTURACIÓN!$K$8:$K$1082)</f>
        <v>470000</v>
      </c>
      <c r="G309" s="525">
        <f>SUMIF('INGRESOS A CAJA'!$C$10:$C$954,A309,'INGRESOS A CAJA'!$F$10:$F$954)</f>
        <v>0</v>
      </c>
      <c r="H309" s="525">
        <f>SUMIF('EGRESOS DE CAJA'!$C$10:$C$2251,A309,'EGRESOS DE CAJA'!$G$10:$G$2251)</f>
        <v>0</v>
      </c>
      <c r="I309" s="512">
        <f t="shared" si="6"/>
        <v>0</v>
      </c>
      <c r="J309" s="557"/>
    </row>
    <row r="310" spans="1:10" x14ac:dyDescent="0.2">
      <c r="A310" s="560">
        <v>301</v>
      </c>
      <c r="B310" s="511" t="str">
        <f>_xlfn.XLOOKUP(A310,Códigos!$A$11:$A$415,Códigos!$B$11:$B$415,"Verificar",0)</f>
        <v>NOMBRE 84</v>
      </c>
      <c r="C310" s="727"/>
      <c r="D310" s="525">
        <f>SUMIF('CARTERA años anteriores'!$C$9:$C$234,A310,'CARTERA años anteriores'!$J$9:$J$234)</f>
        <v>0</v>
      </c>
      <c r="E310" s="525">
        <f>SUMIF('CARTERA años anteriores'!$C$9:$C$234,A310,'CARTERA años anteriores'!$L$9:$L$234)</f>
        <v>0</v>
      </c>
      <c r="F310" s="525">
        <f>SUMIF(FACTURACIÓN!$C$8:$C$1082,A310,FACTURACIÓN!$K$8:$K$1082)</f>
        <v>0</v>
      </c>
      <c r="G310" s="525">
        <f>SUMIF('INGRESOS A CAJA'!$C$10:$C$954,A310,'INGRESOS A CAJA'!$F$10:$F$954)</f>
        <v>0</v>
      </c>
      <c r="H310" s="525">
        <f>SUMIF('EGRESOS DE CAJA'!$C$10:$C$2251,A310,'EGRESOS DE CAJA'!$G$10:$G$2251)</f>
        <v>0</v>
      </c>
      <c r="I310" s="512">
        <f t="shared" si="6"/>
        <v>0</v>
      </c>
      <c r="J310" s="557"/>
    </row>
    <row r="311" spans="1:10" x14ac:dyDescent="0.2">
      <c r="A311" s="560">
        <v>302</v>
      </c>
      <c r="B311" s="511" t="str">
        <f>_xlfn.XLOOKUP(A311,Códigos!$A$11:$A$415,Códigos!$B$11:$B$415,"Verificar",0)</f>
        <v>NOMBRE 258</v>
      </c>
      <c r="C311" s="727"/>
      <c r="D311" s="525">
        <f>SUMIF('CARTERA años anteriores'!$C$9:$C$234,A311,'CARTERA años anteriores'!$J$9:$J$234)</f>
        <v>0</v>
      </c>
      <c r="E311" s="525">
        <f>SUMIF('CARTERA años anteriores'!$C$9:$C$234,A311,'CARTERA años anteriores'!$L$9:$L$234)</f>
        <v>0</v>
      </c>
      <c r="F311" s="525">
        <f>SUMIF(FACTURACIÓN!$C$8:$C$1082,A311,FACTURACIÓN!$K$8:$K$1082)</f>
        <v>0</v>
      </c>
      <c r="G311" s="525">
        <f>SUMIF('INGRESOS A CAJA'!$C$10:$C$954,A311,'INGRESOS A CAJA'!$F$10:$F$954)</f>
        <v>0</v>
      </c>
      <c r="H311" s="525">
        <f>SUMIF('EGRESOS DE CAJA'!$C$10:$C$2251,A311,'EGRESOS DE CAJA'!$G$10:$G$2251)</f>
        <v>0</v>
      </c>
      <c r="I311" s="512">
        <f t="shared" si="6"/>
        <v>0</v>
      </c>
      <c r="J311" s="557"/>
    </row>
    <row r="312" spans="1:10" x14ac:dyDescent="0.2">
      <c r="A312" s="560">
        <v>303</v>
      </c>
      <c r="B312" s="511" t="str">
        <f>_xlfn.XLOOKUP(A312,Códigos!$A$11:$A$415,Códigos!$B$11:$B$415,"Verificar",0)</f>
        <v>NOMBRE 66</v>
      </c>
      <c r="C312" s="727"/>
      <c r="D312" s="525">
        <f>SUMIF('CARTERA años anteriores'!$C$9:$C$234,A312,'CARTERA años anteriores'!$J$9:$J$234)</f>
        <v>0</v>
      </c>
      <c r="E312" s="525">
        <f>SUMIF('CARTERA años anteriores'!$C$9:$C$234,A312,'CARTERA años anteriores'!$L$9:$L$234)</f>
        <v>0</v>
      </c>
      <c r="F312" s="525">
        <f>SUMIF(FACTURACIÓN!$C$8:$C$1082,A312,FACTURACIÓN!$K$8:$K$1082)</f>
        <v>1370000</v>
      </c>
      <c r="G312" s="525">
        <f>SUMIF('INGRESOS A CAJA'!$C$10:$C$954,A312,'INGRESOS A CAJA'!$F$10:$F$954)</f>
        <v>0</v>
      </c>
      <c r="H312" s="525">
        <f>SUMIF('EGRESOS DE CAJA'!$C$10:$C$2251,A312,'EGRESOS DE CAJA'!$G$10:$G$2251)</f>
        <v>0</v>
      </c>
      <c r="I312" s="512">
        <f t="shared" si="6"/>
        <v>0</v>
      </c>
      <c r="J312" s="557"/>
    </row>
    <row r="313" spans="1:10" x14ac:dyDescent="0.2">
      <c r="A313" s="560">
        <v>304</v>
      </c>
      <c r="B313" s="511" t="str">
        <f>_xlfn.XLOOKUP(A313,Códigos!$A$11:$A$415,Códigos!$B$11:$B$415,"Verificar",0)</f>
        <v>NOMBRE 281</v>
      </c>
      <c r="C313" s="727"/>
      <c r="D313" s="525">
        <f>SUMIF('CARTERA años anteriores'!$C$9:$C$234,A313,'CARTERA años anteriores'!$J$9:$J$234)</f>
        <v>0</v>
      </c>
      <c r="E313" s="525">
        <f>SUMIF('CARTERA años anteriores'!$C$9:$C$234,A313,'CARTERA años anteriores'!$L$9:$L$234)</f>
        <v>0</v>
      </c>
      <c r="F313" s="525">
        <f>SUMIF(FACTURACIÓN!$C$8:$C$1082,A313,FACTURACIÓN!$K$8:$K$1082)</f>
        <v>0</v>
      </c>
      <c r="G313" s="525">
        <f>SUMIF('INGRESOS A CAJA'!$C$10:$C$954,A313,'INGRESOS A CAJA'!$F$10:$F$954)</f>
        <v>0</v>
      </c>
      <c r="H313" s="525">
        <f>SUMIF('EGRESOS DE CAJA'!$C$10:$C$2251,A313,'EGRESOS DE CAJA'!$G$10:$G$2251)</f>
        <v>0</v>
      </c>
      <c r="I313" s="512">
        <f t="shared" si="6"/>
        <v>0</v>
      </c>
      <c r="J313" s="557"/>
    </row>
    <row r="314" spans="1:10" x14ac:dyDescent="0.2">
      <c r="A314" s="560">
        <v>305</v>
      </c>
      <c r="B314" s="511" t="str">
        <f>_xlfn.XLOOKUP(A314,Códigos!$A$11:$A$415,Códigos!$B$11:$B$415,"Verificar",0)</f>
        <v>NOMBRE 137</v>
      </c>
      <c r="C314" s="727"/>
      <c r="D314" s="525">
        <f>SUMIF('CARTERA años anteriores'!$C$9:$C$234,A314,'CARTERA años anteriores'!$J$9:$J$234)</f>
        <v>0</v>
      </c>
      <c r="E314" s="525">
        <f>SUMIF('CARTERA años anteriores'!$C$9:$C$234,A314,'CARTERA años anteriores'!$L$9:$L$234)</f>
        <v>0</v>
      </c>
      <c r="F314" s="525">
        <f>SUMIF(FACTURACIÓN!$C$8:$C$1082,A314,FACTURACIÓN!$K$8:$K$1082)</f>
        <v>370000</v>
      </c>
      <c r="G314" s="525">
        <f>SUMIF('INGRESOS A CAJA'!$C$10:$C$954,A314,'INGRESOS A CAJA'!$F$10:$F$954)</f>
        <v>370000</v>
      </c>
      <c r="H314" s="525">
        <f>SUMIF('EGRESOS DE CAJA'!$C$10:$C$2251,A314,'EGRESOS DE CAJA'!$G$10:$G$2251)</f>
        <v>0</v>
      </c>
      <c r="I314" s="512">
        <f t="shared" si="6"/>
        <v>0</v>
      </c>
      <c r="J314" s="557"/>
    </row>
    <row r="315" spans="1:10" x14ac:dyDescent="0.2">
      <c r="A315" s="560">
        <v>306</v>
      </c>
      <c r="B315" s="511" t="str">
        <f>_xlfn.XLOOKUP(A315,Códigos!$A$11:$A$415,Códigos!$B$11:$B$415,"Verificar",0)</f>
        <v>NOMBRE 33</v>
      </c>
      <c r="C315" s="727"/>
      <c r="D315" s="525">
        <f>SUMIF('CARTERA años anteriores'!$C$9:$C$234,A315,'CARTERA años anteriores'!$J$9:$J$234)</f>
        <v>630000</v>
      </c>
      <c r="E315" s="525">
        <f>SUMIF('CARTERA años anteriores'!$C$9:$C$234,A315,'CARTERA años anteriores'!$L$9:$L$234)</f>
        <v>330000</v>
      </c>
      <c r="F315" s="525">
        <f>SUMIF(FACTURACIÓN!$C$8:$C$1082,A315,FACTURACIÓN!$K$8:$K$1082)</f>
        <v>450000</v>
      </c>
      <c r="G315" s="525">
        <f>SUMIF('INGRESOS A CAJA'!$C$10:$C$954,A315,'INGRESOS A CAJA'!$F$10:$F$954)</f>
        <v>780000</v>
      </c>
      <c r="H315" s="525">
        <f>SUMIF('EGRESOS DE CAJA'!$C$10:$C$2251,A315,'EGRESOS DE CAJA'!$G$10:$G$2251)</f>
        <v>0</v>
      </c>
      <c r="I315" s="512">
        <f t="shared" si="6"/>
        <v>0</v>
      </c>
      <c r="J315" s="557"/>
    </row>
    <row r="316" spans="1:10" x14ac:dyDescent="0.2">
      <c r="A316" s="560">
        <v>307</v>
      </c>
      <c r="B316" s="511" t="str">
        <f>_xlfn.XLOOKUP(A316,Códigos!$A$11:$A$415,Códigos!$B$11:$B$415,"Verificar",0)</f>
        <v>NOMBRE 275</v>
      </c>
      <c r="C316" s="727"/>
      <c r="D316" s="525">
        <f>SUMIF('CARTERA años anteriores'!$C$9:$C$234,A316,'CARTERA años anteriores'!$J$9:$J$234)</f>
        <v>0</v>
      </c>
      <c r="E316" s="525">
        <f>SUMIF('CARTERA años anteriores'!$C$9:$C$234,A316,'CARTERA años anteriores'!$L$9:$L$234)</f>
        <v>0</v>
      </c>
      <c r="F316" s="525">
        <f>SUMIF(FACTURACIÓN!$C$8:$C$1082,A316,FACTURACIÓN!$K$8:$K$1082)</f>
        <v>0</v>
      </c>
      <c r="G316" s="525">
        <f>SUMIF('INGRESOS A CAJA'!$C$10:$C$954,A316,'INGRESOS A CAJA'!$F$10:$F$954)</f>
        <v>0</v>
      </c>
      <c r="H316" s="525">
        <f>SUMIF('EGRESOS DE CAJA'!$C$10:$C$2251,A316,'EGRESOS DE CAJA'!$G$10:$G$2251)</f>
        <v>0</v>
      </c>
      <c r="I316" s="512">
        <f t="shared" si="6"/>
        <v>0</v>
      </c>
      <c r="J316" s="557"/>
    </row>
    <row r="317" spans="1:10" x14ac:dyDescent="0.2">
      <c r="A317" s="560">
        <v>308</v>
      </c>
      <c r="B317" s="511" t="str">
        <f>_xlfn.XLOOKUP(A317,Códigos!$A$11:$A$415,Códigos!$B$11:$B$415,"Verificar",0)</f>
        <v>NOMBRE 277</v>
      </c>
      <c r="C317" s="727"/>
      <c r="D317" s="525">
        <f>SUMIF('CARTERA años anteriores'!$C$9:$C$234,A317,'CARTERA años anteriores'!$J$9:$J$234)</f>
        <v>0</v>
      </c>
      <c r="E317" s="525">
        <f>SUMIF('CARTERA años anteriores'!$C$9:$C$234,A317,'CARTERA años anteriores'!$L$9:$L$234)</f>
        <v>0</v>
      </c>
      <c r="F317" s="525">
        <f>SUMIF(FACTURACIÓN!$C$8:$C$1082,A317,FACTURACIÓN!$K$8:$K$1082)</f>
        <v>230000</v>
      </c>
      <c r="G317" s="525">
        <f>SUMIF('INGRESOS A CAJA'!$C$10:$C$954,A317,'INGRESOS A CAJA'!$F$10:$F$954)</f>
        <v>0</v>
      </c>
      <c r="H317" s="525">
        <f>SUMIF('EGRESOS DE CAJA'!$C$10:$C$2251,A317,'EGRESOS DE CAJA'!$G$10:$G$2251)</f>
        <v>0</v>
      </c>
      <c r="I317" s="512">
        <f t="shared" si="6"/>
        <v>0</v>
      </c>
      <c r="J317" s="557"/>
    </row>
    <row r="318" spans="1:10" x14ac:dyDescent="0.2">
      <c r="A318" s="560">
        <v>309</v>
      </c>
      <c r="B318" s="511" t="str">
        <f>_xlfn.XLOOKUP(A318,Códigos!$A$11:$A$415,Códigos!$B$11:$B$415,"Verificar",0)</f>
        <v>NOMBRE 91</v>
      </c>
      <c r="C318" s="727"/>
      <c r="D318" s="525">
        <f>SUMIF('CARTERA años anteriores'!$C$9:$C$234,A318,'CARTERA años anteriores'!$J$9:$J$234)</f>
        <v>0</v>
      </c>
      <c r="E318" s="525">
        <f>SUMIF('CARTERA años anteriores'!$C$9:$C$234,A318,'CARTERA años anteriores'!$L$9:$L$234)</f>
        <v>0</v>
      </c>
      <c r="F318" s="525">
        <f>SUMIF(FACTURACIÓN!$C$8:$C$1082,A318,FACTURACIÓN!$K$8:$K$1082)</f>
        <v>160000</v>
      </c>
      <c r="G318" s="525">
        <f>SUMIF('INGRESOS A CAJA'!$C$10:$C$954,A318,'INGRESOS A CAJA'!$F$10:$F$954)</f>
        <v>0</v>
      </c>
      <c r="H318" s="525">
        <f>SUMIF('EGRESOS DE CAJA'!$C$10:$C$2251,A318,'EGRESOS DE CAJA'!$G$10:$G$2251)</f>
        <v>0</v>
      </c>
      <c r="I318" s="512">
        <f t="shared" si="6"/>
        <v>0</v>
      </c>
      <c r="J318" s="557"/>
    </row>
    <row r="319" spans="1:10" x14ac:dyDescent="0.2">
      <c r="A319" s="560">
        <v>310</v>
      </c>
      <c r="B319" s="511" t="str">
        <f>_xlfn.XLOOKUP(A319,Códigos!$A$11:$A$415,Códigos!$B$11:$B$415,"Verificar",0)</f>
        <v>NOMBRE 177</v>
      </c>
      <c r="C319" s="727"/>
      <c r="D319" s="525">
        <f>SUMIF('CARTERA años anteriores'!$C$9:$C$234,A319,'CARTERA años anteriores'!$J$9:$J$234)</f>
        <v>0</v>
      </c>
      <c r="E319" s="525">
        <f>SUMIF('CARTERA años anteriores'!$C$9:$C$234,A319,'CARTERA años anteriores'!$L$9:$L$234)</f>
        <v>0</v>
      </c>
      <c r="F319" s="525">
        <f>SUMIF(FACTURACIÓN!$C$8:$C$1082,A319,FACTURACIÓN!$K$8:$K$1082)</f>
        <v>0</v>
      </c>
      <c r="G319" s="525">
        <f>SUMIF('INGRESOS A CAJA'!$C$10:$C$954,A319,'INGRESOS A CAJA'!$F$10:$F$954)</f>
        <v>0</v>
      </c>
      <c r="H319" s="525">
        <f>SUMIF('EGRESOS DE CAJA'!$C$10:$C$2251,A319,'EGRESOS DE CAJA'!$G$10:$G$2251)</f>
        <v>0</v>
      </c>
      <c r="I319" s="512">
        <f t="shared" si="6"/>
        <v>0</v>
      </c>
      <c r="J319" s="557"/>
    </row>
    <row r="320" spans="1:10" x14ac:dyDescent="0.2">
      <c r="A320" s="560">
        <v>311</v>
      </c>
      <c r="B320" s="511" t="str">
        <f>_xlfn.XLOOKUP(A320,Códigos!$A$11:$A$415,Códigos!$B$11:$B$415,"Verificar",0)</f>
        <v>NOMBRE 315</v>
      </c>
      <c r="C320" s="727"/>
      <c r="D320" s="525">
        <f>SUMIF('CARTERA años anteriores'!$C$9:$C$234,A320,'CARTERA años anteriores'!$J$9:$J$234)</f>
        <v>0</v>
      </c>
      <c r="E320" s="525">
        <f>SUMIF('CARTERA años anteriores'!$C$9:$C$234,A320,'CARTERA años anteriores'!$L$9:$L$234)</f>
        <v>0</v>
      </c>
      <c r="F320" s="525">
        <f>SUMIF(FACTURACIÓN!$C$8:$C$1082,A320,FACTURACIÓN!$K$8:$K$1082)</f>
        <v>1000000</v>
      </c>
      <c r="G320" s="525">
        <f>SUMIF('INGRESOS A CAJA'!$C$10:$C$954,A320,'INGRESOS A CAJA'!$F$10:$F$954)</f>
        <v>0</v>
      </c>
      <c r="H320" s="525">
        <f>SUMIF('EGRESOS DE CAJA'!$C$10:$C$2251,A320,'EGRESOS DE CAJA'!$G$10:$G$2251)</f>
        <v>0</v>
      </c>
      <c r="I320" s="512">
        <f t="shared" si="6"/>
        <v>0</v>
      </c>
      <c r="J320" s="557"/>
    </row>
    <row r="321" spans="1:10" x14ac:dyDescent="0.2">
      <c r="A321" s="560">
        <v>312</v>
      </c>
      <c r="B321" s="511" t="str">
        <f>_xlfn.XLOOKUP(A321,Códigos!$A$11:$A$415,Códigos!$B$11:$B$415,"Verificar",0)</f>
        <v>NOMBRE 4</v>
      </c>
      <c r="C321" s="727"/>
      <c r="D321" s="525">
        <f>SUMIF('CARTERA años anteriores'!$C$9:$C$234,A321,'CARTERA años anteriores'!$J$9:$J$234)</f>
        <v>0</v>
      </c>
      <c r="E321" s="525">
        <f>SUMIF('CARTERA años anteriores'!$C$9:$C$234,A321,'CARTERA años anteriores'!$L$9:$L$234)</f>
        <v>0</v>
      </c>
      <c r="F321" s="525">
        <f>SUMIF(FACTURACIÓN!$C$8:$C$1082,A321,FACTURACIÓN!$K$8:$K$1082)</f>
        <v>0</v>
      </c>
      <c r="G321" s="525">
        <f>SUMIF('INGRESOS A CAJA'!$C$10:$C$954,A321,'INGRESOS A CAJA'!$F$10:$F$954)</f>
        <v>0</v>
      </c>
      <c r="H321" s="525">
        <f>SUMIF('EGRESOS DE CAJA'!$C$10:$C$2251,A321,'EGRESOS DE CAJA'!$G$10:$G$2251)</f>
        <v>0</v>
      </c>
      <c r="I321" s="512">
        <f t="shared" si="6"/>
        <v>0</v>
      </c>
      <c r="J321" s="557"/>
    </row>
    <row r="322" spans="1:10" x14ac:dyDescent="0.2">
      <c r="A322" s="560">
        <v>313</v>
      </c>
      <c r="B322" s="511" t="str">
        <f>_xlfn.XLOOKUP(A322,Códigos!$A$11:$A$415,Códigos!$B$11:$B$415,"Verificar",0)</f>
        <v>NOMBRE 70</v>
      </c>
      <c r="C322" s="727"/>
      <c r="D322" s="525">
        <f>SUMIF('CARTERA años anteriores'!$C$9:$C$234,A322,'CARTERA años anteriores'!$J$9:$J$234)</f>
        <v>0</v>
      </c>
      <c r="E322" s="525">
        <f>SUMIF('CARTERA años anteriores'!$C$9:$C$234,A322,'CARTERA años anteriores'!$L$9:$L$234)</f>
        <v>0</v>
      </c>
      <c r="F322" s="525">
        <f>SUMIF(FACTURACIÓN!$C$8:$C$1082,A322,FACTURACIÓN!$K$8:$K$1082)</f>
        <v>0</v>
      </c>
      <c r="G322" s="525">
        <f>SUMIF('INGRESOS A CAJA'!$C$10:$C$954,A322,'INGRESOS A CAJA'!$F$10:$F$954)</f>
        <v>0</v>
      </c>
      <c r="H322" s="525">
        <f>SUMIF('EGRESOS DE CAJA'!$C$10:$C$2251,A322,'EGRESOS DE CAJA'!$G$10:$G$2251)</f>
        <v>0</v>
      </c>
      <c r="I322" s="512">
        <f t="shared" si="6"/>
        <v>0</v>
      </c>
      <c r="J322" s="557"/>
    </row>
    <row r="323" spans="1:10" x14ac:dyDescent="0.2">
      <c r="A323" s="560">
        <v>314</v>
      </c>
      <c r="B323" s="511" t="str">
        <f>_xlfn.XLOOKUP(A323,Códigos!$A$11:$A$415,Códigos!$B$11:$B$415,"Verificar",0)</f>
        <v>NOMBRE 150</v>
      </c>
      <c r="C323" s="727"/>
      <c r="D323" s="525">
        <f>SUMIF('CARTERA años anteriores'!$C$9:$C$234,A323,'CARTERA años anteriores'!$J$9:$J$234)</f>
        <v>0</v>
      </c>
      <c r="E323" s="525">
        <f>SUMIF('CARTERA años anteriores'!$C$9:$C$234,A323,'CARTERA años anteriores'!$L$9:$L$234)</f>
        <v>0</v>
      </c>
      <c r="F323" s="525">
        <f>SUMIF(FACTURACIÓN!$C$8:$C$1082,A323,FACTURACIÓN!$K$8:$K$1082)</f>
        <v>0</v>
      </c>
      <c r="G323" s="525">
        <f>SUMIF('INGRESOS A CAJA'!$C$10:$C$954,A323,'INGRESOS A CAJA'!$F$10:$F$954)</f>
        <v>0</v>
      </c>
      <c r="H323" s="525">
        <f>SUMIF('EGRESOS DE CAJA'!$C$10:$C$2251,A323,'EGRESOS DE CAJA'!$G$10:$G$2251)</f>
        <v>0</v>
      </c>
      <c r="I323" s="512">
        <f t="shared" si="6"/>
        <v>0</v>
      </c>
      <c r="J323" s="557"/>
    </row>
    <row r="324" spans="1:10" x14ac:dyDescent="0.2">
      <c r="A324" s="560">
        <v>315</v>
      </c>
      <c r="B324" s="511" t="str">
        <f>_xlfn.XLOOKUP(A324,Códigos!$A$11:$A$415,Códigos!$B$11:$B$415,"Verificar",0)</f>
        <v>NOMBRE 183</v>
      </c>
      <c r="C324" s="727"/>
      <c r="D324" s="525">
        <f>SUMIF('CARTERA años anteriores'!$C$9:$C$234,A324,'CARTERA años anteriores'!$J$9:$J$234)</f>
        <v>0</v>
      </c>
      <c r="E324" s="525">
        <f>SUMIF('CARTERA años anteriores'!$C$9:$C$234,A324,'CARTERA años anteriores'!$L$9:$L$234)</f>
        <v>0</v>
      </c>
      <c r="F324" s="525">
        <f>SUMIF(FACTURACIÓN!$C$8:$C$1082,A324,FACTURACIÓN!$K$8:$K$1082)</f>
        <v>470000</v>
      </c>
      <c r="G324" s="525">
        <f>SUMIF('INGRESOS A CAJA'!$C$10:$C$954,A324,'INGRESOS A CAJA'!$F$10:$F$954)</f>
        <v>0</v>
      </c>
      <c r="H324" s="525">
        <f>SUMIF('EGRESOS DE CAJA'!$C$10:$C$2251,A324,'EGRESOS DE CAJA'!$G$10:$G$2251)</f>
        <v>0</v>
      </c>
      <c r="I324" s="512">
        <f t="shared" si="6"/>
        <v>0</v>
      </c>
      <c r="J324" s="557"/>
    </row>
    <row r="325" spans="1:10" x14ac:dyDescent="0.2">
      <c r="A325" s="560">
        <v>316</v>
      </c>
      <c r="B325" s="511" t="str">
        <f>_xlfn.XLOOKUP(A325,Códigos!$A$11:$A$415,Códigos!$B$11:$B$415,"Verificar",0)</f>
        <v>NOMBRE 285</v>
      </c>
      <c r="C325" s="727"/>
      <c r="D325" s="525">
        <f>SUMIF('CARTERA años anteriores'!$C$9:$C$234,A325,'CARTERA años anteriores'!$J$9:$J$234)</f>
        <v>0</v>
      </c>
      <c r="E325" s="525">
        <f>SUMIF('CARTERA años anteriores'!$C$9:$C$234,A325,'CARTERA años anteriores'!$L$9:$L$234)</f>
        <v>0</v>
      </c>
      <c r="F325" s="525">
        <f>SUMIF(FACTURACIÓN!$C$8:$C$1082,A325,FACTURACIÓN!$K$8:$K$1082)</f>
        <v>0</v>
      </c>
      <c r="G325" s="525">
        <f>SUMIF('INGRESOS A CAJA'!$C$10:$C$954,A325,'INGRESOS A CAJA'!$F$10:$F$954)</f>
        <v>0</v>
      </c>
      <c r="H325" s="525">
        <f>SUMIF('EGRESOS DE CAJA'!$C$10:$C$2251,A325,'EGRESOS DE CAJA'!$G$10:$G$2251)</f>
        <v>0</v>
      </c>
      <c r="I325" s="512">
        <f t="shared" si="6"/>
        <v>0</v>
      </c>
      <c r="J325" s="557"/>
    </row>
    <row r="326" spans="1:10" x14ac:dyDescent="0.2">
      <c r="A326" s="560">
        <v>317</v>
      </c>
      <c r="B326" s="511" t="str">
        <f>_xlfn.XLOOKUP(A326,Códigos!$A$11:$A$415,Códigos!$B$11:$B$415,"Verificar",0)</f>
        <v>NOMBRE 305</v>
      </c>
      <c r="C326" s="727"/>
      <c r="D326" s="525">
        <f>SUMIF('CARTERA años anteriores'!$C$9:$C$234,A326,'CARTERA años anteriores'!$J$9:$J$234)</f>
        <v>0</v>
      </c>
      <c r="E326" s="525">
        <f>SUMIF('CARTERA años anteriores'!$C$9:$C$234,A326,'CARTERA años anteriores'!$L$9:$L$234)</f>
        <v>0</v>
      </c>
      <c r="F326" s="525">
        <f>SUMIF(FACTURACIÓN!$C$8:$C$1082,A326,FACTURACIÓN!$K$8:$K$1082)</f>
        <v>920000</v>
      </c>
      <c r="G326" s="525">
        <f>SUMIF('INGRESOS A CAJA'!$C$10:$C$954,A326,'INGRESOS A CAJA'!$F$10:$F$954)</f>
        <v>0</v>
      </c>
      <c r="H326" s="525">
        <f>SUMIF('EGRESOS DE CAJA'!$C$10:$C$2251,A326,'EGRESOS DE CAJA'!$G$10:$G$2251)</f>
        <v>0</v>
      </c>
      <c r="I326" s="512">
        <f t="shared" si="6"/>
        <v>0</v>
      </c>
      <c r="J326" s="557"/>
    </row>
    <row r="327" spans="1:10" x14ac:dyDescent="0.2">
      <c r="A327" s="560">
        <v>318</v>
      </c>
      <c r="B327" s="511" t="str">
        <f>_xlfn.XLOOKUP(A327,Códigos!$A$11:$A$415,Códigos!$B$11:$B$415,"Verificar",0)</f>
        <v>NOMBRE 172</v>
      </c>
      <c r="C327" s="727"/>
      <c r="D327" s="525">
        <f>SUMIF('CARTERA años anteriores'!$C$9:$C$234,A327,'CARTERA años anteriores'!$J$9:$J$234)</f>
        <v>0</v>
      </c>
      <c r="E327" s="525">
        <f>SUMIF('CARTERA años anteriores'!$C$9:$C$234,A327,'CARTERA años anteriores'!$L$9:$L$234)</f>
        <v>0</v>
      </c>
      <c r="F327" s="525">
        <f>SUMIF(FACTURACIÓN!$C$8:$C$1082,A327,FACTURACIÓN!$K$8:$K$1082)</f>
        <v>0</v>
      </c>
      <c r="G327" s="525">
        <f>SUMIF('INGRESOS A CAJA'!$C$10:$C$954,A327,'INGRESOS A CAJA'!$F$10:$F$954)</f>
        <v>0</v>
      </c>
      <c r="H327" s="525">
        <f>SUMIF('EGRESOS DE CAJA'!$C$10:$C$2251,A327,'EGRESOS DE CAJA'!$G$10:$G$2251)</f>
        <v>0</v>
      </c>
      <c r="I327" s="512">
        <f t="shared" si="6"/>
        <v>0</v>
      </c>
      <c r="J327" s="557"/>
    </row>
    <row r="328" spans="1:10" x14ac:dyDescent="0.2">
      <c r="A328" s="560">
        <v>319</v>
      </c>
      <c r="B328" s="511" t="str">
        <f>_xlfn.XLOOKUP(A328,Códigos!$A$11:$A$415,Códigos!$B$11:$B$415,"Verificar",0)</f>
        <v>NOMBRE 309</v>
      </c>
      <c r="C328" s="727"/>
      <c r="D328" s="525">
        <f>SUMIF('CARTERA años anteriores'!$C$9:$C$234,A328,'CARTERA años anteriores'!$J$9:$J$234)</f>
        <v>0</v>
      </c>
      <c r="E328" s="525">
        <f>SUMIF('CARTERA años anteriores'!$C$9:$C$234,A328,'CARTERA años anteriores'!$L$9:$L$234)</f>
        <v>0</v>
      </c>
      <c r="F328" s="525">
        <f>SUMIF(FACTURACIÓN!$C$8:$C$1082,A328,FACTURACIÓN!$K$8:$K$1082)</f>
        <v>0</v>
      </c>
      <c r="G328" s="525">
        <f>SUMIF('INGRESOS A CAJA'!$C$10:$C$954,A328,'INGRESOS A CAJA'!$F$10:$F$954)</f>
        <v>0</v>
      </c>
      <c r="H328" s="525">
        <f>SUMIF('EGRESOS DE CAJA'!$C$10:$C$2251,A328,'EGRESOS DE CAJA'!$G$10:$G$2251)</f>
        <v>0</v>
      </c>
      <c r="I328" s="512">
        <f t="shared" si="6"/>
        <v>0</v>
      </c>
      <c r="J328" s="557"/>
    </row>
    <row r="329" spans="1:10" x14ac:dyDescent="0.2">
      <c r="A329" s="560">
        <v>320</v>
      </c>
      <c r="B329" s="511" t="str">
        <f>_xlfn.XLOOKUP(A329,Códigos!$A$11:$A$415,Códigos!$B$11:$B$415,"Verificar",0)</f>
        <v>NOMBRE 242</v>
      </c>
      <c r="C329" s="727"/>
      <c r="D329" s="525">
        <f>SUMIF('CARTERA años anteriores'!$C$9:$C$234,A329,'CARTERA años anteriores'!$J$9:$J$234)</f>
        <v>0</v>
      </c>
      <c r="E329" s="525">
        <f>SUMIF('CARTERA años anteriores'!$C$9:$C$234,A329,'CARTERA años anteriores'!$L$9:$L$234)</f>
        <v>0</v>
      </c>
      <c r="F329" s="525">
        <f>SUMIF(FACTURACIÓN!$C$8:$C$1082,A329,FACTURACIÓN!$K$8:$K$1082)</f>
        <v>0</v>
      </c>
      <c r="G329" s="525">
        <f>SUMIF('INGRESOS A CAJA'!$C$10:$C$954,A329,'INGRESOS A CAJA'!$F$10:$F$954)</f>
        <v>0</v>
      </c>
      <c r="H329" s="525">
        <f>SUMIF('EGRESOS DE CAJA'!$C$10:$C$2251,A329,'EGRESOS DE CAJA'!$G$10:$G$2251)</f>
        <v>0</v>
      </c>
      <c r="I329" s="512">
        <f t="shared" si="6"/>
        <v>0</v>
      </c>
      <c r="J329" s="557"/>
    </row>
    <row r="330" spans="1:10" x14ac:dyDescent="0.2">
      <c r="A330" s="560">
        <v>321</v>
      </c>
      <c r="B330" s="511" t="str">
        <f>_xlfn.XLOOKUP(A330,Códigos!$A$11:$A$415,Códigos!$B$11:$B$415,"Verificar",0)</f>
        <v>NOMBRE 256</v>
      </c>
      <c r="C330" s="727"/>
      <c r="D330" s="525">
        <f>SUMIF('CARTERA años anteriores'!$C$9:$C$234,A330,'CARTERA años anteriores'!$J$9:$J$234)</f>
        <v>0</v>
      </c>
      <c r="E330" s="525">
        <f>SUMIF('CARTERA años anteriores'!$C$9:$C$234,A330,'CARTERA años anteriores'!$L$9:$L$234)</f>
        <v>0</v>
      </c>
      <c r="F330" s="525">
        <f>SUMIF(FACTURACIÓN!$C$8:$C$1082,A330,FACTURACIÓN!$K$8:$K$1082)</f>
        <v>0</v>
      </c>
      <c r="G330" s="525">
        <f>SUMIF('INGRESOS A CAJA'!$C$10:$C$954,A330,'INGRESOS A CAJA'!$F$10:$F$954)</f>
        <v>0</v>
      </c>
      <c r="H330" s="525">
        <f>SUMIF('EGRESOS DE CAJA'!$C$10:$C$2251,A330,'EGRESOS DE CAJA'!$G$10:$G$2251)</f>
        <v>0</v>
      </c>
      <c r="I330" s="512">
        <f t="shared" si="6"/>
        <v>0</v>
      </c>
      <c r="J330" s="557"/>
    </row>
    <row r="331" spans="1:10" x14ac:dyDescent="0.2">
      <c r="A331" s="560">
        <v>322</v>
      </c>
      <c r="B331" s="511" t="str">
        <f>_xlfn.XLOOKUP(A331,Códigos!$A$11:$A$415,Códigos!$B$11:$B$415,"Verificar",0)</f>
        <v>NOMBRE 37</v>
      </c>
      <c r="C331" s="727"/>
      <c r="D331" s="525">
        <f>SUMIF('CARTERA años anteriores'!$C$9:$C$234,A331,'CARTERA años anteriores'!$J$9:$J$234)</f>
        <v>320000</v>
      </c>
      <c r="E331" s="525">
        <f>SUMIF('CARTERA años anteriores'!$C$9:$C$234,A331,'CARTERA años anteriores'!$L$9:$L$234)</f>
        <v>320000</v>
      </c>
      <c r="F331" s="525">
        <f>SUMIF(FACTURACIÓN!$C$8:$C$1082,A331,FACTURACIÓN!$K$8:$K$1082)</f>
        <v>0</v>
      </c>
      <c r="G331" s="525">
        <f>SUMIF('INGRESOS A CAJA'!$C$10:$C$954,A331,'INGRESOS A CAJA'!$F$10:$F$954)</f>
        <v>320000</v>
      </c>
      <c r="H331" s="525">
        <f>SUMIF('EGRESOS DE CAJA'!$C$10:$C$2251,A331,'EGRESOS DE CAJA'!$G$10:$G$2251)</f>
        <v>0</v>
      </c>
      <c r="I331" s="512">
        <f t="shared" si="6"/>
        <v>0</v>
      </c>
      <c r="J331" s="557"/>
    </row>
    <row r="332" spans="1:10" x14ac:dyDescent="0.2">
      <c r="A332" s="560">
        <v>323</v>
      </c>
      <c r="B332" s="511" t="str">
        <f>_xlfn.XLOOKUP(A332,Códigos!$A$11:$A$415,Códigos!$B$11:$B$415,"Verificar",0)</f>
        <v>NOMBRE 278</v>
      </c>
      <c r="C332" s="727"/>
      <c r="D332" s="525">
        <f>SUMIF('CARTERA años anteriores'!$C$9:$C$234,A332,'CARTERA años anteriores'!$J$9:$J$234)</f>
        <v>0</v>
      </c>
      <c r="E332" s="525">
        <f>SUMIF('CARTERA años anteriores'!$C$9:$C$234,A332,'CARTERA años anteriores'!$L$9:$L$234)</f>
        <v>0</v>
      </c>
      <c r="F332" s="525">
        <f>SUMIF(FACTURACIÓN!$C$8:$C$1082,A332,FACTURACIÓN!$K$8:$K$1082)</f>
        <v>0</v>
      </c>
      <c r="G332" s="525">
        <f>SUMIF('INGRESOS A CAJA'!$C$10:$C$954,A332,'INGRESOS A CAJA'!$F$10:$F$954)</f>
        <v>0</v>
      </c>
      <c r="H332" s="525">
        <f>SUMIF('EGRESOS DE CAJA'!$C$10:$C$2251,A332,'EGRESOS DE CAJA'!$G$10:$G$2251)</f>
        <v>0</v>
      </c>
      <c r="I332" s="512">
        <f t="shared" si="6"/>
        <v>0</v>
      </c>
      <c r="J332" s="557"/>
    </row>
    <row r="333" spans="1:10" x14ac:dyDescent="0.2">
      <c r="A333" s="560">
        <v>324</v>
      </c>
      <c r="B333" s="511" t="str">
        <f>_xlfn.XLOOKUP(A333,Códigos!$A$11:$A$415,Códigos!$B$11:$B$415,"Verificar",0)</f>
        <v>NOMBRE 71</v>
      </c>
      <c r="C333" s="727"/>
      <c r="D333" s="525">
        <f>SUMIF('CARTERA años anteriores'!$C$9:$C$234,A333,'CARTERA años anteriores'!$J$9:$J$234)</f>
        <v>0</v>
      </c>
      <c r="E333" s="525">
        <f>SUMIF('CARTERA años anteriores'!$C$9:$C$234,A333,'CARTERA años anteriores'!$L$9:$L$234)</f>
        <v>0</v>
      </c>
      <c r="F333" s="525">
        <f>SUMIF(FACTURACIÓN!$C$8:$C$1082,A333,FACTURACIÓN!$K$8:$K$1082)</f>
        <v>0</v>
      </c>
      <c r="G333" s="525">
        <f>SUMIF('INGRESOS A CAJA'!$C$10:$C$954,A333,'INGRESOS A CAJA'!$F$10:$F$954)</f>
        <v>0</v>
      </c>
      <c r="H333" s="525">
        <f>SUMIF('EGRESOS DE CAJA'!$C$10:$C$2251,A333,'EGRESOS DE CAJA'!$G$10:$G$2251)</f>
        <v>0</v>
      </c>
      <c r="I333" s="512">
        <f t="shared" si="6"/>
        <v>0</v>
      </c>
      <c r="J333" s="557"/>
    </row>
    <row r="334" spans="1:10" x14ac:dyDescent="0.2">
      <c r="A334" s="560">
        <v>325</v>
      </c>
      <c r="B334" s="511" t="str">
        <f>_xlfn.XLOOKUP(A334,Códigos!$A$11:$A$415,Códigos!$B$11:$B$415,"Verificar",0)</f>
        <v>NOMBRE 179</v>
      </c>
      <c r="C334" s="727"/>
      <c r="D334" s="525">
        <f>SUMIF('CARTERA años anteriores'!$C$9:$C$234,A334,'CARTERA años anteriores'!$J$9:$J$234)</f>
        <v>0</v>
      </c>
      <c r="E334" s="525">
        <f>SUMIF('CARTERA años anteriores'!$C$9:$C$234,A334,'CARTERA años anteriores'!$L$9:$L$234)</f>
        <v>0</v>
      </c>
      <c r="F334" s="525">
        <f>SUMIF(FACTURACIÓN!$C$8:$C$1082,A334,FACTURACIÓN!$K$8:$K$1082)</f>
        <v>0</v>
      </c>
      <c r="G334" s="525">
        <f>SUMIF('INGRESOS A CAJA'!$C$10:$C$954,A334,'INGRESOS A CAJA'!$F$10:$F$954)</f>
        <v>0</v>
      </c>
      <c r="H334" s="525">
        <f>SUMIF('EGRESOS DE CAJA'!$C$10:$C$2251,A334,'EGRESOS DE CAJA'!$G$10:$G$2251)</f>
        <v>0</v>
      </c>
      <c r="I334" s="512">
        <f t="shared" si="6"/>
        <v>0</v>
      </c>
      <c r="J334" s="557"/>
    </row>
    <row r="335" spans="1:10" x14ac:dyDescent="0.2">
      <c r="A335" s="560">
        <v>326</v>
      </c>
      <c r="B335" s="511" t="str">
        <f>_xlfn.XLOOKUP(A335,Códigos!$A$11:$A$415,Códigos!$B$11:$B$415,"Verificar",0)</f>
        <v>NOMBRE 297</v>
      </c>
      <c r="C335" s="727"/>
      <c r="D335" s="525">
        <f>SUMIF('CARTERA años anteriores'!$C$9:$C$234,A335,'CARTERA años anteriores'!$J$9:$J$234)</f>
        <v>0</v>
      </c>
      <c r="E335" s="525">
        <f>SUMIF('CARTERA años anteriores'!$C$9:$C$234,A335,'CARTERA años anteriores'!$L$9:$L$234)</f>
        <v>0</v>
      </c>
      <c r="F335" s="525">
        <f>SUMIF(FACTURACIÓN!$C$8:$C$1082,A335,FACTURACIÓN!$K$8:$K$1082)</f>
        <v>0</v>
      </c>
      <c r="G335" s="525">
        <f>SUMIF('INGRESOS A CAJA'!$C$10:$C$954,A335,'INGRESOS A CAJA'!$F$10:$F$954)</f>
        <v>0</v>
      </c>
      <c r="H335" s="525">
        <f>SUMIF('EGRESOS DE CAJA'!$C$10:$C$2251,A335,'EGRESOS DE CAJA'!$G$10:$G$2251)</f>
        <v>0</v>
      </c>
      <c r="I335" s="512">
        <f t="shared" si="6"/>
        <v>0</v>
      </c>
      <c r="J335" s="557"/>
    </row>
    <row r="336" spans="1:10" x14ac:dyDescent="0.2">
      <c r="A336" s="560">
        <v>327</v>
      </c>
      <c r="B336" s="511" t="str">
        <f>_xlfn.XLOOKUP(A336,Códigos!$A$11:$A$415,Códigos!$B$11:$B$415,"Verificar",0)</f>
        <v>NOMBRE 320</v>
      </c>
      <c r="C336" s="727"/>
      <c r="D336" s="525">
        <f>SUMIF('CARTERA años anteriores'!$C$9:$C$234,A336,'CARTERA años anteriores'!$J$9:$J$234)</f>
        <v>0</v>
      </c>
      <c r="E336" s="525">
        <f>SUMIF('CARTERA años anteriores'!$C$9:$C$234,A336,'CARTERA años anteriores'!$L$9:$L$234)</f>
        <v>0</v>
      </c>
      <c r="F336" s="525">
        <f>SUMIF(FACTURACIÓN!$C$8:$C$1082,A336,FACTURACIÓN!$K$8:$K$1082)</f>
        <v>0</v>
      </c>
      <c r="G336" s="525">
        <f>SUMIF('INGRESOS A CAJA'!$C$10:$C$954,A336,'INGRESOS A CAJA'!$F$10:$F$954)</f>
        <v>0</v>
      </c>
      <c r="H336" s="525">
        <f>SUMIF('EGRESOS DE CAJA'!$C$10:$C$2251,A336,'EGRESOS DE CAJA'!$G$10:$G$2251)</f>
        <v>0</v>
      </c>
      <c r="I336" s="512">
        <f t="shared" si="6"/>
        <v>0</v>
      </c>
      <c r="J336" s="557"/>
    </row>
    <row r="337" spans="1:10" x14ac:dyDescent="0.2">
      <c r="A337" s="560">
        <v>328</v>
      </c>
      <c r="B337" s="511" t="str">
        <f>_xlfn.XLOOKUP(A337,Códigos!$A$11:$A$415,Códigos!$B$11:$B$415,"Verificar",0)</f>
        <v>NOMBRE 265</v>
      </c>
      <c r="C337" s="727"/>
      <c r="D337" s="525">
        <f>SUMIF('CARTERA años anteriores'!$C$9:$C$234,A337,'CARTERA años anteriores'!$J$9:$J$234)</f>
        <v>0</v>
      </c>
      <c r="E337" s="525">
        <f>SUMIF('CARTERA años anteriores'!$C$9:$C$234,A337,'CARTERA años anteriores'!$L$9:$L$234)</f>
        <v>0</v>
      </c>
      <c r="F337" s="525">
        <f>SUMIF(FACTURACIÓN!$C$8:$C$1082,A337,FACTURACIÓN!$K$8:$K$1082)</f>
        <v>0</v>
      </c>
      <c r="G337" s="525">
        <f>SUMIF('INGRESOS A CAJA'!$C$10:$C$954,A337,'INGRESOS A CAJA'!$F$10:$F$954)</f>
        <v>0</v>
      </c>
      <c r="H337" s="525">
        <f>SUMIF('EGRESOS DE CAJA'!$C$10:$C$2251,A337,'EGRESOS DE CAJA'!$G$10:$G$2251)</f>
        <v>0</v>
      </c>
      <c r="I337" s="512">
        <f t="shared" si="6"/>
        <v>0</v>
      </c>
      <c r="J337" s="557"/>
    </row>
    <row r="338" spans="1:10" x14ac:dyDescent="0.2">
      <c r="A338" s="560">
        <v>329</v>
      </c>
      <c r="B338" s="511" t="str">
        <f>_xlfn.XLOOKUP(A338,Códigos!$A$11:$A$415,Códigos!$B$11:$B$415,"Verificar",0)</f>
        <v>NOMBRE 85</v>
      </c>
      <c r="C338" s="727"/>
      <c r="D338" s="525">
        <f>SUMIF('CARTERA años anteriores'!$C$9:$C$234,A338,'CARTERA años anteriores'!$J$9:$J$234)</f>
        <v>0</v>
      </c>
      <c r="E338" s="525">
        <f>SUMIF('CARTERA años anteriores'!$C$9:$C$234,A338,'CARTERA años anteriores'!$L$9:$L$234)</f>
        <v>0</v>
      </c>
      <c r="F338" s="525">
        <f>SUMIF(FACTURACIÓN!$C$8:$C$1082,A338,FACTURACIÓN!$K$8:$K$1082)</f>
        <v>330000</v>
      </c>
      <c r="G338" s="525">
        <f>SUMIF('INGRESOS A CAJA'!$C$10:$C$954,A338,'INGRESOS A CAJA'!$F$10:$F$954)</f>
        <v>0</v>
      </c>
      <c r="H338" s="525">
        <f>SUMIF('EGRESOS DE CAJA'!$C$10:$C$2251,A338,'EGRESOS DE CAJA'!$G$10:$G$2251)</f>
        <v>0</v>
      </c>
      <c r="I338" s="512">
        <f t="shared" si="6"/>
        <v>0</v>
      </c>
      <c r="J338" s="557"/>
    </row>
    <row r="339" spans="1:10" x14ac:dyDescent="0.2">
      <c r="A339" s="560">
        <v>330</v>
      </c>
      <c r="B339" s="511" t="str">
        <f>_xlfn.XLOOKUP(A339,Códigos!$A$11:$A$415,Códigos!$B$11:$B$415,"Verificar",0)</f>
        <v>NOMBRE 123</v>
      </c>
      <c r="C339" s="727"/>
      <c r="D339" s="525">
        <f>SUMIF('CARTERA años anteriores'!$C$9:$C$234,A339,'CARTERA años anteriores'!$J$9:$J$234)</f>
        <v>0</v>
      </c>
      <c r="E339" s="525">
        <f>SUMIF('CARTERA años anteriores'!$C$9:$C$234,A339,'CARTERA años anteriores'!$L$9:$L$234)</f>
        <v>0</v>
      </c>
      <c r="F339" s="525">
        <f>SUMIF(FACTURACIÓN!$C$8:$C$1082,A339,FACTURACIÓN!$K$8:$K$1082)</f>
        <v>1050000</v>
      </c>
      <c r="G339" s="525">
        <f>SUMIF('INGRESOS A CAJA'!$C$10:$C$954,A339,'INGRESOS A CAJA'!$F$10:$F$954)</f>
        <v>0</v>
      </c>
      <c r="H339" s="525">
        <f>SUMIF('EGRESOS DE CAJA'!$C$10:$C$2251,A339,'EGRESOS DE CAJA'!$G$10:$G$2251)</f>
        <v>0</v>
      </c>
      <c r="I339" s="512">
        <f t="shared" si="6"/>
        <v>0</v>
      </c>
      <c r="J339" s="557"/>
    </row>
    <row r="340" spans="1:10" x14ac:dyDescent="0.2">
      <c r="A340" s="560">
        <v>331</v>
      </c>
      <c r="B340" s="511" t="str">
        <f>_xlfn.XLOOKUP(A340,Códigos!$A$11:$A$415,Códigos!$B$11:$B$415,"Verificar",0)</f>
        <v>NOMBRE 147</v>
      </c>
      <c r="C340" s="727"/>
      <c r="D340" s="525">
        <f>SUMIF('CARTERA años anteriores'!$C$9:$C$234,A340,'CARTERA años anteriores'!$J$9:$J$234)</f>
        <v>0</v>
      </c>
      <c r="E340" s="525">
        <f>SUMIF('CARTERA años anteriores'!$C$9:$C$234,A340,'CARTERA años anteriores'!$L$9:$L$234)</f>
        <v>0</v>
      </c>
      <c r="F340" s="525">
        <f>SUMIF(FACTURACIÓN!$C$8:$C$1082,A340,FACTURACIÓN!$K$8:$K$1082)</f>
        <v>1050000</v>
      </c>
      <c r="G340" s="525">
        <f>SUMIF('INGRESOS A CAJA'!$C$10:$C$954,A340,'INGRESOS A CAJA'!$F$10:$F$954)</f>
        <v>0</v>
      </c>
      <c r="H340" s="525">
        <f>SUMIF('EGRESOS DE CAJA'!$C$10:$C$2251,A340,'EGRESOS DE CAJA'!$G$10:$G$2251)</f>
        <v>0</v>
      </c>
      <c r="I340" s="512">
        <f t="shared" si="6"/>
        <v>0</v>
      </c>
      <c r="J340" s="557"/>
    </row>
    <row r="341" spans="1:10" x14ac:dyDescent="0.2">
      <c r="A341" s="560">
        <v>332</v>
      </c>
      <c r="B341" s="511" t="str">
        <f>_xlfn.XLOOKUP(A341,Códigos!$A$11:$A$415,Códigos!$B$11:$B$415,"Verificar",0)</f>
        <v>NOMBRE 295</v>
      </c>
      <c r="C341" s="727"/>
      <c r="D341" s="525">
        <f>SUMIF('CARTERA años anteriores'!$C$9:$C$234,A341,'CARTERA años anteriores'!$J$9:$J$234)</f>
        <v>0</v>
      </c>
      <c r="E341" s="525">
        <f>SUMIF('CARTERA años anteriores'!$C$9:$C$234,A341,'CARTERA años anteriores'!$L$9:$L$234)</f>
        <v>0</v>
      </c>
      <c r="F341" s="525">
        <f>SUMIF(FACTURACIÓN!$C$8:$C$1082,A341,FACTURACIÓN!$K$8:$K$1082)</f>
        <v>0</v>
      </c>
      <c r="G341" s="525">
        <f>SUMIF('INGRESOS A CAJA'!$C$10:$C$954,A341,'INGRESOS A CAJA'!$F$10:$F$954)</f>
        <v>0</v>
      </c>
      <c r="H341" s="525">
        <f>SUMIF('EGRESOS DE CAJA'!$C$10:$C$2251,A341,'EGRESOS DE CAJA'!$G$10:$G$2251)</f>
        <v>0</v>
      </c>
      <c r="I341" s="512">
        <f t="shared" si="6"/>
        <v>0</v>
      </c>
      <c r="J341" s="557"/>
    </row>
    <row r="342" spans="1:10" x14ac:dyDescent="0.2">
      <c r="A342" s="560">
        <v>333</v>
      </c>
      <c r="B342" s="511" t="str">
        <f>_xlfn.XLOOKUP(A342,Códigos!$A$11:$A$415,Códigos!$B$11:$B$415,"Verificar",0)</f>
        <v>NOMBRE 203</v>
      </c>
      <c r="C342" s="727"/>
      <c r="D342" s="525">
        <f>SUMIF('CARTERA años anteriores'!$C$9:$C$234,A342,'CARTERA años anteriores'!$J$9:$J$234)</f>
        <v>0</v>
      </c>
      <c r="E342" s="525">
        <f>SUMIF('CARTERA años anteriores'!$C$9:$C$234,A342,'CARTERA años anteriores'!$L$9:$L$234)</f>
        <v>0</v>
      </c>
      <c r="F342" s="525">
        <f>SUMIF(FACTURACIÓN!$C$8:$C$1082,A342,FACTURACIÓN!$K$8:$K$1082)</f>
        <v>160000</v>
      </c>
      <c r="G342" s="525">
        <f>SUMIF('INGRESOS A CAJA'!$C$10:$C$954,A342,'INGRESOS A CAJA'!$F$10:$F$954)</f>
        <v>0</v>
      </c>
      <c r="H342" s="525">
        <f>SUMIF('EGRESOS DE CAJA'!$C$10:$C$2251,A342,'EGRESOS DE CAJA'!$G$10:$G$2251)</f>
        <v>0</v>
      </c>
      <c r="I342" s="512">
        <f t="shared" si="6"/>
        <v>0</v>
      </c>
      <c r="J342" s="557"/>
    </row>
    <row r="343" spans="1:10" x14ac:dyDescent="0.2">
      <c r="A343" s="560">
        <v>334</v>
      </c>
      <c r="B343" s="511" t="str">
        <f>_xlfn.XLOOKUP(A343,Códigos!$A$11:$A$415,Códigos!$B$11:$B$415,"Verificar",0)</f>
        <v>NOMBRE 263</v>
      </c>
      <c r="C343" s="727"/>
      <c r="D343" s="525">
        <f>SUMIF('CARTERA años anteriores'!$C$9:$C$234,A343,'CARTERA años anteriores'!$J$9:$J$234)</f>
        <v>0</v>
      </c>
      <c r="E343" s="525">
        <f>SUMIF('CARTERA años anteriores'!$C$9:$C$234,A343,'CARTERA años anteriores'!$L$9:$L$234)</f>
        <v>0</v>
      </c>
      <c r="F343" s="525">
        <f>SUMIF(FACTURACIÓN!$C$8:$C$1082,A343,FACTURACIÓN!$K$8:$K$1082)</f>
        <v>240000</v>
      </c>
      <c r="G343" s="525">
        <f>SUMIF('INGRESOS A CAJA'!$C$10:$C$954,A343,'INGRESOS A CAJA'!$F$10:$F$954)</f>
        <v>0</v>
      </c>
      <c r="H343" s="525">
        <f>SUMIF('EGRESOS DE CAJA'!$C$10:$C$2251,A343,'EGRESOS DE CAJA'!$G$10:$G$2251)</f>
        <v>0</v>
      </c>
      <c r="I343" s="512">
        <f t="shared" si="6"/>
        <v>0</v>
      </c>
      <c r="J343" s="557"/>
    </row>
    <row r="344" spans="1:10" x14ac:dyDescent="0.2">
      <c r="A344" s="560">
        <v>335</v>
      </c>
      <c r="B344" s="511" t="str">
        <f>_xlfn.XLOOKUP(A344,Códigos!$A$11:$A$415,Códigos!$B$11:$B$415,"Verificar",0)</f>
        <v>NOMBRE 356</v>
      </c>
      <c r="C344" s="727"/>
      <c r="D344" s="525">
        <f>SUMIF('CARTERA años anteriores'!$C$9:$C$234,A344,'CARTERA años anteriores'!$J$9:$J$234)</f>
        <v>0</v>
      </c>
      <c r="E344" s="525">
        <f>SUMIF('CARTERA años anteriores'!$C$9:$C$234,A344,'CARTERA años anteriores'!$L$9:$L$234)</f>
        <v>0</v>
      </c>
      <c r="F344" s="525">
        <f>SUMIF(FACTURACIÓN!$C$8:$C$1082,A344,FACTURACIÓN!$K$8:$K$1082)</f>
        <v>160000</v>
      </c>
      <c r="G344" s="525">
        <f>SUMIF('INGRESOS A CAJA'!$C$10:$C$954,A344,'INGRESOS A CAJA'!$F$10:$F$954)</f>
        <v>0</v>
      </c>
      <c r="H344" s="525">
        <f>SUMIF('EGRESOS DE CAJA'!$C$10:$C$2251,A344,'EGRESOS DE CAJA'!$G$10:$G$2251)</f>
        <v>0</v>
      </c>
      <c r="I344" s="512">
        <f t="shared" si="6"/>
        <v>0</v>
      </c>
      <c r="J344" s="557"/>
    </row>
    <row r="345" spans="1:10" x14ac:dyDescent="0.2">
      <c r="A345" s="560">
        <v>336</v>
      </c>
      <c r="B345" s="511" t="str">
        <f>_xlfn.XLOOKUP(A345,Códigos!$A$11:$A$415,Códigos!$B$11:$B$415,"Verificar",0)</f>
        <v>NOMBRE 361</v>
      </c>
      <c r="C345" s="727"/>
      <c r="D345" s="525">
        <f>SUMIF('CARTERA años anteriores'!$C$9:$C$234,A345,'CARTERA años anteriores'!$J$9:$J$234)</f>
        <v>150000</v>
      </c>
      <c r="E345" s="525">
        <f>SUMIF('CARTERA años anteriores'!$C$9:$C$234,A345,'CARTERA años anteriores'!$L$9:$L$234)</f>
        <v>0</v>
      </c>
      <c r="F345" s="525">
        <f>SUMIF(FACTURACIÓN!$C$8:$C$1082,A345,FACTURACIÓN!$K$8:$K$1082)</f>
        <v>0</v>
      </c>
      <c r="G345" s="525">
        <f>SUMIF('INGRESOS A CAJA'!$C$10:$C$954,A345,'INGRESOS A CAJA'!$F$10:$F$954)</f>
        <v>0</v>
      </c>
      <c r="H345" s="525">
        <f>SUMIF('EGRESOS DE CAJA'!$C$10:$C$2251,A345,'EGRESOS DE CAJA'!$G$10:$G$2251)</f>
        <v>0</v>
      </c>
      <c r="I345" s="512">
        <f t="shared" si="6"/>
        <v>0</v>
      </c>
      <c r="J345" s="557"/>
    </row>
    <row r="346" spans="1:10" x14ac:dyDescent="0.2">
      <c r="A346" s="560">
        <v>337</v>
      </c>
      <c r="B346" s="511" t="str">
        <f>_xlfn.XLOOKUP(A346,Códigos!$A$11:$A$415,Códigos!$B$11:$B$415,"Verificar",0)</f>
        <v>NOMBRE 163</v>
      </c>
      <c r="C346" s="727"/>
      <c r="D346" s="525">
        <f>SUMIF('CARTERA años anteriores'!$C$9:$C$234,A346,'CARTERA años anteriores'!$J$9:$J$234)</f>
        <v>0</v>
      </c>
      <c r="E346" s="525">
        <f>SUMIF('CARTERA años anteriores'!$C$9:$C$234,A346,'CARTERA años anteriores'!$L$9:$L$234)</f>
        <v>0</v>
      </c>
      <c r="F346" s="525">
        <f>SUMIF(FACTURACIÓN!$C$8:$C$1082,A346,FACTURACIÓN!$K$8:$K$1082)</f>
        <v>0</v>
      </c>
      <c r="G346" s="525">
        <f>SUMIF('INGRESOS A CAJA'!$C$10:$C$954,A346,'INGRESOS A CAJA'!$F$10:$F$954)</f>
        <v>0</v>
      </c>
      <c r="H346" s="525">
        <f>SUMIF('EGRESOS DE CAJA'!$C$10:$C$2251,A346,'EGRESOS DE CAJA'!$G$10:$G$2251)</f>
        <v>0</v>
      </c>
      <c r="I346" s="512">
        <f t="shared" si="6"/>
        <v>0</v>
      </c>
      <c r="J346" s="557"/>
    </row>
    <row r="347" spans="1:10" x14ac:dyDescent="0.2">
      <c r="A347" s="560">
        <v>338</v>
      </c>
      <c r="B347" s="511" t="str">
        <f>_xlfn.XLOOKUP(A347,Códigos!$A$11:$A$415,Códigos!$B$11:$B$415,"Verificar",0)</f>
        <v>NOMBRE 69</v>
      </c>
      <c r="C347" s="727"/>
      <c r="D347" s="525">
        <f>SUMIF('CARTERA años anteriores'!$C$9:$C$234,A347,'CARTERA años anteriores'!$J$9:$J$234)</f>
        <v>0</v>
      </c>
      <c r="E347" s="525">
        <f>SUMIF('CARTERA años anteriores'!$C$9:$C$234,A347,'CARTERA años anteriores'!$L$9:$L$234)</f>
        <v>0</v>
      </c>
      <c r="F347" s="525">
        <f>SUMIF(FACTURACIÓN!$C$8:$C$1082,A347,FACTURACIÓN!$K$8:$K$1082)</f>
        <v>550000</v>
      </c>
      <c r="G347" s="525">
        <f>SUMIF('INGRESOS A CAJA'!$C$10:$C$954,A347,'INGRESOS A CAJA'!$F$10:$F$954)</f>
        <v>5000000</v>
      </c>
      <c r="H347" s="525">
        <f>SUMIF('EGRESOS DE CAJA'!$C$10:$C$2251,A347,'EGRESOS DE CAJA'!$G$10:$G$2251)</f>
        <v>0</v>
      </c>
      <c r="I347" s="512">
        <f t="shared" si="6"/>
        <v>0</v>
      </c>
      <c r="J347" s="557"/>
    </row>
    <row r="348" spans="1:10" x14ac:dyDescent="0.2">
      <c r="A348" s="560">
        <v>339</v>
      </c>
      <c r="B348" s="511" t="str">
        <f>_xlfn.XLOOKUP(A348,Códigos!$A$11:$A$415,Códigos!$B$11:$B$415,"Verificar",0)</f>
        <v>NOMBRE 254</v>
      </c>
      <c r="C348" s="727"/>
      <c r="D348" s="525">
        <f>SUMIF('CARTERA años anteriores'!$C$9:$C$234,A348,'CARTERA años anteriores'!$J$9:$J$234)</f>
        <v>0</v>
      </c>
      <c r="E348" s="525">
        <f>SUMIF('CARTERA años anteriores'!$C$9:$C$234,A348,'CARTERA años anteriores'!$L$9:$L$234)</f>
        <v>0</v>
      </c>
      <c r="F348" s="525">
        <f>SUMIF(FACTURACIÓN!$C$8:$C$1082,A348,FACTURACIÓN!$K$8:$K$1082)</f>
        <v>0</v>
      </c>
      <c r="G348" s="525">
        <f>SUMIF('INGRESOS A CAJA'!$C$10:$C$954,A348,'INGRESOS A CAJA'!$F$10:$F$954)</f>
        <v>0</v>
      </c>
      <c r="H348" s="525">
        <f>SUMIF('EGRESOS DE CAJA'!$C$10:$C$2251,A348,'EGRESOS DE CAJA'!$G$10:$G$2251)</f>
        <v>0</v>
      </c>
      <c r="I348" s="512">
        <f t="shared" si="6"/>
        <v>0</v>
      </c>
      <c r="J348" s="557"/>
    </row>
    <row r="349" spans="1:10" x14ac:dyDescent="0.2">
      <c r="A349" s="560">
        <v>340</v>
      </c>
      <c r="B349" s="511" t="str">
        <f>_xlfn.XLOOKUP(A349,Códigos!$A$11:$A$415,Códigos!$B$11:$B$415,"Verificar",0)</f>
        <v>NOMBRE 72</v>
      </c>
      <c r="C349" s="727"/>
      <c r="D349" s="525">
        <f>SUMIF('CARTERA años anteriores'!$C$9:$C$234,A349,'CARTERA años anteriores'!$J$9:$J$234)</f>
        <v>0</v>
      </c>
      <c r="E349" s="525">
        <f>SUMIF('CARTERA años anteriores'!$C$9:$C$234,A349,'CARTERA años anteriores'!$L$9:$L$234)</f>
        <v>0</v>
      </c>
      <c r="F349" s="525">
        <f>SUMIF(FACTURACIÓN!$C$8:$C$1082,A349,FACTURACIÓN!$K$8:$K$1082)</f>
        <v>200000</v>
      </c>
      <c r="G349" s="525">
        <f>SUMIF('INGRESOS A CAJA'!$C$10:$C$954,A349,'INGRESOS A CAJA'!$F$10:$F$954)</f>
        <v>200000</v>
      </c>
      <c r="H349" s="525">
        <f>SUMIF('EGRESOS DE CAJA'!$C$10:$C$2251,A349,'EGRESOS DE CAJA'!$G$10:$G$2251)</f>
        <v>0</v>
      </c>
      <c r="I349" s="512">
        <f t="shared" si="6"/>
        <v>0</v>
      </c>
      <c r="J349" s="557"/>
    </row>
    <row r="350" spans="1:10" x14ac:dyDescent="0.2">
      <c r="A350" s="560">
        <v>341</v>
      </c>
      <c r="B350" s="511" t="str">
        <f>_xlfn.XLOOKUP(A350,Códigos!$A$11:$A$415,Códigos!$B$11:$B$415,"Verificar",0)</f>
        <v>NOMBRE 26</v>
      </c>
      <c r="C350" s="727"/>
      <c r="D350" s="525">
        <f>SUMIF('CARTERA años anteriores'!$C$9:$C$234,A350,'CARTERA años anteriores'!$J$9:$J$234)</f>
        <v>0</v>
      </c>
      <c r="E350" s="525">
        <f>SUMIF('CARTERA años anteriores'!$C$9:$C$234,A350,'CARTERA años anteriores'!$L$9:$L$234)</f>
        <v>0</v>
      </c>
      <c r="F350" s="525">
        <f>SUMIF(FACTURACIÓN!$C$8:$C$1082,A350,FACTURACIÓN!$K$8:$K$1082)</f>
        <v>0</v>
      </c>
      <c r="G350" s="525">
        <f>SUMIF('INGRESOS A CAJA'!$C$10:$C$954,A350,'INGRESOS A CAJA'!$F$10:$F$954)</f>
        <v>0</v>
      </c>
      <c r="H350" s="525">
        <f>SUMIF('EGRESOS DE CAJA'!$C$10:$C$2251,A350,'EGRESOS DE CAJA'!$G$10:$G$2251)</f>
        <v>0</v>
      </c>
      <c r="I350" s="512">
        <f t="shared" si="6"/>
        <v>0</v>
      </c>
      <c r="J350" s="557"/>
    </row>
    <row r="351" spans="1:10" x14ac:dyDescent="0.2">
      <c r="A351" s="560">
        <v>342</v>
      </c>
      <c r="B351" s="511" t="str">
        <f>_xlfn.XLOOKUP(A351,Códigos!$A$11:$A$415,Códigos!$B$11:$B$415,"Verificar",0)</f>
        <v>NOMBRE 264</v>
      </c>
      <c r="C351" s="727"/>
      <c r="D351" s="525">
        <f>SUMIF('CARTERA años anteriores'!$C$9:$C$234,A351,'CARTERA años anteriores'!$J$9:$J$234)</f>
        <v>0</v>
      </c>
      <c r="E351" s="525">
        <f>SUMIF('CARTERA años anteriores'!$C$9:$C$234,A351,'CARTERA años anteriores'!$L$9:$L$234)</f>
        <v>0</v>
      </c>
      <c r="F351" s="525">
        <f>SUMIF(FACTURACIÓN!$C$8:$C$1082,A351,FACTURACIÓN!$K$8:$K$1082)</f>
        <v>120000</v>
      </c>
      <c r="G351" s="525">
        <f>SUMIF('INGRESOS A CAJA'!$C$10:$C$954,A351,'INGRESOS A CAJA'!$F$10:$F$954)</f>
        <v>0</v>
      </c>
      <c r="H351" s="525">
        <f>SUMIF('EGRESOS DE CAJA'!$C$10:$C$2251,A351,'EGRESOS DE CAJA'!$G$10:$G$2251)</f>
        <v>0</v>
      </c>
      <c r="I351" s="512">
        <f t="shared" si="6"/>
        <v>0</v>
      </c>
      <c r="J351" s="557"/>
    </row>
    <row r="352" spans="1:10" x14ac:dyDescent="0.2">
      <c r="A352" s="560">
        <v>343</v>
      </c>
      <c r="B352" s="511" t="str">
        <f>_xlfn.XLOOKUP(A352,Códigos!$A$11:$A$415,Códigos!$B$11:$B$415,"Verificar",0)</f>
        <v>NOMBRE 136</v>
      </c>
      <c r="C352" s="727"/>
      <c r="D352" s="525">
        <f>SUMIF('CARTERA años anteriores'!$C$9:$C$234,A352,'CARTERA años anteriores'!$J$9:$J$234)</f>
        <v>250000</v>
      </c>
      <c r="E352" s="525">
        <f>SUMIF('CARTERA años anteriores'!$C$9:$C$234,A352,'CARTERA años anteriores'!$L$9:$L$234)</f>
        <v>250000</v>
      </c>
      <c r="F352" s="525">
        <f>SUMIF(FACTURACIÓN!$C$8:$C$1082,A352,FACTURACIÓN!$K$8:$K$1082)</f>
        <v>260000</v>
      </c>
      <c r="G352" s="525">
        <f>SUMIF('INGRESOS A CAJA'!$C$10:$C$954,A352,'INGRESOS A CAJA'!$F$10:$F$954)</f>
        <v>250000</v>
      </c>
      <c r="H352" s="525">
        <f>SUMIF('EGRESOS DE CAJA'!$C$10:$C$2251,A352,'EGRESOS DE CAJA'!$G$10:$G$2251)</f>
        <v>0</v>
      </c>
      <c r="I352" s="512">
        <f t="shared" si="6"/>
        <v>0</v>
      </c>
      <c r="J352" s="557"/>
    </row>
    <row r="353" spans="1:10" x14ac:dyDescent="0.2">
      <c r="A353" s="560">
        <v>344</v>
      </c>
      <c r="B353" s="511" t="str">
        <f>_xlfn.XLOOKUP(A353,Códigos!$A$11:$A$415,Códigos!$B$11:$B$415,"Verificar",0)</f>
        <v>NOMBRE 204</v>
      </c>
      <c r="C353" s="727"/>
      <c r="D353" s="525">
        <f>SUMIF('CARTERA años anteriores'!$C$9:$C$234,A353,'CARTERA años anteriores'!$J$9:$J$234)</f>
        <v>0</v>
      </c>
      <c r="E353" s="525">
        <f>SUMIF('CARTERA años anteriores'!$C$9:$C$234,A353,'CARTERA años anteriores'!$L$9:$L$234)</f>
        <v>0</v>
      </c>
      <c r="F353" s="525">
        <f>SUMIF(FACTURACIÓN!$C$8:$C$1082,A353,FACTURACIÓN!$K$8:$K$1082)</f>
        <v>0</v>
      </c>
      <c r="G353" s="525">
        <f>SUMIF('INGRESOS A CAJA'!$C$10:$C$954,A353,'INGRESOS A CAJA'!$F$10:$F$954)</f>
        <v>0</v>
      </c>
      <c r="H353" s="525">
        <f>SUMIF('EGRESOS DE CAJA'!$C$10:$C$2251,A353,'EGRESOS DE CAJA'!$G$10:$G$2251)</f>
        <v>0</v>
      </c>
      <c r="I353" s="512">
        <f t="shared" si="6"/>
        <v>0</v>
      </c>
      <c r="J353" s="557"/>
    </row>
    <row r="354" spans="1:10" x14ac:dyDescent="0.2">
      <c r="A354" s="560">
        <v>345</v>
      </c>
      <c r="B354" s="511" t="str">
        <f>_xlfn.XLOOKUP(A354,Códigos!$A$11:$A$415,Códigos!$B$11:$B$415,"Verificar",0)</f>
        <v>NOMBRE 195</v>
      </c>
      <c r="C354" s="727"/>
      <c r="D354" s="525">
        <f>SUMIF('CARTERA años anteriores'!$C$9:$C$234,A354,'CARTERA años anteriores'!$J$9:$J$234)</f>
        <v>0</v>
      </c>
      <c r="E354" s="525">
        <f>SUMIF('CARTERA años anteriores'!$C$9:$C$234,A354,'CARTERA años anteriores'!$L$9:$L$234)</f>
        <v>0</v>
      </c>
      <c r="F354" s="525">
        <f>SUMIF(FACTURACIÓN!$C$8:$C$1082,A354,FACTURACIÓN!$K$8:$K$1082)</f>
        <v>460000</v>
      </c>
      <c r="G354" s="525">
        <f>SUMIF('INGRESOS A CAJA'!$C$10:$C$954,A354,'INGRESOS A CAJA'!$F$10:$F$954)</f>
        <v>0</v>
      </c>
      <c r="H354" s="525">
        <f>SUMIF('EGRESOS DE CAJA'!$C$10:$C$2251,A354,'EGRESOS DE CAJA'!$G$10:$G$2251)</f>
        <v>0</v>
      </c>
      <c r="I354" s="512">
        <f t="shared" si="6"/>
        <v>0</v>
      </c>
      <c r="J354" s="557"/>
    </row>
    <row r="355" spans="1:10" x14ac:dyDescent="0.2">
      <c r="A355" s="560">
        <v>346</v>
      </c>
      <c r="B355" s="511" t="str">
        <f>_xlfn.XLOOKUP(A355,Códigos!$A$11:$A$415,Códigos!$B$11:$B$415,"Verificar",0)</f>
        <v>NOMBRE 2</v>
      </c>
      <c r="C355" s="727"/>
      <c r="D355" s="525">
        <f>SUMIF('CARTERA años anteriores'!$C$9:$C$234,A355,'CARTERA años anteriores'!$J$9:$J$234)</f>
        <v>0</v>
      </c>
      <c r="E355" s="525">
        <f>SUMIF('CARTERA años anteriores'!$C$9:$C$234,A355,'CARTERA años anteriores'!$L$9:$L$234)</f>
        <v>0</v>
      </c>
      <c r="F355" s="525">
        <f>SUMIF(FACTURACIÓN!$C$8:$C$1082,A355,FACTURACIÓN!$K$8:$K$1082)</f>
        <v>160000</v>
      </c>
      <c r="G355" s="525">
        <f>SUMIF('INGRESOS A CAJA'!$C$10:$C$954,A355,'INGRESOS A CAJA'!$F$10:$F$954)</f>
        <v>160000</v>
      </c>
      <c r="H355" s="525">
        <f>SUMIF('EGRESOS DE CAJA'!$C$10:$C$2251,A355,'EGRESOS DE CAJA'!$G$10:$G$2251)</f>
        <v>0</v>
      </c>
      <c r="I355" s="512">
        <f t="shared" ref="I355:I389" si="7">IF((+C355+D355-E355+F355+G355*0+H355)&lt;0,(+C355+D355-E355+F355+G355*0+H355),0)</f>
        <v>0</v>
      </c>
      <c r="J355" s="557"/>
    </row>
    <row r="356" spans="1:10" x14ac:dyDescent="0.2">
      <c r="A356" s="560">
        <v>347</v>
      </c>
      <c r="B356" s="511" t="str">
        <f>_xlfn.XLOOKUP(A356,Códigos!$A$11:$A$415,Códigos!$B$11:$B$415,"Verificar",0)</f>
        <v>NOMBRE 110</v>
      </c>
      <c r="C356" s="727"/>
      <c r="D356" s="525">
        <f>SUMIF('CARTERA años anteriores'!$C$9:$C$234,A356,'CARTERA años anteriores'!$J$9:$J$234)</f>
        <v>0</v>
      </c>
      <c r="E356" s="525">
        <f>SUMIF('CARTERA años anteriores'!$C$9:$C$234,A356,'CARTERA años anteriores'!$L$9:$L$234)</f>
        <v>0</v>
      </c>
      <c r="F356" s="525">
        <f>SUMIF(FACTURACIÓN!$C$8:$C$1082,A356,FACTURACIÓN!$K$8:$K$1082)</f>
        <v>0</v>
      </c>
      <c r="G356" s="525">
        <f>SUMIF('INGRESOS A CAJA'!$C$10:$C$954,A356,'INGRESOS A CAJA'!$F$10:$F$954)</f>
        <v>0</v>
      </c>
      <c r="H356" s="525">
        <f>SUMIF('EGRESOS DE CAJA'!$C$10:$C$2251,A356,'EGRESOS DE CAJA'!$G$10:$G$2251)</f>
        <v>0</v>
      </c>
      <c r="I356" s="512">
        <f t="shared" si="7"/>
        <v>0</v>
      </c>
      <c r="J356" s="557"/>
    </row>
    <row r="357" spans="1:10" x14ac:dyDescent="0.2">
      <c r="A357" s="560">
        <v>348</v>
      </c>
      <c r="B357" s="511" t="str">
        <f>_xlfn.XLOOKUP(A357,Códigos!$A$11:$A$415,Códigos!$B$11:$B$415,"Verificar",0)</f>
        <v>NOMBRE 68</v>
      </c>
      <c r="C357" s="727"/>
      <c r="D357" s="525">
        <f>SUMIF('CARTERA años anteriores'!$C$9:$C$234,A357,'CARTERA años anteriores'!$J$9:$J$234)</f>
        <v>0</v>
      </c>
      <c r="E357" s="525">
        <f>SUMIF('CARTERA años anteriores'!$C$9:$C$234,A357,'CARTERA años anteriores'!$L$9:$L$234)</f>
        <v>0</v>
      </c>
      <c r="F357" s="525">
        <f>SUMIF(FACTURACIÓN!$C$8:$C$1082,A357,FACTURACIÓN!$K$8:$K$1082)</f>
        <v>350000</v>
      </c>
      <c r="G357" s="525">
        <f>SUMIF('INGRESOS A CAJA'!$C$10:$C$954,A357,'INGRESOS A CAJA'!$F$10:$F$954)</f>
        <v>0</v>
      </c>
      <c r="H357" s="525">
        <f>SUMIF('EGRESOS DE CAJA'!$C$10:$C$2251,A357,'EGRESOS DE CAJA'!$G$10:$G$2251)</f>
        <v>0</v>
      </c>
      <c r="I357" s="512">
        <f t="shared" si="7"/>
        <v>0</v>
      </c>
      <c r="J357" s="557"/>
    </row>
    <row r="358" spans="1:10" x14ac:dyDescent="0.2">
      <c r="A358" s="560">
        <v>349</v>
      </c>
      <c r="B358" s="511" t="str">
        <f>_xlfn.XLOOKUP(A358,Códigos!$A$11:$A$415,Códigos!$B$11:$B$415,"Verificar",0)</f>
        <v>NOMBRE 73</v>
      </c>
      <c r="C358" s="727"/>
      <c r="D358" s="525">
        <f>SUMIF('CARTERA años anteriores'!$C$9:$C$234,A358,'CARTERA años anteriores'!$J$9:$J$234)</f>
        <v>0</v>
      </c>
      <c r="E358" s="525">
        <f>SUMIF('CARTERA años anteriores'!$C$9:$C$234,A358,'CARTERA años anteriores'!$L$9:$L$234)</f>
        <v>0</v>
      </c>
      <c r="F358" s="525">
        <f>SUMIF(FACTURACIÓN!$C$8:$C$1082,A358,FACTURACIÓN!$K$8:$K$1082)</f>
        <v>890000</v>
      </c>
      <c r="G358" s="525">
        <f>SUMIF('INGRESOS A CAJA'!$C$10:$C$954,A358,'INGRESOS A CAJA'!$F$10:$F$954)</f>
        <v>0</v>
      </c>
      <c r="H358" s="525">
        <f>SUMIF('EGRESOS DE CAJA'!$C$10:$C$2251,A358,'EGRESOS DE CAJA'!$G$10:$G$2251)</f>
        <v>102000</v>
      </c>
      <c r="I358" s="512">
        <f t="shared" si="7"/>
        <v>0</v>
      </c>
      <c r="J358" s="557"/>
    </row>
    <row r="359" spans="1:10" x14ac:dyDescent="0.2">
      <c r="A359" s="560">
        <v>350</v>
      </c>
      <c r="B359" s="511" t="str">
        <f>_xlfn.XLOOKUP(A359,Códigos!$A$11:$A$415,Códigos!$B$11:$B$415,"Verificar",0)</f>
        <v>NOMBRE 197</v>
      </c>
      <c r="C359" s="727"/>
      <c r="D359" s="525">
        <f>SUMIF('CARTERA años anteriores'!$C$9:$C$234,A359,'CARTERA años anteriores'!$J$9:$J$234)</f>
        <v>0</v>
      </c>
      <c r="E359" s="525">
        <f>SUMIF('CARTERA años anteriores'!$C$9:$C$234,A359,'CARTERA años anteriores'!$L$9:$L$234)</f>
        <v>0</v>
      </c>
      <c r="F359" s="525">
        <f>SUMIF(FACTURACIÓN!$C$8:$C$1082,A359,FACTURACIÓN!$K$8:$K$1082)</f>
        <v>1930000</v>
      </c>
      <c r="G359" s="525">
        <f>SUMIF('INGRESOS A CAJA'!$C$10:$C$954,A359,'INGRESOS A CAJA'!$F$10:$F$954)</f>
        <v>0</v>
      </c>
      <c r="H359" s="525">
        <f>SUMIF('EGRESOS DE CAJA'!$C$10:$C$2251,A359,'EGRESOS DE CAJA'!$G$10:$G$2251)</f>
        <v>0</v>
      </c>
      <c r="I359" s="512">
        <f t="shared" si="7"/>
        <v>0</v>
      </c>
      <c r="J359" s="557"/>
    </row>
    <row r="360" spans="1:10" x14ac:dyDescent="0.2">
      <c r="A360" s="560">
        <v>351</v>
      </c>
      <c r="B360" s="511" t="str">
        <f>_xlfn.XLOOKUP(A360,Códigos!$A$11:$A$415,Códigos!$B$11:$B$415,"Verificar",0)</f>
        <v>NOMBRE 198</v>
      </c>
      <c r="C360" s="727"/>
      <c r="D360" s="525">
        <f>SUMIF('CARTERA años anteriores'!$C$9:$C$234,A360,'CARTERA años anteriores'!$J$9:$J$234)</f>
        <v>0</v>
      </c>
      <c r="E360" s="525">
        <f>SUMIF('CARTERA años anteriores'!$C$9:$C$234,A360,'CARTERA años anteriores'!$L$9:$L$234)</f>
        <v>0</v>
      </c>
      <c r="F360" s="525">
        <f>SUMIF(FACTURACIÓN!$C$8:$C$1082,A360,FACTURACIÓN!$K$8:$K$1082)</f>
        <v>890000</v>
      </c>
      <c r="G360" s="525">
        <f>SUMIF('INGRESOS A CAJA'!$C$10:$C$954,A360,'INGRESOS A CAJA'!$F$10:$F$954)</f>
        <v>890000</v>
      </c>
      <c r="H360" s="525">
        <f>SUMIF('EGRESOS DE CAJA'!$C$10:$C$2251,A360,'EGRESOS DE CAJA'!$G$10:$G$2251)</f>
        <v>0</v>
      </c>
      <c r="I360" s="512">
        <f t="shared" si="7"/>
        <v>0</v>
      </c>
      <c r="J360" s="557"/>
    </row>
    <row r="361" spans="1:10" x14ac:dyDescent="0.2">
      <c r="A361" s="560">
        <v>352</v>
      </c>
      <c r="B361" s="511" t="str">
        <f>_xlfn.XLOOKUP(A361,Códigos!$A$11:$A$415,Códigos!$B$11:$B$415,"Verificar",0)</f>
        <v>NOMBRE 227</v>
      </c>
      <c r="C361" s="727"/>
      <c r="D361" s="525">
        <f>SUMIF('CARTERA años anteriores'!$C$9:$C$234,A361,'CARTERA años anteriores'!$J$9:$J$234)</f>
        <v>0</v>
      </c>
      <c r="E361" s="525">
        <f>SUMIF('CARTERA años anteriores'!$C$9:$C$234,A361,'CARTERA años anteriores'!$L$9:$L$234)</f>
        <v>0</v>
      </c>
      <c r="F361" s="525">
        <f>SUMIF(FACTURACIÓN!$C$8:$C$1082,A361,FACTURACIÓN!$K$8:$K$1082)</f>
        <v>0</v>
      </c>
      <c r="G361" s="525">
        <f>SUMIF('INGRESOS A CAJA'!$C$10:$C$954,A361,'INGRESOS A CAJA'!$F$10:$F$954)</f>
        <v>0</v>
      </c>
      <c r="H361" s="525">
        <f>SUMIF('EGRESOS DE CAJA'!$C$10:$C$2251,A361,'EGRESOS DE CAJA'!$G$10:$G$2251)</f>
        <v>0</v>
      </c>
      <c r="I361" s="512">
        <f t="shared" si="7"/>
        <v>0</v>
      </c>
      <c r="J361" s="557"/>
    </row>
    <row r="362" spans="1:10" x14ac:dyDescent="0.2">
      <c r="A362" s="560">
        <v>353</v>
      </c>
      <c r="B362" s="511" t="str">
        <f>_xlfn.XLOOKUP(A362,Códigos!$A$11:$A$415,Códigos!$B$11:$B$415,"Verificar",0)</f>
        <v>NOMBRE 31</v>
      </c>
      <c r="C362" s="727"/>
      <c r="D362" s="730">
        <f>SUMIF('CARTERA años anteriores'!$C$9:$C$234,A362,'CARTERA años anteriores'!$J$9:$J$234)</f>
        <v>0</v>
      </c>
      <c r="E362" s="730">
        <f>SUMIF('CARTERA años anteriores'!$C$9:$C$234,A362,'CARTERA años anteriores'!$L$9:$L$234)</f>
        <v>0</v>
      </c>
      <c r="F362" s="730"/>
      <c r="G362" s="730"/>
      <c r="H362" s="525">
        <f>+'EMPLEADO 2'!E106</f>
        <v>0</v>
      </c>
      <c r="I362" s="512">
        <f t="shared" si="7"/>
        <v>0</v>
      </c>
      <c r="J362" s="719"/>
    </row>
    <row r="363" spans="1:10" x14ac:dyDescent="0.2">
      <c r="A363" s="560">
        <v>354</v>
      </c>
      <c r="B363" s="511" t="str">
        <f>_xlfn.XLOOKUP(A363,Códigos!$A$11:$A$415,Códigos!$B$11:$B$415,"Verificar",0)</f>
        <v>NOMBRE 318</v>
      </c>
      <c r="C363" s="727"/>
      <c r="D363" s="525">
        <f>SUMIF('CARTERA años anteriores'!$C$9:$C$234,A363,'CARTERA años anteriores'!$J$9:$J$234)</f>
        <v>0</v>
      </c>
      <c r="E363" s="525">
        <f>SUMIF('CARTERA años anteriores'!$C$9:$C$234,A363,'CARTERA años anteriores'!$L$9:$L$234)</f>
        <v>0</v>
      </c>
      <c r="F363" s="525">
        <f>SUMIF(FACTURACIÓN!$C$8:$C$1082,A363,FACTURACIÓN!$K$8:$K$1082)</f>
        <v>0</v>
      </c>
      <c r="G363" s="525">
        <f>SUMIF('INGRESOS A CAJA'!$C$10:$C$954,A363,'INGRESOS A CAJA'!$F$10:$F$954)</f>
        <v>0</v>
      </c>
      <c r="H363" s="525">
        <f>SUMIF('EGRESOS DE CAJA'!$C$10:$C$2251,A363,'EGRESOS DE CAJA'!$G$10:$G$2251)</f>
        <v>0</v>
      </c>
      <c r="I363" s="512">
        <f t="shared" si="7"/>
        <v>0</v>
      </c>
      <c r="J363" s="557"/>
    </row>
    <row r="364" spans="1:10" x14ac:dyDescent="0.2">
      <c r="A364" s="679">
        <v>355</v>
      </c>
      <c r="B364" s="728" t="str">
        <f>_xlfn.XLOOKUP(A364,Códigos!$A$11:$A$415,Códigos!$B$11:$B$415,"Verificar",0)</f>
        <v>NOMBRE 96</v>
      </c>
      <c r="C364" s="729"/>
      <c r="D364" s="729">
        <f>SUMIF('CARTERA años anteriores'!$C$9:$C$234,A364,'CARTERA años anteriores'!$J$9:$J$234)</f>
        <v>0</v>
      </c>
      <c r="E364" s="729">
        <f>SUMIF('CARTERA años anteriores'!$C$9:$C$234,A364,'CARTERA años anteriores'!$L$9:$L$234)</f>
        <v>0</v>
      </c>
      <c r="F364" s="730">
        <f>SUMIF(FACTURACIÓN!$C$8:$C$1082,A364,FACTURACIÓN!$K$8:$K$1082)*0</f>
        <v>0</v>
      </c>
      <c r="G364" s="730">
        <f>SUMIF('INGRESOS A CAJA'!$C$10:$C$954,A364,'INGRESOS A CAJA'!$F$10:$F$954)*0</f>
        <v>0</v>
      </c>
      <c r="H364" s="730">
        <f>SUMIF('EGRESOS DE CAJA'!$C$10:$C$2251,A364,'EGRESOS DE CAJA'!$G$10:$G$2251)*0</f>
        <v>0</v>
      </c>
      <c r="I364" s="731">
        <f t="shared" si="7"/>
        <v>0</v>
      </c>
      <c r="J364" s="732" t="s">
        <v>399</v>
      </c>
    </row>
    <row r="365" spans="1:10" x14ac:dyDescent="0.2">
      <c r="A365" s="679">
        <v>356</v>
      </c>
      <c r="B365" s="728" t="str">
        <f>_xlfn.XLOOKUP(A365,Códigos!$A$11:$A$415,Códigos!$B$11:$B$415,"Verificar",0)</f>
        <v>NOMBRE 108</v>
      </c>
      <c r="C365" s="729"/>
      <c r="D365" s="729">
        <f>SUMIF('CARTERA años anteriores'!$C$9:$C$234,A365,'CARTERA años anteriores'!$J$9:$J$234)</f>
        <v>0</v>
      </c>
      <c r="E365" s="729">
        <f>SUMIF('CARTERA años anteriores'!$C$9:$C$234,A365,'CARTERA años anteriores'!$L$9:$L$234)</f>
        <v>0</v>
      </c>
      <c r="F365" s="730">
        <f>SUMIF(FACTURACIÓN!$C$8:$C$1082,A365,FACTURACIÓN!$K$8:$K$1082)*0</f>
        <v>0</v>
      </c>
      <c r="G365" s="730">
        <f>SUMIF('INGRESOS A CAJA'!$C$10:$C$954,A365,'INGRESOS A CAJA'!$F$10:$F$954)*0</f>
        <v>0</v>
      </c>
      <c r="H365" s="730">
        <f>SUMIF('EGRESOS DE CAJA'!$C$10:$C$2251,A365,'EGRESOS DE CAJA'!$G$10:$G$2251)*0</f>
        <v>0</v>
      </c>
      <c r="I365" s="731">
        <f t="shared" si="7"/>
        <v>0</v>
      </c>
      <c r="J365" s="732" t="s">
        <v>399</v>
      </c>
    </row>
    <row r="366" spans="1:10" x14ac:dyDescent="0.2">
      <c r="A366" s="679">
        <v>357</v>
      </c>
      <c r="B366" s="728" t="str">
        <f>_xlfn.XLOOKUP(A366,Códigos!$A$11:$A$415,Códigos!$B$11:$B$415,"Verificar",0)</f>
        <v>NOMBRE 107</v>
      </c>
      <c r="C366" s="729"/>
      <c r="D366" s="729">
        <f>SUMIF('CARTERA años anteriores'!$C$9:$C$234,A366,'CARTERA años anteriores'!$J$9:$J$234)</f>
        <v>0</v>
      </c>
      <c r="E366" s="729">
        <f>SUMIF('CARTERA años anteriores'!$C$9:$C$234,A366,'CARTERA años anteriores'!$L$9:$L$234)</f>
        <v>0</v>
      </c>
      <c r="F366" s="730">
        <f>SUMIF(FACTURACIÓN!$C$8:$C$1082,A366,FACTURACIÓN!$K$8:$K$1082)*0</f>
        <v>0</v>
      </c>
      <c r="G366" s="730">
        <f>SUMIF('INGRESOS A CAJA'!$C$10:$C$954,A366,'INGRESOS A CAJA'!$F$10:$F$954)*0</f>
        <v>0</v>
      </c>
      <c r="H366" s="730">
        <f>SUMIF('EGRESOS DE CAJA'!$C$10:$C$2251,A366,'EGRESOS DE CAJA'!$G$10:$G$2251)*0</f>
        <v>0</v>
      </c>
      <c r="I366" s="731">
        <f t="shared" si="7"/>
        <v>0</v>
      </c>
      <c r="J366" s="732" t="s">
        <v>399</v>
      </c>
    </row>
    <row r="367" spans="1:10" x14ac:dyDescent="0.2">
      <c r="A367" s="679">
        <v>358</v>
      </c>
      <c r="B367" s="728" t="str">
        <f>_xlfn.XLOOKUP(A367,Códigos!$A$11:$A$415,Códigos!$B$11:$B$415,"Verificar",0)</f>
        <v>NOMBRE 338</v>
      </c>
      <c r="C367" s="729"/>
      <c r="D367" s="729">
        <f>SUMIF('CARTERA años anteriores'!$C$9:$C$234,A367,'CARTERA años anteriores'!$J$9:$J$234)</f>
        <v>0</v>
      </c>
      <c r="E367" s="729">
        <f>SUMIF('CARTERA años anteriores'!$C$9:$C$234,A367,'CARTERA años anteriores'!$L$9:$L$234)</f>
        <v>0</v>
      </c>
      <c r="F367" s="730">
        <f>SUMIF(FACTURACIÓN!$C$8:$C$1082,A367,FACTURACIÓN!$K$8:$K$1082)*0</f>
        <v>0</v>
      </c>
      <c r="G367" s="730">
        <f>SUMIF('INGRESOS A CAJA'!$C$10:$C$954,A367,'INGRESOS A CAJA'!$F$10:$F$954)*0</f>
        <v>0</v>
      </c>
      <c r="H367" s="730">
        <f>SUMIF('EGRESOS DE CAJA'!$C$10:$C$2251,A367,'EGRESOS DE CAJA'!$G$10:$G$2251)*0</f>
        <v>0</v>
      </c>
      <c r="I367" s="731">
        <f t="shared" si="7"/>
        <v>0</v>
      </c>
      <c r="J367" s="732" t="s">
        <v>399</v>
      </c>
    </row>
    <row r="368" spans="1:10" x14ac:dyDescent="0.2">
      <c r="A368" s="679">
        <v>359</v>
      </c>
      <c r="B368" s="728" t="str">
        <f>_xlfn.XLOOKUP(A368,Códigos!$A$11:$A$415,Códigos!$B$11:$B$415,"Verificar",0)</f>
        <v>NOMBRE 232</v>
      </c>
      <c r="C368" s="729"/>
      <c r="D368" s="729">
        <f>SUMIF('CARTERA años anteriores'!$C$9:$C$234,A368,'CARTERA años anteriores'!$J$9:$J$234)</f>
        <v>7200</v>
      </c>
      <c r="E368" s="729">
        <f>SUMIF('CARTERA años anteriores'!$C$9:$C$234,A368,'CARTERA años anteriores'!$L$9:$L$234)</f>
        <v>0</v>
      </c>
      <c r="F368" s="730">
        <f>SUMIF(FACTURACIÓN!$C$8:$C$1082,A368,FACTURACIÓN!$K$8:$K$1082)*0</f>
        <v>0</v>
      </c>
      <c r="G368" s="730">
        <f>SUMIF('INGRESOS A CAJA'!$C$10:$C$954,A368,'INGRESOS A CAJA'!$F$10:$F$954)*0</f>
        <v>0</v>
      </c>
      <c r="H368" s="730">
        <f>SUMIF('EGRESOS DE CAJA'!$C$10:$C$2251,A368,'EGRESOS DE CAJA'!$G$10:$G$2251)*0</f>
        <v>0</v>
      </c>
      <c r="I368" s="731">
        <f t="shared" si="7"/>
        <v>0</v>
      </c>
      <c r="J368" s="732" t="s">
        <v>399</v>
      </c>
    </row>
    <row r="369" spans="1:10" x14ac:dyDescent="0.2">
      <c r="A369" s="679">
        <v>360</v>
      </c>
      <c r="B369" s="728" t="str">
        <f>_xlfn.XLOOKUP(A369,Códigos!$A$11:$A$415,Códigos!$B$11:$B$415,"Verificar",0)</f>
        <v>NOMBRE 94</v>
      </c>
      <c r="C369" s="729"/>
      <c r="D369" s="729">
        <f>SUMIF('CARTERA años anteriores'!$C$9:$C$234,A369,'CARTERA años anteriores'!$J$9:$J$234)</f>
        <v>0</v>
      </c>
      <c r="E369" s="729">
        <f>SUMIF('CARTERA años anteriores'!$C$9:$C$234,A369,'CARTERA años anteriores'!$L$9:$L$234)</f>
        <v>0</v>
      </c>
      <c r="F369" s="730">
        <f>SUMIF(FACTURACIÓN!$C$8:$C$1082,A369,FACTURACIÓN!$K$8:$K$1082)*0</f>
        <v>0</v>
      </c>
      <c r="G369" s="730">
        <f>SUMIF('INGRESOS A CAJA'!$C$10:$C$954,A369,'INGRESOS A CAJA'!$F$10:$F$954)*0</f>
        <v>0</v>
      </c>
      <c r="H369" s="730">
        <f>SUMIF('EGRESOS DE CAJA'!$C$10:$C$2251,A369,'EGRESOS DE CAJA'!$G$10:$G$2251)*0</f>
        <v>0</v>
      </c>
      <c r="I369" s="731">
        <f t="shared" si="7"/>
        <v>0</v>
      </c>
      <c r="J369" s="732" t="s">
        <v>399</v>
      </c>
    </row>
    <row r="370" spans="1:10" x14ac:dyDescent="0.2">
      <c r="A370" s="679">
        <v>361</v>
      </c>
      <c r="B370" s="728" t="str">
        <f>_xlfn.XLOOKUP(A370,Códigos!$A$11:$A$415,Códigos!$B$11:$B$415,"Verificar",0)</f>
        <v>NOMBRE 49</v>
      </c>
      <c r="C370" s="729"/>
      <c r="D370" s="729">
        <f>SUMIF('CARTERA años anteriores'!$C$9:$C$234,A370,'CARTERA años anteriores'!$J$9:$J$234)</f>
        <v>0</v>
      </c>
      <c r="E370" s="729">
        <f>SUMIF('CARTERA años anteriores'!$C$9:$C$234,A370,'CARTERA años anteriores'!$L$9:$L$234)</f>
        <v>0</v>
      </c>
      <c r="F370" s="730">
        <f>SUMIF(FACTURACIÓN!$C$8:$C$1082,A370,FACTURACIÓN!$K$8:$K$1082)*0</f>
        <v>0</v>
      </c>
      <c r="G370" s="730">
        <f>SUMIF('INGRESOS A CAJA'!$C$10:$C$954,A370,'INGRESOS A CAJA'!$F$10:$F$954)*0</f>
        <v>0</v>
      </c>
      <c r="H370" s="730">
        <f>SUMIF('EGRESOS DE CAJA'!$C$10:$C$2251,A370,'EGRESOS DE CAJA'!$G$10:$G$2251)*0</f>
        <v>0</v>
      </c>
      <c r="I370" s="731">
        <f t="shared" si="7"/>
        <v>0</v>
      </c>
      <c r="J370" s="732" t="s">
        <v>399</v>
      </c>
    </row>
    <row r="371" spans="1:10" x14ac:dyDescent="0.2">
      <c r="A371" s="560">
        <v>362</v>
      </c>
      <c r="B371" s="511" t="str">
        <f>_xlfn.XLOOKUP(A371,Códigos!$A$11:$A$415,Códigos!$B$11:$B$415,"Verificar",0)</f>
        <v>NOMBRE 97</v>
      </c>
      <c r="C371" s="727">
        <v>-27443000</v>
      </c>
      <c r="D371" s="525">
        <f>SUMIF('CARTERA años anteriores'!$C$9:$C$234,A371,'CARTERA años anteriores'!$J$9:$J$234)</f>
        <v>0</v>
      </c>
      <c r="E371" s="525">
        <f>SUMIF('CARTERA años anteriores'!$C$9:$C$234,A371,'CARTERA años anteriores'!$L$9:$L$234)</f>
        <v>0</v>
      </c>
      <c r="F371" s="525">
        <f>SUMIF(FACTURACIÓN!$C$8:$C$1082,A371,FACTURACIÓN!$K$8:$K$1082)</f>
        <v>0</v>
      </c>
      <c r="G371" s="525">
        <f>SUMIF('INGRESOS A CAJA'!$C$10:$C$954,A371,'INGRESOS A CAJA'!$F$10:$F$954)</f>
        <v>0</v>
      </c>
      <c r="H371" s="525">
        <f>SUMIF('EGRESOS DE CAJA'!$C$10:$C$2251,A371,'EGRESOS DE CAJA'!$G$10:$G$2251)</f>
        <v>6000000</v>
      </c>
      <c r="I371" s="512">
        <f t="shared" si="7"/>
        <v>-21443000</v>
      </c>
      <c r="J371" s="557"/>
    </row>
    <row r="372" spans="1:10" s="163" customFormat="1" x14ac:dyDescent="0.2">
      <c r="A372" s="560">
        <v>363</v>
      </c>
      <c r="B372" s="511" t="str">
        <f>_xlfn.XLOOKUP(A372,Códigos!$A$11:$A$415,Códigos!$B$11:$B$415,"Verificar",0)</f>
        <v>NOMBRE 358</v>
      </c>
      <c r="C372" s="727"/>
      <c r="D372" s="525">
        <f>SUMIF('CARTERA años anteriores'!$C$9:$C$234,A372,'CARTERA años anteriores'!$J$9:$J$234)</f>
        <v>0</v>
      </c>
      <c r="E372" s="525">
        <f>SUMIF('CARTERA años anteriores'!$C$9:$C$234,A372,'CARTERA años anteriores'!$L$9:$L$234)</f>
        <v>0</v>
      </c>
      <c r="F372" s="525">
        <f>SUMIF(FACTURACIÓN!$C$8:$C$1082,A372,FACTURACIÓN!$K$8:$K$1082)</f>
        <v>260000</v>
      </c>
      <c r="G372" s="525">
        <f>SUMIF('INGRESOS A CAJA'!$C$10:$C$954,A372,'INGRESOS A CAJA'!$F$10:$F$954)</f>
        <v>0</v>
      </c>
      <c r="H372" s="525">
        <f>SUMIF('EGRESOS DE CAJA'!$C$10:$C$2251,A372,'EGRESOS DE CAJA'!$G$10:$G$2251)</f>
        <v>0</v>
      </c>
      <c r="I372" s="512">
        <f t="shared" si="7"/>
        <v>0</v>
      </c>
      <c r="J372" s="557"/>
    </row>
    <row r="373" spans="1:10" x14ac:dyDescent="0.2">
      <c r="A373" s="560">
        <v>364</v>
      </c>
      <c r="B373" s="511" t="str">
        <f>_xlfn.XLOOKUP(A373,Códigos!$A$11:$A$415,Códigos!$B$11:$B$415,"Verificar",0)</f>
        <v>NOMBRE 365</v>
      </c>
      <c r="C373" s="727"/>
      <c r="D373" s="525">
        <f>SUMIF('CARTERA años anteriores'!$C$9:$C$234,A373,'CARTERA años anteriores'!$J$9:$J$234)</f>
        <v>0</v>
      </c>
      <c r="E373" s="525">
        <f>SUMIF('CARTERA años anteriores'!$C$9:$C$234,A373,'CARTERA años anteriores'!$L$9:$L$234)</f>
        <v>0</v>
      </c>
      <c r="F373" s="525">
        <f>SUMIF(FACTURACIÓN!$C$8:$C$1082,A373,FACTURACIÓN!$K$8:$K$1082)</f>
        <v>150000</v>
      </c>
      <c r="G373" s="525">
        <f>SUMIF('INGRESOS A CAJA'!$C$10:$C$954,A373,'INGRESOS A CAJA'!$F$10:$F$954)</f>
        <v>0</v>
      </c>
      <c r="H373" s="525">
        <f>SUMIF('EGRESOS DE CAJA'!$C$10:$C$2251,A373,'EGRESOS DE CAJA'!$G$10:$G$2251)</f>
        <v>0</v>
      </c>
      <c r="I373" s="512">
        <f t="shared" si="7"/>
        <v>0</v>
      </c>
      <c r="J373" s="557"/>
    </row>
    <row r="374" spans="1:10" x14ac:dyDescent="0.2">
      <c r="A374" s="560">
        <v>365</v>
      </c>
      <c r="B374" s="511" t="str">
        <f>_xlfn.XLOOKUP(A374,Códigos!$A$11:$A$415,Códigos!$B$11:$B$415,"Verificar",0)</f>
        <v>NOMBRE 366</v>
      </c>
      <c r="C374" s="727"/>
      <c r="D374" s="525">
        <f>SUMIF('CARTERA años anteriores'!$C$9:$C$234,A374,'CARTERA años anteriores'!$J$9:$J$234)</f>
        <v>0</v>
      </c>
      <c r="E374" s="525">
        <f>SUMIF('CARTERA años anteriores'!$C$9:$C$234,A374,'CARTERA años anteriores'!$L$9:$L$234)</f>
        <v>0</v>
      </c>
      <c r="F374" s="525">
        <f>SUMIF(FACTURACIÓN!$C$8:$C$1082,A374,FACTURACIÓN!$K$8:$K$1082)</f>
        <v>0</v>
      </c>
      <c r="G374" s="525">
        <f>SUMIF('INGRESOS A CAJA'!$C$10:$C$954,A374,'INGRESOS A CAJA'!$F$10:$F$954)</f>
        <v>0</v>
      </c>
      <c r="H374" s="525">
        <f>SUMIF('EGRESOS DE CAJA'!$C$10:$C$2251,A374,'EGRESOS DE CAJA'!$G$10:$G$2251)</f>
        <v>0</v>
      </c>
      <c r="I374" s="512">
        <f t="shared" si="7"/>
        <v>0</v>
      </c>
      <c r="J374" s="557"/>
    </row>
    <row r="375" spans="1:10" x14ac:dyDescent="0.2">
      <c r="A375" s="560">
        <v>366</v>
      </c>
      <c r="B375" s="511" t="str">
        <f>_xlfn.XLOOKUP(A375,Códigos!$A$11:$A$415,Códigos!$B$11:$B$415,"Verificar",0)</f>
        <v>NOMBRE 367</v>
      </c>
      <c r="C375" s="727"/>
      <c r="D375" s="525">
        <f>SUMIF('CARTERA años anteriores'!$C$9:$C$234,A375,'CARTERA años anteriores'!$J$9:$J$234)</f>
        <v>0</v>
      </c>
      <c r="E375" s="525">
        <f>SUMIF('CARTERA años anteriores'!$C$9:$C$234,A375,'CARTERA años anteriores'!$L$9:$L$234)</f>
        <v>0</v>
      </c>
      <c r="F375" s="525">
        <f>SUMIF(FACTURACIÓN!$C$8:$C$1082,A375,FACTURACIÓN!$K$8:$K$1082)</f>
        <v>7200000</v>
      </c>
      <c r="G375" s="525">
        <f>SUMIF('INGRESOS A CAJA'!$C$10:$C$954,A375,'INGRESOS A CAJA'!$F$10:$F$954)</f>
        <v>7000000</v>
      </c>
      <c r="H375" s="525">
        <f>SUMIF('EGRESOS DE CAJA'!$C$10:$C$2251,A375,'EGRESOS DE CAJA'!$G$10:$G$2251)</f>
        <v>0</v>
      </c>
      <c r="I375" s="512">
        <f t="shared" si="7"/>
        <v>0</v>
      </c>
      <c r="J375" s="557"/>
    </row>
    <row r="376" spans="1:10" x14ac:dyDescent="0.2">
      <c r="A376" s="560">
        <v>367</v>
      </c>
      <c r="B376" s="511" t="str">
        <f>_xlfn.XLOOKUP(A376,Códigos!$A$11:$A$415,Códigos!$B$11:$B$415,"Verificar",0)</f>
        <v>NOMBRE 368</v>
      </c>
      <c r="C376" s="727"/>
      <c r="D376" s="525">
        <f>SUMIF('CARTERA años anteriores'!$C$9:$C$234,A376,'CARTERA años anteriores'!$J$9:$J$234)</f>
        <v>0</v>
      </c>
      <c r="E376" s="525">
        <f>SUMIF('CARTERA años anteriores'!$C$9:$C$234,A376,'CARTERA años anteriores'!$L$9:$L$234)</f>
        <v>0</v>
      </c>
      <c r="F376" s="525">
        <f>SUMIF(FACTURACIÓN!$C$8:$C$1082,A376,FACTURACIÓN!$K$8:$K$1082)</f>
        <v>100000</v>
      </c>
      <c r="G376" s="525">
        <f>SUMIF('INGRESOS A CAJA'!$C$10:$C$954,A376,'INGRESOS A CAJA'!$F$10:$F$954)</f>
        <v>100000</v>
      </c>
      <c r="H376" s="525">
        <f>SUMIF('EGRESOS DE CAJA'!$C$10:$C$2251,A376,'EGRESOS DE CAJA'!$G$10:$G$2251)</f>
        <v>0</v>
      </c>
      <c r="I376" s="512">
        <f t="shared" si="7"/>
        <v>0</v>
      </c>
      <c r="J376" s="557"/>
    </row>
    <row r="377" spans="1:10" x14ac:dyDescent="0.2">
      <c r="A377" s="560">
        <v>368</v>
      </c>
      <c r="B377" s="511" t="str">
        <f>_xlfn.XLOOKUP(A377,Códigos!$A$11:$A$415,Códigos!$B$11:$B$415,"Verificar",0)</f>
        <v>NOMBRE 369</v>
      </c>
      <c r="C377" s="727"/>
      <c r="D377" s="525">
        <f>SUMIF('CARTERA años anteriores'!$C$9:$C$234,A377,'CARTERA años anteriores'!$J$9:$J$234)</f>
        <v>0</v>
      </c>
      <c r="E377" s="525">
        <f>SUMIF('CARTERA años anteriores'!$C$9:$C$234,A377,'CARTERA años anteriores'!$L$9:$L$234)</f>
        <v>0</v>
      </c>
      <c r="F377" s="525">
        <f>SUMIF(FACTURACIÓN!$C$8:$C$1082,A377,FACTURACIÓN!$K$8:$K$1082)</f>
        <v>0</v>
      </c>
      <c r="G377" s="525">
        <f>SUMIF('INGRESOS A CAJA'!$C$10:$C$954,A377,'INGRESOS A CAJA'!$F$10:$F$954)</f>
        <v>0</v>
      </c>
      <c r="H377" s="525">
        <f>SUMIF('EGRESOS DE CAJA'!$C$10:$C$2251,A377,'EGRESOS DE CAJA'!$G$10:$G$2251)</f>
        <v>0</v>
      </c>
      <c r="I377" s="512">
        <f t="shared" si="7"/>
        <v>0</v>
      </c>
      <c r="J377" s="557"/>
    </row>
    <row r="378" spans="1:10" x14ac:dyDescent="0.2">
      <c r="A378" s="560">
        <v>369</v>
      </c>
      <c r="B378" s="511">
        <f>_xlfn.XLOOKUP(A378,Códigos!$A$11:$A$415,Códigos!$B$11:$B$415,"Verificar",0)</f>
        <v>0</v>
      </c>
      <c r="C378" s="727"/>
      <c r="D378" s="525">
        <f>SUMIF('CARTERA años anteriores'!$C$9:$C$133,A378,'CARTERA años anteriores'!$J$9:$J$133)</f>
        <v>0</v>
      </c>
      <c r="E378" s="525">
        <f>SUMIF('CARTERA años anteriores'!$C$9:$C$234,A378,'CARTERA años anteriores'!$L$9:$L$234)</f>
        <v>0</v>
      </c>
      <c r="F378" s="525">
        <f>SUMIF(FACTURACIÓN!$C$8:$C$1082,A378,FACTURACIÓN!$K$8:$K$1082)</f>
        <v>0</v>
      </c>
      <c r="G378" s="525">
        <f>SUMIF('INGRESOS A CAJA'!$C$10:$C$954,A378,'INGRESOS A CAJA'!$F$10:$F$954)</f>
        <v>0</v>
      </c>
      <c r="H378" s="525">
        <f>SUMIF('EGRESOS DE CAJA'!$C$10:$C$2251,A378,'EGRESOS DE CAJA'!$G$10:$G$2251)</f>
        <v>0</v>
      </c>
      <c r="I378" s="512">
        <f t="shared" si="7"/>
        <v>0</v>
      </c>
      <c r="J378" s="557"/>
    </row>
    <row r="379" spans="1:10" x14ac:dyDescent="0.2">
      <c r="A379" s="560">
        <v>370</v>
      </c>
      <c r="B379" s="511">
        <f>_xlfn.XLOOKUP(A379,Códigos!$A$11:$A$415,Códigos!$B$11:$B$415,"Verificar",0)</f>
        <v>0</v>
      </c>
      <c r="C379" s="727"/>
      <c r="D379" s="525">
        <f>SUMIF('CARTERA años anteriores'!$C$9:$C$133,A379,'CARTERA años anteriores'!$J$9:$J$133)</f>
        <v>0</v>
      </c>
      <c r="E379" s="525">
        <f>SUMIF('CARTERA años anteriores'!$C$9:$C$234,A379,'CARTERA años anteriores'!$L$9:$L$234)</f>
        <v>0</v>
      </c>
      <c r="F379" s="525">
        <f>SUMIF(FACTURACIÓN!$C$8:$C$1082,A379,FACTURACIÓN!$K$8:$K$1082)</f>
        <v>0</v>
      </c>
      <c r="G379" s="525">
        <f>SUMIF('INGRESOS A CAJA'!$C$10:$C$954,A379,'INGRESOS A CAJA'!$F$10:$F$954)</f>
        <v>0</v>
      </c>
      <c r="H379" s="525">
        <f>SUMIF('EGRESOS DE CAJA'!$C$10:$C$2251,A379,'EGRESOS DE CAJA'!$G$10:$G$2251)</f>
        <v>0</v>
      </c>
      <c r="I379" s="512">
        <f t="shared" si="7"/>
        <v>0</v>
      </c>
      <c r="J379" s="557"/>
    </row>
    <row r="380" spans="1:10" x14ac:dyDescent="0.2">
      <c r="A380" s="560">
        <v>371</v>
      </c>
      <c r="B380" s="511">
        <f>_xlfn.XLOOKUP(A380,Códigos!$A$11:$A$415,Códigos!$B$11:$B$415,"Verificar",0)</f>
        <v>0</v>
      </c>
      <c r="C380" s="727"/>
      <c r="D380" s="525">
        <f>SUMIF('CARTERA años anteriores'!$C$9:$C$133,A380,'CARTERA años anteriores'!$J$9:$J$133)</f>
        <v>0</v>
      </c>
      <c r="E380" s="525">
        <f>SUMIF('CARTERA años anteriores'!$C$9:$C$234,A380,'CARTERA años anteriores'!$L$9:$L$234)</f>
        <v>0</v>
      </c>
      <c r="F380" s="525">
        <f>SUMIF(FACTURACIÓN!$C$8:$C$1082,A380,FACTURACIÓN!$K$8:$K$1082)</f>
        <v>0</v>
      </c>
      <c r="G380" s="525">
        <f>SUMIF('INGRESOS A CAJA'!$C$10:$C$954,A380,'INGRESOS A CAJA'!$F$10:$F$954)</f>
        <v>0</v>
      </c>
      <c r="H380" s="525">
        <f>SUMIF('EGRESOS DE CAJA'!$C$10:$C$2251,A380,'EGRESOS DE CAJA'!$G$10:$G$2251)</f>
        <v>0</v>
      </c>
      <c r="I380" s="512">
        <f t="shared" si="7"/>
        <v>0</v>
      </c>
      <c r="J380" s="557"/>
    </row>
    <row r="381" spans="1:10" x14ac:dyDescent="0.2">
      <c r="A381" s="560">
        <v>372</v>
      </c>
      <c r="B381" s="511">
        <f>_xlfn.XLOOKUP(A381,Códigos!$A$11:$A$415,Códigos!$B$11:$B$415,"Verificar",0)</f>
        <v>0</v>
      </c>
      <c r="C381" s="727"/>
      <c r="D381" s="525">
        <f>SUMIF('CARTERA años anteriores'!$C$9:$C$133,A381,'CARTERA años anteriores'!$J$9:$J$133)</f>
        <v>0</v>
      </c>
      <c r="E381" s="525">
        <f>SUMIF('CARTERA años anteriores'!$C$9:$C$234,A381,'CARTERA años anteriores'!$L$9:$L$234)</f>
        <v>0</v>
      </c>
      <c r="F381" s="525">
        <f>SUMIF(FACTURACIÓN!$C$8:$C$1082,A381,FACTURACIÓN!$K$8:$K$1082)</f>
        <v>0</v>
      </c>
      <c r="G381" s="525">
        <f>SUMIF('INGRESOS A CAJA'!$C$10:$C$954,A381,'INGRESOS A CAJA'!$F$10:$F$954)</f>
        <v>0</v>
      </c>
      <c r="H381" s="525">
        <f>SUMIF('EGRESOS DE CAJA'!$C$10:$C$2251,A381,'EGRESOS DE CAJA'!$G$10:$G$2251)</f>
        <v>0</v>
      </c>
      <c r="I381" s="512">
        <f t="shared" si="7"/>
        <v>0</v>
      </c>
      <c r="J381" s="557"/>
    </row>
    <row r="382" spans="1:10" x14ac:dyDescent="0.2">
      <c r="A382" s="560">
        <v>373</v>
      </c>
      <c r="B382" s="511">
        <f>_xlfn.XLOOKUP(A382,Códigos!$A$11:$A$415,Códigos!$B$11:$B$415,"Verificar",0)</f>
        <v>0</v>
      </c>
      <c r="C382" s="727"/>
      <c r="D382" s="525">
        <f>SUMIF('CARTERA años anteriores'!$C$9:$C$133,A382,'CARTERA años anteriores'!$J$9:$J$133)</f>
        <v>0</v>
      </c>
      <c r="E382" s="525">
        <f>SUMIF('CARTERA años anteriores'!$C$9:$C$234,A382,'CARTERA años anteriores'!$L$9:$L$234)</f>
        <v>0</v>
      </c>
      <c r="F382" s="525">
        <f>SUMIF(FACTURACIÓN!$C$8:$C$1082,A382,FACTURACIÓN!$K$8:$K$1082)</f>
        <v>0</v>
      </c>
      <c r="G382" s="525">
        <f>SUMIF('INGRESOS A CAJA'!$C$10:$C$954,A382,'INGRESOS A CAJA'!$F$10:$F$954)</f>
        <v>0</v>
      </c>
      <c r="H382" s="525">
        <f>SUMIF('EGRESOS DE CAJA'!$C$10:$C$2251,A382,'EGRESOS DE CAJA'!$G$10:$G$2251)</f>
        <v>0</v>
      </c>
      <c r="I382" s="512">
        <f t="shared" si="7"/>
        <v>0</v>
      </c>
      <c r="J382" s="557"/>
    </row>
    <row r="383" spans="1:10" x14ac:dyDescent="0.2">
      <c r="A383" s="560">
        <v>374</v>
      </c>
      <c r="B383" s="511">
        <f>_xlfn.XLOOKUP(A383,Códigos!$A$11:$A$415,Códigos!$B$11:$B$415,"Verificar",0)</f>
        <v>0</v>
      </c>
      <c r="C383" s="727"/>
      <c r="D383" s="525">
        <f>SUMIF('CARTERA años anteriores'!$C$9:$C$133,A383,'CARTERA años anteriores'!$J$9:$J$133)</f>
        <v>0</v>
      </c>
      <c r="E383" s="525">
        <f>SUMIF('CARTERA años anteriores'!$C$9:$C$234,A383,'CARTERA años anteriores'!$L$9:$L$234)</f>
        <v>0</v>
      </c>
      <c r="F383" s="525">
        <f>SUMIF(FACTURACIÓN!$C$8:$C$1082,A383,FACTURACIÓN!$K$8:$K$1082)</f>
        <v>0</v>
      </c>
      <c r="G383" s="525">
        <f>SUMIF('INGRESOS A CAJA'!$C$10:$C$954,A383,'INGRESOS A CAJA'!$F$10:$F$954)</f>
        <v>0</v>
      </c>
      <c r="H383" s="525">
        <f>SUMIF('EGRESOS DE CAJA'!$C$10:$C$2251,A383,'EGRESOS DE CAJA'!$G$10:$G$2251)</f>
        <v>0</v>
      </c>
      <c r="I383" s="512">
        <f t="shared" si="7"/>
        <v>0</v>
      </c>
      <c r="J383" s="557"/>
    </row>
    <row r="384" spans="1:10" x14ac:dyDescent="0.2">
      <c r="A384" s="560">
        <v>375</v>
      </c>
      <c r="B384" s="511">
        <f>_xlfn.XLOOKUP(A384,Códigos!$A$11:$A$415,Códigos!$B$11:$B$415,"Verificar",0)</f>
        <v>0</v>
      </c>
      <c r="C384" s="727"/>
      <c r="D384" s="525">
        <f>SUMIF('CARTERA años anteriores'!$C$9:$C$133,A384,'CARTERA años anteriores'!$J$9:$J$133)</f>
        <v>0</v>
      </c>
      <c r="E384" s="525">
        <f>SUMIF('CARTERA años anteriores'!$C$9:$C$234,A384,'CARTERA años anteriores'!$L$9:$L$234)</f>
        <v>0</v>
      </c>
      <c r="F384" s="525">
        <f>SUMIF(FACTURACIÓN!$C$8:$C$1082,A384,FACTURACIÓN!$K$8:$K$1082)</f>
        <v>0</v>
      </c>
      <c r="G384" s="525">
        <f>SUMIF('INGRESOS A CAJA'!$C$10:$C$954,A384,'INGRESOS A CAJA'!$F$10:$F$954)</f>
        <v>0</v>
      </c>
      <c r="H384" s="525">
        <f>SUMIF('EGRESOS DE CAJA'!$C$10:$C$2251,A384,'EGRESOS DE CAJA'!$G$10:$G$2251)</f>
        <v>0</v>
      </c>
      <c r="I384" s="512">
        <f t="shared" si="7"/>
        <v>0</v>
      </c>
      <c r="J384" s="557"/>
    </row>
    <row r="385" spans="1:10" x14ac:dyDescent="0.2">
      <c r="A385" s="560">
        <v>376</v>
      </c>
      <c r="B385" s="511">
        <f>_xlfn.XLOOKUP(A385,Códigos!$A$11:$A$415,Códigos!$B$11:$B$415,"Verificar",0)</f>
        <v>0</v>
      </c>
      <c r="C385" s="727"/>
      <c r="D385" s="525">
        <f>SUMIF('CARTERA años anteriores'!$C$9:$C$133,A385,'CARTERA años anteriores'!$J$9:$J$133)</f>
        <v>0</v>
      </c>
      <c r="E385" s="525">
        <f>SUMIF('CARTERA años anteriores'!$C$9:$C$234,A385,'CARTERA años anteriores'!$L$9:$L$234)</f>
        <v>0</v>
      </c>
      <c r="F385" s="525">
        <f>SUMIF(FACTURACIÓN!$C$8:$C$1082,A385,FACTURACIÓN!$K$8:$K$1082)</f>
        <v>0</v>
      </c>
      <c r="G385" s="525">
        <f>SUMIF('INGRESOS A CAJA'!$C$10:$C$954,A385,'INGRESOS A CAJA'!$F$10:$F$954)</f>
        <v>0</v>
      </c>
      <c r="H385" s="525">
        <f>SUMIF('EGRESOS DE CAJA'!$C$10:$C$2251,A385,'EGRESOS DE CAJA'!$G$10:$G$2251)</f>
        <v>0</v>
      </c>
      <c r="I385" s="512">
        <f t="shared" si="7"/>
        <v>0</v>
      </c>
      <c r="J385" s="557"/>
    </row>
    <row r="386" spans="1:10" x14ac:dyDescent="0.2">
      <c r="A386" s="560">
        <v>377</v>
      </c>
      <c r="B386" s="511">
        <f>_xlfn.XLOOKUP(A386,Códigos!$A$11:$A$415,Códigos!$B$11:$B$415,"Verificar",0)</f>
        <v>0</v>
      </c>
      <c r="C386" s="727"/>
      <c r="D386" s="525">
        <f>SUMIF('CARTERA años anteriores'!$C$9:$C$133,A386,'CARTERA años anteriores'!$J$9:$J$133)</f>
        <v>0</v>
      </c>
      <c r="E386" s="525">
        <f>SUMIF('CARTERA años anteriores'!$C$9:$C$234,A386,'CARTERA años anteriores'!$L$9:$L$234)</f>
        <v>0</v>
      </c>
      <c r="F386" s="525">
        <f>SUMIF(FACTURACIÓN!$C$8:$C$1082,A386,FACTURACIÓN!$K$8:$K$1082)</f>
        <v>0</v>
      </c>
      <c r="G386" s="525">
        <f>SUMIF('INGRESOS A CAJA'!$C$10:$C$954,A386,'INGRESOS A CAJA'!$F$10:$F$954)</f>
        <v>0</v>
      </c>
      <c r="H386" s="525">
        <f>SUMIF('EGRESOS DE CAJA'!$C$10:$C$2251,A386,'EGRESOS DE CAJA'!$G$10:$G$2251)</f>
        <v>0</v>
      </c>
      <c r="I386" s="512">
        <f t="shared" si="7"/>
        <v>0</v>
      </c>
      <c r="J386" s="557"/>
    </row>
    <row r="387" spans="1:10" x14ac:dyDescent="0.2">
      <c r="A387" s="560">
        <v>378</v>
      </c>
      <c r="B387" s="511">
        <f>_xlfn.XLOOKUP(A387,Códigos!$A$11:$A$415,Códigos!$B$11:$B$415,"Verificar",0)</f>
        <v>0</v>
      </c>
      <c r="C387" s="727"/>
      <c r="D387" s="525">
        <f>SUMIF('CARTERA años anteriores'!$C$9:$C$133,A387,'CARTERA años anteriores'!$J$9:$J$133)</f>
        <v>0</v>
      </c>
      <c r="E387" s="525">
        <f>SUMIF('CARTERA años anteriores'!$C$9:$C$234,A387,'CARTERA años anteriores'!$L$9:$L$234)</f>
        <v>0</v>
      </c>
      <c r="F387" s="525">
        <f>SUMIF(FACTURACIÓN!$C$8:$C$1082,A387,FACTURACIÓN!$K$8:$K$1082)</f>
        <v>0</v>
      </c>
      <c r="G387" s="525">
        <f>SUMIF('INGRESOS A CAJA'!$C$10:$C$954,A387,'INGRESOS A CAJA'!$F$10:$F$954)</f>
        <v>0</v>
      </c>
      <c r="H387" s="525">
        <f>SUMIF('EGRESOS DE CAJA'!$C$10:$C$2251,A387,'EGRESOS DE CAJA'!$G$10:$G$2251)</f>
        <v>0</v>
      </c>
      <c r="I387" s="512">
        <f t="shared" si="7"/>
        <v>0</v>
      </c>
      <c r="J387" s="557"/>
    </row>
    <row r="388" spans="1:10" x14ac:dyDescent="0.2">
      <c r="A388" s="560">
        <v>379</v>
      </c>
      <c r="B388" s="511">
        <f>_xlfn.XLOOKUP(A388,Códigos!$A$11:$A$415,Códigos!$B$11:$B$415,"Verificar",0)</f>
        <v>0</v>
      </c>
      <c r="C388" s="727"/>
      <c r="D388" s="525">
        <f>SUMIF('CARTERA años anteriores'!$C$9:$C$133,A388,'CARTERA años anteriores'!$J$9:$J$133)</f>
        <v>0</v>
      </c>
      <c r="E388" s="525">
        <f>SUMIF('CARTERA años anteriores'!$C$9:$C$234,A388,'CARTERA años anteriores'!$L$9:$L$234)</f>
        <v>0</v>
      </c>
      <c r="F388" s="525">
        <f>SUMIF(FACTURACIÓN!$C$8:$C$1082,A388,FACTURACIÓN!$K$8:$K$1082)</f>
        <v>0</v>
      </c>
      <c r="G388" s="525">
        <f>SUMIF('INGRESOS A CAJA'!$C$10:$C$954,A388,'INGRESOS A CAJA'!$F$10:$F$954)</f>
        <v>0</v>
      </c>
      <c r="H388" s="525">
        <f>SUMIF('EGRESOS DE CAJA'!$C$10:$C$2251,A388,'EGRESOS DE CAJA'!$G$10:$G$2251)</f>
        <v>0</v>
      </c>
      <c r="I388" s="512">
        <f t="shared" si="7"/>
        <v>0</v>
      </c>
      <c r="J388" s="557"/>
    </row>
    <row r="389" spans="1:10" x14ac:dyDescent="0.2">
      <c r="A389" s="560">
        <v>380</v>
      </c>
      <c r="B389" s="511">
        <f>_xlfn.XLOOKUP(A389,Códigos!$A$11:$A$415,Códigos!$B$11:$B$415,"Verificar",0)</f>
        <v>0</v>
      </c>
      <c r="C389" s="727"/>
      <c r="D389" s="525">
        <f>SUMIF('CARTERA años anteriores'!$C$9:$C$133,A389,'CARTERA años anteriores'!$J$9:$J$133)</f>
        <v>0</v>
      </c>
      <c r="E389" s="525">
        <f>SUMIF('CARTERA años anteriores'!$C$9:$C$234,A389,'CARTERA años anteriores'!$L$9:$L$234)</f>
        <v>0</v>
      </c>
      <c r="F389" s="525">
        <f>SUMIF(FACTURACIÓN!$C$8:$C$1082,A389,FACTURACIÓN!$K$8:$K$1082)</f>
        <v>0</v>
      </c>
      <c r="G389" s="525">
        <f>SUMIF('INGRESOS A CAJA'!$C$10:$C$954,A389,'INGRESOS A CAJA'!$F$10:$F$954)</f>
        <v>0</v>
      </c>
      <c r="H389" s="525">
        <f>SUMIF('EGRESOS DE CAJA'!$C$10:$C$2251,A389,'EGRESOS DE CAJA'!$G$10:$G$2251)</f>
        <v>0</v>
      </c>
      <c r="I389" s="512">
        <f t="shared" si="7"/>
        <v>0</v>
      </c>
      <c r="J389" s="557"/>
    </row>
    <row r="390" spans="1:10" x14ac:dyDescent="0.2">
      <c r="A390" s="560"/>
      <c r="B390" s="511"/>
      <c r="C390" s="727"/>
      <c r="D390" s="525"/>
      <c r="E390" s="525">
        <f>SUMIF('CARTERA años anteriores'!$C$9:$C$234,A390,'CARTERA años anteriores'!$L$9:$L$234)</f>
        <v>0</v>
      </c>
      <c r="F390" s="525"/>
      <c r="G390" s="525"/>
      <c r="H390" s="525"/>
      <c r="I390" s="512"/>
      <c r="J390" s="557"/>
    </row>
    <row r="391" spans="1:10" x14ac:dyDescent="0.2">
      <c r="A391" s="103"/>
      <c r="B391" s="506"/>
      <c r="C391" s="81"/>
      <c r="D391" s="506"/>
      <c r="E391" s="506"/>
      <c r="F391" s="81"/>
      <c r="G391" s="81"/>
      <c r="H391" s="81"/>
      <c r="I391" s="84"/>
      <c r="J391" s="555"/>
    </row>
    <row r="392" spans="1:10" x14ac:dyDescent="0.2">
      <c r="A392" s="645"/>
      <c r="B392" s="499" t="s">
        <v>103</v>
      </c>
      <c r="C392" s="89">
        <f>SUM(C8:C391)</f>
        <v>-103018216.7</v>
      </c>
      <c r="D392" s="89" t="e">
        <f t="shared" ref="D392:I392" si="8">SUM(D8:D391)</f>
        <v>#REF!</v>
      </c>
      <c r="E392" s="89">
        <f t="shared" si="8"/>
        <v>70794200</v>
      </c>
      <c r="F392" s="89">
        <f t="shared" si="8"/>
        <v>153531240</v>
      </c>
      <c r="G392" s="89">
        <f t="shared" si="8"/>
        <v>99028600</v>
      </c>
      <c r="H392" s="89">
        <f t="shared" si="8"/>
        <v>60987200</v>
      </c>
      <c r="I392" s="89" t="e">
        <f t="shared" si="8"/>
        <v>#REF!</v>
      </c>
      <c r="J392" s="555"/>
    </row>
  </sheetData>
  <mergeCells count="1">
    <mergeCell ref="D6:E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Q394"/>
  <sheetViews>
    <sheetView showGridLines="0" showOutlineSymbols="0" defaultGridColor="0" colorId="8" zoomScaleNormal="100" workbookViewId="0">
      <pane ySplit="10" topLeftCell="A11" activePane="bottomLeft" state="frozen"/>
      <selection pane="bottomLeft" activeCell="A11" sqref="A11"/>
    </sheetView>
  </sheetViews>
  <sheetFormatPr baseColWidth="10" defaultColWidth="9.6640625" defaultRowHeight="12.75" x14ac:dyDescent="0.2"/>
  <cols>
    <col min="1" max="1" width="7.77734375" style="164" customWidth="1"/>
    <col min="2" max="2" width="33.77734375" style="391" customWidth="1"/>
    <col min="3" max="3" width="12.88671875" style="62" bestFit="1" customWidth="1"/>
    <col min="4" max="4" width="4.21875" style="101" bestFit="1" customWidth="1"/>
    <col min="5" max="5" width="15.77734375" style="31" customWidth="1"/>
    <col min="6" max="6" width="41.44140625" style="691" bestFit="1" customWidth="1"/>
    <col min="7" max="7" width="2.5546875" style="4" bestFit="1" customWidth="1"/>
    <col min="8" max="8" width="11.88671875" style="78" bestFit="1" customWidth="1"/>
    <col min="9" max="9" width="17.88671875" style="78" bestFit="1" customWidth="1"/>
    <col min="10" max="10" width="10" style="78" bestFit="1" customWidth="1"/>
    <col min="11" max="223" width="9.6640625" style="4" customWidth="1"/>
    <col min="224" max="16384" width="9.6640625" style="29"/>
  </cols>
  <sheetData>
    <row r="1" spans="1:225" ht="12" customHeight="1" x14ac:dyDescent="0.2">
      <c r="A1" s="225" t="str">
        <f>+Códigos!$A$1</f>
        <v>LIBRO DIARIO OFICINA</v>
      </c>
      <c r="B1" s="390"/>
      <c r="C1" s="232" t="s">
        <v>660</v>
      </c>
      <c r="D1" s="667" t="s">
        <v>662</v>
      </c>
      <c r="E1" s="232" t="s">
        <v>661</v>
      </c>
      <c r="F1" s="230"/>
      <c r="G1" s="3"/>
      <c r="H1" s="706" t="s">
        <v>673</v>
      </c>
      <c r="I1" s="707"/>
      <c r="J1" s="5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</row>
    <row r="2" spans="1:225" x14ac:dyDescent="0.2">
      <c r="A2" s="66" t="s">
        <v>664</v>
      </c>
      <c r="B2" s="390"/>
      <c r="C2" s="230">
        <f>SUMIF($D$12:$D$392,D2,$C$12:$C$392)</f>
        <v>313742668</v>
      </c>
      <c r="D2" s="685">
        <v>0</v>
      </c>
      <c r="E2" s="230" t="s">
        <v>666</v>
      </c>
      <c r="F2" s="230"/>
      <c r="G2" s="3"/>
      <c r="H2" s="708" t="e">
        <f>+'CARTERA del año'!H1</f>
        <v>#REF!</v>
      </c>
      <c r="I2" s="709" t="s">
        <v>606</v>
      </c>
      <c r="J2" s="5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</row>
    <row r="3" spans="1:225" ht="12" customHeight="1" x14ac:dyDescent="0.2">
      <c r="A3" s="66" t="str">
        <f>+Códigos!$A$3</f>
        <v>AÑO:</v>
      </c>
      <c r="B3" s="827">
        <f>+Códigos!$B$3</f>
        <v>2025</v>
      </c>
      <c r="C3" s="231">
        <f>SUMIF($D$12:$D$392,D3,$C$12:$C$392)</f>
        <v>0</v>
      </c>
      <c r="D3" s="102">
        <v>1</v>
      </c>
      <c r="E3" s="231" t="s">
        <v>667</v>
      </c>
      <c r="F3" s="230"/>
      <c r="G3" s="3"/>
      <c r="H3" s="708" t="e">
        <f>+'CARTERA de la OFICINA'!H1</f>
        <v>#REF!</v>
      </c>
      <c r="I3" s="709" t="s">
        <v>671</v>
      </c>
      <c r="J3" s="5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</row>
    <row r="4" spans="1:225" ht="12" customHeight="1" x14ac:dyDescent="0.2">
      <c r="A4" s="66" t="s">
        <v>665</v>
      </c>
      <c r="B4" s="390"/>
      <c r="C4" s="669">
        <f>SUMIF($D$12:$D$392,D4,$C$12:$C$392)</f>
        <v>31816700</v>
      </c>
      <c r="D4" s="673">
        <v>2</v>
      </c>
      <c r="E4" s="669" t="s">
        <v>274</v>
      </c>
      <c r="F4" s="230"/>
      <c r="G4" s="3"/>
      <c r="H4" s="708"/>
      <c r="I4" s="710"/>
      <c r="J4" s="5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</row>
    <row r="5" spans="1:225" ht="12" customHeight="1" x14ac:dyDescent="0.2">
      <c r="B5" s="390"/>
      <c r="C5" s="682">
        <f>SUMIF($D$12:$D$392,D5,$C$12:$C$392)</f>
        <v>26064240</v>
      </c>
      <c r="D5" s="686">
        <v>3</v>
      </c>
      <c r="E5" s="682" t="s">
        <v>668</v>
      </c>
      <c r="F5" s="230"/>
      <c r="G5" s="3"/>
      <c r="H5" s="708" t="e">
        <f>SUM(H2:H4)</f>
        <v>#REF!</v>
      </c>
      <c r="I5" s="709" t="s">
        <v>672</v>
      </c>
      <c r="J5" s="5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</row>
    <row r="6" spans="1:225" ht="12" customHeight="1" thickBot="1" x14ac:dyDescent="0.25">
      <c r="B6" s="390"/>
      <c r="C6" s="668">
        <f>SUM(C2:C5)</f>
        <v>371623608</v>
      </c>
      <c r="E6" s="670" t="s">
        <v>663</v>
      </c>
      <c r="F6" s="688"/>
      <c r="G6" s="3"/>
      <c r="H6" s="711" t="e">
        <f>+C6-H5</f>
        <v>#REF!</v>
      </c>
      <c r="I6" s="712" t="s">
        <v>551</v>
      </c>
      <c r="J6" s="5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</row>
    <row r="7" spans="1:225" ht="12" customHeight="1" x14ac:dyDescent="0.2">
      <c r="B7" s="743"/>
      <c r="C7" s="164"/>
      <c r="D7" s="164"/>
      <c r="E7" s="101"/>
      <c r="F7" s="672"/>
      <c r="G7" s="19"/>
      <c r="H7" s="234"/>
      <c r="I7" s="234"/>
      <c r="J7" s="58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42"/>
      <c r="HQ7" s="42"/>
    </row>
    <row r="8" spans="1:225" ht="42" customHeight="1" x14ac:dyDescent="0.2">
      <c r="A8" s="271" t="s">
        <v>377</v>
      </c>
      <c r="B8" s="532" t="s">
        <v>579</v>
      </c>
      <c r="C8" s="271" t="s">
        <v>590</v>
      </c>
      <c r="D8" s="677" t="s">
        <v>669</v>
      </c>
      <c r="E8" s="713" t="s">
        <v>670</v>
      </c>
      <c r="F8" s="683" t="s">
        <v>26</v>
      </c>
      <c r="G8" s="19"/>
      <c r="H8" s="234"/>
      <c r="I8" s="234"/>
      <c r="J8" s="58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42"/>
      <c r="HQ8" s="42"/>
    </row>
    <row r="9" spans="1:225" ht="12" customHeight="1" x14ac:dyDescent="0.2">
      <c r="A9" s="295"/>
      <c r="B9" s="824"/>
      <c r="C9" s="672"/>
      <c r="D9" s="696"/>
      <c r="E9" s="765"/>
      <c r="F9" s="687"/>
      <c r="G9" s="19"/>
      <c r="H9" s="233"/>
      <c r="I9" s="234"/>
      <c r="J9" s="58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42"/>
      <c r="HQ9" s="42"/>
    </row>
    <row r="10" spans="1:225" ht="6.95" customHeight="1" x14ac:dyDescent="0.2">
      <c r="A10" s="671"/>
      <c r="B10" s="825"/>
      <c r="C10" s="94"/>
      <c r="D10" s="324"/>
      <c r="E10" s="766"/>
      <c r="F10" s="689"/>
      <c r="G10" s="3"/>
      <c r="H10" s="57"/>
      <c r="I10" s="79"/>
      <c r="J10" s="57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8"/>
      <c r="HQ10" s="28"/>
    </row>
    <row r="11" spans="1:225" ht="12" customHeight="1" x14ac:dyDescent="0.2">
      <c r="B11" s="390"/>
      <c r="C11" s="162"/>
      <c r="G11" s="3"/>
      <c r="H11" s="51"/>
      <c r="J11" s="5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</row>
    <row r="12" spans="1:225" ht="12" customHeight="1" x14ac:dyDescent="0.2">
      <c r="A12" s="674">
        <v>1</v>
      </c>
      <c r="B12" s="828" t="str">
        <f>_xlfn.XLOOKUP(A12,Códigos!$A$11:$A$415,Códigos!$B$11:$B$415,"Verificar",0)</f>
        <v>NOMBRE 21</v>
      </c>
      <c r="C12" s="675">
        <f>SUMIF('CARTERA del año'!$A$7:$A$560,A12,'CARTERA del año'!$H$7:$H$560)+SUMIF('CARTERA de la OFICINA'!$A$9:$A$170,A12,'CARTERA de la OFICINA'!$H$9:$H$170)</f>
        <v>0</v>
      </c>
      <c r="D12" s="678">
        <v>0</v>
      </c>
      <c r="E12" s="767" t="str">
        <f>IF(C12&gt;0,IF(D12=$D$2,"VIGENTE",IF(D12=$D$3,"DUDOSO RECAUDO",IF(D12=$D$4,"PERDIDA",IF(D12=$D$5,"REVISAR",)))),"-")</f>
        <v>-</v>
      </c>
      <c r="F12" s="692"/>
      <c r="G12" s="3"/>
      <c r="H12" s="51"/>
      <c r="J12" s="5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</row>
    <row r="13" spans="1:225" x14ac:dyDescent="0.2">
      <c r="A13" s="674">
        <v>2</v>
      </c>
      <c r="B13" s="828" t="str">
        <f>_xlfn.XLOOKUP(A13,Códigos!$A$11:$A$415,Códigos!$B$11:$B$415,"Verificar",0)</f>
        <v>NOMBRE 23</v>
      </c>
      <c r="C13" s="675">
        <f>SUMIF('CARTERA del año'!$A$7:$A$560,A13,'CARTERA del año'!$H$7:$H$560)+SUMIF('CARTERA de la OFICINA'!$A$9:$A$170,A13,'CARTERA de la OFICINA'!$H$9:$H$170)</f>
        <v>4310000</v>
      </c>
      <c r="D13" s="678">
        <v>0</v>
      </c>
      <c r="E13" s="767" t="str">
        <f>IF(C13&gt;0,IF(D13=$D$2,"VIGENTE",IF(D13=$D$3,"DUDOSO RECAUDO",IF(D13=$D$4,"PERDIDA",IF(D13=$D$5,"REVISAR",)))),"-")</f>
        <v>VIGENTE</v>
      </c>
      <c r="F13" s="692"/>
      <c r="G13" s="3"/>
      <c r="H13" s="1"/>
      <c r="J13" s="5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</row>
    <row r="14" spans="1:225" ht="12" customHeight="1" x14ac:dyDescent="0.2">
      <c r="A14" s="679">
        <v>3</v>
      </c>
      <c r="B14" s="829" t="str">
        <f>_xlfn.XLOOKUP(A14,Códigos!$A$11:$A$415,Códigos!$B$11:$B$415,"Verificar",0)</f>
        <v>NOMBRE 24</v>
      </c>
      <c r="C14" s="681">
        <f>SUMIF('CARTERA del año'!$A$7:$A$560,A14,'CARTERA del año'!$H$7:$H$560)+SUMIF('CARTERA de la OFICINA'!$A$9:$A$170,A14,'CARTERA de la OFICINA'!$H$9:$H$170)</f>
        <v>46564578.209999993</v>
      </c>
      <c r="D14" s="680"/>
      <c r="E14" s="768"/>
      <c r="F14" s="693"/>
      <c r="G14" s="3"/>
      <c r="H14" s="51"/>
      <c r="J14" s="5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</row>
    <row r="15" spans="1:225" ht="12" customHeight="1" x14ac:dyDescent="0.2">
      <c r="A15" s="674">
        <v>4</v>
      </c>
      <c r="B15" s="828" t="str">
        <f>_xlfn.XLOOKUP(A15,Códigos!$A$11:$A$415,Códigos!$B$11:$B$415,"Verificar",0)</f>
        <v>NOMBRE 35</v>
      </c>
      <c r="C15" s="675">
        <f>SUMIF('CARTERA del año'!$A$7:$A$560,A15,'CARTERA del año'!$H$7:$H$560)+SUMIF('CARTERA de la OFICINA'!$A$9:$A$170,A15,'CARTERA de la OFICINA'!$H$9:$H$170)</f>
        <v>0</v>
      </c>
      <c r="D15" s="678">
        <v>2</v>
      </c>
      <c r="E15" s="767" t="str">
        <f t="shared" ref="E15:E78" si="0">IF(C15&gt;0,IF(D15=$D$2,"VIGENTE",IF(D15=$D$3,"DUDOSO RECAUDO",IF(D15=$D$4,"PERDIDA",IF(D15=$D$5,"REVISAR",)))),"-")</f>
        <v>-</v>
      </c>
      <c r="F15" s="692"/>
      <c r="G15" s="3"/>
      <c r="H15" s="51"/>
      <c r="J15" s="5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</row>
    <row r="16" spans="1:225" ht="12" customHeight="1" x14ac:dyDescent="0.2">
      <c r="A16" s="679">
        <v>5</v>
      </c>
      <c r="B16" s="829" t="str">
        <f>_xlfn.XLOOKUP(A16,Códigos!$A$11:$A$415,Códigos!$B$11:$B$415,"Verificar",0)</f>
        <v>NOMBRE 25</v>
      </c>
      <c r="C16" s="681">
        <f>SUMIF('CARTERA del año'!$A$7:$A$560,A16,'CARTERA del año'!$H$7:$H$560)+SUMIF('CARTERA de la OFICINA'!$A$9:$A$170,A16,'CARTERA de la OFICINA'!$H$9:$H$170)</f>
        <v>0</v>
      </c>
      <c r="D16" s="680"/>
      <c r="E16" s="768"/>
      <c r="F16" s="693"/>
      <c r="G16" s="3"/>
      <c r="H16" s="51"/>
      <c r="J16" s="5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</row>
    <row r="17" spans="1:6" ht="12" customHeight="1" x14ac:dyDescent="0.2">
      <c r="A17" s="674">
        <v>6</v>
      </c>
      <c r="B17" s="828" t="str">
        <f>_xlfn.XLOOKUP(A17,Códigos!$A$11:$A$415,Códigos!$B$11:$B$415,"Verificar",0)</f>
        <v>NOMBRE 57</v>
      </c>
      <c r="C17" s="675">
        <f>SUMIF('CARTERA del año'!$A$7:$A$560,A17,'CARTERA del año'!$H$7:$H$560)+SUMIF('CARTERA de la OFICINA'!$A$9:$A$170,A17,'CARTERA de la OFICINA'!$H$9:$H$170)</f>
        <v>0</v>
      </c>
      <c r="D17" s="678">
        <v>2</v>
      </c>
      <c r="E17" s="767" t="str">
        <f t="shared" si="0"/>
        <v>-</v>
      </c>
      <c r="F17" s="692"/>
    </row>
    <row r="18" spans="1:6" ht="12" customHeight="1" x14ac:dyDescent="0.2">
      <c r="A18" s="679">
        <v>7</v>
      </c>
      <c r="B18" s="829" t="str">
        <f>_xlfn.XLOOKUP(A18,Códigos!$A$11:$A$415,Códigos!$B$11:$B$415,"Verificar",0)</f>
        <v>NOMBRE 59</v>
      </c>
      <c r="C18" s="681">
        <f>SUMIF('CARTERA del año'!$A$7:$A$560,A18,'CARTERA del año'!$H$7:$H$560)+SUMIF('CARTERA de la OFICINA'!$A$9:$A$170,A18,'CARTERA de la OFICINA'!$H$9:$H$170)</f>
        <v>2956001</v>
      </c>
      <c r="D18" s="680"/>
      <c r="E18" s="768"/>
      <c r="F18" s="693"/>
    </row>
    <row r="19" spans="1:6" ht="12" customHeight="1" x14ac:dyDescent="0.2">
      <c r="A19" s="560">
        <v>8</v>
      </c>
      <c r="B19" s="830" t="str">
        <f>_xlfn.XLOOKUP(A19,Códigos!$A$11:$A$415,Códigos!$B$11:$B$415,"Verificar",0)</f>
        <v>NOMBRE 64</v>
      </c>
      <c r="C19" s="684">
        <f>SUMIF('CARTERA del año'!$A$7:$A$560,A19,'CARTERA del año'!$H$7:$H$560)+SUMIF('CARTERA de la OFICINA'!$A$9:$A$170,A19,'CARTERA de la OFICINA'!$H$9:$H$170)</f>
        <v>1152100</v>
      </c>
      <c r="D19" s="678">
        <v>2</v>
      </c>
      <c r="E19" s="769" t="str">
        <f t="shared" si="0"/>
        <v>PERDIDA</v>
      </c>
      <c r="F19" s="971"/>
    </row>
    <row r="20" spans="1:6" ht="12" customHeight="1" x14ac:dyDescent="0.2">
      <c r="A20" s="560">
        <v>9</v>
      </c>
      <c r="B20" s="830" t="str">
        <f>_xlfn.XLOOKUP(A20,Códigos!$A$11:$A$415,Códigos!$B$11:$B$415,"Verificar",0)</f>
        <v>NOMBRE 65</v>
      </c>
      <c r="C20" s="684">
        <f>SUMIF('CARTERA del año'!$A$7:$A$560,A20,'CARTERA del año'!$H$7:$H$560)+SUMIF('CARTERA de la OFICINA'!$A$9:$A$170,A20,'CARTERA de la OFICINA'!$H$9:$H$170)</f>
        <v>8661600</v>
      </c>
      <c r="D20" s="678">
        <v>0</v>
      </c>
      <c r="E20" s="769" t="str">
        <f t="shared" si="0"/>
        <v>VIGENTE</v>
      </c>
      <c r="F20" s="694"/>
    </row>
    <row r="21" spans="1:6" s="943" customFormat="1" ht="12" customHeight="1" x14ac:dyDescent="0.2">
      <c r="A21" s="560">
        <v>10</v>
      </c>
      <c r="B21" s="830" t="str">
        <f>_xlfn.XLOOKUP(A21,Códigos!$A$11:$A$415,Códigos!$B$11:$B$415,"Verificar",0)</f>
        <v>NOMBRE 80</v>
      </c>
      <c r="C21" s="684">
        <f>SUMIF('CARTERA del año'!$A$7:$A$560,A21,'CARTERA del año'!$H$7:$H$560)+SUMIF('CARTERA de la OFICINA'!$A$9:$A$170,A21,'CARTERA de la OFICINA'!$H$9:$H$170)</f>
        <v>8157240</v>
      </c>
      <c r="D21" s="678">
        <v>3</v>
      </c>
      <c r="E21" s="769" t="str">
        <f t="shared" si="0"/>
        <v>REVISAR</v>
      </c>
      <c r="F21" s="972"/>
    </row>
    <row r="22" spans="1:6" ht="12" customHeight="1" x14ac:dyDescent="0.2">
      <c r="A22" s="560">
        <v>11</v>
      </c>
      <c r="B22" s="830" t="str">
        <f>_xlfn.XLOOKUP(A22,Códigos!$A$11:$A$415,Códigos!$B$11:$B$415,"Verificar",0)</f>
        <v>NOMBRE 92</v>
      </c>
      <c r="C22" s="684">
        <f>SUMIF('CARTERA del año'!$A$7:$A$560,A22,'CARTERA del año'!$H$7:$H$560)+SUMIF('CARTERA de la OFICINA'!$A$9:$A$170,A22,'CARTERA de la OFICINA'!$H$9:$H$170)</f>
        <v>0</v>
      </c>
      <c r="D22" s="678"/>
      <c r="E22" s="769" t="str">
        <f t="shared" si="0"/>
        <v>-</v>
      </c>
      <c r="F22" s="694"/>
    </row>
    <row r="23" spans="1:6" ht="12" customHeight="1" x14ac:dyDescent="0.2">
      <c r="A23" s="560">
        <v>12</v>
      </c>
      <c r="B23" s="830" t="str">
        <f>_xlfn.XLOOKUP(A23,Códigos!$A$11:$A$415,Códigos!$B$11:$B$415,"Verificar",0)</f>
        <v>NOMBRE 115</v>
      </c>
      <c r="C23" s="684">
        <f>SUMIF('CARTERA del año'!$A$7:$A$560,A23,'CARTERA del año'!$H$7:$H$560)+SUMIF('CARTERA de la OFICINA'!$A$9:$A$170,A23,'CARTERA de la OFICINA'!$H$9:$H$170)</f>
        <v>0</v>
      </c>
      <c r="D23" s="678"/>
      <c r="E23" s="769" t="str">
        <f t="shared" si="0"/>
        <v>-</v>
      </c>
      <c r="F23" s="694"/>
    </row>
    <row r="24" spans="1:6" ht="12" customHeight="1" x14ac:dyDescent="0.2">
      <c r="A24" s="560">
        <v>13</v>
      </c>
      <c r="B24" s="830"/>
      <c r="C24" s="684">
        <f>SUMIF('CARTERA del año'!$A$7:$A$560,A24,'CARTERA del año'!$H$7:$H$560)+SUMIF('CARTERA de la OFICINA'!$A$9:$A$170,A24,'CARTERA de la OFICINA'!$H$9:$H$170)</f>
        <v>0</v>
      </c>
      <c r="D24" s="678"/>
      <c r="E24" s="769" t="str">
        <f t="shared" si="0"/>
        <v>-</v>
      </c>
      <c r="F24" s="694"/>
    </row>
    <row r="25" spans="1:6" ht="12" customHeight="1" x14ac:dyDescent="0.2">
      <c r="A25" s="560">
        <v>14</v>
      </c>
      <c r="B25" s="830" t="str">
        <f>_xlfn.XLOOKUP(A25,Códigos!$A$11:$A$415,Códigos!$B$11:$B$415,"Verificar",0)</f>
        <v>NOMBRE 158</v>
      </c>
      <c r="C25" s="684">
        <f>SUMIF('CARTERA del año'!$A$7:$A$560,A25,'CARTERA del año'!$H$7:$H$560)+SUMIF('CARTERA de la OFICINA'!$A$9:$A$170,A25,'CARTERA de la OFICINA'!$H$9:$H$170)</f>
        <v>0</v>
      </c>
      <c r="D25" s="678"/>
      <c r="E25" s="769" t="str">
        <f t="shared" si="0"/>
        <v>-</v>
      </c>
      <c r="F25" s="694"/>
    </row>
    <row r="26" spans="1:6" ht="12" customHeight="1" x14ac:dyDescent="0.2">
      <c r="A26" s="560">
        <v>15</v>
      </c>
      <c r="B26" s="830" t="str">
        <f>_xlfn.XLOOKUP(A26,Códigos!$A$11:$A$415,Códigos!$B$11:$B$415,"Verificar",0)</f>
        <v>NOMBRE 159</v>
      </c>
      <c r="C26" s="684">
        <f>SUMIF('CARTERA del año'!$A$7:$A$560,A26,'CARTERA del año'!$H$7:$H$560)+SUMIF('CARTERA de la OFICINA'!$A$9:$A$170,A26,'CARTERA de la OFICINA'!$H$9:$H$170)</f>
        <v>0</v>
      </c>
      <c r="D26" s="678"/>
      <c r="E26" s="769" t="str">
        <f t="shared" si="0"/>
        <v>-</v>
      </c>
      <c r="F26" s="694"/>
    </row>
    <row r="27" spans="1:6" ht="12" customHeight="1" x14ac:dyDescent="0.2">
      <c r="A27" s="560">
        <v>16</v>
      </c>
      <c r="B27" s="830" t="str">
        <f>_xlfn.XLOOKUP(A27,Códigos!$A$11:$A$415,Códigos!$B$11:$B$415,"Verificar",0)</f>
        <v>NOMBRE 105</v>
      </c>
      <c r="C27" s="684">
        <f>SUMIF('CARTERA del año'!$A$7:$A$560,A27,'CARTERA del año'!$H$7:$H$560)+SUMIF('CARTERA de la OFICINA'!$A$9:$A$170,A27,'CARTERA de la OFICINA'!$H$9:$H$170)</f>
        <v>0</v>
      </c>
      <c r="D27" s="678"/>
      <c r="E27" s="769" t="str">
        <f t="shared" si="0"/>
        <v>-</v>
      </c>
      <c r="F27" s="694"/>
    </row>
    <row r="28" spans="1:6" ht="12" customHeight="1" x14ac:dyDescent="0.2">
      <c r="A28" s="560">
        <v>17</v>
      </c>
      <c r="B28" s="830" t="str">
        <f>_xlfn.XLOOKUP(A28,Códigos!$A$11:$A$415,Códigos!$B$11:$B$415,"Verificar",0)</f>
        <v>NOMBRE 160</v>
      </c>
      <c r="C28" s="684">
        <f>SUMIF('CARTERA del año'!$A$7:$A$560,A28,'CARTERA del año'!$H$7:$H$560)+SUMIF('CARTERA de la OFICINA'!$A$9:$A$170,A28,'CARTERA de la OFICINA'!$H$9:$H$170)</f>
        <v>0</v>
      </c>
      <c r="D28" s="678">
        <v>1</v>
      </c>
      <c r="E28" s="769" t="str">
        <f t="shared" si="0"/>
        <v>-</v>
      </c>
      <c r="F28" s="694"/>
    </row>
    <row r="29" spans="1:6" ht="12" customHeight="1" x14ac:dyDescent="0.2">
      <c r="A29" s="560">
        <v>18</v>
      </c>
      <c r="B29" s="830" t="str">
        <f>_xlfn.XLOOKUP(A29,Códigos!$A$11:$A$415,Códigos!$B$11:$B$415,"Verificar",0)</f>
        <v>NOMBRE 161</v>
      </c>
      <c r="C29" s="684">
        <f>SUMIF('CARTERA del año'!$A$7:$A$560,A29,'CARTERA del año'!$H$7:$H$560)+SUMIF('CARTERA de la OFICINA'!$A$9:$A$170,A29,'CARTERA de la OFICINA'!$H$9:$H$170)</f>
        <v>0</v>
      </c>
      <c r="D29" s="678">
        <v>2</v>
      </c>
      <c r="E29" s="769" t="str">
        <f t="shared" si="0"/>
        <v>-</v>
      </c>
      <c r="F29" s="694"/>
    </row>
    <row r="30" spans="1:6" ht="12" customHeight="1" x14ac:dyDescent="0.2">
      <c r="A30" s="1213">
        <v>19</v>
      </c>
      <c r="B30" s="1214" t="str">
        <f>_xlfn.XLOOKUP(A30,Códigos!$A$11:$A$415,Códigos!$B$11:$B$415,"Verificar",0)</f>
        <v>NOMBRE 164</v>
      </c>
      <c r="C30" s="1215">
        <f>SUMIF('CARTERA del año'!$A$7:$A$560,A30,'CARTERA del año'!$H$7:$H$560)+SUMIF('CARTERA de la OFICINA'!$A$9:$A$170,A30,'CARTERA de la OFICINA'!$H$9:$H$170)</f>
        <v>11907000</v>
      </c>
      <c r="D30" s="1216">
        <v>3</v>
      </c>
      <c r="E30" s="1217" t="str">
        <f t="shared" si="0"/>
        <v>REVISAR</v>
      </c>
      <c r="F30" s="1218" t="s">
        <v>821</v>
      </c>
    </row>
    <row r="31" spans="1:6" ht="12" customHeight="1" x14ac:dyDescent="0.2">
      <c r="A31" s="560">
        <v>20</v>
      </c>
      <c r="B31" s="830" t="str">
        <f>_xlfn.XLOOKUP(A31,Códigos!$A$11:$A$415,Códigos!$B$11:$B$415,"Verificar",0)</f>
        <v>NOMBRE 167</v>
      </c>
      <c r="C31" s="684">
        <f>SUMIF('CARTERA del año'!$A$7:$A$560,A31,'CARTERA del año'!$H$7:$H$560)+SUMIF('CARTERA de la OFICINA'!$A$9:$A$170,A31,'CARTERA de la OFICINA'!$H$9:$H$170)</f>
        <v>0</v>
      </c>
      <c r="D31" s="678"/>
      <c r="E31" s="769" t="str">
        <f t="shared" si="0"/>
        <v>-</v>
      </c>
      <c r="F31" s="694"/>
    </row>
    <row r="32" spans="1:6" x14ac:dyDescent="0.2">
      <c r="A32" s="560">
        <v>21</v>
      </c>
      <c r="B32" s="830" t="str">
        <f>_xlfn.XLOOKUP(A32,Códigos!$A$11:$A$415,Códigos!$B$11:$B$415,"Verificar",0)</f>
        <v>NOMBRE 168</v>
      </c>
      <c r="C32" s="684">
        <f>SUMIF('CARTERA del año'!$A$7:$A$560,A32,'CARTERA del año'!$H$7:$H$560)+SUMIF('CARTERA de la OFICINA'!$A$9:$A$170,A32,'CARTERA de la OFICINA'!$H$9:$H$170)</f>
        <v>11010000</v>
      </c>
      <c r="D32" s="678">
        <v>0</v>
      </c>
      <c r="E32" s="769" t="str">
        <f t="shared" si="0"/>
        <v>VIGENTE</v>
      </c>
      <c r="F32" s="694"/>
    </row>
    <row r="33" spans="1:6" ht="12" customHeight="1" x14ac:dyDescent="0.2">
      <c r="A33" s="560">
        <v>22</v>
      </c>
      <c r="B33" s="830" t="str">
        <f>_xlfn.XLOOKUP(A33,Códigos!$A$11:$A$415,Códigos!$B$11:$B$415,"Verificar",0)</f>
        <v>NOMBRE 240</v>
      </c>
      <c r="C33" s="684">
        <f>SUMIF('CARTERA del año'!$A$7:$A$560,A33,'CARTERA del año'!$H$7:$H$560)+SUMIF('CARTERA de la OFICINA'!$A$9:$A$170,A33,'CARTERA de la OFICINA'!$H$9:$H$170)</f>
        <v>0</v>
      </c>
      <c r="D33" s="678"/>
      <c r="E33" s="769" t="str">
        <f t="shared" si="0"/>
        <v>-</v>
      </c>
      <c r="F33" s="694"/>
    </row>
    <row r="34" spans="1:6" ht="12" customHeight="1" x14ac:dyDescent="0.2">
      <c r="A34" s="560">
        <v>23</v>
      </c>
      <c r="B34" s="830" t="str">
        <f>_xlfn.XLOOKUP(A34,Códigos!$A$11:$A$415,Códigos!$B$11:$B$415,"Verificar",0)</f>
        <v>NOMBRE 169</v>
      </c>
      <c r="C34" s="684">
        <f>SUMIF('CARTERA del año'!$A$7:$A$560,A34,'CARTERA del año'!$H$7:$H$560)+SUMIF('CARTERA de la OFICINA'!$A$9:$A$170,A34,'CARTERA de la OFICINA'!$H$9:$H$170)</f>
        <v>0</v>
      </c>
      <c r="D34" s="678"/>
      <c r="E34" s="769" t="str">
        <f t="shared" si="0"/>
        <v>-</v>
      </c>
      <c r="F34" s="694"/>
    </row>
    <row r="35" spans="1:6" ht="12" customHeight="1" x14ac:dyDescent="0.2">
      <c r="A35" s="560">
        <v>24</v>
      </c>
      <c r="B35" s="830" t="str">
        <f>_xlfn.XLOOKUP(A35,Códigos!$A$11:$A$415,Códigos!$B$11:$B$415,"Verificar",0)</f>
        <v>NOMBRE 132</v>
      </c>
      <c r="C35" s="684">
        <f>SUMIF('CARTERA del año'!$A$7:$A$560,A35,'CARTERA del año'!$H$7:$H$560)+SUMIF('CARTERA de la OFICINA'!$A$9:$A$170,A35,'CARTERA de la OFICINA'!$H$9:$H$170)</f>
        <v>0</v>
      </c>
      <c r="D35" s="678"/>
      <c r="E35" s="769" t="str">
        <f t="shared" si="0"/>
        <v>-</v>
      </c>
      <c r="F35" s="694"/>
    </row>
    <row r="36" spans="1:6" x14ac:dyDescent="0.2">
      <c r="A36" s="560">
        <v>25</v>
      </c>
      <c r="B36" s="830" t="str">
        <f>_xlfn.XLOOKUP(A36,Códigos!$A$11:$A$415,Códigos!$B$11:$B$415,"Verificar",0)</f>
        <v>NOMBRE 178</v>
      </c>
      <c r="C36" s="684">
        <f>SUMIF('CARTERA del año'!$A$7:$A$560,A36,'CARTERA del año'!$H$7:$H$560)+SUMIF('CARTERA de la OFICINA'!$A$9:$A$170,A36,'CARTERA de la OFICINA'!$H$9:$H$170)</f>
        <v>3705000</v>
      </c>
      <c r="D36" s="678">
        <v>0</v>
      </c>
      <c r="E36" s="769" t="str">
        <f t="shared" si="0"/>
        <v>VIGENTE</v>
      </c>
      <c r="F36" s="694"/>
    </row>
    <row r="37" spans="1:6" ht="12" customHeight="1" x14ac:dyDescent="0.2">
      <c r="A37" s="560">
        <v>26</v>
      </c>
      <c r="B37" s="830" t="str">
        <f>_xlfn.XLOOKUP(A37,Códigos!$A$11:$A$415,Códigos!$B$11:$B$415,"Verificar",0)</f>
        <v>NOMBRE 201</v>
      </c>
      <c r="C37" s="684">
        <f>SUMIF('CARTERA del año'!$A$7:$A$560,A37,'CARTERA del año'!$H$7:$H$560)+SUMIF('CARTERA de la OFICINA'!$A$9:$A$170,A37,'CARTERA de la OFICINA'!$H$9:$H$170)</f>
        <v>260000</v>
      </c>
      <c r="D37" s="678"/>
      <c r="E37" s="769" t="str">
        <f t="shared" si="0"/>
        <v>VIGENTE</v>
      </c>
      <c r="F37" s="694"/>
    </row>
    <row r="38" spans="1:6" ht="12" customHeight="1" x14ac:dyDescent="0.2">
      <c r="A38" s="560">
        <v>27</v>
      </c>
      <c r="B38" s="830" t="str">
        <f>_xlfn.XLOOKUP(A38,Códigos!$A$11:$A$415,Códigos!$B$11:$B$415,"Verificar",0)</f>
        <v>NOMBRE 345</v>
      </c>
      <c r="C38" s="684">
        <f>SUMIF('CARTERA del año'!$A$7:$A$560,A38,'CARTERA del año'!$H$7:$H$560)+SUMIF('CARTERA de la OFICINA'!$A$9:$A$170,A38,'CARTERA de la OFICINA'!$H$9:$H$170)</f>
        <v>0</v>
      </c>
      <c r="D38" s="678">
        <v>2</v>
      </c>
      <c r="E38" s="769" t="str">
        <f t="shared" si="0"/>
        <v>-</v>
      </c>
      <c r="F38" s="972"/>
    </row>
    <row r="39" spans="1:6" ht="12" customHeight="1" x14ac:dyDescent="0.2">
      <c r="A39" s="560">
        <v>28</v>
      </c>
      <c r="B39" s="830" t="str">
        <f>_xlfn.XLOOKUP(A39,Códigos!$A$11:$A$415,Códigos!$B$11:$B$415,"Verificar",0)</f>
        <v>NOMBRE 180</v>
      </c>
      <c r="C39" s="684">
        <f>SUMIF('CARTERA del año'!$A$7:$A$560,A39,'CARTERA del año'!$H$7:$H$560)+SUMIF('CARTERA de la OFICINA'!$A$9:$A$170,A39,'CARTERA de la OFICINA'!$H$9:$H$170)</f>
        <v>11907000</v>
      </c>
      <c r="D39" s="678">
        <v>0</v>
      </c>
      <c r="E39" s="769" t="str">
        <f t="shared" si="0"/>
        <v>VIGENTE</v>
      </c>
      <c r="F39" s="694"/>
    </row>
    <row r="40" spans="1:6" ht="12" customHeight="1" x14ac:dyDescent="0.2">
      <c r="A40" s="560">
        <v>29</v>
      </c>
      <c r="B40" s="830" t="str">
        <f>_xlfn.XLOOKUP(A40,Códigos!$A$11:$A$415,Códigos!$B$11:$B$415,"Verificar",0)</f>
        <v>NOMBRE 187</v>
      </c>
      <c r="C40" s="684">
        <f>SUMIF('CARTERA del año'!$A$7:$A$560,A40,'CARTERA del año'!$H$7:$H$560)+SUMIF('CARTERA de la OFICINA'!$A$9:$A$170,A40,'CARTERA de la OFICINA'!$H$9:$H$170)</f>
        <v>8000</v>
      </c>
      <c r="D40" s="678">
        <v>0</v>
      </c>
      <c r="E40" s="769" t="str">
        <f t="shared" si="0"/>
        <v>VIGENTE</v>
      </c>
      <c r="F40" s="694"/>
    </row>
    <row r="41" spans="1:6" ht="12" customHeight="1" x14ac:dyDescent="0.2">
      <c r="A41" s="560">
        <v>30</v>
      </c>
      <c r="B41" s="830" t="str">
        <f>_xlfn.XLOOKUP(A41,Códigos!$A$11:$A$415,Códigos!$B$11:$B$415,"Verificar",0)</f>
        <v>NOMBRE 188</v>
      </c>
      <c r="C41" s="684">
        <f>SUMIF('CARTERA del año'!$A$7:$A$560,A41,'CARTERA del año'!$H$7:$H$560)+SUMIF('CARTERA de la OFICINA'!$A$9:$A$170,A41,'CARTERA de la OFICINA'!$H$9:$H$170)</f>
        <v>0</v>
      </c>
      <c r="D41" s="678">
        <v>2</v>
      </c>
      <c r="E41" s="769" t="str">
        <f t="shared" si="0"/>
        <v>-</v>
      </c>
      <c r="F41" s="694"/>
    </row>
    <row r="42" spans="1:6" ht="12" customHeight="1" x14ac:dyDescent="0.2">
      <c r="A42" s="560">
        <v>31</v>
      </c>
      <c r="B42" s="830" t="str">
        <f>_xlfn.XLOOKUP(A42,Códigos!$A$11:$A$415,Códigos!$B$11:$B$415,"Verificar",0)</f>
        <v>NOMBRE 189</v>
      </c>
      <c r="C42" s="684">
        <f>SUMIF('CARTERA del año'!$A$7:$A$560,A42,'CARTERA del año'!$H$7:$H$560)+SUMIF('CARTERA de la OFICINA'!$A$9:$A$170,A42,'CARTERA de la OFICINA'!$H$9:$H$170)</f>
        <v>0</v>
      </c>
      <c r="D42" s="678"/>
      <c r="E42" s="769" t="str">
        <f t="shared" si="0"/>
        <v>-</v>
      </c>
      <c r="F42" s="694"/>
    </row>
    <row r="43" spans="1:6" ht="12" customHeight="1" x14ac:dyDescent="0.2">
      <c r="A43" s="560">
        <v>32</v>
      </c>
      <c r="B43" s="830" t="str">
        <f>_xlfn.XLOOKUP(A43,Códigos!$A$11:$A$415,Códigos!$B$11:$B$415,"Verificar",0)</f>
        <v>NOMBRE 199</v>
      </c>
      <c r="C43" s="684">
        <f>SUMIF('CARTERA del año'!$A$7:$A$560,A43,'CARTERA del año'!$H$7:$H$560)+SUMIF('CARTERA de la OFICINA'!$A$9:$A$170,A43,'CARTERA de la OFICINA'!$H$9:$H$170)</f>
        <v>127500</v>
      </c>
      <c r="D43" s="678">
        <v>0</v>
      </c>
      <c r="E43" s="769" t="str">
        <f t="shared" si="0"/>
        <v>VIGENTE</v>
      </c>
      <c r="F43" s="557" t="s">
        <v>736</v>
      </c>
    </row>
    <row r="44" spans="1:6" ht="12" customHeight="1" x14ac:dyDescent="0.2">
      <c r="A44" s="560">
        <v>33</v>
      </c>
      <c r="B44" s="830" t="str">
        <f>_xlfn.XLOOKUP(A44,Códigos!$A$11:$A$415,Códigos!$B$11:$B$415,"Verificar",0)</f>
        <v>NOMBRE 171</v>
      </c>
      <c r="C44" s="684">
        <f>SUMIF('CARTERA del año'!$A$7:$A$560,A44,'CARTERA del año'!$H$7:$H$560)+SUMIF('CARTERA de la OFICINA'!$A$9:$A$170,A44,'CARTERA de la OFICINA'!$H$9:$H$170)</f>
        <v>3466800</v>
      </c>
      <c r="D44" s="678">
        <v>0</v>
      </c>
      <c r="E44" s="769" t="str">
        <f t="shared" si="0"/>
        <v>VIGENTE</v>
      </c>
      <c r="F44" s="694"/>
    </row>
    <row r="45" spans="1:6" ht="12" customHeight="1" x14ac:dyDescent="0.2">
      <c r="A45" s="560">
        <v>34</v>
      </c>
      <c r="B45" s="830" t="str">
        <f>_xlfn.XLOOKUP(A45,Códigos!$A$11:$A$415,Códigos!$B$11:$B$415,"Verificar",0)</f>
        <v>NOMBRE 176</v>
      </c>
      <c r="C45" s="684">
        <f>SUMIF('CARTERA del año'!$A$7:$A$560,A45,'CARTERA del año'!$H$7:$H$560)+SUMIF('CARTERA de la OFICINA'!$A$9:$A$170,A45,'CARTERA de la OFICINA'!$H$9:$H$170)</f>
        <v>0</v>
      </c>
      <c r="D45" s="678"/>
      <c r="E45" s="769" t="str">
        <f t="shared" si="0"/>
        <v>-</v>
      </c>
      <c r="F45" s="694"/>
    </row>
    <row r="46" spans="1:6" ht="12" customHeight="1" x14ac:dyDescent="0.2">
      <c r="A46" s="560">
        <v>35</v>
      </c>
      <c r="B46" s="830" t="str">
        <f>_xlfn.XLOOKUP(A46,Códigos!$A$11:$A$415,Códigos!$B$11:$B$415,"Verificar",0)</f>
        <v>NOMBRE 274</v>
      </c>
      <c r="C46" s="684">
        <f>SUMIF('CARTERA del año'!$A$7:$A$560,A46,'CARTERA del año'!$H$7:$H$560)+SUMIF('CARTERA de la OFICINA'!$A$9:$A$170,A46,'CARTERA de la OFICINA'!$H$9:$H$170)</f>
        <v>0</v>
      </c>
      <c r="D46" s="678">
        <v>0</v>
      </c>
      <c r="E46" s="769" t="str">
        <f t="shared" si="0"/>
        <v>-</v>
      </c>
      <c r="F46" s="694"/>
    </row>
    <row r="47" spans="1:6" ht="12" customHeight="1" x14ac:dyDescent="0.2">
      <c r="A47" s="560">
        <v>36</v>
      </c>
      <c r="B47" s="830" t="str">
        <f>_xlfn.XLOOKUP(A47,Códigos!$A$11:$A$415,Códigos!$B$11:$B$415,"Verificar",0)</f>
        <v>NOMBRE 15</v>
      </c>
      <c r="C47" s="684">
        <f>SUMIF('CARTERA del año'!$A$7:$A$560,A47,'CARTERA del año'!$H$7:$H$560)+SUMIF('CARTERA de la OFICINA'!$A$9:$A$170,A47,'CARTERA de la OFICINA'!$H$9:$H$170)</f>
        <v>0</v>
      </c>
      <c r="D47" s="678">
        <v>0</v>
      </c>
      <c r="E47" s="769" t="str">
        <f t="shared" si="0"/>
        <v>-</v>
      </c>
      <c r="F47" s="694"/>
    </row>
    <row r="48" spans="1:6" ht="12" customHeight="1" x14ac:dyDescent="0.2">
      <c r="A48" s="560">
        <v>37</v>
      </c>
      <c r="B48" s="830" t="str">
        <f>_xlfn.XLOOKUP(A48,Códigos!$A$11:$A$415,Códigos!$B$11:$B$415,"Verificar",0)</f>
        <v>NOMBRE 310</v>
      </c>
      <c r="C48" s="684">
        <f>SUMIF('CARTERA del año'!$A$7:$A$560,A48,'CARTERA del año'!$H$7:$H$560)+SUMIF('CARTERA de la OFICINA'!$A$9:$A$170,A48,'CARTERA de la OFICINA'!$H$9:$H$170)</f>
        <v>1533200</v>
      </c>
      <c r="D48" s="678">
        <v>0</v>
      </c>
      <c r="E48" s="769" t="str">
        <f t="shared" si="0"/>
        <v>VIGENTE</v>
      </c>
      <c r="F48" s="694"/>
    </row>
    <row r="49" spans="1:6" ht="12" customHeight="1" x14ac:dyDescent="0.2">
      <c r="A49" s="560">
        <v>38</v>
      </c>
      <c r="B49" s="830" t="str">
        <f>_xlfn.XLOOKUP(A49,Códigos!$A$11:$A$415,Códigos!$B$11:$B$415,"Verificar",0)</f>
        <v>NOMBRE 16</v>
      </c>
      <c r="C49" s="684">
        <f>SUMIF('CARTERA del año'!$A$7:$A$560,A49,'CARTERA del año'!$H$7:$H$560)+SUMIF('CARTERA de la OFICINA'!$A$9:$A$170,A49,'CARTERA de la OFICINA'!$H$9:$H$170)</f>
        <v>0</v>
      </c>
      <c r="D49" s="678">
        <v>2</v>
      </c>
      <c r="E49" s="769" t="str">
        <f t="shared" si="0"/>
        <v>-</v>
      </c>
      <c r="F49" s="694"/>
    </row>
    <row r="50" spans="1:6" ht="12" customHeight="1" x14ac:dyDescent="0.2">
      <c r="A50" s="560">
        <v>39</v>
      </c>
      <c r="B50" s="830" t="str">
        <f>_xlfn.XLOOKUP(A50,Códigos!$A$11:$A$415,Códigos!$B$11:$B$415,"Verificar",0)</f>
        <v>NOMBRE 79</v>
      </c>
      <c r="C50" s="684">
        <f>SUMIF('CARTERA del año'!$A$7:$A$560,A50,'CARTERA del año'!$H$7:$H$560)+SUMIF('CARTERA de la OFICINA'!$A$9:$A$170,A50,'CARTERA de la OFICINA'!$H$9:$H$170)</f>
        <v>0</v>
      </c>
      <c r="D50" s="678"/>
      <c r="E50" s="769" t="str">
        <f t="shared" si="0"/>
        <v>-</v>
      </c>
      <c r="F50" s="694"/>
    </row>
    <row r="51" spans="1:6" ht="12" customHeight="1" x14ac:dyDescent="0.2">
      <c r="A51" s="560">
        <v>40</v>
      </c>
      <c r="B51" s="830" t="str">
        <f>_xlfn.XLOOKUP(A51,Códigos!$A$11:$A$415,Códigos!$B$11:$B$415,"Verificar",0)</f>
        <v>NOMBRE 325</v>
      </c>
      <c r="C51" s="684">
        <f>SUMIF('CARTERA del año'!$A$7:$A$560,A51,'CARTERA del año'!$H$7:$H$560)+SUMIF('CARTERA de la OFICINA'!$A$9:$A$170,A51,'CARTERA de la OFICINA'!$H$9:$H$170)</f>
        <v>796400</v>
      </c>
      <c r="D51" s="678">
        <v>0</v>
      </c>
      <c r="E51" s="769" t="str">
        <f t="shared" si="0"/>
        <v>VIGENTE</v>
      </c>
      <c r="F51" s="694"/>
    </row>
    <row r="52" spans="1:6" ht="12" customHeight="1" x14ac:dyDescent="0.2">
      <c r="A52" s="560">
        <v>41</v>
      </c>
      <c r="B52" s="830" t="str">
        <f>_xlfn.XLOOKUP(A52,Códigos!$A$11:$A$415,Códigos!$B$11:$B$415,"Verificar",0)</f>
        <v>NOMBRE 1</v>
      </c>
      <c r="C52" s="684">
        <f>SUMIF('CARTERA del año'!$A$7:$A$560,A52,'CARTERA del año'!$H$7:$H$560)+SUMIF('CARTERA de la OFICINA'!$A$9:$A$170,A52,'CARTERA de la OFICINA'!$H$9:$H$170)</f>
        <v>360000</v>
      </c>
      <c r="D52" s="678"/>
      <c r="E52" s="769" t="str">
        <f t="shared" si="0"/>
        <v>VIGENTE</v>
      </c>
      <c r="F52" s="694"/>
    </row>
    <row r="53" spans="1:6" ht="12" customHeight="1" x14ac:dyDescent="0.2">
      <c r="A53" s="560">
        <v>42</v>
      </c>
      <c r="B53" s="830" t="str">
        <f>_xlfn.XLOOKUP(A53,Códigos!$A$11:$A$415,Códigos!$B$11:$B$415,"Verificar",0)</f>
        <v>NOMBRE 6</v>
      </c>
      <c r="C53" s="684">
        <f>SUMIF('CARTERA del año'!$A$7:$A$560,A53,'CARTERA del año'!$H$7:$H$560)+SUMIF('CARTERA de la OFICINA'!$A$9:$A$170,A53,'CARTERA de la OFICINA'!$H$9:$H$170)</f>
        <v>0</v>
      </c>
      <c r="D53" s="678"/>
      <c r="E53" s="769" t="str">
        <f t="shared" si="0"/>
        <v>-</v>
      </c>
      <c r="F53" s="694"/>
    </row>
    <row r="54" spans="1:6" ht="12" customHeight="1" x14ac:dyDescent="0.2">
      <c r="A54" s="560">
        <v>43</v>
      </c>
      <c r="B54" s="830" t="str">
        <f>_xlfn.XLOOKUP(A54,Códigos!$A$11:$A$415,Códigos!$B$11:$B$415,"Verificar",0)</f>
        <v>NOMBRE 7</v>
      </c>
      <c r="C54" s="684">
        <f>SUMIF('CARTERA del año'!$A$7:$A$560,A54,'CARTERA del año'!$H$7:$H$560)+SUMIF('CARTERA de la OFICINA'!$A$9:$A$170,A54,'CARTERA de la OFICINA'!$H$9:$H$170)</f>
        <v>480000</v>
      </c>
      <c r="D54" s="678">
        <v>0</v>
      </c>
      <c r="E54" s="769" t="str">
        <f t="shared" si="0"/>
        <v>VIGENTE</v>
      </c>
      <c r="F54" s="694"/>
    </row>
    <row r="55" spans="1:6" ht="12" customHeight="1" x14ac:dyDescent="0.2">
      <c r="A55" s="560">
        <v>44</v>
      </c>
      <c r="B55" s="830" t="str">
        <f>_xlfn.XLOOKUP(A55,Códigos!$A$11:$A$415,Códigos!$B$11:$B$415,"Verificar",0)</f>
        <v>NOMBRE 8</v>
      </c>
      <c r="C55" s="684">
        <f>SUMIF('CARTERA del año'!$A$7:$A$560,A55,'CARTERA del año'!$H$7:$H$560)+SUMIF('CARTERA de la OFICINA'!$A$9:$A$170,A55,'CARTERA de la OFICINA'!$H$9:$H$170)</f>
        <v>0</v>
      </c>
      <c r="D55" s="678"/>
      <c r="E55" s="769" t="str">
        <f t="shared" si="0"/>
        <v>-</v>
      </c>
      <c r="F55" s="694"/>
    </row>
    <row r="56" spans="1:6" s="216" customFormat="1" ht="12" customHeight="1" x14ac:dyDescent="0.2">
      <c r="A56" s="560">
        <v>45</v>
      </c>
      <c r="B56" s="830" t="str">
        <f>_xlfn.XLOOKUP(A56,Códigos!$A$11:$A$415,Códigos!$B$11:$B$415,"Verificar",0)</f>
        <v>NOMBRE 9</v>
      </c>
      <c r="C56" s="684">
        <f>SUMIF('CARTERA del año'!$A$7:$A$560,A56,'CARTERA del año'!$H$7:$H$560)+SUMIF('CARTERA de la OFICINA'!$A$9:$A$170,A56,'CARTERA de la OFICINA'!$H$9:$H$170)</f>
        <v>980000</v>
      </c>
      <c r="D56" s="678">
        <v>0</v>
      </c>
      <c r="E56" s="769" t="str">
        <f t="shared" si="0"/>
        <v>VIGENTE</v>
      </c>
      <c r="F56" s="694"/>
    </row>
    <row r="57" spans="1:6" ht="12" customHeight="1" x14ac:dyDescent="0.2">
      <c r="A57" s="560">
        <v>46</v>
      </c>
      <c r="B57" s="830" t="str">
        <f>_xlfn.XLOOKUP(A57,Códigos!$A$11:$A$415,Códigos!$B$11:$B$415,"Verificar",0)</f>
        <v>NOMBRE 116</v>
      </c>
      <c r="C57" s="684">
        <f>SUMIF('CARTERA del año'!$A$7:$A$560,A57,'CARTERA del año'!$H$7:$H$560)+SUMIF('CARTERA de la OFICINA'!$A$9:$A$170,A57,'CARTERA de la OFICINA'!$H$9:$H$170)</f>
        <v>0</v>
      </c>
      <c r="D57" s="678"/>
      <c r="E57" s="769" t="str">
        <f t="shared" si="0"/>
        <v>-</v>
      </c>
      <c r="F57" s="694"/>
    </row>
    <row r="58" spans="1:6" ht="12" customHeight="1" x14ac:dyDescent="0.2">
      <c r="A58" s="560">
        <v>47</v>
      </c>
      <c r="B58" s="830" t="str">
        <f>_xlfn.XLOOKUP(A58,Códigos!$A$11:$A$415,Códigos!$B$11:$B$415,"Verificar",0)</f>
        <v>NOMBRE 12</v>
      </c>
      <c r="C58" s="684">
        <f>SUMIF('CARTERA del año'!$A$7:$A$560,A58,'CARTERA del año'!$H$7:$H$560)+SUMIF('CARTERA de la OFICINA'!$A$9:$A$170,A58,'CARTERA de la OFICINA'!$H$9:$H$170)</f>
        <v>0</v>
      </c>
      <c r="D58" s="678"/>
      <c r="E58" s="769" t="str">
        <f t="shared" si="0"/>
        <v>-</v>
      </c>
      <c r="F58" s="694"/>
    </row>
    <row r="59" spans="1:6" ht="12" customHeight="1" x14ac:dyDescent="0.2">
      <c r="A59" s="560">
        <v>48</v>
      </c>
      <c r="B59" s="830" t="str">
        <f>_xlfn.XLOOKUP(A59,Códigos!$A$11:$A$415,Códigos!$B$11:$B$415,"Verificar",0)</f>
        <v>NOMBRE 14</v>
      </c>
      <c r="C59" s="684">
        <f>SUMIF('CARTERA del año'!$A$7:$A$560,A59,'CARTERA del año'!$H$7:$H$560)+SUMIF('CARTERA de la OFICINA'!$A$9:$A$170,A59,'CARTERA de la OFICINA'!$H$9:$H$170)</f>
        <v>0</v>
      </c>
      <c r="D59" s="678"/>
      <c r="E59" s="769" t="str">
        <f t="shared" si="0"/>
        <v>-</v>
      </c>
      <c r="F59" s="694"/>
    </row>
    <row r="60" spans="1:6" ht="12" customHeight="1" x14ac:dyDescent="0.2">
      <c r="A60" s="560">
        <v>49</v>
      </c>
      <c r="B60" s="830" t="str">
        <f>_xlfn.XLOOKUP(A60,Códigos!$A$11:$A$415,Códigos!$B$11:$B$415,"Verificar",0)</f>
        <v>NOMBRE 17</v>
      </c>
      <c r="C60" s="1223">
        <f>SUMIF('CARTERA del año'!$A$7:$A$560,A60,'CARTERA del año'!$H$7:$H$560)+SUMIF('CARTERA de la OFICINA'!$A$9:$A$170,A60,'CARTERA de la OFICINA'!$H$9:$H$170)</f>
        <v>690000</v>
      </c>
      <c r="D60" s="678">
        <v>0</v>
      </c>
      <c r="E60" s="769" t="str">
        <f t="shared" si="0"/>
        <v>VIGENTE</v>
      </c>
      <c r="F60" s="694"/>
    </row>
    <row r="61" spans="1:6" ht="12" customHeight="1" x14ac:dyDescent="0.2">
      <c r="A61" s="560">
        <v>50</v>
      </c>
      <c r="B61" s="830" t="str">
        <f>_xlfn.XLOOKUP(A61,Códigos!$A$11:$A$415,Códigos!$B$11:$B$415,"Verificar",0)</f>
        <v>NOMBRE 18</v>
      </c>
      <c r="C61" s="684">
        <f>SUMIF('CARTERA del año'!$A$7:$A$560,A61,'CARTERA del año'!$H$7:$H$560)+SUMIF('CARTERA de la OFICINA'!$A$9:$A$170,A61,'CARTERA de la OFICINA'!$H$9:$H$170)</f>
        <v>350000</v>
      </c>
      <c r="D61" s="678"/>
      <c r="E61" s="769" t="str">
        <f t="shared" si="0"/>
        <v>VIGENTE</v>
      </c>
      <c r="F61" s="694"/>
    </row>
    <row r="62" spans="1:6" ht="12" customHeight="1" x14ac:dyDescent="0.2">
      <c r="A62" s="560">
        <v>51</v>
      </c>
      <c r="B62" s="830" t="str">
        <f>_xlfn.XLOOKUP(A62,Códigos!$A$11:$A$415,Códigos!$B$11:$B$415,"Verificar",0)</f>
        <v>NOMBRE 19</v>
      </c>
      <c r="C62" s="684">
        <f>SUMIF('CARTERA del año'!$A$7:$A$560,A62,'CARTERA del año'!$H$7:$H$560)+SUMIF('CARTERA de la OFICINA'!$A$9:$A$170,A62,'CARTERA de la OFICINA'!$H$9:$H$170)</f>
        <v>0</v>
      </c>
      <c r="D62" s="678">
        <v>0</v>
      </c>
      <c r="E62" s="769" t="str">
        <f t="shared" si="0"/>
        <v>-</v>
      </c>
      <c r="F62" s="694"/>
    </row>
    <row r="63" spans="1:6" ht="12" customHeight="1" x14ac:dyDescent="0.2">
      <c r="A63" s="560">
        <v>52</v>
      </c>
      <c r="B63" s="830" t="str">
        <f>_xlfn.XLOOKUP(A63,Códigos!$A$11:$A$415,Códigos!$B$11:$B$415,"Verificar",0)</f>
        <v>NOMBRE 20</v>
      </c>
      <c r="C63" s="684">
        <f>SUMIF('CARTERA del año'!$A$7:$A$560,A63,'CARTERA del año'!$H$7:$H$560)+SUMIF('CARTERA de la OFICINA'!$A$9:$A$170,A63,'CARTERA de la OFICINA'!$H$9:$H$170)</f>
        <v>0</v>
      </c>
      <c r="D63" s="678"/>
      <c r="E63" s="769" t="str">
        <f t="shared" si="0"/>
        <v>-</v>
      </c>
      <c r="F63" s="694"/>
    </row>
    <row r="64" spans="1:6" ht="12" customHeight="1" x14ac:dyDescent="0.2">
      <c r="A64" s="560">
        <v>53</v>
      </c>
      <c r="B64" s="830" t="str">
        <f>_xlfn.XLOOKUP(A64,Códigos!$A$11:$A$415,Códigos!$B$11:$B$415,"Verificar",0)</f>
        <v>NOMBRE 22</v>
      </c>
      <c r="C64" s="684">
        <f>SUMIF('CARTERA del año'!$A$7:$A$560,A64,'CARTERA del año'!$H$7:$H$560)+SUMIF('CARTERA de la OFICINA'!$A$9:$A$170,A64,'CARTERA de la OFICINA'!$H$9:$H$170)</f>
        <v>0</v>
      </c>
      <c r="D64" s="678">
        <v>0</v>
      </c>
      <c r="E64" s="769" t="str">
        <f t="shared" si="0"/>
        <v>-</v>
      </c>
      <c r="F64" s="694"/>
    </row>
    <row r="65" spans="1:6" ht="12" customHeight="1" x14ac:dyDescent="0.2">
      <c r="A65" s="560">
        <v>54</v>
      </c>
      <c r="B65" s="830" t="str">
        <f>_xlfn.XLOOKUP(A65,Códigos!$A$11:$A$415,Códigos!$B$11:$B$415,"Verificar",0)</f>
        <v>NOMBRE 118</v>
      </c>
      <c r="C65" s="684">
        <f>SUMIF('CARTERA del año'!$A$7:$A$560,A65,'CARTERA del año'!$H$7:$H$560)+SUMIF('CARTERA de la OFICINA'!$A$9:$A$170,A65,'CARTERA de la OFICINA'!$H$9:$H$170)</f>
        <v>0</v>
      </c>
      <c r="D65" s="678"/>
      <c r="E65" s="769" t="str">
        <f t="shared" si="0"/>
        <v>-</v>
      </c>
      <c r="F65" s="694"/>
    </row>
    <row r="66" spans="1:6" ht="12" customHeight="1" x14ac:dyDescent="0.2">
      <c r="A66" s="560">
        <v>55</v>
      </c>
      <c r="B66" s="830" t="str">
        <f>_xlfn.XLOOKUP(A66,Códigos!$A$11:$A$415,Códigos!$B$11:$B$415,"Verificar",0)</f>
        <v>NOMBRE 120</v>
      </c>
      <c r="C66" s="684">
        <f>SUMIF('CARTERA del año'!$A$7:$A$560,A66,'CARTERA del año'!$H$7:$H$560)+SUMIF('CARTERA de la OFICINA'!$A$9:$A$170,A66,'CARTERA de la OFICINA'!$H$9:$H$170)</f>
        <v>0</v>
      </c>
      <c r="D66" s="678"/>
      <c r="E66" s="769" t="str">
        <f t="shared" si="0"/>
        <v>-</v>
      </c>
      <c r="F66" s="694"/>
    </row>
    <row r="67" spans="1:6" ht="12" customHeight="1" x14ac:dyDescent="0.2">
      <c r="A67" s="560">
        <v>56</v>
      </c>
      <c r="B67" s="830" t="str">
        <f>_xlfn.XLOOKUP(A67,Códigos!$A$11:$A$415,Códigos!$B$11:$B$415,"Verificar",0)</f>
        <v>NOMBRE 30</v>
      </c>
      <c r="C67" s="684">
        <f>SUMIF('CARTERA del año'!$A$7:$A$560,A67,'CARTERA del año'!$H$7:$H$560)+SUMIF('CARTERA de la OFICINA'!$A$9:$A$170,A67,'CARTERA de la OFICINA'!$H$9:$H$170)</f>
        <v>0</v>
      </c>
      <c r="D67" s="678">
        <v>0</v>
      </c>
      <c r="E67" s="769" t="str">
        <f t="shared" si="0"/>
        <v>-</v>
      </c>
      <c r="F67" s="694"/>
    </row>
    <row r="68" spans="1:6" ht="12" customHeight="1" x14ac:dyDescent="0.2">
      <c r="A68" s="560">
        <v>57</v>
      </c>
      <c r="B68" s="830" t="str">
        <f>_xlfn.XLOOKUP(A68,Códigos!$A$11:$A$415,Códigos!$B$11:$B$415,"Verificar",0)</f>
        <v>NOMBRE 130</v>
      </c>
      <c r="C68" s="684">
        <f>SUMIF('CARTERA del año'!$A$7:$A$560,A68,'CARTERA del año'!$H$7:$H$560)+SUMIF('CARTERA de la OFICINA'!$A$9:$A$170,A68,'CARTERA de la OFICINA'!$H$9:$H$170)</f>
        <v>410000</v>
      </c>
      <c r="D68" s="678">
        <v>0</v>
      </c>
      <c r="E68" s="769" t="str">
        <f t="shared" si="0"/>
        <v>VIGENTE</v>
      </c>
      <c r="F68" s="694"/>
    </row>
    <row r="69" spans="1:6" ht="12" customHeight="1" x14ac:dyDescent="0.2">
      <c r="A69" s="560">
        <v>58</v>
      </c>
      <c r="B69" s="830" t="str">
        <f>_xlfn.XLOOKUP(A69,Códigos!$A$11:$A$415,Códigos!$B$11:$B$415,"Verificar",0)</f>
        <v>NOMBRE 192</v>
      </c>
      <c r="C69" s="684">
        <f>SUMIF('CARTERA del año'!$A$7:$A$560,A69,'CARTERA del año'!$H$7:$H$560)+SUMIF('CARTERA de la OFICINA'!$A$9:$A$170,A69,'CARTERA de la OFICINA'!$H$9:$H$170)</f>
        <v>0</v>
      </c>
      <c r="D69" s="678">
        <v>0</v>
      </c>
      <c r="E69" s="769" t="str">
        <f t="shared" si="0"/>
        <v>-</v>
      </c>
      <c r="F69" s="694"/>
    </row>
    <row r="70" spans="1:6" ht="12" customHeight="1" x14ac:dyDescent="0.2">
      <c r="A70" s="560">
        <v>59</v>
      </c>
      <c r="B70" s="830" t="str">
        <f>_xlfn.XLOOKUP(A70,Códigos!$A$11:$A$415,Códigos!$B$11:$B$415,"Verificar",0)</f>
        <v>NOMBRE 36</v>
      </c>
      <c r="C70" s="684">
        <f>SUMIF('CARTERA del año'!$A$7:$A$560,A70,'CARTERA del año'!$H$7:$H$560)+SUMIF('CARTERA de la OFICINA'!$A$9:$A$170,A70,'CARTERA de la OFICINA'!$H$9:$H$170)</f>
        <v>0</v>
      </c>
      <c r="D70" s="678"/>
      <c r="E70" s="769" t="str">
        <f t="shared" si="0"/>
        <v>-</v>
      </c>
      <c r="F70" s="694"/>
    </row>
    <row r="71" spans="1:6" ht="12" customHeight="1" x14ac:dyDescent="0.2">
      <c r="A71" s="560">
        <v>60</v>
      </c>
      <c r="B71" s="830" t="str">
        <f>_xlfn.XLOOKUP(A71,Códigos!$A$11:$A$415,Códigos!$B$11:$B$415,"Verificar",0)</f>
        <v>NOMBRE 39</v>
      </c>
      <c r="C71" s="684">
        <f>SUMIF('CARTERA del año'!$A$7:$A$560,A71,'CARTERA del año'!$H$7:$H$560)+SUMIF('CARTERA de la OFICINA'!$A$9:$A$170,A71,'CARTERA de la OFICINA'!$H$9:$H$170)</f>
        <v>350000</v>
      </c>
      <c r="D71" s="678"/>
      <c r="E71" s="769" t="str">
        <f t="shared" si="0"/>
        <v>VIGENTE</v>
      </c>
      <c r="F71" s="694"/>
    </row>
    <row r="72" spans="1:6" ht="12" customHeight="1" x14ac:dyDescent="0.2">
      <c r="A72" s="560">
        <v>61</v>
      </c>
      <c r="B72" s="830" t="str">
        <f>_xlfn.XLOOKUP(A72,Códigos!$A$11:$A$415,Códigos!$B$11:$B$415,"Verificar",0)</f>
        <v>NOMBRE 40</v>
      </c>
      <c r="C72" s="684">
        <f>SUMIF('CARTERA del año'!$A$7:$A$560,A72,'CARTERA del año'!$H$7:$H$560)+SUMIF('CARTERA de la OFICINA'!$A$9:$A$170,A72,'CARTERA de la OFICINA'!$H$9:$H$170)</f>
        <v>0</v>
      </c>
      <c r="D72" s="678"/>
      <c r="E72" s="769" t="str">
        <f t="shared" si="0"/>
        <v>-</v>
      </c>
      <c r="F72" s="694"/>
    </row>
    <row r="73" spans="1:6" ht="12" customHeight="1" x14ac:dyDescent="0.2">
      <c r="A73" s="560">
        <v>62</v>
      </c>
      <c r="B73" s="830" t="str">
        <f>_xlfn.XLOOKUP(A73,Códigos!$A$11:$A$415,Códigos!$B$11:$B$415,"Verificar",0)</f>
        <v>NOMBRE 42</v>
      </c>
      <c r="C73" s="684">
        <f>SUMIF('CARTERA del año'!$A$7:$A$560,A73,'CARTERA del año'!$H$7:$H$560)+SUMIF('CARTERA de la OFICINA'!$A$9:$A$170,A73,'CARTERA de la OFICINA'!$H$9:$H$170)</f>
        <v>0</v>
      </c>
      <c r="D73" s="678"/>
      <c r="E73" s="769" t="str">
        <f t="shared" si="0"/>
        <v>-</v>
      </c>
      <c r="F73" s="694"/>
    </row>
    <row r="74" spans="1:6" ht="12" customHeight="1" x14ac:dyDescent="0.2">
      <c r="A74" s="560">
        <v>63</v>
      </c>
      <c r="B74" s="830" t="str">
        <f>_xlfn.XLOOKUP(A74,Códigos!$A$11:$A$415,Códigos!$B$11:$B$415,"Verificar",0)</f>
        <v>NOMBRE 43</v>
      </c>
      <c r="C74" s="684">
        <f>SUMIF('CARTERA del año'!$A$7:$A$560,A74,'CARTERA del año'!$H$7:$H$560)+SUMIF('CARTERA de la OFICINA'!$A$9:$A$170,A74,'CARTERA de la OFICINA'!$H$9:$H$170)</f>
        <v>0</v>
      </c>
      <c r="D74" s="678"/>
      <c r="E74" s="769" t="str">
        <f t="shared" si="0"/>
        <v>-</v>
      </c>
      <c r="F74" s="694"/>
    </row>
    <row r="75" spans="1:6" ht="12" customHeight="1" x14ac:dyDescent="0.2">
      <c r="A75" s="560">
        <v>64</v>
      </c>
      <c r="B75" s="830" t="str">
        <f>_xlfn.XLOOKUP(A75,Códigos!$A$11:$A$415,Códigos!$B$11:$B$415,"Verificar",0)</f>
        <v>NOMBRE 202</v>
      </c>
      <c r="C75" s="684">
        <f>SUMIF('CARTERA del año'!$A$7:$A$560,A75,'CARTERA del año'!$H$7:$H$560)+SUMIF('CARTERA de la OFICINA'!$A$9:$A$170,A75,'CARTERA de la OFICINA'!$H$9:$H$170)</f>
        <v>160000</v>
      </c>
      <c r="D75" s="678"/>
      <c r="E75" s="769" t="str">
        <f t="shared" si="0"/>
        <v>VIGENTE</v>
      </c>
      <c r="F75" s="694"/>
    </row>
    <row r="76" spans="1:6" ht="12" customHeight="1" x14ac:dyDescent="0.2">
      <c r="A76" s="560">
        <v>65</v>
      </c>
      <c r="B76" s="830" t="str">
        <f>_xlfn.XLOOKUP(A76,Códigos!$A$11:$A$415,Códigos!$B$11:$B$415,"Verificar",0)</f>
        <v>NOMBRE 44</v>
      </c>
      <c r="C76" s="684">
        <f>SUMIF('CARTERA del año'!$A$7:$A$560,A76,'CARTERA del año'!$H$7:$H$560)+SUMIF('CARTERA de la OFICINA'!$A$9:$A$170,A76,'CARTERA de la OFICINA'!$H$9:$H$170)</f>
        <v>4170000</v>
      </c>
      <c r="D76" s="678">
        <v>0</v>
      </c>
      <c r="E76" s="769" t="str">
        <f t="shared" si="0"/>
        <v>VIGENTE</v>
      </c>
      <c r="F76" s="694"/>
    </row>
    <row r="77" spans="1:6" ht="12" customHeight="1" x14ac:dyDescent="0.2">
      <c r="A77" s="560">
        <v>66</v>
      </c>
      <c r="B77" s="830" t="str">
        <f>_xlfn.XLOOKUP(A77,Códigos!$A$11:$A$415,Códigos!$B$11:$B$415,"Verificar",0)</f>
        <v>NOMBRE 207</v>
      </c>
      <c r="C77" s="684">
        <f>SUMIF('CARTERA del año'!$A$7:$A$560,A77,'CARTERA del año'!$H$7:$H$560)+SUMIF('CARTERA de la OFICINA'!$A$9:$A$170,A77,'CARTERA de la OFICINA'!$H$9:$H$170)</f>
        <v>0</v>
      </c>
      <c r="D77" s="678"/>
      <c r="E77" s="769" t="str">
        <f t="shared" si="0"/>
        <v>-</v>
      </c>
      <c r="F77" s="694"/>
    </row>
    <row r="78" spans="1:6" ht="12" customHeight="1" x14ac:dyDescent="0.2">
      <c r="A78" s="560">
        <v>67</v>
      </c>
      <c r="B78" s="830" t="str">
        <f>_xlfn.XLOOKUP(A78,Códigos!$A$11:$A$415,Códigos!$B$11:$B$415,"Verificar",0)</f>
        <v>NOMBRE 45</v>
      </c>
      <c r="C78" s="684">
        <f>SUMIF('CARTERA del año'!$A$7:$A$560,A78,'CARTERA del año'!$H$7:$H$560)+SUMIF('CARTERA de la OFICINA'!$A$9:$A$170,A78,'CARTERA de la OFICINA'!$H$9:$H$170)</f>
        <v>7430000</v>
      </c>
      <c r="D78" s="678">
        <v>0</v>
      </c>
      <c r="E78" s="769" t="str">
        <f t="shared" si="0"/>
        <v>VIGENTE</v>
      </c>
      <c r="F78" s="694"/>
    </row>
    <row r="79" spans="1:6" ht="12" customHeight="1" x14ac:dyDescent="0.2">
      <c r="A79" s="560">
        <v>68</v>
      </c>
      <c r="B79" s="830" t="str">
        <f>_xlfn.XLOOKUP(A79,Códigos!$A$11:$A$415,Códigos!$B$11:$B$415,"Verificar",0)</f>
        <v>NOMBRE 47</v>
      </c>
      <c r="C79" s="684">
        <f>SUMIF('CARTERA del año'!$A$7:$A$560,A79,'CARTERA del año'!$H$7:$H$560)+SUMIF('CARTERA de la OFICINA'!$A$9:$A$170,A79,'CARTERA de la OFICINA'!$H$9:$H$170)</f>
        <v>0</v>
      </c>
      <c r="D79" s="678"/>
      <c r="E79" s="769" t="str">
        <f t="shared" ref="E79:E142" si="1">IF(C79&gt;0,IF(D79=$D$2,"VIGENTE",IF(D79=$D$3,"DUDOSO RECAUDO",IF(D79=$D$4,"PERDIDA",IF(D79=$D$5,"REVISAR",)))),"-")</f>
        <v>-</v>
      </c>
      <c r="F79" s="694"/>
    </row>
    <row r="80" spans="1:6" ht="12" customHeight="1" x14ac:dyDescent="0.2">
      <c r="A80" s="560">
        <v>69</v>
      </c>
      <c r="B80" s="830" t="str">
        <f>_xlfn.XLOOKUP(A80,Códigos!$A$11:$A$415,Códigos!$B$11:$B$415,"Verificar",0)</f>
        <v>NOMBRE 51</v>
      </c>
      <c r="C80" s="684">
        <f>SUMIF('CARTERA del año'!$A$7:$A$560,A80,'CARTERA del año'!$H$7:$H$560)+SUMIF('CARTERA de la OFICINA'!$A$9:$A$170,A80,'CARTERA de la OFICINA'!$H$9:$H$170)</f>
        <v>690000</v>
      </c>
      <c r="D80" s="678"/>
      <c r="E80" s="769" t="str">
        <f t="shared" si="1"/>
        <v>VIGENTE</v>
      </c>
      <c r="F80" s="694"/>
    </row>
    <row r="81" spans="1:6" ht="12" customHeight="1" x14ac:dyDescent="0.2">
      <c r="A81" s="560">
        <v>70</v>
      </c>
      <c r="B81" s="830" t="str">
        <f>_xlfn.XLOOKUP(A81,Códigos!$A$11:$A$415,Códigos!$B$11:$B$415,"Verificar",0)</f>
        <v>NOMBRE 52</v>
      </c>
      <c r="C81" s="684">
        <f>SUMIF('CARTERA del año'!$A$7:$A$560,A81,'CARTERA del año'!$H$7:$H$560)+SUMIF('CARTERA de la OFICINA'!$A$9:$A$170,A81,'CARTERA de la OFICINA'!$H$9:$H$170)</f>
        <v>0</v>
      </c>
      <c r="D81" s="678"/>
      <c r="E81" s="769" t="str">
        <f t="shared" si="1"/>
        <v>-</v>
      </c>
      <c r="F81" s="694"/>
    </row>
    <row r="82" spans="1:6" ht="12" customHeight="1" x14ac:dyDescent="0.2">
      <c r="A82" s="560">
        <v>71</v>
      </c>
      <c r="B82" s="830" t="str">
        <f>_xlfn.XLOOKUP(A82,Códigos!$A$11:$A$415,Códigos!$B$11:$B$415,"Verificar",0)</f>
        <v>NOMBRE 53</v>
      </c>
      <c r="C82" s="684">
        <f>SUMIF('CARTERA del año'!$A$7:$A$560,A82,'CARTERA del año'!$H$7:$H$560)+SUMIF('CARTERA de la OFICINA'!$A$9:$A$170,A82,'CARTERA de la OFICINA'!$H$9:$H$170)</f>
        <v>0</v>
      </c>
      <c r="D82" s="678"/>
      <c r="E82" s="769" t="str">
        <f t="shared" si="1"/>
        <v>-</v>
      </c>
      <c r="F82" s="694"/>
    </row>
    <row r="83" spans="1:6" ht="12" customHeight="1" x14ac:dyDescent="0.2">
      <c r="A83" s="560">
        <v>72</v>
      </c>
      <c r="B83" s="830" t="str">
        <f>_xlfn.XLOOKUP(A83,Códigos!$A$11:$A$415,Códigos!$B$11:$B$415,"Verificar",0)</f>
        <v>NOMBRE 54</v>
      </c>
      <c r="C83" s="684">
        <f>SUMIF('CARTERA del año'!$A$7:$A$560,A83,'CARTERA del año'!$H$7:$H$560)+SUMIF('CARTERA de la OFICINA'!$A$9:$A$170,A83,'CARTERA de la OFICINA'!$H$9:$H$170)</f>
        <v>0</v>
      </c>
      <c r="D83" s="678"/>
      <c r="E83" s="769" t="str">
        <f t="shared" si="1"/>
        <v>-</v>
      </c>
      <c r="F83" s="694"/>
    </row>
    <row r="84" spans="1:6" ht="12" customHeight="1" x14ac:dyDescent="0.2">
      <c r="A84" s="560">
        <v>73</v>
      </c>
      <c r="B84" s="830" t="str">
        <f>_xlfn.XLOOKUP(A84,Códigos!$A$11:$A$415,Códigos!$B$11:$B$415,"Verificar",0)</f>
        <v>NOMBRE 55</v>
      </c>
      <c r="C84" s="684">
        <f>SUMIF('CARTERA del año'!$A$7:$A$560,A84,'CARTERA del año'!$H$7:$H$560)+SUMIF('CARTERA de la OFICINA'!$A$9:$A$170,A84,'CARTERA de la OFICINA'!$H$9:$H$170)</f>
        <v>0</v>
      </c>
      <c r="D84" s="678"/>
      <c r="E84" s="769" t="str">
        <f t="shared" si="1"/>
        <v>-</v>
      </c>
      <c r="F84" s="694"/>
    </row>
    <row r="85" spans="1:6" ht="12" customHeight="1" x14ac:dyDescent="0.2">
      <c r="A85" s="560">
        <v>74</v>
      </c>
      <c r="B85" s="830" t="str">
        <f>_xlfn.XLOOKUP(A85,Códigos!$A$11:$A$415,Códigos!$B$11:$B$415,"Verificar",0)</f>
        <v>NOMBRE 56</v>
      </c>
      <c r="C85" s="684">
        <f>SUMIF('CARTERA del año'!$A$7:$A$560,A85,'CARTERA del año'!$H$7:$H$560)+SUMIF('CARTERA de la OFICINA'!$A$9:$A$170,A85,'CARTERA de la OFICINA'!$H$9:$H$170)</f>
        <v>4450000</v>
      </c>
      <c r="D85" s="678"/>
      <c r="E85" s="769" t="str">
        <f t="shared" si="1"/>
        <v>VIGENTE</v>
      </c>
      <c r="F85" s="694"/>
    </row>
    <row r="86" spans="1:6" ht="12" customHeight="1" x14ac:dyDescent="0.2">
      <c r="A86" s="560">
        <v>75</v>
      </c>
      <c r="B86" s="830" t="str">
        <f>_xlfn.XLOOKUP(A86,Códigos!$A$11:$A$415,Códigos!$B$11:$B$415,"Verificar",0)</f>
        <v>NOMBRE 60</v>
      </c>
      <c r="C86" s="684">
        <f>SUMIF('CARTERA del año'!$A$7:$A$560,A86,'CARTERA del año'!$H$7:$H$560)+SUMIF('CARTERA de la OFICINA'!$A$9:$A$170,A86,'CARTERA de la OFICINA'!$H$9:$H$170)</f>
        <v>0</v>
      </c>
      <c r="D86" s="678">
        <v>0</v>
      </c>
      <c r="E86" s="769" t="str">
        <f t="shared" si="1"/>
        <v>-</v>
      </c>
      <c r="F86" s="973" t="s">
        <v>368</v>
      </c>
    </row>
    <row r="87" spans="1:6" ht="12" customHeight="1" x14ac:dyDescent="0.2">
      <c r="A87" s="560">
        <v>76</v>
      </c>
      <c r="B87" s="830" t="str">
        <f>_xlfn.XLOOKUP(A87,Códigos!$A$11:$A$415,Códigos!$B$11:$B$415,"Verificar",0)</f>
        <v>NOMBRE 61</v>
      </c>
      <c r="C87" s="684">
        <f>SUMIF('CARTERA del año'!$A$7:$A$560,A87,'CARTERA del año'!$H$7:$H$560)+SUMIF('CARTERA de la OFICINA'!$A$9:$A$170,A87,'CARTERA de la OFICINA'!$H$9:$H$170)</f>
        <v>0</v>
      </c>
      <c r="D87" s="678"/>
      <c r="E87" s="769" t="str">
        <f t="shared" si="1"/>
        <v>-</v>
      </c>
      <c r="F87" s="694"/>
    </row>
    <row r="88" spans="1:6" ht="12" customHeight="1" x14ac:dyDescent="0.2">
      <c r="A88" s="560">
        <v>77</v>
      </c>
      <c r="B88" s="830" t="str">
        <f>_xlfn.XLOOKUP(A88,Códigos!$A$11:$A$415,Códigos!$B$11:$B$415,"Verificar",0)</f>
        <v>NOMBRE 62</v>
      </c>
      <c r="C88" s="684">
        <f>SUMIF('CARTERA del año'!$A$7:$A$560,A88,'CARTERA del año'!$H$7:$H$560)+SUMIF('CARTERA de la OFICINA'!$A$9:$A$170,A88,'CARTERA de la OFICINA'!$H$9:$H$170)</f>
        <v>0</v>
      </c>
      <c r="D88" s="678"/>
      <c r="E88" s="769" t="str">
        <f t="shared" si="1"/>
        <v>-</v>
      </c>
      <c r="F88" s="694"/>
    </row>
    <row r="89" spans="1:6" ht="12" customHeight="1" x14ac:dyDescent="0.2">
      <c r="A89" s="560">
        <v>78</v>
      </c>
      <c r="B89" s="830" t="str">
        <f>_xlfn.XLOOKUP(A89,Códigos!$A$11:$A$415,Códigos!$B$11:$B$415,"Verificar",0)</f>
        <v>NOMBRE 63</v>
      </c>
      <c r="C89" s="684">
        <f>SUMIF('CARTERA del año'!$A$7:$A$560,A89,'CARTERA del año'!$H$7:$H$560)+SUMIF('CARTERA de la OFICINA'!$A$9:$A$170,A89,'CARTERA de la OFICINA'!$H$9:$H$170)</f>
        <v>0</v>
      </c>
      <c r="D89" s="678"/>
      <c r="E89" s="769" t="str">
        <f t="shared" si="1"/>
        <v>-</v>
      </c>
      <c r="F89" s="694"/>
    </row>
    <row r="90" spans="1:6" ht="12" customHeight="1" x14ac:dyDescent="0.2">
      <c r="A90" s="560">
        <v>79</v>
      </c>
      <c r="B90" s="830" t="str">
        <f>_xlfn.XLOOKUP(A90,Códigos!$A$11:$A$415,Códigos!$B$11:$B$415,"Verificar",0)</f>
        <v>NOMBRE 67</v>
      </c>
      <c r="C90" s="684">
        <f>SUMIF('CARTERA del año'!$A$7:$A$560,A90,'CARTERA del año'!$H$7:$H$560)+SUMIF('CARTERA de la OFICINA'!$A$9:$A$170,A90,'CARTERA de la OFICINA'!$H$9:$H$170)</f>
        <v>0</v>
      </c>
      <c r="D90" s="678"/>
      <c r="E90" s="769" t="str">
        <f t="shared" si="1"/>
        <v>-</v>
      </c>
      <c r="F90" s="694"/>
    </row>
    <row r="91" spans="1:6" ht="12" customHeight="1" x14ac:dyDescent="0.2">
      <c r="A91" s="560">
        <v>80</v>
      </c>
      <c r="B91" s="830" t="str">
        <f>_xlfn.XLOOKUP(A91,Códigos!$A$11:$A$415,Códigos!$B$11:$B$415,"Verificar",0)</f>
        <v>NOMBRE 211</v>
      </c>
      <c r="C91" s="684">
        <f>SUMIF('CARTERA del año'!$A$7:$A$560,A91,'CARTERA del año'!$H$7:$H$560)+SUMIF('CARTERA de la OFICINA'!$A$9:$A$170,A91,'CARTERA de la OFICINA'!$H$9:$H$170)</f>
        <v>0</v>
      </c>
      <c r="D91" s="678"/>
      <c r="E91" s="769" t="str">
        <f t="shared" si="1"/>
        <v>-</v>
      </c>
      <c r="F91" s="694"/>
    </row>
    <row r="92" spans="1:6" ht="12" customHeight="1" x14ac:dyDescent="0.2">
      <c r="A92" s="560">
        <v>81</v>
      </c>
      <c r="B92" s="830" t="str">
        <f>_xlfn.XLOOKUP(A92,Códigos!$A$11:$A$415,Códigos!$B$11:$B$415,"Verificar",0)</f>
        <v>NOMBRE 78</v>
      </c>
      <c r="C92" s="684">
        <f>SUMIF('CARTERA del año'!$A$7:$A$560,A92,'CARTERA del año'!$H$7:$H$560)+SUMIF('CARTERA de la OFICINA'!$A$9:$A$170,A92,'CARTERA de la OFICINA'!$H$9:$H$170)</f>
        <v>0</v>
      </c>
      <c r="D92" s="678"/>
      <c r="E92" s="769" t="str">
        <f t="shared" si="1"/>
        <v>-</v>
      </c>
      <c r="F92" s="694"/>
    </row>
    <row r="93" spans="1:6" ht="12" customHeight="1" x14ac:dyDescent="0.2">
      <c r="A93" s="560">
        <v>82</v>
      </c>
      <c r="B93" s="830" t="str">
        <f>_xlfn.XLOOKUP(A93,Códigos!$A$11:$A$415,Códigos!$B$11:$B$415,"Verificar",0)</f>
        <v>NOMBRE 221</v>
      </c>
      <c r="C93" s="684">
        <f>SUMIF('CARTERA del año'!$A$7:$A$560,A93,'CARTERA del año'!$H$7:$H$560)+SUMIF('CARTERA de la OFICINA'!$A$9:$A$170,A93,'CARTERA de la OFICINA'!$H$9:$H$170)</f>
        <v>0</v>
      </c>
      <c r="D93" s="678"/>
      <c r="E93" s="769" t="str">
        <f t="shared" si="1"/>
        <v>-</v>
      </c>
      <c r="F93" s="694"/>
    </row>
    <row r="94" spans="1:6" ht="12" customHeight="1" x14ac:dyDescent="0.2">
      <c r="A94" s="560">
        <v>83</v>
      </c>
      <c r="B94" s="830" t="str">
        <f>_xlfn.XLOOKUP(A94,Códigos!$A$11:$A$415,Códigos!$B$11:$B$415,"Verificar",0)</f>
        <v>NOMBRE 82</v>
      </c>
      <c r="C94" s="684">
        <f>SUMIF('CARTERA del año'!$A$7:$A$560,A94,'CARTERA del año'!$H$7:$H$560)+SUMIF('CARTERA de la OFICINA'!$A$9:$A$170,A94,'CARTERA de la OFICINA'!$H$9:$H$170)</f>
        <v>660000</v>
      </c>
      <c r="D94" s="678">
        <v>0</v>
      </c>
      <c r="E94" s="769" t="str">
        <f t="shared" si="1"/>
        <v>VIGENTE</v>
      </c>
      <c r="F94" s="694"/>
    </row>
    <row r="95" spans="1:6" ht="12" customHeight="1" x14ac:dyDescent="0.2">
      <c r="A95" s="560">
        <v>84</v>
      </c>
      <c r="B95" s="830" t="str">
        <f>_xlfn.XLOOKUP(A95,Códigos!$A$11:$A$415,Códigos!$B$11:$B$415,"Verificar",0)</f>
        <v>NOMBRE 83</v>
      </c>
      <c r="C95" s="684">
        <f>SUMIF('CARTERA del año'!$A$7:$A$560,A95,'CARTERA del año'!$H$7:$H$560)+SUMIF('CARTERA de la OFICINA'!$A$9:$A$170,A95,'CARTERA de la OFICINA'!$H$9:$H$170)</f>
        <v>330000</v>
      </c>
      <c r="D95" s="678">
        <v>0</v>
      </c>
      <c r="E95" s="769" t="str">
        <f t="shared" si="1"/>
        <v>VIGENTE</v>
      </c>
      <c r="F95" s="694"/>
    </row>
    <row r="96" spans="1:6" ht="12" customHeight="1" x14ac:dyDescent="0.2">
      <c r="A96" s="560">
        <v>85</v>
      </c>
      <c r="B96" s="830" t="str">
        <f>_xlfn.XLOOKUP(A96,Códigos!$A$11:$A$415,Códigos!$B$11:$B$415,"Verificar",0)</f>
        <v>NOMBRE 86</v>
      </c>
      <c r="C96" s="684">
        <f>SUMIF('CARTERA del año'!$A$7:$A$560,A96,'CARTERA del año'!$H$7:$H$560)+SUMIF('CARTERA de la OFICINA'!$A$9:$A$170,A96,'CARTERA de la OFICINA'!$H$9:$H$170)</f>
        <v>0</v>
      </c>
      <c r="D96" s="678"/>
      <c r="E96" s="769" t="str">
        <f t="shared" si="1"/>
        <v>-</v>
      </c>
      <c r="F96" s="694"/>
    </row>
    <row r="97" spans="1:6" ht="12" customHeight="1" x14ac:dyDescent="0.2">
      <c r="A97" s="560">
        <v>86</v>
      </c>
      <c r="B97" s="830" t="str">
        <f>_xlfn.XLOOKUP(A97,Códigos!$A$11:$A$415,Códigos!$B$11:$B$415,"Verificar",0)</f>
        <v>NOMBRE 87</v>
      </c>
      <c r="C97" s="684">
        <f>SUMIF('CARTERA del año'!$A$7:$A$560,A97,'CARTERA del año'!$H$7:$H$560)+SUMIF('CARTERA de la OFICINA'!$A$9:$A$170,A97,'CARTERA de la OFICINA'!$H$9:$H$170)</f>
        <v>0</v>
      </c>
      <c r="D97" s="678"/>
      <c r="E97" s="769" t="str">
        <f t="shared" si="1"/>
        <v>-</v>
      </c>
      <c r="F97" s="694"/>
    </row>
    <row r="98" spans="1:6" ht="12" customHeight="1" x14ac:dyDescent="0.2">
      <c r="A98" s="560">
        <v>87</v>
      </c>
      <c r="B98" s="830" t="str">
        <f>_xlfn.XLOOKUP(A98,Códigos!$A$11:$A$415,Códigos!$B$11:$B$415,"Verificar",0)</f>
        <v>NOMBRE 89</v>
      </c>
      <c r="C98" s="684">
        <f>SUMIF('CARTERA del año'!$A$7:$A$560,A98,'CARTERA del año'!$H$7:$H$560)+SUMIF('CARTERA de la OFICINA'!$A$9:$A$170,A98,'CARTERA de la OFICINA'!$H$9:$H$170)</f>
        <v>0</v>
      </c>
      <c r="D98" s="678"/>
      <c r="E98" s="769" t="str">
        <f t="shared" si="1"/>
        <v>-</v>
      </c>
      <c r="F98" s="694"/>
    </row>
    <row r="99" spans="1:6" ht="12" customHeight="1" x14ac:dyDescent="0.2">
      <c r="A99" s="560">
        <v>88</v>
      </c>
      <c r="B99" s="830" t="str">
        <f>_xlfn.XLOOKUP(A99,Códigos!$A$11:$A$415,Códigos!$B$11:$B$415,"Verificar",0)</f>
        <v>NOMBRE 90</v>
      </c>
      <c r="C99" s="684">
        <f>SUMIF('CARTERA del año'!$A$7:$A$560,A99,'CARTERA del año'!$H$7:$H$560)+SUMIF('CARTERA de la OFICINA'!$A$9:$A$170,A99,'CARTERA de la OFICINA'!$H$9:$H$170)</f>
        <v>0</v>
      </c>
      <c r="D99" s="678"/>
      <c r="E99" s="769" t="str">
        <f t="shared" si="1"/>
        <v>-</v>
      </c>
      <c r="F99" s="694"/>
    </row>
    <row r="100" spans="1:6" ht="12" customHeight="1" x14ac:dyDescent="0.2">
      <c r="A100" s="560">
        <v>89</v>
      </c>
      <c r="B100" s="830" t="str">
        <f>_xlfn.XLOOKUP(A100,Códigos!$A$11:$A$415,Códigos!$B$11:$B$415,"Verificar",0)</f>
        <v>NOMBRE 226</v>
      </c>
      <c r="C100" s="684">
        <f>SUMIF('CARTERA del año'!$A$7:$A$560,A100,'CARTERA del año'!$H$7:$H$560)+SUMIF('CARTERA de la OFICINA'!$A$9:$A$170,A100,'CARTERA de la OFICINA'!$H$9:$H$170)</f>
        <v>0</v>
      </c>
      <c r="D100" s="678">
        <v>0</v>
      </c>
      <c r="E100" s="769" t="str">
        <f t="shared" si="1"/>
        <v>-</v>
      </c>
      <c r="F100" s="694"/>
    </row>
    <row r="101" spans="1:6" ht="12" customHeight="1" x14ac:dyDescent="0.2">
      <c r="A101" s="560">
        <v>90</v>
      </c>
      <c r="B101" s="830" t="str">
        <f>_xlfn.XLOOKUP(A101,Códigos!$A$11:$A$415,Códigos!$B$11:$B$415,"Verificar",0)</f>
        <v>NOMBRE 93</v>
      </c>
      <c r="C101" s="684">
        <f>SUMIF('CARTERA del año'!$A$7:$A$560,A101,'CARTERA del año'!$H$7:$H$560)+SUMIF('CARTERA de la OFICINA'!$A$9:$A$170,A101,'CARTERA de la OFICINA'!$H$9:$H$170)</f>
        <v>0</v>
      </c>
      <c r="D101" s="678">
        <v>0</v>
      </c>
      <c r="E101" s="769" t="str">
        <f t="shared" si="1"/>
        <v>-</v>
      </c>
      <c r="F101" s="694"/>
    </row>
    <row r="102" spans="1:6" ht="12" customHeight="1" x14ac:dyDescent="0.2">
      <c r="A102" s="560">
        <v>91</v>
      </c>
      <c r="B102" s="830" t="str">
        <f>_xlfn.XLOOKUP(A102,Códigos!$A$11:$A$415,Códigos!$B$11:$B$415,"Verificar",0)</f>
        <v>NOMBRE 100</v>
      </c>
      <c r="C102" s="684">
        <f>SUMIF('CARTERA del año'!$A$7:$A$560,A102,'CARTERA del año'!$H$7:$H$560)+SUMIF('CARTERA de la OFICINA'!$A$9:$A$170,A102,'CARTERA de la OFICINA'!$H$9:$H$170)</f>
        <v>350000</v>
      </c>
      <c r="D102" s="678">
        <v>0</v>
      </c>
      <c r="E102" s="769" t="str">
        <f t="shared" si="1"/>
        <v>VIGENTE</v>
      </c>
      <c r="F102" s="694"/>
    </row>
    <row r="103" spans="1:6" ht="12" customHeight="1" x14ac:dyDescent="0.2">
      <c r="A103" s="560">
        <v>92</v>
      </c>
      <c r="B103" s="830" t="str">
        <f>_xlfn.XLOOKUP(A103,Códigos!$A$11:$A$415,Códigos!$B$11:$B$415,"Verificar",0)</f>
        <v>NOMBRE 106</v>
      </c>
      <c r="C103" s="684">
        <f>SUMIF('CARTERA del año'!$A$7:$A$560,A103,'CARTERA del año'!$H$7:$H$560)+SUMIF('CARTERA de la OFICINA'!$A$9:$A$170,A103,'CARTERA de la OFICINA'!$H$9:$H$170)</f>
        <v>350000</v>
      </c>
      <c r="D103" s="678"/>
      <c r="E103" s="769" t="str">
        <f t="shared" si="1"/>
        <v>VIGENTE</v>
      </c>
      <c r="F103" s="694"/>
    </row>
    <row r="104" spans="1:6" ht="12" customHeight="1" x14ac:dyDescent="0.2">
      <c r="A104" s="560">
        <v>93</v>
      </c>
      <c r="B104" s="830" t="str">
        <f>_xlfn.XLOOKUP(A104,Códigos!$A$11:$A$415,Códigos!$B$11:$B$415,"Verificar",0)</f>
        <v>NOMBRE 243</v>
      </c>
      <c r="C104" s="684">
        <f>SUMIF('CARTERA del año'!$A$7:$A$560,A104,'CARTERA del año'!$H$7:$H$560)+SUMIF('CARTERA de la OFICINA'!$A$9:$A$170,A104,'CARTERA de la OFICINA'!$H$9:$H$170)</f>
        <v>0</v>
      </c>
      <c r="D104" s="678"/>
      <c r="E104" s="769" t="str">
        <f t="shared" si="1"/>
        <v>-</v>
      </c>
      <c r="F104" s="694"/>
    </row>
    <row r="105" spans="1:6" ht="12" customHeight="1" x14ac:dyDescent="0.2">
      <c r="A105" s="560">
        <v>94</v>
      </c>
      <c r="B105" s="830" t="str">
        <f>_xlfn.XLOOKUP(A105,Códigos!$A$11:$A$415,Códigos!$B$11:$B$415,"Verificar",0)</f>
        <v>NOMBRE 250</v>
      </c>
      <c r="C105" s="684">
        <f>SUMIF('CARTERA del año'!$A$7:$A$560,A105,'CARTERA del año'!$H$7:$H$560)+SUMIF('CARTERA de la OFICINA'!$A$9:$A$170,A105,'CARTERA de la OFICINA'!$H$9:$H$170)</f>
        <v>370000</v>
      </c>
      <c r="D105" s="678"/>
      <c r="E105" s="769" t="str">
        <f t="shared" si="1"/>
        <v>VIGENTE</v>
      </c>
      <c r="F105" s="694"/>
    </row>
    <row r="106" spans="1:6" ht="12" customHeight="1" x14ac:dyDescent="0.2">
      <c r="A106" s="560">
        <v>95</v>
      </c>
      <c r="B106" s="830" t="str">
        <f>_xlfn.XLOOKUP(A106,Códigos!$A$11:$A$415,Códigos!$B$11:$B$415,"Verificar",0)</f>
        <v>NOMBRE 111</v>
      </c>
      <c r="C106" s="684">
        <f>SUMIF('CARTERA del año'!$A$7:$A$560,A106,'CARTERA del año'!$H$7:$H$560)+SUMIF('CARTERA de la OFICINA'!$A$9:$A$170,A106,'CARTERA de la OFICINA'!$H$9:$H$170)</f>
        <v>6290000</v>
      </c>
      <c r="D106" s="678"/>
      <c r="E106" s="769" t="str">
        <f t="shared" si="1"/>
        <v>VIGENTE</v>
      </c>
      <c r="F106" s="972"/>
    </row>
    <row r="107" spans="1:6" ht="12" customHeight="1" x14ac:dyDescent="0.2">
      <c r="A107" s="560">
        <v>96</v>
      </c>
      <c r="B107" s="830" t="str">
        <f>_xlfn.XLOOKUP(A107,Códigos!$A$11:$A$415,Códigos!$B$11:$B$415,"Verificar",0)</f>
        <v>NOMBRE 112</v>
      </c>
      <c r="C107" s="684">
        <f>SUMIF('CARTERA del año'!$A$7:$A$560,A107,'CARTERA del año'!$H$7:$H$560)+SUMIF('CARTERA de la OFICINA'!$A$9:$A$170,A107,'CARTERA de la OFICINA'!$H$9:$H$170)</f>
        <v>0</v>
      </c>
      <c r="D107" s="678"/>
      <c r="E107" s="769" t="str">
        <f t="shared" si="1"/>
        <v>-</v>
      </c>
      <c r="F107" s="694"/>
    </row>
    <row r="108" spans="1:6" ht="12" customHeight="1" x14ac:dyDescent="0.2">
      <c r="A108" s="560">
        <v>97</v>
      </c>
      <c r="B108" s="830" t="str">
        <f>_xlfn.XLOOKUP(A108,Códigos!$A$11:$A$415,Códigos!$B$11:$B$415,"Verificar",0)</f>
        <v>NOMBRE 113</v>
      </c>
      <c r="C108" s="684">
        <f>SUMIF('CARTERA del año'!$A$7:$A$560,A108,'CARTERA del año'!$H$7:$H$560)+SUMIF('CARTERA de la OFICINA'!$A$9:$A$170,A108,'CARTERA de la OFICINA'!$H$9:$H$170)</f>
        <v>0</v>
      </c>
      <c r="D108" s="678"/>
      <c r="E108" s="769" t="str">
        <f t="shared" si="1"/>
        <v>-</v>
      </c>
      <c r="F108" s="694"/>
    </row>
    <row r="109" spans="1:6" ht="12" customHeight="1" x14ac:dyDescent="0.2">
      <c r="A109" s="560">
        <v>98</v>
      </c>
      <c r="B109" s="830" t="str">
        <f>_xlfn.XLOOKUP(A109,Códigos!$A$11:$A$415,Códigos!$B$11:$B$415,"Verificar",0)</f>
        <v>NOMBRE 114</v>
      </c>
      <c r="C109" s="684">
        <f>SUMIF('CARTERA del año'!$A$7:$A$560,A109,'CARTERA del año'!$H$7:$H$560)+SUMIF('CARTERA de la OFICINA'!$A$9:$A$170,A109,'CARTERA de la OFICINA'!$H$9:$H$170)</f>
        <v>0</v>
      </c>
      <c r="D109" s="678"/>
      <c r="E109" s="769" t="str">
        <f t="shared" si="1"/>
        <v>-</v>
      </c>
      <c r="F109" s="694"/>
    </row>
    <row r="110" spans="1:6" ht="12" customHeight="1" x14ac:dyDescent="0.2">
      <c r="A110" s="560">
        <v>99</v>
      </c>
      <c r="B110" s="830" t="str">
        <f>_xlfn.XLOOKUP(A110,Códigos!$A$11:$A$415,Códigos!$B$11:$B$415,"Verificar",0)</f>
        <v>NOMBRE 119</v>
      </c>
      <c r="C110" s="684">
        <f>SUMIF('CARTERA del año'!$A$7:$A$560,A110,'CARTERA del año'!$H$7:$H$560)+SUMIF('CARTERA de la OFICINA'!$A$9:$A$170,A110,'CARTERA de la OFICINA'!$H$9:$H$170)</f>
        <v>0</v>
      </c>
      <c r="D110" s="678"/>
      <c r="E110" s="769" t="str">
        <f t="shared" si="1"/>
        <v>-</v>
      </c>
      <c r="F110" s="694"/>
    </row>
    <row r="111" spans="1:6" ht="12" customHeight="1" x14ac:dyDescent="0.2">
      <c r="A111" s="560">
        <v>100</v>
      </c>
      <c r="B111" s="830" t="str">
        <f>_xlfn.XLOOKUP(A111,Códigos!$A$11:$A$415,Códigos!$B$11:$B$415,"Verificar",0)</f>
        <v>NOMBRE 124</v>
      </c>
      <c r="C111" s="684">
        <f>SUMIF('CARTERA del año'!$A$7:$A$560,A111,'CARTERA del año'!$H$7:$H$560)+SUMIF('CARTERA de la OFICINA'!$A$9:$A$170,A111,'CARTERA de la OFICINA'!$H$9:$H$170)</f>
        <v>0</v>
      </c>
      <c r="D111" s="678"/>
      <c r="E111" s="769" t="str">
        <f t="shared" si="1"/>
        <v>-</v>
      </c>
      <c r="F111" s="694"/>
    </row>
    <row r="112" spans="1:6" ht="12" customHeight="1" x14ac:dyDescent="0.2">
      <c r="A112" s="560">
        <v>101</v>
      </c>
      <c r="B112" s="830" t="str">
        <f>_xlfn.XLOOKUP(A112,Códigos!$A$11:$A$415,Códigos!$B$11:$B$415,"Verificar",0)</f>
        <v>NOMBRE 126</v>
      </c>
      <c r="C112" s="684">
        <f>SUMIF('CARTERA del año'!$A$7:$A$560,A112,'CARTERA del año'!$H$7:$H$560)+SUMIF('CARTERA de la OFICINA'!$A$9:$A$170,A112,'CARTERA de la OFICINA'!$H$9:$H$170)</f>
        <v>1190000</v>
      </c>
      <c r="D112" s="678"/>
      <c r="E112" s="769" t="str">
        <f t="shared" si="1"/>
        <v>VIGENTE</v>
      </c>
      <c r="F112" s="694"/>
    </row>
    <row r="113" spans="1:6" ht="12" customHeight="1" x14ac:dyDescent="0.2">
      <c r="A113" s="560">
        <v>102</v>
      </c>
      <c r="B113" s="830" t="str">
        <f>_xlfn.XLOOKUP(A113,Códigos!$A$11:$A$415,Códigos!$B$11:$B$415,"Verificar",0)</f>
        <v>NOMBRE 255</v>
      </c>
      <c r="C113" s="684">
        <f>SUMIF('CARTERA del año'!$A$7:$A$560,A113,'CARTERA del año'!$H$7:$H$560)+SUMIF('CARTERA de la OFICINA'!$A$9:$A$170,A113,'CARTERA de la OFICINA'!$H$9:$H$170)</f>
        <v>0</v>
      </c>
      <c r="D113" s="678"/>
      <c r="E113" s="769" t="str">
        <f t="shared" si="1"/>
        <v>-</v>
      </c>
      <c r="F113" s="694"/>
    </row>
    <row r="114" spans="1:6" ht="12" customHeight="1" x14ac:dyDescent="0.2">
      <c r="A114" s="560">
        <v>103</v>
      </c>
      <c r="B114" s="830" t="str">
        <f>_xlfn.XLOOKUP(A114,Códigos!$A$11:$A$415,Códigos!$B$11:$B$415,"Verificar",0)</f>
        <v>NOMBRE 261</v>
      </c>
      <c r="C114" s="684">
        <f>SUMIF('CARTERA del año'!$A$7:$A$560,A114,'CARTERA del año'!$H$7:$H$560)+SUMIF('CARTERA de la OFICINA'!$A$9:$A$170,A114,'CARTERA de la OFICINA'!$H$9:$H$170)</f>
        <v>0</v>
      </c>
      <c r="D114" s="678"/>
      <c r="E114" s="769" t="str">
        <f t="shared" si="1"/>
        <v>-</v>
      </c>
      <c r="F114" s="694"/>
    </row>
    <row r="115" spans="1:6" x14ac:dyDescent="0.2">
      <c r="A115" s="560">
        <v>104</v>
      </c>
      <c r="B115" s="830" t="str">
        <f>_xlfn.XLOOKUP(A115,Códigos!$A$11:$A$415,Códigos!$B$11:$B$415,"Verificar",0)</f>
        <v>NOMBRE 276</v>
      </c>
      <c r="C115" s="684">
        <f>SUMIF('CARTERA del año'!$A$7:$A$560,A115,'CARTERA del año'!$H$7:$H$560)+SUMIF('CARTERA de la OFICINA'!$A$9:$A$170,A115,'CARTERA de la OFICINA'!$H$9:$H$170)</f>
        <v>0</v>
      </c>
      <c r="D115" s="678">
        <v>0</v>
      </c>
      <c r="E115" s="769" t="str">
        <f t="shared" si="1"/>
        <v>-</v>
      </c>
      <c r="F115" s="694"/>
    </row>
    <row r="116" spans="1:6" x14ac:dyDescent="0.2">
      <c r="A116" s="560">
        <v>105</v>
      </c>
      <c r="B116" s="830" t="str">
        <f>_xlfn.XLOOKUP(A116,Códigos!$A$11:$A$415,Códigos!$B$11:$B$415,"Verificar",0)</f>
        <v>NOMBRE 311</v>
      </c>
      <c r="C116" s="684">
        <f>SUMIF('CARTERA del año'!$A$7:$A$560,A116,'CARTERA del año'!$H$7:$H$560)+SUMIF('CARTERA de la OFICINA'!$A$9:$A$170,A116,'CARTERA de la OFICINA'!$H$9:$H$170)</f>
        <v>0</v>
      </c>
      <c r="D116" s="678"/>
      <c r="E116" s="769" t="str">
        <f t="shared" si="1"/>
        <v>-</v>
      </c>
      <c r="F116" s="694"/>
    </row>
    <row r="117" spans="1:6" x14ac:dyDescent="0.2">
      <c r="A117" s="560">
        <v>106</v>
      </c>
      <c r="B117" s="830" t="str">
        <f>_xlfn.XLOOKUP(A117,Códigos!$A$11:$A$415,Códigos!$B$11:$B$415,"Verificar",0)</f>
        <v>NOMBRE 279</v>
      </c>
      <c r="C117" s="684">
        <f>SUMIF('CARTERA del año'!$A$7:$A$560,A117,'CARTERA del año'!$H$7:$H$560)+SUMIF('CARTERA de la OFICINA'!$A$9:$A$170,A117,'CARTERA de la OFICINA'!$H$9:$H$170)</f>
        <v>0</v>
      </c>
      <c r="D117" s="678"/>
      <c r="E117" s="769" t="str">
        <f t="shared" si="1"/>
        <v>-</v>
      </c>
      <c r="F117" s="694"/>
    </row>
    <row r="118" spans="1:6" x14ac:dyDescent="0.2">
      <c r="A118" s="560">
        <v>107</v>
      </c>
      <c r="B118" s="830" t="str">
        <f>_xlfn.XLOOKUP(A118,Códigos!$A$11:$A$415,Códigos!$B$11:$B$415,"Verificar",0)</f>
        <v>NOMBRE 288</v>
      </c>
      <c r="C118" s="684">
        <f>SUMIF('CARTERA del año'!$A$7:$A$560,A118,'CARTERA del año'!$H$7:$H$560)+SUMIF('CARTERA de la OFICINA'!$A$9:$A$170,A118,'CARTERA de la OFICINA'!$H$9:$H$170)</f>
        <v>0</v>
      </c>
      <c r="D118" s="678"/>
      <c r="E118" s="769" t="str">
        <f t="shared" si="1"/>
        <v>-</v>
      </c>
      <c r="F118" s="694"/>
    </row>
    <row r="119" spans="1:6" x14ac:dyDescent="0.2">
      <c r="A119" s="560">
        <v>108</v>
      </c>
      <c r="B119" s="830" t="str">
        <f>_xlfn.XLOOKUP(A119,Códigos!$A$11:$A$415,Códigos!$B$11:$B$415,"Verificar",0)</f>
        <v>NOMBRE 131</v>
      </c>
      <c r="C119" s="684">
        <f>SUMIF('CARTERA del año'!$A$7:$A$560,A119,'CARTERA del año'!$H$7:$H$560)+SUMIF('CARTERA de la OFICINA'!$A$9:$A$170,A119,'CARTERA de la OFICINA'!$H$9:$H$170)</f>
        <v>0</v>
      </c>
      <c r="D119" s="678">
        <v>2</v>
      </c>
      <c r="E119" s="769" t="str">
        <f t="shared" si="1"/>
        <v>-</v>
      </c>
      <c r="F119" s="694"/>
    </row>
    <row r="120" spans="1:6" x14ac:dyDescent="0.2">
      <c r="A120" s="560">
        <v>109</v>
      </c>
      <c r="B120" s="830" t="str">
        <f>_xlfn.XLOOKUP(A120,Códigos!$A$11:$A$415,Códigos!$B$11:$B$415,"Verificar",0)</f>
        <v>NOMBRE 133</v>
      </c>
      <c r="C120" s="684">
        <f>SUMIF('CARTERA del año'!$A$7:$A$560,A120,'CARTERA del año'!$H$7:$H$560)+SUMIF('CARTERA de la OFICINA'!$A$9:$A$170,A120,'CARTERA de la OFICINA'!$H$9:$H$170)</f>
        <v>0</v>
      </c>
      <c r="D120" s="678"/>
      <c r="E120" s="769" t="str">
        <f t="shared" si="1"/>
        <v>-</v>
      </c>
      <c r="F120" s="694"/>
    </row>
    <row r="121" spans="1:6" x14ac:dyDescent="0.2">
      <c r="A121" s="560">
        <v>110</v>
      </c>
      <c r="B121" s="830" t="str">
        <f>_xlfn.XLOOKUP(A121,Códigos!$A$11:$A$415,Códigos!$B$11:$B$415,"Verificar",0)</f>
        <v>NOMBRE 134</v>
      </c>
      <c r="C121" s="684">
        <f>SUMIF('CARTERA del año'!$A$7:$A$560,A121,'CARTERA del año'!$H$7:$H$560)+SUMIF('CARTERA de la OFICINA'!$A$9:$A$170,A121,'CARTERA de la OFICINA'!$H$9:$H$170)</f>
        <v>2450000</v>
      </c>
      <c r="D121" s="678">
        <v>0</v>
      </c>
      <c r="E121" s="769" t="str">
        <f t="shared" si="1"/>
        <v>VIGENTE</v>
      </c>
      <c r="F121" s="694"/>
    </row>
    <row r="122" spans="1:6" x14ac:dyDescent="0.2">
      <c r="A122" s="560">
        <v>111</v>
      </c>
      <c r="B122" s="830" t="str">
        <f>_xlfn.XLOOKUP(A122,Códigos!$A$11:$A$415,Códigos!$B$11:$B$415,"Verificar",0)</f>
        <v>NOMBRE 135</v>
      </c>
      <c r="C122" s="684">
        <f>SUMIF('CARTERA del año'!$A$7:$A$560,A122,'CARTERA del año'!$H$7:$H$560)+SUMIF('CARTERA de la OFICINA'!$A$9:$A$170,A122,'CARTERA de la OFICINA'!$H$9:$H$170)</f>
        <v>2840000</v>
      </c>
      <c r="D122" s="678">
        <v>0</v>
      </c>
      <c r="E122" s="769" t="str">
        <f t="shared" si="1"/>
        <v>VIGENTE</v>
      </c>
      <c r="F122" s="694"/>
    </row>
    <row r="123" spans="1:6" x14ac:dyDescent="0.2">
      <c r="A123" s="560">
        <v>112</v>
      </c>
      <c r="B123" s="830" t="str">
        <f>_xlfn.XLOOKUP(A123,Códigos!$A$11:$A$415,Códigos!$B$11:$B$415,"Verificar",0)</f>
        <v>NOMBRE 141</v>
      </c>
      <c r="C123" s="684">
        <f>SUMIF('CARTERA del año'!$A$7:$A$560,A123,'CARTERA del año'!$H$7:$H$560)+SUMIF('CARTERA de la OFICINA'!$A$9:$A$170,A123,'CARTERA de la OFICINA'!$H$9:$H$170)</f>
        <v>0</v>
      </c>
      <c r="D123" s="678"/>
      <c r="E123" s="769" t="str">
        <f t="shared" si="1"/>
        <v>-</v>
      </c>
      <c r="F123" s="694"/>
    </row>
    <row r="124" spans="1:6" x14ac:dyDescent="0.2">
      <c r="A124" s="560">
        <v>113</v>
      </c>
      <c r="B124" s="830" t="str">
        <f>_xlfn.XLOOKUP(A124,Códigos!$A$11:$A$415,Códigos!$B$11:$B$415,"Verificar",0)</f>
        <v>NOMBRE 142</v>
      </c>
      <c r="C124" s="684">
        <f>SUMIF('CARTERA del año'!$A$7:$A$560,A124,'CARTERA del año'!$H$7:$H$560)+SUMIF('CARTERA de la OFICINA'!$A$9:$A$170,A124,'CARTERA de la OFICINA'!$H$9:$H$170)</f>
        <v>0</v>
      </c>
      <c r="D124" s="678">
        <v>2</v>
      </c>
      <c r="E124" s="769" t="str">
        <f t="shared" si="1"/>
        <v>-</v>
      </c>
      <c r="F124" s="694"/>
    </row>
    <row r="125" spans="1:6" x14ac:dyDescent="0.2">
      <c r="A125" s="560">
        <v>114</v>
      </c>
      <c r="B125" s="830" t="str">
        <f>_xlfn.XLOOKUP(A125,Códigos!$A$11:$A$415,Códigos!$B$11:$B$415,"Verificar",0)</f>
        <v>NOMBRE 308</v>
      </c>
      <c r="C125" s="684">
        <f>SUMIF('CARTERA del año'!$A$7:$A$560,A125,'CARTERA del año'!$H$7:$H$560)+SUMIF('CARTERA de la OFICINA'!$A$9:$A$170,A125,'CARTERA de la OFICINA'!$H$9:$H$170)</f>
        <v>0</v>
      </c>
      <c r="D125" s="678"/>
      <c r="E125" s="769" t="str">
        <f t="shared" si="1"/>
        <v>-</v>
      </c>
      <c r="F125" s="694"/>
    </row>
    <row r="126" spans="1:6" x14ac:dyDescent="0.2">
      <c r="A126" s="560">
        <v>115</v>
      </c>
      <c r="B126" s="830" t="str">
        <f>_xlfn.XLOOKUP(A126,Códigos!$A$11:$A$415,Códigos!$B$11:$B$415,"Verificar",0)</f>
        <v>NOMBRE 145</v>
      </c>
      <c r="C126" s="684">
        <f>SUMIF('CARTERA del año'!$A$7:$A$560,A126,'CARTERA del año'!$H$7:$H$560)+SUMIF('CARTERA de la OFICINA'!$A$9:$A$170,A126,'CARTERA de la OFICINA'!$H$9:$H$170)</f>
        <v>0</v>
      </c>
      <c r="D126" s="678"/>
      <c r="E126" s="769" t="str">
        <f t="shared" si="1"/>
        <v>-</v>
      </c>
      <c r="F126" s="694"/>
    </row>
    <row r="127" spans="1:6" x14ac:dyDescent="0.2">
      <c r="A127" s="560">
        <v>116</v>
      </c>
      <c r="B127" s="830" t="str">
        <f>_xlfn.XLOOKUP(A127,Códigos!$A$11:$A$415,Códigos!$B$11:$B$415,"Verificar",0)</f>
        <v>NOMBRE 146</v>
      </c>
      <c r="C127" s="684">
        <f>SUMIF('CARTERA del año'!$A$7:$A$560,A127,'CARTERA del año'!$H$7:$H$560)+SUMIF('CARTERA de la OFICINA'!$A$9:$A$170,A127,'CARTERA de la OFICINA'!$H$9:$H$170)</f>
        <v>450000</v>
      </c>
      <c r="D127" s="678">
        <v>0</v>
      </c>
      <c r="E127" s="769" t="str">
        <f t="shared" si="1"/>
        <v>VIGENTE</v>
      </c>
      <c r="F127" s="694"/>
    </row>
    <row r="128" spans="1:6" x14ac:dyDescent="0.2">
      <c r="A128" s="560">
        <v>117</v>
      </c>
      <c r="B128" s="830" t="str">
        <f>_xlfn.XLOOKUP(A128,Códigos!$A$11:$A$415,Códigos!$B$11:$B$415,"Verificar",0)</f>
        <v>NOMBRE 340</v>
      </c>
      <c r="C128" s="684">
        <f>SUMIF('CARTERA del año'!$A$7:$A$560,A128,'CARTERA del año'!$H$7:$H$560)+SUMIF('CARTERA de la OFICINA'!$A$9:$A$170,A128,'CARTERA de la OFICINA'!$H$9:$H$170)</f>
        <v>350000</v>
      </c>
      <c r="D128" s="678"/>
      <c r="E128" s="769" t="str">
        <f t="shared" si="1"/>
        <v>VIGENTE</v>
      </c>
      <c r="F128" s="694"/>
    </row>
    <row r="129" spans="1:6" x14ac:dyDescent="0.2">
      <c r="A129" s="560">
        <v>118</v>
      </c>
      <c r="B129" s="830" t="str">
        <f>_xlfn.XLOOKUP(A129,Códigos!$A$11:$A$415,Códigos!$B$11:$B$415,"Verificar",0)</f>
        <v>NOMBRE 154</v>
      </c>
      <c r="C129" s="684">
        <f>SUMIF('CARTERA del año'!$A$7:$A$560,A129,'CARTERA del año'!$H$7:$H$560)+SUMIF('CARTERA de la OFICINA'!$A$9:$A$170,A129,'CARTERA de la OFICINA'!$H$9:$H$170)</f>
        <v>350000</v>
      </c>
      <c r="D129" s="678">
        <v>0</v>
      </c>
      <c r="E129" s="769" t="str">
        <f t="shared" si="1"/>
        <v>VIGENTE</v>
      </c>
      <c r="F129" s="694"/>
    </row>
    <row r="130" spans="1:6" x14ac:dyDescent="0.2">
      <c r="A130" s="560">
        <v>119</v>
      </c>
      <c r="B130" s="830" t="str">
        <f>_xlfn.XLOOKUP(A130,Códigos!$A$11:$A$415,Códigos!$B$11:$B$415,"Verificar",0)</f>
        <v>NOMBRE 157</v>
      </c>
      <c r="C130" s="684">
        <f>SUMIF('CARTERA del año'!$A$7:$A$560,A130,'CARTERA del año'!$H$7:$H$560)+SUMIF('CARTERA de la OFICINA'!$A$9:$A$170,A130,'CARTERA de la OFICINA'!$H$9:$H$170)</f>
        <v>790000</v>
      </c>
      <c r="D130" s="678">
        <v>0</v>
      </c>
      <c r="E130" s="769" t="str">
        <f t="shared" si="1"/>
        <v>VIGENTE</v>
      </c>
      <c r="F130" s="694"/>
    </row>
    <row r="131" spans="1:6" x14ac:dyDescent="0.2">
      <c r="A131" s="560">
        <v>120</v>
      </c>
      <c r="B131" s="830" t="str">
        <f>_xlfn.XLOOKUP(A131,Códigos!$A$11:$A$415,Códigos!$B$11:$B$415,"Verificar",0)</f>
        <v>NOMBRE 343</v>
      </c>
      <c r="C131" s="684">
        <f>SUMIF('CARTERA del año'!$A$7:$A$560,A131,'CARTERA del año'!$H$7:$H$560)+SUMIF('CARTERA de la OFICINA'!$A$9:$A$170,A131,'CARTERA de la OFICINA'!$H$9:$H$170)</f>
        <v>0</v>
      </c>
      <c r="D131" s="678"/>
      <c r="E131" s="769" t="str">
        <f t="shared" si="1"/>
        <v>-</v>
      </c>
      <c r="F131" s="694"/>
    </row>
    <row r="132" spans="1:6" x14ac:dyDescent="0.2">
      <c r="A132" s="560">
        <v>121</v>
      </c>
      <c r="B132" s="830" t="str">
        <f>_xlfn.XLOOKUP(A132,Códigos!$A$11:$A$415,Códigos!$B$11:$B$415,"Verificar",0)</f>
        <v>NOMBRE 190</v>
      </c>
      <c r="C132" s="684">
        <f>SUMIF('CARTERA del año'!$A$7:$A$560,A132,'CARTERA del año'!$H$7:$H$560)+SUMIF('CARTERA de la OFICINA'!$A$9:$A$170,A132,'CARTERA de la OFICINA'!$H$9:$H$170)</f>
        <v>0</v>
      </c>
      <c r="D132" s="678">
        <v>0</v>
      </c>
      <c r="E132" s="769" t="str">
        <f t="shared" si="1"/>
        <v>-</v>
      </c>
      <c r="F132" s="694"/>
    </row>
    <row r="133" spans="1:6" x14ac:dyDescent="0.2">
      <c r="A133" s="560">
        <v>122</v>
      </c>
      <c r="B133" s="830" t="str">
        <f>_xlfn.XLOOKUP(A133,Códigos!$A$11:$A$415,Códigos!$B$11:$B$415,"Verificar",0)</f>
        <v>NOMBRE 191</v>
      </c>
      <c r="C133" s="684">
        <f>SUMIF('CARTERA del año'!$A$7:$A$560,A133,'CARTERA del año'!$H$7:$H$560)+SUMIF('CARTERA de la OFICINA'!$A$9:$A$170,A133,'CARTERA de la OFICINA'!$H$9:$H$170)</f>
        <v>690000</v>
      </c>
      <c r="D133" s="678">
        <v>0</v>
      </c>
      <c r="E133" s="769" t="str">
        <f t="shared" si="1"/>
        <v>VIGENTE</v>
      </c>
      <c r="F133" s="694"/>
    </row>
    <row r="134" spans="1:6" x14ac:dyDescent="0.2">
      <c r="A134" s="560">
        <v>123</v>
      </c>
      <c r="B134" s="830" t="str">
        <f>_xlfn.XLOOKUP(A134,Códigos!$A$11:$A$415,Códigos!$B$11:$B$415,"Verificar",0)</f>
        <v>NOMBRE 194</v>
      </c>
      <c r="C134" s="684">
        <f>SUMIF('CARTERA del año'!$A$7:$A$560,A134,'CARTERA del año'!$H$7:$H$560)+SUMIF('CARTERA de la OFICINA'!$A$9:$A$170,A134,'CARTERA de la OFICINA'!$H$9:$H$170)</f>
        <v>6943000</v>
      </c>
      <c r="D134" s="678">
        <v>0</v>
      </c>
      <c r="E134" s="769" t="str">
        <f t="shared" si="1"/>
        <v>VIGENTE</v>
      </c>
      <c r="F134" s="694"/>
    </row>
    <row r="135" spans="1:6" x14ac:dyDescent="0.2">
      <c r="A135" s="560">
        <v>124</v>
      </c>
      <c r="B135" s="830" t="str">
        <f>_xlfn.XLOOKUP(A135,Códigos!$A$11:$A$415,Códigos!$B$11:$B$415,"Verificar",0)</f>
        <v>NOMBRE 196</v>
      </c>
      <c r="C135" s="684">
        <f>SUMIF('CARTERA del año'!$A$7:$A$560,A135,'CARTERA del año'!$H$7:$H$560)+SUMIF('CARTERA de la OFICINA'!$A$9:$A$170,A135,'CARTERA de la OFICINA'!$H$9:$H$170)</f>
        <v>0</v>
      </c>
      <c r="D135" s="678"/>
      <c r="E135" s="769" t="str">
        <f t="shared" si="1"/>
        <v>-</v>
      </c>
      <c r="F135" s="694"/>
    </row>
    <row r="136" spans="1:6" x14ac:dyDescent="0.2">
      <c r="A136" s="560">
        <v>125</v>
      </c>
      <c r="B136" s="830" t="str">
        <f>_xlfn.XLOOKUP(A136,Códigos!$A$11:$A$415,Códigos!$B$11:$B$415,"Verificar",0)</f>
        <v>NOMBRE 355</v>
      </c>
      <c r="C136" s="684">
        <f>SUMIF('CARTERA del año'!$A$7:$A$560,A136,'CARTERA del año'!$H$7:$H$560)+SUMIF('CARTERA de la OFICINA'!$A$9:$A$170,A136,'CARTERA de la OFICINA'!$H$9:$H$170)</f>
        <v>0</v>
      </c>
      <c r="D136" s="678"/>
      <c r="E136" s="769" t="str">
        <f t="shared" si="1"/>
        <v>-</v>
      </c>
      <c r="F136" s="694"/>
    </row>
    <row r="137" spans="1:6" x14ac:dyDescent="0.2">
      <c r="A137" s="560">
        <v>126</v>
      </c>
      <c r="B137" s="830" t="str">
        <f>_xlfn.XLOOKUP(A137,Códigos!$A$11:$A$415,Códigos!$B$11:$B$415,"Verificar",0)</f>
        <v>NOMBRE 206</v>
      </c>
      <c r="C137" s="684">
        <f>SUMIF('CARTERA del año'!$A$7:$A$560,A137,'CARTERA del año'!$H$7:$H$560)+SUMIF('CARTERA de la OFICINA'!$A$9:$A$170,A137,'CARTERA de la OFICINA'!$H$9:$H$170)</f>
        <v>540000</v>
      </c>
      <c r="D137" s="678">
        <v>0</v>
      </c>
      <c r="E137" s="769" t="str">
        <f t="shared" si="1"/>
        <v>VIGENTE</v>
      </c>
      <c r="F137" s="694"/>
    </row>
    <row r="138" spans="1:6" x14ac:dyDescent="0.2">
      <c r="A138" s="560">
        <v>127</v>
      </c>
      <c r="B138" s="830" t="str">
        <f>_xlfn.XLOOKUP(A138,Códigos!$A$11:$A$415,Códigos!$B$11:$B$415,"Verificar",0)</f>
        <v>NOMBRE 208</v>
      </c>
      <c r="C138" s="684">
        <f>SUMIF('CARTERA del año'!$A$7:$A$560,A138,'CARTERA del año'!$H$7:$H$560)+SUMIF('CARTERA de la OFICINA'!$A$9:$A$170,A138,'CARTERA de la OFICINA'!$H$9:$H$170)</f>
        <v>760000</v>
      </c>
      <c r="D138" s="678">
        <v>0</v>
      </c>
      <c r="E138" s="769" t="str">
        <f t="shared" si="1"/>
        <v>VIGENTE</v>
      </c>
      <c r="F138" s="694"/>
    </row>
    <row r="139" spans="1:6" x14ac:dyDescent="0.2">
      <c r="A139" s="560">
        <v>128</v>
      </c>
      <c r="B139" s="830" t="str">
        <f>_xlfn.XLOOKUP(A139,Códigos!$A$11:$A$415,Códigos!$B$11:$B$415,"Verificar",0)</f>
        <v>NOMBRE 209</v>
      </c>
      <c r="C139" s="684">
        <f>SUMIF('CARTERA del año'!$A$7:$A$560,A139,'CARTERA del año'!$H$7:$H$560)+SUMIF('CARTERA de la OFICINA'!$A$9:$A$170,A139,'CARTERA de la OFICINA'!$H$9:$H$170)</f>
        <v>0</v>
      </c>
      <c r="D139" s="678">
        <v>0</v>
      </c>
      <c r="E139" s="769" t="str">
        <f t="shared" si="1"/>
        <v>-</v>
      </c>
      <c r="F139" s="694"/>
    </row>
    <row r="140" spans="1:6" x14ac:dyDescent="0.2">
      <c r="A140" s="560">
        <v>129</v>
      </c>
      <c r="B140" s="830" t="str">
        <f>_xlfn.XLOOKUP(A140,Códigos!$A$11:$A$415,Códigos!$B$11:$B$415,"Verificar",0)</f>
        <v>NOMBRE 214</v>
      </c>
      <c r="C140" s="684">
        <f>SUMIF('CARTERA del año'!$A$7:$A$560,A140,'CARTERA del año'!$H$7:$H$560)+SUMIF('CARTERA de la OFICINA'!$A$9:$A$170,A140,'CARTERA de la OFICINA'!$H$9:$H$170)</f>
        <v>0</v>
      </c>
      <c r="D140" s="678"/>
      <c r="E140" s="769" t="str">
        <f t="shared" si="1"/>
        <v>-</v>
      </c>
      <c r="F140" s="694"/>
    </row>
    <row r="141" spans="1:6" x14ac:dyDescent="0.2">
      <c r="A141" s="560">
        <v>130</v>
      </c>
      <c r="B141" s="830" t="str">
        <f>_xlfn.XLOOKUP(A141,Códigos!$A$11:$A$415,Códigos!$B$11:$B$415,"Verificar",0)</f>
        <v>NOMBRE 359</v>
      </c>
      <c r="C141" s="684">
        <f>SUMIF('CARTERA del año'!$A$7:$A$560,A141,'CARTERA del año'!$H$7:$H$560)+SUMIF('CARTERA de la OFICINA'!$A$9:$A$170,A141,'CARTERA de la OFICINA'!$H$9:$H$170)</f>
        <v>0</v>
      </c>
      <c r="D141" s="678"/>
      <c r="E141" s="769" t="str">
        <f t="shared" si="1"/>
        <v>-</v>
      </c>
      <c r="F141" s="694"/>
    </row>
    <row r="142" spans="1:6" x14ac:dyDescent="0.2">
      <c r="A142" s="560">
        <v>131</v>
      </c>
      <c r="B142" s="830" t="str">
        <f>_xlfn.XLOOKUP(A142,Códigos!$A$11:$A$415,Códigos!$B$11:$B$415,"Verificar",0)</f>
        <v>NOMBRE 117</v>
      </c>
      <c r="C142" s="684">
        <f>SUMIF('CARTERA del año'!$A$7:$A$560,A142,'CARTERA del año'!$H$7:$H$560)+SUMIF('CARTERA de la OFICINA'!$A$9:$A$170,A142,'CARTERA de la OFICINA'!$H$9:$H$170)</f>
        <v>0</v>
      </c>
      <c r="D142" s="678"/>
      <c r="E142" s="769" t="str">
        <f t="shared" si="1"/>
        <v>-</v>
      </c>
      <c r="F142" s="694"/>
    </row>
    <row r="143" spans="1:6" x14ac:dyDescent="0.2">
      <c r="A143" s="560">
        <v>132</v>
      </c>
      <c r="B143" s="830" t="str">
        <f>_xlfn.XLOOKUP(A143,Códigos!$A$11:$A$415,Códigos!$B$11:$B$415,"Verificar",0)</f>
        <v>NOMBRE 215</v>
      </c>
      <c r="C143" s="684">
        <f>SUMIF('CARTERA del año'!$A$7:$A$560,A143,'CARTERA del año'!$H$7:$H$560)+SUMIF('CARTERA de la OFICINA'!$A$9:$A$170,A143,'CARTERA de la OFICINA'!$H$9:$H$170)</f>
        <v>6710000</v>
      </c>
      <c r="D143" s="678">
        <v>0</v>
      </c>
      <c r="E143" s="769" t="str">
        <f t="shared" ref="E143:E206" si="2">IF(C143&gt;0,IF(D143=$D$2,"VIGENTE",IF(D143=$D$3,"DUDOSO RECAUDO",IF(D143=$D$4,"PERDIDA",IF(D143=$D$5,"REVISAR",)))),"-")</f>
        <v>VIGENTE</v>
      </c>
      <c r="F143" s="694"/>
    </row>
    <row r="144" spans="1:6" x14ac:dyDescent="0.2">
      <c r="A144" s="560">
        <v>133</v>
      </c>
      <c r="B144" s="830" t="str">
        <f>_xlfn.XLOOKUP(A144,Códigos!$A$11:$A$415,Códigos!$B$11:$B$415,"Verificar",0)</f>
        <v>NOMBRE 216</v>
      </c>
      <c r="C144" s="684">
        <f>SUMIF('CARTERA del año'!$A$7:$A$560,A144,'CARTERA del año'!$H$7:$H$560)+SUMIF('CARTERA de la OFICINA'!$A$9:$A$170,A144,'CARTERA de la OFICINA'!$H$9:$H$170)</f>
        <v>0</v>
      </c>
      <c r="D144" s="678"/>
      <c r="E144" s="769" t="str">
        <f t="shared" si="2"/>
        <v>-</v>
      </c>
      <c r="F144" s="694"/>
    </row>
    <row r="145" spans="1:6" x14ac:dyDescent="0.2">
      <c r="A145" s="560">
        <v>134</v>
      </c>
      <c r="B145" s="830" t="str">
        <f>_xlfn.XLOOKUP(A145,Códigos!$A$11:$A$415,Códigos!$B$11:$B$415,"Verificar",0)</f>
        <v>NOMBRE 217</v>
      </c>
      <c r="C145" s="684">
        <f>SUMIF('CARTERA del año'!$A$7:$A$560,A145,'CARTERA del año'!$H$7:$H$560)+SUMIF('CARTERA de la OFICINA'!$A$9:$A$170,A145,'CARTERA de la OFICINA'!$H$9:$H$170)</f>
        <v>0</v>
      </c>
      <c r="D145" s="678">
        <v>0</v>
      </c>
      <c r="E145" s="769" t="str">
        <f t="shared" si="2"/>
        <v>-</v>
      </c>
      <c r="F145" s="694"/>
    </row>
    <row r="146" spans="1:6" x14ac:dyDescent="0.2">
      <c r="A146" s="560">
        <v>135</v>
      </c>
      <c r="B146" s="830" t="str">
        <f>_xlfn.XLOOKUP(A146,Códigos!$A$11:$A$415,Códigos!$B$11:$B$415,"Verificar",0)</f>
        <v>NOMBRE 306</v>
      </c>
      <c r="C146" s="684">
        <f>SUMIF('CARTERA del año'!$A$7:$A$560,A146,'CARTERA del año'!$H$7:$H$560)+SUMIF('CARTERA de la OFICINA'!$A$9:$A$170,A146,'CARTERA de la OFICINA'!$H$9:$H$170)</f>
        <v>0</v>
      </c>
      <c r="D146" s="678"/>
      <c r="E146" s="769" t="str">
        <f t="shared" si="2"/>
        <v>-</v>
      </c>
      <c r="F146" s="694"/>
    </row>
    <row r="147" spans="1:6" x14ac:dyDescent="0.2">
      <c r="A147" s="560">
        <v>136</v>
      </c>
      <c r="B147" s="830" t="str">
        <f>_xlfn.XLOOKUP(A147,Códigos!$A$11:$A$415,Códigos!$B$11:$B$415,"Verificar",0)</f>
        <v>NOMBRE 222</v>
      </c>
      <c r="C147" s="684">
        <f>SUMIF('CARTERA del año'!$A$7:$A$560,A147,'CARTERA del año'!$H$7:$H$560)+SUMIF('CARTERA de la OFICINA'!$A$9:$A$170,A147,'CARTERA de la OFICINA'!$H$9:$H$170)</f>
        <v>0</v>
      </c>
      <c r="D147" s="678"/>
      <c r="E147" s="769" t="str">
        <f t="shared" si="2"/>
        <v>-</v>
      </c>
      <c r="F147" s="694"/>
    </row>
    <row r="148" spans="1:6" x14ac:dyDescent="0.2">
      <c r="A148" s="560">
        <v>137</v>
      </c>
      <c r="B148" s="830" t="str">
        <f>_xlfn.XLOOKUP(A148,Códigos!$A$11:$A$415,Códigos!$B$11:$B$415,"Verificar",0)</f>
        <v>NOMBRE 223</v>
      </c>
      <c r="C148" s="684">
        <f>SUMIF('CARTERA del año'!$A$7:$A$560,A148,'CARTERA del año'!$H$7:$H$560)+SUMIF('CARTERA de la OFICINA'!$A$9:$A$170,A148,'CARTERA de la OFICINA'!$H$9:$H$170)</f>
        <v>490000</v>
      </c>
      <c r="D148" s="678">
        <v>0</v>
      </c>
      <c r="E148" s="769" t="str">
        <f t="shared" si="2"/>
        <v>VIGENTE</v>
      </c>
      <c r="F148" s="694"/>
    </row>
    <row r="149" spans="1:6" x14ac:dyDescent="0.2">
      <c r="A149" s="560">
        <v>138</v>
      </c>
      <c r="B149" s="830" t="str">
        <f>_xlfn.XLOOKUP(A149,Códigos!$A$11:$A$415,Códigos!$B$11:$B$415,"Verificar",0)</f>
        <v>NOMBRE 229</v>
      </c>
      <c r="C149" s="684">
        <f>SUMIF('CARTERA del año'!$A$7:$A$560,A149,'CARTERA del año'!$H$7:$H$560)+SUMIF('CARTERA de la OFICINA'!$A$9:$A$170,A149,'CARTERA de la OFICINA'!$H$9:$H$170)</f>
        <v>450000</v>
      </c>
      <c r="D149" s="678">
        <v>0</v>
      </c>
      <c r="E149" s="769" t="str">
        <f t="shared" si="2"/>
        <v>VIGENTE</v>
      </c>
      <c r="F149" s="694"/>
    </row>
    <row r="150" spans="1:6" x14ac:dyDescent="0.2">
      <c r="A150" s="560">
        <v>139</v>
      </c>
      <c r="B150" s="830" t="str">
        <f>_xlfn.XLOOKUP(A150,Códigos!$A$11:$A$415,Códigos!$B$11:$B$415,"Verificar",0)</f>
        <v>NOMBRE 230</v>
      </c>
      <c r="C150" s="684">
        <f>SUMIF('CARTERA del año'!$A$7:$A$560,A150,'CARTERA del año'!$H$7:$H$560)+SUMIF('CARTERA de la OFICINA'!$A$9:$A$170,A150,'CARTERA de la OFICINA'!$H$9:$H$170)</f>
        <v>450000</v>
      </c>
      <c r="D150" s="678"/>
      <c r="E150" s="769" t="str">
        <f t="shared" si="2"/>
        <v>VIGENTE</v>
      </c>
      <c r="F150" s="694"/>
    </row>
    <row r="151" spans="1:6" x14ac:dyDescent="0.2">
      <c r="A151" s="560">
        <v>140</v>
      </c>
      <c r="B151" s="830" t="str">
        <f>_xlfn.XLOOKUP(A151,Códigos!$A$11:$A$415,Códigos!$B$11:$B$415,"Verificar",0)</f>
        <v>NOMBRE 231</v>
      </c>
      <c r="C151" s="684">
        <f>SUMIF('CARTERA del año'!$A$7:$A$560,A151,'CARTERA del año'!$H$7:$H$560)+SUMIF('CARTERA de la OFICINA'!$A$9:$A$170,A151,'CARTERA de la OFICINA'!$H$9:$H$170)</f>
        <v>450000</v>
      </c>
      <c r="D151" s="678"/>
      <c r="E151" s="769" t="str">
        <f t="shared" si="2"/>
        <v>VIGENTE</v>
      </c>
      <c r="F151" s="557"/>
    </row>
    <row r="152" spans="1:6" x14ac:dyDescent="0.2">
      <c r="A152" s="560">
        <v>141</v>
      </c>
      <c r="B152" s="830" t="str">
        <f>_xlfn.XLOOKUP(A152,Códigos!$A$11:$A$415,Códigos!$B$11:$B$415,"Verificar",0)</f>
        <v>NOMBRE 228</v>
      </c>
      <c r="C152" s="684">
        <f>SUMIF('CARTERA del año'!$A$7:$A$560,A152,'CARTERA del año'!$H$7:$H$560)+SUMIF('CARTERA de la OFICINA'!$A$9:$A$170,A152,'CARTERA de la OFICINA'!$H$9:$H$170)</f>
        <v>160000</v>
      </c>
      <c r="D152" s="678"/>
      <c r="E152" s="769" t="str">
        <f t="shared" si="2"/>
        <v>VIGENTE</v>
      </c>
      <c r="F152" s="694"/>
    </row>
    <row r="153" spans="1:6" x14ac:dyDescent="0.2">
      <c r="A153" s="560">
        <v>142</v>
      </c>
      <c r="B153" s="830" t="str">
        <f>_xlfn.XLOOKUP(A153,Códigos!$A$11:$A$415,Códigos!$B$11:$B$415,"Verificar",0)</f>
        <v>NOMBRE 235</v>
      </c>
      <c r="C153" s="684">
        <f>SUMIF('CARTERA del año'!$A$7:$A$560,A153,'CARTERA del año'!$H$7:$H$560)+SUMIF('CARTERA de la OFICINA'!$A$9:$A$170,A153,'CARTERA de la OFICINA'!$H$9:$H$170)</f>
        <v>3140000</v>
      </c>
      <c r="D153" s="678">
        <v>0</v>
      </c>
      <c r="E153" s="769" t="str">
        <f t="shared" si="2"/>
        <v>VIGENTE</v>
      </c>
      <c r="F153" s="694"/>
    </row>
    <row r="154" spans="1:6" x14ac:dyDescent="0.2">
      <c r="A154" s="560">
        <v>143</v>
      </c>
      <c r="B154" s="830" t="str">
        <f>_xlfn.XLOOKUP(A154,Códigos!$A$11:$A$415,Códigos!$B$11:$B$415,"Verificar",0)</f>
        <v>NOMBRE 236</v>
      </c>
      <c r="C154" s="1223">
        <f>SUMIF('CARTERA del año'!$A$7:$A$560,A154,'CARTERA del año'!$H$7:$H$560)+SUMIF('CARTERA de la OFICINA'!$A$9:$A$170,A154,'CARTERA de la OFICINA'!$H$9:$H$170)</f>
        <v>2080000</v>
      </c>
      <c r="D154" s="678">
        <v>0</v>
      </c>
      <c r="E154" s="769" t="str">
        <f t="shared" si="2"/>
        <v>VIGENTE</v>
      </c>
      <c r="F154" s="694"/>
    </row>
    <row r="155" spans="1:6" x14ac:dyDescent="0.2">
      <c r="A155" s="560">
        <v>144</v>
      </c>
      <c r="B155" s="830" t="str">
        <f>_xlfn.XLOOKUP(A155,Códigos!$A$11:$A$415,Códigos!$B$11:$B$415,"Verificar",0)</f>
        <v>NOMBRE 237</v>
      </c>
      <c r="C155" s="684">
        <f>SUMIF('CARTERA del año'!$A$7:$A$560,A155,'CARTERA del año'!$H$7:$H$560)+SUMIF('CARTERA de la OFICINA'!$A$9:$A$170,A155,'CARTERA de la OFICINA'!$H$9:$H$170)</f>
        <v>450000</v>
      </c>
      <c r="D155" s="678">
        <v>0</v>
      </c>
      <c r="E155" s="769" t="str">
        <f t="shared" si="2"/>
        <v>VIGENTE</v>
      </c>
      <c r="F155" s="694"/>
    </row>
    <row r="156" spans="1:6" x14ac:dyDescent="0.2">
      <c r="A156" s="560">
        <v>145</v>
      </c>
      <c r="B156" s="830" t="str">
        <f>_xlfn.XLOOKUP(A156,Códigos!$A$11:$A$415,Códigos!$B$11:$B$415,"Verificar",0)</f>
        <v>NOMBRE 238</v>
      </c>
      <c r="C156" s="684">
        <f>SUMIF('CARTERA del año'!$A$7:$A$560,A156,'CARTERA del año'!$H$7:$H$560)+SUMIF('CARTERA de la OFICINA'!$A$9:$A$170,A156,'CARTERA de la OFICINA'!$H$9:$H$170)</f>
        <v>0</v>
      </c>
      <c r="D156" s="678">
        <v>0</v>
      </c>
      <c r="E156" s="769" t="str">
        <f t="shared" si="2"/>
        <v>-</v>
      </c>
      <c r="F156" s="694"/>
    </row>
    <row r="157" spans="1:6" x14ac:dyDescent="0.2">
      <c r="A157" s="560">
        <v>146</v>
      </c>
      <c r="B157" s="830" t="str">
        <f>_xlfn.XLOOKUP(A157,Códigos!$A$11:$A$415,Códigos!$B$11:$B$415,"Verificar",0)</f>
        <v>NOMBRE 239</v>
      </c>
      <c r="C157" s="684">
        <f>SUMIF('CARTERA del año'!$A$7:$A$560,A157,'CARTERA del año'!$H$7:$H$560)+SUMIF('CARTERA de la OFICINA'!$A$9:$A$170,A157,'CARTERA de la OFICINA'!$H$9:$H$170)</f>
        <v>0</v>
      </c>
      <c r="D157" s="678"/>
      <c r="E157" s="769" t="str">
        <f t="shared" si="2"/>
        <v>-</v>
      </c>
      <c r="F157" s="694"/>
    </row>
    <row r="158" spans="1:6" x14ac:dyDescent="0.2">
      <c r="A158" s="560">
        <v>147</v>
      </c>
      <c r="B158" s="830" t="str">
        <f>_xlfn.XLOOKUP(A158,Códigos!$A$11:$A$415,Códigos!$B$11:$B$415,"Verificar",0)</f>
        <v>NOMBRE 241</v>
      </c>
      <c r="C158" s="684">
        <f>SUMIF('CARTERA del año'!$A$7:$A$560,A158,'CARTERA del año'!$H$7:$H$560)+SUMIF('CARTERA de la OFICINA'!$A$9:$A$170,A158,'CARTERA de la OFICINA'!$H$9:$H$170)</f>
        <v>0</v>
      </c>
      <c r="D158" s="678"/>
      <c r="E158" s="769" t="str">
        <f t="shared" si="2"/>
        <v>-</v>
      </c>
      <c r="F158" s="694"/>
    </row>
    <row r="159" spans="1:6" x14ac:dyDescent="0.2">
      <c r="A159" s="560">
        <v>148</v>
      </c>
      <c r="B159" s="830" t="str">
        <f>_xlfn.XLOOKUP(A159,Códigos!$A$11:$A$415,Códigos!$B$11:$B$415,"Verificar",0)</f>
        <v>NOMBRE 143</v>
      </c>
      <c r="C159" s="684">
        <f>SUMIF('CARTERA del año'!$A$7:$A$560,A159,'CARTERA del año'!$H$7:$H$560)+SUMIF('CARTERA de la OFICINA'!$A$9:$A$170,A159,'CARTERA de la OFICINA'!$H$9:$H$170)</f>
        <v>0</v>
      </c>
      <c r="D159" s="678"/>
      <c r="E159" s="769" t="str">
        <f t="shared" si="2"/>
        <v>-</v>
      </c>
      <c r="F159" s="694"/>
    </row>
    <row r="160" spans="1:6" x14ac:dyDescent="0.2">
      <c r="A160" s="560">
        <v>149</v>
      </c>
      <c r="B160" s="830" t="str">
        <f>_xlfn.XLOOKUP(A160,Códigos!$A$11:$A$415,Códigos!$B$11:$B$415,"Verificar",0)</f>
        <v>NOMBRE 244</v>
      </c>
      <c r="C160" s="684">
        <f>SUMIF('CARTERA del año'!$A$7:$A$560,A160,'CARTERA del año'!$H$7:$H$560)+SUMIF('CARTERA de la OFICINA'!$A$9:$A$170,A160,'CARTERA de la OFICINA'!$H$9:$H$170)</f>
        <v>0</v>
      </c>
      <c r="D160" s="678"/>
      <c r="E160" s="769" t="str">
        <f t="shared" si="2"/>
        <v>-</v>
      </c>
      <c r="F160" s="694"/>
    </row>
    <row r="161" spans="1:6" x14ac:dyDescent="0.2">
      <c r="A161" s="560">
        <v>150</v>
      </c>
      <c r="B161" s="830" t="str">
        <f>_xlfn.XLOOKUP(A161,Códigos!$A$11:$A$415,Códigos!$B$11:$B$415,"Verificar",0)</f>
        <v>NOMBRE 247</v>
      </c>
      <c r="C161" s="684">
        <f>SUMIF('CARTERA del año'!$A$7:$A$560,A161,'CARTERA del año'!$H$7:$H$560)+SUMIF('CARTERA de la OFICINA'!$A$9:$A$170,A161,'CARTERA de la OFICINA'!$H$9:$H$170)</f>
        <v>0</v>
      </c>
      <c r="D161" s="678">
        <v>2</v>
      </c>
      <c r="E161" s="769" t="str">
        <f t="shared" si="2"/>
        <v>-</v>
      </c>
      <c r="F161" s="694"/>
    </row>
    <row r="162" spans="1:6" x14ac:dyDescent="0.2">
      <c r="A162" s="560">
        <v>151</v>
      </c>
      <c r="B162" s="830" t="str">
        <f>_xlfn.XLOOKUP(A162,Códigos!$A$11:$A$415,Códigos!$B$11:$B$415,"Verificar",0)</f>
        <v>NOMBRE 248</v>
      </c>
      <c r="C162" s="684">
        <f>SUMIF('CARTERA del año'!$A$7:$A$560,A162,'CARTERA del año'!$H$7:$H$560)+SUMIF('CARTERA de la OFICINA'!$A$9:$A$170,A162,'CARTERA de la OFICINA'!$H$9:$H$170)</f>
        <v>0</v>
      </c>
      <c r="D162" s="678">
        <v>0</v>
      </c>
      <c r="E162" s="769" t="str">
        <f t="shared" si="2"/>
        <v>-</v>
      </c>
      <c r="F162" s="694"/>
    </row>
    <row r="163" spans="1:6" x14ac:dyDescent="0.2">
      <c r="A163" s="560">
        <v>152</v>
      </c>
      <c r="B163" s="830" t="str">
        <f>_xlfn.XLOOKUP(A163,Códigos!$A$11:$A$415,Códigos!$B$11:$B$415,"Verificar",0)</f>
        <v>NOMBRE 249</v>
      </c>
      <c r="C163" s="684">
        <f>SUMIF('CARTERA del año'!$A$7:$A$560,A163,'CARTERA del año'!$H$7:$H$560)+SUMIF('CARTERA de la OFICINA'!$A$9:$A$170,A163,'CARTERA de la OFICINA'!$H$9:$H$170)</f>
        <v>3040000</v>
      </c>
      <c r="D163" s="678">
        <v>0</v>
      </c>
      <c r="E163" s="769" t="str">
        <f t="shared" si="2"/>
        <v>VIGENTE</v>
      </c>
      <c r="F163" s="694"/>
    </row>
    <row r="164" spans="1:6" x14ac:dyDescent="0.2">
      <c r="A164" s="560">
        <v>153</v>
      </c>
      <c r="B164" s="830" t="str">
        <f>_xlfn.XLOOKUP(A164,Códigos!$A$11:$A$415,Códigos!$B$11:$B$415,"Verificar",0)</f>
        <v>NOMBRE 286</v>
      </c>
      <c r="C164" s="684">
        <f>SUMIF('CARTERA del año'!$A$7:$A$560,A164,'CARTERA del año'!$H$7:$H$560)+SUMIF('CARTERA de la OFICINA'!$A$9:$A$170,A164,'CARTERA de la OFICINA'!$H$9:$H$170)</f>
        <v>0</v>
      </c>
      <c r="D164" s="678"/>
      <c r="E164" s="769" t="str">
        <f t="shared" si="2"/>
        <v>-</v>
      </c>
      <c r="F164" s="694"/>
    </row>
    <row r="165" spans="1:6" x14ac:dyDescent="0.2">
      <c r="A165" s="560">
        <v>154</v>
      </c>
      <c r="B165" s="830" t="str">
        <f>_xlfn.XLOOKUP(A165,Códigos!$A$11:$A$415,Códigos!$B$11:$B$415,"Verificar",0)</f>
        <v>NOMBRE 251</v>
      </c>
      <c r="C165" s="684">
        <f>SUMIF('CARTERA del año'!$A$7:$A$560,A165,'CARTERA del año'!$H$7:$H$560)+SUMIF('CARTERA de la OFICINA'!$A$9:$A$170,A165,'CARTERA de la OFICINA'!$H$9:$H$170)</f>
        <v>0</v>
      </c>
      <c r="D165" s="678"/>
      <c r="E165" s="769" t="str">
        <f t="shared" si="2"/>
        <v>-</v>
      </c>
      <c r="F165" s="694"/>
    </row>
    <row r="166" spans="1:6" x14ac:dyDescent="0.2">
      <c r="A166" s="560">
        <v>155</v>
      </c>
      <c r="B166" s="830" t="str">
        <f>_xlfn.XLOOKUP(A166,Códigos!$A$11:$A$415,Códigos!$B$11:$B$415,"Verificar",0)</f>
        <v>NOMBRE 259</v>
      </c>
      <c r="C166" s="684">
        <f>SUMIF('CARTERA del año'!$A$7:$A$560,A166,'CARTERA del año'!$H$7:$H$560)+SUMIF('CARTERA de la OFICINA'!$A$9:$A$170,A166,'CARTERA de la OFICINA'!$H$9:$H$170)</f>
        <v>0</v>
      </c>
      <c r="D166" s="678">
        <v>0</v>
      </c>
      <c r="E166" s="769" t="str">
        <f t="shared" si="2"/>
        <v>-</v>
      </c>
      <c r="F166" s="557" t="s">
        <v>737</v>
      </c>
    </row>
    <row r="167" spans="1:6" x14ac:dyDescent="0.2">
      <c r="A167" s="560">
        <v>156</v>
      </c>
      <c r="B167" s="830" t="str">
        <f>_xlfn.XLOOKUP(A167,Códigos!$A$11:$A$415,Códigos!$B$11:$B$415,"Verificar",0)</f>
        <v>NOMBRE 11</v>
      </c>
      <c r="C167" s="684">
        <f>SUMIF('CARTERA del año'!$A$7:$A$560,A167,'CARTERA del año'!$H$7:$H$560)+SUMIF('CARTERA de la OFICINA'!$A$9:$A$170,A167,'CARTERA de la OFICINA'!$H$9:$H$170)</f>
        <v>210000</v>
      </c>
      <c r="D167" s="678"/>
      <c r="E167" s="769" t="str">
        <f t="shared" si="2"/>
        <v>VIGENTE</v>
      </c>
      <c r="F167" s="694"/>
    </row>
    <row r="168" spans="1:6" x14ac:dyDescent="0.2">
      <c r="A168" s="560">
        <v>157</v>
      </c>
      <c r="B168" s="830" t="str">
        <f>_xlfn.XLOOKUP(A168,Códigos!$A$11:$A$415,Códigos!$B$11:$B$415,"Verificar",0)</f>
        <v>NOMBRE 260</v>
      </c>
      <c r="C168" s="684">
        <f>SUMIF('CARTERA del año'!$A$7:$A$560,A168,'CARTERA del año'!$H$7:$H$560)+SUMIF('CARTERA de la OFICINA'!$A$9:$A$170,A168,'CARTERA de la OFICINA'!$H$9:$H$170)</f>
        <v>0</v>
      </c>
      <c r="D168" s="678"/>
      <c r="E168" s="769" t="str">
        <f t="shared" si="2"/>
        <v>-</v>
      </c>
      <c r="F168" s="694"/>
    </row>
    <row r="169" spans="1:6" x14ac:dyDescent="0.2">
      <c r="A169" s="560">
        <v>158</v>
      </c>
      <c r="B169" s="830" t="str">
        <f>_xlfn.XLOOKUP(A169,Códigos!$A$11:$A$415,Códigos!$B$11:$B$415,"Verificar",0)</f>
        <v>NOMBRE 262</v>
      </c>
      <c r="C169" s="684">
        <f>SUMIF('CARTERA del año'!$A$7:$A$560,A169,'CARTERA del año'!$H$7:$H$560)+SUMIF('CARTERA de la OFICINA'!$A$9:$A$170,A169,'CARTERA de la OFICINA'!$H$9:$H$170)</f>
        <v>2820300</v>
      </c>
      <c r="D169" s="678">
        <v>0</v>
      </c>
      <c r="E169" s="769" t="str">
        <f t="shared" si="2"/>
        <v>VIGENTE</v>
      </c>
      <c r="F169" s="694"/>
    </row>
    <row r="170" spans="1:6" x14ac:dyDescent="0.2">
      <c r="A170" s="560">
        <v>159</v>
      </c>
      <c r="B170" s="830" t="str">
        <f>_xlfn.XLOOKUP(A170,Códigos!$A$11:$A$415,Códigos!$B$11:$B$415,"Verificar",0)</f>
        <v>NOMBRE 266</v>
      </c>
      <c r="C170" s="684">
        <f>SUMIF('CARTERA del año'!$A$7:$A$560,A170,'CARTERA del año'!$H$7:$H$560)+SUMIF('CARTERA de la OFICINA'!$A$9:$A$170,A170,'CARTERA de la OFICINA'!$H$9:$H$170)</f>
        <v>0</v>
      </c>
      <c r="D170" s="678"/>
      <c r="E170" s="769" t="str">
        <f t="shared" si="2"/>
        <v>-</v>
      </c>
      <c r="F170" s="694"/>
    </row>
    <row r="171" spans="1:6" x14ac:dyDescent="0.2">
      <c r="A171" s="560">
        <v>160</v>
      </c>
      <c r="B171" s="830" t="str">
        <f>_xlfn.XLOOKUP(A171,Códigos!$A$11:$A$415,Códigos!$B$11:$B$415,"Verificar",0)</f>
        <v>NOMBRE 267</v>
      </c>
      <c r="C171" s="684">
        <f>SUMIF('CARTERA del año'!$A$7:$A$560,A171,'CARTERA del año'!$H$7:$H$560)+SUMIF('CARTERA de la OFICINA'!$A$9:$A$170,A171,'CARTERA de la OFICINA'!$H$9:$H$170)</f>
        <v>0</v>
      </c>
      <c r="D171" s="678"/>
      <c r="E171" s="769" t="str">
        <f t="shared" si="2"/>
        <v>-</v>
      </c>
      <c r="F171" s="694"/>
    </row>
    <row r="172" spans="1:6" x14ac:dyDescent="0.2">
      <c r="A172" s="560">
        <v>161</v>
      </c>
      <c r="B172" s="830" t="str">
        <f>_xlfn.XLOOKUP(A172,Códigos!$A$11:$A$415,Códigos!$B$11:$B$415,"Verificar",0)</f>
        <v>NOMBRE 268</v>
      </c>
      <c r="C172" s="684">
        <f>SUMIF('CARTERA del año'!$A$7:$A$560,A172,'CARTERA del año'!$H$7:$H$560)+SUMIF('CARTERA de la OFICINA'!$A$9:$A$170,A172,'CARTERA de la OFICINA'!$H$9:$H$170)</f>
        <v>0</v>
      </c>
      <c r="D172" s="678"/>
      <c r="E172" s="769" t="str">
        <f t="shared" si="2"/>
        <v>-</v>
      </c>
      <c r="F172" s="694"/>
    </row>
    <row r="173" spans="1:6" x14ac:dyDescent="0.2">
      <c r="A173" s="560">
        <v>162</v>
      </c>
      <c r="B173" s="830" t="str">
        <f>_xlfn.XLOOKUP(A173,Códigos!$A$11:$A$415,Códigos!$B$11:$B$415,"Verificar",0)</f>
        <v>NOMBRE 193</v>
      </c>
      <c r="C173" s="684">
        <f>SUMIF('CARTERA del año'!$A$7:$A$560,A173,'CARTERA del año'!$H$7:$H$560)+SUMIF('CARTERA de la OFICINA'!$A$9:$A$170,A173,'CARTERA de la OFICINA'!$H$9:$H$170)</f>
        <v>230000</v>
      </c>
      <c r="D173" s="678"/>
      <c r="E173" s="769" t="str">
        <f t="shared" si="2"/>
        <v>VIGENTE</v>
      </c>
      <c r="F173" s="694"/>
    </row>
    <row r="174" spans="1:6" x14ac:dyDescent="0.2">
      <c r="A174" s="560">
        <v>163</v>
      </c>
      <c r="B174" s="830" t="str">
        <f>_xlfn.XLOOKUP(A174,Códigos!$A$11:$A$415,Códigos!$B$11:$B$415,"Verificar",0)</f>
        <v>NOMBRE 253</v>
      </c>
      <c r="C174" s="684">
        <f>SUMIF('CARTERA del año'!$A$7:$A$560,A174,'CARTERA del año'!$H$7:$H$560)+SUMIF('CARTERA de la OFICINA'!$A$9:$A$170,A174,'CARTERA de la OFICINA'!$H$9:$H$170)</f>
        <v>0</v>
      </c>
      <c r="D174" s="678"/>
      <c r="E174" s="769" t="str">
        <f t="shared" si="2"/>
        <v>-</v>
      </c>
      <c r="F174" s="694"/>
    </row>
    <row r="175" spans="1:6" x14ac:dyDescent="0.2">
      <c r="A175" s="560">
        <v>164</v>
      </c>
      <c r="B175" s="830" t="str">
        <f>_xlfn.XLOOKUP(A175,Códigos!$A$11:$A$415,Códigos!$B$11:$B$415,"Verificar",0)</f>
        <v>NOMBRE 269</v>
      </c>
      <c r="C175" s="684">
        <f>SUMIF('CARTERA del año'!$A$7:$A$560,A175,'CARTERA del año'!$H$7:$H$560)+SUMIF('CARTERA de la OFICINA'!$A$9:$A$170,A175,'CARTERA de la OFICINA'!$H$9:$H$170)</f>
        <v>0</v>
      </c>
      <c r="D175" s="678"/>
      <c r="E175" s="769" t="str">
        <f t="shared" si="2"/>
        <v>-</v>
      </c>
      <c r="F175" s="557"/>
    </row>
    <row r="176" spans="1:6" x14ac:dyDescent="0.2">
      <c r="A176" s="560">
        <v>165</v>
      </c>
      <c r="B176" s="830" t="str">
        <f>_xlfn.XLOOKUP(A176,Códigos!$A$11:$A$415,Códigos!$B$11:$B$415,"Verificar",0)</f>
        <v>NOMBRE 270</v>
      </c>
      <c r="C176" s="684">
        <f>SUMIF('CARTERA del año'!$A$7:$A$560,A176,'CARTERA del año'!$H$7:$H$560)+SUMIF('CARTERA de la OFICINA'!$A$9:$A$170,A176,'CARTERA de la OFICINA'!$H$9:$H$170)</f>
        <v>0</v>
      </c>
      <c r="D176" s="678"/>
      <c r="E176" s="769" t="str">
        <f t="shared" si="2"/>
        <v>-</v>
      </c>
      <c r="F176" s="694"/>
    </row>
    <row r="177" spans="1:6" x14ac:dyDescent="0.2">
      <c r="A177" s="560">
        <v>166</v>
      </c>
      <c r="B177" s="830" t="str">
        <f>_xlfn.XLOOKUP(A177,Códigos!$A$11:$A$415,Códigos!$B$11:$B$415,"Verificar",0)</f>
        <v>NOMBRE 271</v>
      </c>
      <c r="C177" s="684">
        <f>SUMIF('CARTERA del año'!$A$7:$A$560,A177,'CARTERA del año'!$H$7:$H$560)+SUMIF('CARTERA de la OFICINA'!$A$9:$A$170,A177,'CARTERA de la OFICINA'!$H$9:$H$170)</f>
        <v>0</v>
      </c>
      <c r="D177" s="678"/>
      <c r="E177" s="769" t="str">
        <f t="shared" si="2"/>
        <v>-</v>
      </c>
      <c r="F177" s="694"/>
    </row>
    <row r="178" spans="1:6" x14ac:dyDescent="0.2">
      <c r="A178" s="560">
        <v>167</v>
      </c>
      <c r="B178" s="830" t="str">
        <f>_xlfn.XLOOKUP(A178,Códigos!$A$11:$A$415,Códigos!$B$11:$B$415,"Verificar",0)</f>
        <v>NOMBRE 272</v>
      </c>
      <c r="C178" s="684">
        <f>SUMIF('CARTERA del año'!$A$7:$A$560,A178,'CARTERA del año'!$H$7:$H$560)+SUMIF('CARTERA de la OFICINA'!$A$9:$A$170,A178,'CARTERA de la OFICINA'!$H$9:$H$170)</f>
        <v>0</v>
      </c>
      <c r="D178" s="678"/>
      <c r="E178" s="769" t="str">
        <f t="shared" si="2"/>
        <v>-</v>
      </c>
      <c r="F178" s="694" t="s">
        <v>738</v>
      </c>
    </row>
    <row r="179" spans="1:6" x14ac:dyDescent="0.2">
      <c r="A179" s="560">
        <v>168</v>
      </c>
      <c r="B179" s="830" t="str">
        <f>_xlfn.XLOOKUP(A179,Códigos!$A$11:$A$415,Códigos!$B$11:$B$415,"Verificar",0)</f>
        <v>NOMBRE 273</v>
      </c>
      <c r="C179" s="684">
        <f>SUMIF('CARTERA del año'!$A$7:$A$560,A179,'CARTERA del año'!$H$7:$H$560)+SUMIF('CARTERA de la OFICINA'!$A$9:$A$170,A179,'CARTERA de la OFICINA'!$H$9:$H$170)</f>
        <v>0</v>
      </c>
      <c r="D179" s="678">
        <v>0</v>
      </c>
      <c r="E179" s="769" t="str">
        <f t="shared" si="2"/>
        <v>-</v>
      </c>
      <c r="F179" s="694" t="s">
        <v>739</v>
      </c>
    </row>
    <row r="180" spans="1:6" x14ac:dyDescent="0.2">
      <c r="A180" s="560">
        <v>169</v>
      </c>
      <c r="B180" s="830" t="str">
        <f>_xlfn.XLOOKUP(A180,Códigos!$A$11:$A$415,Códigos!$B$11:$B$415,"Verificar",0)</f>
        <v>NOMBRE 284</v>
      </c>
      <c r="C180" s="684">
        <f>SUMIF('CARTERA del año'!$A$7:$A$560,A180,'CARTERA del año'!$H$7:$H$560)+SUMIF('CARTERA de la OFICINA'!$A$9:$A$170,A180,'CARTERA de la OFICINA'!$H$9:$H$170)</f>
        <v>0</v>
      </c>
      <c r="D180" s="678"/>
      <c r="E180" s="769" t="str">
        <f t="shared" si="2"/>
        <v>-</v>
      </c>
      <c r="F180" s="694"/>
    </row>
    <row r="181" spans="1:6" x14ac:dyDescent="0.2">
      <c r="A181" s="560">
        <v>170</v>
      </c>
      <c r="B181" s="830" t="str">
        <f>_xlfn.XLOOKUP(A181,Códigos!$A$11:$A$415,Códigos!$B$11:$B$415,"Verificar",0)</f>
        <v>NOMBRE 234</v>
      </c>
      <c r="C181" s="684">
        <f>SUMIF('CARTERA del año'!$A$7:$A$560,A181,'CARTERA del año'!$H$7:$H$560)+SUMIF('CARTERA de la OFICINA'!$A$9:$A$170,A181,'CARTERA de la OFICINA'!$H$9:$H$170)</f>
        <v>390000</v>
      </c>
      <c r="D181" s="678">
        <v>0</v>
      </c>
      <c r="E181" s="769" t="str">
        <f t="shared" si="2"/>
        <v>VIGENTE</v>
      </c>
      <c r="F181" s="694"/>
    </row>
    <row r="182" spans="1:6" x14ac:dyDescent="0.2">
      <c r="A182" s="560">
        <v>171</v>
      </c>
      <c r="B182" s="830" t="str">
        <f>_xlfn.XLOOKUP(A182,Códigos!$A$11:$A$415,Códigos!$B$11:$B$415,"Verificar",0)</f>
        <v>NOMBRE 290</v>
      </c>
      <c r="C182" s="684">
        <f>SUMIF('CARTERA del año'!$A$7:$A$560,A182,'CARTERA del año'!$H$7:$H$560)+SUMIF('CARTERA de la OFICINA'!$A$9:$A$170,A182,'CARTERA de la OFICINA'!$H$9:$H$170)</f>
        <v>0</v>
      </c>
      <c r="D182" s="678">
        <v>0</v>
      </c>
      <c r="E182" s="769" t="str">
        <f t="shared" si="2"/>
        <v>-</v>
      </c>
      <c r="F182" s="694"/>
    </row>
    <row r="183" spans="1:6" x14ac:dyDescent="0.2">
      <c r="A183" s="560">
        <v>172</v>
      </c>
      <c r="B183" s="830" t="str">
        <f>_xlfn.XLOOKUP(A183,Códigos!$A$11:$A$415,Códigos!$B$11:$B$415,"Verificar",0)</f>
        <v>NOMBRE 10</v>
      </c>
      <c r="C183" s="684">
        <f>SUMIF('CARTERA del año'!$A$7:$A$560,A183,'CARTERA del año'!$H$7:$H$560)+SUMIF('CARTERA de la OFICINA'!$A$9:$A$170,A183,'CARTERA de la OFICINA'!$H$9:$H$170)</f>
        <v>0</v>
      </c>
      <c r="D183" s="678"/>
      <c r="E183" s="769" t="str">
        <f t="shared" si="2"/>
        <v>-</v>
      </c>
      <c r="F183" s="694"/>
    </row>
    <row r="184" spans="1:6" x14ac:dyDescent="0.2">
      <c r="A184" s="560">
        <v>173</v>
      </c>
      <c r="B184" s="830" t="str">
        <f>_xlfn.XLOOKUP(A184,Códigos!$A$11:$A$415,Códigos!$B$11:$B$415,"Verificar",0)</f>
        <v>NOMBRE 294</v>
      </c>
      <c r="C184" s="684">
        <f>SUMIF('CARTERA del año'!$A$7:$A$560,A184,'CARTERA del año'!$H$7:$H$560)+SUMIF('CARTERA de la OFICINA'!$A$9:$A$170,A184,'CARTERA de la OFICINA'!$H$9:$H$170)</f>
        <v>3930000</v>
      </c>
      <c r="D184" s="678">
        <v>0</v>
      </c>
      <c r="E184" s="769" t="str">
        <f t="shared" si="2"/>
        <v>VIGENTE</v>
      </c>
      <c r="F184" s="694" t="s">
        <v>740</v>
      </c>
    </row>
    <row r="185" spans="1:6" x14ac:dyDescent="0.2">
      <c r="A185" s="560">
        <v>174</v>
      </c>
      <c r="B185" s="830" t="str">
        <f>_xlfn.XLOOKUP(A185,Códigos!$A$11:$A$415,Códigos!$B$11:$B$415,"Verificar",0)</f>
        <v>NOMBRE 293</v>
      </c>
      <c r="C185" s="684">
        <f>SUMIF('CARTERA del año'!$A$7:$A$560,A185,'CARTERA del año'!$H$7:$H$560)+SUMIF('CARTERA de la OFICINA'!$A$9:$A$170,A185,'CARTERA de la OFICINA'!$H$9:$H$170)</f>
        <v>0</v>
      </c>
      <c r="D185" s="678"/>
      <c r="E185" s="769" t="str">
        <f t="shared" si="2"/>
        <v>-</v>
      </c>
      <c r="F185" s="694"/>
    </row>
    <row r="186" spans="1:6" x14ac:dyDescent="0.2">
      <c r="A186" s="560">
        <v>175</v>
      </c>
      <c r="B186" s="830" t="str">
        <f>_xlfn.XLOOKUP(A186,Códigos!$A$11:$A$415,Códigos!$B$11:$B$415,"Verificar",0)</f>
        <v>NOMBRE 299</v>
      </c>
      <c r="C186" s="684">
        <f>SUMIF('CARTERA del año'!$A$7:$A$560,A186,'CARTERA del año'!$H$7:$H$560)+SUMIF('CARTERA de la OFICINA'!$A$9:$A$170,A186,'CARTERA de la OFICINA'!$H$9:$H$170)</f>
        <v>0</v>
      </c>
      <c r="D186" s="678"/>
      <c r="E186" s="769" t="str">
        <f t="shared" si="2"/>
        <v>-</v>
      </c>
      <c r="F186" s="694"/>
    </row>
    <row r="187" spans="1:6" x14ac:dyDescent="0.2">
      <c r="A187" s="560">
        <v>176</v>
      </c>
      <c r="B187" s="830" t="str">
        <f>_xlfn.XLOOKUP(A187,Códigos!$A$11:$A$415,Códigos!$B$11:$B$415,"Verificar",0)</f>
        <v>NOMBRE 301</v>
      </c>
      <c r="C187" s="684">
        <f>SUMIF('CARTERA del año'!$A$7:$A$560,A187,'CARTERA del año'!$H$7:$H$560)+SUMIF('CARTERA de la OFICINA'!$A$9:$A$170,A187,'CARTERA de la OFICINA'!$H$9:$H$170)</f>
        <v>0</v>
      </c>
      <c r="D187" s="678"/>
      <c r="E187" s="769" t="str">
        <f t="shared" si="2"/>
        <v>-</v>
      </c>
      <c r="F187" s="694"/>
    </row>
    <row r="188" spans="1:6" x14ac:dyDescent="0.2">
      <c r="A188" s="560">
        <v>177</v>
      </c>
      <c r="B188" s="830" t="str">
        <f>_xlfn.XLOOKUP(A188,Códigos!$A$11:$A$415,Códigos!$B$11:$B$415,"Verificar",0)</f>
        <v>NOMBRE 302</v>
      </c>
      <c r="C188" s="684">
        <f>SUMIF('CARTERA del año'!$A$7:$A$560,A188,'CARTERA del año'!$H$7:$H$560)+SUMIF('CARTERA de la OFICINA'!$A$9:$A$170,A188,'CARTERA de la OFICINA'!$H$9:$H$170)</f>
        <v>0</v>
      </c>
      <c r="D188" s="678"/>
      <c r="E188" s="769" t="str">
        <f t="shared" si="2"/>
        <v>-</v>
      </c>
      <c r="F188" s="694" t="s">
        <v>741</v>
      </c>
    </row>
    <row r="189" spans="1:6" x14ac:dyDescent="0.2">
      <c r="A189" s="560">
        <v>178</v>
      </c>
      <c r="B189" s="830" t="str">
        <f>_xlfn.XLOOKUP(A189,Códigos!$A$11:$A$415,Códigos!$B$11:$B$415,"Verificar",0)</f>
        <v>NOMBRE 307</v>
      </c>
      <c r="C189" s="684">
        <f>SUMIF('CARTERA del año'!$A$7:$A$560,A189,'CARTERA del año'!$H$7:$H$560)+SUMIF('CARTERA de la OFICINA'!$A$9:$A$170,A189,'CARTERA de la OFICINA'!$H$9:$H$170)</f>
        <v>0</v>
      </c>
      <c r="D189" s="678"/>
      <c r="E189" s="769" t="str">
        <f t="shared" si="2"/>
        <v>-</v>
      </c>
      <c r="F189" s="694"/>
    </row>
    <row r="190" spans="1:6" x14ac:dyDescent="0.2">
      <c r="A190" s="560">
        <v>179</v>
      </c>
      <c r="B190" s="830" t="str">
        <f>_xlfn.XLOOKUP(A190,Códigos!$A$11:$A$415,Códigos!$B$11:$B$415,"Verificar",0)</f>
        <v>NOMBRE 13</v>
      </c>
      <c r="C190" s="684">
        <f>SUMIF('CARTERA del año'!$A$7:$A$560,A190,'CARTERA del año'!$H$7:$H$560)+SUMIF('CARTERA de la OFICINA'!$A$9:$A$170,A190,'CARTERA de la OFICINA'!$H$9:$H$170)</f>
        <v>170000</v>
      </c>
      <c r="D190" s="678"/>
      <c r="E190" s="769" t="str">
        <f t="shared" si="2"/>
        <v>VIGENTE</v>
      </c>
      <c r="F190" s="694"/>
    </row>
    <row r="191" spans="1:6" x14ac:dyDescent="0.2">
      <c r="A191" s="560">
        <v>180</v>
      </c>
      <c r="B191" s="830" t="str">
        <f>_xlfn.XLOOKUP(A191,Códigos!$A$11:$A$415,Códigos!$B$11:$B$415,"Verificar",0)</f>
        <v>NOMBRE 314</v>
      </c>
      <c r="C191" s="684">
        <f>SUMIF('CARTERA del año'!$A$7:$A$560,A191,'CARTERA del año'!$H$7:$H$560)+SUMIF('CARTERA de la OFICINA'!$A$9:$A$170,A191,'CARTERA de la OFICINA'!$H$9:$H$170)</f>
        <v>1480000</v>
      </c>
      <c r="D191" s="678"/>
      <c r="E191" s="769" t="str">
        <f t="shared" si="2"/>
        <v>VIGENTE</v>
      </c>
      <c r="F191" s="694"/>
    </row>
    <row r="192" spans="1:6" x14ac:dyDescent="0.2">
      <c r="A192" s="560">
        <v>181</v>
      </c>
      <c r="B192" s="830" t="str">
        <f>_xlfn.XLOOKUP(A192,Códigos!$A$11:$A$415,Códigos!$B$11:$B$415,"Verificar",0)</f>
        <v>NOMBRE 287</v>
      </c>
      <c r="C192" s="684">
        <f>SUMIF('CARTERA del año'!$A$7:$A$560,A192,'CARTERA del año'!$H$7:$H$560)+SUMIF('CARTERA de la OFICINA'!$A$9:$A$170,A192,'CARTERA de la OFICINA'!$H$9:$H$170)</f>
        <v>0</v>
      </c>
      <c r="D192" s="678"/>
      <c r="E192" s="769" t="str">
        <f t="shared" si="2"/>
        <v>-</v>
      </c>
      <c r="F192" s="694"/>
    </row>
    <row r="193" spans="1:6" x14ac:dyDescent="0.2">
      <c r="A193" s="560">
        <v>182</v>
      </c>
      <c r="B193" s="830" t="str">
        <f>_xlfn.XLOOKUP(A193,Códigos!$A$11:$A$415,Códigos!$B$11:$B$415,"Verificar",0)</f>
        <v>NOMBRE 317</v>
      </c>
      <c r="C193" s="1224">
        <f>SUMIF('CARTERA del año'!$A$7:$A$560,A193,'CARTERA del año'!$H$7:$H$560)+SUMIF('CARTERA de la OFICINA'!$A$9:$A$170,A193,'CARTERA de la OFICINA'!$H$9:$H$170)</f>
        <v>870000</v>
      </c>
      <c r="D193" s="678"/>
      <c r="E193" s="769" t="str">
        <f t="shared" si="2"/>
        <v>VIGENTE</v>
      </c>
      <c r="F193" s="694"/>
    </row>
    <row r="194" spans="1:6" x14ac:dyDescent="0.2">
      <c r="A194" s="560">
        <v>183</v>
      </c>
      <c r="B194" s="830" t="str">
        <f>_xlfn.XLOOKUP(A194,Códigos!$A$11:$A$415,Códigos!$B$11:$B$415,"Verificar",0)</f>
        <v>NOMBRE 319</v>
      </c>
      <c r="C194" s="684">
        <f>SUMIF('CARTERA del año'!$A$7:$A$560,A194,'CARTERA del año'!$H$7:$H$560)+SUMIF('CARTERA de la OFICINA'!$A$9:$A$170,A194,'CARTERA de la OFICINA'!$H$9:$H$170)</f>
        <v>230000</v>
      </c>
      <c r="D194" s="678"/>
      <c r="E194" s="769" t="str">
        <f t="shared" si="2"/>
        <v>VIGENTE</v>
      </c>
      <c r="F194" s="694"/>
    </row>
    <row r="195" spans="1:6" x14ac:dyDescent="0.2">
      <c r="A195" s="560">
        <v>184</v>
      </c>
      <c r="B195" s="830" t="str">
        <f>_xlfn.XLOOKUP(A195,Códigos!$A$11:$A$415,Códigos!$B$11:$B$415,"Verificar",0)</f>
        <v>NOMBRE 245</v>
      </c>
      <c r="C195" s="684">
        <f>SUMIF('CARTERA del año'!$A$7:$A$560,A195,'CARTERA del año'!$H$7:$H$560)+SUMIF('CARTERA de la OFICINA'!$A$9:$A$170,A195,'CARTERA de la OFICINA'!$H$9:$H$170)</f>
        <v>0</v>
      </c>
      <c r="D195" s="678">
        <v>0</v>
      </c>
      <c r="E195" s="769" t="str">
        <f t="shared" si="2"/>
        <v>-</v>
      </c>
      <c r="F195" s="694"/>
    </row>
    <row r="196" spans="1:6" x14ac:dyDescent="0.2">
      <c r="A196" s="560">
        <v>185</v>
      </c>
      <c r="B196" s="830" t="str">
        <f>_xlfn.XLOOKUP(A196,Códigos!$A$11:$A$415,Códigos!$B$11:$B$415,"Verificar",0)</f>
        <v>NOMBRE 323</v>
      </c>
      <c r="C196" s="684">
        <f>SUMIF('CARTERA del año'!$A$7:$A$560,A196,'CARTERA del año'!$H$7:$H$560)+SUMIF('CARTERA de la OFICINA'!$A$9:$A$170,A196,'CARTERA de la OFICINA'!$H$9:$H$170)</f>
        <v>3080000</v>
      </c>
      <c r="D196" s="678"/>
      <c r="E196" s="769" t="str">
        <f t="shared" si="2"/>
        <v>VIGENTE</v>
      </c>
      <c r="F196" s="694"/>
    </row>
    <row r="197" spans="1:6" x14ac:dyDescent="0.2">
      <c r="A197" s="560">
        <v>186</v>
      </c>
      <c r="B197" s="830" t="str">
        <f>_xlfn.XLOOKUP(A197,Códigos!$A$11:$A$415,Códigos!$B$11:$B$415,"Verificar",0)</f>
        <v>NOMBRE 205</v>
      </c>
      <c r="C197" s="684">
        <f>SUMIF('CARTERA del año'!$A$7:$A$560,A197,'CARTERA del año'!$H$7:$H$560)+SUMIF('CARTERA de la OFICINA'!$A$9:$A$170,A197,'CARTERA de la OFICINA'!$H$9:$H$170)</f>
        <v>160000</v>
      </c>
      <c r="D197" s="678"/>
      <c r="E197" s="769" t="str">
        <f t="shared" si="2"/>
        <v>VIGENTE</v>
      </c>
      <c r="F197" s="694"/>
    </row>
    <row r="198" spans="1:6" x14ac:dyDescent="0.2">
      <c r="A198" s="560">
        <v>187</v>
      </c>
      <c r="B198" s="830" t="str">
        <f>_xlfn.XLOOKUP(A198,Códigos!$A$11:$A$415,Códigos!$B$11:$B$415,"Verificar",0)</f>
        <v>NOMBRE 324</v>
      </c>
      <c r="C198" s="684">
        <f>SUMIF('CARTERA del año'!$A$7:$A$560,A198,'CARTERA del año'!$H$7:$H$560)+SUMIF('CARTERA de la OFICINA'!$A$9:$A$170,A198,'CARTERA de la OFICINA'!$H$9:$H$170)</f>
        <v>0</v>
      </c>
      <c r="D198" s="678"/>
      <c r="E198" s="769" t="str">
        <f t="shared" si="2"/>
        <v>-</v>
      </c>
      <c r="F198" s="694"/>
    </row>
    <row r="199" spans="1:6" x14ac:dyDescent="0.2">
      <c r="A199" s="560">
        <v>188</v>
      </c>
      <c r="B199" s="830" t="str">
        <f>_xlfn.XLOOKUP(A199,Códigos!$A$11:$A$415,Códigos!$B$11:$B$415,"Verificar",0)</f>
        <v>NOMBRE 327</v>
      </c>
      <c r="C199" s="684">
        <f>SUMIF('CARTERA del año'!$A$7:$A$560,A199,'CARTERA del año'!$H$7:$H$560)+SUMIF('CARTERA de la OFICINA'!$A$9:$A$170,A199,'CARTERA de la OFICINA'!$H$9:$H$170)</f>
        <v>450000</v>
      </c>
      <c r="D199" s="678"/>
      <c r="E199" s="769" t="str">
        <f t="shared" si="2"/>
        <v>VIGENTE</v>
      </c>
      <c r="F199" s="694"/>
    </row>
    <row r="200" spans="1:6" x14ac:dyDescent="0.2">
      <c r="A200" s="560">
        <v>189</v>
      </c>
      <c r="B200" s="830" t="str">
        <f>_xlfn.XLOOKUP(A200,Códigos!$A$11:$A$415,Códigos!$B$11:$B$415,"Verificar",0)</f>
        <v>NOMBRE 328</v>
      </c>
      <c r="C200" s="684">
        <f>SUMIF('CARTERA del año'!$A$7:$A$560,A200,'CARTERA del año'!$H$7:$H$560)+SUMIF('CARTERA de la OFICINA'!$A$9:$A$170,A200,'CARTERA de la OFICINA'!$H$9:$H$170)</f>
        <v>2050000</v>
      </c>
      <c r="D200" s="678">
        <v>0</v>
      </c>
      <c r="E200" s="769" t="str">
        <f t="shared" si="2"/>
        <v>VIGENTE</v>
      </c>
      <c r="F200" s="694"/>
    </row>
    <row r="201" spans="1:6" x14ac:dyDescent="0.2">
      <c r="A201" s="560">
        <v>190</v>
      </c>
      <c r="B201" s="830" t="str">
        <f>_xlfn.XLOOKUP(A201,Códigos!$A$11:$A$415,Códigos!$B$11:$B$415,"Verificar",0)</f>
        <v>NOMBRE 329</v>
      </c>
      <c r="C201" s="684">
        <f>SUMIF('CARTERA del año'!$A$7:$A$560,A201,'CARTERA del año'!$H$7:$H$560)+SUMIF('CARTERA de la OFICINA'!$A$9:$A$170,A201,'CARTERA de la OFICINA'!$H$9:$H$170)</f>
        <v>0</v>
      </c>
      <c r="D201" s="678"/>
      <c r="E201" s="769" t="str">
        <f t="shared" si="2"/>
        <v>-</v>
      </c>
      <c r="F201" s="694"/>
    </row>
    <row r="202" spans="1:6" x14ac:dyDescent="0.2">
      <c r="A202" s="560">
        <v>191</v>
      </c>
      <c r="B202" s="830" t="str">
        <f>_xlfn.XLOOKUP(A202,Códigos!$A$11:$A$415,Códigos!$B$11:$B$415,"Verificar",0)</f>
        <v>NOMBRE 330</v>
      </c>
      <c r="C202" s="684">
        <f>SUMIF('CARTERA del año'!$A$7:$A$560,A202,'CARTERA del año'!$H$7:$H$560)+SUMIF('CARTERA de la OFICINA'!$A$9:$A$170,A202,'CARTERA de la OFICINA'!$H$9:$H$170)</f>
        <v>0</v>
      </c>
      <c r="D202" s="678"/>
      <c r="E202" s="769" t="str">
        <f t="shared" si="2"/>
        <v>-</v>
      </c>
      <c r="F202" s="694"/>
    </row>
    <row r="203" spans="1:6" x14ac:dyDescent="0.2">
      <c r="A203" s="560">
        <v>192</v>
      </c>
      <c r="B203" s="830" t="str">
        <f>_xlfn.XLOOKUP(A203,Códigos!$A$11:$A$415,Códigos!$B$11:$B$415,"Verificar",0)</f>
        <v>NOMBRE 331</v>
      </c>
      <c r="C203" s="684">
        <f>SUMIF('CARTERA del año'!$A$7:$A$560,A203,'CARTERA del año'!$H$7:$H$560)+SUMIF('CARTERA de la OFICINA'!$A$9:$A$170,A203,'CARTERA de la OFICINA'!$H$9:$H$170)</f>
        <v>730000</v>
      </c>
      <c r="D203" s="678"/>
      <c r="E203" s="769" t="str">
        <f t="shared" si="2"/>
        <v>VIGENTE</v>
      </c>
      <c r="F203" s="694"/>
    </row>
    <row r="204" spans="1:6" x14ac:dyDescent="0.2">
      <c r="A204" s="560">
        <v>193</v>
      </c>
      <c r="B204" s="830" t="str">
        <f>_xlfn.XLOOKUP(A204,Códigos!$A$11:$A$415,Códigos!$B$11:$B$415,"Verificar",0)</f>
        <v>NOMBRE 332</v>
      </c>
      <c r="C204" s="684">
        <f>SUMIF('CARTERA del año'!$A$7:$A$560,A204,'CARTERA del año'!$H$7:$H$560)+SUMIF('CARTERA de la OFICINA'!$A$9:$A$170,A204,'CARTERA de la OFICINA'!$H$9:$H$170)</f>
        <v>470000</v>
      </c>
      <c r="D204" s="678">
        <v>0</v>
      </c>
      <c r="E204" s="769" t="str">
        <f t="shared" si="2"/>
        <v>VIGENTE</v>
      </c>
      <c r="F204" s="694"/>
    </row>
    <row r="205" spans="1:6" x14ac:dyDescent="0.2">
      <c r="A205" s="560">
        <v>194</v>
      </c>
      <c r="B205" s="830" t="str">
        <f>_xlfn.XLOOKUP(A205,Códigos!$A$11:$A$415,Códigos!$B$11:$B$415,"Verificar",0)</f>
        <v>NOMBRE 333</v>
      </c>
      <c r="C205" s="684">
        <f>SUMIF('CARTERA del año'!$A$7:$A$560,A205,'CARTERA del año'!$H$7:$H$560)+SUMIF('CARTERA de la OFICINA'!$A$9:$A$170,A205,'CARTERA de la OFICINA'!$H$9:$H$170)</f>
        <v>470000</v>
      </c>
      <c r="D205" s="678">
        <v>0</v>
      </c>
      <c r="E205" s="769" t="str">
        <f t="shared" si="2"/>
        <v>VIGENTE</v>
      </c>
      <c r="F205" s="694"/>
    </row>
    <row r="206" spans="1:6" x14ac:dyDescent="0.2">
      <c r="A206" s="560">
        <v>195</v>
      </c>
      <c r="B206" s="830" t="str">
        <f>_xlfn.XLOOKUP(A206,Códigos!$A$11:$A$415,Códigos!$B$11:$B$415,"Verificar",0)</f>
        <v>NOMBRE 233</v>
      </c>
      <c r="C206" s="684">
        <f>SUMIF('CARTERA del año'!$A$7:$A$560,A206,'CARTERA del año'!$H$7:$H$560)+SUMIF('CARTERA de la OFICINA'!$A$9:$A$170,A206,'CARTERA de la OFICINA'!$H$9:$H$170)</f>
        <v>470000</v>
      </c>
      <c r="D206" s="678"/>
      <c r="E206" s="769" t="str">
        <f t="shared" si="2"/>
        <v>VIGENTE</v>
      </c>
      <c r="F206" s="694"/>
    </row>
    <row r="207" spans="1:6" x14ac:dyDescent="0.2">
      <c r="A207" s="560">
        <v>196</v>
      </c>
      <c r="B207" s="830" t="str">
        <f>_xlfn.XLOOKUP(A207,Códigos!$A$11:$A$415,Códigos!$B$11:$B$415,"Verificar",0)</f>
        <v>NOMBRE 165</v>
      </c>
      <c r="C207" s="684">
        <f>SUMIF('CARTERA del año'!$A$7:$A$560,A207,'CARTERA del año'!$H$7:$H$560)+SUMIF('CARTERA de la OFICINA'!$A$9:$A$170,A207,'CARTERA de la OFICINA'!$H$9:$H$170)</f>
        <v>7200</v>
      </c>
      <c r="D207" s="678">
        <v>0</v>
      </c>
      <c r="E207" s="769" t="str">
        <f t="shared" ref="E207:E270" si="3">IF(C207&gt;0,IF(D207=$D$2,"VIGENTE",IF(D207=$D$3,"DUDOSO RECAUDO",IF(D207=$D$4,"PERDIDA",IF(D207=$D$5,"REVISAR",)))),"-")</f>
        <v>VIGENTE</v>
      </c>
      <c r="F207" s="694"/>
    </row>
    <row r="208" spans="1:6" x14ac:dyDescent="0.2">
      <c r="A208" s="560">
        <v>197</v>
      </c>
      <c r="B208" s="830" t="str">
        <f>_xlfn.XLOOKUP(A208,Códigos!$A$11:$A$415,Códigos!$B$11:$B$415,"Verificar",0)</f>
        <v>NOMBRE 334</v>
      </c>
      <c r="C208" s="684">
        <f>SUMIF('CARTERA del año'!$A$7:$A$560,A208,'CARTERA del año'!$H$7:$H$560)+SUMIF('CARTERA de la OFICINA'!$A$9:$A$170,A208,'CARTERA de la OFICINA'!$H$9:$H$170)</f>
        <v>0</v>
      </c>
      <c r="D208" s="678"/>
      <c r="E208" s="769" t="str">
        <f t="shared" si="3"/>
        <v>-</v>
      </c>
      <c r="F208" s="694"/>
    </row>
    <row r="209" spans="1:6" x14ac:dyDescent="0.2">
      <c r="A209" s="676">
        <v>198</v>
      </c>
      <c r="B209" s="1201" t="str">
        <f>_xlfn.XLOOKUP(A209,Códigos!$A$11:$A$415,Códigos!$B$11:$B$415,"Verificar",0)</f>
        <v>NOMBRE 336</v>
      </c>
      <c r="C209" s="1202">
        <f>SUMIF('CARTERA del año'!$A$7:$A$560,A209,'CARTERA del año'!$H$7:$H$560)+SUMIF('CARTERA años anteriores'!$N$9:$N$133,A209,'CARTERA años anteriores'!$L$9:$L$133)</f>
        <v>450000</v>
      </c>
      <c r="D209" s="1203">
        <v>0</v>
      </c>
      <c r="E209" s="1204" t="str">
        <f t="shared" si="3"/>
        <v>VIGENTE</v>
      </c>
      <c r="F209" s="694"/>
    </row>
    <row r="210" spans="1:6" x14ac:dyDescent="0.2">
      <c r="A210" s="560">
        <v>199</v>
      </c>
      <c r="B210" s="830" t="str">
        <f>_xlfn.XLOOKUP(A210,Códigos!$A$11:$A$415,Códigos!$B$11:$B$415,"Verificar",0)</f>
        <v>NOMBRE 337</v>
      </c>
      <c r="C210" s="684">
        <f>SUMIF('CARTERA del año'!$A$7:$A$560,A210,'CARTERA del año'!$H$7:$H$560)+SUMIF('CARTERA de la OFICINA'!$A$9:$A$170,A210,'CARTERA de la OFICINA'!$H$9:$H$170)</f>
        <v>0</v>
      </c>
      <c r="D210" s="678"/>
      <c r="E210" s="769" t="str">
        <f t="shared" si="3"/>
        <v>-</v>
      </c>
      <c r="F210" s="694"/>
    </row>
    <row r="211" spans="1:6" x14ac:dyDescent="0.2">
      <c r="A211" s="560">
        <v>200</v>
      </c>
      <c r="B211" s="830" t="str">
        <f>_xlfn.XLOOKUP(A211,Códigos!$A$11:$A$415,Códigos!$B$11:$B$415,"Verificar",0)</f>
        <v>NOMBRE 339</v>
      </c>
      <c r="C211" s="684">
        <f>SUMIF('CARTERA del año'!$A$7:$A$560,A211,'CARTERA del año'!$H$7:$H$560)+SUMIF('CARTERA de la OFICINA'!$A$9:$A$170,A211,'CARTERA de la OFICINA'!$H$9:$H$170)</f>
        <v>470000</v>
      </c>
      <c r="D211" s="678"/>
      <c r="E211" s="769" t="str">
        <f t="shared" si="3"/>
        <v>VIGENTE</v>
      </c>
      <c r="F211" s="694"/>
    </row>
    <row r="212" spans="1:6" x14ac:dyDescent="0.2">
      <c r="A212" s="560">
        <v>201</v>
      </c>
      <c r="B212" s="830" t="str">
        <f>_xlfn.XLOOKUP(A212,Códigos!$A$11:$A$415,Códigos!$B$11:$B$415,"Verificar",0)</f>
        <v>NOMBRE 321</v>
      </c>
      <c r="C212" s="684">
        <f>SUMIF('CARTERA del año'!$A$7:$A$560,A212,'CARTERA del año'!$H$7:$H$560)+SUMIF('CARTERA de la OFICINA'!$A$9:$A$170,A212,'CARTERA de la OFICINA'!$H$9:$H$170)</f>
        <v>120000</v>
      </c>
      <c r="D212" s="678"/>
      <c r="E212" s="769" t="str">
        <f t="shared" si="3"/>
        <v>VIGENTE</v>
      </c>
      <c r="F212" s="694"/>
    </row>
    <row r="213" spans="1:6" x14ac:dyDescent="0.2">
      <c r="A213" s="560">
        <v>202</v>
      </c>
      <c r="B213" s="830" t="str">
        <f>_xlfn.XLOOKUP(A213,Códigos!$A$11:$A$415,Códigos!$B$11:$B$415,"Verificar",0)</f>
        <v>NOMBRE 342</v>
      </c>
      <c r="C213" s="684">
        <f>SUMIF('CARTERA del año'!$A$7:$A$560,A213,'CARTERA del año'!$H$7:$H$560)+SUMIF('CARTERA de la OFICINA'!$A$9:$A$170,A213,'CARTERA de la OFICINA'!$H$9:$H$170)</f>
        <v>350000</v>
      </c>
      <c r="D213" s="678"/>
      <c r="E213" s="769" t="str">
        <f t="shared" si="3"/>
        <v>VIGENTE</v>
      </c>
      <c r="F213" s="694"/>
    </row>
    <row r="214" spans="1:6" x14ac:dyDescent="0.2">
      <c r="A214" s="560">
        <v>203</v>
      </c>
      <c r="B214" s="830" t="str">
        <f>_xlfn.XLOOKUP(A214,Códigos!$A$11:$A$415,Códigos!$B$11:$B$415,"Verificar",0)</f>
        <v>NOMBRE 344</v>
      </c>
      <c r="C214" s="684">
        <f>SUMIF('CARTERA del año'!$A$7:$A$560,A214,'CARTERA del año'!$H$7:$H$560)+SUMIF('CARTERA de la OFICINA'!$A$9:$A$170,A214,'CARTERA de la OFICINA'!$H$9:$H$170)</f>
        <v>1840000</v>
      </c>
      <c r="D214" s="678">
        <v>0</v>
      </c>
      <c r="E214" s="769" t="str">
        <f t="shared" si="3"/>
        <v>VIGENTE</v>
      </c>
      <c r="F214" s="694"/>
    </row>
    <row r="215" spans="1:6" x14ac:dyDescent="0.2">
      <c r="A215" s="560">
        <v>204</v>
      </c>
      <c r="B215" s="830" t="str">
        <f>_xlfn.XLOOKUP(A215,Códigos!$A$11:$A$415,Códigos!$B$11:$B$415,"Verificar",0)</f>
        <v>NOMBRE 346</v>
      </c>
      <c r="C215" s="684">
        <f>SUMIF('CARTERA del año'!$A$7:$A$560,A215,'CARTERA del año'!$H$7:$H$560)+SUMIF('CARTERA de la OFICINA'!$A$9:$A$170,A215,'CARTERA de la OFICINA'!$H$9:$H$170)</f>
        <v>0</v>
      </c>
      <c r="D215" s="678"/>
      <c r="E215" s="769" t="str">
        <f t="shared" si="3"/>
        <v>-</v>
      </c>
      <c r="F215" s="694"/>
    </row>
    <row r="216" spans="1:6" x14ac:dyDescent="0.2">
      <c r="A216" s="560">
        <v>205</v>
      </c>
      <c r="B216" s="830" t="str">
        <f>_xlfn.XLOOKUP(A216,Códigos!$A$11:$A$415,Códigos!$B$11:$B$415,"Verificar",0)</f>
        <v>NOMBRE 322</v>
      </c>
      <c r="C216" s="684">
        <f>SUMIF('CARTERA del año'!$A$7:$A$560,A216,'CARTERA del año'!$H$7:$H$560)+SUMIF('CARTERA de la OFICINA'!$A$9:$A$170,A216,'CARTERA de la OFICINA'!$H$9:$H$170)</f>
        <v>120000</v>
      </c>
      <c r="D216" s="678"/>
      <c r="E216" s="769" t="str">
        <f t="shared" si="3"/>
        <v>VIGENTE</v>
      </c>
      <c r="F216" s="694"/>
    </row>
    <row r="217" spans="1:6" x14ac:dyDescent="0.2">
      <c r="A217" s="560">
        <v>206</v>
      </c>
      <c r="B217" s="830" t="str">
        <f>_xlfn.XLOOKUP(A217,Códigos!$A$11:$A$415,Códigos!$B$11:$B$415,"Verificar",0)</f>
        <v>NOMBRE 349</v>
      </c>
      <c r="C217" s="684">
        <f>SUMIF('CARTERA del año'!$A$7:$A$560,A217,'CARTERA del año'!$H$7:$H$560)+SUMIF('CARTERA de la OFICINA'!$A$9:$A$170,A217,'CARTERA de la OFICINA'!$H$9:$H$170)</f>
        <v>1750000</v>
      </c>
      <c r="D217" s="678">
        <v>0</v>
      </c>
      <c r="E217" s="769" t="str">
        <f t="shared" si="3"/>
        <v>VIGENTE</v>
      </c>
      <c r="F217" s="694"/>
    </row>
    <row r="218" spans="1:6" x14ac:dyDescent="0.2">
      <c r="A218" s="560">
        <v>207</v>
      </c>
      <c r="B218" s="830" t="str">
        <f>_xlfn.XLOOKUP(A218,Códigos!$A$11:$A$415,Códigos!$B$11:$B$415,"Verificar",0)</f>
        <v>NOMBRE 350</v>
      </c>
      <c r="C218" s="684">
        <f>SUMIF('CARTERA del año'!$A$7:$A$560,A218,'CARTERA del año'!$H$7:$H$560)+SUMIF('CARTERA de la OFICINA'!$A$9:$A$170,A218,'CARTERA de la OFICINA'!$H$9:$H$170)</f>
        <v>0</v>
      </c>
      <c r="D218" s="678"/>
      <c r="E218" s="769" t="str">
        <f t="shared" si="3"/>
        <v>-</v>
      </c>
      <c r="F218" s="694"/>
    </row>
    <row r="219" spans="1:6" x14ac:dyDescent="0.2">
      <c r="A219" s="560">
        <v>208</v>
      </c>
      <c r="B219" s="830" t="str">
        <f>_xlfn.XLOOKUP(A219,Códigos!$A$11:$A$415,Códigos!$B$11:$B$415,"Verificar",0)</f>
        <v>NOMBRE 351</v>
      </c>
      <c r="C219" s="684">
        <f>SUMIF('CARTERA del año'!$A$7:$A$560,A219,'CARTERA del año'!$H$7:$H$560)+SUMIF('CARTERA de la OFICINA'!$A$9:$A$170,A219,'CARTERA de la OFICINA'!$H$9:$H$170)</f>
        <v>0</v>
      </c>
      <c r="D219" s="678"/>
      <c r="E219" s="769" t="str">
        <f t="shared" si="3"/>
        <v>-</v>
      </c>
      <c r="F219" s="694"/>
    </row>
    <row r="220" spans="1:6" x14ac:dyDescent="0.2">
      <c r="A220" s="560">
        <v>209</v>
      </c>
      <c r="B220" s="830" t="str">
        <f>_xlfn.XLOOKUP(A220,Códigos!$A$11:$A$415,Códigos!$B$11:$B$415,"Verificar",0)</f>
        <v>NOMBRE 352</v>
      </c>
      <c r="C220" s="684">
        <f>SUMIF('CARTERA del año'!$A$7:$A$560,A220,'CARTERA del año'!$H$7:$H$560)+SUMIF('CARTERA de la OFICINA'!$A$9:$A$170,A220,'CARTERA de la OFICINA'!$H$9:$H$170)</f>
        <v>0</v>
      </c>
      <c r="D220" s="678"/>
      <c r="E220" s="769" t="str">
        <f t="shared" si="3"/>
        <v>-</v>
      </c>
      <c r="F220" s="694"/>
    </row>
    <row r="221" spans="1:6" x14ac:dyDescent="0.2">
      <c r="A221" s="560">
        <v>210</v>
      </c>
      <c r="B221" s="830" t="str">
        <f>_xlfn.XLOOKUP(A221,Códigos!$A$11:$A$415,Códigos!$B$11:$B$415,"Verificar",0)</f>
        <v>NOMBRE 353</v>
      </c>
      <c r="C221" s="684">
        <f>SUMIF('CARTERA del año'!$A$7:$A$560,A221,'CARTERA del año'!$H$7:$H$560)+SUMIF('CARTERA de la OFICINA'!$A$9:$A$170,A221,'CARTERA de la OFICINA'!$H$9:$H$170)</f>
        <v>0</v>
      </c>
      <c r="D221" s="678">
        <v>0</v>
      </c>
      <c r="E221" s="769" t="str">
        <f t="shared" si="3"/>
        <v>-</v>
      </c>
      <c r="F221" s="694"/>
    </row>
    <row r="222" spans="1:6" x14ac:dyDescent="0.2">
      <c r="A222" s="560">
        <v>211</v>
      </c>
      <c r="B222" s="830" t="str">
        <f>_xlfn.XLOOKUP(A222,Códigos!$A$11:$A$415,Códigos!$B$11:$B$415,"Verificar",0)</f>
        <v>NOMBRE 354</v>
      </c>
      <c r="C222" s="684">
        <f>SUMIF('CARTERA del año'!$A$7:$A$560,A222,'CARTERA del año'!$H$7:$H$560)+SUMIF('CARTERA de la OFICINA'!$A$9:$A$170,A222,'CARTERA de la OFICINA'!$H$9:$H$170)</f>
        <v>0</v>
      </c>
      <c r="D222" s="678"/>
      <c r="E222" s="769" t="str">
        <f t="shared" si="3"/>
        <v>-</v>
      </c>
      <c r="F222" s="694"/>
    </row>
    <row r="223" spans="1:6" x14ac:dyDescent="0.2">
      <c r="A223" s="560">
        <v>212</v>
      </c>
      <c r="B223" s="830" t="str">
        <f>_xlfn.XLOOKUP(A223,Códigos!$A$11:$A$415,Códigos!$B$11:$B$415,"Verificar",0)</f>
        <v>NOMBRE 360</v>
      </c>
      <c r="C223" s="684">
        <f>SUMIF('CARTERA del año'!$A$7:$A$560,A223,'CARTERA del año'!$H$7:$H$560)+SUMIF('CARTERA de la OFICINA'!$A$9:$A$170,A223,'CARTERA de la OFICINA'!$H$9:$H$170)</f>
        <v>0</v>
      </c>
      <c r="D223" s="678">
        <v>2</v>
      </c>
      <c r="E223" s="769" t="str">
        <f t="shared" si="3"/>
        <v>-</v>
      </c>
      <c r="F223" s="694"/>
    </row>
    <row r="224" spans="1:6" x14ac:dyDescent="0.2">
      <c r="A224" s="560">
        <v>213</v>
      </c>
      <c r="B224" s="830" t="str">
        <f>_xlfn.XLOOKUP(A224,Códigos!$A$11:$A$415,Códigos!$B$11:$B$415,"Verificar",0)</f>
        <v>NOMBRE 362</v>
      </c>
      <c r="C224" s="684">
        <f>SUMIF('CARTERA del año'!$A$7:$A$560,A224,'CARTERA del año'!$H$7:$H$560)+SUMIF('CARTERA de la OFICINA'!$A$9:$A$170,A224,'CARTERA de la OFICINA'!$H$9:$H$170)</f>
        <v>0</v>
      </c>
      <c r="D224" s="678"/>
      <c r="E224" s="769" t="str">
        <f t="shared" si="3"/>
        <v>-</v>
      </c>
      <c r="F224" s="694"/>
    </row>
    <row r="225" spans="1:6" x14ac:dyDescent="0.2">
      <c r="A225" s="560">
        <v>214</v>
      </c>
      <c r="B225" s="830" t="str">
        <f>_xlfn.XLOOKUP(A225,Códigos!$A$11:$A$415,Códigos!$B$11:$B$415,"Verificar",0)</f>
        <v>NOMBRE 363</v>
      </c>
      <c r="C225" s="684">
        <f>SUMIF('CARTERA del año'!$A$7:$A$560,A225,'CARTERA del año'!$H$7:$H$560)+SUMIF('CARTERA de la OFICINA'!$A$9:$A$170,A225,'CARTERA de la OFICINA'!$H$9:$H$170)</f>
        <v>0</v>
      </c>
      <c r="D225" s="678">
        <v>0</v>
      </c>
      <c r="E225" s="769" t="str">
        <f t="shared" si="3"/>
        <v>-</v>
      </c>
      <c r="F225" s="694" t="s">
        <v>742</v>
      </c>
    </row>
    <row r="226" spans="1:6" x14ac:dyDescent="0.2">
      <c r="A226" s="560">
        <v>215</v>
      </c>
      <c r="B226" s="830" t="str">
        <f>_xlfn.XLOOKUP(A226,Códigos!$A$11:$A$415,Códigos!$B$11:$B$415,"Verificar",0)</f>
        <v>NOMBRE 364</v>
      </c>
      <c r="C226" s="684">
        <f>SUMIF('CARTERA del año'!$A$7:$A$560,A226,'CARTERA del año'!$H$7:$H$560)+SUMIF('CARTERA de la OFICINA'!$A$9:$A$170,A226,'CARTERA de la OFICINA'!$H$9:$H$170)</f>
        <v>0</v>
      </c>
      <c r="D226" s="678"/>
      <c r="E226" s="769" t="str">
        <f t="shared" si="3"/>
        <v>-</v>
      </c>
      <c r="F226" s="694"/>
    </row>
    <row r="227" spans="1:6" x14ac:dyDescent="0.2">
      <c r="A227" s="676">
        <v>216</v>
      </c>
      <c r="B227" s="1201" t="str">
        <f>_xlfn.XLOOKUP(A227,Códigos!$A$11:$A$415,Códigos!$B$11:$B$415,"Verificar",0)</f>
        <v>NOMBRE 213</v>
      </c>
      <c r="C227" s="1202">
        <f>SUMIF('CARTERA del año'!$A$7:$A$560,A227,'CARTERA del año'!$H$7:$H$560)+SUMIF('CARTERA de la OFICINA'!$A$9:$A$170,A227,'CARTERA de la OFICINA'!$H$9:$H$170)</f>
        <v>0</v>
      </c>
      <c r="D227" s="1203">
        <v>0</v>
      </c>
      <c r="E227" s="1204" t="str">
        <f t="shared" si="3"/>
        <v>-</v>
      </c>
      <c r="F227" s="694"/>
    </row>
    <row r="228" spans="1:6" x14ac:dyDescent="0.2">
      <c r="A228" s="560">
        <v>217</v>
      </c>
      <c r="B228" s="830" t="str">
        <f>_xlfn.XLOOKUP(A228,Códigos!$A$11:$A$415,Códigos!$B$11:$B$415,"Verificar",0)</f>
        <v>NOMBRE 5</v>
      </c>
      <c r="C228" s="684">
        <f>SUMIF('CARTERA del año'!$A$7:$A$560,A228,'CARTERA del año'!$H$7:$H$560)+SUMIF('CARTERA de la OFICINA'!$A$9:$A$170,A228,'CARTERA de la OFICINA'!$H$9:$H$170)</f>
        <v>0</v>
      </c>
      <c r="D228" s="678"/>
      <c r="E228" s="769" t="str">
        <f t="shared" si="3"/>
        <v>-</v>
      </c>
      <c r="F228" s="694"/>
    </row>
    <row r="229" spans="1:6" x14ac:dyDescent="0.2">
      <c r="A229" s="560">
        <v>218</v>
      </c>
      <c r="B229" s="830" t="str">
        <f>_xlfn.XLOOKUP(A229,Códigos!$A$11:$A$415,Códigos!$B$11:$B$415,"Verificar",0)</f>
        <v>NOMBRE 32</v>
      </c>
      <c r="C229" s="684">
        <f>SUMIF('CARTERA del año'!$A$7:$A$560,A229,'CARTERA del año'!$H$7:$H$560)+SUMIF('CARTERA de la OFICINA'!$A$9:$A$170,A229,'CARTERA de la OFICINA'!$H$9:$H$170)</f>
        <v>0</v>
      </c>
      <c r="D229" s="678"/>
      <c r="E229" s="769" t="str">
        <f t="shared" si="3"/>
        <v>-</v>
      </c>
      <c r="F229" s="694"/>
    </row>
    <row r="230" spans="1:6" x14ac:dyDescent="0.2">
      <c r="A230" s="560">
        <v>219</v>
      </c>
      <c r="B230" s="830" t="str">
        <f>_xlfn.XLOOKUP(A230,Códigos!$A$11:$A$415,Códigos!$B$11:$B$415,"Verificar",0)</f>
        <v>NOMBRE 348</v>
      </c>
      <c r="C230" s="684">
        <f>SUMIF('CARTERA del año'!$A$7:$A$560,A230,'CARTERA del año'!$H$7:$H$560)+SUMIF('CARTERA de la OFICINA'!$A$9:$A$170,A230,'CARTERA de la OFICINA'!$H$9:$H$170)</f>
        <v>0</v>
      </c>
      <c r="D230" s="678">
        <v>2</v>
      </c>
      <c r="E230" s="769" t="str">
        <f t="shared" si="3"/>
        <v>-</v>
      </c>
      <c r="F230" s="694"/>
    </row>
    <row r="231" spans="1:6" x14ac:dyDescent="0.2">
      <c r="A231" s="560">
        <v>220</v>
      </c>
      <c r="B231" s="830" t="str">
        <f>_xlfn.XLOOKUP(A231,Códigos!$A$11:$A$415,Códigos!$B$11:$B$415,"Verificar",0)</f>
        <v>NOMBRE 347</v>
      </c>
      <c r="C231" s="684">
        <f>SUMIF('CARTERA del año'!$A$7:$A$560,A231,'CARTERA del año'!$H$7:$H$560)+SUMIF('CARTERA de la OFICINA'!$A$9:$A$170,A231,'CARTERA de la OFICINA'!$H$9:$H$170)</f>
        <v>0</v>
      </c>
      <c r="D231" s="678"/>
      <c r="E231" s="769" t="str">
        <f t="shared" si="3"/>
        <v>-</v>
      </c>
      <c r="F231" s="694"/>
    </row>
    <row r="232" spans="1:6" x14ac:dyDescent="0.2">
      <c r="A232" s="560">
        <v>221</v>
      </c>
      <c r="B232" s="830" t="str">
        <f>_xlfn.XLOOKUP(A232,Códigos!$A$11:$A$415,Códigos!$B$11:$B$415,"Verificar",0)</f>
        <v>NOMBRE 210</v>
      </c>
      <c r="C232" s="684">
        <f>SUMIF('CARTERA del año'!$A$7:$A$560,A232,'CARTERA del año'!$H$7:$H$560)+SUMIF('CARTERA de la OFICINA'!$A$9:$A$170,A232,'CARTERA de la OFICINA'!$H$9:$H$170)</f>
        <v>950000</v>
      </c>
      <c r="D232" s="678"/>
      <c r="E232" s="769" t="str">
        <f t="shared" si="3"/>
        <v>VIGENTE</v>
      </c>
      <c r="F232" s="694"/>
    </row>
    <row r="233" spans="1:6" x14ac:dyDescent="0.2">
      <c r="A233" s="560">
        <v>222</v>
      </c>
      <c r="B233" s="830" t="str">
        <f>_xlfn.XLOOKUP(A233,Códigos!$A$11:$A$415,Códigos!$B$11:$B$415,"Verificar",0)</f>
        <v>NOMBRE 101</v>
      </c>
      <c r="C233" s="684">
        <f>SUMIF('CARTERA del año'!$A$7:$A$560,A233,'CARTERA del año'!$H$7:$H$560)+SUMIF('CARTERA de la OFICINA'!$A$9:$A$170,A233,'CARTERA de la OFICINA'!$H$9:$H$170)</f>
        <v>11089800</v>
      </c>
      <c r="D233" s="678"/>
      <c r="E233" s="769" t="str">
        <f t="shared" si="3"/>
        <v>VIGENTE</v>
      </c>
      <c r="F233" s="974"/>
    </row>
    <row r="234" spans="1:6" x14ac:dyDescent="0.2">
      <c r="A234" s="560">
        <v>223</v>
      </c>
      <c r="B234" s="830" t="str">
        <f>_xlfn.XLOOKUP(A234,Códigos!$A$11:$A$415,Códigos!$B$11:$B$415,"Verificar",0)</f>
        <v>NOMBRE 125</v>
      </c>
      <c r="C234" s="684">
        <f>SUMIF('CARTERA del año'!$A$7:$A$560,A234,'CARTERA del año'!$H$7:$H$560)+SUMIF('CARTERA de la OFICINA'!$A$9:$A$170,A234,'CARTERA de la OFICINA'!$H$9:$H$170)</f>
        <v>430000</v>
      </c>
      <c r="D234" s="678"/>
      <c r="E234" s="769" t="str">
        <f t="shared" si="3"/>
        <v>VIGENTE</v>
      </c>
      <c r="F234" s="694"/>
    </row>
    <row r="235" spans="1:6" x14ac:dyDescent="0.2">
      <c r="A235" s="560">
        <v>224</v>
      </c>
      <c r="B235" s="830" t="str">
        <f>_xlfn.XLOOKUP(A235,Códigos!$A$11:$A$415,Códigos!$B$11:$B$415,"Verificar",0)</f>
        <v>NOMBRE 138</v>
      </c>
      <c r="C235" s="684">
        <f>SUMIF('CARTERA del año'!$A$7:$A$560,A235,'CARTERA del año'!$H$7:$H$560)+SUMIF('CARTERA de la OFICINA'!$A$9:$A$170,A235,'CARTERA de la OFICINA'!$H$9:$H$170)</f>
        <v>0</v>
      </c>
      <c r="D235" s="678"/>
      <c r="E235" s="769" t="str">
        <f t="shared" si="3"/>
        <v>-</v>
      </c>
      <c r="F235" s="694"/>
    </row>
    <row r="236" spans="1:6" x14ac:dyDescent="0.2">
      <c r="A236" s="560">
        <v>225</v>
      </c>
      <c r="B236" s="830" t="str">
        <f>_xlfn.XLOOKUP(A236,Códigos!$A$11:$A$415,Códigos!$B$11:$B$415,"Verificar",0)</f>
        <v>NOMBRE 28</v>
      </c>
      <c r="C236" s="684">
        <f>SUMIF('CARTERA del año'!$A$7:$A$560,A236,'CARTERA del año'!$H$7:$H$560)+SUMIF('CARTERA de la OFICINA'!$A$9:$A$170,A236,'CARTERA de la OFICINA'!$H$9:$H$170)</f>
        <v>0</v>
      </c>
      <c r="D236" s="678">
        <v>2</v>
      </c>
      <c r="E236" s="769" t="str">
        <f t="shared" si="3"/>
        <v>-</v>
      </c>
      <c r="F236" s="694"/>
    </row>
    <row r="237" spans="1:6" x14ac:dyDescent="0.2">
      <c r="A237" s="560">
        <v>226</v>
      </c>
      <c r="B237" s="830" t="str">
        <f>_xlfn.XLOOKUP(A237,Códigos!$A$11:$A$415,Códigos!$B$11:$B$415,"Verificar",0)</f>
        <v>NOMBRE 335</v>
      </c>
      <c r="C237" s="684">
        <f>SUMIF('CARTERA del año'!$A$7:$A$560,A237,'CARTERA del año'!$H$7:$H$560)+SUMIF('CARTERA de la OFICINA'!$A$9:$A$170,A237,'CARTERA de la OFICINA'!$H$9:$H$170)</f>
        <v>0</v>
      </c>
      <c r="D237" s="678">
        <v>2</v>
      </c>
      <c r="E237" s="769" t="str">
        <f t="shared" si="3"/>
        <v>-</v>
      </c>
      <c r="F237" s="694"/>
    </row>
    <row r="238" spans="1:6" x14ac:dyDescent="0.2">
      <c r="A238" s="560">
        <v>227</v>
      </c>
      <c r="B238" s="830" t="str">
        <f>_xlfn.XLOOKUP(A238,Códigos!$A$11:$A$415,Códigos!$B$11:$B$415,"Verificar",0)</f>
        <v>NOMBRE 74</v>
      </c>
      <c r="C238" s="684">
        <f>SUMIF('CARTERA del año'!$A$7:$A$560,A238,'CARTERA del año'!$H$7:$H$560)+SUMIF('CARTERA de la OFICINA'!$A$9:$A$170,A238,'CARTERA de la OFICINA'!$H$9:$H$170)</f>
        <v>0</v>
      </c>
      <c r="D238" s="678">
        <v>2</v>
      </c>
      <c r="E238" s="769" t="str">
        <f t="shared" si="3"/>
        <v>-</v>
      </c>
      <c r="F238" s="694"/>
    </row>
    <row r="239" spans="1:6" x14ac:dyDescent="0.2">
      <c r="A239" s="560">
        <v>228</v>
      </c>
      <c r="B239" s="830" t="str">
        <f>_xlfn.XLOOKUP(A239,Códigos!$A$11:$A$415,Códigos!$B$11:$B$415,"Verificar",0)</f>
        <v>NOMBRE 139</v>
      </c>
      <c r="C239" s="684">
        <f>SUMIF('CARTERA del año'!$A$7:$A$560,A239,'CARTERA del año'!$H$7:$H$560)+SUMIF('CARTERA de la OFICINA'!$A$9:$A$170,A239,'CARTERA de la OFICINA'!$H$9:$H$170)</f>
        <v>0</v>
      </c>
      <c r="D239" s="678"/>
      <c r="E239" s="769" t="str">
        <f t="shared" si="3"/>
        <v>-</v>
      </c>
      <c r="F239" s="694"/>
    </row>
    <row r="240" spans="1:6" x14ac:dyDescent="0.2">
      <c r="A240" s="560">
        <v>229</v>
      </c>
      <c r="B240" s="830" t="str">
        <f>_xlfn.XLOOKUP(A240,Códigos!$A$11:$A$415,Códigos!$B$11:$B$415,"Verificar",0)</f>
        <v>NOMBRE 289</v>
      </c>
      <c r="C240" s="684">
        <f>SUMIF('CARTERA del año'!$A$7:$A$560,A240,'CARTERA del año'!$H$7:$H$560)+SUMIF('CARTERA de la OFICINA'!$A$9:$A$170,A240,'CARTERA de la OFICINA'!$H$9:$H$170)</f>
        <v>0</v>
      </c>
      <c r="D240" s="678"/>
      <c r="E240" s="769" t="str">
        <f t="shared" si="3"/>
        <v>-</v>
      </c>
      <c r="F240" s="694"/>
    </row>
    <row r="241" spans="1:6" x14ac:dyDescent="0.2">
      <c r="A241" s="560">
        <v>230</v>
      </c>
      <c r="B241" s="830" t="str">
        <f>_xlfn.XLOOKUP(A241,Códigos!$A$11:$A$415,Códigos!$B$11:$B$415,"Verificar",0)</f>
        <v>NOMBRE 184</v>
      </c>
      <c r="C241" s="684">
        <f>SUMIF('CARTERA del año'!$A$7:$A$560,A241,'CARTERA del año'!$H$7:$H$560)+SUMIF('CARTERA de la OFICINA'!$A$9:$A$170,A241,'CARTERA de la OFICINA'!$H$9:$H$170)</f>
        <v>550000</v>
      </c>
      <c r="D241" s="678">
        <v>0</v>
      </c>
      <c r="E241" s="769" t="str">
        <f t="shared" si="3"/>
        <v>VIGENTE</v>
      </c>
      <c r="F241" s="694"/>
    </row>
    <row r="242" spans="1:6" x14ac:dyDescent="0.2">
      <c r="A242" s="560">
        <v>231</v>
      </c>
      <c r="B242" s="830" t="str">
        <f>_xlfn.XLOOKUP(A242,Códigos!$A$11:$A$415,Códigos!$B$11:$B$415,"Verificar",0)</f>
        <v>NOMBRE 212</v>
      </c>
      <c r="C242" s="684">
        <f>SUMIF('CARTERA del año'!$A$7:$A$560,A242,'CARTERA del año'!$H$7:$H$560)+SUMIF('CARTERA de la OFICINA'!$A$9:$A$170,A242,'CARTERA de la OFICINA'!$H$9:$H$170)</f>
        <v>0</v>
      </c>
      <c r="D242" s="678">
        <v>1</v>
      </c>
      <c r="E242" s="769" t="str">
        <f t="shared" si="3"/>
        <v>-</v>
      </c>
      <c r="F242" s="694"/>
    </row>
    <row r="243" spans="1:6" x14ac:dyDescent="0.2">
      <c r="A243" s="560">
        <v>232</v>
      </c>
      <c r="B243" s="830" t="str">
        <f>_xlfn.XLOOKUP(A243,Códigos!$A$11:$A$415,Códigos!$B$11:$B$415,"Verificar",0)</f>
        <v>NOMBRE 121</v>
      </c>
      <c r="C243" s="684">
        <f>SUMIF('CARTERA del año'!$A$7:$A$560,A243,'CARTERA del año'!$H$7:$H$560)+SUMIF('CARTERA de la OFICINA'!$A$9:$A$170,A243,'CARTERA de la OFICINA'!$H$9:$H$170)</f>
        <v>0</v>
      </c>
      <c r="D243" s="678">
        <v>2</v>
      </c>
      <c r="E243" s="769" t="str">
        <f t="shared" si="3"/>
        <v>-</v>
      </c>
      <c r="F243" s="694"/>
    </row>
    <row r="244" spans="1:6" x14ac:dyDescent="0.2">
      <c r="A244" s="560">
        <v>233</v>
      </c>
      <c r="B244" s="830" t="str">
        <f>_xlfn.XLOOKUP(A244,Códigos!$A$11:$A$415,Códigos!$B$11:$B$415,"Verificar",0)</f>
        <v>NOMBRE 122</v>
      </c>
      <c r="C244" s="684">
        <f>SUMIF('CARTERA del año'!$A$7:$A$560,A244,'CARTERA del año'!$H$7:$H$560)+SUMIF('CARTERA de la OFICINA'!$A$9:$A$170,A244,'CARTERA de la OFICINA'!$H$9:$H$170)</f>
        <v>350000</v>
      </c>
      <c r="D244" s="678"/>
      <c r="E244" s="769" t="str">
        <f t="shared" si="3"/>
        <v>VIGENTE</v>
      </c>
      <c r="F244" s="694"/>
    </row>
    <row r="245" spans="1:6" x14ac:dyDescent="0.2">
      <c r="A245" s="560">
        <v>234</v>
      </c>
      <c r="B245" s="830" t="str">
        <f>_xlfn.XLOOKUP(A245,Códigos!$A$11:$A$415,Códigos!$B$11:$B$415,"Verificar",0)</f>
        <v>NOMBRE 303</v>
      </c>
      <c r="C245" s="684">
        <f>SUMIF('CARTERA del año'!$A$7:$A$560,A245,'CARTERA del año'!$H$7:$H$560)+SUMIF('CARTERA de la OFICINA'!$A$9:$A$170,A245,'CARTERA de la OFICINA'!$H$9:$H$170)</f>
        <v>310000</v>
      </c>
      <c r="D245" s="678"/>
      <c r="E245" s="769" t="str">
        <f t="shared" si="3"/>
        <v>VIGENTE</v>
      </c>
      <c r="F245" s="694"/>
    </row>
    <row r="246" spans="1:6" x14ac:dyDescent="0.2">
      <c r="A246" s="560">
        <v>235</v>
      </c>
      <c r="B246" s="830" t="str">
        <f>_xlfn.XLOOKUP(A246,Códigos!$A$11:$A$415,Códigos!$B$11:$B$415,"Verificar",0)</f>
        <v>NOMBRE 185</v>
      </c>
      <c r="C246" s="684">
        <f>SUMIF('CARTERA del año'!$A$7:$A$560,A246,'CARTERA del año'!$H$7:$H$560)+SUMIF('CARTERA de la OFICINA'!$A$9:$A$170,A246,'CARTERA de la OFICINA'!$H$9:$H$170)</f>
        <v>0</v>
      </c>
      <c r="D246" s="678">
        <v>2</v>
      </c>
      <c r="E246" s="769" t="str">
        <f t="shared" si="3"/>
        <v>-</v>
      </c>
      <c r="F246" s="694"/>
    </row>
    <row r="247" spans="1:6" x14ac:dyDescent="0.2">
      <c r="A247" s="560">
        <v>236</v>
      </c>
      <c r="B247" s="830" t="str">
        <f>_xlfn.XLOOKUP(A247,Códigos!$A$11:$A$415,Códigos!$B$11:$B$415,"Verificar",0)</f>
        <v>NOMBRE 48</v>
      </c>
      <c r="C247" s="684">
        <f>SUMIF('CARTERA del año'!$A$7:$A$560,A247,'CARTERA del año'!$H$7:$H$560)+SUMIF('CARTERA de la OFICINA'!$A$9:$A$170,A247,'CARTERA de la OFICINA'!$H$9:$H$170)</f>
        <v>0</v>
      </c>
      <c r="D247" s="678">
        <v>2</v>
      </c>
      <c r="E247" s="769" t="str">
        <f t="shared" si="3"/>
        <v>-</v>
      </c>
      <c r="F247" s="694"/>
    </row>
    <row r="248" spans="1:6" x14ac:dyDescent="0.2">
      <c r="A248" s="560">
        <v>237</v>
      </c>
      <c r="B248" s="830" t="str">
        <f>_xlfn.XLOOKUP(A248,Códigos!$A$11:$A$415,Códigos!$B$11:$B$415,"Verificar",0)</f>
        <v>NOMBRE 282</v>
      </c>
      <c r="C248" s="684">
        <f>SUMIF('CARTERA del año'!$A$7:$A$560,A248,'CARTERA del año'!$H$7:$H$560)+SUMIF('CARTERA de la OFICINA'!$A$9:$A$170,A248,'CARTERA de la OFICINA'!$H$9:$H$170)</f>
        <v>290000</v>
      </c>
      <c r="D248" s="678">
        <v>0</v>
      </c>
      <c r="E248" s="769" t="str">
        <f t="shared" si="3"/>
        <v>VIGENTE</v>
      </c>
      <c r="F248" s="694"/>
    </row>
    <row r="249" spans="1:6" x14ac:dyDescent="0.2">
      <c r="A249" s="560">
        <v>238</v>
      </c>
      <c r="B249" s="830" t="str">
        <f>_xlfn.XLOOKUP(A249,Códigos!$A$11:$A$415,Códigos!$B$11:$B$415,"Verificar",0)</f>
        <v>NOMBRE 291</v>
      </c>
      <c r="C249" s="684">
        <f>SUMIF('CARTERA del año'!$A$7:$A$560,A249,'CARTERA del año'!$H$7:$H$560)+SUMIF('CARTERA de la OFICINA'!$A$9:$A$170,A249,'CARTERA de la OFICINA'!$H$9:$H$170)</f>
        <v>650000</v>
      </c>
      <c r="D249" s="678">
        <v>0</v>
      </c>
      <c r="E249" s="769" t="str">
        <f t="shared" si="3"/>
        <v>VIGENTE</v>
      </c>
      <c r="F249" s="694"/>
    </row>
    <row r="250" spans="1:6" x14ac:dyDescent="0.2">
      <c r="A250" s="560">
        <v>239</v>
      </c>
      <c r="B250" s="830" t="str">
        <f>_xlfn.XLOOKUP(A250,Códigos!$A$11:$A$415,Códigos!$B$11:$B$415,"Verificar",0)</f>
        <v>NOMBRE 127</v>
      </c>
      <c r="C250" s="684">
        <f>SUMIF('CARTERA del año'!$A$7:$A$560,A250,'CARTERA del año'!$H$7:$H$560)+SUMIF('CARTERA de la OFICINA'!$A$9:$A$170,A250,'CARTERA de la OFICINA'!$H$9:$H$170)</f>
        <v>0</v>
      </c>
      <c r="D250" s="678"/>
      <c r="E250" s="769" t="str">
        <f t="shared" si="3"/>
        <v>-</v>
      </c>
      <c r="F250" s="694"/>
    </row>
    <row r="251" spans="1:6" x14ac:dyDescent="0.2">
      <c r="A251" s="560">
        <v>240</v>
      </c>
      <c r="B251" s="830" t="str">
        <f>_xlfn.XLOOKUP(A251,Códigos!$A$11:$A$415,Códigos!$B$11:$B$415,"Verificar",0)</f>
        <v>NOMBRE 341</v>
      </c>
      <c r="C251" s="684">
        <f>SUMIF('CARTERA del año'!$A$7:$A$560,A251,'CARTERA del año'!$H$7:$H$560)+SUMIF('CARTERA de la OFICINA'!$A$9:$A$170,A251,'CARTERA de la OFICINA'!$H$9:$H$170)</f>
        <v>350000</v>
      </c>
      <c r="D251" s="678"/>
      <c r="E251" s="769" t="str">
        <f t="shared" si="3"/>
        <v>VIGENTE</v>
      </c>
      <c r="F251" s="694"/>
    </row>
    <row r="252" spans="1:6" x14ac:dyDescent="0.2">
      <c r="A252" s="560">
        <v>241</v>
      </c>
      <c r="B252" s="830" t="str">
        <f>_xlfn.XLOOKUP(A252,Códigos!$A$11:$A$415,Códigos!$B$11:$B$415,"Verificar",0)</f>
        <v>NOMBRE 316</v>
      </c>
      <c r="C252" s="684">
        <f>SUMIF('CARTERA del año'!$A$7:$A$560,A252,'CARTERA del año'!$H$7:$H$560)+SUMIF('CARTERA de la OFICINA'!$A$9:$A$170,A252,'CARTERA de la OFICINA'!$H$9:$H$170)</f>
        <v>0</v>
      </c>
      <c r="D252" s="678"/>
      <c r="E252" s="769" t="str">
        <f t="shared" si="3"/>
        <v>-</v>
      </c>
      <c r="F252" s="694"/>
    </row>
    <row r="253" spans="1:6" x14ac:dyDescent="0.2">
      <c r="A253" s="560">
        <v>242</v>
      </c>
      <c r="B253" s="830" t="str">
        <f>_xlfn.XLOOKUP(A253,Códigos!$A$11:$A$415,Códigos!$B$11:$B$415,"Verificar",0)</f>
        <v>NOMBRE 149</v>
      </c>
      <c r="C253" s="684">
        <f>SUMIF('CARTERA del año'!$A$7:$A$560,A253,'CARTERA del año'!$H$7:$H$560)+SUMIF('CARTERA de la OFICINA'!$A$9:$A$170,A253,'CARTERA de la OFICINA'!$H$9:$H$170)</f>
        <v>0</v>
      </c>
      <c r="D253" s="678">
        <v>0</v>
      </c>
      <c r="E253" s="769" t="str">
        <f t="shared" si="3"/>
        <v>-</v>
      </c>
      <c r="F253" s="694"/>
    </row>
    <row r="254" spans="1:6" x14ac:dyDescent="0.2">
      <c r="A254" s="560">
        <v>243</v>
      </c>
      <c r="B254" s="830" t="str">
        <f>_xlfn.XLOOKUP(A254,Códigos!$A$11:$A$415,Códigos!$B$11:$B$415,"Verificar",0)</f>
        <v>NOMBRE 298</v>
      </c>
      <c r="C254" s="684">
        <f>SUMIF('CARTERA del año'!$A$7:$A$560,A254,'CARTERA del año'!$H$7:$H$560)+SUMIF('CARTERA de la OFICINA'!$A$9:$A$170,A254,'CARTERA de la OFICINA'!$H$9:$H$170)</f>
        <v>450000</v>
      </c>
      <c r="D254" s="678"/>
      <c r="E254" s="769" t="str">
        <f t="shared" si="3"/>
        <v>VIGENTE</v>
      </c>
      <c r="F254" s="694"/>
    </row>
    <row r="255" spans="1:6" x14ac:dyDescent="0.2">
      <c r="A255" s="560">
        <v>244</v>
      </c>
      <c r="B255" s="830" t="str">
        <f>_xlfn.XLOOKUP(A255,Códigos!$A$11:$A$415,Códigos!$B$11:$B$415,"Verificar",0)</f>
        <v>NOMBRE 98</v>
      </c>
      <c r="C255" s="684">
        <f>SUMIF('CARTERA del año'!$A$7:$A$560,A255,'CARTERA del año'!$H$7:$H$560)+SUMIF('CARTERA de la OFICINA'!$A$9:$A$170,A255,'CARTERA de la OFICINA'!$H$9:$H$170)</f>
        <v>560000</v>
      </c>
      <c r="D255" s="678">
        <v>0</v>
      </c>
      <c r="E255" s="769" t="str">
        <f t="shared" si="3"/>
        <v>VIGENTE</v>
      </c>
      <c r="F255" s="694"/>
    </row>
    <row r="256" spans="1:6" x14ac:dyDescent="0.2">
      <c r="A256" s="560">
        <v>245</v>
      </c>
      <c r="B256" s="830" t="str">
        <f>_xlfn.XLOOKUP(A256,Códigos!$A$11:$A$415,Códigos!$B$11:$B$415,"Verificar",0)</f>
        <v>NOMBRE 162</v>
      </c>
      <c r="C256" s="684">
        <f>SUMIF('CARTERA del año'!$A$7:$A$560,A256,'CARTERA del año'!$H$7:$H$560)+SUMIF('CARTERA de la OFICINA'!$A$9:$A$170,A256,'CARTERA de la OFICINA'!$H$9:$H$170)</f>
        <v>0</v>
      </c>
      <c r="D256" s="678">
        <v>0</v>
      </c>
      <c r="E256" s="769" t="str">
        <f t="shared" si="3"/>
        <v>-</v>
      </c>
      <c r="F256" s="694"/>
    </row>
    <row r="257" spans="1:6" x14ac:dyDescent="0.2">
      <c r="A257" s="560">
        <v>246</v>
      </c>
      <c r="B257" s="830" t="str">
        <f>_xlfn.XLOOKUP(A257,Códigos!$A$11:$A$415,Códigos!$B$11:$B$415,"Verificar",0)</f>
        <v>NOMBRE 41</v>
      </c>
      <c r="C257" s="684">
        <f>SUMIF('CARTERA del año'!$A$7:$A$560,A257,'CARTERA del año'!$H$7:$H$560)+SUMIF('CARTERA de la OFICINA'!$A$9:$A$170,A257,'CARTERA de la OFICINA'!$H$9:$H$170)</f>
        <v>0</v>
      </c>
      <c r="D257" s="678">
        <v>0</v>
      </c>
      <c r="E257" s="769" t="str">
        <f t="shared" si="3"/>
        <v>-</v>
      </c>
      <c r="F257" s="694"/>
    </row>
    <row r="258" spans="1:6" x14ac:dyDescent="0.2">
      <c r="A258" s="560">
        <v>247</v>
      </c>
      <c r="B258" s="830" t="str">
        <f>_xlfn.XLOOKUP(A258,Códigos!$A$11:$A$415,Códigos!$B$11:$B$415,"Verificar",0)</f>
        <v>NOMBRE 200</v>
      </c>
      <c r="C258" s="684">
        <f>SUMIF('CARTERA del año'!$A$7:$A$560,A258,'CARTERA del año'!$H$7:$H$560)+SUMIF('CARTERA de la OFICINA'!$A$9:$A$170,A258,'CARTERA de la OFICINA'!$H$9:$H$170)</f>
        <v>260000</v>
      </c>
      <c r="D258" s="678"/>
      <c r="E258" s="769" t="str">
        <f t="shared" si="3"/>
        <v>VIGENTE</v>
      </c>
      <c r="F258" s="694"/>
    </row>
    <row r="259" spans="1:6" x14ac:dyDescent="0.2">
      <c r="A259" s="560">
        <v>248</v>
      </c>
      <c r="B259" s="830" t="str">
        <f>_xlfn.XLOOKUP(A259,Códigos!$A$11:$A$415,Códigos!$B$11:$B$415,"Verificar",0)</f>
        <v>NOMBRE 151</v>
      </c>
      <c r="C259" s="684">
        <f>SUMIF('CARTERA del año'!$A$7:$A$560,A259,'CARTERA del año'!$H$7:$H$560)+SUMIF('CARTERA de la OFICINA'!$A$9:$A$170,A259,'CARTERA de la OFICINA'!$H$9:$H$170)</f>
        <v>0</v>
      </c>
      <c r="D259" s="678"/>
      <c r="E259" s="769" t="str">
        <f t="shared" si="3"/>
        <v>-</v>
      </c>
      <c r="F259" s="694"/>
    </row>
    <row r="260" spans="1:6" x14ac:dyDescent="0.2">
      <c r="A260" s="560">
        <v>249</v>
      </c>
      <c r="B260" s="830" t="str">
        <f>_xlfn.XLOOKUP(A260,Códigos!$A$11:$A$415,Códigos!$B$11:$B$415,"Verificar",0)</f>
        <v>NOMBRE 220</v>
      </c>
      <c r="C260" s="684">
        <f>SUMIF('CARTERA del año'!$A$7:$A$560,A260,'CARTERA del año'!$H$7:$H$560)+SUMIF('CARTERA de la OFICINA'!$A$9:$A$170,A260,'CARTERA de la OFICINA'!$H$9:$H$170)</f>
        <v>30664600</v>
      </c>
      <c r="D260" s="678">
        <v>2</v>
      </c>
      <c r="E260" s="769" t="str">
        <f t="shared" si="3"/>
        <v>PERDIDA</v>
      </c>
      <c r="F260" s="694"/>
    </row>
    <row r="261" spans="1:6" x14ac:dyDescent="0.2">
      <c r="A261" s="560">
        <v>250</v>
      </c>
      <c r="B261" s="830" t="str">
        <f>_xlfn.XLOOKUP(A261,Códigos!$A$11:$A$415,Códigos!$B$11:$B$415,"Verificar",0)</f>
        <v>NOMBRE 75</v>
      </c>
      <c r="C261" s="684">
        <f>SUMIF('CARTERA del año'!$A$7:$A$560,A261,'CARTERA del año'!$H$7:$H$560)+SUMIF('CARTERA de la OFICINA'!$A$9:$A$170,A261,'CARTERA de la OFICINA'!$H$9:$H$170)</f>
        <v>0</v>
      </c>
      <c r="D261" s="678">
        <v>2</v>
      </c>
      <c r="E261" s="769" t="str">
        <f t="shared" si="3"/>
        <v>-</v>
      </c>
      <c r="F261" s="694"/>
    </row>
    <row r="262" spans="1:6" x14ac:dyDescent="0.2">
      <c r="A262" s="560">
        <v>251</v>
      </c>
      <c r="B262" s="830" t="str">
        <f>_xlfn.XLOOKUP(A262,Códigos!$A$11:$A$415,Códigos!$B$11:$B$415,"Verificar",0)</f>
        <v>NOMBRE 152</v>
      </c>
      <c r="C262" s="684">
        <f>SUMIF('CARTERA del año'!$A$7:$A$560,A262,'CARTERA del año'!$H$7:$H$560)+SUMIF('CARTERA de la OFICINA'!$A$9:$A$170,A262,'CARTERA de la OFICINA'!$H$9:$H$170)</f>
        <v>0</v>
      </c>
      <c r="D262" s="678"/>
      <c r="E262" s="769" t="str">
        <f t="shared" si="3"/>
        <v>-</v>
      </c>
      <c r="F262" s="694"/>
    </row>
    <row r="263" spans="1:6" x14ac:dyDescent="0.2">
      <c r="A263" s="560">
        <v>252</v>
      </c>
      <c r="B263" s="830" t="str">
        <f>_xlfn.XLOOKUP(A263,Códigos!$A$11:$A$415,Códigos!$B$11:$B$415,"Verificar",0)</f>
        <v>NOMBRE 219</v>
      </c>
      <c r="C263" s="684">
        <f>SUMIF('CARTERA del año'!$A$7:$A$560,A263,'CARTERA del año'!$H$7:$H$560)+SUMIF('CARTERA de la OFICINA'!$A$9:$A$170,A263,'CARTERA de la OFICINA'!$H$9:$H$170)</f>
        <v>5021000</v>
      </c>
      <c r="D263" s="678">
        <v>0</v>
      </c>
      <c r="E263" s="769" t="str">
        <f t="shared" si="3"/>
        <v>VIGENTE</v>
      </c>
      <c r="F263" s="694"/>
    </row>
    <row r="264" spans="1:6" x14ac:dyDescent="0.2">
      <c r="A264" s="560">
        <v>253</v>
      </c>
      <c r="B264" s="830" t="str">
        <f>_xlfn.XLOOKUP(A264,Códigos!$A$11:$A$415,Códigos!$B$11:$B$415,"Verificar",0)</f>
        <v>NOMBRE 102</v>
      </c>
      <c r="C264" s="684">
        <f>SUMIF('CARTERA del año'!$A$7:$A$560,A264,'CARTERA del año'!$H$7:$H$560)+SUMIF('CARTERA de la OFICINA'!$A$9:$A$170,A264,'CARTERA de la OFICINA'!$H$9:$H$170)</f>
        <v>0</v>
      </c>
      <c r="D264" s="678">
        <v>2</v>
      </c>
      <c r="E264" s="769" t="str">
        <f t="shared" si="3"/>
        <v>-</v>
      </c>
      <c r="F264" s="694"/>
    </row>
    <row r="265" spans="1:6" x14ac:dyDescent="0.2">
      <c r="A265" s="560">
        <v>254</v>
      </c>
      <c r="B265" s="830" t="str">
        <f>_xlfn.XLOOKUP(A265,Códigos!$A$11:$A$415,Códigos!$B$11:$B$415,"Verificar",0)</f>
        <v>NOMBRE 181</v>
      </c>
      <c r="C265" s="684">
        <f>SUMIF('CARTERA del año'!$A$7:$A$560,A265,'CARTERA del año'!$H$7:$H$560)+SUMIF('CARTERA de la OFICINA'!$A$9:$A$170,A265,'CARTERA de la OFICINA'!$H$9:$H$170)</f>
        <v>0</v>
      </c>
      <c r="D265" s="678"/>
      <c r="E265" s="769" t="str">
        <f t="shared" si="3"/>
        <v>-</v>
      </c>
      <c r="F265" s="694"/>
    </row>
    <row r="266" spans="1:6" x14ac:dyDescent="0.2">
      <c r="A266" s="560">
        <v>255</v>
      </c>
      <c r="B266" s="830" t="str">
        <f>_xlfn.XLOOKUP(A266,Códigos!$A$11:$A$415,Códigos!$B$11:$B$415,"Verificar",0)</f>
        <v>NOMBRE 166</v>
      </c>
      <c r="C266" s="684">
        <f>SUMIF('CARTERA del año'!$A$7:$A$560,A266,'CARTERA del año'!$H$7:$H$560)+SUMIF('CARTERA de la OFICINA'!$A$9:$A$170,A266,'CARTERA de la OFICINA'!$H$9:$H$170)</f>
        <v>0</v>
      </c>
      <c r="D266" s="678"/>
      <c r="E266" s="769" t="str">
        <f t="shared" si="3"/>
        <v>-</v>
      </c>
      <c r="F266" s="694"/>
    </row>
    <row r="267" spans="1:6" x14ac:dyDescent="0.2">
      <c r="A267" s="560">
        <v>256</v>
      </c>
      <c r="B267" s="830" t="str">
        <f>_xlfn.XLOOKUP(A267,Códigos!$A$11:$A$415,Códigos!$B$11:$B$415,"Verificar",0)</f>
        <v>NOMBRE 148</v>
      </c>
      <c r="C267" s="684">
        <f>SUMIF('CARTERA del año'!$A$7:$A$560,A267,'CARTERA del año'!$H$7:$H$560)+SUMIF('CARTERA de la OFICINA'!$A$9:$A$170,A267,'CARTERA de la OFICINA'!$H$9:$H$170)</f>
        <v>0</v>
      </c>
      <c r="D267" s="678"/>
      <c r="E267" s="769" t="str">
        <f t="shared" si="3"/>
        <v>-</v>
      </c>
      <c r="F267" s="694"/>
    </row>
    <row r="268" spans="1:6" x14ac:dyDescent="0.2">
      <c r="A268" s="560">
        <v>257</v>
      </c>
      <c r="B268" s="830" t="str">
        <f>_xlfn.XLOOKUP(A268,Códigos!$A$11:$A$415,Códigos!$B$11:$B$415,"Verificar",0)</f>
        <v>NOMBRE 29</v>
      </c>
      <c r="C268" s="684">
        <f>SUMIF('CARTERA del año'!$A$7:$A$560,A268,'CARTERA del año'!$H$7:$H$560)+SUMIF('CARTERA de la OFICINA'!$A$9:$A$170,A268,'CARTERA de la OFICINA'!$H$9:$H$170)</f>
        <v>0</v>
      </c>
      <c r="D268" s="678">
        <v>0</v>
      </c>
      <c r="E268" s="769" t="str">
        <f t="shared" si="3"/>
        <v>-</v>
      </c>
      <c r="F268" s="694"/>
    </row>
    <row r="269" spans="1:6" x14ac:dyDescent="0.2">
      <c r="A269" s="560">
        <v>258</v>
      </c>
      <c r="B269" s="830" t="str">
        <f>_xlfn.XLOOKUP(A269,Códigos!$A$11:$A$415,Códigos!$B$11:$B$415,"Verificar",0)</f>
        <v>NOMBRE 144</v>
      </c>
      <c r="C269" s="684">
        <f>SUMIF('CARTERA del año'!$A$7:$A$560,A269,'CARTERA del año'!$H$7:$H$560)+SUMIF('CARTERA de la OFICINA'!$A$9:$A$170,A269,'CARTERA de la OFICINA'!$H$9:$H$170)</f>
        <v>0</v>
      </c>
      <c r="D269" s="678"/>
      <c r="E269" s="769" t="str">
        <f t="shared" si="3"/>
        <v>-</v>
      </c>
      <c r="F269" s="694"/>
    </row>
    <row r="270" spans="1:6" x14ac:dyDescent="0.2">
      <c r="A270" s="560">
        <v>259</v>
      </c>
      <c r="B270" s="830" t="str">
        <f>_xlfn.XLOOKUP(A270,Códigos!$A$11:$A$415,Códigos!$B$11:$B$415,"Verificar",0)</f>
        <v>NOMBRE 186</v>
      </c>
      <c r="C270" s="684">
        <f>SUMIF('CARTERA del año'!$A$7:$A$560,A270,'CARTERA del año'!$H$7:$H$560)+SUMIF('CARTERA de la OFICINA'!$A$9:$A$170,A270,'CARTERA de la OFICINA'!$H$9:$H$170)</f>
        <v>470000</v>
      </c>
      <c r="D270" s="678"/>
      <c r="E270" s="769" t="str">
        <f t="shared" si="3"/>
        <v>VIGENTE</v>
      </c>
      <c r="F270" s="694"/>
    </row>
    <row r="271" spans="1:6" x14ac:dyDescent="0.2">
      <c r="A271" s="560">
        <v>260</v>
      </c>
      <c r="B271" s="830" t="str">
        <f>_xlfn.XLOOKUP(A271,Códigos!$A$11:$A$415,Códigos!$B$11:$B$415,"Verificar",0)</f>
        <v>NOMBRE 27</v>
      </c>
      <c r="C271" s="684">
        <f>SUMIF('CARTERA del año'!$A$7:$A$560,A271,'CARTERA del año'!$H$7:$H$560)+SUMIF('CARTERA de la OFICINA'!$A$9:$A$170,A271,'CARTERA de la OFICINA'!$H$9:$H$170)</f>
        <v>170000</v>
      </c>
      <c r="D271" s="678"/>
      <c r="E271" s="769" t="str">
        <f t="shared" ref="E271:E334" si="4">IF(C271&gt;0,IF(D271=$D$2,"VIGENTE",IF(D271=$D$3,"DUDOSO RECAUDO",IF(D271=$D$4,"PERDIDA",IF(D271=$D$5,"REVISAR",)))),"-")</f>
        <v>VIGENTE</v>
      </c>
      <c r="F271" s="694"/>
    </row>
    <row r="272" spans="1:6" x14ac:dyDescent="0.2">
      <c r="A272" s="560">
        <v>261</v>
      </c>
      <c r="B272" s="830" t="str">
        <f>_xlfn.XLOOKUP(A272,Códigos!$A$11:$A$415,Códigos!$B$11:$B$415,"Verificar",0)</f>
        <v>NOMBRE 153</v>
      </c>
      <c r="C272" s="684">
        <f>SUMIF('CARTERA del año'!$A$7:$A$560,A272,'CARTERA del año'!$H$7:$H$560)+SUMIF('CARTERA de la OFICINA'!$A$9:$A$170,A272,'CARTERA de la OFICINA'!$H$9:$H$170)</f>
        <v>0</v>
      </c>
      <c r="D272" s="678"/>
      <c r="E272" s="769" t="str">
        <f t="shared" si="4"/>
        <v>-</v>
      </c>
      <c r="F272" s="694"/>
    </row>
    <row r="273" spans="1:6" x14ac:dyDescent="0.2">
      <c r="A273" s="560">
        <v>262</v>
      </c>
      <c r="B273" s="830" t="str">
        <f>_xlfn.XLOOKUP(A273,Códigos!$A$11:$A$415,Códigos!$B$11:$B$415,"Verificar",0)</f>
        <v>NOMBRE 95</v>
      </c>
      <c r="C273" s="684">
        <f>SUMIF('CARTERA del año'!$A$7:$A$560,A273,'CARTERA del año'!$H$7:$H$560)+SUMIF('CARTERA de la OFICINA'!$A$9:$A$170,A273,'CARTERA de la OFICINA'!$H$9:$H$170)</f>
        <v>118354468</v>
      </c>
      <c r="D273" s="678">
        <v>0</v>
      </c>
      <c r="E273" s="769" t="str">
        <f t="shared" si="4"/>
        <v>VIGENTE</v>
      </c>
      <c r="F273" s="694"/>
    </row>
    <row r="274" spans="1:6" x14ac:dyDescent="0.2">
      <c r="A274" s="560">
        <v>263</v>
      </c>
      <c r="B274" s="830" t="str">
        <f>_xlfn.XLOOKUP(A274,Códigos!$A$11:$A$415,Códigos!$B$11:$B$415,"Verificar",0)</f>
        <v>NOMBRE 128</v>
      </c>
      <c r="C274" s="684">
        <f>SUMIF('CARTERA del año'!$A$7:$A$560,A274,'CARTERA del año'!$H$7:$H$560)+SUMIF('CARTERA de la OFICINA'!$A$9:$A$170,A274,'CARTERA de la OFICINA'!$H$9:$H$170)</f>
        <v>0</v>
      </c>
      <c r="D274" s="678"/>
      <c r="E274" s="769" t="str">
        <f t="shared" si="4"/>
        <v>-</v>
      </c>
      <c r="F274" s="694"/>
    </row>
    <row r="275" spans="1:6" x14ac:dyDescent="0.2">
      <c r="A275" s="560">
        <v>264</v>
      </c>
      <c r="B275" s="830" t="str">
        <f>_xlfn.XLOOKUP(A275,Códigos!$A$11:$A$415,Códigos!$B$11:$B$415,"Verificar",0)</f>
        <v>NOMBRE 312</v>
      </c>
      <c r="C275" s="684">
        <f>SUMIF('CARTERA del año'!$A$7:$A$560,A275,'CARTERA del año'!$H$7:$H$560)+SUMIF('CARTERA de la OFICINA'!$A$9:$A$170,A275,'CARTERA de la OFICINA'!$H$9:$H$170)</f>
        <v>350000</v>
      </c>
      <c r="D275" s="678"/>
      <c r="E275" s="769" t="str">
        <f t="shared" si="4"/>
        <v>VIGENTE</v>
      </c>
      <c r="F275" s="694"/>
    </row>
    <row r="276" spans="1:6" x14ac:dyDescent="0.2">
      <c r="A276" s="560">
        <v>265</v>
      </c>
      <c r="B276" s="830" t="str">
        <f>_xlfn.XLOOKUP(A276,Códigos!$A$11:$A$415,Códigos!$B$11:$B$415,"Verificar",0)</f>
        <v>NOMBRE 246</v>
      </c>
      <c r="C276" s="684">
        <f>SUMIF('CARTERA del año'!$A$7:$A$560,A276,'CARTERA del año'!$H$7:$H$560)+SUMIF('CARTERA de la OFICINA'!$A$9:$A$170,A276,'CARTERA de la OFICINA'!$H$9:$H$170)</f>
        <v>690000</v>
      </c>
      <c r="D276" s="678">
        <v>0</v>
      </c>
      <c r="E276" s="769" t="str">
        <f t="shared" si="4"/>
        <v>VIGENTE</v>
      </c>
      <c r="F276" s="694"/>
    </row>
    <row r="277" spans="1:6" x14ac:dyDescent="0.2">
      <c r="A277" s="560">
        <v>266</v>
      </c>
      <c r="B277" s="830" t="str">
        <f>_xlfn.XLOOKUP(A277,Códigos!$A$11:$A$415,Códigos!$B$11:$B$415,"Verificar",0)</f>
        <v>NOMBRE 304</v>
      </c>
      <c r="C277" s="684">
        <f>SUMIF('CARTERA del año'!$A$7:$A$560,A277,'CARTERA del año'!$H$7:$H$560)+SUMIF('CARTERA de la OFICINA'!$A$9:$A$170,A277,'CARTERA de la OFICINA'!$H$9:$H$170)</f>
        <v>310000</v>
      </c>
      <c r="D277" s="678"/>
      <c r="E277" s="769" t="str">
        <f t="shared" si="4"/>
        <v>VIGENTE</v>
      </c>
      <c r="F277" s="694"/>
    </row>
    <row r="278" spans="1:6" x14ac:dyDescent="0.2">
      <c r="A278" s="560">
        <v>267</v>
      </c>
      <c r="B278" s="830" t="str">
        <f>_xlfn.XLOOKUP(A278,Códigos!$A$11:$A$415,Códigos!$B$11:$B$415,"Verificar",0)</f>
        <v>NOMBRE 224</v>
      </c>
      <c r="C278" s="684">
        <f>SUMIF('CARTERA del año'!$A$7:$A$560,A278,'CARTERA del año'!$H$7:$H$560)+SUMIF('CARTERA de la OFICINA'!$A$9:$A$170,A278,'CARTERA de la OFICINA'!$H$9:$H$170)</f>
        <v>310000</v>
      </c>
      <c r="D278" s="678"/>
      <c r="E278" s="769" t="str">
        <f t="shared" si="4"/>
        <v>VIGENTE</v>
      </c>
      <c r="F278" s="694"/>
    </row>
    <row r="279" spans="1:6" x14ac:dyDescent="0.2">
      <c r="A279" s="560">
        <v>268</v>
      </c>
      <c r="B279" s="830" t="str">
        <f>_xlfn.XLOOKUP(A279,Códigos!$A$11:$A$415,Códigos!$B$11:$B$415,"Verificar",0)</f>
        <v>NOMBRE 326</v>
      </c>
      <c r="C279" s="684">
        <f>SUMIF('CARTERA del año'!$A$7:$A$560,A279,'CARTERA del año'!$H$7:$H$560)+SUMIF('CARTERA de la OFICINA'!$A$9:$A$170,A279,'CARTERA de la OFICINA'!$H$9:$H$170)</f>
        <v>0</v>
      </c>
      <c r="D279" s="678"/>
      <c r="E279" s="769" t="str">
        <f t="shared" si="4"/>
        <v>-</v>
      </c>
      <c r="F279" s="694"/>
    </row>
    <row r="280" spans="1:6" x14ac:dyDescent="0.2">
      <c r="A280" s="560">
        <v>269</v>
      </c>
      <c r="B280" s="830" t="str">
        <f>_xlfn.XLOOKUP(A280,Códigos!$A$11:$A$415,Códigos!$B$11:$B$415,"Verificar",0)</f>
        <v>NOMBRE 218</v>
      </c>
      <c r="C280" s="684">
        <f>SUMIF('CARTERA del año'!$A$7:$A$560,A280,'CARTERA del año'!$H$7:$H$560)+SUMIF('CARTERA de la OFICINA'!$A$9:$A$170,A280,'CARTERA de la OFICINA'!$H$9:$H$170)</f>
        <v>320000</v>
      </c>
      <c r="D280" s="678"/>
      <c r="E280" s="769" t="str">
        <f t="shared" si="4"/>
        <v>VIGENTE</v>
      </c>
      <c r="F280" s="694"/>
    </row>
    <row r="281" spans="1:6" x14ac:dyDescent="0.2">
      <c r="A281" s="560">
        <v>270</v>
      </c>
      <c r="B281" s="830" t="str">
        <f>_xlfn.XLOOKUP(A281,Códigos!$A$11:$A$415,Códigos!$B$11:$B$415,"Verificar",0)</f>
        <v>NOMBRE 34</v>
      </c>
      <c r="C281" s="684">
        <f>SUMIF('CARTERA del año'!$A$7:$A$560,A281,'CARTERA del año'!$H$7:$H$560)+SUMIF('CARTERA de la OFICINA'!$A$9:$A$170,A281,'CARTERA de la OFICINA'!$H$9:$H$170)</f>
        <v>0</v>
      </c>
      <c r="D281" s="678">
        <v>1</v>
      </c>
      <c r="E281" s="769" t="str">
        <f t="shared" si="4"/>
        <v>-</v>
      </c>
      <c r="F281" s="694"/>
    </row>
    <row r="282" spans="1:6" x14ac:dyDescent="0.2">
      <c r="A282" s="560">
        <v>271</v>
      </c>
      <c r="B282" s="830" t="str">
        <f>_xlfn.XLOOKUP(A282,Códigos!$A$11:$A$415,Códigos!$B$11:$B$415,"Verificar",0)</f>
        <v>NOMBRE 38</v>
      </c>
      <c r="C282" s="684">
        <f>SUMIF('CARTERA del año'!$A$7:$A$560,A282,'CARTERA del año'!$H$7:$H$560)+SUMIF('CARTERA de la OFICINA'!$A$9:$A$170,A282,'CARTERA de la OFICINA'!$H$9:$H$170)</f>
        <v>330000</v>
      </c>
      <c r="D282" s="678"/>
      <c r="E282" s="769" t="str">
        <f t="shared" si="4"/>
        <v>VIGENTE</v>
      </c>
      <c r="F282" s="694"/>
    </row>
    <row r="283" spans="1:6" x14ac:dyDescent="0.2">
      <c r="A283" s="560">
        <v>272</v>
      </c>
      <c r="B283" s="830" t="str">
        <f>_xlfn.XLOOKUP(A283,Códigos!$A$11:$A$415,Códigos!$B$11:$B$415,"Verificar",0)</f>
        <v>NOMBRE 81</v>
      </c>
      <c r="C283" s="684">
        <f>SUMIF('CARTERA del año'!$A$7:$A$560,A283,'CARTERA del año'!$H$7:$H$560)+SUMIF('CARTERA de la OFICINA'!$A$9:$A$170,A283,'CARTERA de la OFICINA'!$H$9:$H$170)</f>
        <v>0</v>
      </c>
      <c r="D283" s="678">
        <v>0</v>
      </c>
      <c r="E283" s="769" t="str">
        <f t="shared" si="4"/>
        <v>-</v>
      </c>
      <c r="F283" s="694"/>
    </row>
    <row r="284" spans="1:6" x14ac:dyDescent="0.2">
      <c r="A284" s="560">
        <v>273</v>
      </c>
      <c r="B284" s="830" t="str">
        <f>_xlfn.XLOOKUP(A284,Códigos!$A$11:$A$415,Códigos!$B$11:$B$415,"Verificar",0)</f>
        <v>NOMBRE 88</v>
      </c>
      <c r="C284" s="684">
        <f>SUMIF('CARTERA del año'!$A$7:$A$560,A284,'CARTERA del año'!$H$7:$H$560)+SUMIF('CARTERA de la OFICINA'!$A$9:$A$170,A284,'CARTERA de la OFICINA'!$H$9:$H$170)</f>
        <v>610000</v>
      </c>
      <c r="D284" s="678">
        <v>0</v>
      </c>
      <c r="E284" s="769" t="str">
        <f t="shared" si="4"/>
        <v>VIGENTE</v>
      </c>
      <c r="F284" s="694"/>
    </row>
    <row r="285" spans="1:6" x14ac:dyDescent="0.2">
      <c r="A285" s="560">
        <v>274</v>
      </c>
      <c r="B285" s="830" t="str">
        <f>_xlfn.XLOOKUP(A285,Códigos!$A$11:$A$415,Códigos!$B$11:$B$415,"Verificar",0)</f>
        <v>NOMBRE 280</v>
      </c>
      <c r="C285" s="684">
        <f>SUMIF('CARTERA del año'!$A$7:$A$560,A285,'CARTERA del año'!$H$7:$H$560)+SUMIF('CARTERA de la OFICINA'!$A$9:$A$170,A285,'CARTERA de la OFICINA'!$H$9:$H$170)</f>
        <v>0</v>
      </c>
      <c r="D285" s="678"/>
      <c r="E285" s="769" t="str">
        <f t="shared" si="4"/>
        <v>-</v>
      </c>
      <c r="F285" s="694"/>
    </row>
    <row r="286" spans="1:6" x14ac:dyDescent="0.2">
      <c r="A286" s="560">
        <v>275</v>
      </c>
      <c r="B286" s="830" t="str">
        <f>_xlfn.XLOOKUP(A286,Códigos!$A$11:$A$415,Códigos!$B$11:$B$415,"Verificar",0)</f>
        <v>NOMBRE 155</v>
      </c>
      <c r="C286" s="684">
        <f>SUMIF('CARTERA del año'!$A$7:$A$560,A286,'CARTERA del año'!$H$7:$H$560)+SUMIF('CARTERA de la OFICINA'!$A$9:$A$170,A286,'CARTERA de la OFICINA'!$H$9:$H$170)</f>
        <v>910000</v>
      </c>
      <c r="D286" s="678">
        <v>0</v>
      </c>
      <c r="E286" s="769" t="str">
        <f t="shared" si="4"/>
        <v>VIGENTE</v>
      </c>
      <c r="F286" s="694"/>
    </row>
    <row r="287" spans="1:6" x14ac:dyDescent="0.2">
      <c r="A287" s="560">
        <v>276</v>
      </c>
      <c r="B287" s="830" t="str">
        <f>_xlfn.XLOOKUP(A287,Códigos!$A$11:$A$415,Códigos!$B$11:$B$415,"Verificar",0)</f>
        <v>NOMBRE 156</v>
      </c>
      <c r="C287" s="684">
        <f>SUMIF('CARTERA del año'!$A$7:$A$560,A287,'CARTERA del año'!$H$7:$H$560)+SUMIF('CARTERA de la OFICINA'!$A$9:$A$170,A287,'CARTERA de la OFICINA'!$H$9:$H$170)</f>
        <v>0</v>
      </c>
      <c r="D287" s="678">
        <v>0</v>
      </c>
      <c r="E287" s="769" t="str">
        <f t="shared" si="4"/>
        <v>-</v>
      </c>
      <c r="F287" s="694"/>
    </row>
    <row r="288" spans="1:6" x14ac:dyDescent="0.2">
      <c r="A288" s="560">
        <v>277</v>
      </c>
      <c r="B288" s="830" t="str">
        <f>_xlfn.XLOOKUP(A288,Códigos!$A$11:$A$415,Códigos!$B$11:$B$415,"Verificar",0)</f>
        <v>NOMBRE 257</v>
      </c>
      <c r="C288" s="684">
        <f>SUMIF('CARTERA del año'!$A$7:$A$560,A288,'CARTERA del año'!$H$7:$H$560)+SUMIF('CARTERA de la OFICINA'!$A$9:$A$170,A288,'CARTERA de la OFICINA'!$H$9:$H$170)</f>
        <v>610000</v>
      </c>
      <c r="D288" s="678"/>
      <c r="E288" s="769" t="str">
        <f t="shared" si="4"/>
        <v>VIGENTE</v>
      </c>
      <c r="F288" s="694"/>
    </row>
    <row r="289" spans="1:6" x14ac:dyDescent="0.2">
      <c r="A289" s="560">
        <v>278</v>
      </c>
      <c r="B289" s="830" t="str">
        <f>_xlfn.XLOOKUP(A289,Códigos!$A$11:$A$415,Códigos!$B$11:$B$415,"Verificar",0)</f>
        <v>NOMBRE 357</v>
      </c>
      <c r="C289" s="684">
        <f>SUMIF('CARTERA del año'!$A$7:$A$560,A289,'CARTERA del año'!$H$7:$H$560)+SUMIF('CARTERA de la OFICINA'!$A$9:$A$170,A289,'CARTERA de la OFICINA'!$H$9:$H$170)</f>
        <v>470000</v>
      </c>
      <c r="D289" s="678"/>
      <c r="E289" s="769" t="str">
        <f t="shared" si="4"/>
        <v>VIGENTE</v>
      </c>
      <c r="F289" s="694"/>
    </row>
    <row r="290" spans="1:6" x14ac:dyDescent="0.2">
      <c r="A290" s="560">
        <v>279</v>
      </c>
      <c r="B290" s="830" t="str">
        <f>_xlfn.XLOOKUP(A290,Códigos!$A$11:$A$415,Códigos!$B$11:$B$415,"Verificar",0)</f>
        <v>NOMBRE 46</v>
      </c>
      <c r="C290" s="684">
        <f>SUMIF('CARTERA del año'!$A$7:$A$560,A290,'CARTERA del año'!$H$7:$H$560)+SUMIF('CARTERA de la OFICINA'!$A$9:$A$170,A290,'CARTERA de la OFICINA'!$H$9:$H$170)</f>
        <v>0</v>
      </c>
      <c r="D290" s="678"/>
      <c r="E290" s="769" t="str">
        <f t="shared" si="4"/>
        <v>-</v>
      </c>
      <c r="F290" s="694"/>
    </row>
    <row r="291" spans="1:6" x14ac:dyDescent="0.2">
      <c r="A291" s="560">
        <v>280</v>
      </c>
      <c r="B291" s="830" t="str">
        <f>_xlfn.XLOOKUP(A291,Códigos!$A$11:$A$415,Códigos!$B$11:$B$415,"Verificar",0)</f>
        <v>NOMBRE 225</v>
      </c>
      <c r="C291" s="684">
        <f>SUMIF('CARTERA del año'!$A$7:$A$560,A291,'CARTERA del año'!$H$7:$H$560)+SUMIF('CARTERA de la OFICINA'!$A$9:$A$170,A291,'CARTERA de la OFICINA'!$H$9:$H$170)</f>
        <v>300000</v>
      </c>
      <c r="D291" s="678"/>
      <c r="E291" s="769" t="str">
        <f t="shared" si="4"/>
        <v>VIGENTE</v>
      </c>
      <c r="F291" s="694"/>
    </row>
    <row r="292" spans="1:6" x14ac:dyDescent="0.2">
      <c r="A292" s="560">
        <v>281</v>
      </c>
      <c r="B292" s="830" t="str">
        <f>_xlfn.XLOOKUP(A292,Códigos!$A$11:$A$415,Códigos!$B$11:$B$415,"Verificar",0)</f>
        <v>NOMBRE 313</v>
      </c>
      <c r="C292" s="684">
        <f>SUMIF('CARTERA del año'!$A$7:$A$560,A292,'CARTERA del año'!$H$7:$H$560)+SUMIF('CARTERA de la OFICINA'!$A$9:$A$170,A292,'CARTERA de la OFICINA'!$H$9:$H$170)</f>
        <v>260000</v>
      </c>
      <c r="D292" s="678"/>
      <c r="E292" s="769" t="str">
        <f t="shared" si="4"/>
        <v>VIGENTE</v>
      </c>
      <c r="F292" s="694"/>
    </row>
    <row r="293" spans="1:6" x14ac:dyDescent="0.2">
      <c r="A293" s="560">
        <v>282</v>
      </c>
      <c r="B293" s="830" t="str">
        <f>_xlfn.XLOOKUP(A293,Códigos!$A$11:$A$415,Códigos!$B$11:$B$415,"Verificar",0)</f>
        <v>NOMBRE 292</v>
      </c>
      <c r="C293" s="684">
        <f>SUMIF('CARTERA del año'!$A$7:$A$560,A293,'CARTERA del año'!$H$7:$H$560)+SUMIF('CARTERA de la OFICINA'!$A$9:$A$170,A293,'CARTERA de la OFICINA'!$H$9:$H$170)</f>
        <v>2170000</v>
      </c>
      <c r="D293" s="678">
        <v>0</v>
      </c>
      <c r="E293" s="769" t="str">
        <f t="shared" si="4"/>
        <v>VIGENTE</v>
      </c>
      <c r="F293" s="557"/>
    </row>
    <row r="294" spans="1:6" x14ac:dyDescent="0.2">
      <c r="A294" s="560">
        <v>283</v>
      </c>
      <c r="B294" s="830" t="str">
        <f>_xlfn.XLOOKUP(A294,Códigos!$A$11:$A$415,Códigos!$B$11:$B$415,"Verificar",0)</f>
        <v>NOMBRE 104</v>
      </c>
      <c r="C294" s="684" t="e">
        <f>SUMIF('CARTERA del año'!$A$7:$A$560,A294,'CARTERA del año'!$H$7:$H$560)+SUMIF('CARTERA de la OFICINA'!$A$9:$A$170,A294,'CARTERA de la OFICINA'!$H$9:$H$170)</f>
        <v>#REF!</v>
      </c>
      <c r="D294" s="678"/>
      <c r="E294" s="769" t="e">
        <f t="shared" si="4"/>
        <v>#REF!</v>
      </c>
      <c r="F294" s="694" t="s">
        <v>674</v>
      </c>
    </row>
    <row r="295" spans="1:6" x14ac:dyDescent="0.2">
      <c r="A295" s="560">
        <v>284</v>
      </c>
      <c r="B295" s="830" t="str">
        <f>_xlfn.XLOOKUP(A295,Códigos!$A$11:$A$415,Códigos!$B$11:$B$415,"Verificar",0)</f>
        <v>NOMBRE 103</v>
      </c>
      <c r="C295" s="684">
        <f>SUMIF('CARTERA del año'!$A$7:$A$560,A295,'CARTERA del año'!$H$7:$H$560)+SUMIF('CARTERA de la OFICINA'!$A$9:$A$22,A295,'CARTERA de la OFICINA'!$H$9:$H$22)</f>
        <v>0</v>
      </c>
      <c r="D295" s="678"/>
      <c r="E295" s="769" t="str">
        <f t="shared" si="4"/>
        <v>-</v>
      </c>
      <c r="F295" s="694"/>
    </row>
    <row r="296" spans="1:6" x14ac:dyDescent="0.2">
      <c r="A296" s="560">
        <v>285</v>
      </c>
      <c r="B296" s="830" t="str">
        <f>_xlfn.XLOOKUP(A296,Códigos!$A$11:$A$415,Códigos!$B$11:$B$415,"Verificar",0)</f>
        <v>NOMBRE 99</v>
      </c>
      <c r="C296" s="684">
        <f>SUMIF('CARTERA del año'!$A$7:$A$560,A296,'CARTERA del año'!$H$7:$H$560)+SUMIF('CARTERA de la OFICINA'!$A$9:$A$170,A296,'CARTERA de la OFICINA'!$H$9:$H$170)</f>
        <v>0</v>
      </c>
      <c r="D296" s="678">
        <v>1</v>
      </c>
      <c r="E296" s="769" t="str">
        <f t="shared" si="4"/>
        <v>-</v>
      </c>
      <c r="F296" s="694"/>
    </row>
    <row r="297" spans="1:6" x14ac:dyDescent="0.2">
      <c r="A297" s="560">
        <v>286</v>
      </c>
      <c r="B297" s="830" t="str">
        <f>_xlfn.XLOOKUP(A297,Códigos!$A$11:$A$415,Códigos!$B$11:$B$415,"Verificar",0)</f>
        <v>NOMBRE 129</v>
      </c>
      <c r="C297" s="684">
        <f>SUMIF('CARTERA del año'!$A$7:$A$560,A297,'CARTERA del año'!$H$7:$H$560)+SUMIF('CARTERA de la OFICINA'!$A$9:$A$170,A297,'CARTERA de la OFICINA'!$H$9:$H$170)</f>
        <v>0</v>
      </c>
      <c r="D297" s="678">
        <v>2</v>
      </c>
      <c r="E297" s="769" t="str">
        <f t="shared" si="4"/>
        <v>-</v>
      </c>
      <c r="F297" s="694"/>
    </row>
    <row r="298" spans="1:6" x14ac:dyDescent="0.2">
      <c r="A298" s="560">
        <v>287</v>
      </c>
      <c r="B298" s="830" t="str">
        <f>_xlfn.XLOOKUP(A298,Códigos!$A$11:$A$415,Códigos!$B$11:$B$415,"Verificar",0)</f>
        <v>NOMBRE 109</v>
      </c>
      <c r="C298" s="684">
        <f>SUMIF('CARTERA del año'!$A$7:$A$560,A298,'CARTERA del año'!$H$7:$H$560)+SUMIF('CARTERA de la OFICINA'!$A$9:$A$170,A298,'CARTERA de la OFICINA'!$H$9:$H$170)</f>
        <v>160000</v>
      </c>
      <c r="D298" s="678"/>
      <c r="E298" s="769" t="str">
        <f t="shared" si="4"/>
        <v>VIGENTE</v>
      </c>
      <c r="F298" s="694"/>
    </row>
    <row r="299" spans="1:6" x14ac:dyDescent="0.2">
      <c r="A299" s="560">
        <v>288</v>
      </c>
      <c r="B299" s="830" t="str">
        <f>_xlfn.XLOOKUP(A299,Códigos!$A$11:$A$415,Códigos!$B$11:$B$415,"Verificar",0)</f>
        <v>NOMBRE 182</v>
      </c>
      <c r="C299" s="684">
        <f>SUMIF('CARTERA del año'!$A$7:$A$560,A299,'CARTERA del año'!$H$7:$H$560)+SUMIF('CARTERA de la OFICINA'!$A$9:$A$170,A299,'CARTERA de la OFICINA'!$H$9:$H$170)</f>
        <v>0</v>
      </c>
      <c r="D299" s="678"/>
      <c r="E299" s="769" t="str">
        <f t="shared" si="4"/>
        <v>-</v>
      </c>
      <c r="F299" s="694"/>
    </row>
    <row r="300" spans="1:6" x14ac:dyDescent="0.2">
      <c r="A300" s="560">
        <v>289</v>
      </c>
      <c r="B300" s="830" t="str">
        <f>_xlfn.XLOOKUP(A300,Códigos!$A$11:$A$415,Códigos!$B$11:$B$415,"Verificar",0)</f>
        <v>NOMBRE 140</v>
      </c>
      <c r="C300" s="684">
        <f>SUMIF('CARTERA del año'!$A$7:$A$560,A300,'CARTERA del año'!$H$7:$H$560)+SUMIF('CARTERA de la OFICINA'!$A$9:$A$170,A300,'CARTERA de la OFICINA'!$H$9:$H$170)</f>
        <v>880000</v>
      </c>
      <c r="D300" s="678">
        <v>0</v>
      </c>
      <c r="E300" s="769" t="str">
        <f t="shared" si="4"/>
        <v>VIGENTE</v>
      </c>
      <c r="F300" s="694"/>
    </row>
    <row r="301" spans="1:6" x14ac:dyDescent="0.2">
      <c r="A301" s="560">
        <v>290</v>
      </c>
      <c r="B301" s="830" t="str">
        <f>_xlfn.XLOOKUP(A301,Códigos!$A$11:$A$415,Códigos!$B$11:$B$415,"Verificar",0)</f>
        <v>NOMBRE 170</v>
      </c>
      <c r="C301" s="684">
        <f>SUMIF('CARTERA del año'!$A$7:$A$560,A301,'CARTERA del año'!$H$7:$H$560)+SUMIF('CARTERA de la OFICINA'!$A$9:$A$170,A301,'CARTERA de la OFICINA'!$H$9:$H$170)</f>
        <v>3973800</v>
      </c>
      <c r="D301" s="678">
        <v>0</v>
      </c>
      <c r="E301" s="769" t="str">
        <f t="shared" si="4"/>
        <v>VIGENTE</v>
      </c>
      <c r="F301" s="694"/>
    </row>
    <row r="302" spans="1:6" x14ac:dyDescent="0.2">
      <c r="A302" s="560">
        <v>291</v>
      </c>
      <c r="B302" s="830" t="str">
        <f>_xlfn.XLOOKUP(A302,Códigos!$A$11:$A$415,Códigos!$B$11:$B$415,"Verificar",0)</f>
        <v>NOMBRE 173</v>
      </c>
      <c r="C302" s="684">
        <f>SUMIF('CARTERA del año'!$A$7:$A$560,A302,'CARTERA del año'!$H$7:$H$560)+SUMIF('CARTERA de la OFICINA'!$A$9:$A$170,A302,'CARTERA de la OFICINA'!$H$9:$H$170)</f>
        <v>0</v>
      </c>
      <c r="D302" s="678">
        <v>0</v>
      </c>
      <c r="E302" s="769" t="str">
        <f t="shared" si="4"/>
        <v>-</v>
      </c>
      <c r="F302" s="694"/>
    </row>
    <row r="303" spans="1:6" x14ac:dyDescent="0.2">
      <c r="A303" s="560">
        <v>292</v>
      </c>
      <c r="B303" s="830" t="str">
        <f>_xlfn.XLOOKUP(A303,Códigos!$A$11:$A$415,Códigos!$B$11:$B$415,"Verificar",0)</f>
        <v>NOMBRE 174</v>
      </c>
      <c r="C303" s="684">
        <f>SUMIF('CARTERA del año'!$A$7:$A$560,A303,'CARTERA del año'!$H$7:$H$560)+SUMIF('CARTERA de la OFICINA'!$A$9:$A$170,A303,'CARTERA de la OFICINA'!$H$9:$H$170)</f>
        <v>0</v>
      </c>
      <c r="D303" s="678">
        <v>0</v>
      </c>
      <c r="E303" s="769" t="str">
        <f t="shared" si="4"/>
        <v>-</v>
      </c>
      <c r="F303" s="694"/>
    </row>
    <row r="304" spans="1:6" x14ac:dyDescent="0.2">
      <c r="A304" s="560">
        <v>293</v>
      </c>
      <c r="B304" s="830" t="str">
        <f>_xlfn.XLOOKUP(A304,Códigos!$A$11:$A$415,Códigos!$B$11:$B$415,"Verificar",0)</f>
        <v>NOMBRE 175</v>
      </c>
      <c r="C304" s="684">
        <f>SUMIF('CARTERA del año'!$A$7:$A$560,A304,'CARTERA del año'!$H$7:$H$560)+SUMIF('CARTERA de la OFICINA'!$A$9:$A$170,A304,'CARTERA de la OFICINA'!$H$9:$H$170)</f>
        <v>0</v>
      </c>
      <c r="D304" s="678">
        <v>0</v>
      </c>
      <c r="E304" s="769" t="str">
        <f t="shared" si="4"/>
        <v>-</v>
      </c>
      <c r="F304" s="694"/>
    </row>
    <row r="305" spans="1:6" x14ac:dyDescent="0.2">
      <c r="A305" s="560">
        <v>294</v>
      </c>
      <c r="B305" s="830" t="str">
        <f>_xlfn.XLOOKUP(A305,Códigos!$A$11:$A$415,Códigos!$B$11:$B$415,"Verificar",0)</f>
        <v>NOMBRE 296</v>
      </c>
      <c r="C305" s="684">
        <f>SUMIF('CARTERA del año'!$A$7:$A$560,A305,'CARTERA del año'!$H$7:$H$560)+SUMIF('CARTERA de la OFICINA'!$A$9:$A$170,A305,'CARTERA de la OFICINA'!$H$9:$H$170)</f>
        <v>0</v>
      </c>
      <c r="D305" s="678">
        <v>0</v>
      </c>
      <c r="E305" s="769" t="str">
        <f t="shared" si="4"/>
        <v>-</v>
      </c>
      <c r="F305" s="694"/>
    </row>
    <row r="306" spans="1:6" x14ac:dyDescent="0.2">
      <c r="A306" s="560">
        <v>295</v>
      </c>
      <c r="B306" s="830" t="str">
        <f>_xlfn.XLOOKUP(A306,Códigos!$A$11:$A$415,Códigos!$B$11:$B$415,"Verificar",0)</f>
        <v>NOMBRE 77</v>
      </c>
      <c r="C306" s="684">
        <f>SUMIF('CARTERA del año'!$A$7:$A$560,A306,'CARTERA del año'!$H$7:$H$560)+SUMIF('CARTERA de la OFICINA'!$A$9:$A$170,A306,'CARTERA de la OFICINA'!$H$9:$H$170)</f>
        <v>0</v>
      </c>
      <c r="D306" s="678"/>
      <c r="E306" s="769" t="str">
        <f t="shared" si="4"/>
        <v>-</v>
      </c>
      <c r="F306" s="694"/>
    </row>
    <row r="307" spans="1:6" x14ac:dyDescent="0.2">
      <c r="A307" s="560">
        <v>296</v>
      </c>
      <c r="B307" s="830" t="str">
        <f>_xlfn.XLOOKUP(A307,Códigos!$A$11:$A$415,Códigos!$B$11:$B$415,"Verificar",0)</f>
        <v>NOMBRE 300</v>
      </c>
      <c r="C307" s="684">
        <f>SUMIF('CARTERA del año'!$A$7:$A$560,A307,'CARTERA del año'!$H$7:$H$560)+SUMIF('CARTERA de la OFICINA'!$A$9:$A$170,A307,'CARTERA de la OFICINA'!$H$9:$H$170)</f>
        <v>535500</v>
      </c>
      <c r="D307" s="678"/>
      <c r="E307" s="769" t="str">
        <f t="shared" si="4"/>
        <v>VIGENTE</v>
      </c>
      <c r="F307" s="973"/>
    </row>
    <row r="308" spans="1:6" x14ac:dyDescent="0.2">
      <c r="A308" s="560">
        <v>297</v>
      </c>
      <c r="B308" s="830" t="str">
        <f>_xlfn.XLOOKUP(A308,Códigos!$A$11:$A$415,Códigos!$B$11:$B$415,"Verificar",0)</f>
        <v>NOMBRE 252</v>
      </c>
      <c r="C308" s="684">
        <f>SUMIF('CARTERA del año'!$A$7:$A$560,A308,'CARTERA del año'!$H$7:$H$560)+SUMIF('CARTERA de la OFICINA'!$A$9:$A$170,A308,'CARTERA de la OFICINA'!$H$9:$H$170)</f>
        <v>0</v>
      </c>
      <c r="D308" s="678"/>
      <c r="E308" s="769" t="str">
        <f t="shared" si="4"/>
        <v>-</v>
      </c>
      <c r="F308" s="694"/>
    </row>
    <row r="309" spans="1:6" x14ac:dyDescent="0.2">
      <c r="A309" s="560">
        <v>298</v>
      </c>
      <c r="B309" s="830" t="str">
        <f>_xlfn.XLOOKUP(A309,Códigos!$A$11:$A$415,Códigos!$B$11:$B$415,"Verificar",0)</f>
        <v>NOMBRE 283</v>
      </c>
      <c r="C309" s="684">
        <f>SUMIF('CARTERA del año'!$A$7:$A$560,A309,'CARTERA del año'!$H$7:$H$560)+SUMIF('CARTERA de la OFICINA'!$A$9:$A$170,A309,'CARTERA de la OFICINA'!$H$9:$H$170)</f>
        <v>958000</v>
      </c>
      <c r="D309" s="678"/>
      <c r="E309" s="769" t="str">
        <f t="shared" si="4"/>
        <v>VIGENTE</v>
      </c>
      <c r="F309" s="694"/>
    </row>
    <row r="310" spans="1:6" x14ac:dyDescent="0.2">
      <c r="A310" s="560">
        <v>299</v>
      </c>
      <c r="B310" s="830" t="str">
        <f>_xlfn.XLOOKUP(A310,Códigos!$A$11:$A$415,Códigos!$B$11:$B$415,"Verificar",0)</f>
        <v>NOMBRE 76</v>
      </c>
      <c r="C310" s="684">
        <f>SUMIF('CARTERA del año'!$A$7:$A$560,A310,'CARTERA del año'!$H$7:$H$560)+SUMIF('CARTERA de la OFICINA'!$A$9:$A$170,A310,'CARTERA de la OFICINA'!$H$9:$H$170)</f>
        <v>0</v>
      </c>
      <c r="D310" s="678"/>
      <c r="E310" s="769" t="str">
        <f t="shared" si="4"/>
        <v>-</v>
      </c>
      <c r="F310" s="694"/>
    </row>
    <row r="311" spans="1:6" x14ac:dyDescent="0.2">
      <c r="A311" s="560">
        <v>300</v>
      </c>
      <c r="B311" s="830" t="str">
        <f>_xlfn.XLOOKUP(A311,Códigos!$A$11:$A$415,Códigos!$B$11:$B$415,"Verificar",0)</f>
        <v>NOMBRE 3</v>
      </c>
      <c r="C311" s="684">
        <f>SUMIF('CARTERA del año'!$A$7:$A$560,A311,'CARTERA del año'!$H$7:$H$560)+SUMIF('CARTERA de la OFICINA'!$A$9:$A$170,A311,'CARTERA de la OFICINA'!$H$9:$H$170)</f>
        <v>470000</v>
      </c>
      <c r="D311" s="678">
        <v>0</v>
      </c>
      <c r="E311" s="769" t="str">
        <f t="shared" si="4"/>
        <v>VIGENTE</v>
      </c>
      <c r="F311" s="694"/>
    </row>
    <row r="312" spans="1:6" x14ac:dyDescent="0.2">
      <c r="A312" s="560">
        <v>301</v>
      </c>
      <c r="B312" s="830" t="str">
        <f>_xlfn.XLOOKUP(A312,Códigos!$A$11:$A$415,Códigos!$B$11:$B$415,"Verificar",0)</f>
        <v>NOMBRE 84</v>
      </c>
      <c r="C312" s="684">
        <f>SUMIF('CARTERA del año'!$A$7:$A$560,A312,'CARTERA del año'!$H$7:$H$560)+SUMIF('CARTERA de la OFICINA'!$A$9:$A$170,A312,'CARTERA de la OFICINA'!$H$9:$H$170)</f>
        <v>0</v>
      </c>
      <c r="D312" s="678">
        <v>1</v>
      </c>
      <c r="E312" s="769" t="str">
        <f t="shared" si="4"/>
        <v>-</v>
      </c>
      <c r="F312" s="694"/>
    </row>
    <row r="313" spans="1:6" x14ac:dyDescent="0.2">
      <c r="A313" s="560">
        <v>302</v>
      </c>
      <c r="B313" s="830" t="str">
        <f>_xlfn.XLOOKUP(A313,Códigos!$A$11:$A$415,Códigos!$B$11:$B$415,"Verificar",0)</f>
        <v>NOMBRE 258</v>
      </c>
      <c r="C313" s="684">
        <f>SUMIF('CARTERA del año'!$A$7:$A$560,A313,'CARTERA del año'!$H$7:$H$560)+SUMIF('CARTERA de la OFICINA'!$A$9:$A$170,A313,'CARTERA de la OFICINA'!$H$9:$H$170)</f>
        <v>0</v>
      </c>
      <c r="D313" s="678"/>
      <c r="E313" s="769" t="str">
        <f t="shared" si="4"/>
        <v>-</v>
      </c>
      <c r="F313" s="694"/>
    </row>
    <row r="314" spans="1:6" x14ac:dyDescent="0.2">
      <c r="A314" s="560">
        <v>303</v>
      </c>
      <c r="B314" s="830" t="str">
        <f>_xlfn.XLOOKUP(A314,Códigos!$A$11:$A$415,Códigos!$B$11:$B$415,"Verificar",0)</f>
        <v>NOMBRE 66</v>
      </c>
      <c r="C314" s="684">
        <f>SUMIF('CARTERA del año'!$A$7:$A$560,A314,'CARTERA del año'!$H$7:$H$560)+SUMIF('CARTERA de la OFICINA'!$A$9:$A$170,A314,'CARTERA de la OFICINA'!$H$9:$H$170)</f>
        <v>1370000</v>
      </c>
      <c r="D314" s="678"/>
      <c r="E314" s="769" t="str">
        <f t="shared" si="4"/>
        <v>VIGENTE</v>
      </c>
      <c r="F314" s="694"/>
    </row>
    <row r="315" spans="1:6" x14ac:dyDescent="0.2">
      <c r="A315" s="560">
        <v>304</v>
      </c>
      <c r="B315" s="830" t="str">
        <f>_xlfn.XLOOKUP(A315,Códigos!$A$11:$A$415,Códigos!$B$11:$B$415,"Verificar",0)</f>
        <v>NOMBRE 281</v>
      </c>
      <c r="C315" s="684">
        <f>SUMIF('CARTERA del año'!$A$7:$A$560,A315,'CARTERA del año'!$H$7:$H$560)+SUMIF('CARTERA de la OFICINA'!$A$9:$A$170,A315,'CARTERA de la OFICINA'!$H$9:$H$170)</f>
        <v>0</v>
      </c>
      <c r="D315" s="678"/>
      <c r="E315" s="769" t="str">
        <f t="shared" si="4"/>
        <v>-</v>
      </c>
      <c r="F315" s="694"/>
    </row>
    <row r="316" spans="1:6" x14ac:dyDescent="0.2">
      <c r="A316" s="560">
        <v>305</v>
      </c>
      <c r="B316" s="830" t="str">
        <f>_xlfn.XLOOKUP(A316,Códigos!$A$11:$A$415,Códigos!$B$11:$B$415,"Verificar",0)</f>
        <v>NOMBRE 137</v>
      </c>
      <c r="C316" s="684">
        <f>SUMIF('CARTERA del año'!$A$7:$A$560,A316,'CARTERA del año'!$H$7:$H$560)+SUMIF('CARTERA de la OFICINA'!$A$9:$A$170,A316,'CARTERA de la OFICINA'!$H$9:$H$170)</f>
        <v>0</v>
      </c>
      <c r="D316" s="678">
        <v>0</v>
      </c>
      <c r="E316" s="769" t="str">
        <f t="shared" si="4"/>
        <v>-</v>
      </c>
      <c r="F316" s="694"/>
    </row>
    <row r="317" spans="1:6" x14ac:dyDescent="0.2">
      <c r="A317" s="560">
        <v>306</v>
      </c>
      <c r="B317" s="830" t="str">
        <f>_xlfn.XLOOKUP(A317,Códigos!$A$11:$A$415,Códigos!$B$11:$B$415,"Verificar",0)</f>
        <v>NOMBRE 33</v>
      </c>
      <c r="C317" s="684">
        <f>SUMIF('CARTERA del año'!$A$7:$A$560,A317,'CARTERA del año'!$H$7:$H$560)+SUMIF('CARTERA de la OFICINA'!$A$9:$A$170,A317,'CARTERA de la OFICINA'!$H$9:$H$170)</f>
        <v>300000</v>
      </c>
      <c r="D317" s="678">
        <v>0</v>
      </c>
      <c r="E317" s="769" t="str">
        <f t="shared" si="4"/>
        <v>VIGENTE</v>
      </c>
      <c r="F317" s="973" t="s">
        <v>743</v>
      </c>
    </row>
    <row r="318" spans="1:6" x14ac:dyDescent="0.2">
      <c r="A318" s="560">
        <v>307</v>
      </c>
      <c r="B318" s="830" t="str">
        <f>_xlfn.XLOOKUP(A318,Códigos!$A$11:$A$415,Códigos!$B$11:$B$415,"Verificar",0)</f>
        <v>NOMBRE 275</v>
      </c>
      <c r="C318" s="684">
        <f>SUMIF('CARTERA del año'!$A$7:$A$560,A318,'CARTERA del año'!$H$7:$H$560)+SUMIF('CARTERA de la OFICINA'!$A$9:$A$170,A318,'CARTERA de la OFICINA'!$H$9:$H$170)</f>
        <v>0</v>
      </c>
      <c r="D318" s="678"/>
      <c r="E318" s="769" t="str">
        <f t="shared" si="4"/>
        <v>-</v>
      </c>
      <c r="F318" s="694"/>
    </row>
    <row r="319" spans="1:6" x14ac:dyDescent="0.2">
      <c r="A319" s="560">
        <v>308</v>
      </c>
      <c r="B319" s="830" t="str">
        <f>_xlfn.XLOOKUP(A319,Códigos!$A$11:$A$415,Códigos!$B$11:$B$415,"Verificar",0)</f>
        <v>NOMBRE 277</v>
      </c>
      <c r="C319" s="684">
        <f>SUMIF('CARTERA del año'!$A$7:$A$560,A319,'CARTERA del año'!$H$7:$H$560)+SUMIF('CARTERA de la OFICINA'!$A$9:$A$170,A319,'CARTERA de la OFICINA'!$H$9:$H$170)</f>
        <v>230000</v>
      </c>
      <c r="D319" s="678"/>
      <c r="E319" s="769" t="str">
        <f t="shared" si="4"/>
        <v>VIGENTE</v>
      </c>
      <c r="F319" s="694"/>
    </row>
    <row r="320" spans="1:6" x14ac:dyDescent="0.2">
      <c r="A320" s="560">
        <v>309</v>
      </c>
      <c r="B320" s="830" t="str">
        <f>_xlfn.XLOOKUP(A320,Códigos!$A$11:$A$415,Códigos!$B$11:$B$415,"Verificar",0)</f>
        <v>NOMBRE 91</v>
      </c>
      <c r="C320" s="684">
        <f>SUMIF('CARTERA del año'!$A$7:$A$560,A320,'CARTERA del año'!$H$7:$H$560)+SUMIF('CARTERA de la OFICINA'!$A$9:$A$170,A320,'CARTERA de la OFICINA'!$H$9:$H$170)</f>
        <v>160000</v>
      </c>
      <c r="D320" s="678"/>
      <c r="E320" s="769" t="str">
        <f t="shared" si="4"/>
        <v>VIGENTE</v>
      </c>
      <c r="F320" s="694"/>
    </row>
    <row r="321" spans="1:6" x14ac:dyDescent="0.2">
      <c r="A321" s="560">
        <v>310</v>
      </c>
      <c r="B321" s="830" t="str">
        <f>_xlfn.XLOOKUP(A321,Códigos!$A$11:$A$415,Códigos!$B$11:$B$415,"Verificar",0)</f>
        <v>NOMBRE 177</v>
      </c>
      <c r="C321" s="684">
        <f>SUMIF('CARTERA del año'!$A$7:$A$560,A321,'CARTERA del año'!$H$7:$H$560)+SUMIF('CARTERA de la OFICINA'!$A$9:$A$170,A321,'CARTERA de la OFICINA'!$H$9:$H$170)</f>
        <v>0</v>
      </c>
      <c r="D321" s="678"/>
      <c r="E321" s="769" t="str">
        <f t="shared" si="4"/>
        <v>-</v>
      </c>
      <c r="F321" s="694"/>
    </row>
    <row r="322" spans="1:6" x14ac:dyDescent="0.2">
      <c r="A322" s="560">
        <v>311</v>
      </c>
      <c r="B322" s="830" t="str">
        <f>_xlfn.XLOOKUP(A322,Códigos!$A$11:$A$415,Códigos!$B$11:$B$415,"Verificar",0)</f>
        <v>NOMBRE 315</v>
      </c>
      <c r="C322" s="684">
        <f>SUMIF('CARTERA del año'!$A$7:$A$560,A322,'CARTERA del año'!$H$7:$H$560)+SUMIF('CARTERA de la OFICINA'!$A$9:$A$170,A322,'CARTERA de la OFICINA'!$H$9:$H$170)</f>
        <v>1000000</v>
      </c>
      <c r="D322" s="678"/>
      <c r="E322" s="769" t="str">
        <f t="shared" si="4"/>
        <v>VIGENTE</v>
      </c>
      <c r="F322" s="694"/>
    </row>
    <row r="323" spans="1:6" x14ac:dyDescent="0.2">
      <c r="A323" s="560">
        <v>312</v>
      </c>
      <c r="B323" s="830" t="str">
        <f>_xlfn.XLOOKUP(A323,Códigos!$A$11:$A$415,Códigos!$B$11:$B$415,"Verificar",0)</f>
        <v>NOMBRE 4</v>
      </c>
      <c r="C323" s="684">
        <f>SUMIF('CARTERA del año'!$A$7:$A$560,A323,'CARTERA del año'!$H$7:$H$560)+SUMIF('CARTERA de la OFICINA'!$A$9:$A$170,A323,'CARTERA de la OFICINA'!$H$9:$H$170)</f>
        <v>0</v>
      </c>
      <c r="D323" s="678"/>
      <c r="E323" s="769" t="str">
        <f t="shared" si="4"/>
        <v>-</v>
      </c>
      <c r="F323" s="694"/>
    </row>
    <row r="324" spans="1:6" x14ac:dyDescent="0.2">
      <c r="A324" s="560">
        <v>313</v>
      </c>
      <c r="B324" s="830" t="str">
        <f>_xlfn.XLOOKUP(A324,Códigos!$A$11:$A$415,Códigos!$B$11:$B$415,"Verificar",0)</f>
        <v>NOMBRE 70</v>
      </c>
      <c r="C324" s="684">
        <f>SUMIF('CARTERA del año'!$A$7:$A$560,A324,'CARTERA del año'!$H$7:$H$560)+SUMIF('CARTERA de la OFICINA'!$A$9:$A$170,A324,'CARTERA de la OFICINA'!$H$9:$H$170)</f>
        <v>0</v>
      </c>
      <c r="D324" s="678"/>
      <c r="E324" s="769" t="str">
        <f t="shared" si="4"/>
        <v>-</v>
      </c>
      <c r="F324" s="694"/>
    </row>
    <row r="325" spans="1:6" x14ac:dyDescent="0.2">
      <c r="A325" s="560">
        <v>314</v>
      </c>
      <c r="B325" s="830" t="str">
        <f>_xlfn.XLOOKUP(A325,Códigos!$A$11:$A$415,Códigos!$B$11:$B$415,"Verificar",0)</f>
        <v>NOMBRE 150</v>
      </c>
      <c r="C325" s="684">
        <f>SUMIF('CARTERA del año'!$A$7:$A$560,A325,'CARTERA del año'!$H$7:$H$560)+SUMIF('CARTERA de la OFICINA'!$A$9:$A$170,A325,'CARTERA de la OFICINA'!$H$9:$H$170)</f>
        <v>0</v>
      </c>
      <c r="D325" s="678">
        <v>2</v>
      </c>
      <c r="E325" s="769" t="str">
        <f t="shared" si="4"/>
        <v>-</v>
      </c>
      <c r="F325" s="694"/>
    </row>
    <row r="326" spans="1:6" x14ac:dyDescent="0.2">
      <c r="A326" s="560">
        <v>315</v>
      </c>
      <c r="B326" s="830" t="str">
        <f>_xlfn.XLOOKUP(A326,Códigos!$A$11:$A$415,Códigos!$B$11:$B$415,"Verificar",0)</f>
        <v>NOMBRE 183</v>
      </c>
      <c r="C326" s="684">
        <f>SUMIF('CARTERA del año'!$A$7:$A$560,A326,'CARTERA del año'!$H$7:$H$560)+SUMIF('CARTERA de la OFICINA'!$A$9:$A$170,A326,'CARTERA de la OFICINA'!$H$9:$H$170)</f>
        <v>470000</v>
      </c>
      <c r="D326" s="678"/>
      <c r="E326" s="769" t="str">
        <f t="shared" si="4"/>
        <v>VIGENTE</v>
      </c>
      <c r="F326" s="694"/>
    </row>
    <row r="327" spans="1:6" x14ac:dyDescent="0.2">
      <c r="A327" s="560">
        <v>316</v>
      </c>
      <c r="B327" s="830" t="str">
        <f>_xlfn.XLOOKUP(A327,Códigos!$A$11:$A$415,Códigos!$B$11:$B$415,"Verificar",0)</f>
        <v>NOMBRE 285</v>
      </c>
      <c r="C327" s="684">
        <f>SUMIF('CARTERA del año'!$A$7:$A$560,A327,'CARTERA del año'!$H$7:$H$560)+SUMIF('CARTERA de la OFICINA'!$A$9:$A$170,A327,'CARTERA de la OFICINA'!$H$9:$H$170)</f>
        <v>0</v>
      </c>
      <c r="D327" s="678">
        <v>2</v>
      </c>
      <c r="E327" s="769" t="str">
        <f t="shared" si="4"/>
        <v>-</v>
      </c>
      <c r="F327" s="694"/>
    </row>
    <row r="328" spans="1:6" x14ac:dyDescent="0.2">
      <c r="A328" s="560">
        <v>317</v>
      </c>
      <c r="B328" s="830" t="str">
        <f>_xlfn.XLOOKUP(A328,Códigos!$A$11:$A$415,Códigos!$B$11:$B$415,"Verificar",0)</f>
        <v>NOMBRE 305</v>
      </c>
      <c r="C328" s="684">
        <f>SUMIF('CARTERA del año'!$A$7:$A$560,A328,'CARTERA del año'!$H$7:$H$560)+SUMIF('CARTERA de la OFICINA'!$A$9:$A$170,A328,'CARTERA de la OFICINA'!$H$9:$H$170)</f>
        <v>920000</v>
      </c>
      <c r="D328" s="678"/>
      <c r="E328" s="769" t="str">
        <f t="shared" si="4"/>
        <v>VIGENTE</v>
      </c>
      <c r="F328" s="694"/>
    </row>
    <row r="329" spans="1:6" x14ac:dyDescent="0.2">
      <c r="A329" s="560">
        <v>318</v>
      </c>
      <c r="B329" s="830" t="str">
        <f>_xlfn.XLOOKUP(A329,Códigos!$A$11:$A$415,Códigos!$B$11:$B$415,"Verificar",0)</f>
        <v>NOMBRE 172</v>
      </c>
      <c r="C329" s="684">
        <f>SUMIF('CARTERA del año'!$A$7:$A$560,A329,'CARTERA del año'!$H$7:$H$560)+SUMIF('CARTERA de la OFICINA'!$A$9:$A$170,A329,'CARTERA de la OFICINA'!$H$9:$H$170)</f>
        <v>0</v>
      </c>
      <c r="D329" s="678">
        <v>0</v>
      </c>
      <c r="E329" s="769" t="str">
        <f t="shared" si="4"/>
        <v>-</v>
      </c>
      <c r="F329" s="694"/>
    </row>
    <row r="330" spans="1:6" x14ac:dyDescent="0.2">
      <c r="A330" s="560">
        <v>319</v>
      </c>
      <c r="B330" s="830" t="str">
        <f>_xlfn.XLOOKUP(A330,Códigos!$A$11:$A$415,Códigos!$B$11:$B$415,"Verificar",0)</f>
        <v>NOMBRE 309</v>
      </c>
      <c r="C330" s="684">
        <f>SUMIF('CARTERA del año'!$A$7:$A$560,A330,'CARTERA del año'!$H$7:$H$560)+SUMIF('CARTERA de la OFICINA'!$A$9:$A$170,A330,'CARTERA de la OFICINA'!$H$9:$H$170)</f>
        <v>0</v>
      </c>
      <c r="D330" s="678">
        <v>0</v>
      </c>
      <c r="E330" s="769" t="str">
        <f t="shared" si="4"/>
        <v>-</v>
      </c>
      <c r="F330" s="694"/>
    </row>
    <row r="331" spans="1:6" x14ac:dyDescent="0.2">
      <c r="A331" s="560">
        <v>320</v>
      </c>
      <c r="B331" s="830" t="str">
        <f>_xlfn.XLOOKUP(A331,Códigos!$A$11:$A$415,Códigos!$B$11:$B$415,"Verificar",0)</f>
        <v>NOMBRE 242</v>
      </c>
      <c r="C331" s="684">
        <f>SUMIF('CARTERA del año'!$A$7:$A$560,A331,'CARTERA del año'!$H$7:$H$560)+SUMIF('CARTERA de la OFICINA'!$A$9:$A$170,A331,'CARTERA de la OFICINA'!$H$9:$H$170)</f>
        <v>0</v>
      </c>
      <c r="D331" s="678"/>
      <c r="E331" s="769" t="str">
        <f t="shared" si="4"/>
        <v>-</v>
      </c>
      <c r="F331" s="694"/>
    </row>
    <row r="332" spans="1:6" x14ac:dyDescent="0.2">
      <c r="A332" s="560">
        <v>321</v>
      </c>
      <c r="B332" s="830" t="str">
        <f>_xlfn.XLOOKUP(A332,Códigos!$A$11:$A$415,Códigos!$B$11:$B$415,"Verificar",0)</f>
        <v>NOMBRE 256</v>
      </c>
      <c r="C332" s="684">
        <f>SUMIF('CARTERA del año'!$A$7:$A$560,A332,'CARTERA del año'!$H$7:$H$560)+SUMIF('CARTERA de la OFICINA'!$A$9:$A$170,A332,'CARTERA de la OFICINA'!$H$9:$H$170)</f>
        <v>0</v>
      </c>
      <c r="D332" s="678">
        <v>3</v>
      </c>
      <c r="E332" s="769" t="str">
        <f t="shared" si="4"/>
        <v>-</v>
      </c>
      <c r="F332" s="557" t="s">
        <v>591</v>
      </c>
    </row>
    <row r="333" spans="1:6" x14ac:dyDescent="0.2">
      <c r="A333" s="560">
        <v>322</v>
      </c>
      <c r="B333" s="830" t="str">
        <f>_xlfn.XLOOKUP(A333,Códigos!$A$11:$A$415,Códigos!$B$11:$B$415,"Verificar",0)</f>
        <v>NOMBRE 37</v>
      </c>
      <c r="C333" s="684">
        <f>SUMIF('CARTERA del año'!$A$7:$A$560,A333,'CARTERA del año'!$H$7:$H$560)+SUMIF('CARTERA de la OFICINA'!$A$9:$A$170,A333,'CARTERA de la OFICINA'!$H$9:$H$170)</f>
        <v>0</v>
      </c>
      <c r="D333" s="678"/>
      <c r="E333" s="769" t="str">
        <f t="shared" si="4"/>
        <v>-</v>
      </c>
      <c r="F333" s="694"/>
    </row>
    <row r="334" spans="1:6" x14ac:dyDescent="0.2">
      <c r="A334" s="560">
        <v>323</v>
      </c>
      <c r="B334" s="830" t="str">
        <f>_xlfn.XLOOKUP(A334,Códigos!$A$11:$A$415,Códigos!$B$11:$B$415,"Verificar",0)</f>
        <v>NOMBRE 278</v>
      </c>
      <c r="C334" s="684">
        <f>SUMIF('CARTERA del año'!$A$7:$A$560,A334,'CARTERA del año'!$H$7:$H$560)+SUMIF('CARTERA de la OFICINA'!$A$9:$A$170,A334,'CARTERA de la OFICINA'!$H$9:$H$170)</f>
        <v>0</v>
      </c>
      <c r="D334" s="678"/>
      <c r="E334" s="769" t="str">
        <f t="shared" si="4"/>
        <v>-</v>
      </c>
      <c r="F334" s="694"/>
    </row>
    <row r="335" spans="1:6" x14ac:dyDescent="0.2">
      <c r="A335" s="560">
        <v>324</v>
      </c>
      <c r="B335" s="830" t="str">
        <f>_xlfn.XLOOKUP(A335,Códigos!$A$11:$A$415,Códigos!$B$11:$B$415,"Verificar",0)</f>
        <v>NOMBRE 71</v>
      </c>
      <c r="C335" s="684">
        <f>SUMIF('CARTERA del año'!$A$7:$A$560,A335,'CARTERA del año'!$H$7:$H$560)+SUMIF('CARTERA de la OFICINA'!$A$9:$A$170,A335,'CARTERA de la OFICINA'!$H$9:$H$170)</f>
        <v>0</v>
      </c>
      <c r="D335" s="678"/>
      <c r="E335" s="769" t="str">
        <f t="shared" ref="E335:E391" si="5">IF(C335&gt;0,IF(D335=$D$2,"VIGENTE",IF(D335=$D$3,"DUDOSO RECAUDO",IF(D335=$D$4,"PERDIDA",IF(D335=$D$5,"REVISAR",)))),"-")</f>
        <v>-</v>
      </c>
      <c r="F335" s="694"/>
    </row>
    <row r="336" spans="1:6" x14ac:dyDescent="0.2">
      <c r="A336" s="560">
        <v>325</v>
      </c>
      <c r="B336" s="830" t="str">
        <f>_xlfn.XLOOKUP(A336,Códigos!$A$11:$A$415,Códigos!$B$11:$B$415,"Verificar",0)</f>
        <v>NOMBRE 179</v>
      </c>
      <c r="C336" s="684">
        <f>SUMIF('CARTERA del año'!$A$7:$A$560,A336,'CARTERA del año'!$H$7:$H$560)+SUMIF('CARTERA de la OFICINA'!$A$9:$A$170,A336,'CARTERA de la OFICINA'!$H$9:$H$170)</f>
        <v>0</v>
      </c>
      <c r="D336" s="678"/>
      <c r="E336" s="769" t="str">
        <f t="shared" si="5"/>
        <v>-</v>
      </c>
      <c r="F336" s="694"/>
    </row>
    <row r="337" spans="1:6" x14ac:dyDescent="0.2">
      <c r="A337" s="560">
        <v>326</v>
      </c>
      <c r="B337" s="830" t="str">
        <f>_xlfn.XLOOKUP(A337,Códigos!$A$11:$A$415,Códigos!$B$11:$B$415,"Verificar",0)</f>
        <v>NOMBRE 297</v>
      </c>
      <c r="C337" s="684">
        <f>SUMIF('CARTERA del año'!$A$7:$A$560,A337,'CARTERA del año'!$H$7:$H$560)+SUMIF('CARTERA de la OFICINA'!$A$9:$A$170,A337,'CARTERA de la OFICINA'!$H$9:$H$170)</f>
        <v>0</v>
      </c>
      <c r="D337" s="678"/>
      <c r="E337" s="769" t="str">
        <f t="shared" si="5"/>
        <v>-</v>
      </c>
      <c r="F337" s="694"/>
    </row>
    <row r="338" spans="1:6" x14ac:dyDescent="0.2">
      <c r="A338" s="560">
        <v>327</v>
      </c>
      <c r="B338" s="830" t="str">
        <f>_xlfn.XLOOKUP(A338,Códigos!$A$11:$A$415,Códigos!$B$11:$B$415,"Verificar",0)</f>
        <v>NOMBRE 320</v>
      </c>
      <c r="C338" s="684">
        <f>SUMIF('CARTERA del año'!$A$7:$A$560,A338,'CARTERA del año'!$H$7:$H$560)+SUMIF('CARTERA de la OFICINA'!$A$9:$A$170,A338,'CARTERA de la OFICINA'!$H$9:$H$170)</f>
        <v>0</v>
      </c>
      <c r="D338" s="678"/>
      <c r="E338" s="769" t="str">
        <f t="shared" si="5"/>
        <v>-</v>
      </c>
      <c r="F338" s="694"/>
    </row>
    <row r="339" spans="1:6" x14ac:dyDescent="0.2">
      <c r="A339" s="560">
        <v>328</v>
      </c>
      <c r="B339" s="830" t="str">
        <f>_xlfn.XLOOKUP(A339,Códigos!$A$11:$A$415,Códigos!$B$11:$B$415,"Verificar",0)</f>
        <v>NOMBRE 265</v>
      </c>
      <c r="C339" s="684">
        <f>SUMIF('CARTERA del año'!$A$7:$A$560,A339,'CARTERA del año'!$H$7:$H$560)+SUMIF('CARTERA de la OFICINA'!$A$9:$A$170,A339,'CARTERA de la OFICINA'!$H$9:$H$170)</f>
        <v>0</v>
      </c>
      <c r="D339" s="678">
        <v>2</v>
      </c>
      <c r="E339" s="769" t="str">
        <f t="shared" si="5"/>
        <v>-</v>
      </c>
      <c r="F339" s="557"/>
    </row>
    <row r="340" spans="1:6" x14ac:dyDescent="0.2">
      <c r="A340" s="560">
        <v>329</v>
      </c>
      <c r="B340" s="830" t="str">
        <f>_xlfn.XLOOKUP(A340,Códigos!$A$11:$A$415,Códigos!$B$11:$B$415,"Verificar",0)</f>
        <v>NOMBRE 85</v>
      </c>
      <c r="C340" s="684">
        <f>SUMIF('CARTERA del año'!$A$7:$A$560,A340,'CARTERA del año'!$H$7:$H$560)+SUMIF('CARTERA de la OFICINA'!$A$9:$A$170,A340,'CARTERA de la OFICINA'!$H$9:$H$170)</f>
        <v>330000</v>
      </c>
      <c r="D340" s="678">
        <v>0</v>
      </c>
      <c r="E340" s="769" t="str">
        <f t="shared" si="5"/>
        <v>VIGENTE</v>
      </c>
      <c r="F340" s="694"/>
    </row>
    <row r="341" spans="1:6" x14ac:dyDescent="0.2">
      <c r="A341" s="560">
        <v>330</v>
      </c>
      <c r="B341" s="830" t="str">
        <f>_xlfn.XLOOKUP(A341,Códigos!$A$11:$A$415,Códigos!$B$11:$B$415,"Verificar",0)</f>
        <v>NOMBRE 123</v>
      </c>
      <c r="C341" s="684">
        <f>SUMIF('CARTERA del año'!$A$7:$A$560,A341,'CARTERA del año'!$H$7:$H$560)+SUMIF('CARTERA de la OFICINA'!$A$9:$A$170,A341,'CARTERA de la OFICINA'!$H$9:$H$170)</f>
        <v>1050000</v>
      </c>
      <c r="D341" s="678"/>
      <c r="E341" s="769" t="str">
        <f t="shared" si="5"/>
        <v>VIGENTE</v>
      </c>
      <c r="F341" s="694"/>
    </row>
    <row r="342" spans="1:6" x14ac:dyDescent="0.2">
      <c r="A342" s="560">
        <v>331</v>
      </c>
      <c r="B342" s="830" t="str">
        <f>_xlfn.XLOOKUP(A342,Códigos!$A$11:$A$415,Códigos!$B$11:$B$415,"Verificar",0)</f>
        <v>NOMBRE 147</v>
      </c>
      <c r="C342" s="684">
        <f>SUMIF('CARTERA del año'!$A$7:$A$560,A342,'CARTERA del año'!$H$7:$H$560)+SUMIF('CARTERA de la OFICINA'!$A$9:$A$170,A342,'CARTERA de la OFICINA'!$H$9:$H$170)</f>
        <v>1050000</v>
      </c>
      <c r="D342" s="678"/>
      <c r="E342" s="769" t="str">
        <f t="shared" si="5"/>
        <v>VIGENTE</v>
      </c>
      <c r="F342" s="694"/>
    </row>
    <row r="343" spans="1:6" x14ac:dyDescent="0.2">
      <c r="A343" s="560">
        <v>332</v>
      </c>
      <c r="B343" s="830" t="str">
        <f>_xlfn.XLOOKUP(A343,Códigos!$A$11:$A$415,Códigos!$B$11:$B$415,"Verificar",0)</f>
        <v>NOMBRE 295</v>
      </c>
      <c r="C343" s="684">
        <f>SUMIF('CARTERA del año'!$A$7:$A$560,A343,'CARTERA del año'!$H$7:$H$560)+SUMIF('CARTERA de la OFICINA'!$A$9:$A$170,A343,'CARTERA de la OFICINA'!$H$9:$H$170)</f>
        <v>0</v>
      </c>
      <c r="D343" s="678"/>
      <c r="E343" s="769" t="str">
        <f t="shared" si="5"/>
        <v>-</v>
      </c>
      <c r="F343" s="694"/>
    </row>
    <row r="344" spans="1:6" x14ac:dyDescent="0.2">
      <c r="A344" s="560">
        <v>333</v>
      </c>
      <c r="B344" s="830" t="str">
        <f>_xlfn.XLOOKUP(A344,Códigos!$A$11:$A$415,Códigos!$B$11:$B$415,"Verificar",0)</f>
        <v>NOMBRE 203</v>
      </c>
      <c r="C344" s="684">
        <f>SUMIF('CARTERA del año'!$A$7:$A$560,A344,'CARTERA del año'!$H$7:$H$560)+SUMIF('CARTERA de la OFICINA'!$A$9:$A$170,A344,'CARTERA de la OFICINA'!$H$9:$H$170)</f>
        <v>160000</v>
      </c>
      <c r="D344" s="678">
        <v>0</v>
      </c>
      <c r="E344" s="769" t="str">
        <f t="shared" si="5"/>
        <v>VIGENTE</v>
      </c>
      <c r="F344" s="694"/>
    </row>
    <row r="345" spans="1:6" x14ac:dyDescent="0.2">
      <c r="A345" s="560">
        <v>334</v>
      </c>
      <c r="B345" s="830" t="str">
        <f>_xlfn.XLOOKUP(A345,Códigos!$A$11:$A$415,Códigos!$B$11:$B$415,"Verificar",0)</f>
        <v>NOMBRE 263</v>
      </c>
      <c r="C345" s="684">
        <f>SUMIF('CARTERA del año'!$A$7:$A$560,A345,'CARTERA del año'!$H$7:$H$560)+SUMIF('CARTERA de la OFICINA'!$A$9:$A$170,A345,'CARTERA de la OFICINA'!$H$9:$H$170)</f>
        <v>240000</v>
      </c>
      <c r="D345" s="678">
        <v>0</v>
      </c>
      <c r="E345" s="769" t="str">
        <f t="shared" si="5"/>
        <v>VIGENTE</v>
      </c>
      <c r="F345" s="694"/>
    </row>
    <row r="346" spans="1:6" x14ac:dyDescent="0.2">
      <c r="A346" s="560">
        <v>335</v>
      </c>
      <c r="B346" s="830" t="str">
        <f>_xlfn.XLOOKUP(A346,Códigos!$A$11:$A$415,Códigos!$B$11:$B$415,"Verificar",0)</f>
        <v>NOMBRE 356</v>
      </c>
      <c r="C346" s="684">
        <f>SUMIF('CARTERA del año'!$A$7:$A$560,A346,'CARTERA del año'!$H$7:$H$560)+SUMIF('CARTERA de la OFICINA'!$A$9:$A$170,A346,'CARTERA de la OFICINA'!$H$9:$H$170)</f>
        <v>160000</v>
      </c>
      <c r="D346" s="678">
        <v>0</v>
      </c>
      <c r="E346" s="769" t="str">
        <f t="shared" si="5"/>
        <v>VIGENTE</v>
      </c>
      <c r="F346" s="694"/>
    </row>
    <row r="347" spans="1:6" x14ac:dyDescent="0.2">
      <c r="A347" s="560">
        <v>336</v>
      </c>
      <c r="B347" s="830" t="str">
        <f>_xlfn.XLOOKUP(A347,Códigos!$A$11:$A$415,Códigos!$B$11:$B$415,"Verificar",0)</f>
        <v>NOMBRE 361</v>
      </c>
      <c r="C347" s="684">
        <f>SUMIF('CARTERA del año'!$A$7:$A$560,A347,'CARTERA del año'!$H$7:$H$560)+SUMIF('CARTERA de la OFICINA'!$A$9:$A$170,A347,'CARTERA de la OFICINA'!$H$9:$H$170)</f>
        <v>150000</v>
      </c>
      <c r="D347" s="678"/>
      <c r="E347" s="769" t="str">
        <f t="shared" si="5"/>
        <v>VIGENTE</v>
      </c>
      <c r="F347" s="694"/>
    </row>
    <row r="348" spans="1:6" x14ac:dyDescent="0.2">
      <c r="A348" s="560">
        <v>337</v>
      </c>
      <c r="B348" s="830" t="str">
        <f>_xlfn.XLOOKUP(A348,Códigos!$A$11:$A$415,Códigos!$B$11:$B$415,"Verificar",0)</f>
        <v>NOMBRE 163</v>
      </c>
      <c r="C348" s="684">
        <f>SUMIF('CARTERA del año'!$A$7:$A$560,A348,'CARTERA del año'!$H$7:$H$560)+SUMIF('CARTERA de la OFICINA'!$A$9:$A$170,A348,'CARTERA de la OFICINA'!$H$9:$H$170)</f>
        <v>0</v>
      </c>
      <c r="D348" s="678"/>
      <c r="E348" s="769" t="str">
        <f t="shared" si="5"/>
        <v>-</v>
      </c>
      <c r="F348" s="557" t="s">
        <v>731</v>
      </c>
    </row>
    <row r="349" spans="1:6" x14ac:dyDescent="0.2">
      <c r="A349" s="560">
        <v>338</v>
      </c>
      <c r="B349" s="830" t="str">
        <f>_xlfn.XLOOKUP(A349,Códigos!$A$11:$A$415,Códigos!$B$11:$B$415,"Verificar",0)</f>
        <v>NOMBRE 69</v>
      </c>
      <c r="C349" s="684">
        <f>SUMIF('CARTERA del año'!$A$7:$A$560,A349,'CARTERA del año'!$H$7:$H$560)+SUMIF('CARTERA de la OFICINA'!$A$9:$A$170,A349,'CARTERA de la OFICINA'!$H$9:$H$170)</f>
        <v>0</v>
      </c>
      <c r="D349" s="678"/>
      <c r="E349" s="769" t="str">
        <f t="shared" si="5"/>
        <v>-</v>
      </c>
      <c r="F349" s="694"/>
    </row>
    <row r="350" spans="1:6" x14ac:dyDescent="0.2">
      <c r="A350" s="560">
        <v>339</v>
      </c>
      <c r="B350" s="830" t="str">
        <f>_xlfn.XLOOKUP(A350,Códigos!$A$11:$A$415,Códigos!$B$11:$B$415,"Verificar",0)</f>
        <v>NOMBRE 254</v>
      </c>
      <c r="C350" s="684">
        <f>SUMIF('CARTERA del año'!$A$7:$A$560,A350,'CARTERA del año'!$H$7:$H$560)+SUMIF('CARTERA de la OFICINA'!$A$9:$A$170,A350,'CARTERA de la OFICINA'!$H$9:$H$170)</f>
        <v>0</v>
      </c>
      <c r="D350" s="678">
        <v>0</v>
      </c>
      <c r="E350" s="769" t="str">
        <f t="shared" si="5"/>
        <v>-</v>
      </c>
      <c r="F350" s="694"/>
    </row>
    <row r="351" spans="1:6" x14ac:dyDescent="0.2">
      <c r="A351" s="560">
        <v>340</v>
      </c>
      <c r="B351" s="830" t="str">
        <f>_xlfn.XLOOKUP(A351,Códigos!$A$11:$A$415,Códigos!$B$11:$B$415,"Verificar",0)</f>
        <v>NOMBRE 72</v>
      </c>
      <c r="C351" s="684">
        <f>SUMIF('CARTERA del año'!$A$7:$A$560,A351,'CARTERA del año'!$H$7:$H$560)+SUMIF('CARTERA de la OFICINA'!$A$9:$A$170,A351,'CARTERA de la OFICINA'!$H$9:$H$170)</f>
        <v>0</v>
      </c>
      <c r="D351" s="678"/>
      <c r="E351" s="769" t="str">
        <f t="shared" si="5"/>
        <v>-</v>
      </c>
      <c r="F351" s="694"/>
    </row>
    <row r="352" spans="1:6" x14ac:dyDescent="0.2">
      <c r="A352" s="560">
        <v>341</v>
      </c>
      <c r="B352" s="830" t="str">
        <f>_xlfn.XLOOKUP(A352,Códigos!$A$11:$A$415,Códigos!$B$11:$B$415,"Verificar",0)</f>
        <v>NOMBRE 26</v>
      </c>
      <c r="C352" s="684">
        <f>SUMIF('CARTERA del año'!$A$7:$A$560,A352,'CARTERA del año'!$H$7:$H$560)+SUMIF('CARTERA de la OFICINA'!$A$9:$A$170,A352,'CARTERA de la OFICINA'!$H$9:$H$170)</f>
        <v>0</v>
      </c>
      <c r="D352" s="678">
        <v>0</v>
      </c>
      <c r="E352" s="769" t="str">
        <f t="shared" si="5"/>
        <v>-</v>
      </c>
      <c r="F352" s="694"/>
    </row>
    <row r="353" spans="1:6" x14ac:dyDescent="0.2">
      <c r="A353" s="560">
        <v>342</v>
      </c>
      <c r="B353" s="830" t="str">
        <f>_xlfn.XLOOKUP(A353,Códigos!$A$11:$A$415,Códigos!$B$11:$B$415,"Verificar",0)</f>
        <v>NOMBRE 264</v>
      </c>
      <c r="C353" s="684">
        <f>SUMIF('CARTERA del año'!$A$7:$A$560,A353,'CARTERA del año'!$H$7:$H$560)+SUMIF('CARTERA de la OFICINA'!$A$9:$A$170,A353,'CARTERA de la OFICINA'!$H$9:$H$170)</f>
        <v>120000</v>
      </c>
      <c r="D353" s="678">
        <v>0</v>
      </c>
      <c r="E353" s="769" t="str">
        <f t="shared" si="5"/>
        <v>VIGENTE</v>
      </c>
      <c r="F353" s="694"/>
    </row>
    <row r="354" spans="1:6" x14ac:dyDescent="0.2">
      <c r="A354" s="560">
        <v>343</v>
      </c>
      <c r="B354" s="830" t="str">
        <f>_xlfn.XLOOKUP(A354,Códigos!$A$11:$A$415,Códigos!$B$11:$B$415,"Verificar",0)</f>
        <v>NOMBRE 136</v>
      </c>
      <c r="C354" s="684">
        <f>SUMIF('CARTERA del año'!$A$7:$A$560,A354,'CARTERA del año'!$H$7:$H$560)+SUMIF('CARTERA de la OFICINA'!$A$9:$A$170,A354,'CARTERA de la OFICINA'!$H$9:$H$170)</f>
        <v>260000</v>
      </c>
      <c r="D354" s="678">
        <v>0</v>
      </c>
      <c r="E354" s="769" t="str">
        <f t="shared" si="5"/>
        <v>VIGENTE</v>
      </c>
      <c r="F354" s="694"/>
    </row>
    <row r="355" spans="1:6" x14ac:dyDescent="0.2">
      <c r="A355" s="560">
        <v>344</v>
      </c>
      <c r="B355" s="830" t="str">
        <f>_xlfn.XLOOKUP(A355,Códigos!$A$11:$A$415,Códigos!$B$11:$B$415,"Verificar",0)</f>
        <v>NOMBRE 204</v>
      </c>
      <c r="C355" s="684">
        <f>SUMIF('CARTERA del año'!$A$7:$A$560,A355,'CARTERA del año'!$H$7:$H$560)+SUMIF('CARTERA de la OFICINA'!$A$9:$A$170,A355,'CARTERA de la OFICINA'!$H$9:$H$170)</f>
        <v>0</v>
      </c>
      <c r="D355" s="678"/>
      <c r="E355" s="769" t="str">
        <f t="shared" si="5"/>
        <v>-</v>
      </c>
      <c r="F355" s="694"/>
    </row>
    <row r="356" spans="1:6" x14ac:dyDescent="0.2">
      <c r="A356" s="560">
        <v>345</v>
      </c>
      <c r="B356" s="830" t="str">
        <f>_xlfn.XLOOKUP(A356,Códigos!$A$11:$A$415,Códigos!$B$11:$B$415,"Verificar",0)</f>
        <v>NOMBRE 195</v>
      </c>
      <c r="C356" s="684">
        <f>SUMIF('CARTERA del año'!$A$7:$A$560,A356,'CARTERA del año'!$H$7:$H$560)+SUMIF('CARTERA de la OFICINA'!$A$9:$A$170,A356,'CARTERA de la OFICINA'!$H$9:$H$170)</f>
        <v>460000</v>
      </c>
      <c r="D356" s="678"/>
      <c r="E356" s="769" t="str">
        <f t="shared" si="5"/>
        <v>VIGENTE</v>
      </c>
      <c r="F356" s="694"/>
    </row>
    <row r="357" spans="1:6" x14ac:dyDescent="0.2">
      <c r="A357" s="560">
        <v>346</v>
      </c>
      <c r="B357" s="830" t="str">
        <f>_xlfn.XLOOKUP(A357,Códigos!$A$11:$A$415,Códigos!$B$11:$B$415,"Verificar",0)</f>
        <v>NOMBRE 2</v>
      </c>
      <c r="C357" s="684">
        <f>SUMIF('CARTERA del año'!$A$7:$A$560,A357,'CARTERA del año'!$H$7:$H$560)+SUMIF('CARTERA de la OFICINA'!$A$9:$A$170,A357,'CARTERA de la OFICINA'!$H$9:$H$170)</f>
        <v>0</v>
      </c>
      <c r="D357" s="678"/>
      <c r="E357" s="769" t="str">
        <f t="shared" si="5"/>
        <v>-</v>
      </c>
      <c r="F357" s="694"/>
    </row>
    <row r="358" spans="1:6" x14ac:dyDescent="0.2">
      <c r="A358" s="560">
        <v>347</v>
      </c>
      <c r="B358" s="830" t="str">
        <f>_xlfn.XLOOKUP(A358,Códigos!$A$11:$A$415,Códigos!$B$11:$B$415,"Verificar",0)</f>
        <v>NOMBRE 110</v>
      </c>
      <c r="C358" s="1202">
        <f>SUMIF('CARTERA del año'!$A$7:$A$560,A358,'CARTERA del año'!$H$7:$H$560)+SUMIF('CARTERA de la OFICINA'!$A$9:$A$170,A358,'CARTERA de la OFICINA'!$H$9:$H$170)</f>
        <v>0</v>
      </c>
      <c r="D358" s="678">
        <v>0</v>
      </c>
      <c r="E358" s="769" t="str">
        <f t="shared" si="5"/>
        <v>-</v>
      </c>
      <c r="F358" s="694"/>
    </row>
    <row r="359" spans="1:6" x14ac:dyDescent="0.2">
      <c r="A359" s="560">
        <v>348</v>
      </c>
      <c r="B359" s="830" t="str">
        <f>_xlfn.XLOOKUP(A359,Códigos!$A$11:$A$415,Códigos!$B$11:$B$415,"Verificar",0)</f>
        <v>NOMBRE 68</v>
      </c>
      <c r="C359" s="684">
        <f>SUMIF('CARTERA del año'!$A$7:$A$560,A359,'CARTERA del año'!$H$7:$H$560)+SUMIF('CARTERA de la OFICINA'!$A$9:$A$170,A359,'CARTERA de la OFICINA'!$H$9:$H$170)</f>
        <v>350000</v>
      </c>
      <c r="D359" s="678"/>
      <c r="E359" s="769" t="str">
        <f t="shared" si="5"/>
        <v>VIGENTE</v>
      </c>
      <c r="F359" s="694"/>
    </row>
    <row r="360" spans="1:6" x14ac:dyDescent="0.2">
      <c r="A360" s="560">
        <v>349</v>
      </c>
      <c r="B360" s="830" t="str">
        <f>_xlfn.XLOOKUP(A360,Códigos!$A$11:$A$415,Códigos!$B$11:$B$415,"Verificar",0)</f>
        <v>NOMBRE 73</v>
      </c>
      <c r="C360" s="684">
        <f>SUMIF('CARTERA del año'!$A$7:$A$560,A360,'CARTERA del año'!$H$7:$H$560)+SUMIF('CARTERA de la OFICINA'!$A$9:$A$170,A360,'CARTERA de la OFICINA'!$H$9:$H$170)</f>
        <v>992000</v>
      </c>
      <c r="D360" s="678"/>
      <c r="E360" s="769" t="str">
        <f t="shared" si="5"/>
        <v>VIGENTE</v>
      </c>
      <c r="F360" s="694"/>
    </row>
    <row r="361" spans="1:6" x14ac:dyDescent="0.2">
      <c r="A361" s="560">
        <v>350</v>
      </c>
      <c r="B361" s="830" t="str">
        <f>_xlfn.XLOOKUP(A361,Códigos!$A$11:$A$415,Códigos!$B$11:$B$415,"Verificar",0)</f>
        <v>NOMBRE 197</v>
      </c>
      <c r="C361" s="684">
        <f>SUMIF('CARTERA del año'!$A$7:$A$560,A361,'CARTERA del año'!$H$7:$H$560)+SUMIF('CARTERA de la OFICINA'!$A$9:$A$170,A361,'CARTERA de la OFICINA'!$H$9:$H$170)</f>
        <v>1930000</v>
      </c>
      <c r="D361" s="678">
        <v>0</v>
      </c>
      <c r="E361" s="769" t="str">
        <f t="shared" si="5"/>
        <v>VIGENTE</v>
      </c>
      <c r="F361" s="694"/>
    </row>
    <row r="362" spans="1:6" x14ac:dyDescent="0.2">
      <c r="A362" s="560">
        <v>351</v>
      </c>
      <c r="B362" s="830" t="str">
        <f>_xlfn.XLOOKUP(A362,Códigos!$A$11:$A$415,Códigos!$B$11:$B$415,"Verificar",0)</f>
        <v>NOMBRE 198</v>
      </c>
      <c r="C362" s="684">
        <f>SUMIF('CARTERA del año'!$A$7:$A$560,A362,'CARTERA del año'!$H$7:$H$560)+SUMIF('CARTERA de la OFICINA'!$A$9:$A$170,A362,'CARTERA de la OFICINA'!$H$9:$H$170)</f>
        <v>0</v>
      </c>
      <c r="D362" s="678"/>
      <c r="E362" s="769" t="str">
        <f t="shared" si="5"/>
        <v>-</v>
      </c>
      <c r="F362" s="694"/>
    </row>
    <row r="363" spans="1:6" x14ac:dyDescent="0.2">
      <c r="A363" s="560">
        <v>352</v>
      </c>
      <c r="B363" s="830" t="str">
        <f>_xlfn.XLOOKUP(A363,Códigos!$A$11:$A$415,Códigos!$B$11:$B$415,"Verificar",0)</f>
        <v>NOMBRE 227</v>
      </c>
      <c r="C363" s="684">
        <f>SUMIF('CARTERA del año'!$A$7:$A$560,A363,'CARTERA del año'!$H$7:$H$560)+SUMIF('CARTERA de la OFICINA'!$A$9:$A$170,A363,'CARTERA de la OFICINA'!$H$9:$H$170)</f>
        <v>0</v>
      </c>
      <c r="D363" s="678"/>
      <c r="E363" s="769" t="str">
        <f t="shared" si="5"/>
        <v>-</v>
      </c>
      <c r="F363" s="694"/>
    </row>
    <row r="364" spans="1:6" x14ac:dyDescent="0.2">
      <c r="A364" s="560">
        <v>353</v>
      </c>
      <c r="B364" s="830" t="str">
        <f>_xlfn.XLOOKUP(A364,Códigos!$A$11:$A$415,Códigos!$B$11:$B$415,"Verificar",0)</f>
        <v>NOMBRE 31</v>
      </c>
      <c r="C364" s="684">
        <f>SUMIF('CARTERA del año'!$A$7:$A$560,A364,'CARTERA del año'!$H$7:$H$560)+SUMIF('CARTERA de la OFICINA'!$A$9:$A$170,A364,'CARTERA de la OFICINA'!$H$9:$H$170)</f>
        <v>67737400</v>
      </c>
      <c r="D364" s="678">
        <v>0</v>
      </c>
      <c r="E364" s="769" t="str">
        <f t="shared" si="5"/>
        <v>VIGENTE</v>
      </c>
      <c r="F364" s="694"/>
    </row>
    <row r="365" spans="1:6" x14ac:dyDescent="0.2">
      <c r="A365" s="560">
        <v>354</v>
      </c>
      <c r="B365" s="830" t="str">
        <f>_xlfn.XLOOKUP(A365,Códigos!$A$11:$A$415,Códigos!$B$11:$B$415,"Verificar",0)</f>
        <v>NOMBRE 318</v>
      </c>
      <c r="C365" s="684">
        <f>SUMIF('CARTERA del año'!$A$7:$A$560,A365,'CARTERA del año'!$H$7:$H$560)+SUMIF('CARTERA de la OFICINA'!$A$9:$A$170,A365,'CARTERA de la OFICINA'!$H$9:$H$170)</f>
        <v>0</v>
      </c>
      <c r="D365" s="678"/>
      <c r="E365" s="769" t="str">
        <f t="shared" si="5"/>
        <v>-</v>
      </c>
      <c r="F365" s="694"/>
    </row>
    <row r="366" spans="1:6" x14ac:dyDescent="0.2">
      <c r="A366" s="560">
        <v>355</v>
      </c>
      <c r="B366" s="830" t="str">
        <f>_xlfn.XLOOKUP(A366,Códigos!$A$11:$A$415,Códigos!$B$11:$B$415,"Verificar",0)</f>
        <v>NOMBRE 96</v>
      </c>
      <c r="C366" s="684">
        <f>SUMIF('CARTERA del año'!$A$7:$A$560,A366,'CARTERA del año'!$H$7:$H$560)+SUMIF('CARTERA de la OFICINA'!$A$9:$A$170,A366,'CARTERA de la OFICINA'!$H$9:$H$170)*0</f>
        <v>0</v>
      </c>
      <c r="D366" s="678"/>
      <c r="E366" s="769" t="str">
        <f t="shared" si="5"/>
        <v>-</v>
      </c>
      <c r="F366" s="694"/>
    </row>
    <row r="367" spans="1:6" x14ac:dyDescent="0.2">
      <c r="A367" s="560">
        <v>356</v>
      </c>
      <c r="B367" s="830" t="str">
        <f>_xlfn.XLOOKUP(A367,Códigos!$A$11:$A$415,Códigos!$B$11:$B$415,"Verificar",0)</f>
        <v>NOMBRE 108</v>
      </c>
      <c r="C367" s="684">
        <f>SUMIF('CARTERA del año'!$A$7:$A$560,A367,'CARTERA del año'!$H$7:$H$560)+SUMIF('CARTERA de la OFICINA'!$A$9:$A$170,A367,'CARTERA de la OFICINA'!$H$9:$H$170)*0</f>
        <v>0</v>
      </c>
      <c r="D367" s="678"/>
      <c r="E367" s="769" t="str">
        <f t="shared" si="5"/>
        <v>-</v>
      </c>
      <c r="F367" s="694"/>
    </row>
    <row r="368" spans="1:6" x14ac:dyDescent="0.2">
      <c r="A368" s="560">
        <v>357</v>
      </c>
      <c r="B368" s="830" t="str">
        <f>_xlfn.XLOOKUP(A368,Códigos!$A$11:$A$415,Códigos!$B$11:$B$415,"Verificar",0)</f>
        <v>NOMBRE 107</v>
      </c>
      <c r="C368" s="684">
        <f>SUMIF('CARTERA del año'!$A$7:$A$560,A368,'CARTERA del año'!$H$7:$H$560)+SUMIF('CARTERA de la OFICINA'!$A$9:$A$170,A368,'CARTERA de la OFICINA'!$H$9:$H$170)*0</f>
        <v>0</v>
      </c>
      <c r="D368" s="678"/>
      <c r="E368" s="769" t="str">
        <f t="shared" si="5"/>
        <v>-</v>
      </c>
      <c r="F368" s="694"/>
    </row>
    <row r="369" spans="1:6" x14ac:dyDescent="0.2">
      <c r="A369" s="560">
        <v>358</v>
      </c>
      <c r="B369" s="830" t="str">
        <f>_xlfn.XLOOKUP(A369,Códigos!$A$11:$A$415,Códigos!$B$11:$B$415,"Verificar",0)</f>
        <v>NOMBRE 338</v>
      </c>
      <c r="C369" s="684">
        <f>SUMIF('CARTERA del año'!$A$7:$A$560,A369,'CARTERA del año'!$H$7:$H$560)+SUMIF('CARTERA de la OFICINA'!$A$9:$A$170,A369,'CARTERA de la OFICINA'!$H$9:$H$170)*0</f>
        <v>0</v>
      </c>
      <c r="D369" s="678"/>
      <c r="E369" s="769" t="str">
        <f t="shared" si="5"/>
        <v>-</v>
      </c>
      <c r="F369" s="694"/>
    </row>
    <row r="370" spans="1:6" x14ac:dyDescent="0.2">
      <c r="A370" s="679">
        <v>359</v>
      </c>
      <c r="B370" s="829" t="str">
        <f>_xlfn.XLOOKUP(A370,Códigos!$A$11:$A$415,Códigos!$B$11:$B$415,"Verificar",0)</f>
        <v>NOMBRE 232</v>
      </c>
      <c r="C370" s="681">
        <f>SUMIF('CARTERA del año'!$A$7:$A$560,A370,'CARTERA del año'!$H$7:$H$560)+SUMIF('CARTERA de la OFICINA'!$A$9:$A$170,A370,'CARTERA de la OFICINA'!$H$9:$H$170)*0</f>
        <v>0</v>
      </c>
      <c r="D370" s="680"/>
      <c r="E370" s="768" t="str">
        <f t="shared" si="5"/>
        <v>-</v>
      </c>
      <c r="F370" s="693"/>
    </row>
    <row r="371" spans="1:6" x14ac:dyDescent="0.2">
      <c r="A371" s="679">
        <v>360</v>
      </c>
      <c r="B371" s="829" t="str">
        <f>_xlfn.XLOOKUP(A371,Códigos!$A$11:$A$415,Códigos!$B$11:$B$415,"Verificar",0)</f>
        <v>NOMBRE 94</v>
      </c>
      <c r="C371" s="681">
        <f>SUMIF('CARTERA del año'!$A$7:$A$560,A371,'CARTERA del año'!$H$7:$H$560)+SUMIF('CARTERA de la OFICINA'!$A$9:$A$170,A371,'CARTERA de la OFICINA'!$H$9:$H$170)*0</f>
        <v>0</v>
      </c>
      <c r="D371" s="680"/>
      <c r="E371" s="768" t="str">
        <f t="shared" si="5"/>
        <v>-</v>
      </c>
      <c r="F371" s="693"/>
    </row>
    <row r="372" spans="1:6" x14ac:dyDescent="0.2">
      <c r="A372" s="679">
        <v>361</v>
      </c>
      <c r="B372" s="829" t="str">
        <f>_xlfn.XLOOKUP(A372,Códigos!$A$11:$A$415,Códigos!$B$11:$B$415,"Verificar",0)</f>
        <v>NOMBRE 49</v>
      </c>
      <c r="C372" s="681">
        <f>SUMIF('CARTERA del año'!$A$7:$A$560,A372,'CARTERA del año'!$H$7:$H$560)+SUMIF('CARTERA de la OFICINA'!$A$9:$A$170,A372,'CARTERA de la OFICINA'!$H$9:$H$170)*0</f>
        <v>0</v>
      </c>
      <c r="D372" s="680"/>
      <c r="E372" s="768" t="str">
        <f t="shared" si="5"/>
        <v>-</v>
      </c>
      <c r="F372" s="693"/>
    </row>
    <row r="373" spans="1:6" x14ac:dyDescent="0.2">
      <c r="A373" s="560">
        <v>362</v>
      </c>
      <c r="B373" s="830" t="str">
        <f>_xlfn.XLOOKUP(A373,Códigos!$A$11:$A$415,Códigos!$B$11:$B$415,"Verificar",0)</f>
        <v>NOMBRE 97</v>
      </c>
      <c r="C373" s="684">
        <f>SUMIF('CARTERA del año'!$A$7:$A$560,A373,'CARTERA del año'!$H$7:$H$560)+SUMIF('CARTERA de la OFICINA'!$A$9:$A$170,A373,'CARTERA de la OFICINA'!$H$9:$H$170)</f>
        <v>6000000</v>
      </c>
      <c r="D373" s="678">
        <v>3</v>
      </c>
      <c r="E373" s="769" t="str">
        <f t="shared" si="5"/>
        <v>REVISAR</v>
      </c>
      <c r="F373" s="694"/>
    </row>
    <row r="374" spans="1:6" x14ac:dyDescent="0.2">
      <c r="A374" s="674">
        <v>363</v>
      </c>
      <c r="B374" s="828" t="str">
        <f>_xlfn.XLOOKUP(A374,Códigos!$A$11:$A$415,Códigos!$B$11:$B$415,"Verificar",0)</f>
        <v>NOMBRE 358</v>
      </c>
      <c r="C374" s="675">
        <f>SUMIF('CARTERA del año'!$A$7:$A$560,A374,'CARTERA del año'!$H$7:$H$560)+SUMIF('CARTERA de la OFICINA'!$A$9:$A$170,A374,'CARTERA de la OFICINA'!$H$9:$H$170)</f>
        <v>260000</v>
      </c>
      <c r="D374" s="678"/>
      <c r="E374" s="767" t="str">
        <f t="shared" si="5"/>
        <v>VIGENTE</v>
      </c>
      <c r="F374" s="692"/>
    </row>
    <row r="375" spans="1:6" x14ac:dyDescent="0.2">
      <c r="A375" s="674">
        <v>364</v>
      </c>
      <c r="B375" s="828" t="str">
        <f>_xlfn.XLOOKUP(A375,Códigos!$A$11:$A$415,Códigos!$B$11:$B$415,"Verificar",0)</f>
        <v>NOMBRE 365</v>
      </c>
      <c r="C375" s="675">
        <f>SUMIF('CARTERA del año'!$A$7:$A$560,A375,'CARTERA del año'!$H$7:$H$560)+SUMIF('CARTERA de la OFICINA'!$A$9:$A$170,A375,'CARTERA de la OFICINA'!$H$9:$H$170)</f>
        <v>150000</v>
      </c>
      <c r="D375" s="678"/>
      <c r="E375" s="767" t="str">
        <f t="shared" si="5"/>
        <v>VIGENTE</v>
      </c>
      <c r="F375" s="692"/>
    </row>
    <row r="376" spans="1:6" x14ac:dyDescent="0.2">
      <c r="A376" s="674">
        <v>365</v>
      </c>
      <c r="B376" s="828" t="str">
        <f>_xlfn.XLOOKUP(A376,Códigos!$A$11:$A$415,Códigos!$B$11:$B$415,"Verificar",0)</f>
        <v>NOMBRE 366</v>
      </c>
      <c r="C376" s="675">
        <f>SUMIF('CARTERA del año'!$A$7:$A$560,A376,'CARTERA del año'!$H$7:$H$560)+SUMIF('CARTERA de la OFICINA'!$A$9:$A$170,A376,'CARTERA de la OFICINA'!$H$9:$H$170)</f>
        <v>0</v>
      </c>
      <c r="D376" s="678"/>
      <c r="E376" s="767" t="str">
        <f t="shared" si="5"/>
        <v>-</v>
      </c>
      <c r="F376" s="692"/>
    </row>
    <row r="377" spans="1:6" x14ac:dyDescent="0.2">
      <c r="A377" s="674">
        <v>366</v>
      </c>
      <c r="B377" s="828" t="str">
        <f>_xlfn.XLOOKUP(A377,Códigos!$A$11:$A$415,Códigos!$B$11:$B$415,"Verificar",0)</f>
        <v>NOMBRE 367</v>
      </c>
      <c r="C377" s="675">
        <f>SUMIF('CARTERA del año'!$A$7:$A$560,A377,'CARTERA del año'!$H$7:$H$560)+SUMIF('CARTERA de la OFICINA'!$A$9:$A$170,A377,'CARTERA de la OFICINA'!$H$9:$H$170)</f>
        <v>200000</v>
      </c>
      <c r="D377" s="678"/>
      <c r="E377" s="767" t="str">
        <f t="shared" si="5"/>
        <v>VIGENTE</v>
      </c>
      <c r="F377" s="692"/>
    </row>
    <row r="378" spans="1:6" x14ac:dyDescent="0.2">
      <c r="A378" s="674">
        <v>367</v>
      </c>
      <c r="B378" s="828" t="str">
        <f>_xlfn.XLOOKUP(A378,Códigos!$A$11:$A$415,Códigos!$B$11:$B$415,"Verificar",0)</f>
        <v>NOMBRE 368</v>
      </c>
      <c r="C378" s="675">
        <f>SUMIF('CARTERA del año'!$A$7:$A$560,A378,'CARTERA del año'!$H$7:$H$560)+SUMIF('CARTERA de la OFICINA'!$A$9:$A$170,A378,'CARTERA de la OFICINA'!$H$9:$H$170)</f>
        <v>0</v>
      </c>
      <c r="D378" s="678"/>
      <c r="E378" s="767" t="str">
        <f t="shared" si="5"/>
        <v>-</v>
      </c>
      <c r="F378" s="692"/>
    </row>
    <row r="379" spans="1:6" x14ac:dyDescent="0.2">
      <c r="A379" s="674">
        <v>368</v>
      </c>
      <c r="B379" s="828" t="str">
        <f>_xlfn.XLOOKUP(A379,Códigos!$A$11:$A$415,Códigos!$B$11:$B$415,"Verificar",0)</f>
        <v>NOMBRE 369</v>
      </c>
      <c r="C379" s="675">
        <f>SUMIF('CARTERA del año'!$A$7:$A$560,A379,'CARTERA del año'!$H$7:$H$560)+SUMIF('CARTERA de la OFICINA'!$A$9:$A$170,A379,'CARTERA de la OFICINA'!$H$9:$H$170)</f>
        <v>0</v>
      </c>
      <c r="D379" s="678"/>
      <c r="E379" s="767" t="str">
        <f t="shared" si="5"/>
        <v>-</v>
      </c>
      <c r="F379" s="692"/>
    </row>
    <row r="380" spans="1:6" x14ac:dyDescent="0.2">
      <c r="A380" s="674">
        <v>369</v>
      </c>
      <c r="B380" s="828">
        <f>_xlfn.XLOOKUP(A380,Códigos!$A$11:$A$415,Códigos!$B$11:$B$415,"Verificar",0)</f>
        <v>0</v>
      </c>
      <c r="C380" s="675">
        <f>SUMIF('CARTERA del año'!$A$7:$A$560,A380,'CARTERA del año'!$H$7:$H$560)+SUMIF('CARTERA de la OFICINA'!$A$9:$A$170,A380,'CARTERA de la OFICINA'!$H$9:$H$170)</f>
        <v>0</v>
      </c>
      <c r="D380" s="678"/>
      <c r="E380" s="767" t="str">
        <f t="shared" si="5"/>
        <v>-</v>
      </c>
      <c r="F380" s="692"/>
    </row>
    <row r="381" spans="1:6" x14ac:dyDescent="0.2">
      <c r="A381" s="674">
        <v>370</v>
      </c>
      <c r="B381" s="828">
        <f>_xlfn.XLOOKUP(A381,Códigos!$A$11:$A$415,Códigos!$B$11:$B$415,"Verificar",0)</f>
        <v>0</v>
      </c>
      <c r="C381" s="675">
        <f>SUMIF('CARTERA del año'!$A$7:$A$560,A381,'CARTERA del año'!$H$7:$H$560)+SUMIF('CARTERA de la OFICINA'!$A$9:$A$170,A381,'CARTERA de la OFICINA'!$H$9:$H$170)</f>
        <v>0</v>
      </c>
      <c r="D381" s="678"/>
      <c r="E381" s="767" t="str">
        <f t="shared" si="5"/>
        <v>-</v>
      </c>
      <c r="F381" s="692"/>
    </row>
    <row r="382" spans="1:6" x14ac:dyDescent="0.2">
      <c r="A382" s="674">
        <v>371</v>
      </c>
      <c r="B382" s="828">
        <f>_xlfn.XLOOKUP(A382,Códigos!$A$11:$A$415,Códigos!$B$11:$B$415,"Verificar",0)</f>
        <v>0</v>
      </c>
      <c r="C382" s="675">
        <f>SUMIF('CARTERA del año'!$A$7:$A$560,A382,'CARTERA del año'!$H$7:$H$560)+SUMIF('CARTERA de la OFICINA'!$A$9:$A$170,A382,'CARTERA de la OFICINA'!$H$9:$H$170)</f>
        <v>0</v>
      </c>
      <c r="D382" s="678"/>
      <c r="E382" s="767" t="str">
        <f t="shared" si="5"/>
        <v>-</v>
      </c>
      <c r="F382" s="692"/>
    </row>
    <row r="383" spans="1:6" x14ac:dyDescent="0.2">
      <c r="A383" s="674">
        <v>372</v>
      </c>
      <c r="B383" s="828">
        <f>_xlfn.XLOOKUP(A383,Códigos!$A$11:$A$415,Códigos!$B$11:$B$415,"Verificar",0)</f>
        <v>0</v>
      </c>
      <c r="C383" s="675">
        <f>SUMIF('CARTERA del año'!$A$7:$A$560,A383,'CARTERA del año'!$H$7:$H$560)+SUMIF('CARTERA de la OFICINA'!$A$9:$A$170,A383,'CARTERA de la OFICINA'!$H$9:$H$170)</f>
        <v>0</v>
      </c>
      <c r="D383" s="678"/>
      <c r="E383" s="767" t="str">
        <f t="shared" si="5"/>
        <v>-</v>
      </c>
      <c r="F383" s="692"/>
    </row>
    <row r="384" spans="1:6" x14ac:dyDescent="0.2">
      <c r="A384" s="674">
        <v>373</v>
      </c>
      <c r="B384" s="828">
        <f>_xlfn.XLOOKUP(A384,Códigos!$A$11:$A$415,Códigos!$B$11:$B$415,"Verificar",0)</f>
        <v>0</v>
      </c>
      <c r="C384" s="675">
        <f>SUMIF('CARTERA del año'!$A$7:$A$560,A384,'CARTERA del año'!$H$7:$H$560)+SUMIF('CARTERA de la OFICINA'!$A$9:$A$170,A384,'CARTERA de la OFICINA'!$H$9:$H$170)</f>
        <v>0</v>
      </c>
      <c r="D384" s="678"/>
      <c r="E384" s="767" t="str">
        <f t="shared" si="5"/>
        <v>-</v>
      </c>
      <c r="F384" s="692"/>
    </row>
    <row r="385" spans="1:6" x14ac:dyDescent="0.2">
      <c r="A385" s="674">
        <v>374</v>
      </c>
      <c r="B385" s="828">
        <f>_xlfn.XLOOKUP(A385,Códigos!$A$11:$A$415,Códigos!$B$11:$B$415,"Verificar",0)</f>
        <v>0</v>
      </c>
      <c r="C385" s="675">
        <f>SUMIF('CARTERA del año'!$A$7:$A$560,A385,'CARTERA del año'!$H$7:$H$560)+SUMIF('CARTERA de la OFICINA'!$A$9:$A$170,A385,'CARTERA de la OFICINA'!$H$9:$H$170)</f>
        <v>0</v>
      </c>
      <c r="D385" s="678"/>
      <c r="E385" s="767" t="str">
        <f t="shared" si="5"/>
        <v>-</v>
      </c>
      <c r="F385" s="692"/>
    </row>
    <row r="386" spans="1:6" x14ac:dyDescent="0.2">
      <c r="A386" s="674">
        <v>375</v>
      </c>
      <c r="B386" s="828">
        <f>_xlfn.XLOOKUP(A386,Códigos!$A$11:$A$415,Códigos!$B$11:$B$415,"Verificar",0)</f>
        <v>0</v>
      </c>
      <c r="C386" s="675">
        <f>SUMIF('CARTERA del año'!$A$7:$A$560,A386,'CARTERA del año'!$H$7:$H$560)+SUMIF('CARTERA de la OFICINA'!$A$9:$A$170,A386,'CARTERA de la OFICINA'!$H$9:$H$170)</f>
        <v>0</v>
      </c>
      <c r="D386" s="678"/>
      <c r="E386" s="767" t="str">
        <f t="shared" si="5"/>
        <v>-</v>
      </c>
      <c r="F386" s="692"/>
    </row>
    <row r="387" spans="1:6" x14ac:dyDescent="0.2">
      <c r="A387" s="674">
        <v>376</v>
      </c>
      <c r="B387" s="828">
        <f>_xlfn.XLOOKUP(A387,Códigos!$A$11:$A$415,Códigos!$B$11:$B$415,"Verificar",0)</f>
        <v>0</v>
      </c>
      <c r="C387" s="675">
        <f>SUMIF('CARTERA del año'!$A$7:$A$560,A387,'CARTERA del año'!$H$7:$H$560)+SUMIF('CARTERA de la OFICINA'!$A$9:$A$170,A387,'CARTERA de la OFICINA'!$H$9:$H$170)</f>
        <v>0</v>
      </c>
      <c r="D387" s="678"/>
      <c r="E387" s="767" t="str">
        <f t="shared" si="5"/>
        <v>-</v>
      </c>
      <c r="F387" s="692"/>
    </row>
    <row r="388" spans="1:6" x14ac:dyDescent="0.2">
      <c r="A388" s="674">
        <v>377</v>
      </c>
      <c r="B388" s="828">
        <f>_xlfn.XLOOKUP(A388,Códigos!$A$11:$A$415,Códigos!$B$11:$B$415,"Verificar",0)</f>
        <v>0</v>
      </c>
      <c r="C388" s="675">
        <f>SUMIF('CARTERA del año'!$A$7:$A$560,A388,'CARTERA del año'!$H$7:$H$560)+SUMIF('CARTERA de la OFICINA'!$A$9:$A$170,A388,'CARTERA de la OFICINA'!$H$9:$H$170)</f>
        <v>0</v>
      </c>
      <c r="D388" s="678"/>
      <c r="E388" s="767" t="str">
        <f t="shared" si="5"/>
        <v>-</v>
      </c>
      <c r="F388" s="692"/>
    </row>
    <row r="389" spans="1:6" x14ac:dyDescent="0.2">
      <c r="A389" s="674">
        <v>378</v>
      </c>
      <c r="B389" s="828">
        <f>_xlfn.XLOOKUP(A389,Códigos!$A$11:$A$415,Códigos!$B$11:$B$415,"Verificar",0)</f>
        <v>0</v>
      </c>
      <c r="C389" s="675">
        <f>SUMIF('CARTERA del año'!$A$7:$A$560,A389,'CARTERA del año'!$H$7:$H$560)+SUMIF('CARTERA de la OFICINA'!$A$9:$A$170,A389,'CARTERA de la OFICINA'!$H$9:$H$170)</f>
        <v>0</v>
      </c>
      <c r="D389" s="678"/>
      <c r="E389" s="767" t="str">
        <f t="shared" si="5"/>
        <v>-</v>
      </c>
      <c r="F389" s="692"/>
    </row>
    <row r="390" spans="1:6" x14ac:dyDescent="0.2">
      <c r="A390" s="674">
        <v>379</v>
      </c>
      <c r="B390" s="828">
        <f>_xlfn.XLOOKUP(A390,Códigos!$A$11:$A$415,Códigos!$B$11:$B$415,"Verificar",0)</f>
        <v>0</v>
      </c>
      <c r="C390" s="675">
        <f>SUMIF('CARTERA del año'!$A$7:$A$560,A390,'CARTERA del año'!$H$7:$H$560)+SUMIF('CARTERA de la OFICINA'!$A$9:$A$170,A390,'CARTERA de la OFICINA'!$H$9:$H$170)</f>
        <v>0</v>
      </c>
      <c r="D390" s="678"/>
      <c r="E390" s="767" t="str">
        <f t="shared" si="5"/>
        <v>-</v>
      </c>
      <c r="F390" s="692"/>
    </row>
    <row r="391" spans="1:6" x14ac:dyDescent="0.2">
      <c r="A391" s="674">
        <v>380</v>
      </c>
      <c r="B391" s="828">
        <f>_xlfn.XLOOKUP(A391,Códigos!$A$11:$A$415,Códigos!$B$11:$B$415,"Verificar",0)</f>
        <v>0</v>
      </c>
      <c r="C391" s="675">
        <f>SUMIF('CARTERA del año'!$A$7:$A$560,A391,'CARTERA del año'!$H$7:$H$560)+SUMIF('CARTERA de la OFICINA'!$A$9:$A$170,A391,'CARTERA de la OFICINA'!$H$9:$H$170)</f>
        <v>0</v>
      </c>
      <c r="D391" s="678"/>
      <c r="E391" s="767" t="str">
        <f t="shared" si="5"/>
        <v>-</v>
      </c>
      <c r="F391" s="692"/>
    </row>
    <row r="392" spans="1:6" x14ac:dyDescent="0.2">
      <c r="A392" s="674"/>
      <c r="B392" s="828"/>
      <c r="C392" s="675"/>
      <c r="D392" s="678"/>
      <c r="E392" s="734"/>
      <c r="F392" s="692"/>
    </row>
    <row r="394" spans="1:6" s="65" customFormat="1" x14ac:dyDescent="0.2">
      <c r="A394" s="101"/>
      <c r="B394" s="826" t="s">
        <v>103</v>
      </c>
      <c r="C394" s="66" t="e">
        <f>SUM(C12:C393)</f>
        <v>#REF!</v>
      </c>
      <c r="D394" s="101"/>
      <c r="F394" s="695"/>
    </row>
  </sheetData>
  <printOptions horizontalCentered="1"/>
  <pageMargins left="0.19685039370078741" right="0.19685039370078741" top="0.59055118110236227" bottom="0.39370078740157483" header="0" footer="0"/>
  <pageSetup scale="74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90"/>
  <sheetViews>
    <sheetView showGridLines="0" zoomScale="80" zoomScaleNormal="8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baseColWidth="10" defaultRowHeight="15.75" x14ac:dyDescent="0.2"/>
  <cols>
    <col min="1" max="1" width="7.5546875" style="91" customWidth="1"/>
    <col min="2" max="2" width="55.77734375" style="509" customWidth="1"/>
    <col min="3" max="7" width="12.77734375" style="90" customWidth="1"/>
    <col min="8" max="9" width="12.77734375" style="531" customWidth="1"/>
    <col min="10" max="10" width="30.77734375" style="559" customWidth="1"/>
    <col min="11" max="11" width="6.33203125" style="627" customWidth="1"/>
    <col min="12" max="12" width="22.5546875" style="90" customWidth="1"/>
    <col min="13" max="16384" width="11.5546875" style="73"/>
  </cols>
  <sheetData>
    <row r="1" spans="1:12" ht="15" x14ac:dyDescent="0.2">
      <c r="A1" s="225" t="str">
        <f>+Códigos!$A$1</f>
        <v>LIBRO DIARIO OFICINA</v>
      </c>
      <c r="B1" s="506"/>
      <c r="C1" s="229" t="e">
        <f t="shared" ref="C1:I1" si="0">+C390</f>
        <v>#REF!</v>
      </c>
      <c r="D1" s="229">
        <f t="shared" si="0"/>
        <v>70794200</v>
      </c>
      <c r="E1" s="229">
        <f t="shared" si="0"/>
        <v>153531240</v>
      </c>
      <c r="F1" s="229" t="e">
        <f t="shared" si="0"/>
        <v>#REF!</v>
      </c>
      <c r="G1" s="229">
        <f t="shared" si="0"/>
        <v>78562200</v>
      </c>
      <c r="H1" s="229" t="e">
        <f t="shared" si="0"/>
        <v>#REF!</v>
      </c>
      <c r="I1" s="229">
        <f t="shared" si="0"/>
        <v>-49864800</v>
      </c>
      <c r="J1" s="554" t="s">
        <v>602</v>
      </c>
      <c r="K1" s="625"/>
      <c r="L1" s="497" t="s">
        <v>273</v>
      </c>
    </row>
    <row r="2" spans="1:12" ht="15" x14ac:dyDescent="0.2">
      <c r="A2" s="89" t="s">
        <v>268</v>
      </c>
      <c r="B2" s="506"/>
      <c r="G2" s="81"/>
      <c r="H2" s="84"/>
      <c r="I2" s="84"/>
      <c r="J2" s="555"/>
      <c r="K2" s="625"/>
      <c r="L2" s="188"/>
    </row>
    <row r="3" spans="1:12" s="515" customFormat="1" ht="15" x14ac:dyDescent="0.2">
      <c r="A3" s="66" t="str">
        <f>+Códigos!$A$3</f>
        <v>AÑO:</v>
      </c>
      <c r="B3" s="772">
        <f>+Códigos!$B$3</f>
        <v>2025</v>
      </c>
      <c r="C3" s="91"/>
      <c r="D3" s="91"/>
      <c r="E3" s="91"/>
      <c r="F3" s="91"/>
      <c r="G3" s="81"/>
      <c r="H3" s="84"/>
      <c r="I3" s="84"/>
      <c r="J3" s="555"/>
      <c r="K3" s="625"/>
      <c r="L3" s="81"/>
    </row>
    <row r="4" spans="1:12" s="74" customFormat="1" ht="15" x14ac:dyDescent="0.2">
      <c r="A4" s="501" t="s">
        <v>1</v>
      </c>
      <c r="B4" s="507">
        <f>+'INGRESOS A CAJA'!D4</f>
        <v>45658</v>
      </c>
      <c r="C4" s="91"/>
      <c r="D4" s="91"/>
      <c r="E4" s="91"/>
      <c r="F4" s="91"/>
      <c r="G4" s="81"/>
      <c r="H4" s="84"/>
      <c r="I4" s="530"/>
      <c r="J4" s="555"/>
      <c r="K4" s="625"/>
      <c r="L4" s="81"/>
    </row>
    <row r="5" spans="1:12" s="74" customFormat="1" ht="31.5" x14ac:dyDescent="0.2">
      <c r="A5" s="501" t="s">
        <v>2</v>
      </c>
      <c r="B5" s="507">
        <f>+'INGRESOS A CAJA'!D5</f>
        <v>46022</v>
      </c>
      <c r="C5" s="1355" t="s">
        <v>583</v>
      </c>
      <c r="D5" s="1356"/>
      <c r="E5" s="628" t="s">
        <v>587</v>
      </c>
      <c r="F5" s="628" t="s">
        <v>588</v>
      </c>
      <c r="G5" s="628" t="s">
        <v>589</v>
      </c>
      <c r="H5" s="530"/>
      <c r="I5" s="530"/>
      <c r="J5" s="555"/>
      <c r="K5" s="625"/>
      <c r="L5" s="81"/>
    </row>
    <row r="6" spans="1:12" s="500" customFormat="1" ht="39.950000000000003" customHeight="1" x14ac:dyDescent="0.2">
      <c r="A6" s="271" t="s">
        <v>377</v>
      </c>
      <c r="B6" s="532" t="s">
        <v>579</v>
      </c>
      <c r="C6" s="271" t="s">
        <v>643</v>
      </c>
      <c r="D6" s="271" t="s">
        <v>651</v>
      </c>
      <c r="E6" s="271" t="s">
        <v>584</v>
      </c>
      <c r="F6" s="271" t="s">
        <v>585</v>
      </c>
      <c r="G6" s="271" t="s">
        <v>586</v>
      </c>
      <c r="H6" s="271" t="s">
        <v>590</v>
      </c>
      <c r="I6" s="246" t="s">
        <v>658</v>
      </c>
      <c r="J6" s="348" t="s">
        <v>26</v>
      </c>
      <c r="K6" s="626"/>
      <c r="L6" s="81"/>
    </row>
    <row r="7" spans="1:12" ht="5.0999999999999996" customHeight="1" x14ac:dyDescent="0.2">
      <c r="A7" s="106"/>
      <c r="B7" s="508"/>
      <c r="C7" s="83"/>
      <c r="D7" s="83"/>
      <c r="E7" s="83"/>
      <c r="F7" s="83"/>
      <c r="G7" s="83"/>
      <c r="H7" s="105"/>
      <c r="I7" s="105"/>
      <c r="J7" s="556"/>
      <c r="K7" s="625"/>
      <c r="L7" s="81"/>
    </row>
    <row r="8" spans="1:12" ht="15" x14ac:dyDescent="0.2">
      <c r="A8" s="103"/>
      <c r="B8" s="506"/>
      <c r="C8" s="81"/>
      <c r="D8" s="81"/>
      <c r="E8" s="81"/>
      <c r="F8" s="81"/>
      <c r="G8" s="81"/>
      <c r="H8" s="104"/>
      <c r="I8" s="104"/>
      <c r="J8" s="555"/>
      <c r="K8" s="625"/>
      <c r="L8" s="81"/>
    </row>
    <row r="9" spans="1:12" ht="15" x14ac:dyDescent="0.2">
      <c r="A9" s="560">
        <v>1</v>
      </c>
      <c r="B9" s="511" t="str">
        <f>_xlfn.XLOOKUP(A9,Códigos!$A$11:$A$415,Códigos!$B$11:$B$415,"Verificar",0)</f>
        <v>NOMBRE 21</v>
      </c>
      <c r="C9" s="525">
        <f>SUMIF('CARTERA años anteriores'!$C$9:$C$234,A9,'CARTERA años anteriores'!$J$9:$J$234)</f>
        <v>0</v>
      </c>
      <c r="D9" s="525">
        <f>SUMIF('CARTERA años anteriores'!$C$9:$C$234,A9,'CARTERA años anteriores'!$L$9:$L$234)</f>
        <v>0</v>
      </c>
      <c r="E9" s="525">
        <f>SUMIF(FACTURACIÓN!$C$8:$C$1082,A9,FACTURACIÓN!$K$8:$K$1082)</f>
        <v>0</v>
      </c>
      <c r="F9" s="525">
        <f>SUMIF('INGRESOS A CAJA'!$C$10:$C$954,A9,'INGRESOS A CAJA'!$F$10:$F$954)</f>
        <v>0</v>
      </c>
      <c r="G9" s="525">
        <f>SUMIF('EGRESOS DE CAJA'!$C$10:$C$2251,A9,'EGRESOS DE CAJA'!$G$10:$G$2251)</f>
        <v>0</v>
      </c>
      <c r="H9" s="512">
        <f>IF((+C9-D9+E9-F9+G9)&gt;0,(+C9-D9+E9-F9+G9),0)</f>
        <v>0</v>
      </c>
      <c r="I9" s="512">
        <f>IF((+C9-D9+E9-F9+G9)&lt;0,(+C9-D9+E9-F9+G9),0)</f>
        <v>0</v>
      </c>
      <c r="J9" s="557"/>
      <c r="K9" s="625"/>
      <c r="L9" s="88"/>
    </row>
    <row r="10" spans="1:12" ht="15" x14ac:dyDescent="0.2">
      <c r="A10" s="560">
        <v>2</v>
      </c>
      <c r="B10" s="511" t="str">
        <f>_xlfn.XLOOKUP(A10,Códigos!$A$11:$A$415,Códigos!$B$11:$B$415,"Verificar",0)</f>
        <v>NOMBRE 23</v>
      </c>
      <c r="C10" s="525">
        <f>SUMIF('CARTERA años anteriores'!$C$9:$C$234,A10,'CARTERA años anteriores'!$J$9:$J$234)</f>
        <v>4310000</v>
      </c>
      <c r="D10" s="525">
        <f>SUMIF('CARTERA años anteriores'!$C$9:$C$234,A10,'CARTERA años anteriores'!$L$9:$L$234)</f>
        <v>0</v>
      </c>
      <c r="E10" s="525">
        <f>SUMIF(FACTURACIÓN!$C$8:$C$1082,A10,FACTURACIÓN!$K$8:$K$1082)</f>
        <v>0</v>
      </c>
      <c r="F10" s="525">
        <f>SUMIF('INGRESOS A CAJA'!$C$10:$C$954,A10,'INGRESOS A CAJA'!$F$10:$F$954)</f>
        <v>0</v>
      </c>
      <c r="G10" s="525">
        <f>SUMIF('EGRESOS DE CAJA'!$C$10:$C$2251,A10,'EGRESOS DE CAJA'!$G$10:$G$2251)</f>
        <v>0</v>
      </c>
      <c r="H10" s="512">
        <f>IF((+C10-D10+E10-F10+G10)&gt;0,(+C10-D10+E10-F10+G10),0)</f>
        <v>4310000</v>
      </c>
      <c r="I10" s="512">
        <f>IF((+C10-D10+E10-F10+G10)&lt;0,(+C10-D10+E10-F10+G10),0)</f>
        <v>0</v>
      </c>
      <c r="J10" s="557"/>
      <c r="K10" s="625"/>
      <c r="L10" s="88"/>
    </row>
    <row r="11" spans="1:12" ht="15" x14ac:dyDescent="0.2">
      <c r="A11" s="560">
        <v>3</v>
      </c>
      <c r="B11" s="511" t="str">
        <f>_xlfn.XLOOKUP(A11,Códigos!$A$11:$A$415,Códigos!$B$11:$B$415,"Verificar",0)</f>
        <v>NOMBRE 24</v>
      </c>
      <c r="C11" s="641" t="s">
        <v>399</v>
      </c>
      <c r="D11" s="641" t="s">
        <v>399</v>
      </c>
      <c r="E11" s="641" t="s">
        <v>399</v>
      </c>
      <c r="F11" s="641" t="s">
        <v>399</v>
      </c>
      <c r="G11" s="641" t="s">
        <v>399</v>
      </c>
      <c r="H11" s="641" t="s">
        <v>399</v>
      </c>
      <c r="I11" s="641" t="s">
        <v>399</v>
      </c>
      <c r="J11" s="557"/>
      <c r="K11" s="629"/>
      <c r="L11" s="88"/>
    </row>
    <row r="12" spans="1:12" ht="15" x14ac:dyDescent="0.2">
      <c r="A12" s="560">
        <v>4</v>
      </c>
      <c r="B12" s="511" t="str">
        <f>_xlfn.XLOOKUP(A12,Códigos!$A$11:$A$415,Códigos!$B$11:$B$415,"Verificar",0)</f>
        <v>NOMBRE 35</v>
      </c>
      <c r="C12" s="525">
        <f>SUMIF('CARTERA años anteriores'!$C$9:$C$133,A12,'CARTERA años anteriores'!$J$9:$J$133)</f>
        <v>0</v>
      </c>
      <c r="D12" s="525">
        <f>SUMIF('CARTERA años anteriores'!$C$9:$C$234,A12,'CARTERA años anteriores'!$L$9:$L$234)</f>
        <v>0</v>
      </c>
      <c r="E12" s="525">
        <f>SUMIF(FACTURACIÓN!$C$8:$C$1082,A12,FACTURACIÓN!$K$8:$K$1082)</f>
        <v>0</v>
      </c>
      <c r="F12" s="525">
        <f>SUMIF('INGRESOS A CAJA'!$C$10:$C$954,A12,'INGRESOS A CAJA'!$F$10:$F$954)</f>
        <v>0</v>
      </c>
      <c r="G12" s="525">
        <f>SUMIF('EGRESOS DE CAJA'!$C$10:$C$2251,A12,'EGRESOS DE CAJA'!$G$10:$G$2251)</f>
        <v>0</v>
      </c>
      <c r="H12" s="512">
        <f>IF((+C12-D12+E12-F12+G12)&gt;0,(+C12-D12+E12-F12+G12),0)</f>
        <v>0</v>
      </c>
      <c r="I12" s="512">
        <f>IF((+C12-D12+E12-F12+G12)&lt;0,(+C12-D12+E12-F12+G12),0)</f>
        <v>0</v>
      </c>
      <c r="J12" s="557"/>
      <c r="K12" s="629"/>
      <c r="L12" s="88"/>
    </row>
    <row r="13" spans="1:12" ht="15" x14ac:dyDescent="0.2">
      <c r="A13" s="560">
        <v>5</v>
      </c>
      <c r="B13" s="511" t="str">
        <f>_xlfn.XLOOKUP(A13,Códigos!$A$11:$A$415,Códigos!$B$11:$B$415,"Verificar",0)</f>
        <v>NOMBRE 25</v>
      </c>
      <c r="C13" s="641" t="s">
        <v>399</v>
      </c>
      <c r="D13" s="641" t="s">
        <v>399</v>
      </c>
      <c r="E13" s="641" t="s">
        <v>399</v>
      </c>
      <c r="F13" s="641" t="s">
        <v>399</v>
      </c>
      <c r="G13" s="641" t="s">
        <v>399</v>
      </c>
      <c r="H13" s="641" t="s">
        <v>399</v>
      </c>
      <c r="I13" s="641" t="s">
        <v>399</v>
      </c>
      <c r="J13" s="557"/>
      <c r="K13" s="629"/>
      <c r="L13" s="88"/>
    </row>
    <row r="14" spans="1:12" ht="15" x14ac:dyDescent="0.2">
      <c r="A14" s="560">
        <v>6</v>
      </c>
      <c r="B14" s="511" t="str">
        <f>_xlfn.XLOOKUP(A14,Códigos!$A$11:$A$415,Códigos!$B$11:$B$415,"Verificar",0)</f>
        <v>NOMBRE 57</v>
      </c>
      <c r="C14" s="525">
        <f>SUMIF('CARTERA años anteriores'!$C$9:$C$133,A14,'CARTERA años anteriores'!$J$9:$J$133)</f>
        <v>0</v>
      </c>
      <c r="D14" s="525">
        <f>SUMIF('CARTERA años anteriores'!$C$9:$C$234,A14,'CARTERA años anteriores'!$L$9:$L$234)</f>
        <v>0</v>
      </c>
      <c r="E14" s="525">
        <f>SUMIF(FACTURACIÓN!$C$8:$C$1082,A14,FACTURACIÓN!$K$8:$K$1082)</f>
        <v>0</v>
      </c>
      <c r="F14" s="525">
        <f>SUMIF('INGRESOS A CAJA'!$C$10:$C$954,A14,'INGRESOS A CAJA'!$F$10:$F$954)</f>
        <v>0</v>
      </c>
      <c r="G14" s="525">
        <f>SUMIF('EGRESOS DE CAJA'!$C$10:$C$2251,A14,'EGRESOS DE CAJA'!$G$10:$G$2251)</f>
        <v>0</v>
      </c>
      <c r="H14" s="512">
        <f>IF((+C14-D14+E14-F14+G14)&gt;0,(+C14-D14+E14-F14+G14),0)</f>
        <v>0</v>
      </c>
      <c r="I14" s="512">
        <f>IF((+C14-D14+E14-F14+G14)&lt;0,(+C14-D14+E14-F14+G14),0)</f>
        <v>0</v>
      </c>
      <c r="J14" s="557"/>
      <c r="K14" s="629"/>
      <c r="L14" s="88"/>
    </row>
    <row r="15" spans="1:12" ht="15" x14ac:dyDescent="0.2">
      <c r="A15" s="560">
        <v>7</v>
      </c>
      <c r="B15" s="511" t="str">
        <f>_xlfn.XLOOKUP(A15,Códigos!$A$11:$A$415,Códigos!$B$11:$B$415,"Verificar",0)</f>
        <v>NOMBRE 59</v>
      </c>
      <c r="C15" s="641" t="s">
        <v>399</v>
      </c>
      <c r="D15" s="641" t="s">
        <v>399</v>
      </c>
      <c r="E15" s="641" t="s">
        <v>399</v>
      </c>
      <c r="F15" s="641" t="s">
        <v>399</v>
      </c>
      <c r="G15" s="641" t="s">
        <v>399</v>
      </c>
      <c r="H15" s="641" t="s">
        <v>399</v>
      </c>
      <c r="I15" s="641" t="s">
        <v>399</v>
      </c>
      <c r="J15" s="557"/>
      <c r="K15" s="629"/>
      <c r="L15" s="88"/>
    </row>
    <row r="16" spans="1:12" ht="25.5" x14ac:dyDescent="0.2">
      <c r="A16" s="642">
        <v>8</v>
      </c>
      <c r="B16" s="526" t="str">
        <f>_xlfn.XLOOKUP(A16,Códigos!$A$11:$A$415,Códigos!$B$11:$B$415,"Verificar",0)</f>
        <v>NOMBRE 64</v>
      </c>
      <c r="C16" s="525">
        <f>SUMIF('CARTERA años anteriores'!$C$9:$C$234,A16,'CARTERA años anteriores'!$J$9:$J$234)</f>
        <v>252000</v>
      </c>
      <c r="D16" s="525">
        <f>SUMIF('CARTERA años anteriores'!$C$9:$C$234,A16,'CARTERA años anteriores'!$L$9:$L$234)</f>
        <v>0</v>
      </c>
      <c r="E16" s="527">
        <f>SUMIF(FACTURACIÓN!$C$8:$C$1082,A16,FACTURACIÓN!$K$8:$K$1082)</f>
        <v>0</v>
      </c>
      <c r="F16" s="527">
        <f>SUMIF('INGRESOS A CAJA'!$C$10:$C$954,A16,'INGRESOS A CAJA'!$F$10:$F$954)+SUMIF(FACTURACIÓN!$C$8:$C$1082,A16,FACTURACIÓN!$M$8:$M$1082)++SUMIF('CARTERA años anteriores'!$C$9:$C$234,A16,'CARTERA años anteriores'!$M$9:$M$234)</f>
        <v>0</v>
      </c>
      <c r="G16" s="527">
        <f>SUMIF('EGRESOS DE CAJA'!$C$10:$C$2251,A16,'EGRESOS DE CAJA'!$G$10:$G$2251)</f>
        <v>900100</v>
      </c>
      <c r="H16" s="528">
        <f t="shared" ref="H16:H79" si="1">IF((+C16-D16*0+E16-F16+G16)&gt;0,(+C16-D16*0+E16-F16+G16),0)</f>
        <v>1152100</v>
      </c>
      <c r="I16" s="528">
        <f t="shared" ref="I16:I79" si="2">IF((+C16-D16+E16-F16+G16)&lt;0,(+C16-D16+E16-F16+G16),0)</f>
        <v>0</v>
      </c>
      <c r="J16" s="631" t="s">
        <v>637</v>
      </c>
      <c r="K16" s="629" t="s">
        <v>649</v>
      </c>
      <c r="L16" s="88"/>
    </row>
    <row r="17" spans="1:11" ht="15" x14ac:dyDescent="0.2">
      <c r="A17" s="560">
        <v>9</v>
      </c>
      <c r="B17" s="511" t="str">
        <f>_xlfn.XLOOKUP(A17,Códigos!$A$11:$A$415,Códigos!$B$11:$B$415,"Verificar",0)</f>
        <v>NOMBRE 65</v>
      </c>
      <c r="C17" s="525">
        <f>SUMIF('CARTERA años anteriores'!$C$9:$C$234,A17,'CARTERA años anteriores'!$J$9:$J$234)</f>
        <v>8661600</v>
      </c>
      <c r="D17" s="525">
        <f>SUMIF('CARTERA años anteriores'!$C$9:$C$234,A17,'CARTERA años anteriores'!$L$9:$L$234)</f>
        <v>0</v>
      </c>
      <c r="E17" s="525">
        <f>SUMIF(FACTURACIÓN!$C$8:$C$1082,A17,FACTURACIÓN!$K$8:$K$1082)</f>
        <v>0</v>
      </c>
      <c r="F17" s="525">
        <f>SUMIF('INGRESOS A CAJA'!$C$10:$C$954,A17,'INGRESOS A CAJA'!$F$10:$F$954)+SUMIF(FACTURACIÓN!$C$8:$C$1082,A17,FACTURACIÓN!$M$8:$M$1082)++SUMIF('CARTERA años anteriores'!$C$9:$C$234,A17,'CARTERA años anteriores'!$M$9:$M$234)</f>
        <v>0</v>
      </c>
      <c r="G17" s="525">
        <f>SUMIF('EGRESOS DE CAJA'!$C$10:$C$2251,A17,'EGRESOS DE CAJA'!$G$10:$G$2251)</f>
        <v>0</v>
      </c>
      <c r="H17" s="512">
        <f t="shared" si="1"/>
        <v>8661600</v>
      </c>
      <c r="I17" s="512">
        <f t="shared" si="2"/>
        <v>0</v>
      </c>
      <c r="J17" s="557"/>
      <c r="K17" s="629"/>
    </row>
    <row r="18" spans="1:11" ht="15" x14ac:dyDescent="0.2">
      <c r="A18" s="560">
        <v>10</v>
      </c>
      <c r="B18" s="511" t="str">
        <f>_xlfn.XLOOKUP(A18,Códigos!$A$11:$A$415,Códigos!$B$11:$B$415,"Verificar",0)</f>
        <v>NOMBRE 80</v>
      </c>
      <c r="C18" s="525">
        <f>SUMIF('CARTERA años anteriores'!$C$9:$C$234,A18,'CARTERA años anteriores'!$J$9:$J$234)</f>
        <v>0</v>
      </c>
      <c r="D18" s="525">
        <f>SUMIF('CARTERA años anteriores'!$C$9:$C$234,A18,'CARTERA años anteriores'!$L$9:$L$234)</f>
        <v>0</v>
      </c>
      <c r="E18" s="525">
        <f>SUMIF(FACTURACIÓN!$C$8:$C$1082,A18,FACTURACIÓN!$K$8:$K$1082)</f>
        <v>8157240</v>
      </c>
      <c r="F18" s="525">
        <f>SUMIF('INGRESOS A CAJA'!$C$10:$C$954,A18,'INGRESOS A CAJA'!$F$10:$F$954)+SUMIF(FACTURACIÓN!$C$8:$C$1082,A18,FACTURACIÓN!$M$8:$M$1082)++SUMIF('CARTERA años anteriores'!$C$9:$C$234,A18,'CARTERA años anteriores'!$M$9:$M$234)</f>
        <v>0</v>
      </c>
      <c r="G18" s="525">
        <f>SUMIF('EGRESOS DE CAJA'!$C$10:$C$2251,A18,'EGRESOS DE CAJA'!$G$10:$G$2251)</f>
        <v>0</v>
      </c>
      <c r="H18" s="512">
        <f t="shared" si="1"/>
        <v>8157240</v>
      </c>
      <c r="I18" s="512">
        <f t="shared" si="2"/>
        <v>0</v>
      </c>
      <c r="J18" s="557"/>
      <c r="K18" s="629"/>
    </row>
    <row r="19" spans="1:11" ht="15" x14ac:dyDescent="0.2">
      <c r="A19" s="560">
        <v>11</v>
      </c>
      <c r="B19" s="511" t="str">
        <f>_xlfn.XLOOKUP(A19,Códigos!$A$11:$A$415,Códigos!$B$11:$B$415,"Verificar",0)</f>
        <v>NOMBRE 92</v>
      </c>
      <c r="C19" s="525">
        <f>SUMIF('CARTERA años anteriores'!$C$9:$C$234,A19,'CARTERA años anteriores'!$J$9:$J$234)</f>
        <v>0</v>
      </c>
      <c r="D19" s="525">
        <f>SUMIF('CARTERA años anteriores'!$C$9:$C$234,A19,'CARTERA años anteriores'!$L$9:$L$234)</f>
        <v>0</v>
      </c>
      <c r="E19" s="525">
        <f>SUMIF(FACTURACIÓN!$C$8:$C$1082,A19,FACTURACIÓN!$K$8:$K$1082)</f>
        <v>0</v>
      </c>
      <c r="F19" s="525">
        <f>SUMIF('INGRESOS A CAJA'!$C$10:$C$954,A19,'INGRESOS A CAJA'!$F$10:$F$954)+SUMIF(FACTURACIÓN!$C$8:$C$1082,A19,FACTURACIÓN!$M$8:$M$1082)++SUMIF('CARTERA años anteriores'!$C$9:$C$234,A19,'CARTERA años anteriores'!$M$9:$M$234)</f>
        <v>0</v>
      </c>
      <c r="G19" s="525">
        <f>SUMIF('EGRESOS DE CAJA'!$C$10:$C$2251,A19,'EGRESOS DE CAJA'!$G$10:$G$2251)</f>
        <v>0</v>
      </c>
      <c r="H19" s="512">
        <f t="shared" si="1"/>
        <v>0</v>
      </c>
      <c r="I19" s="512">
        <f t="shared" si="2"/>
        <v>0</v>
      </c>
      <c r="J19" s="557"/>
      <c r="K19" s="629"/>
    </row>
    <row r="20" spans="1:11" ht="15" x14ac:dyDescent="0.2">
      <c r="A20" s="560">
        <v>12</v>
      </c>
      <c r="B20" s="511" t="str">
        <f>_xlfn.XLOOKUP(A20,Códigos!$A$11:$A$415,Códigos!$B$11:$B$415,"Verificar",0)</f>
        <v>NOMBRE 115</v>
      </c>
      <c r="C20" s="525">
        <f>SUMIF('CARTERA años anteriores'!$C$9:$C$234,A20,'CARTERA años anteriores'!$J$9:$J$234)</f>
        <v>0</v>
      </c>
      <c r="D20" s="525">
        <f>SUMIF('CARTERA años anteriores'!$C$9:$C$234,A20,'CARTERA años anteriores'!$L$9:$L$234)</f>
        <v>0</v>
      </c>
      <c r="E20" s="525">
        <f>SUMIF(FACTURACIÓN!$C$8:$C$1082,A20,FACTURACIÓN!$K$8:$K$1082)</f>
        <v>0</v>
      </c>
      <c r="F20" s="525">
        <f>SUMIF('INGRESOS A CAJA'!$C$10:$C$954,A20,'INGRESOS A CAJA'!$F$10:$F$954)+SUMIF(FACTURACIÓN!$C$8:$C$1082,A20,FACTURACIÓN!$M$8:$M$1082)++SUMIF('CARTERA años anteriores'!$C$9:$C$234,A20,'CARTERA años anteriores'!$M$9:$M$234)</f>
        <v>0</v>
      </c>
      <c r="G20" s="525">
        <f>SUMIF('EGRESOS DE CAJA'!$C$10:$C$2251,A20,'EGRESOS DE CAJA'!$G$10:$G$2251)</f>
        <v>0</v>
      </c>
      <c r="H20" s="512">
        <f t="shared" si="1"/>
        <v>0</v>
      </c>
      <c r="I20" s="512">
        <f t="shared" si="2"/>
        <v>0</v>
      </c>
      <c r="J20" s="557"/>
      <c r="K20" s="629"/>
    </row>
    <row r="21" spans="1:11" ht="15" x14ac:dyDescent="0.2">
      <c r="A21" s="560">
        <v>13</v>
      </c>
      <c r="B21" s="511" t="str">
        <f>_xlfn.XLOOKUP(A21,Códigos!$A$11:$A$415,Códigos!$B$11:$B$415,"Verificar",0)</f>
        <v>NOMBRE 50</v>
      </c>
      <c r="C21" s="525">
        <f>SUMIF('CARTERA años anteriores'!$C$9:$C$234,A21,'CARTERA años anteriores'!$J$9:$J$234)</f>
        <v>0</v>
      </c>
      <c r="D21" s="525">
        <f>SUMIF('CARTERA años anteriores'!$C$9:$C$234,A21,'CARTERA años anteriores'!$L$9:$L$234)</f>
        <v>0</v>
      </c>
      <c r="E21" s="525">
        <f>SUMIF(FACTURACIÓN!$C$8:$C$1082,A21,FACTURACIÓN!$K$8:$K$1082)</f>
        <v>0</v>
      </c>
      <c r="F21" s="525">
        <f>SUMIF('INGRESOS A CAJA'!$C$10:$C$954,A21,'INGRESOS A CAJA'!$F$10:$F$954)+SUMIF(FACTURACIÓN!$C$8:$C$1082,A21,FACTURACIÓN!$M$8:$M$1082)++SUMIF('CARTERA años anteriores'!$C$9:$C$234,A21,'CARTERA años anteriores'!$M$9:$M$234)</f>
        <v>0</v>
      </c>
      <c r="G21" s="525">
        <f>SUMIF('EGRESOS DE CAJA'!$C$10:$C$2251,A21,'EGRESOS DE CAJA'!$G$10:$G$2251)</f>
        <v>0</v>
      </c>
      <c r="H21" s="512">
        <f t="shared" si="1"/>
        <v>0</v>
      </c>
      <c r="I21" s="512">
        <f t="shared" si="2"/>
        <v>0</v>
      </c>
      <c r="J21" s="557"/>
      <c r="K21" s="629"/>
    </row>
    <row r="22" spans="1:11" ht="15" x14ac:dyDescent="0.2">
      <c r="A22" s="560">
        <v>14</v>
      </c>
      <c r="B22" s="511" t="str">
        <f>_xlfn.XLOOKUP(A22,Códigos!$A$11:$A$415,Códigos!$B$11:$B$415,"Verificar",0)</f>
        <v>NOMBRE 158</v>
      </c>
      <c r="C22" s="525">
        <f>SUMIF('CARTERA años anteriores'!$C$9:$C$234,A22,'CARTERA años anteriores'!$J$9:$J$234)</f>
        <v>0</v>
      </c>
      <c r="D22" s="525">
        <f>SUMIF('CARTERA años anteriores'!$C$9:$C$234,A22,'CARTERA años anteriores'!$L$9:$L$234)</f>
        <v>0</v>
      </c>
      <c r="E22" s="525">
        <f>SUMIF(FACTURACIÓN!$C$8:$C$1082,A22,FACTURACIÓN!$K$8:$K$1082)</f>
        <v>0</v>
      </c>
      <c r="F22" s="525">
        <f>SUMIF('INGRESOS A CAJA'!$C$10:$C$954,A22,'INGRESOS A CAJA'!$F$10:$F$954)+SUMIF(FACTURACIÓN!$C$8:$C$1082,A22,FACTURACIÓN!$M$8:$M$1082)++SUMIF('CARTERA años anteriores'!$C$9:$C$234,A22,'CARTERA años anteriores'!$M$9:$M$234)</f>
        <v>0</v>
      </c>
      <c r="G22" s="525">
        <f>SUMIF('EGRESOS DE CAJA'!$C$10:$C$2251,A22,'EGRESOS DE CAJA'!$G$10:$G$2251)</f>
        <v>0</v>
      </c>
      <c r="H22" s="512">
        <f t="shared" si="1"/>
        <v>0</v>
      </c>
      <c r="I22" s="512">
        <f t="shared" si="2"/>
        <v>0</v>
      </c>
      <c r="J22" s="557"/>
      <c r="K22" s="629"/>
    </row>
    <row r="23" spans="1:11" ht="15" x14ac:dyDescent="0.2">
      <c r="A23" s="560">
        <v>15</v>
      </c>
      <c r="B23" s="511" t="str">
        <f>_xlfn.XLOOKUP(A23,Códigos!$A$11:$A$415,Códigos!$B$11:$B$415,"Verificar",0)</f>
        <v>NOMBRE 159</v>
      </c>
      <c r="C23" s="525">
        <f>SUMIF('CARTERA años anteriores'!$C$9:$C$234,A23,'CARTERA años anteriores'!$J$9:$J$234)</f>
        <v>0</v>
      </c>
      <c r="D23" s="525">
        <f>SUMIF('CARTERA años anteriores'!$C$9:$C$234,A23,'CARTERA años anteriores'!$L$9:$L$234)</f>
        <v>0</v>
      </c>
      <c r="E23" s="525">
        <f>SUMIF(FACTURACIÓN!$C$8:$C$1082,A23,FACTURACIÓN!$K$8:$K$1082)</f>
        <v>0</v>
      </c>
      <c r="F23" s="525">
        <f>SUMIF('INGRESOS A CAJA'!$C$10:$C$954,A23,'INGRESOS A CAJA'!$F$10:$F$954)+SUMIF(FACTURACIÓN!$C$8:$C$1082,A23,FACTURACIÓN!$M$8:$M$1082)++SUMIF('CARTERA años anteriores'!$C$9:$C$234,A23,'CARTERA años anteriores'!$M$9:$M$234)</f>
        <v>0</v>
      </c>
      <c r="G23" s="525">
        <f>SUMIF('EGRESOS DE CAJA'!$C$10:$C$2251,A23,'EGRESOS DE CAJA'!$G$10:$G$2251)</f>
        <v>0</v>
      </c>
      <c r="H23" s="512">
        <f t="shared" si="1"/>
        <v>0</v>
      </c>
      <c r="I23" s="512">
        <f t="shared" si="2"/>
        <v>0</v>
      </c>
      <c r="J23" s="557"/>
      <c r="K23" s="629"/>
    </row>
    <row r="24" spans="1:11" ht="15" x14ac:dyDescent="0.2">
      <c r="A24" s="560">
        <v>16</v>
      </c>
      <c r="B24" s="511" t="str">
        <f>_xlfn.XLOOKUP(A24,Códigos!$A$11:$A$415,Códigos!$B$11:$B$415,"Verificar",0)</f>
        <v>NOMBRE 105</v>
      </c>
      <c r="C24" s="525">
        <f>SUMIF('CARTERA años anteriores'!$C$9:$C$234,A24,'CARTERA años anteriores'!$J$9:$J$234)</f>
        <v>0</v>
      </c>
      <c r="D24" s="525">
        <f>SUMIF('CARTERA años anteriores'!$C$9:$C$234,A24,'CARTERA años anteriores'!$L$9:$L$234)</f>
        <v>0</v>
      </c>
      <c r="E24" s="525">
        <f>SUMIF(FACTURACIÓN!$C$8:$C$1082,A24,FACTURACIÓN!$K$8:$K$1082)</f>
        <v>0</v>
      </c>
      <c r="F24" s="525">
        <f>SUMIF('INGRESOS A CAJA'!$C$10:$C$954,A24,'INGRESOS A CAJA'!$F$10:$F$954)+SUMIF(FACTURACIÓN!$C$8:$C$1082,A24,FACTURACIÓN!$M$8:$M$1082)++SUMIF('CARTERA años anteriores'!$C$9:$C$234,A24,'CARTERA años anteriores'!$M$9:$M$234)</f>
        <v>0</v>
      </c>
      <c r="G24" s="525">
        <f>SUMIF('EGRESOS DE CAJA'!$C$10:$C$2251,A24,'EGRESOS DE CAJA'!$G$10:$G$2251)</f>
        <v>0</v>
      </c>
      <c r="H24" s="512">
        <f t="shared" si="1"/>
        <v>0</v>
      </c>
      <c r="I24" s="512">
        <f t="shared" si="2"/>
        <v>0</v>
      </c>
      <c r="J24" s="557"/>
      <c r="K24" s="629"/>
    </row>
    <row r="25" spans="1:11" ht="15" x14ac:dyDescent="0.2">
      <c r="A25" s="560">
        <v>17</v>
      </c>
      <c r="B25" s="511" t="str">
        <f>_xlfn.XLOOKUP(A25,Códigos!$A$11:$A$415,Códigos!$B$11:$B$415,"Verificar",0)</f>
        <v>NOMBRE 160</v>
      </c>
      <c r="C25" s="525">
        <f>SUMIF('CARTERA años anteriores'!$C$9:$C$234,A25,'CARTERA años anteriores'!$J$9:$J$234)</f>
        <v>0</v>
      </c>
      <c r="D25" s="525">
        <f>SUMIF('CARTERA años anteriores'!$C$9:$C$234,A25,'CARTERA años anteriores'!$L$9:$L$234)</f>
        <v>0</v>
      </c>
      <c r="E25" s="525">
        <f>SUMIF(FACTURACIÓN!$C$8:$C$1082,A25,FACTURACIÓN!$K$8:$K$1082)</f>
        <v>0</v>
      </c>
      <c r="F25" s="525">
        <f>SUMIF('INGRESOS A CAJA'!$C$10:$C$954,A25,'INGRESOS A CAJA'!$F$10:$F$954)+SUMIF(FACTURACIÓN!$C$8:$C$1082,A25,FACTURACIÓN!$M$8:$M$1082)++SUMIF('CARTERA años anteriores'!$C$9:$C$234,A25,'CARTERA años anteriores'!$M$9:$M$234)</f>
        <v>0</v>
      </c>
      <c r="G25" s="525">
        <f>SUMIF('EGRESOS DE CAJA'!$C$10:$C$2251,A25,'EGRESOS DE CAJA'!$G$10:$G$2251)</f>
        <v>0</v>
      </c>
      <c r="H25" s="512">
        <f t="shared" si="1"/>
        <v>0</v>
      </c>
      <c r="I25" s="512">
        <f t="shared" si="2"/>
        <v>0</v>
      </c>
      <c r="J25" s="557"/>
      <c r="K25" s="629"/>
    </row>
    <row r="26" spans="1:11" ht="15" x14ac:dyDescent="0.2">
      <c r="A26" s="560">
        <v>18</v>
      </c>
      <c r="B26" s="511" t="str">
        <f>_xlfn.XLOOKUP(A26,Códigos!$A$11:$A$415,Códigos!$B$11:$B$415,"Verificar",0)</f>
        <v>NOMBRE 161</v>
      </c>
      <c r="C26" s="525">
        <f>SUMIF('CARTERA años anteriores'!$C$9:$C$234,A26,'CARTERA años anteriores'!$J$9:$J$234)</f>
        <v>0</v>
      </c>
      <c r="D26" s="525">
        <f>SUMIF('CARTERA años anteriores'!$C$9:$C$234,A26,'CARTERA años anteriores'!$L$9:$L$234)</f>
        <v>0</v>
      </c>
      <c r="E26" s="525">
        <f>SUMIF(FACTURACIÓN!$C$8:$C$1082,A26,FACTURACIÓN!$K$8:$K$1082)</f>
        <v>0</v>
      </c>
      <c r="F26" s="525">
        <f>SUMIF('INGRESOS A CAJA'!$C$10:$C$954,A26,'INGRESOS A CAJA'!$F$10:$F$954)+SUMIF(FACTURACIÓN!$C$8:$C$1082,A26,FACTURACIÓN!$M$8:$M$1082)++SUMIF('CARTERA años anteriores'!$C$9:$C$234,A26,'CARTERA años anteriores'!$M$9:$M$234)</f>
        <v>0</v>
      </c>
      <c r="G26" s="525">
        <f>SUMIF('EGRESOS DE CAJA'!$C$10:$C$2251,A26,'EGRESOS DE CAJA'!$G$10:$G$2251)</f>
        <v>0</v>
      </c>
      <c r="H26" s="512">
        <f t="shared" si="1"/>
        <v>0</v>
      </c>
      <c r="I26" s="512">
        <f t="shared" si="2"/>
        <v>0</v>
      </c>
      <c r="J26" s="557"/>
      <c r="K26" s="629"/>
    </row>
    <row r="27" spans="1:11" ht="15" x14ac:dyDescent="0.2">
      <c r="A27" s="560">
        <v>19</v>
      </c>
      <c r="B27" s="511" t="str">
        <f>_xlfn.XLOOKUP(A27,Códigos!$A$11:$A$415,Códigos!$B$11:$B$415,"Verificar",0)</f>
        <v>NOMBRE 164</v>
      </c>
      <c r="C27" s="525">
        <f>SUMIF('CARTERA años anteriores'!$C$9:$C$234,A27,'CARTERA años anteriores'!$J$9:$J$234)</f>
        <v>0</v>
      </c>
      <c r="D27" s="525">
        <f>SUMIF('CARTERA años anteriores'!$C$9:$C$234,A27,'CARTERA años anteriores'!$L$9:$L$234)</f>
        <v>0</v>
      </c>
      <c r="E27" s="525">
        <f>SUMIF(FACTURACIÓN!$C$8:$C$1082,A27,FACTURACIÓN!$K$8:$K$1082)</f>
        <v>11907000</v>
      </c>
      <c r="F27" s="525">
        <f>SUMIF('INGRESOS A CAJA'!$C$10:$C$954,A27,'INGRESOS A CAJA'!$F$10:$F$954)+SUMIF(FACTURACIÓN!$C$8:$C$1082,A27,FACTURACIÓN!$M$8:$M$1082)++SUMIF('CARTERA años anteriores'!$C$9:$C$234,A27,'CARTERA años anteriores'!$M$9:$M$234)</f>
        <v>0</v>
      </c>
      <c r="G27" s="525">
        <f>SUMIF('EGRESOS DE CAJA'!$C$10:$C$2251,A27,'EGRESOS DE CAJA'!$G$10:$G$2251)</f>
        <v>0</v>
      </c>
      <c r="H27" s="512">
        <f t="shared" si="1"/>
        <v>11907000</v>
      </c>
      <c r="I27" s="512">
        <f t="shared" si="2"/>
        <v>0</v>
      </c>
      <c r="J27" s="557"/>
      <c r="K27" s="629"/>
    </row>
    <row r="28" spans="1:11" ht="15" x14ac:dyDescent="0.2">
      <c r="A28" s="560">
        <v>20</v>
      </c>
      <c r="B28" s="511" t="str">
        <f>_xlfn.XLOOKUP(A28,Códigos!$A$11:$A$415,Códigos!$B$11:$B$415,"Verificar",0)</f>
        <v>NOMBRE 167</v>
      </c>
      <c r="C28" s="525">
        <f>SUMIF('CARTERA años anteriores'!$C$9:$C$234,A28,'CARTERA años anteriores'!$J$9:$J$234)</f>
        <v>0</v>
      </c>
      <c r="D28" s="525">
        <f>SUMIF('CARTERA años anteriores'!$C$9:$C$234,A28,'CARTERA años anteriores'!$L$9:$L$234)</f>
        <v>0</v>
      </c>
      <c r="E28" s="525">
        <f>SUMIF(FACTURACIÓN!$C$8:$C$1082,A28,FACTURACIÓN!$K$8:$K$1082)</f>
        <v>0</v>
      </c>
      <c r="F28" s="525">
        <f>SUMIF('INGRESOS A CAJA'!$C$10:$C$954,A28,'INGRESOS A CAJA'!$F$10:$F$954)+SUMIF(FACTURACIÓN!$C$8:$C$1082,A28,FACTURACIÓN!$M$8:$M$1082)++SUMIF('CARTERA años anteriores'!$C$9:$C$234,A28,'CARTERA años anteriores'!$M$9:$M$234)</f>
        <v>0</v>
      </c>
      <c r="G28" s="525">
        <f>SUMIF('EGRESOS DE CAJA'!$C$10:$C$2251,A28,'EGRESOS DE CAJA'!$G$10:$G$2251)</f>
        <v>0</v>
      </c>
      <c r="H28" s="512">
        <f t="shared" si="1"/>
        <v>0</v>
      </c>
      <c r="I28" s="512">
        <f t="shared" si="2"/>
        <v>0</v>
      </c>
      <c r="J28" s="557"/>
      <c r="K28" s="629"/>
    </row>
    <row r="29" spans="1:11" ht="15" x14ac:dyDescent="0.2">
      <c r="A29" s="560">
        <v>21</v>
      </c>
      <c r="B29" s="511" t="str">
        <f>_xlfn.XLOOKUP(A29,Códigos!$A$11:$A$415,Códigos!$B$11:$B$415,"Verificar",0)</f>
        <v>NOMBRE 168</v>
      </c>
      <c r="C29" s="525">
        <f>SUMIF('CARTERA años anteriores'!$C$9:$C$234,A29,'CARTERA años anteriores'!$J$9:$J$234)</f>
        <v>5380000</v>
      </c>
      <c r="D29" s="525">
        <f>SUMIF('CARTERA años anteriores'!$C$9:$C$234,A29,'CARTERA años anteriores'!$L$9:$L$234)</f>
        <v>0</v>
      </c>
      <c r="E29" s="525">
        <f>SUMIF(FACTURACIÓN!$C$8:$C$1082,A29,FACTURACIÓN!$K$8:$K$1082)</f>
        <v>5630000</v>
      </c>
      <c r="F29" s="525">
        <f>SUMIF('INGRESOS A CAJA'!$C$10:$C$954,A29,'INGRESOS A CAJA'!$F$10:$F$954)+SUMIF(FACTURACIÓN!$C$8:$C$1082,A29,FACTURACIÓN!$M$8:$M$1082)++SUMIF('CARTERA años anteriores'!$C$9:$C$234,A29,'CARTERA años anteriores'!$M$9:$M$234)</f>
        <v>0</v>
      </c>
      <c r="G29" s="525">
        <f>SUMIF('EGRESOS DE CAJA'!$C$10:$C$2251,A29,'EGRESOS DE CAJA'!$G$10:$G$2251)</f>
        <v>0</v>
      </c>
      <c r="H29" s="512">
        <f t="shared" si="1"/>
        <v>11010000</v>
      </c>
      <c r="I29" s="512">
        <f t="shared" si="2"/>
        <v>0</v>
      </c>
      <c r="J29" s="557"/>
      <c r="K29" s="629"/>
    </row>
    <row r="30" spans="1:11" ht="15" x14ac:dyDescent="0.2">
      <c r="A30" s="560">
        <v>22</v>
      </c>
      <c r="B30" s="511" t="str">
        <f>_xlfn.XLOOKUP(A30,Códigos!$A$11:$A$415,Códigos!$B$11:$B$415,"Verificar",0)</f>
        <v>NOMBRE 240</v>
      </c>
      <c r="C30" s="525">
        <f>SUMIF('CARTERA años anteriores'!$C$9:$C$234,A30,'CARTERA años anteriores'!$J$9:$J$234)</f>
        <v>0</v>
      </c>
      <c r="D30" s="525">
        <f>SUMIF('CARTERA años anteriores'!$C$9:$C$234,A30,'CARTERA años anteriores'!$L$9:$L$234)</f>
        <v>0</v>
      </c>
      <c r="E30" s="525">
        <f>SUMIF(FACTURACIÓN!$C$8:$C$1082,A30,FACTURACIÓN!$K$8:$K$1082)</f>
        <v>0</v>
      </c>
      <c r="F30" s="525">
        <f>SUMIF('INGRESOS A CAJA'!$C$10:$C$954,A30,'INGRESOS A CAJA'!$F$10:$F$954)+SUMIF(FACTURACIÓN!$C$8:$C$1082,A30,FACTURACIÓN!$M$8:$M$1082)++SUMIF('CARTERA años anteriores'!$C$9:$C$234,A30,'CARTERA años anteriores'!$M$9:$M$234)</f>
        <v>0</v>
      </c>
      <c r="G30" s="525">
        <f>SUMIF('EGRESOS DE CAJA'!$C$10:$C$2251,A30,'EGRESOS DE CAJA'!$G$10:$G$2251)</f>
        <v>0</v>
      </c>
      <c r="H30" s="512">
        <f t="shared" si="1"/>
        <v>0</v>
      </c>
      <c r="I30" s="512">
        <f t="shared" si="2"/>
        <v>0</v>
      </c>
      <c r="J30" s="557"/>
      <c r="K30" s="629"/>
    </row>
    <row r="31" spans="1:11" ht="15" x14ac:dyDescent="0.2">
      <c r="A31" s="560">
        <v>23</v>
      </c>
      <c r="B31" s="511" t="str">
        <f>_xlfn.XLOOKUP(A31,Códigos!$A$11:$A$415,Códigos!$B$11:$B$415,"Verificar",0)</f>
        <v>NOMBRE 169</v>
      </c>
      <c r="C31" s="525">
        <f>SUMIF('CARTERA años anteriores'!$C$9:$C$234,A31,'CARTERA años anteriores'!$J$9:$J$234)</f>
        <v>0</v>
      </c>
      <c r="D31" s="525">
        <f>SUMIF('CARTERA años anteriores'!$C$9:$C$234,A31,'CARTERA años anteriores'!$L$9:$L$234)</f>
        <v>0</v>
      </c>
      <c r="E31" s="525">
        <f>SUMIF(FACTURACIÓN!$C$8:$C$1082,A31,FACTURACIÓN!$K$8:$K$1082)</f>
        <v>0</v>
      </c>
      <c r="F31" s="525">
        <f>SUMIF('INGRESOS A CAJA'!$C$10:$C$954,A31,'INGRESOS A CAJA'!$F$10:$F$954)+SUMIF(FACTURACIÓN!$C$8:$C$1082,A31,FACTURACIÓN!$M$8:$M$1082)++SUMIF('CARTERA años anteriores'!$C$9:$C$234,A31,'CARTERA años anteriores'!$M$9:$M$234)</f>
        <v>0</v>
      </c>
      <c r="G31" s="525">
        <f>SUMIF('EGRESOS DE CAJA'!$C$10:$C$2251,A31,'EGRESOS DE CAJA'!$G$10:$G$2251)</f>
        <v>0</v>
      </c>
      <c r="H31" s="512">
        <f t="shared" si="1"/>
        <v>0</v>
      </c>
      <c r="I31" s="512">
        <f t="shared" si="2"/>
        <v>0</v>
      </c>
      <c r="J31" s="557"/>
      <c r="K31" s="629"/>
    </row>
    <row r="32" spans="1:11" ht="15" x14ac:dyDescent="0.2">
      <c r="A32" s="560">
        <v>24</v>
      </c>
      <c r="B32" s="511" t="str">
        <f>_xlfn.XLOOKUP(A32,Códigos!$A$11:$A$415,Códigos!$B$11:$B$415,"Verificar",0)</f>
        <v>NOMBRE 132</v>
      </c>
      <c r="C32" s="525">
        <f>SUMIF('CARTERA años anteriores'!$C$9:$C$234,A32,'CARTERA años anteriores'!$J$9:$J$234)</f>
        <v>0</v>
      </c>
      <c r="D32" s="525">
        <f>SUMIF('CARTERA años anteriores'!$C$9:$C$234,A32,'CARTERA años anteriores'!$L$9:$L$234)</f>
        <v>0</v>
      </c>
      <c r="E32" s="525">
        <f>SUMIF(FACTURACIÓN!$C$8:$C$1082,A32,FACTURACIÓN!$K$8:$K$1082)</f>
        <v>470000</v>
      </c>
      <c r="F32" s="525">
        <f>SUMIF('INGRESOS A CAJA'!$C$10:$C$954,A32,'INGRESOS A CAJA'!$F$10:$F$954)+SUMIF(FACTURACIÓN!$C$8:$C$1082,A32,FACTURACIÓN!$M$8:$M$1082)++SUMIF('CARTERA años anteriores'!$C$9:$C$234,A32,'CARTERA años anteriores'!$M$9:$M$234)</f>
        <v>470000</v>
      </c>
      <c r="G32" s="525">
        <f>SUMIF('EGRESOS DE CAJA'!$C$10:$C$2251,A32,'EGRESOS DE CAJA'!$G$10:$G$2251)</f>
        <v>0</v>
      </c>
      <c r="H32" s="512">
        <f t="shared" si="1"/>
        <v>0</v>
      </c>
      <c r="I32" s="512">
        <f t="shared" si="2"/>
        <v>0</v>
      </c>
      <c r="J32" s="557"/>
      <c r="K32" s="629"/>
    </row>
    <row r="33" spans="1:11" ht="15" x14ac:dyDescent="0.2">
      <c r="A33" s="560">
        <v>25</v>
      </c>
      <c r="B33" s="511" t="str">
        <f>_xlfn.XLOOKUP(A33,Códigos!$A$11:$A$415,Códigos!$B$11:$B$415,"Verificar",0)</f>
        <v>NOMBRE 178</v>
      </c>
      <c r="C33" s="525">
        <f>SUMIF('CARTERA años anteriores'!$C$9:$C$234,A33,'CARTERA años anteriores'!$J$9:$J$234)</f>
        <v>13481200</v>
      </c>
      <c r="D33" s="525">
        <f>SUMIF('CARTERA años anteriores'!$C$9:$C$234,A33,'CARTERA años anteriores'!$L$9:$L$234)</f>
        <v>9776200</v>
      </c>
      <c r="E33" s="525">
        <f>SUMIF(FACTURACIÓN!$C$8:$C$1082,A33,FACTURACIÓN!$K$8:$K$1082)</f>
        <v>0</v>
      </c>
      <c r="F33" s="525">
        <f>SUMIF('INGRESOS A CAJA'!$C$10:$C$954,A33,'INGRESOS A CAJA'!$F$10:$F$954)+SUMIF(FACTURACIÓN!$C$8:$C$1082,A33,FACTURACIÓN!$M$8:$M$1082)++SUMIF('CARTERA años anteriores'!$C$9:$C$234,A33,'CARTERA años anteriores'!$M$9:$M$234)</f>
        <v>9776200</v>
      </c>
      <c r="G33" s="525">
        <f>SUMIF('EGRESOS DE CAJA'!$C$10:$C$2251,A33,'EGRESOS DE CAJA'!$G$10:$G$2251)</f>
        <v>0</v>
      </c>
      <c r="H33" s="512">
        <f t="shared" si="1"/>
        <v>3705000</v>
      </c>
      <c r="I33" s="1290">
        <f>IF((+C33-D33+E33-F33+G33)&lt;0,(+C33-D33+E33-F33+G33),0)</f>
        <v>-6071200</v>
      </c>
      <c r="J33" s="557"/>
      <c r="K33" s="629"/>
    </row>
    <row r="34" spans="1:11" ht="15" x14ac:dyDescent="0.2">
      <c r="A34" s="560">
        <v>26</v>
      </c>
      <c r="B34" s="511" t="str">
        <f>_xlfn.XLOOKUP(A34,Códigos!$A$11:$A$415,Códigos!$B$11:$B$415,"Verificar",0)</f>
        <v>NOMBRE 201</v>
      </c>
      <c r="C34" s="525">
        <f>SUMIF('CARTERA años anteriores'!$C$9:$C$234,A34,'CARTERA años anteriores'!$J$9:$J$234)</f>
        <v>0</v>
      </c>
      <c r="D34" s="525">
        <f>SUMIF('CARTERA años anteriores'!$C$9:$C$234,A34,'CARTERA años anteriores'!$L$9:$L$234)</f>
        <v>0</v>
      </c>
      <c r="E34" s="525">
        <f>SUMIF(FACTURACIÓN!$C$8:$C$1082,A34,FACTURACIÓN!$K$8:$K$1082)</f>
        <v>260000</v>
      </c>
      <c r="F34" s="525">
        <f>SUMIF('INGRESOS A CAJA'!$C$10:$C$954,A34,'INGRESOS A CAJA'!$F$10:$F$954)+SUMIF(FACTURACIÓN!$C$8:$C$1082,A34,FACTURACIÓN!$M$8:$M$1082)++SUMIF('CARTERA años anteriores'!$C$9:$C$234,A34,'CARTERA años anteriores'!$M$9:$M$234)</f>
        <v>0</v>
      </c>
      <c r="G34" s="525">
        <f>SUMIF('EGRESOS DE CAJA'!$C$10:$C$2251,A34,'EGRESOS DE CAJA'!$G$10:$G$2251)</f>
        <v>0</v>
      </c>
      <c r="H34" s="512">
        <f t="shared" si="1"/>
        <v>260000</v>
      </c>
      <c r="I34" s="512">
        <f t="shared" si="2"/>
        <v>0</v>
      </c>
      <c r="J34" s="557"/>
      <c r="K34" s="629"/>
    </row>
    <row r="35" spans="1:11" ht="15" x14ac:dyDescent="0.2">
      <c r="A35" s="560">
        <v>27</v>
      </c>
      <c r="B35" s="511" t="str">
        <f>_xlfn.XLOOKUP(A35,Códigos!$A$11:$A$415,Códigos!$B$11:$B$415,"Verificar",0)</f>
        <v>NOMBRE 345</v>
      </c>
      <c r="C35" s="525">
        <f>SUMIF('CARTERA años anteriores'!$C$9:$C$234,A35,'CARTERA años anteriores'!$J$9:$J$234)</f>
        <v>0</v>
      </c>
      <c r="D35" s="525">
        <f>SUMIF('CARTERA años anteriores'!$C$9:$C$234,A35,'CARTERA años anteriores'!$L$9:$L$234)</f>
        <v>0</v>
      </c>
      <c r="E35" s="525">
        <f>SUMIF(FACTURACIÓN!$C$8:$C$1082,A35,FACTURACIÓN!$K$8:$K$1082)</f>
        <v>0</v>
      </c>
      <c r="F35" s="525">
        <f>SUMIF('INGRESOS A CAJA'!$C$10:$C$954,A35,'INGRESOS A CAJA'!$F$10:$F$954)+SUMIF(FACTURACIÓN!$C$8:$C$1082,A35,FACTURACIÓN!$M$8:$M$1082)++SUMIF('CARTERA años anteriores'!$C$9:$C$234,A35,'CARTERA años anteriores'!$M$9:$M$234)</f>
        <v>0</v>
      </c>
      <c r="G35" s="525">
        <f>SUMIF('EGRESOS DE CAJA'!$C$10:$C$2251,A35,'EGRESOS DE CAJA'!$G$10:$G$2251)</f>
        <v>0</v>
      </c>
      <c r="H35" s="512">
        <f t="shared" si="1"/>
        <v>0</v>
      </c>
      <c r="I35" s="512">
        <f t="shared" si="2"/>
        <v>0</v>
      </c>
      <c r="J35" s="557"/>
      <c r="K35" s="629"/>
    </row>
    <row r="36" spans="1:11" ht="15" x14ac:dyDescent="0.2">
      <c r="A36" s="642">
        <v>28</v>
      </c>
      <c r="B36" s="526" t="str">
        <f>_xlfn.XLOOKUP(A36,Códigos!$A$11:$A$415,Códigos!$B$11:$B$415,"Verificar",0)</f>
        <v>NOMBRE 180</v>
      </c>
      <c r="C36" s="525">
        <f>SUMIF('CARTERA años anteriores'!$C$9:$C$234,A36,'CARTERA años anteriores'!$J$9:$J$234)</f>
        <v>0</v>
      </c>
      <c r="D36" s="525">
        <f>SUMIF('CARTERA años anteriores'!$C$9:$C$234,A36,'CARTERA años anteriores'!$L$9:$L$234)</f>
        <v>0</v>
      </c>
      <c r="E36" s="527">
        <f>SUMIF(FACTURACIÓN!$C$8:$C$1082,A36,FACTURACIÓN!$K$8:$K$1082)</f>
        <v>11907000</v>
      </c>
      <c r="F36" s="525">
        <f>SUMIF('INGRESOS A CAJA'!$C$10:$C$954,A36,'INGRESOS A CAJA'!$F$10:$F$954)+SUMIF(FACTURACIÓN!$C$8:$C$1082,A36,FACTURACIÓN!$M$8:$M$1082)++SUMIF('CARTERA años anteriores'!$C$9:$C$234,A36,'CARTERA años anteriores'!$M$9:$M$234)</f>
        <v>0</v>
      </c>
      <c r="G36" s="527">
        <f>SUMIF('EGRESOS DE CAJA'!$C$10:$C$2251,A36,'EGRESOS DE CAJA'!$G$10:$G$2251)</f>
        <v>0</v>
      </c>
      <c r="H36" s="528">
        <f t="shared" si="1"/>
        <v>11907000</v>
      </c>
      <c r="I36" s="528">
        <f t="shared" si="2"/>
        <v>0</v>
      </c>
      <c r="J36" s="631"/>
      <c r="K36" s="629" t="s">
        <v>649</v>
      </c>
    </row>
    <row r="37" spans="1:11" ht="15" x14ac:dyDescent="0.2">
      <c r="A37" s="560">
        <v>29</v>
      </c>
      <c r="B37" s="511" t="str">
        <f>_xlfn.XLOOKUP(A37,Códigos!$A$11:$A$415,Códigos!$B$11:$B$415,"Verificar",0)</f>
        <v>NOMBRE 187</v>
      </c>
      <c r="C37" s="525">
        <f>SUMIF('CARTERA años anteriores'!$C$9:$C$234,A37,'CARTERA años anteriores'!$J$9:$J$234)</f>
        <v>8000</v>
      </c>
      <c r="D37" s="525">
        <f>SUMIF('CARTERA años anteriores'!$C$9:$C$234,A37,'CARTERA años anteriores'!$L$9:$L$234)</f>
        <v>0</v>
      </c>
      <c r="E37" s="525">
        <f>SUMIF(FACTURACIÓN!$C$8:$C$1082,A37,FACTURACIÓN!$K$8:$K$1082)</f>
        <v>0</v>
      </c>
      <c r="F37" s="525">
        <f>SUMIF('INGRESOS A CAJA'!$C$10:$C$954,A37,'INGRESOS A CAJA'!$F$10:$F$954)+SUMIF(FACTURACIÓN!$C$8:$C$1082,A37,FACTURACIÓN!$M$8:$M$1082)++SUMIF('CARTERA años anteriores'!$C$9:$C$234,A37,'CARTERA años anteriores'!$M$9:$M$234)</f>
        <v>0</v>
      </c>
      <c r="G37" s="525">
        <f>SUMIF('EGRESOS DE CAJA'!$C$10:$C$2251,A37,'EGRESOS DE CAJA'!$G$10:$G$2251)</f>
        <v>0</v>
      </c>
      <c r="H37" s="512">
        <f t="shared" si="1"/>
        <v>8000</v>
      </c>
      <c r="I37" s="512">
        <f t="shared" si="2"/>
        <v>0</v>
      </c>
      <c r="J37" s="557"/>
      <c r="K37" s="629"/>
    </row>
    <row r="38" spans="1:11" ht="15" x14ac:dyDescent="0.2">
      <c r="A38" s="560">
        <v>30</v>
      </c>
      <c r="B38" s="511" t="str">
        <f>_xlfn.XLOOKUP(A38,Códigos!$A$11:$A$415,Códigos!$B$11:$B$415,"Verificar",0)</f>
        <v>NOMBRE 188</v>
      </c>
      <c r="C38" s="525">
        <f>SUMIF('CARTERA años anteriores'!$C$9:$C$234,A38,'CARTERA años anteriores'!$J$9:$J$234)</f>
        <v>0</v>
      </c>
      <c r="D38" s="525">
        <f>SUMIF('CARTERA años anteriores'!$C$9:$C$234,A38,'CARTERA años anteriores'!$L$9:$L$234)</f>
        <v>0</v>
      </c>
      <c r="E38" s="525">
        <f>SUMIF(FACTURACIÓN!$C$8:$C$1082,A38,FACTURACIÓN!$K$8:$K$1082)</f>
        <v>0</v>
      </c>
      <c r="F38" s="525">
        <f>SUMIF('INGRESOS A CAJA'!$C$10:$C$954,A38,'INGRESOS A CAJA'!$F$10:$F$954)+SUMIF(FACTURACIÓN!$C$8:$C$1082,A38,FACTURACIÓN!$M$8:$M$1082)++SUMIF('CARTERA años anteriores'!$C$9:$C$234,A38,'CARTERA años anteriores'!$M$9:$M$234)</f>
        <v>0</v>
      </c>
      <c r="G38" s="525">
        <f>SUMIF('EGRESOS DE CAJA'!$C$10:$C$2251,A38,'EGRESOS DE CAJA'!$G$10:$G$2251)</f>
        <v>0</v>
      </c>
      <c r="H38" s="512">
        <f t="shared" si="1"/>
        <v>0</v>
      </c>
      <c r="I38" s="512">
        <f t="shared" si="2"/>
        <v>0</v>
      </c>
      <c r="J38" s="557"/>
      <c r="K38" s="629"/>
    </row>
    <row r="39" spans="1:11" ht="15" x14ac:dyDescent="0.2">
      <c r="A39" s="560">
        <v>31</v>
      </c>
      <c r="B39" s="511" t="str">
        <f>_xlfn.XLOOKUP(A39,Códigos!$A$11:$A$415,Códigos!$B$11:$B$415,"Verificar",0)</f>
        <v>NOMBRE 189</v>
      </c>
      <c r="C39" s="525">
        <f>SUMIF('CARTERA años anteriores'!$C$9:$C$234,A39,'CARTERA años anteriores'!$J$9:$J$234)</f>
        <v>0</v>
      </c>
      <c r="D39" s="525">
        <f>SUMIF('CARTERA años anteriores'!$C$9:$C$234,A39,'CARTERA años anteriores'!$L$9:$L$234)</f>
        <v>0</v>
      </c>
      <c r="E39" s="525">
        <f>SUMIF(FACTURACIÓN!$C$8:$C$1082,A39,FACTURACIÓN!$K$8:$K$1082)</f>
        <v>0</v>
      </c>
      <c r="F39" s="525">
        <f>SUMIF('INGRESOS A CAJA'!$C$10:$C$954,A39,'INGRESOS A CAJA'!$F$10:$F$954)+SUMIF(FACTURACIÓN!$C$8:$C$1082,A39,FACTURACIÓN!$M$8:$M$1082)++SUMIF('CARTERA años anteriores'!$C$9:$C$234,A39,'CARTERA años anteriores'!$M$9:$M$234)</f>
        <v>0</v>
      </c>
      <c r="G39" s="525">
        <f>SUMIF('EGRESOS DE CAJA'!$C$10:$C$2251,A39,'EGRESOS DE CAJA'!$G$10:$G$2251)</f>
        <v>0</v>
      </c>
      <c r="H39" s="512">
        <f t="shared" si="1"/>
        <v>0</v>
      </c>
      <c r="I39" s="512">
        <f t="shared" si="2"/>
        <v>0</v>
      </c>
      <c r="J39" s="557"/>
      <c r="K39" s="629"/>
    </row>
    <row r="40" spans="1:11" ht="15" x14ac:dyDescent="0.2">
      <c r="A40" s="643">
        <v>32</v>
      </c>
      <c r="B40" s="633" t="str">
        <f>_xlfn.XLOOKUP(A40,Códigos!$A$11:$A$415,Códigos!$B$11:$B$415,"Verificar",0)</f>
        <v>NOMBRE 199</v>
      </c>
      <c r="C40" s="525">
        <f>SUMIF('CARTERA años anteriores'!$C$9:$C$234,A40,'CARTERA años anteriores'!$J$9:$J$234)</f>
        <v>127500</v>
      </c>
      <c r="D40" s="525">
        <f>SUMIF('CARTERA años anteriores'!$C$9:$C$234,A40,'CARTERA años anteriores'!$L$9:$L$234)</f>
        <v>0</v>
      </c>
      <c r="E40" s="634">
        <f>SUMIF(FACTURACIÓN!$C$8:$C$1082,A40,FACTURACIÓN!$K$8:$K$1082)</f>
        <v>0</v>
      </c>
      <c r="F40" s="525">
        <f>SUMIF('INGRESOS A CAJA'!$C$10:$C$954,A40,'INGRESOS A CAJA'!$F$10:$F$954)+SUMIF(FACTURACIÓN!$C$8:$C$1082,A40,FACTURACIÓN!$M$8:$M$1082)++SUMIF('CARTERA años anteriores'!$C$9:$C$234,A40,'CARTERA años anteriores'!$M$9:$M$234)</f>
        <v>0</v>
      </c>
      <c r="G40" s="634">
        <f>SUMIF('EGRESOS DE CAJA'!$C$10:$C$2251,A40,'EGRESOS DE CAJA'!$G$10:$G$2251)</f>
        <v>0</v>
      </c>
      <c r="H40" s="635">
        <f t="shared" si="1"/>
        <v>127500</v>
      </c>
      <c r="I40" s="635">
        <f t="shared" si="2"/>
        <v>0</v>
      </c>
      <c r="J40" s="632" t="s">
        <v>591</v>
      </c>
      <c r="K40" s="629" t="s">
        <v>649</v>
      </c>
    </row>
    <row r="41" spans="1:11" ht="15" x14ac:dyDescent="0.2">
      <c r="A41" s="560">
        <v>33</v>
      </c>
      <c r="B41" s="511" t="str">
        <f>_xlfn.XLOOKUP(A41,Códigos!$A$11:$A$415,Códigos!$B$11:$B$415,"Verificar",0)</f>
        <v>NOMBRE 171</v>
      </c>
      <c r="C41" s="525">
        <f>SUMIF('CARTERA años anteriores'!$C$9:$C$234,A41,'CARTERA años anteriores'!$J$9:$J$234)</f>
        <v>3466800</v>
      </c>
      <c r="D41" s="525">
        <f>SUMIF('CARTERA años anteriores'!$C$9:$C$234,A41,'CARTERA años anteriores'!$L$9:$L$234)</f>
        <v>3466800</v>
      </c>
      <c r="E41" s="525">
        <f>SUMIF(FACTURACIÓN!$C$8:$C$1082,A41,FACTURACIÓN!$K$8:$K$1082)</f>
        <v>0</v>
      </c>
      <c r="F41" s="525">
        <f>SUMIF('INGRESOS A CAJA'!$C$10:$C$954,A41,'INGRESOS A CAJA'!$F$10:$F$954)+SUMIF(FACTURACIÓN!$C$8:$C$1082,A41,FACTURACIÓN!$M$8:$M$1082)++SUMIF('CARTERA años anteriores'!$C$9:$C$234,A41,'CARTERA años anteriores'!$M$9:$M$234)</f>
        <v>0</v>
      </c>
      <c r="G41" s="525">
        <f>SUMIF('EGRESOS DE CAJA'!$C$10:$C$2251,A41,'EGRESOS DE CAJA'!$G$10:$G$2251)</f>
        <v>0</v>
      </c>
      <c r="H41" s="512">
        <f t="shared" si="1"/>
        <v>3466800</v>
      </c>
      <c r="I41" s="512">
        <f t="shared" si="2"/>
        <v>0</v>
      </c>
      <c r="J41" s="557"/>
      <c r="K41" s="629"/>
    </row>
    <row r="42" spans="1:11" ht="15" x14ac:dyDescent="0.2">
      <c r="A42" s="560">
        <v>34</v>
      </c>
      <c r="B42" s="511" t="str">
        <f>_xlfn.XLOOKUP(A42,Códigos!$A$11:$A$415,Códigos!$B$11:$B$415,"Verificar",0)</f>
        <v>NOMBRE 176</v>
      </c>
      <c r="C42" s="525">
        <f>SUMIF('CARTERA años anteriores'!$C$9:$C$234,A42,'CARTERA años anteriores'!$J$9:$J$234)</f>
        <v>0</v>
      </c>
      <c r="D42" s="525">
        <f>SUMIF('CARTERA años anteriores'!$C$9:$C$234,A42,'CARTERA años anteriores'!$L$9:$L$234)</f>
        <v>0</v>
      </c>
      <c r="E42" s="525">
        <f>SUMIF(FACTURACIÓN!$C$8:$C$1082,A42,FACTURACIÓN!$K$8:$K$1082)</f>
        <v>0</v>
      </c>
      <c r="F42" s="525">
        <f>SUMIF('INGRESOS A CAJA'!$C$10:$C$954,A42,'INGRESOS A CAJA'!$F$10:$F$954)+SUMIF(FACTURACIÓN!$C$8:$C$1082,A42,FACTURACIÓN!$M$8:$M$1082)++SUMIF('CARTERA años anteriores'!$C$9:$C$234,A42,'CARTERA años anteriores'!$M$9:$M$234)</f>
        <v>0</v>
      </c>
      <c r="G42" s="525">
        <f>SUMIF('EGRESOS DE CAJA'!$C$10:$C$2251,A42,'EGRESOS DE CAJA'!$G$10:$G$2251)</f>
        <v>0</v>
      </c>
      <c r="H42" s="512">
        <f t="shared" si="1"/>
        <v>0</v>
      </c>
      <c r="I42" s="512">
        <f t="shared" si="2"/>
        <v>0</v>
      </c>
      <c r="J42" s="557"/>
      <c r="K42" s="629"/>
    </row>
    <row r="43" spans="1:11" ht="15" x14ac:dyDescent="0.2">
      <c r="A43" s="560">
        <v>35</v>
      </c>
      <c r="B43" s="511" t="str">
        <f>_xlfn.XLOOKUP(A43,Códigos!$A$11:$A$415,Códigos!$B$11:$B$415,"Verificar",0)</f>
        <v>NOMBRE 274</v>
      </c>
      <c r="C43" s="525">
        <f>SUMIF('CARTERA años anteriores'!$C$9:$C$234,A43,'CARTERA años anteriores'!$J$9:$J$234)</f>
        <v>0</v>
      </c>
      <c r="D43" s="525">
        <f>SUMIF('CARTERA años anteriores'!$C$9:$C$234,A43,'CARTERA años anteriores'!$L$9:$L$234)</f>
        <v>0</v>
      </c>
      <c r="E43" s="525">
        <f>SUMIF(FACTURACIÓN!$C$8:$C$1082,A43,FACTURACIÓN!$K$8:$K$1082)</f>
        <v>0</v>
      </c>
      <c r="F43" s="525">
        <f>SUMIF('INGRESOS A CAJA'!$C$10:$C$954,A43,'INGRESOS A CAJA'!$F$10:$F$954)+SUMIF(FACTURACIÓN!$C$8:$C$1082,A43,FACTURACIÓN!$M$8:$M$1082)++SUMIF('CARTERA años anteriores'!$C$9:$C$234,A43,'CARTERA años anteriores'!$M$9:$M$234)</f>
        <v>0</v>
      </c>
      <c r="G43" s="525">
        <f>SUMIF('EGRESOS DE CAJA'!$C$10:$C$2251,A43,'EGRESOS DE CAJA'!$G$10:$G$2251)</f>
        <v>0</v>
      </c>
      <c r="H43" s="512">
        <f t="shared" si="1"/>
        <v>0</v>
      </c>
      <c r="I43" s="512">
        <f t="shared" si="2"/>
        <v>0</v>
      </c>
      <c r="J43" s="557"/>
      <c r="K43" s="629"/>
    </row>
    <row r="44" spans="1:11" ht="15" x14ac:dyDescent="0.2">
      <c r="A44" s="560">
        <v>36</v>
      </c>
      <c r="B44" s="511" t="str">
        <f>_xlfn.XLOOKUP(A44,Códigos!$A$11:$A$415,Códigos!$B$11:$B$415,"Verificar",0)</f>
        <v>NOMBRE 15</v>
      </c>
      <c r="C44" s="525">
        <f>SUMIF('CARTERA años anteriores'!$C$9:$C$234,A44,'CARTERA años anteriores'!$J$9:$J$234)</f>
        <v>0</v>
      </c>
      <c r="D44" s="525">
        <f>SUMIF('CARTERA años anteriores'!$C$9:$C$234,A44,'CARTERA años anteriores'!$L$9:$L$234)</f>
        <v>0</v>
      </c>
      <c r="E44" s="525">
        <f>SUMIF(FACTURACIÓN!$C$8:$C$1082,A44,FACTURACIÓN!$K$8:$K$1082)</f>
        <v>0</v>
      </c>
      <c r="F44" s="525">
        <f>SUMIF('INGRESOS A CAJA'!$C$10:$C$954,A44,'INGRESOS A CAJA'!$F$10:$F$954)+SUMIF(FACTURACIÓN!$C$8:$C$1082,A44,FACTURACIÓN!$M$8:$M$1082)++SUMIF('CARTERA años anteriores'!$C$9:$C$234,A44,'CARTERA años anteriores'!$M$9:$M$234)</f>
        <v>0</v>
      </c>
      <c r="G44" s="525">
        <f>SUMIF('EGRESOS DE CAJA'!$C$10:$C$2251,A44,'EGRESOS DE CAJA'!$G$10:$G$2251)</f>
        <v>0</v>
      </c>
      <c r="H44" s="512">
        <f t="shared" si="1"/>
        <v>0</v>
      </c>
      <c r="I44" s="512">
        <f t="shared" si="2"/>
        <v>0</v>
      </c>
      <c r="J44" s="557"/>
      <c r="K44" s="629"/>
    </row>
    <row r="45" spans="1:11" ht="15" x14ac:dyDescent="0.2">
      <c r="A45" s="644">
        <v>37</v>
      </c>
      <c r="B45" s="540" t="str">
        <f>_xlfn.XLOOKUP(A45,Códigos!$A$11:$A$415,Códigos!$B$11:$B$415,"Verificar",0)</f>
        <v>NOMBRE 310</v>
      </c>
      <c r="C45" s="525">
        <f>SUMIF('CARTERA años anteriores'!$C$9:$C$234,A45,'CARTERA años anteriores'!$J$9:$J$234)</f>
        <v>3466800</v>
      </c>
      <c r="D45" s="525">
        <f>SUMIF('CARTERA años anteriores'!$C$9:$C$234,A45,'CARTERA años anteriores'!$L$9:$L$234)</f>
        <v>3466800</v>
      </c>
      <c r="E45" s="541">
        <f>SUMIF(FACTURACIÓN!$C$8:$C$1082,A45,FACTURACIÓN!$K$8:$K$1082)</f>
        <v>0</v>
      </c>
      <c r="F45" s="525">
        <f>SUMIF('INGRESOS A CAJA'!$C$10:$C$954,A45,'INGRESOS A CAJA'!$F$10:$F$954)+SUMIF(FACTURACIÓN!$C$8:$C$1082,A45,FACTURACIÓN!$M$8:$M$1082)++SUMIF('CARTERA años anteriores'!$C$9:$C$234,A45,'CARTERA años anteriores'!$M$9:$M$234)</f>
        <v>1933600</v>
      </c>
      <c r="G45" s="541">
        <f>SUMIF('EGRESOS DE CAJA'!$C$10:$C$2251,A45,'EGRESOS DE CAJA'!$G$10:$G$2251)</f>
        <v>0</v>
      </c>
      <c r="H45" s="542">
        <f t="shared" si="1"/>
        <v>1533200</v>
      </c>
      <c r="I45" s="542">
        <f t="shared" si="2"/>
        <v>-1933600</v>
      </c>
      <c r="J45" s="558"/>
      <c r="K45" s="629" t="s">
        <v>649</v>
      </c>
    </row>
    <row r="46" spans="1:11" ht="15" x14ac:dyDescent="0.2">
      <c r="A46" s="560">
        <v>38</v>
      </c>
      <c r="B46" s="511" t="str">
        <f>_xlfn.XLOOKUP(A46,Códigos!$A$11:$A$415,Códigos!$B$11:$B$415,"Verificar",0)</f>
        <v>NOMBRE 16</v>
      </c>
      <c r="C46" s="525">
        <f>SUMIF('CARTERA años anteriores'!$C$9:$C$234,A46,'CARTERA años anteriores'!$J$9:$J$234)</f>
        <v>0</v>
      </c>
      <c r="D46" s="525">
        <f>SUMIF('CARTERA años anteriores'!$C$9:$C$234,A46,'CARTERA años anteriores'!$L$9:$L$234)</f>
        <v>0</v>
      </c>
      <c r="E46" s="525">
        <f>SUMIF(FACTURACIÓN!$C$8:$C$1082,A46,FACTURACIÓN!$K$8:$K$1082)</f>
        <v>0</v>
      </c>
      <c r="F46" s="525">
        <f>SUMIF('INGRESOS A CAJA'!$C$10:$C$954,A46,'INGRESOS A CAJA'!$F$10:$F$954)+SUMIF(FACTURACIÓN!$C$8:$C$1082,A46,FACTURACIÓN!$M$8:$M$1082)++SUMIF('CARTERA años anteriores'!$C$9:$C$234,A46,'CARTERA años anteriores'!$M$9:$M$234)</f>
        <v>0</v>
      </c>
      <c r="G46" s="525">
        <f>SUMIF('EGRESOS DE CAJA'!$C$10:$C$2251,A46,'EGRESOS DE CAJA'!$G$10:$G$2251)</f>
        <v>0</v>
      </c>
      <c r="H46" s="512">
        <f t="shared" si="1"/>
        <v>0</v>
      </c>
      <c r="I46" s="512">
        <f t="shared" si="2"/>
        <v>0</v>
      </c>
      <c r="J46" s="557"/>
      <c r="K46" s="629"/>
    </row>
    <row r="47" spans="1:11" ht="15" x14ac:dyDescent="0.2">
      <c r="A47" s="560">
        <v>39</v>
      </c>
      <c r="B47" s="511" t="str">
        <f>_xlfn.XLOOKUP(A47,Códigos!$A$11:$A$415,Códigos!$B$11:$B$415,"Verificar",0)</f>
        <v>NOMBRE 79</v>
      </c>
      <c r="C47" s="525">
        <f>SUMIF('CARTERA años anteriores'!$C$9:$C$234,A47,'CARTERA años anteriores'!$J$9:$J$234)</f>
        <v>0</v>
      </c>
      <c r="D47" s="525">
        <f>SUMIF('CARTERA años anteriores'!$C$9:$C$234,A47,'CARTERA años anteriores'!$L$9:$L$234)</f>
        <v>0</v>
      </c>
      <c r="E47" s="525">
        <f>SUMIF(FACTURACIÓN!$C$8:$C$1082,A47,FACTURACIÓN!$K$8:$K$1082)</f>
        <v>0</v>
      </c>
      <c r="F47" s="525">
        <f>SUMIF('INGRESOS A CAJA'!$C$10:$C$954,A47,'INGRESOS A CAJA'!$F$10:$F$954)+SUMIF(FACTURACIÓN!$C$8:$C$1082,A47,FACTURACIÓN!$M$8:$M$1082)++SUMIF('CARTERA años anteriores'!$C$9:$C$234,A47,'CARTERA años anteriores'!$M$9:$M$234)</f>
        <v>0</v>
      </c>
      <c r="G47" s="525">
        <f>SUMIF('EGRESOS DE CAJA'!$C$10:$C$2251,A47,'EGRESOS DE CAJA'!$G$10:$G$2251)</f>
        <v>0</v>
      </c>
      <c r="H47" s="512">
        <f t="shared" si="1"/>
        <v>0</v>
      </c>
      <c r="I47" s="512">
        <f t="shared" si="2"/>
        <v>0</v>
      </c>
      <c r="J47" s="557"/>
      <c r="K47" s="629"/>
    </row>
    <row r="48" spans="1:11" ht="15" x14ac:dyDescent="0.2">
      <c r="A48" s="560">
        <v>40</v>
      </c>
      <c r="B48" s="511" t="str">
        <f>_xlfn.XLOOKUP(A48,Códigos!$A$11:$A$415,Códigos!$B$11:$B$415,"Verificar",0)</f>
        <v>NOMBRE 325</v>
      </c>
      <c r="C48" s="525">
        <f>SUMIF('CARTERA años anteriores'!$C$9:$C$234,A48,'CARTERA años anteriores'!$J$9:$J$234)</f>
        <v>8615600</v>
      </c>
      <c r="D48" s="525">
        <f>SUMIF('CARTERA años anteriores'!$C$9:$C$234,A48,'CARTERA años anteriores'!$L$9:$L$234)</f>
        <v>7819200</v>
      </c>
      <c r="E48" s="525">
        <f>SUMIF(FACTURACIÓN!$C$8:$C$1082,A48,FACTURACIÓN!$K$8:$K$1082)</f>
        <v>0</v>
      </c>
      <c r="F48" s="525">
        <f>SUMIF('INGRESOS A CAJA'!$C$10:$C$954,A48,'INGRESOS A CAJA'!$F$10:$F$954)+SUMIF(FACTURACIÓN!$C$8:$C$1082,A48,FACTURACIÓN!$M$8:$M$1082)++SUMIF('CARTERA años anteriores'!$C$9:$C$234,A48,'CARTERA años anteriores'!$M$9:$M$234)</f>
        <v>7819200</v>
      </c>
      <c r="G48" s="525">
        <f>SUMIF('EGRESOS DE CAJA'!$C$10:$C$2251,A48,'EGRESOS DE CAJA'!$G$10:$G$2251)</f>
        <v>0</v>
      </c>
      <c r="H48" s="512">
        <f t="shared" si="1"/>
        <v>796400</v>
      </c>
      <c r="I48" s="512">
        <f t="shared" si="2"/>
        <v>-7022800</v>
      </c>
      <c r="J48" s="557"/>
      <c r="K48" s="629"/>
    </row>
    <row r="49" spans="1:11" ht="15" x14ac:dyDescent="0.2">
      <c r="A49" s="560">
        <v>41</v>
      </c>
      <c r="B49" s="511" t="str">
        <f>_xlfn.XLOOKUP(A49,Códigos!$A$11:$A$415,Códigos!$B$11:$B$415,"Verificar",0)</f>
        <v>NOMBRE 1</v>
      </c>
      <c r="C49" s="525">
        <f>SUMIF('CARTERA años anteriores'!$C$9:$C$234,A49,'CARTERA años anteriores'!$J$9:$J$234)</f>
        <v>0</v>
      </c>
      <c r="D49" s="525">
        <f>SUMIF('CARTERA años anteriores'!$C$9:$C$234,A49,'CARTERA años anteriores'!$L$9:$L$234)</f>
        <v>0</v>
      </c>
      <c r="E49" s="525">
        <f>SUMIF(FACTURACIÓN!$C$8:$C$1082,A49,FACTURACIÓN!$K$8:$K$1082)</f>
        <v>360000</v>
      </c>
      <c r="F49" s="525">
        <f>SUMIF('INGRESOS A CAJA'!$C$10:$C$954,A49,'INGRESOS A CAJA'!$F$10:$F$954)+SUMIF(FACTURACIÓN!$C$8:$C$1082,A49,FACTURACIÓN!$M$8:$M$1082)++SUMIF('CARTERA años anteriores'!$C$9:$C$234,A49,'CARTERA años anteriores'!$M$9:$M$234)</f>
        <v>0</v>
      </c>
      <c r="G49" s="525">
        <f>SUMIF('EGRESOS DE CAJA'!$C$10:$C$2251,A49,'EGRESOS DE CAJA'!$G$10:$G$2251)</f>
        <v>0</v>
      </c>
      <c r="H49" s="512">
        <f t="shared" si="1"/>
        <v>360000</v>
      </c>
      <c r="I49" s="512">
        <f t="shared" si="2"/>
        <v>0</v>
      </c>
      <c r="J49" s="557"/>
      <c r="K49" s="629"/>
    </row>
    <row r="50" spans="1:11" ht="15" x14ac:dyDescent="0.2">
      <c r="A50" s="560">
        <v>42</v>
      </c>
      <c r="B50" s="511" t="str">
        <f>_xlfn.XLOOKUP(A50,Códigos!$A$11:$A$415,Códigos!$B$11:$B$415,"Verificar",0)</f>
        <v>NOMBRE 6</v>
      </c>
      <c r="C50" s="525">
        <f>SUMIF('CARTERA años anteriores'!$C$9:$C$234,A50,'CARTERA años anteriores'!$J$9:$J$234)</f>
        <v>0</v>
      </c>
      <c r="D50" s="525">
        <f>SUMIF('CARTERA años anteriores'!$C$9:$C$234,A50,'CARTERA años anteriores'!$L$9:$L$234)</f>
        <v>0</v>
      </c>
      <c r="E50" s="525">
        <f>SUMIF(FACTURACIÓN!$C$8:$C$1082,A50,FACTURACIÓN!$K$8:$K$1082)</f>
        <v>0</v>
      </c>
      <c r="F50" s="525">
        <f>SUMIF('INGRESOS A CAJA'!$C$10:$C$954,A50,'INGRESOS A CAJA'!$F$10:$F$954)+SUMIF(FACTURACIÓN!$C$8:$C$1082,A50,FACTURACIÓN!$M$8:$M$1082)++SUMIF('CARTERA años anteriores'!$C$9:$C$234,A50,'CARTERA años anteriores'!$M$9:$M$234)</f>
        <v>0</v>
      </c>
      <c r="G50" s="525">
        <f>SUMIF('EGRESOS DE CAJA'!$C$10:$C$2251,A50,'EGRESOS DE CAJA'!$G$10:$G$2251)</f>
        <v>0</v>
      </c>
      <c r="H50" s="512">
        <f t="shared" si="1"/>
        <v>0</v>
      </c>
      <c r="I50" s="512">
        <f t="shared" si="2"/>
        <v>0</v>
      </c>
      <c r="J50" s="557"/>
      <c r="K50" s="629"/>
    </row>
    <row r="51" spans="1:11" ht="15" x14ac:dyDescent="0.2">
      <c r="A51" s="560">
        <v>43</v>
      </c>
      <c r="B51" s="511" t="str">
        <f>_xlfn.XLOOKUP(A51,Códigos!$A$11:$A$415,Códigos!$B$11:$B$415,"Verificar",0)</f>
        <v>NOMBRE 7</v>
      </c>
      <c r="C51" s="525">
        <f>SUMIF('CARTERA años anteriores'!$C$9:$C$234,A51,'CARTERA años anteriores'!$J$9:$J$234)</f>
        <v>0</v>
      </c>
      <c r="D51" s="525">
        <f>SUMIF('CARTERA años anteriores'!$C$9:$C$234,A51,'CARTERA años anteriores'!$L$9:$L$234)</f>
        <v>0</v>
      </c>
      <c r="E51" s="525">
        <f>SUMIF(FACTURACIÓN!$C$8:$C$1082,A51,FACTURACIÓN!$K$8:$K$1082)</f>
        <v>480000</v>
      </c>
      <c r="F51" s="525">
        <f>SUMIF('INGRESOS A CAJA'!$C$10:$C$954,A51,'INGRESOS A CAJA'!$F$10:$F$954)+SUMIF(FACTURACIÓN!$C$8:$C$1082,A51,FACTURACIÓN!$M$8:$M$1082)++SUMIF('CARTERA años anteriores'!$C$9:$C$234,A51,'CARTERA años anteriores'!$M$9:$M$234)</f>
        <v>0</v>
      </c>
      <c r="G51" s="525">
        <f>SUMIF('EGRESOS DE CAJA'!$C$10:$C$2251,A51,'EGRESOS DE CAJA'!$G$10:$G$2251)</f>
        <v>0</v>
      </c>
      <c r="H51" s="512">
        <f t="shared" si="1"/>
        <v>480000</v>
      </c>
      <c r="I51" s="512">
        <f t="shared" si="2"/>
        <v>0</v>
      </c>
      <c r="J51" s="557"/>
      <c r="K51" s="629"/>
    </row>
    <row r="52" spans="1:11" ht="15" x14ac:dyDescent="0.2">
      <c r="A52" s="560">
        <v>44</v>
      </c>
      <c r="B52" s="511" t="str">
        <f>_xlfn.XLOOKUP(A52,Códigos!$A$11:$A$415,Códigos!$B$11:$B$415,"Verificar",0)</f>
        <v>NOMBRE 8</v>
      </c>
      <c r="C52" s="525">
        <f>SUMIF('CARTERA años anteriores'!$C$9:$C$234,A52,'CARTERA años anteriores'!$J$9:$J$234)</f>
        <v>0</v>
      </c>
      <c r="D52" s="525">
        <f>SUMIF('CARTERA años anteriores'!$C$9:$C$234,A52,'CARTERA años anteriores'!$L$9:$L$234)</f>
        <v>0</v>
      </c>
      <c r="E52" s="525">
        <f>SUMIF(FACTURACIÓN!$C$8:$C$1082,A52,FACTURACIÓN!$K$8:$K$1082)</f>
        <v>0</v>
      </c>
      <c r="F52" s="525">
        <f>SUMIF('INGRESOS A CAJA'!$C$10:$C$954,A52,'INGRESOS A CAJA'!$F$10:$F$954)+SUMIF(FACTURACIÓN!$C$8:$C$1082,A52,FACTURACIÓN!$M$8:$M$1082)++SUMIF('CARTERA años anteriores'!$C$9:$C$234,A52,'CARTERA años anteriores'!$M$9:$M$234)</f>
        <v>0</v>
      </c>
      <c r="G52" s="525">
        <f>SUMIF('EGRESOS DE CAJA'!$C$10:$C$2251,A52,'EGRESOS DE CAJA'!$G$10:$G$2251)</f>
        <v>0</v>
      </c>
      <c r="H52" s="512">
        <f t="shared" si="1"/>
        <v>0</v>
      </c>
      <c r="I52" s="512">
        <f t="shared" si="2"/>
        <v>0</v>
      </c>
      <c r="J52" s="557"/>
      <c r="K52" s="629"/>
    </row>
    <row r="53" spans="1:11" ht="15" x14ac:dyDescent="0.2">
      <c r="A53" s="560">
        <v>45</v>
      </c>
      <c r="B53" s="511" t="str">
        <f>_xlfn.XLOOKUP(A53,Códigos!$A$11:$A$415,Códigos!$B$11:$B$415,"Verificar",0)</f>
        <v>NOMBRE 9</v>
      </c>
      <c r="C53" s="525">
        <f>SUMIF('CARTERA años anteriores'!$C$9:$C$234,A53,'CARTERA años anteriores'!$J$9:$J$234)</f>
        <v>0</v>
      </c>
      <c r="D53" s="525">
        <f>SUMIF('CARTERA años anteriores'!$C$9:$C$234,A53,'CARTERA años anteriores'!$L$9:$L$234)</f>
        <v>0</v>
      </c>
      <c r="E53" s="525">
        <f>SUMIF(FACTURACIÓN!$C$8:$C$1082,A53,FACTURACIÓN!$K$8:$K$1082)</f>
        <v>980000</v>
      </c>
      <c r="F53" s="525">
        <f>SUMIF('INGRESOS A CAJA'!$C$10:$C$954,A53,'INGRESOS A CAJA'!$F$10:$F$954)+SUMIF(FACTURACIÓN!$C$8:$C$1082,A53,FACTURACIÓN!$M$8:$M$1082)++SUMIF('CARTERA años anteriores'!$C$9:$C$234,A53,'CARTERA años anteriores'!$M$9:$M$234)</f>
        <v>0</v>
      </c>
      <c r="G53" s="525">
        <f>SUMIF('EGRESOS DE CAJA'!$C$10:$C$2251,A53,'EGRESOS DE CAJA'!$G$10:$G$2251)</f>
        <v>0</v>
      </c>
      <c r="H53" s="512">
        <f t="shared" si="1"/>
        <v>980000</v>
      </c>
      <c r="I53" s="512">
        <f t="shared" si="2"/>
        <v>0</v>
      </c>
      <c r="J53" s="557"/>
      <c r="K53" s="629"/>
    </row>
    <row r="54" spans="1:11" ht="15" x14ac:dyDescent="0.2">
      <c r="A54" s="560">
        <v>46</v>
      </c>
      <c r="B54" s="511" t="str">
        <f>_xlfn.XLOOKUP(A54,Códigos!$A$11:$A$415,Códigos!$B$11:$B$415,"Verificar",0)</f>
        <v>NOMBRE 116</v>
      </c>
      <c r="C54" s="525">
        <f>SUMIF('CARTERA años anteriores'!$C$9:$C$234,A54,'CARTERA años anteriores'!$J$9:$J$234)</f>
        <v>0</v>
      </c>
      <c r="D54" s="525">
        <f>SUMIF('CARTERA años anteriores'!$C$9:$C$234,A54,'CARTERA años anteriores'!$L$9:$L$234)</f>
        <v>0</v>
      </c>
      <c r="E54" s="525">
        <f>SUMIF(FACTURACIÓN!$C$8:$C$1082,A54,FACTURACIÓN!$K$8:$K$1082)</f>
        <v>400000</v>
      </c>
      <c r="F54" s="525">
        <f>SUMIF('INGRESOS A CAJA'!$C$10:$C$954,A54,'INGRESOS A CAJA'!$F$10:$F$954)+SUMIF(FACTURACIÓN!$C$8:$C$1082,A54,FACTURACIÓN!$M$8:$M$1082)++SUMIF('CARTERA años anteriores'!$C$9:$C$234,A54,'CARTERA años anteriores'!$M$9:$M$234)</f>
        <v>400000</v>
      </c>
      <c r="G54" s="525">
        <f>SUMIF('EGRESOS DE CAJA'!$C$10:$C$2251,A54,'EGRESOS DE CAJA'!$G$10:$G$2251)</f>
        <v>0</v>
      </c>
      <c r="H54" s="512">
        <f t="shared" si="1"/>
        <v>0</v>
      </c>
      <c r="I54" s="512">
        <f t="shared" si="2"/>
        <v>0</v>
      </c>
      <c r="J54" s="557"/>
      <c r="K54" s="629"/>
    </row>
    <row r="55" spans="1:11" ht="15" x14ac:dyDescent="0.2">
      <c r="A55" s="560">
        <v>47</v>
      </c>
      <c r="B55" s="511" t="str">
        <f>_xlfn.XLOOKUP(A55,Códigos!$A$11:$A$415,Códigos!$B$11:$B$415,"Verificar",0)</f>
        <v>NOMBRE 12</v>
      </c>
      <c r="C55" s="525">
        <f>SUMIF('CARTERA años anteriores'!$C$9:$C$234,A55,'CARTERA años anteriores'!$J$9:$J$234)</f>
        <v>0</v>
      </c>
      <c r="D55" s="525">
        <f>SUMIF('CARTERA años anteriores'!$C$9:$C$234,A55,'CARTERA años anteriores'!$L$9:$L$234)</f>
        <v>0</v>
      </c>
      <c r="E55" s="525">
        <f>SUMIF(FACTURACIÓN!$C$8:$C$1082,A55,FACTURACIÓN!$K$8:$K$1082)</f>
        <v>0</v>
      </c>
      <c r="F55" s="525">
        <f>SUMIF('INGRESOS A CAJA'!$C$10:$C$954,A55,'INGRESOS A CAJA'!$F$10:$F$954)+SUMIF(FACTURACIÓN!$C$8:$C$1082,A55,FACTURACIÓN!$M$8:$M$1082)++SUMIF('CARTERA años anteriores'!$C$9:$C$234,A55,'CARTERA años anteriores'!$M$9:$M$234)</f>
        <v>0</v>
      </c>
      <c r="G55" s="525">
        <f>SUMIF('EGRESOS DE CAJA'!$C$10:$C$2251,A55,'EGRESOS DE CAJA'!$G$10:$G$2251)</f>
        <v>0</v>
      </c>
      <c r="H55" s="512">
        <f t="shared" si="1"/>
        <v>0</v>
      </c>
      <c r="I55" s="512">
        <f t="shared" si="2"/>
        <v>0</v>
      </c>
      <c r="J55" s="557"/>
      <c r="K55" s="629"/>
    </row>
    <row r="56" spans="1:11" ht="15" x14ac:dyDescent="0.2">
      <c r="A56" s="560">
        <v>48</v>
      </c>
      <c r="B56" s="511" t="str">
        <f>_xlfn.XLOOKUP(A56,Códigos!$A$11:$A$415,Códigos!$B$11:$B$415,"Verificar",0)</f>
        <v>NOMBRE 14</v>
      </c>
      <c r="C56" s="525">
        <f>SUMIF('CARTERA años anteriores'!$C$9:$C$234,A56,'CARTERA años anteriores'!$J$9:$J$234)</f>
        <v>0</v>
      </c>
      <c r="D56" s="525">
        <f>SUMIF('CARTERA años anteriores'!$C$9:$C$234,A56,'CARTERA años anteriores'!$L$9:$L$234)</f>
        <v>0</v>
      </c>
      <c r="E56" s="525">
        <f>SUMIF(FACTURACIÓN!$C$8:$C$1082,A56,FACTURACIÓN!$K$8:$K$1082)</f>
        <v>580000</v>
      </c>
      <c r="F56" s="525">
        <f>SUMIF('INGRESOS A CAJA'!$C$10:$C$954,A56,'INGRESOS A CAJA'!$F$10:$F$954)+SUMIF(FACTURACIÓN!$C$8:$C$1082,A56,FACTURACIÓN!$M$8:$M$1082)++SUMIF('CARTERA años anteriores'!$C$9:$C$234,A56,'CARTERA años anteriores'!$M$9:$M$234)</f>
        <v>580000</v>
      </c>
      <c r="G56" s="525">
        <f>SUMIF('EGRESOS DE CAJA'!$C$10:$C$2251,A56,'EGRESOS DE CAJA'!$G$10:$G$2251)</f>
        <v>0</v>
      </c>
      <c r="H56" s="512">
        <f t="shared" si="1"/>
        <v>0</v>
      </c>
      <c r="I56" s="512">
        <f t="shared" si="2"/>
        <v>0</v>
      </c>
      <c r="J56" s="557"/>
      <c r="K56" s="629"/>
    </row>
    <row r="57" spans="1:11" ht="15" x14ac:dyDescent="0.2">
      <c r="A57" s="560">
        <v>49</v>
      </c>
      <c r="B57" s="511" t="str">
        <f>_xlfn.XLOOKUP(A57,Códigos!$A$11:$A$415,Códigos!$B$11:$B$415,"Verificar",0)</f>
        <v>NOMBRE 17</v>
      </c>
      <c r="C57" s="525">
        <f>SUMIF('CARTERA años anteriores'!$C$9:$C$234,A57,'CARTERA años anteriores'!$J$9:$J$234)</f>
        <v>660000</v>
      </c>
      <c r="D57" s="525">
        <f>SUMIF('CARTERA años anteriores'!$C$9:$C$234,A57,'CARTERA años anteriores'!$L$9:$L$234)</f>
        <v>660000</v>
      </c>
      <c r="E57" s="525">
        <f>SUMIF(FACTURACIÓN!$C$8:$C$1082,A57,FACTURACIÓN!$K$8:$K$1082)</f>
        <v>690000</v>
      </c>
      <c r="F57" s="525">
        <f>SUMIF('INGRESOS A CAJA'!$C$10:$C$954,A57,'INGRESOS A CAJA'!$F$10:$F$954)+SUMIF(FACTURACIÓN!$C$8:$C$1082,A57,FACTURACIÓN!$M$8:$M$1082)++SUMIF('CARTERA años anteriores'!$C$9:$C$234,A57,'CARTERA años anteriores'!$M$9:$M$234)</f>
        <v>660000</v>
      </c>
      <c r="G57" s="525">
        <f>SUMIF('EGRESOS DE CAJA'!$C$10:$C$2251,A57,'EGRESOS DE CAJA'!$G$10:$G$2251)</f>
        <v>0</v>
      </c>
      <c r="H57" s="512">
        <f t="shared" si="1"/>
        <v>690000</v>
      </c>
      <c r="I57" s="512">
        <f t="shared" si="2"/>
        <v>0</v>
      </c>
      <c r="J57" s="557"/>
      <c r="K57" s="629"/>
    </row>
    <row r="58" spans="1:11" ht="15" x14ac:dyDescent="0.2">
      <c r="A58" s="560">
        <v>50</v>
      </c>
      <c r="B58" s="511" t="str">
        <f>_xlfn.XLOOKUP(A58,Códigos!$A$11:$A$415,Códigos!$B$11:$B$415,"Verificar",0)</f>
        <v>NOMBRE 18</v>
      </c>
      <c r="C58" s="525">
        <f>SUMIF('CARTERA años anteriores'!$C$9:$C$234,A58,'CARTERA años anteriores'!$J$9:$J$234)</f>
        <v>0</v>
      </c>
      <c r="D58" s="525">
        <f>SUMIF('CARTERA años anteriores'!$C$9:$C$234,A58,'CARTERA años anteriores'!$L$9:$L$234)</f>
        <v>0</v>
      </c>
      <c r="E58" s="525">
        <f>SUMIF(FACTURACIÓN!$C$8:$C$1082,A58,FACTURACIÓN!$K$8:$K$1082)</f>
        <v>350000</v>
      </c>
      <c r="F58" s="525">
        <f>SUMIF('INGRESOS A CAJA'!$C$10:$C$954,A58,'INGRESOS A CAJA'!$F$10:$F$954)+SUMIF(FACTURACIÓN!$C$8:$C$1082,A58,FACTURACIÓN!$M$8:$M$1082)++SUMIF('CARTERA años anteriores'!$C$9:$C$234,A58,'CARTERA años anteriores'!$M$9:$M$234)</f>
        <v>0</v>
      </c>
      <c r="G58" s="525">
        <f>SUMIF('EGRESOS DE CAJA'!$C$10:$C$2251,A58,'EGRESOS DE CAJA'!$G$10:$G$2251)</f>
        <v>0</v>
      </c>
      <c r="H58" s="512">
        <f t="shared" si="1"/>
        <v>350000</v>
      </c>
      <c r="I58" s="512">
        <f t="shared" si="2"/>
        <v>0</v>
      </c>
      <c r="J58" s="557"/>
      <c r="K58" s="629"/>
    </row>
    <row r="59" spans="1:11" ht="15" x14ac:dyDescent="0.2">
      <c r="A59" s="560">
        <v>51</v>
      </c>
      <c r="B59" s="511" t="str">
        <f>_xlfn.XLOOKUP(A59,Códigos!$A$11:$A$415,Códigos!$B$11:$B$415,"Verificar",0)</f>
        <v>NOMBRE 19</v>
      </c>
      <c r="C59" s="525">
        <f>SUMIF('CARTERA años anteriores'!$C$9:$C$234,A59,'CARTERA años anteriores'!$J$9:$J$234)</f>
        <v>0</v>
      </c>
      <c r="D59" s="525">
        <f>SUMIF('CARTERA años anteriores'!$C$9:$C$234,A59,'CARTERA años anteriores'!$L$9:$L$234)</f>
        <v>0</v>
      </c>
      <c r="E59" s="525">
        <f>SUMIF(FACTURACIÓN!$C$8:$C$1082,A59,FACTURACIÓN!$K$8:$K$1082)</f>
        <v>0</v>
      </c>
      <c r="F59" s="525">
        <f>SUMIF('INGRESOS A CAJA'!$C$10:$C$954,A59,'INGRESOS A CAJA'!$F$10:$F$954)+SUMIF(FACTURACIÓN!$C$8:$C$1082,A59,FACTURACIÓN!$M$8:$M$1082)++SUMIF('CARTERA años anteriores'!$C$9:$C$234,A59,'CARTERA años anteriores'!$M$9:$M$234)</f>
        <v>0</v>
      </c>
      <c r="G59" s="525">
        <f>SUMIF('EGRESOS DE CAJA'!$C$10:$C$2251,A59,'EGRESOS DE CAJA'!$G$10:$G$2251)</f>
        <v>0</v>
      </c>
      <c r="H59" s="512">
        <f t="shared" si="1"/>
        <v>0</v>
      </c>
      <c r="I59" s="512">
        <f t="shared" si="2"/>
        <v>0</v>
      </c>
      <c r="J59" s="557"/>
      <c r="K59" s="629"/>
    </row>
    <row r="60" spans="1:11" ht="15" x14ac:dyDescent="0.2">
      <c r="A60" s="560">
        <v>52</v>
      </c>
      <c r="B60" s="511" t="str">
        <f>_xlfn.XLOOKUP(A60,Códigos!$A$11:$A$415,Códigos!$B$11:$B$415,"Verificar",0)</f>
        <v>NOMBRE 20</v>
      </c>
      <c r="C60" s="525">
        <f>SUMIF('CARTERA años anteriores'!$C$9:$C$234,A60,'CARTERA años anteriores'!$J$9:$J$234)</f>
        <v>0</v>
      </c>
      <c r="D60" s="525">
        <f>SUMIF('CARTERA años anteriores'!$C$9:$C$234,A60,'CARTERA años anteriores'!$L$9:$L$234)</f>
        <v>0</v>
      </c>
      <c r="E60" s="525">
        <f>SUMIF(FACTURACIÓN!$C$8:$C$1082,A60,FACTURACIÓN!$K$8:$K$1082)</f>
        <v>0</v>
      </c>
      <c r="F60" s="525">
        <f>SUMIF('INGRESOS A CAJA'!$C$10:$C$954,A60,'INGRESOS A CAJA'!$F$10:$F$954)+SUMIF(FACTURACIÓN!$C$8:$C$1082,A60,FACTURACIÓN!$M$8:$M$1082)++SUMIF('CARTERA años anteriores'!$C$9:$C$234,A60,'CARTERA años anteriores'!$M$9:$M$234)</f>
        <v>0</v>
      </c>
      <c r="G60" s="525">
        <f>SUMIF('EGRESOS DE CAJA'!$C$10:$C$2251,A60,'EGRESOS DE CAJA'!$G$10:$G$2251)</f>
        <v>0</v>
      </c>
      <c r="H60" s="512">
        <f t="shared" si="1"/>
        <v>0</v>
      </c>
      <c r="I60" s="512">
        <f t="shared" si="2"/>
        <v>0</v>
      </c>
      <c r="J60" s="557"/>
      <c r="K60" s="629"/>
    </row>
    <row r="61" spans="1:11" ht="15" x14ac:dyDescent="0.2">
      <c r="A61" s="560">
        <v>53</v>
      </c>
      <c r="B61" s="511" t="str">
        <f>_xlfn.XLOOKUP(A61,Códigos!$A$11:$A$415,Códigos!$B$11:$B$415,"Verificar",0)</f>
        <v>NOMBRE 22</v>
      </c>
      <c r="C61" s="525">
        <f>SUMIF('CARTERA años anteriores'!$C$9:$C$234,A61,'CARTERA años anteriores'!$J$9:$J$234)</f>
        <v>0</v>
      </c>
      <c r="D61" s="525">
        <f>SUMIF('CARTERA años anteriores'!$C$9:$C$234,A61,'CARTERA años anteriores'!$L$9:$L$234)</f>
        <v>0</v>
      </c>
      <c r="E61" s="525">
        <f>SUMIF(FACTURACIÓN!$C$8:$C$1082,A61,FACTURACIÓN!$K$8:$K$1082)</f>
        <v>0</v>
      </c>
      <c r="F61" s="525">
        <f>SUMIF('INGRESOS A CAJA'!$C$10:$C$954,A61,'INGRESOS A CAJA'!$F$10:$F$954)+SUMIF(FACTURACIÓN!$C$8:$C$1082,A61,FACTURACIÓN!$M$8:$M$1082)++SUMIF('CARTERA años anteriores'!$C$9:$C$234,A61,'CARTERA años anteriores'!$M$9:$M$234)</f>
        <v>0</v>
      </c>
      <c r="G61" s="525">
        <f>SUMIF('EGRESOS DE CAJA'!$C$10:$C$2251,A61,'EGRESOS DE CAJA'!$G$10:$G$2251)</f>
        <v>0</v>
      </c>
      <c r="H61" s="512">
        <f t="shared" si="1"/>
        <v>0</v>
      </c>
      <c r="I61" s="512">
        <f t="shared" si="2"/>
        <v>0</v>
      </c>
      <c r="J61" s="557"/>
      <c r="K61" s="629"/>
    </row>
    <row r="62" spans="1:11" ht="15" x14ac:dyDescent="0.2">
      <c r="A62" s="560">
        <v>54</v>
      </c>
      <c r="B62" s="511" t="str">
        <f>_xlfn.XLOOKUP(A62,Códigos!$A$11:$A$415,Códigos!$B$11:$B$415,"Verificar",0)</f>
        <v>NOMBRE 118</v>
      </c>
      <c r="C62" s="525">
        <f>SUMIF('CARTERA años anteriores'!$C$9:$C$234,A62,'CARTERA años anteriores'!$J$9:$J$234)</f>
        <v>0</v>
      </c>
      <c r="D62" s="525">
        <f>SUMIF('CARTERA años anteriores'!$C$9:$C$234,A62,'CARTERA años anteriores'!$L$9:$L$234)</f>
        <v>0</v>
      </c>
      <c r="E62" s="525">
        <f>SUMIF(FACTURACIÓN!$C$8:$C$1082,A62,FACTURACIÓN!$K$8:$K$1082)</f>
        <v>0</v>
      </c>
      <c r="F62" s="525">
        <f>SUMIF('INGRESOS A CAJA'!$C$10:$C$954,A62,'INGRESOS A CAJA'!$F$10:$F$954)+SUMIF(FACTURACIÓN!$C$8:$C$1082,A62,FACTURACIÓN!$M$8:$M$1082)++SUMIF('CARTERA años anteriores'!$C$9:$C$234,A62,'CARTERA años anteriores'!$M$9:$M$234)</f>
        <v>0</v>
      </c>
      <c r="G62" s="525">
        <f>SUMIF('EGRESOS DE CAJA'!$C$10:$C$2251,A62,'EGRESOS DE CAJA'!$G$10:$G$2251)</f>
        <v>0</v>
      </c>
      <c r="H62" s="512">
        <f t="shared" si="1"/>
        <v>0</v>
      </c>
      <c r="I62" s="512">
        <f t="shared" si="2"/>
        <v>0</v>
      </c>
      <c r="J62" s="557"/>
      <c r="K62" s="629"/>
    </row>
    <row r="63" spans="1:11" ht="15" x14ac:dyDescent="0.2">
      <c r="A63" s="560">
        <v>55</v>
      </c>
      <c r="B63" s="511" t="str">
        <f>_xlfn.XLOOKUP(A63,Códigos!$A$11:$A$415,Códigos!$B$11:$B$415,"Verificar",0)</f>
        <v>NOMBRE 120</v>
      </c>
      <c r="C63" s="525">
        <f>SUMIF('CARTERA años anteriores'!$C$9:$C$234,A63,'CARTERA años anteriores'!$J$9:$J$234)</f>
        <v>0</v>
      </c>
      <c r="D63" s="525">
        <f>SUMIF('CARTERA años anteriores'!$C$9:$C$234,A63,'CARTERA años anteriores'!$L$9:$L$234)</f>
        <v>0</v>
      </c>
      <c r="E63" s="525">
        <f>SUMIF(FACTURACIÓN!$C$8:$C$1082,A63,FACTURACIÓN!$K$8:$K$1082)</f>
        <v>0</v>
      </c>
      <c r="F63" s="525">
        <f>SUMIF('INGRESOS A CAJA'!$C$10:$C$954,A63,'INGRESOS A CAJA'!$F$10:$F$954)+SUMIF(FACTURACIÓN!$C$8:$C$1082,A63,FACTURACIÓN!$M$8:$M$1082)++SUMIF('CARTERA años anteriores'!$C$9:$C$234,A63,'CARTERA años anteriores'!$M$9:$M$234)</f>
        <v>0</v>
      </c>
      <c r="G63" s="525">
        <f>SUMIF('EGRESOS DE CAJA'!$C$10:$C$2251,A63,'EGRESOS DE CAJA'!$G$10:$G$2251)</f>
        <v>0</v>
      </c>
      <c r="H63" s="512">
        <f t="shared" si="1"/>
        <v>0</v>
      </c>
      <c r="I63" s="512">
        <f t="shared" si="2"/>
        <v>0</v>
      </c>
      <c r="J63" s="557"/>
      <c r="K63" s="629"/>
    </row>
    <row r="64" spans="1:11" ht="15" x14ac:dyDescent="0.2">
      <c r="A64" s="560">
        <v>56</v>
      </c>
      <c r="B64" s="511" t="str">
        <f>_xlfn.XLOOKUP(A64,Códigos!$A$11:$A$415,Códigos!$B$11:$B$415,"Verificar",0)</f>
        <v>NOMBRE 30</v>
      </c>
      <c r="C64" s="525">
        <f>SUMIF('CARTERA años anteriores'!$C$9:$C$234,A64,'CARTERA años anteriores'!$J$9:$J$234)</f>
        <v>0</v>
      </c>
      <c r="D64" s="525">
        <f>SUMIF('CARTERA años anteriores'!$C$9:$C$234,A64,'CARTERA años anteriores'!$L$9:$L$234)</f>
        <v>0</v>
      </c>
      <c r="E64" s="525">
        <f>SUMIF(FACTURACIÓN!$C$8:$C$1082,A64,FACTURACIÓN!$K$8:$K$1082)</f>
        <v>0</v>
      </c>
      <c r="F64" s="525">
        <f>SUMIF('INGRESOS A CAJA'!$C$10:$C$954,A64,'INGRESOS A CAJA'!$F$10:$F$954)+SUMIF(FACTURACIÓN!$C$8:$C$1082,A64,FACTURACIÓN!$M$8:$M$1082)++SUMIF('CARTERA años anteriores'!$C$9:$C$234,A64,'CARTERA años anteriores'!$M$9:$M$234)</f>
        <v>0</v>
      </c>
      <c r="G64" s="525">
        <f>SUMIF('EGRESOS DE CAJA'!$C$10:$C$2251,A64,'EGRESOS DE CAJA'!$G$10:$G$2251)</f>
        <v>0</v>
      </c>
      <c r="H64" s="512">
        <f t="shared" si="1"/>
        <v>0</v>
      </c>
      <c r="I64" s="512">
        <f t="shared" si="2"/>
        <v>0</v>
      </c>
      <c r="J64" s="557"/>
      <c r="K64" s="629"/>
    </row>
    <row r="65" spans="1:11" ht="15" x14ac:dyDescent="0.2">
      <c r="A65" s="560">
        <v>57</v>
      </c>
      <c r="B65" s="511" t="str">
        <f>_xlfn.XLOOKUP(A65,Códigos!$A$11:$A$415,Códigos!$B$11:$B$415,"Verificar",0)</f>
        <v>NOMBRE 130</v>
      </c>
      <c r="C65" s="525">
        <f>SUMIF('CARTERA años anteriores'!$C$9:$C$234,A65,'CARTERA años anteriores'!$J$9:$J$234)</f>
        <v>0</v>
      </c>
      <c r="D65" s="525">
        <f>SUMIF('CARTERA años anteriores'!$C$9:$C$234,A65,'CARTERA años anteriores'!$L$9:$L$234)</f>
        <v>0</v>
      </c>
      <c r="E65" s="525">
        <f>SUMIF(FACTURACIÓN!$C$8:$C$1082,A65,FACTURACIÓN!$K$8:$K$1082)</f>
        <v>410000</v>
      </c>
      <c r="F65" s="525">
        <f>SUMIF('INGRESOS A CAJA'!$C$10:$C$954,A65,'INGRESOS A CAJA'!$F$10:$F$954)+SUMIF(FACTURACIÓN!$C$8:$C$1082,A65,FACTURACIÓN!$M$8:$M$1082)++SUMIF('CARTERA años anteriores'!$C$9:$C$234,A65,'CARTERA años anteriores'!$M$9:$M$234)</f>
        <v>0</v>
      </c>
      <c r="G65" s="525">
        <f>SUMIF('EGRESOS DE CAJA'!$C$10:$C$2251,A65,'EGRESOS DE CAJA'!$G$10:$G$2251)</f>
        <v>0</v>
      </c>
      <c r="H65" s="512">
        <f t="shared" si="1"/>
        <v>410000</v>
      </c>
      <c r="I65" s="512">
        <f t="shared" si="2"/>
        <v>0</v>
      </c>
      <c r="J65" s="557"/>
      <c r="K65" s="629"/>
    </row>
    <row r="66" spans="1:11" ht="15" x14ac:dyDescent="0.2">
      <c r="A66" s="560">
        <v>58</v>
      </c>
      <c r="B66" s="511" t="str">
        <f>_xlfn.XLOOKUP(A66,Códigos!$A$11:$A$415,Códigos!$B$11:$B$415,"Verificar",0)</f>
        <v>NOMBRE 192</v>
      </c>
      <c r="C66" s="525">
        <f>SUMIF('CARTERA años anteriores'!$C$9:$C$234,A66,'CARTERA años anteriores'!$J$9:$J$234)</f>
        <v>0</v>
      </c>
      <c r="D66" s="525">
        <f>SUMIF('CARTERA años anteriores'!$C$9:$C$234,A66,'CARTERA años anteriores'!$L$9:$L$234)</f>
        <v>0</v>
      </c>
      <c r="E66" s="525">
        <f>SUMIF(FACTURACIÓN!$C$8:$C$1082,A66,FACTURACIÓN!$K$8:$K$1082)</f>
        <v>0</v>
      </c>
      <c r="F66" s="525">
        <f>SUMIF('INGRESOS A CAJA'!$C$10:$C$954,A66,'INGRESOS A CAJA'!$F$10:$F$954)+SUMIF(FACTURACIÓN!$C$8:$C$1082,A66,FACTURACIÓN!$M$8:$M$1082)++SUMIF('CARTERA años anteriores'!$C$9:$C$234,A66,'CARTERA años anteriores'!$M$9:$M$234)</f>
        <v>0</v>
      </c>
      <c r="G66" s="525">
        <f>SUMIF('EGRESOS DE CAJA'!$C$10:$C$2251,A66,'EGRESOS DE CAJA'!$G$10:$G$2251)</f>
        <v>0</v>
      </c>
      <c r="H66" s="512">
        <f t="shared" si="1"/>
        <v>0</v>
      </c>
      <c r="I66" s="512">
        <f t="shared" si="2"/>
        <v>0</v>
      </c>
      <c r="J66" s="557"/>
      <c r="K66" s="629"/>
    </row>
    <row r="67" spans="1:11" ht="15" x14ac:dyDescent="0.2">
      <c r="A67" s="560">
        <v>59</v>
      </c>
      <c r="B67" s="511" t="str">
        <f>_xlfn.XLOOKUP(A67,Códigos!$A$11:$A$415,Códigos!$B$11:$B$415,"Verificar",0)</f>
        <v>NOMBRE 36</v>
      </c>
      <c r="C67" s="525">
        <f>SUMIF('CARTERA años anteriores'!$C$9:$C$234,A67,'CARTERA años anteriores'!$J$9:$J$234)</f>
        <v>0</v>
      </c>
      <c r="D67" s="525">
        <f>SUMIF('CARTERA años anteriores'!$C$9:$C$234,A67,'CARTERA años anteriores'!$L$9:$L$234)</f>
        <v>0</v>
      </c>
      <c r="E67" s="525">
        <f>SUMIF(FACTURACIÓN!$C$8:$C$1082,A67,FACTURACIÓN!$K$8:$K$1082)</f>
        <v>0</v>
      </c>
      <c r="F67" s="525">
        <f>SUMIF('INGRESOS A CAJA'!$C$10:$C$954,A67,'INGRESOS A CAJA'!$F$10:$F$954)+SUMIF(FACTURACIÓN!$C$8:$C$1082,A67,FACTURACIÓN!$M$8:$M$1082)++SUMIF('CARTERA años anteriores'!$C$9:$C$234,A67,'CARTERA años anteriores'!$M$9:$M$234)</f>
        <v>0</v>
      </c>
      <c r="G67" s="525">
        <f>SUMIF('EGRESOS DE CAJA'!$C$10:$C$2251,A67,'EGRESOS DE CAJA'!$G$10:$G$2251)</f>
        <v>0</v>
      </c>
      <c r="H67" s="512">
        <f t="shared" si="1"/>
        <v>0</v>
      </c>
      <c r="I67" s="512">
        <f t="shared" si="2"/>
        <v>0</v>
      </c>
      <c r="J67" s="557"/>
      <c r="K67" s="629"/>
    </row>
    <row r="68" spans="1:11" ht="15" x14ac:dyDescent="0.2">
      <c r="A68" s="560">
        <v>60</v>
      </c>
      <c r="B68" s="511" t="str">
        <f>_xlfn.XLOOKUP(A68,Códigos!$A$11:$A$415,Códigos!$B$11:$B$415,"Verificar",0)</f>
        <v>NOMBRE 39</v>
      </c>
      <c r="C68" s="525">
        <f>SUMIF('CARTERA años anteriores'!$C$9:$C$234,A68,'CARTERA años anteriores'!$J$9:$J$234)</f>
        <v>0</v>
      </c>
      <c r="D68" s="525">
        <f>SUMIF('CARTERA años anteriores'!$C$9:$C$234,A68,'CARTERA años anteriores'!$L$9:$L$234)</f>
        <v>0</v>
      </c>
      <c r="E68" s="525">
        <f>SUMIF(FACTURACIÓN!$C$8:$C$1082,A68,FACTURACIÓN!$K$8:$K$1082)</f>
        <v>350000</v>
      </c>
      <c r="F68" s="525">
        <f>SUMIF('INGRESOS A CAJA'!$C$10:$C$954,A68,'INGRESOS A CAJA'!$F$10:$F$954)+SUMIF(FACTURACIÓN!$C$8:$C$1082,A68,FACTURACIÓN!$M$8:$M$1082)++SUMIF('CARTERA años anteriores'!$C$9:$C$234,A68,'CARTERA años anteriores'!$M$9:$M$234)</f>
        <v>0</v>
      </c>
      <c r="G68" s="525">
        <f>SUMIF('EGRESOS DE CAJA'!$C$10:$C$2251,A68,'EGRESOS DE CAJA'!$G$10:$G$2251)</f>
        <v>0</v>
      </c>
      <c r="H68" s="512">
        <f t="shared" si="1"/>
        <v>350000</v>
      </c>
      <c r="I68" s="512">
        <f t="shared" si="2"/>
        <v>0</v>
      </c>
      <c r="J68" s="557"/>
      <c r="K68" s="629"/>
    </row>
    <row r="69" spans="1:11" ht="15" x14ac:dyDescent="0.2">
      <c r="A69" s="560">
        <v>61</v>
      </c>
      <c r="B69" s="511" t="str">
        <f>_xlfn.XLOOKUP(A69,Códigos!$A$11:$A$415,Códigos!$B$11:$B$415,"Verificar",0)</f>
        <v>NOMBRE 40</v>
      </c>
      <c r="C69" s="525">
        <f>SUMIF('CARTERA años anteriores'!$C$9:$C$234,A69,'CARTERA años anteriores'!$J$9:$J$234)</f>
        <v>0</v>
      </c>
      <c r="D69" s="525">
        <f>SUMIF('CARTERA años anteriores'!$C$9:$C$234,A69,'CARTERA años anteriores'!$L$9:$L$234)</f>
        <v>0</v>
      </c>
      <c r="E69" s="525">
        <f>SUMIF(FACTURACIÓN!$C$8:$C$1082,A69,FACTURACIÓN!$K$8:$K$1082)</f>
        <v>400000</v>
      </c>
      <c r="F69" s="525">
        <f>SUMIF('INGRESOS A CAJA'!$C$10:$C$954,A69,'INGRESOS A CAJA'!$F$10:$F$954)+SUMIF(FACTURACIÓN!$C$8:$C$1082,A69,FACTURACIÓN!$M$8:$M$1082)++SUMIF('CARTERA años anteriores'!$C$9:$C$234,A69,'CARTERA años anteriores'!$M$9:$M$234)</f>
        <v>400000</v>
      </c>
      <c r="G69" s="525">
        <f>SUMIF('EGRESOS DE CAJA'!$C$10:$C$2251,A69,'EGRESOS DE CAJA'!$G$10:$G$2251)</f>
        <v>0</v>
      </c>
      <c r="H69" s="512">
        <f t="shared" si="1"/>
        <v>0</v>
      </c>
      <c r="I69" s="512">
        <f t="shared" si="2"/>
        <v>0</v>
      </c>
      <c r="J69" s="557"/>
      <c r="K69" s="629"/>
    </row>
    <row r="70" spans="1:11" ht="15" x14ac:dyDescent="0.2">
      <c r="A70" s="560">
        <v>62</v>
      </c>
      <c r="B70" s="511" t="str">
        <f>_xlfn.XLOOKUP(A70,Códigos!$A$11:$A$415,Códigos!$B$11:$B$415,"Verificar",0)</f>
        <v>NOMBRE 42</v>
      </c>
      <c r="C70" s="525">
        <f>SUMIF('CARTERA años anteriores'!$C$9:$C$234,A70,'CARTERA años anteriores'!$J$9:$J$234)</f>
        <v>0</v>
      </c>
      <c r="D70" s="525">
        <f>SUMIF('CARTERA años anteriores'!$C$9:$C$234,A70,'CARTERA años anteriores'!$L$9:$L$234)</f>
        <v>0</v>
      </c>
      <c r="E70" s="525">
        <f>SUMIF(FACTURACIÓN!$C$8:$C$1082,A70,FACTURACIÓN!$K$8:$K$1082)</f>
        <v>1870000</v>
      </c>
      <c r="F70" s="525">
        <f>SUMIF('INGRESOS A CAJA'!$C$10:$C$954,A70,'INGRESOS A CAJA'!$F$10:$F$954)+SUMIF(FACTURACIÓN!$C$8:$C$1082,A70,FACTURACIÓN!$M$8:$M$1082)++SUMIF('CARTERA años anteriores'!$C$9:$C$234,A70,'CARTERA años anteriores'!$M$9:$M$234)</f>
        <v>1870000</v>
      </c>
      <c r="G70" s="525">
        <f>SUMIF('EGRESOS DE CAJA'!$C$10:$C$2251,A70,'EGRESOS DE CAJA'!$G$10:$G$2251)</f>
        <v>0</v>
      </c>
      <c r="H70" s="512">
        <f t="shared" si="1"/>
        <v>0</v>
      </c>
      <c r="I70" s="512">
        <f t="shared" si="2"/>
        <v>0</v>
      </c>
      <c r="J70" s="557"/>
      <c r="K70" s="629"/>
    </row>
    <row r="71" spans="1:11" ht="15" x14ac:dyDescent="0.2">
      <c r="A71" s="560">
        <v>63</v>
      </c>
      <c r="B71" s="511" t="str">
        <f>_xlfn.XLOOKUP(A71,Códigos!$A$11:$A$415,Códigos!$B$11:$B$415,"Verificar",0)</f>
        <v>NOMBRE 43</v>
      </c>
      <c r="C71" s="525">
        <f>SUMIF('CARTERA años anteriores'!$C$9:$C$234,A71,'CARTERA años anteriores'!$J$9:$J$234)</f>
        <v>0</v>
      </c>
      <c r="D71" s="525">
        <f>SUMIF('CARTERA años anteriores'!$C$9:$C$234,A71,'CARTERA años anteriores'!$L$9:$L$234)</f>
        <v>0</v>
      </c>
      <c r="E71" s="525">
        <f>SUMIF(FACTURACIÓN!$C$8:$C$1082,A71,FACTURACIÓN!$K$8:$K$1082)</f>
        <v>0</v>
      </c>
      <c r="F71" s="525">
        <f>SUMIF('INGRESOS A CAJA'!$C$10:$C$954,A71,'INGRESOS A CAJA'!$F$10:$F$954)+SUMIF(FACTURACIÓN!$C$8:$C$1082,A71,FACTURACIÓN!$M$8:$M$1082)++SUMIF('CARTERA años anteriores'!$C$9:$C$234,A71,'CARTERA años anteriores'!$M$9:$M$234)</f>
        <v>0</v>
      </c>
      <c r="G71" s="525">
        <f>SUMIF('EGRESOS DE CAJA'!$C$10:$C$2251,A71,'EGRESOS DE CAJA'!$G$10:$G$2251)</f>
        <v>0</v>
      </c>
      <c r="H71" s="512">
        <f t="shared" si="1"/>
        <v>0</v>
      </c>
      <c r="I71" s="512">
        <f t="shared" si="2"/>
        <v>0</v>
      </c>
      <c r="J71" s="557"/>
      <c r="K71" s="629"/>
    </row>
    <row r="72" spans="1:11" ht="15" x14ac:dyDescent="0.2">
      <c r="A72" s="560">
        <v>64</v>
      </c>
      <c r="B72" s="511" t="str">
        <f>_xlfn.XLOOKUP(A72,Códigos!$A$11:$A$415,Códigos!$B$11:$B$415,"Verificar",0)</f>
        <v>NOMBRE 202</v>
      </c>
      <c r="C72" s="525">
        <f>SUMIF('CARTERA años anteriores'!$C$9:$C$234,A72,'CARTERA años anteriores'!$J$9:$J$234)</f>
        <v>0</v>
      </c>
      <c r="D72" s="525">
        <f>SUMIF('CARTERA años anteriores'!$C$9:$C$234,A72,'CARTERA años anteriores'!$L$9:$L$234)</f>
        <v>0</v>
      </c>
      <c r="E72" s="525">
        <f>SUMIF(FACTURACIÓN!$C$8:$C$1082,A72,FACTURACIÓN!$K$8:$K$1082)</f>
        <v>160000</v>
      </c>
      <c r="F72" s="525">
        <f>SUMIF('INGRESOS A CAJA'!$C$10:$C$954,A72,'INGRESOS A CAJA'!$F$10:$F$954)+SUMIF(FACTURACIÓN!$C$8:$C$1082,A72,FACTURACIÓN!$M$8:$M$1082)++SUMIF('CARTERA años anteriores'!$C$9:$C$234,A72,'CARTERA años anteriores'!$M$9:$M$234)</f>
        <v>0</v>
      </c>
      <c r="G72" s="525">
        <f>SUMIF('EGRESOS DE CAJA'!$C$10:$C$2251,A72,'EGRESOS DE CAJA'!$G$10:$G$2251)</f>
        <v>0</v>
      </c>
      <c r="H72" s="512">
        <f t="shared" si="1"/>
        <v>160000</v>
      </c>
      <c r="I72" s="512">
        <f t="shared" si="2"/>
        <v>0</v>
      </c>
      <c r="J72" s="557"/>
      <c r="K72" s="629"/>
    </row>
    <row r="73" spans="1:11" ht="15" x14ac:dyDescent="0.2">
      <c r="A73" s="560">
        <v>65</v>
      </c>
      <c r="B73" s="511" t="str">
        <f>_xlfn.XLOOKUP(A73,Códigos!$A$11:$A$415,Códigos!$B$11:$B$415,"Verificar",0)</f>
        <v>NOMBRE 44</v>
      </c>
      <c r="C73" s="525">
        <f>SUMIF('CARTERA años anteriores'!$C$9:$C$234,A73,'CARTERA años anteriores'!$J$9:$J$234)</f>
        <v>0</v>
      </c>
      <c r="D73" s="525">
        <f>SUMIF('CARTERA años anteriores'!$C$9:$C$234,A73,'CARTERA años anteriores'!$L$9:$L$234)</f>
        <v>0</v>
      </c>
      <c r="E73" s="525">
        <f>SUMIF(FACTURACIÓN!$C$8:$C$1082,A73,FACTURACIÓN!$K$8:$K$1082)</f>
        <v>4170000</v>
      </c>
      <c r="F73" s="525">
        <f>SUMIF('INGRESOS A CAJA'!$C$10:$C$954,A73,'INGRESOS A CAJA'!$F$10:$F$954)+SUMIF(FACTURACIÓN!$C$8:$C$1082,A73,FACTURACIÓN!$M$8:$M$1082)++SUMIF('CARTERA años anteriores'!$C$9:$C$234,A73,'CARTERA años anteriores'!$M$9:$M$234)</f>
        <v>0</v>
      </c>
      <c r="G73" s="525">
        <f>SUMIF('EGRESOS DE CAJA'!$C$10:$C$2251,A73,'EGRESOS DE CAJA'!$G$10:$G$2251)</f>
        <v>0</v>
      </c>
      <c r="H73" s="512">
        <f t="shared" si="1"/>
        <v>4170000</v>
      </c>
      <c r="I73" s="512">
        <f t="shared" si="2"/>
        <v>0</v>
      </c>
      <c r="J73" s="557"/>
      <c r="K73" s="630"/>
    </row>
    <row r="74" spans="1:11" ht="15" x14ac:dyDescent="0.2">
      <c r="A74" s="560">
        <v>66</v>
      </c>
      <c r="B74" s="511" t="str">
        <f>_xlfn.XLOOKUP(A74,Códigos!$A$11:$A$415,Códigos!$B$11:$B$415,"Verificar",0)</f>
        <v>NOMBRE 207</v>
      </c>
      <c r="C74" s="525">
        <f>SUMIF('CARTERA años anteriores'!$C$9:$C$234,A74,'CARTERA años anteriores'!$J$9:$J$234)</f>
        <v>0</v>
      </c>
      <c r="D74" s="525">
        <f>SUMIF('CARTERA años anteriores'!$C$9:$C$234,A74,'CARTERA años anteriores'!$L$9:$L$234)</f>
        <v>0</v>
      </c>
      <c r="E74" s="525">
        <f>SUMIF(FACTURACIÓN!$C$8:$C$1082,A74,FACTURACIÓN!$K$8:$K$1082)</f>
        <v>0</v>
      </c>
      <c r="F74" s="525">
        <f>SUMIF('INGRESOS A CAJA'!$C$10:$C$954,A74,'INGRESOS A CAJA'!$F$10:$F$954)+SUMIF(FACTURACIÓN!$C$8:$C$1082,A74,FACTURACIÓN!$M$8:$M$1082)++SUMIF('CARTERA años anteriores'!$C$9:$C$234,A74,'CARTERA años anteriores'!$M$9:$M$234)</f>
        <v>0</v>
      </c>
      <c r="G74" s="525">
        <f>SUMIF('EGRESOS DE CAJA'!$C$10:$C$2251,A74,'EGRESOS DE CAJA'!$G$10:$G$2251)</f>
        <v>0</v>
      </c>
      <c r="H74" s="512">
        <f t="shared" si="1"/>
        <v>0</v>
      </c>
      <c r="I74" s="512">
        <f t="shared" si="2"/>
        <v>0</v>
      </c>
      <c r="J74" s="557"/>
      <c r="K74" s="629"/>
    </row>
    <row r="75" spans="1:11" ht="15" x14ac:dyDescent="0.2">
      <c r="A75" s="560">
        <v>67</v>
      </c>
      <c r="B75" s="511" t="str">
        <f>_xlfn.XLOOKUP(A75,Códigos!$A$11:$A$415,Códigos!$B$11:$B$415,"Verificar",0)</f>
        <v>NOMBRE 45</v>
      </c>
      <c r="C75" s="525">
        <f>SUMIF('CARTERA años anteriores'!$C$9:$C$234,A75,'CARTERA años anteriores'!$J$9:$J$234)</f>
        <v>6030000</v>
      </c>
      <c r="D75" s="525">
        <f>SUMIF('CARTERA años anteriores'!$C$9:$C$234,A75,'CARTERA años anteriores'!$L$9:$L$234)</f>
        <v>494200</v>
      </c>
      <c r="E75" s="525">
        <f>SUMIF(FACTURACIÓN!$C$8:$C$1082,A75,FACTURACIÓN!$K$8:$K$1082)</f>
        <v>1400000</v>
      </c>
      <c r="F75" s="525">
        <f>SUMIF('INGRESOS A CAJA'!$C$10:$C$954,A75,'INGRESOS A CAJA'!$F$10:$F$954)+SUMIF(FACTURACIÓN!$C$8:$C$1082,A75,FACTURACIÓN!$M$8:$M$1082)++SUMIF('CARTERA años anteriores'!$C$9:$C$234,A75,'CARTERA años anteriores'!$M$9:$M$234)</f>
        <v>0</v>
      </c>
      <c r="G75" s="525">
        <f>SUMIF('EGRESOS DE CAJA'!$C$10:$C$2251,A75,'EGRESOS DE CAJA'!$G$10:$G$2251)</f>
        <v>0</v>
      </c>
      <c r="H75" s="512">
        <f t="shared" si="1"/>
        <v>7430000</v>
      </c>
      <c r="I75" s="512">
        <f t="shared" si="2"/>
        <v>0</v>
      </c>
      <c r="J75" s="557"/>
      <c r="K75" s="629"/>
    </row>
    <row r="76" spans="1:11" ht="15" x14ac:dyDescent="0.2">
      <c r="A76" s="560">
        <v>68</v>
      </c>
      <c r="B76" s="511" t="str">
        <f>_xlfn.XLOOKUP(A76,Códigos!$A$11:$A$415,Códigos!$B$11:$B$415,"Verificar",0)</f>
        <v>NOMBRE 47</v>
      </c>
      <c r="C76" s="525">
        <f>SUMIF('CARTERA años anteriores'!$C$9:$C$234,A76,'CARTERA años anteriores'!$J$9:$J$234)</f>
        <v>0</v>
      </c>
      <c r="D76" s="525">
        <f>SUMIF('CARTERA años anteriores'!$C$9:$C$234,A76,'CARTERA años anteriores'!$L$9:$L$234)</f>
        <v>0</v>
      </c>
      <c r="E76" s="525">
        <f>SUMIF(FACTURACIÓN!$C$8:$C$1082,A76,FACTURACIÓN!$K$8:$K$1082)</f>
        <v>470000</v>
      </c>
      <c r="F76" s="525">
        <f>SUMIF('INGRESOS A CAJA'!$C$10:$C$954,A76,'INGRESOS A CAJA'!$F$10:$F$954)+SUMIF(FACTURACIÓN!$C$8:$C$1082,A76,FACTURACIÓN!$M$8:$M$1082)++SUMIF('CARTERA años anteriores'!$C$9:$C$234,A76,'CARTERA años anteriores'!$M$9:$M$234)</f>
        <v>470000</v>
      </c>
      <c r="G76" s="525">
        <f>SUMIF('EGRESOS DE CAJA'!$C$10:$C$2251,A76,'EGRESOS DE CAJA'!$G$10:$G$2251)</f>
        <v>0</v>
      </c>
      <c r="H76" s="512">
        <f t="shared" si="1"/>
        <v>0</v>
      </c>
      <c r="I76" s="512">
        <f t="shared" si="2"/>
        <v>0</v>
      </c>
      <c r="J76" s="557"/>
      <c r="K76" s="629"/>
    </row>
    <row r="77" spans="1:11" ht="15" x14ac:dyDescent="0.2">
      <c r="A77" s="560">
        <v>69</v>
      </c>
      <c r="B77" s="511" t="str">
        <f>_xlfn.XLOOKUP(A77,Códigos!$A$11:$A$415,Códigos!$B$11:$B$415,"Verificar",0)</f>
        <v>NOMBRE 51</v>
      </c>
      <c r="C77" s="525">
        <f>SUMIF('CARTERA años anteriores'!$C$9:$C$234,A77,'CARTERA años anteriores'!$J$9:$J$234)</f>
        <v>0</v>
      </c>
      <c r="D77" s="525">
        <f>SUMIF('CARTERA años anteriores'!$C$9:$C$234,A77,'CARTERA años anteriores'!$L$9:$L$234)</f>
        <v>0</v>
      </c>
      <c r="E77" s="525">
        <f>SUMIF(FACTURACIÓN!$C$8:$C$1082,A77,FACTURACIÓN!$K$8:$K$1082)</f>
        <v>690000</v>
      </c>
      <c r="F77" s="525">
        <f>SUMIF('INGRESOS A CAJA'!$C$10:$C$954,A77,'INGRESOS A CAJA'!$F$10:$F$954)+SUMIF(FACTURACIÓN!$C$8:$C$1082,A77,FACTURACIÓN!$M$8:$M$1082)++SUMIF('CARTERA años anteriores'!$C$9:$C$234,A77,'CARTERA años anteriores'!$M$9:$M$234)</f>
        <v>0</v>
      </c>
      <c r="G77" s="525">
        <f>SUMIF('EGRESOS DE CAJA'!$C$10:$C$2251,A77,'EGRESOS DE CAJA'!$G$10:$G$2251)</f>
        <v>0</v>
      </c>
      <c r="H77" s="512">
        <f t="shared" si="1"/>
        <v>690000</v>
      </c>
      <c r="I77" s="512">
        <f t="shared" si="2"/>
        <v>0</v>
      </c>
      <c r="J77" s="557"/>
      <c r="K77" s="629"/>
    </row>
    <row r="78" spans="1:11" ht="15" x14ac:dyDescent="0.2">
      <c r="A78" s="560">
        <v>70</v>
      </c>
      <c r="B78" s="511" t="str">
        <f>_xlfn.XLOOKUP(A78,Códigos!$A$11:$A$415,Códigos!$B$11:$B$415,"Verificar",0)</f>
        <v>NOMBRE 52</v>
      </c>
      <c r="C78" s="525">
        <f>SUMIF('CARTERA años anteriores'!$C$9:$C$234,A78,'CARTERA años anteriores'!$J$9:$J$234)</f>
        <v>0</v>
      </c>
      <c r="D78" s="525">
        <f>SUMIF('CARTERA años anteriores'!$C$9:$C$234,A78,'CARTERA años anteriores'!$L$9:$L$234)</f>
        <v>0</v>
      </c>
      <c r="E78" s="525">
        <f>SUMIF(FACTURACIÓN!$C$8:$C$1082,A78,FACTURACIÓN!$K$8:$K$1082)</f>
        <v>0</v>
      </c>
      <c r="F78" s="525">
        <f>SUMIF('INGRESOS A CAJA'!$C$10:$C$954,A78,'INGRESOS A CAJA'!$F$10:$F$954)+SUMIF(FACTURACIÓN!$C$8:$C$1082,A78,FACTURACIÓN!$M$8:$M$1082)++SUMIF('CARTERA años anteriores'!$C$9:$C$234,A78,'CARTERA años anteriores'!$M$9:$M$234)</f>
        <v>0</v>
      </c>
      <c r="G78" s="525">
        <f>SUMIF('EGRESOS DE CAJA'!$C$10:$C$2251,A78,'EGRESOS DE CAJA'!$G$10:$G$2251)</f>
        <v>0</v>
      </c>
      <c r="H78" s="512">
        <f t="shared" si="1"/>
        <v>0</v>
      </c>
      <c r="I78" s="512">
        <f t="shared" si="2"/>
        <v>0</v>
      </c>
      <c r="J78" s="557"/>
      <c r="K78" s="629"/>
    </row>
    <row r="79" spans="1:11" ht="15" x14ac:dyDescent="0.2">
      <c r="A79" s="560">
        <v>71</v>
      </c>
      <c r="B79" s="511" t="str">
        <f>_xlfn.XLOOKUP(A79,Códigos!$A$11:$A$415,Códigos!$B$11:$B$415,"Verificar",0)</f>
        <v>NOMBRE 53</v>
      </c>
      <c r="C79" s="525">
        <f>SUMIF('CARTERA años anteriores'!$C$9:$C$234,A79,'CARTERA años anteriores'!$J$9:$J$234)</f>
        <v>0</v>
      </c>
      <c r="D79" s="525">
        <f>SUMIF('CARTERA años anteriores'!$C$9:$C$234,A79,'CARTERA años anteriores'!$L$9:$L$234)</f>
        <v>0</v>
      </c>
      <c r="E79" s="525">
        <f>SUMIF(FACTURACIÓN!$C$8:$C$1082,A79,FACTURACIÓN!$K$8:$K$1082)</f>
        <v>0</v>
      </c>
      <c r="F79" s="525">
        <f>SUMIF('INGRESOS A CAJA'!$C$10:$C$954,A79,'INGRESOS A CAJA'!$F$10:$F$954)+SUMIF(FACTURACIÓN!$C$8:$C$1082,A79,FACTURACIÓN!$M$8:$M$1082)++SUMIF('CARTERA años anteriores'!$C$9:$C$234,A79,'CARTERA años anteriores'!$M$9:$M$234)</f>
        <v>0</v>
      </c>
      <c r="G79" s="525">
        <f>SUMIF('EGRESOS DE CAJA'!$C$10:$C$2251,A79,'EGRESOS DE CAJA'!$G$10:$G$2251)</f>
        <v>0</v>
      </c>
      <c r="H79" s="512">
        <f t="shared" si="1"/>
        <v>0</v>
      </c>
      <c r="I79" s="512">
        <f t="shared" si="2"/>
        <v>0</v>
      </c>
      <c r="J79" s="557"/>
      <c r="K79" s="629"/>
    </row>
    <row r="80" spans="1:11" ht="15" x14ac:dyDescent="0.2">
      <c r="A80" s="560">
        <v>72</v>
      </c>
      <c r="B80" s="511" t="str">
        <f>_xlfn.XLOOKUP(A80,Códigos!$A$11:$A$415,Códigos!$B$11:$B$415,"Verificar",0)</f>
        <v>NOMBRE 54</v>
      </c>
      <c r="C80" s="525">
        <f>SUMIF('CARTERA años anteriores'!$C$9:$C$234,A80,'CARTERA años anteriores'!$J$9:$J$234)</f>
        <v>0</v>
      </c>
      <c r="D80" s="525">
        <f>SUMIF('CARTERA años anteriores'!$C$9:$C$234,A80,'CARTERA años anteriores'!$L$9:$L$234)</f>
        <v>0</v>
      </c>
      <c r="E80" s="525">
        <f>SUMIF(FACTURACIÓN!$C$8:$C$1082,A80,FACTURACIÓN!$K$8:$K$1082)</f>
        <v>0</v>
      </c>
      <c r="F80" s="525">
        <f>SUMIF('INGRESOS A CAJA'!$C$10:$C$954,A80,'INGRESOS A CAJA'!$F$10:$F$954)+SUMIF(FACTURACIÓN!$C$8:$C$1082,A80,FACTURACIÓN!$M$8:$M$1082)++SUMIF('CARTERA años anteriores'!$C$9:$C$234,A80,'CARTERA años anteriores'!$M$9:$M$234)</f>
        <v>0</v>
      </c>
      <c r="G80" s="525">
        <f>SUMIF('EGRESOS DE CAJA'!$C$10:$C$2251,A80,'EGRESOS DE CAJA'!$G$10:$G$2251)</f>
        <v>0</v>
      </c>
      <c r="H80" s="512">
        <f t="shared" ref="H80:H143" si="3">IF((+C80-D80*0+E80-F80+G80)&gt;0,(+C80-D80*0+E80-F80+G80),0)</f>
        <v>0</v>
      </c>
      <c r="I80" s="512">
        <f t="shared" ref="I80:I143" si="4">IF((+C80-D80+E80-F80+G80)&lt;0,(+C80-D80+E80-F80+G80),0)</f>
        <v>0</v>
      </c>
      <c r="J80" s="557"/>
      <c r="K80" s="629"/>
    </row>
    <row r="81" spans="1:11" ht="15" x14ac:dyDescent="0.2">
      <c r="A81" s="560">
        <v>73</v>
      </c>
      <c r="B81" s="511" t="str">
        <f>_xlfn.XLOOKUP(A81,Códigos!$A$11:$A$415,Códigos!$B$11:$B$415,"Verificar",0)</f>
        <v>NOMBRE 55</v>
      </c>
      <c r="C81" s="525">
        <f>SUMIF('CARTERA años anteriores'!$C$9:$C$234,A81,'CARTERA años anteriores'!$J$9:$J$234)</f>
        <v>0</v>
      </c>
      <c r="D81" s="525">
        <f>SUMIF('CARTERA años anteriores'!$C$9:$C$234,A81,'CARTERA años anteriores'!$L$9:$L$234)</f>
        <v>0</v>
      </c>
      <c r="E81" s="525">
        <f>SUMIF(FACTURACIÓN!$C$8:$C$1082,A81,FACTURACIÓN!$K$8:$K$1082)</f>
        <v>0</v>
      </c>
      <c r="F81" s="525">
        <f>SUMIF('INGRESOS A CAJA'!$C$10:$C$954,A81,'INGRESOS A CAJA'!$F$10:$F$954)+SUMIF(FACTURACIÓN!$C$8:$C$1082,A81,FACTURACIÓN!$M$8:$M$1082)++SUMIF('CARTERA años anteriores'!$C$9:$C$234,A81,'CARTERA años anteriores'!$M$9:$M$234)</f>
        <v>0</v>
      </c>
      <c r="G81" s="525">
        <f>SUMIF('EGRESOS DE CAJA'!$C$10:$C$2251,A81,'EGRESOS DE CAJA'!$G$10:$G$2251)</f>
        <v>0</v>
      </c>
      <c r="H81" s="512">
        <f t="shared" si="3"/>
        <v>0</v>
      </c>
      <c r="I81" s="512">
        <f t="shared" si="4"/>
        <v>0</v>
      </c>
      <c r="J81" s="557"/>
      <c r="K81" s="629"/>
    </row>
    <row r="82" spans="1:11" ht="15" x14ac:dyDescent="0.2">
      <c r="A82" s="560">
        <v>74</v>
      </c>
      <c r="B82" s="511" t="str">
        <f>_xlfn.XLOOKUP(A82,Códigos!$A$11:$A$415,Códigos!$B$11:$B$415,"Verificar",0)</f>
        <v>NOMBRE 56</v>
      </c>
      <c r="C82" s="525">
        <f>SUMIF('CARTERA años anteriores'!$C$9:$C$234,A82,'CARTERA años anteriores'!$J$9:$J$234)</f>
        <v>0</v>
      </c>
      <c r="D82" s="525">
        <f>SUMIF('CARTERA años anteriores'!$C$9:$C$234,A82,'CARTERA años anteriores'!$L$9:$L$234)</f>
        <v>0</v>
      </c>
      <c r="E82" s="525">
        <f>SUMIF(FACTURACIÓN!$C$8:$C$1082,A82,FACTURACIÓN!$K$8:$K$1082)</f>
        <v>4450000</v>
      </c>
      <c r="F82" s="525">
        <f>SUMIF('INGRESOS A CAJA'!$C$10:$C$954,A82,'INGRESOS A CAJA'!$F$10:$F$954)+SUMIF(FACTURACIÓN!$C$8:$C$1082,A82,FACTURACIÓN!$M$8:$M$1082)++SUMIF('CARTERA años anteriores'!$C$9:$C$234,A82,'CARTERA años anteriores'!$M$9:$M$234)</f>
        <v>0</v>
      </c>
      <c r="G82" s="525">
        <f>SUMIF('EGRESOS DE CAJA'!$C$10:$C$2251,A82,'EGRESOS DE CAJA'!$G$10:$G$2251)</f>
        <v>0</v>
      </c>
      <c r="H82" s="512">
        <f t="shared" si="3"/>
        <v>4450000</v>
      </c>
      <c r="I82" s="512">
        <f t="shared" si="4"/>
        <v>0</v>
      </c>
      <c r="J82" s="557"/>
      <c r="K82" s="630"/>
    </row>
    <row r="83" spans="1:11" ht="15" x14ac:dyDescent="0.2">
      <c r="A83" s="560">
        <v>75</v>
      </c>
      <c r="B83" s="511" t="str">
        <f>_xlfn.XLOOKUP(A83,Códigos!$A$11:$A$415,Códigos!$B$11:$B$415,"Verificar",0)</f>
        <v>NOMBRE 60</v>
      </c>
      <c r="C83" s="525">
        <f>SUMIF('CARTERA años anteriores'!$C$9:$C$234,A83,'CARTERA años anteriores'!$J$9:$J$234)</f>
        <v>0</v>
      </c>
      <c r="D83" s="525">
        <f>SUMIF('CARTERA años anteriores'!$C$9:$C$234,A83,'CARTERA años anteriores'!$L$9:$L$234)</f>
        <v>0</v>
      </c>
      <c r="E83" s="525">
        <f>SUMIF(FACTURACIÓN!$C$8:$C$1082,A83,FACTURACIÓN!$K$8:$K$1082)</f>
        <v>0</v>
      </c>
      <c r="F83" s="525">
        <f>SUMIF('INGRESOS A CAJA'!$C$10:$C$954,A83,'INGRESOS A CAJA'!$F$10:$F$954)+SUMIF(FACTURACIÓN!$C$8:$C$1082,A83,FACTURACIÓN!$M$8:$M$1082)++SUMIF('CARTERA años anteriores'!$C$9:$C$234,A83,'CARTERA años anteriores'!$M$9:$M$234)</f>
        <v>0</v>
      </c>
      <c r="G83" s="525">
        <f>SUMIF('EGRESOS DE CAJA'!$C$10:$C$2251,A83,'EGRESOS DE CAJA'!$G$10:$G$2251)</f>
        <v>0</v>
      </c>
      <c r="H83" s="512">
        <f t="shared" si="3"/>
        <v>0</v>
      </c>
      <c r="I83" s="512">
        <f t="shared" si="4"/>
        <v>0</v>
      </c>
      <c r="J83" s="557"/>
      <c r="K83" s="629" t="s">
        <v>649</v>
      </c>
    </row>
    <row r="84" spans="1:11" ht="15" x14ac:dyDescent="0.2">
      <c r="A84" s="560">
        <v>76</v>
      </c>
      <c r="B84" s="511" t="str">
        <f>_xlfn.XLOOKUP(A84,Códigos!$A$11:$A$415,Códigos!$B$11:$B$415,"Verificar",0)</f>
        <v>NOMBRE 61</v>
      </c>
      <c r="C84" s="525">
        <f>SUMIF('CARTERA años anteriores'!$C$9:$C$234,A84,'CARTERA años anteriores'!$J$9:$J$234)</f>
        <v>0</v>
      </c>
      <c r="D84" s="525">
        <f>SUMIF('CARTERA años anteriores'!$C$9:$C$234,A84,'CARTERA años anteriores'!$L$9:$L$234)</f>
        <v>0</v>
      </c>
      <c r="E84" s="525">
        <f>SUMIF(FACTURACIÓN!$C$8:$C$1082,A84,FACTURACIÓN!$K$8:$K$1082)</f>
        <v>0</v>
      </c>
      <c r="F84" s="525">
        <f>SUMIF('INGRESOS A CAJA'!$C$10:$C$954,A84,'INGRESOS A CAJA'!$F$10:$F$954)+SUMIF(FACTURACIÓN!$C$8:$C$1082,A84,FACTURACIÓN!$M$8:$M$1082)++SUMIF('CARTERA años anteriores'!$C$9:$C$234,A84,'CARTERA años anteriores'!$M$9:$M$234)</f>
        <v>0</v>
      </c>
      <c r="G84" s="525">
        <f>SUMIF('EGRESOS DE CAJA'!$C$10:$C$2251,A84,'EGRESOS DE CAJA'!$G$10:$G$2251)</f>
        <v>0</v>
      </c>
      <c r="H84" s="512">
        <f t="shared" si="3"/>
        <v>0</v>
      </c>
      <c r="I84" s="512">
        <f t="shared" si="4"/>
        <v>0</v>
      </c>
      <c r="J84" s="557"/>
      <c r="K84" s="629"/>
    </row>
    <row r="85" spans="1:11" ht="15" x14ac:dyDescent="0.2">
      <c r="A85" s="560">
        <v>77</v>
      </c>
      <c r="B85" s="511" t="str">
        <f>_xlfn.XLOOKUP(A85,Códigos!$A$11:$A$415,Códigos!$B$11:$B$415,"Verificar",0)</f>
        <v>NOMBRE 62</v>
      </c>
      <c r="C85" s="525">
        <f>SUMIF('CARTERA años anteriores'!$C$9:$C$234,A85,'CARTERA años anteriores'!$J$9:$J$234)</f>
        <v>0</v>
      </c>
      <c r="D85" s="525">
        <f>SUMIF('CARTERA años anteriores'!$C$9:$C$234,A85,'CARTERA años anteriores'!$L$9:$L$234)</f>
        <v>0</v>
      </c>
      <c r="E85" s="525">
        <f>SUMIF(FACTURACIÓN!$C$8:$C$1082,A85,FACTURACIÓN!$K$8:$K$1082)</f>
        <v>430000</v>
      </c>
      <c r="F85" s="525">
        <f>SUMIF('INGRESOS A CAJA'!$C$10:$C$954,A85,'INGRESOS A CAJA'!$F$10:$F$954)+SUMIF(FACTURACIÓN!$C$8:$C$1082,A85,FACTURACIÓN!$M$8:$M$1082)++SUMIF('CARTERA años anteriores'!$C$9:$C$234,A85,'CARTERA años anteriores'!$M$9:$M$234)</f>
        <v>430000</v>
      </c>
      <c r="G85" s="525">
        <f>SUMIF('EGRESOS DE CAJA'!$C$10:$C$2251,A85,'EGRESOS DE CAJA'!$G$10:$G$2251)</f>
        <v>0</v>
      </c>
      <c r="H85" s="512">
        <f t="shared" si="3"/>
        <v>0</v>
      </c>
      <c r="I85" s="512">
        <f t="shared" si="4"/>
        <v>0</v>
      </c>
      <c r="J85" s="557"/>
      <c r="K85" s="629"/>
    </row>
    <row r="86" spans="1:11" ht="15" x14ac:dyDescent="0.2">
      <c r="A86" s="560">
        <v>78</v>
      </c>
      <c r="B86" s="511" t="str">
        <f>_xlfn.XLOOKUP(A86,Códigos!$A$11:$A$415,Códigos!$B$11:$B$415,"Verificar",0)</f>
        <v>NOMBRE 63</v>
      </c>
      <c r="C86" s="525">
        <f>SUMIF('CARTERA años anteriores'!$C$9:$C$234,A86,'CARTERA años anteriores'!$J$9:$J$234)</f>
        <v>0</v>
      </c>
      <c r="D86" s="525">
        <f>SUMIF('CARTERA años anteriores'!$C$9:$C$234,A86,'CARTERA años anteriores'!$L$9:$L$234)</f>
        <v>0</v>
      </c>
      <c r="E86" s="525">
        <f>SUMIF(FACTURACIÓN!$C$8:$C$1082,A86,FACTURACIÓN!$K$8:$K$1082)</f>
        <v>0</v>
      </c>
      <c r="F86" s="525">
        <f>SUMIF('INGRESOS A CAJA'!$C$10:$C$954,A86,'INGRESOS A CAJA'!$F$10:$F$954)+SUMIF(FACTURACIÓN!$C$8:$C$1082,A86,FACTURACIÓN!$M$8:$M$1082)++SUMIF('CARTERA años anteriores'!$C$9:$C$234,A86,'CARTERA años anteriores'!$M$9:$M$234)</f>
        <v>0</v>
      </c>
      <c r="G86" s="525">
        <f>SUMIF('EGRESOS DE CAJA'!$C$10:$C$2251,A86,'EGRESOS DE CAJA'!$G$10:$G$2251)</f>
        <v>0</v>
      </c>
      <c r="H86" s="512">
        <f t="shared" si="3"/>
        <v>0</v>
      </c>
      <c r="I86" s="512">
        <f t="shared" si="4"/>
        <v>0</v>
      </c>
      <c r="J86" s="557"/>
      <c r="K86" s="629"/>
    </row>
    <row r="87" spans="1:11" ht="15" x14ac:dyDescent="0.2">
      <c r="A87" s="560">
        <v>79</v>
      </c>
      <c r="B87" s="511" t="str">
        <f>_xlfn.XLOOKUP(A87,Códigos!$A$11:$A$415,Códigos!$B$11:$B$415,"Verificar",0)</f>
        <v>NOMBRE 67</v>
      </c>
      <c r="C87" s="525">
        <f>SUMIF('CARTERA años anteriores'!$C$9:$C$234,A87,'CARTERA años anteriores'!$J$9:$J$234)</f>
        <v>0</v>
      </c>
      <c r="D87" s="525">
        <f>SUMIF('CARTERA años anteriores'!$C$9:$C$234,A87,'CARTERA años anteriores'!$L$9:$L$234)</f>
        <v>0</v>
      </c>
      <c r="E87" s="525">
        <f>SUMIF(FACTURACIÓN!$C$8:$C$1082,A87,FACTURACIÓN!$K$8:$K$1082)</f>
        <v>0</v>
      </c>
      <c r="F87" s="525">
        <f>SUMIF('INGRESOS A CAJA'!$C$10:$C$954,A87,'INGRESOS A CAJA'!$F$10:$F$954)+SUMIF(FACTURACIÓN!$C$8:$C$1082,A87,FACTURACIÓN!$M$8:$M$1082)++SUMIF('CARTERA años anteriores'!$C$9:$C$234,A87,'CARTERA años anteriores'!$M$9:$M$234)</f>
        <v>0</v>
      </c>
      <c r="G87" s="525">
        <f>SUMIF('EGRESOS DE CAJA'!$C$10:$C$2251,A87,'EGRESOS DE CAJA'!$G$10:$G$2251)</f>
        <v>0</v>
      </c>
      <c r="H87" s="512">
        <f t="shared" si="3"/>
        <v>0</v>
      </c>
      <c r="I87" s="512">
        <f t="shared" si="4"/>
        <v>0</v>
      </c>
      <c r="J87" s="557"/>
      <c r="K87" s="629"/>
    </row>
    <row r="88" spans="1:11" ht="15" x14ac:dyDescent="0.2">
      <c r="A88" s="560">
        <v>80</v>
      </c>
      <c r="B88" s="511" t="str">
        <f>_xlfn.XLOOKUP(A88,Códigos!$A$11:$A$415,Códigos!$B$11:$B$415,"Verificar",0)</f>
        <v>NOMBRE 211</v>
      </c>
      <c r="C88" s="525">
        <f>SUMIF('CARTERA años anteriores'!$C$9:$C$234,A88,'CARTERA años anteriores'!$J$9:$J$234)</f>
        <v>0</v>
      </c>
      <c r="D88" s="525">
        <f>SUMIF('CARTERA años anteriores'!$C$9:$C$234,A88,'CARTERA años anteriores'!$L$9:$L$234)</f>
        <v>0</v>
      </c>
      <c r="E88" s="525">
        <f>SUMIF(FACTURACIÓN!$C$8:$C$1082,A88,FACTURACIÓN!$K$8:$K$1082)</f>
        <v>0</v>
      </c>
      <c r="F88" s="525">
        <f>SUMIF('INGRESOS A CAJA'!$C$10:$C$954,A88,'INGRESOS A CAJA'!$F$10:$F$954)+SUMIF(FACTURACIÓN!$C$8:$C$1082,A88,FACTURACIÓN!$M$8:$M$1082)++SUMIF('CARTERA años anteriores'!$C$9:$C$234,A88,'CARTERA años anteriores'!$M$9:$M$234)</f>
        <v>0</v>
      </c>
      <c r="G88" s="525">
        <f>SUMIF('EGRESOS DE CAJA'!$C$10:$C$2251,A88,'EGRESOS DE CAJA'!$G$10:$G$2251)</f>
        <v>0</v>
      </c>
      <c r="H88" s="512">
        <f t="shared" si="3"/>
        <v>0</v>
      </c>
      <c r="I88" s="512">
        <f t="shared" si="4"/>
        <v>0</v>
      </c>
      <c r="J88" s="557"/>
      <c r="K88" s="629"/>
    </row>
    <row r="89" spans="1:11" ht="15" x14ac:dyDescent="0.2">
      <c r="A89" s="560">
        <v>81</v>
      </c>
      <c r="B89" s="511" t="str">
        <f>_xlfn.XLOOKUP(A89,Códigos!$A$11:$A$415,Códigos!$B$11:$B$415,"Verificar",0)</f>
        <v>NOMBRE 78</v>
      </c>
      <c r="C89" s="525">
        <f>SUMIF('CARTERA años anteriores'!$C$9:$C$234,A89,'CARTERA años anteriores'!$J$9:$J$234)</f>
        <v>0</v>
      </c>
      <c r="D89" s="525">
        <f>SUMIF('CARTERA años anteriores'!$C$9:$C$234,A89,'CARTERA años anteriores'!$L$9:$L$234)</f>
        <v>0</v>
      </c>
      <c r="E89" s="525">
        <f>SUMIF(FACTURACIÓN!$C$8:$C$1082,A89,FACTURACIÓN!$K$8:$K$1082)</f>
        <v>0</v>
      </c>
      <c r="F89" s="525">
        <f>SUMIF('INGRESOS A CAJA'!$C$10:$C$954,A89,'INGRESOS A CAJA'!$F$10:$F$954)+SUMIF(FACTURACIÓN!$C$8:$C$1082,A89,FACTURACIÓN!$M$8:$M$1082)++SUMIF('CARTERA años anteriores'!$C$9:$C$234,A89,'CARTERA años anteriores'!$M$9:$M$234)</f>
        <v>0</v>
      </c>
      <c r="G89" s="525">
        <f>SUMIF('EGRESOS DE CAJA'!$C$10:$C$2251,A89,'EGRESOS DE CAJA'!$G$10:$G$2251)</f>
        <v>0</v>
      </c>
      <c r="H89" s="512">
        <f t="shared" si="3"/>
        <v>0</v>
      </c>
      <c r="I89" s="512">
        <f t="shared" si="4"/>
        <v>0</v>
      </c>
      <c r="J89" s="557"/>
      <c r="K89" s="629"/>
    </row>
    <row r="90" spans="1:11" ht="15" x14ac:dyDescent="0.2">
      <c r="A90" s="560">
        <v>82</v>
      </c>
      <c r="B90" s="511" t="str">
        <f>_xlfn.XLOOKUP(A90,Códigos!$A$11:$A$415,Códigos!$B$11:$B$415,"Verificar",0)</f>
        <v>NOMBRE 221</v>
      </c>
      <c r="C90" s="525">
        <f>SUMIF('CARTERA años anteriores'!$C$9:$C$234,A90,'CARTERA años anteriores'!$J$9:$J$234)</f>
        <v>0</v>
      </c>
      <c r="D90" s="525">
        <f>SUMIF('CARTERA años anteriores'!$C$9:$C$234,A90,'CARTERA años anteriores'!$L$9:$L$234)</f>
        <v>0</v>
      </c>
      <c r="E90" s="525">
        <f>SUMIF(FACTURACIÓN!$C$8:$C$1082,A90,FACTURACIÓN!$K$8:$K$1082)</f>
        <v>0</v>
      </c>
      <c r="F90" s="525">
        <f>SUMIF('INGRESOS A CAJA'!$C$10:$C$954,A90,'INGRESOS A CAJA'!$F$10:$F$954)+SUMIF(FACTURACIÓN!$C$8:$C$1082,A90,FACTURACIÓN!$M$8:$M$1082)++SUMIF('CARTERA años anteriores'!$C$9:$C$234,A90,'CARTERA años anteriores'!$M$9:$M$234)</f>
        <v>0</v>
      </c>
      <c r="G90" s="525">
        <f>SUMIF('EGRESOS DE CAJA'!$C$10:$C$2251,A90,'EGRESOS DE CAJA'!$G$10:$G$2251)</f>
        <v>0</v>
      </c>
      <c r="H90" s="512">
        <f t="shared" si="3"/>
        <v>0</v>
      </c>
      <c r="I90" s="512">
        <f t="shared" si="4"/>
        <v>0</v>
      </c>
      <c r="J90" s="557"/>
      <c r="K90" s="629"/>
    </row>
    <row r="91" spans="1:11" ht="15" x14ac:dyDescent="0.2">
      <c r="A91" s="560">
        <v>83</v>
      </c>
      <c r="B91" s="511" t="str">
        <f>_xlfn.XLOOKUP(A91,Códigos!$A$11:$A$415,Códigos!$B$11:$B$415,"Verificar",0)</f>
        <v>NOMBRE 82</v>
      </c>
      <c r="C91" s="525">
        <f>SUMIF('CARTERA años anteriores'!$C$9:$C$234,A91,'CARTERA años anteriores'!$J$9:$J$234)</f>
        <v>620000</v>
      </c>
      <c r="D91" s="525">
        <f>SUMIF('CARTERA años anteriores'!$C$9:$C$234,A91,'CARTERA años anteriores'!$L$9:$L$234)</f>
        <v>620000</v>
      </c>
      <c r="E91" s="525">
        <f>SUMIF(FACTURACIÓN!$C$8:$C$1082,A91,FACTURACIÓN!$K$8:$K$1082)</f>
        <v>660000</v>
      </c>
      <c r="F91" s="525">
        <f>SUMIF('INGRESOS A CAJA'!$C$10:$C$954,A91,'INGRESOS A CAJA'!$F$10:$F$954)+SUMIF(FACTURACIÓN!$C$8:$C$1082,A91,FACTURACIÓN!$M$8:$M$1082)++SUMIF('CARTERA años anteriores'!$C$9:$C$234,A91,'CARTERA años anteriores'!$M$9:$M$234)</f>
        <v>620000</v>
      </c>
      <c r="G91" s="525">
        <f>SUMIF('EGRESOS DE CAJA'!$C$10:$C$2251,A91,'EGRESOS DE CAJA'!$G$10:$G$2251)</f>
        <v>0</v>
      </c>
      <c r="H91" s="512">
        <f t="shared" si="3"/>
        <v>660000</v>
      </c>
      <c r="I91" s="512">
        <f t="shared" si="4"/>
        <v>0</v>
      </c>
      <c r="J91" s="557"/>
      <c r="K91" s="629"/>
    </row>
    <row r="92" spans="1:11" ht="15" x14ac:dyDescent="0.2">
      <c r="A92" s="560">
        <v>84</v>
      </c>
      <c r="B92" s="511" t="str">
        <f>_xlfn.XLOOKUP(A92,Códigos!$A$11:$A$415,Códigos!$B$11:$B$415,"Verificar",0)</f>
        <v>NOMBRE 83</v>
      </c>
      <c r="C92" s="525">
        <f>SUMIF('CARTERA años anteriores'!$C$9:$C$234,A92,'CARTERA años anteriores'!$J$9:$J$234)</f>
        <v>0</v>
      </c>
      <c r="D92" s="525">
        <f>SUMIF('CARTERA años anteriores'!$C$9:$C$234,A92,'CARTERA años anteriores'!$L$9:$L$234)</f>
        <v>0</v>
      </c>
      <c r="E92" s="525">
        <f>SUMIF(FACTURACIÓN!$C$8:$C$1082,A92,FACTURACIÓN!$K$8:$K$1082)</f>
        <v>330000</v>
      </c>
      <c r="F92" s="525">
        <f>SUMIF('INGRESOS A CAJA'!$C$10:$C$954,A92,'INGRESOS A CAJA'!$F$10:$F$954)+SUMIF(FACTURACIÓN!$C$8:$C$1082,A92,FACTURACIÓN!$M$8:$M$1082)++SUMIF('CARTERA años anteriores'!$C$9:$C$234,A92,'CARTERA años anteriores'!$M$9:$M$234)</f>
        <v>0</v>
      </c>
      <c r="G92" s="525">
        <f>SUMIF('EGRESOS DE CAJA'!$C$10:$C$2251,A92,'EGRESOS DE CAJA'!$G$10:$G$2251)</f>
        <v>0</v>
      </c>
      <c r="H92" s="512">
        <f t="shared" si="3"/>
        <v>330000</v>
      </c>
      <c r="I92" s="512">
        <f t="shared" si="4"/>
        <v>0</v>
      </c>
      <c r="J92" s="557"/>
      <c r="K92" s="629"/>
    </row>
    <row r="93" spans="1:11" ht="15" x14ac:dyDescent="0.2">
      <c r="A93" s="560">
        <v>85</v>
      </c>
      <c r="B93" s="511" t="str">
        <f>_xlfn.XLOOKUP(A93,Códigos!$A$11:$A$415,Códigos!$B$11:$B$415,"Verificar",0)</f>
        <v>NOMBRE 86</v>
      </c>
      <c r="C93" s="525">
        <f>SUMIF('CARTERA años anteriores'!$C$9:$C$234,A93,'CARTERA años anteriores'!$J$9:$J$234)</f>
        <v>0</v>
      </c>
      <c r="D93" s="525">
        <f>SUMIF('CARTERA años anteriores'!$C$9:$C$234,A93,'CARTERA años anteriores'!$L$9:$L$234)</f>
        <v>0</v>
      </c>
      <c r="E93" s="525">
        <f>SUMIF(FACTURACIÓN!$C$8:$C$1082,A93,FACTURACIÓN!$K$8:$K$1082)</f>
        <v>0</v>
      </c>
      <c r="F93" s="525">
        <f>SUMIF('INGRESOS A CAJA'!$C$10:$C$954,A93,'INGRESOS A CAJA'!$F$10:$F$954)+SUMIF(FACTURACIÓN!$C$8:$C$1082,A93,FACTURACIÓN!$M$8:$M$1082)++SUMIF('CARTERA años anteriores'!$C$9:$C$234,A93,'CARTERA años anteriores'!$M$9:$M$234)</f>
        <v>0</v>
      </c>
      <c r="G93" s="525">
        <f>SUMIF('EGRESOS DE CAJA'!$C$10:$C$2251,A93,'EGRESOS DE CAJA'!$G$10:$G$2251)</f>
        <v>0</v>
      </c>
      <c r="H93" s="512">
        <f t="shared" si="3"/>
        <v>0</v>
      </c>
      <c r="I93" s="512">
        <f t="shared" si="4"/>
        <v>0</v>
      </c>
      <c r="J93" s="557"/>
      <c r="K93" s="629"/>
    </row>
    <row r="94" spans="1:11" ht="15" x14ac:dyDescent="0.2">
      <c r="A94" s="560">
        <v>86</v>
      </c>
      <c r="B94" s="511" t="str">
        <f>_xlfn.XLOOKUP(A94,Códigos!$A$11:$A$415,Códigos!$B$11:$B$415,"Verificar",0)</f>
        <v>NOMBRE 87</v>
      </c>
      <c r="C94" s="525">
        <f>SUMIF('CARTERA años anteriores'!$C$9:$C$234,A94,'CARTERA años anteriores'!$J$9:$J$234)</f>
        <v>0</v>
      </c>
      <c r="D94" s="525">
        <f>SUMIF('CARTERA años anteriores'!$C$9:$C$234,A94,'CARTERA años anteriores'!$L$9:$L$234)</f>
        <v>0</v>
      </c>
      <c r="E94" s="525">
        <f>SUMIF(FACTURACIÓN!$C$8:$C$1082,A94,FACTURACIÓN!$K$8:$K$1082)</f>
        <v>0</v>
      </c>
      <c r="F94" s="525">
        <f>SUMIF('INGRESOS A CAJA'!$C$10:$C$954,A94,'INGRESOS A CAJA'!$F$10:$F$954)+SUMIF(FACTURACIÓN!$C$8:$C$1082,A94,FACTURACIÓN!$M$8:$M$1082)++SUMIF('CARTERA años anteriores'!$C$9:$C$234,A94,'CARTERA años anteriores'!$M$9:$M$234)</f>
        <v>0</v>
      </c>
      <c r="G94" s="525">
        <f>SUMIF('EGRESOS DE CAJA'!$C$10:$C$2251,A94,'EGRESOS DE CAJA'!$G$10:$G$2251)</f>
        <v>0</v>
      </c>
      <c r="H94" s="512">
        <f t="shared" si="3"/>
        <v>0</v>
      </c>
      <c r="I94" s="512">
        <f t="shared" si="4"/>
        <v>0</v>
      </c>
      <c r="J94" s="557"/>
      <c r="K94" s="629"/>
    </row>
    <row r="95" spans="1:11" ht="15" x14ac:dyDescent="0.2">
      <c r="A95" s="560">
        <v>87</v>
      </c>
      <c r="B95" s="511" t="str">
        <f>_xlfn.XLOOKUP(A95,Códigos!$A$11:$A$415,Códigos!$B$11:$B$415,"Verificar",0)</f>
        <v>NOMBRE 89</v>
      </c>
      <c r="C95" s="525">
        <f>SUMIF('CARTERA años anteriores'!$C$9:$C$234,A95,'CARTERA años anteriores'!$J$9:$J$234)</f>
        <v>0</v>
      </c>
      <c r="D95" s="525">
        <f>SUMIF('CARTERA años anteriores'!$C$9:$C$234,A95,'CARTERA años anteriores'!$L$9:$L$234)</f>
        <v>0</v>
      </c>
      <c r="E95" s="525">
        <f>SUMIF(FACTURACIÓN!$C$8:$C$1082,A95,FACTURACIÓN!$K$8:$K$1082)</f>
        <v>0</v>
      </c>
      <c r="F95" s="525">
        <f>SUMIF('INGRESOS A CAJA'!$C$10:$C$954,A95,'INGRESOS A CAJA'!$F$10:$F$954)+SUMIF(FACTURACIÓN!$C$8:$C$1082,A95,FACTURACIÓN!$M$8:$M$1082)++SUMIF('CARTERA años anteriores'!$C$9:$C$234,A95,'CARTERA años anteriores'!$M$9:$M$234)</f>
        <v>0</v>
      </c>
      <c r="G95" s="525">
        <f>SUMIF('EGRESOS DE CAJA'!$C$10:$C$2251,A95,'EGRESOS DE CAJA'!$G$10:$G$2251)</f>
        <v>0</v>
      </c>
      <c r="H95" s="512">
        <f t="shared" si="3"/>
        <v>0</v>
      </c>
      <c r="I95" s="512">
        <f t="shared" si="4"/>
        <v>0</v>
      </c>
      <c r="J95" s="557"/>
      <c r="K95" s="629"/>
    </row>
    <row r="96" spans="1:11" ht="15" x14ac:dyDescent="0.2">
      <c r="A96" s="560">
        <v>88</v>
      </c>
      <c r="B96" s="511" t="str">
        <f>_xlfn.XLOOKUP(A96,Códigos!$A$11:$A$415,Códigos!$B$11:$B$415,"Verificar",0)</f>
        <v>NOMBRE 90</v>
      </c>
      <c r="C96" s="525">
        <f>SUMIF('CARTERA años anteriores'!$C$9:$C$234,A96,'CARTERA años anteriores'!$J$9:$J$234)</f>
        <v>0</v>
      </c>
      <c r="D96" s="525">
        <f>SUMIF('CARTERA años anteriores'!$C$9:$C$234,A96,'CARTERA años anteriores'!$L$9:$L$234)</f>
        <v>0</v>
      </c>
      <c r="E96" s="525">
        <f>SUMIF(FACTURACIÓN!$C$8:$C$1082,A96,FACTURACIÓN!$K$8:$K$1082)</f>
        <v>0</v>
      </c>
      <c r="F96" s="525">
        <f>SUMIF('INGRESOS A CAJA'!$C$10:$C$954,A96,'INGRESOS A CAJA'!$F$10:$F$954)+SUMIF(FACTURACIÓN!$C$8:$C$1082,A96,FACTURACIÓN!$M$8:$M$1082)++SUMIF('CARTERA años anteriores'!$C$9:$C$234,A96,'CARTERA años anteriores'!$M$9:$M$234)</f>
        <v>0</v>
      </c>
      <c r="G96" s="525">
        <f>SUMIF('EGRESOS DE CAJA'!$C$10:$C$2251,A96,'EGRESOS DE CAJA'!$G$10:$G$2251)</f>
        <v>0</v>
      </c>
      <c r="H96" s="512">
        <f t="shared" si="3"/>
        <v>0</v>
      </c>
      <c r="I96" s="512">
        <f t="shared" si="4"/>
        <v>0</v>
      </c>
      <c r="J96" s="557"/>
      <c r="K96" s="629"/>
    </row>
    <row r="97" spans="1:11" ht="15" x14ac:dyDescent="0.2">
      <c r="A97" s="560">
        <v>89</v>
      </c>
      <c r="B97" s="511" t="str">
        <f>_xlfn.XLOOKUP(A97,Códigos!$A$11:$A$415,Códigos!$B$11:$B$415,"Verificar",0)</f>
        <v>NOMBRE 226</v>
      </c>
      <c r="C97" s="525">
        <f>SUMIF('CARTERA años anteriores'!$C$9:$C$234,A97,'CARTERA años anteriores'!$J$9:$J$234)</f>
        <v>0</v>
      </c>
      <c r="D97" s="525">
        <f>SUMIF('CARTERA años anteriores'!$C$9:$C$234,A97,'CARTERA años anteriores'!$L$9:$L$234)</f>
        <v>0</v>
      </c>
      <c r="E97" s="525">
        <f>SUMIF(FACTURACIÓN!$C$8:$C$1082,A97,FACTURACIÓN!$K$8:$K$1082)</f>
        <v>400000</v>
      </c>
      <c r="F97" s="525">
        <f>SUMIF('INGRESOS A CAJA'!$C$10:$C$954,A97,'INGRESOS A CAJA'!$F$10:$F$954)+SUMIF(FACTURACIÓN!$C$8:$C$1082,A97,FACTURACIÓN!$M$8:$M$1082)++SUMIF('CARTERA años anteriores'!$C$9:$C$234,A97,'CARTERA años anteriores'!$M$9:$M$234)</f>
        <v>400000</v>
      </c>
      <c r="G97" s="525">
        <f>SUMIF('EGRESOS DE CAJA'!$C$10:$C$2251,A97,'EGRESOS DE CAJA'!$G$10:$G$2251)</f>
        <v>0</v>
      </c>
      <c r="H97" s="512">
        <f t="shared" si="3"/>
        <v>0</v>
      </c>
      <c r="I97" s="512">
        <f t="shared" si="4"/>
        <v>0</v>
      </c>
      <c r="J97" s="557"/>
      <c r="K97" s="629"/>
    </row>
    <row r="98" spans="1:11" ht="15" x14ac:dyDescent="0.2">
      <c r="A98" s="560">
        <v>90</v>
      </c>
      <c r="B98" s="511" t="str">
        <f>_xlfn.XLOOKUP(A98,Códigos!$A$11:$A$415,Códigos!$B$11:$B$415,"Verificar",0)</f>
        <v>NOMBRE 93</v>
      </c>
      <c r="C98" s="525">
        <f>SUMIF('CARTERA años anteriores'!$C$9:$C$234,A98,'CARTERA años anteriores'!$J$9:$J$234)</f>
        <v>0</v>
      </c>
      <c r="D98" s="525">
        <f>SUMIF('CARTERA años anteriores'!$C$9:$C$234,A98,'CARTERA años anteriores'!$L$9:$L$234)</f>
        <v>0</v>
      </c>
      <c r="E98" s="525">
        <f>SUMIF(FACTURACIÓN!$C$8:$C$1082,A98,FACTURACIÓN!$K$8:$K$1082)</f>
        <v>0</v>
      </c>
      <c r="F98" s="525">
        <f>SUMIF('INGRESOS A CAJA'!$C$10:$C$954,A98,'INGRESOS A CAJA'!$F$10:$F$954)+SUMIF(FACTURACIÓN!$C$8:$C$1082,A98,FACTURACIÓN!$M$8:$M$1082)++SUMIF('CARTERA años anteriores'!$C$9:$C$234,A98,'CARTERA años anteriores'!$M$9:$M$234)</f>
        <v>0</v>
      </c>
      <c r="G98" s="525">
        <f>SUMIF('EGRESOS DE CAJA'!$C$10:$C$2251,A98,'EGRESOS DE CAJA'!$G$10:$G$2251)</f>
        <v>0</v>
      </c>
      <c r="H98" s="512">
        <f t="shared" si="3"/>
        <v>0</v>
      </c>
      <c r="I98" s="512">
        <f t="shared" si="4"/>
        <v>0</v>
      </c>
      <c r="J98" s="557"/>
      <c r="K98" s="629"/>
    </row>
    <row r="99" spans="1:11" ht="15" x14ac:dyDescent="0.2">
      <c r="A99" s="560">
        <v>91</v>
      </c>
      <c r="B99" s="511" t="str">
        <f>_xlfn.XLOOKUP(A99,Códigos!$A$11:$A$415,Códigos!$B$11:$B$415,"Verificar",0)</f>
        <v>NOMBRE 100</v>
      </c>
      <c r="C99" s="525">
        <f>SUMIF('CARTERA años anteriores'!$C$9:$C$234,A99,'CARTERA años anteriores'!$J$9:$J$234)</f>
        <v>0</v>
      </c>
      <c r="D99" s="525">
        <f>SUMIF('CARTERA años anteriores'!$C$9:$C$234,A99,'CARTERA años anteriores'!$L$9:$L$234)</f>
        <v>0</v>
      </c>
      <c r="E99" s="525">
        <f>SUMIF(FACTURACIÓN!$C$8:$C$1082,A99,FACTURACIÓN!$K$8:$K$1082)</f>
        <v>350000</v>
      </c>
      <c r="F99" s="525">
        <f>SUMIF('INGRESOS A CAJA'!$C$10:$C$954,A99,'INGRESOS A CAJA'!$F$10:$F$954)+SUMIF(FACTURACIÓN!$C$8:$C$1082,A99,FACTURACIÓN!$M$8:$M$1082)++SUMIF('CARTERA años anteriores'!$C$9:$C$234,A99,'CARTERA años anteriores'!$M$9:$M$234)</f>
        <v>0</v>
      </c>
      <c r="G99" s="525">
        <f>SUMIF('EGRESOS DE CAJA'!$C$10:$C$2251,A99,'EGRESOS DE CAJA'!$G$10:$G$2251)</f>
        <v>0</v>
      </c>
      <c r="H99" s="512">
        <f t="shared" si="3"/>
        <v>350000</v>
      </c>
      <c r="I99" s="512">
        <f t="shared" si="4"/>
        <v>0</v>
      </c>
      <c r="J99" s="557"/>
      <c r="K99" s="629"/>
    </row>
    <row r="100" spans="1:11" ht="15" x14ac:dyDescent="0.2">
      <c r="A100" s="560">
        <v>92</v>
      </c>
      <c r="B100" s="511" t="str">
        <f>_xlfn.XLOOKUP(A100,Códigos!$A$11:$A$415,Códigos!$B$11:$B$415,"Verificar",0)</f>
        <v>NOMBRE 106</v>
      </c>
      <c r="C100" s="525">
        <f>SUMIF('CARTERA años anteriores'!$C$9:$C$234,A100,'CARTERA años anteriores'!$J$9:$J$234)</f>
        <v>0</v>
      </c>
      <c r="D100" s="525">
        <f>SUMIF('CARTERA años anteriores'!$C$9:$C$234,A100,'CARTERA años anteriores'!$L$9:$L$234)</f>
        <v>0</v>
      </c>
      <c r="E100" s="525">
        <f>SUMIF(FACTURACIÓN!$C$8:$C$1082,A100,FACTURACIÓN!$K$8:$K$1082)</f>
        <v>350000</v>
      </c>
      <c r="F100" s="525">
        <f>SUMIF('INGRESOS A CAJA'!$C$10:$C$954,A100,'INGRESOS A CAJA'!$F$10:$F$954)+SUMIF(FACTURACIÓN!$C$8:$C$1082,A100,FACTURACIÓN!$M$8:$M$1082)++SUMIF('CARTERA años anteriores'!$C$9:$C$234,A100,'CARTERA años anteriores'!$M$9:$M$234)</f>
        <v>0</v>
      </c>
      <c r="G100" s="525">
        <f>SUMIF('EGRESOS DE CAJA'!$C$10:$C$2251,A100,'EGRESOS DE CAJA'!$G$10:$G$2251)</f>
        <v>0</v>
      </c>
      <c r="H100" s="512">
        <f t="shared" si="3"/>
        <v>350000</v>
      </c>
      <c r="I100" s="512">
        <f t="shared" si="4"/>
        <v>0</v>
      </c>
      <c r="J100" s="557"/>
      <c r="K100" s="629"/>
    </row>
    <row r="101" spans="1:11" ht="15" x14ac:dyDescent="0.2">
      <c r="A101" s="560">
        <v>93</v>
      </c>
      <c r="B101" s="511" t="str">
        <f>_xlfn.XLOOKUP(A101,Códigos!$A$11:$A$415,Códigos!$B$11:$B$415,"Verificar",0)</f>
        <v>NOMBRE 243</v>
      </c>
      <c r="C101" s="525">
        <f>SUMIF('CARTERA años anteriores'!$C$9:$C$234,A101,'CARTERA años anteriores'!$J$9:$J$234)</f>
        <v>0</v>
      </c>
      <c r="D101" s="525">
        <f>SUMIF('CARTERA años anteriores'!$C$9:$C$234,A101,'CARTERA años anteriores'!$L$9:$L$234)</f>
        <v>0</v>
      </c>
      <c r="E101" s="525">
        <f>SUMIF(FACTURACIÓN!$C$8:$C$1082,A101,FACTURACIÓN!$K$8:$K$1082)</f>
        <v>0</v>
      </c>
      <c r="F101" s="525">
        <f>SUMIF('INGRESOS A CAJA'!$C$10:$C$954,A101,'INGRESOS A CAJA'!$F$10:$F$954)+SUMIF(FACTURACIÓN!$C$8:$C$1082,A101,FACTURACIÓN!$M$8:$M$1082)++SUMIF('CARTERA años anteriores'!$C$9:$C$234,A101,'CARTERA años anteriores'!$M$9:$M$234)</f>
        <v>0</v>
      </c>
      <c r="G101" s="525">
        <f>SUMIF('EGRESOS DE CAJA'!$C$10:$C$2251,A101,'EGRESOS DE CAJA'!$G$10:$G$2251)</f>
        <v>0</v>
      </c>
      <c r="H101" s="512">
        <f t="shared" si="3"/>
        <v>0</v>
      </c>
      <c r="I101" s="512">
        <f t="shared" si="4"/>
        <v>0</v>
      </c>
      <c r="J101" s="557"/>
      <c r="K101" s="629"/>
    </row>
    <row r="102" spans="1:11" ht="15" x14ac:dyDescent="0.2">
      <c r="A102" s="560">
        <v>94</v>
      </c>
      <c r="B102" s="511" t="str">
        <f>_xlfn.XLOOKUP(A102,Códigos!$A$11:$A$415,Códigos!$B$11:$B$415,"Verificar",0)</f>
        <v>NOMBRE 250</v>
      </c>
      <c r="C102" s="525">
        <f>SUMIF('CARTERA años anteriores'!$C$9:$C$234,A102,'CARTERA años anteriores'!$J$9:$J$234)</f>
        <v>0</v>
      </c>
      <c r="D102" s="525">
        <f>SUMIF('CARTERA años anteriores'!$C$9:$C$234,A102,'CARTERA años anteriores'!$L$9:$L$234)</f>
        <v>0</v>
      </c>
      <c r="E102" s="525">
        <f>SUMIF(FACTURACIÓN!$C$8:$C$1082,A102,FACTURACIÓN!$K$8:$K$1082)</f>
        <v>370000</v>
      </c>
      <c r="F102" s="525">
        <f>SUMIF('INGRESOS A CAJA'!$C$10:$C$954,A102,'INGRESOS A CAJA'!$F$10:$F$954)+SUMIF(FACTURACIÓN!$C$8:$C$1082,A102,FACTURACIÓN!$M$8:$M$1082)++SUMIF('CARTERA años anteriores'!$C$9:$C$234,A102,'CARTERA años anteriores'!$M$9:$M$234)</f>
        <v>0</v>
      </c>
      <c r="G102" s="525">
        <f>SUMIF('EGRESOS DE CAJA'!$C$10:$C$2251,A102,'EGRESOS DE CAJA'!$G$10:$G$2251)</f>
        <v>0</v>
      </c>
      <c r="H102" s="512">
        <f t="shared" si="3"/>
        <v>370000</v>
      </c>
      <c r="I102" s="512">
        <f t="shared" si="4"/>
        <v>0</v>
      </c>
      <c r="J102" s="557"/>
      <c r="K102" s="629"/>
    </row>
    <row r="103" spans="1:11" ht="15" x14ac:dyDescent="0.2">
      <c r="A103" s="560">
        <v>95</v>
      </c>
      <c r="B103" s="511" t="str">
        <f>_xlfn.XLOOKUP(A103,Códigos!$A$11:$A$415,Códigos!$B$11:$B$415,"Verificar",0)</f>
        <v>NOMBRE 111</v>
      </c>
      <c r="C103" s="525">
        <f>SUMIF('CARTERA años anteriores'!$C$9:$C$234,A103,'CARTERA años anteriores'!$J$9:$J$234)</f>
        <v>0</v>
      </c>
      <c r="D103" s="525">
        <f>SUMIF('CARTERA años anteriores'!$C$9:$C$234,A103,'CARTERA años anteriores'!$L$9:$L$234)</f>
        <v>0</v>
      </c>
      <c r="E103" s="525">
        <f>SUMIF(FACTURACIÓN!$C$8:$C$1082,A103,FACTURACIÓN!$K$8:$K$1082)</f>
        <v>9290000</v>
      </c>
      <c r="F103" s="525">
        <f>SUMIF('INGRESOS A CAJA'!$C$10:$C$954,A103,'INGRESOS A CAJA'!$F$10:$F$954)+SUMIF(FACTURACIÓN!$C$8:$C$1082,A103,FACTURACIÓN!$M$8:$M$1082)++SUMIF('CARTERA años anteriores'!$C$9:$C$234,A103,'CARTERA años anteriores'!$M$9:$M$234)</f>
        <v>3000000</v>
      </c>
      <c r="G103" s="525">
        <f>SUMIF('EGRESOS DE CAJA'!$C$10:$C$2251,A103,'EGRESOS DE CAJA'!$G$10:$G$2251)</f>
        <v>0</v>
      </c>
      <c r="H103" s="512">
        <f t="shared" si="3"/>
        <v>6290000</v>
      </c>
      <c r="I103" s="512">
        <f t="shared" si="4"/>
        <v>0</v>
      </c>
      <c r="J103" s="557"/>
      <c r="K103" s="629"/>
    </row>
    <row r="104" spans="1:11" ht="15" x14ac:dyDescent="0.2">
      <c r="A104" s="560">
        <v>96</v>
      </c>
      <c r="B104" s="511" t="str">
        <f>_xlfn.XLOOKUP(A104,Códigos!$A$11:$A$415,Códigos!$B$11:$B$415,"Verificar",0)</f>
        <v>NOMBRE 112</v>
      </c>
      <c r="C104" s="525">
        <f>SUMIF('CARTERA años anteriores'!$C$9:$C$234,A104,'CARTERA años anteriores'!$J$9:$J$234)</f>
        <v>0</v>
      </c>
      <c r="D104" s="525">
        <f>SUMIF('CARTERA años anteriores'!$C$9:$C$234,A104,'CARTERA años anteriores'!$L$9:$L$234)</f>
        <v>0</v>
      </c>
      <c r="E104" s="525">
        <f>SUMIF(FACTURACIÓN!$C$8:$C$1082,A104,FACTURACIÓN!$K$8:$K$1082)</f>
        <v>0</v>
      </c>
      <c r="F104" s="525">
        <f>SUMIF('INGRESOS A CAJA'!$C$10:$C$954,A104,'INGRESOS A CAJA'!$F$10:$F$954)+SUMIF(FACTURACIÓN!$C$8:$C$1082,A104,FACTURACIÓN!$M$8:$M$1082)++SUMIF('CARTERA años anteriores'!$C$9:$C$234,A104,'CARTERA años anteriores'!$M$9:$M$234)</f>
        <v>0</v>
      </c>
      <c r="G104" s="525">
        <f>SUMIF('EGRESOS DE CAJA'!$C$10:$C$2251,A104,'EGRESOS DE CAJA'!$G$10:$G$2251)</f>
        <v>0</v>
      </c>
      <c r="H104" s="512">
        <f t="shared" si="3"/>
        <v>0</v>
      </c>
      <c r="I104" s="512">
        <f t="shared" si="4"/>
        <v>0</v>
      </c>
      <c r="J104" s="557"/>
      <c r="K104" s="629"/>
    </row>
    <row r="105" spans="1:11" ht="15" x14ac:dyDescent="0.2">
      <c r="A105" s="560">
        <v>97</v>
      </c>
      <c r="B105" s="511" t="str">
        <f>_xlfn.XLOOKUP(A105,Códigos!$A$11:$A$415,Códigos!$B$11:$B$415,"Verificar",0)</f>
        <v>NOMBRE 113</v>
      </c>
      <c r="C105" s="525">
        <f>SUMIF('CARTERA años anteriores'!$C$9:$C$234,A105,'CARTERA años anteriores'!$J$9:$J$234)</f>
        <v>0</v>
      </c>
      <c r="D105" s="525">
        <f>SUMIF('CARTERA años anteriores'!$C$9:$C$234,A105,'CARTERA años anteriores'!$L$9:$L$234)</f>
        <v>0</v>
      </c>
      <c r="E105" s="525">
        <f>SUMIF(FACTURACIÓN!$C$8:$C$1082,A105,FACTURACIÓN!$K$8:$K$1082)</f>
        <v>0</v>
      </c>
      <c r="F105" s="525">
        <f>SUMIF('INGRESOS A CAJA'!$C$10:$C$954,A105,'INGRESOS A CAJA'!$F$10:$F$954)+SUMIF(FACTURACIÓN!$C$8:$C$1082,A105,FACTURACIÓN!$M$8:$M$1082)++SUMIF('CARTERA años anteriores'!$C$9:$C$234,A105,'CARTERA años anteriores'!$M$9:$M$234)</f>
        <v>0</v>
      </c>
      <c r="G105" s="525">
        <f>SUMIF('EGRESOS DE CAJA'!$C$10:$C$2251,A105,'EGRESOS DE CAJA'!$G$10:$G$2251)</f>
        <v>0</v>
      </c>
      <c r="H105" s="512">
        <f t="shared" si="3"/>
        <v>0</v>
      </c>
      <c r="I105" s="512">
        <f t="shared" si="4"/>
        <v>0</v>
      </c>
      <c r="J105" s="557"/>
      <c r="K105" s="629"/>
    </row>
    <row r="106" spans="1:11" ht="15" x14ac:dyDescent="0.2">
      <c r="A106" s="560">
        <v>98</v>
      </c>
      <c r="B106" s="511" t="str">
        <f>_xlfn.XLOOKUP(A106,Códigos!$A$11:$A$415,Códigos!$B$11:$B$415,"Verificar",0)</f>
        <v>NOMBRE 114</v>
      </c>
      <c r="C106" s="525">
        <f>SUMIF('CARTERA años anteriores'!$C$9:$C$234,A106,'CARTERA años anteriores'!$J$9:$J$234)</f>
        <v>0</v>
      </c>
      <c r="D106" s="525">
        <f>SUMIF('CARTERA años anteriores'!$C$9:$C$234,A106,'CARTERA años anteriores'!$L$9:$L$234)</f>
        <v>0</v>
      </c>
      <c r="E106" s="525">
        <f>SUMIF(FACTURACIÓN!$C$8:$C$1082,A106,FACTURACIÓN!$K$8:$K$1082)</f>
        <v>0</v>
      </c>
      <c r="F106" s="525">
        <f>SUMIF('INGRESOS A CAJA'!$C$10:$C$954,A106,'INGRESOS A CAJA'!$F$10:$F$954)+SUMIF(FACTURACIÓN!$C$8:$C$1082,A106,FACTURACIÓN!$M$8:$M$1082)++SUMIF('CARTERA años anteriores'!$C$9:$C$234,A106,'CARTERA años anteriores'!$M$9:$M$234)</f>
        <v>0</v>
      </c>
      <c r="G106" s="525">
        <f>SUMIF('EGRESOS DE CAJA'!$C$10:$C$2251,A106,'EGRESOS DE CAJA'!$G$10:$G$2251)</f>
        <v>0</v>
      </c>
      <c r="H106" s="512">
        <f t="shared" si="3"/>
        <v>0</v>
      </c>
      <c r="I106" s="512">
        <f t="shared" si="4"/>
        <v>0</v>
      </c>
      <c r="J106" s="557"/>
      <c r="K106" s="629"/>
    </row>
    <row r="107" spans="1:11" ht="15" x14ac:dyDescent="0.2">
      <c r="A107" s="560">
        <v>99</v>
      </c>
      <c r="B107" s="511" t="str">
        <f>_xlfn.XLOOKUP(A107,Códigos!$A$11:$A$415,Códigos!$B$11:$B$415,"Verificar",0)</f>
        <v>NOMBRE 119</v>
      </c>
      <c r="C107" s="525">
        <f>SUMIF('CARTERA años anteriores'!$C$9:$C$234,A107,'CARTERA años anteriores'!$J$9:$J$234)</f>
        <v>0</v>
      </c>
      <c r="D107" s="525">
        <f>SUMIF('CARTERA años anteriores'!$C$9:$C$234,A107,'CARTERA años anteriores'!$L$9:$L$234)</f>
        <v>0</v>
      </c>
      <c r="E107" s="525">
        <f>SUMIF(FACTURACIÓN!$C$8:$C$1082,A107,FACTURACIÓN!$K$8:$K$1082)</f>
        <v>0</v>
      </c>
      <c r="F107" s="525">
        <f>SUMIF('INGRESOS A CAJA'!$C$10:$C$954,A107,'INGRESOS A CAJA'!$F$10:$F$954)+SUMIF(FACTURACIÓN!$C$8:$C$1082,A107,FACTURACIÓN!$M$8:$M$1082)++SUMIF('CARTERA años anteriores'!$C$9:$C$234,A107,'CARTERA años anteriores'!$M$9:$M$234)</f>
        <v>0</v>
      </c>
      <c r="G107" s="525">
        <f>SUMIF('EGRESOS DE CAJA'!$C$10:$C$2251,A107,'EGRESOS DE CAJA'!$G$10:$G$2251)</f>
        <v>0</v>
      </c>
      <c r="H107" s="512">
        <f t="shared" si="3"/>
        <v>0</v>
      </c>
      <c r="I107" s="512">
        <f t="shared" si="4"/>
        <v>0</v>
      </c>
      <c r="J107" s="557"/>
      <c r="K107" s="629"/>
    </row>
    <row r="108" spans="1:11" ht="15" x14ac:dyDescent="0.2">
      <c r="A108" s="560">
        <v>100</v>
      </c>
      <c r="B108" s="511" t="str">
        <f>_xlfn.XLOOKUP(A108,Códigos!$A$11:$A$415,Códigos!$B$11:$B$415,"Verificar",0)</f>
        <v>NOMBRE 124</v>
      </c>
      <c r="C108" s="525">
        <f>SUMIF('CARTERA años anteriores'!$C$9:$C$234,A108,'CARTERA años anteriores'!$J$9:$J$234)</f>
        <v>0</v>
      </c>
      <c r="D108" s="525">
        <f>SUMIF('CARTERA años anteriores'!$C$9:$C$234,A108,'CARTERA años anteriores'!$L$9:$L$234)</f>
        <v>0</v>
      </c>
      <c r="E108" s="525">
        <f>SUMIF(FACTURACIÓN!$C$8:$C$1082,A108,FACTURACIÓN!$K$8:$K$1082)</f>
        <v>0</v>
      </c>
      <c r="F108" s="525">
        <f>SUMIF('INGRESOS A CAJA'!$C$10:$C$954,A108,'INGRESOS A CAJA'!$F$10:$F$954)+SUMIF(FACTURACIÓN!$C$8:$C$1082,A108,FACTURACIÓN!$M$8:$M$1082)++SUMIF('CARTERA años anteriores'!$C$9:$C$234,A108,'CARTERA años anteriores'!$M$9:$M$234)</f>
        <v>0</v>
      </c>
      <c r="G108" s="525">
        <f>SUMIF('EGRESOS DE CAJA'!$C$10:$C$2251,A108,'EGRESOS DE CAJA'!$G$10:$G$2251)</f>
        <v>0</v>
      </c>
      <c r="H108" s="512">
        <f t="shared" si="3"/>
        <v>0</v>
      </c>
      <c r="I108" s="512">
        <f t="shared" si="4"/>
        <v>0</v>
      </c>
      <c r="J108" s="557"/>
      <c r="K108" s="629"/>
    </row>
    <row r="109" spans="1:11" ht="15" x14ac:dyDescent="0.2">
      <c r="A109" s="560">
        <v>101</v>
      </c>
      <c r="B109" s="511" t="str">
        <f>_xlfn.XLOOKUP(A109,Códigos!$A$11:$A$415,Códigos!$B$11:$B$415,"Verificar",0)</f>
        <v>NOMBRE 126</v>
      </c>
      <c r="C109" s="525">
        <f>SUMIF('CARTERA años anteriores'!$C$9:$C$234,A109,'CARTERA años anteriores'!$J$9:$J$234)</f>
        <v>0</v>
      </c>
      <c r="D109" s="525">
        <f>SUMIF('CARTERA años anteriores'!$C$9:$C$234,A109,'CARTERA años anteriores'!$L$9:$L$234)</f>
        <v>0</v>
      </c>
      <c r="E109" s="525">
        <f>SUMIF(FACTURACIÓN!$C$8:$C$1082,A109,FACTURACIÓN!$K$8:$K$1082)</f>
        <v>1190000</v>
      </c>
      <c r="F109" s="525">
        <f>SUMIF('INGRESOS A CAJA'!$C$10:$C$954,A109,'INGRESOS A CAJA'!$F$10:$F$954)+SUMIF(FACTURACIÓN!$C$8:$C$1082,A109,FACTURACIÓN!$M$8:$M$1082)++SUMIF('CARTERA años anteriores'!$C$9:$C$234,A109,'CARTERA años anteriores'!$M$9:$M$234)</f>
        <v>1096000</v>
      </c>
      <c r="G109" s="525">
        <f>SUMIF('EGRESOS DE CAJA'!$C$10:$C$2251,A109,'EGRESOS DE CAJA'!$G$10:$G$2251)</f>
        <v>1096000</v>
      </c>
      <c r="H109" s="512">
        <f t="shared" si="3"/>
        <v>1190000</v>
      </c>
      <c r="I109" s="512">
        <f t="shared" si="4"/>
        <v>0</v>
      </c>
      <c r="J109" s="557"/>
      <c r="K109" s="629"/>
    </row>
    <row r="110" spans="1:11" ht="15" x14ac:dyDescent="0.2">
      <c r="A110" s="560">
        <v>102</v>
      </c>
      <c r="B110" s="511" t="str">
        <f>_xlfn.XLOOKUP(A110,Códigos!$A$11:$A$415,Códigos!$B$11:$B$415,"Verificar",0)</f>
        <v>NOMBRE 255</v>
      </c>
      <c r="C110" s="525">
        <f>SUMIF('CARTERA años anteriores'!$C$9:$C$234,A110,'CARTERA años anteriores'!$J$9:$J$234)</f>
        <v>0</v>
      </c>
      <c r="D110" s="525">
        <f>SUMIF('CARTERA años anteriores'!$C$9:$C$234,A110,'CARTERA años anteriores'!$L$9:$L$234)</f>
        <v>0</v>
      </c>
      <c r="E110" s="525">
        <f>SUMIF(FACTURACIÓN!$C$8:$C$1082,A110,FACTURACIÓN!$K$8:$K$1082)</f>
        <v>0</v>
      </c>
      <c r="F110" s="525">
        <f>SUMIF('INGRESOS A CAJA'!$C$10:$C$954,A110,'INGRESOS A CAJA'!$F$10:$F$954)+SUMIF(FACTURACIÓN!$C$8:$C$1082,A110,FACTURACIÓN!$M$8:$M$1082)++SUMIF('CARTERA años anteriores'!$C$9:$C$234,A110,'CARTERA años anteriores'!$M$9:$M$234)</f>
        <v>0</v>
      </c>
      <c r="G110" s="525">
        <f>SUMIF('EGRESOS DE CAJA'!$C$10:$C$2251,A110,'EGRESOS DE CAJA'!$G$10:$G$2251)</f>
        <v>0</v>
      </c>
      <c r="H110" s="512">
        <f t="shared" si="3"/>
        <v>0</v>
      </c>
      <c r="I110" s="512">
        <f t="shared" si="4"/>
        <v>0</v>
      </c>
      <c r="J110" s="557"/>
      <c r="K110" s="629"/>
    </row>
    <row r="111" spans="1:11" ht="15" x14ac:dyDescent="0.2">
      <c r="A111" s="560">
        <v>103</v>
      </c>
      <c r="B111" s="511" t="str">
        <f>_xlfn.XLOOKUP(A111,Códigos!$A$11:$A$415,Códigos!$B$11:$B$415,"Verificar",0)</f>
        <v>NOMBRE 261</v>
      </c>
      <c r="C111" s="525">
        <f>SUMIF('CARTERA años anteriores'!$C$9:$C$234,A111,'CARTERA años anteriores'!$J$9:$J$234)</f>
        <v>0</v>
      </c>
      <c r="D111" s="525">
        <f>SUMIF('CARTERA años anteriores'!$C$9:$C$234,A111,'CARTERA años anteriores'!$L$9:$L$234)</f>
        <v>0</v>
      </c>
      <c r="E111" s="525">
        <f>SUMIF(FACTURACIÓN!$C$8:$C$1082,A111,FACTURACIÓN!$K$8:$K$1082)</f>
        <v>0</v>
      </c>
      <c r="F111" s="525">
        <f>SUMIF('INGRESOS A CAJA'!$C$10:$C$954,A111,'INGRESOS A CAJA'!$F$10:$F$954)+SUMIF(FACTURACIÓN!$C$8:$C$1082,A111,FACTURACIÓN!$M$8:$M$1082)++SUMIF('CARTERA años anteriores'!$C$9:$C$234,A111,'CARTERA años anteriores'!$M$9:$M$234)</f>
        <v>0</v>
      </c>
      <c r="G111" s="525">
        <f>SUMIF('EGRESOS DE CAJA'!$C$10:$C$2251,A111,'EGRESOS DE CAJA'!$G$10:$G$2251)</f>
        <v>0</v>
      </c>
      <c r="H111" s="512">
        <f t="shared" si="3"/>
        <v>0</v>
      </c>
      <c r="I111" s="512">
        <f t="shared" si="4"/>
        <v>0</v>
      </c>
      <c r="J111" s="557"/>
      <c r="K111" s="629"/>
    </row>
    <row r="112" spans="1:11" ht="15" x14ac:dyDescent="0.2">
      <c r="A112" s="560">
        <v>104</v>
      </c>
      <c r="B112" s="511" t="str">
        <f>_xlfn.XLOOKUP(A112,Códigos!$A$11:$A$415,Códigos!$B$11:$B$415,"Verificar",0)</f>
        <v>NOMBRE 276</v>
      </c>
      <c r="C112" s="525">
        <f>SUMIF('CARTERA años anteriores'!$C$9:$C$234,A112,'CARTERA años anteriores'!$J$9:$J$234)</f>
        <v>0</v>
      </c>
      <c r="D112" s="525">
        <f>SUMIF('CARTERA años anteriores'!$C$9:$C$234,A112,'CARTERA años anteriores'!$L$9:$L$234)</f>
        <v>0</v>
      </c>
      <c r="E112" s="525">
        <f>SUMIF(FACTURACIÓN!$C$8:$C$1082,A112,FACTURACIÓN!$K$8:$K$1082)</f>
        <v>0</v>
      </c>
      <c r="F112" s="525">
        <f>SUMIF('INGRESOS A CAJA'!$C$10:$C$954,A112,'INGRESOS A CAJA'!$F$10:$F$954)+SUMIF(FACTURACIÓN!$C$8:$C$1082,A112,FACTURACIÓN!$M$8:$M$1082)++SUMIF('CARTERA años anteriores'!$C$9:$C$234,A112,'CARTERA años anteriores'!$M$9:$M$234)</f>
        <v>0</v>
      </c>
      <c r="G112" s="525">
        <f>SUMIF('EGRESOS DE CAJA'!$C$10:$C$2251,A112,'EGRESOS DE CAJA'!$G$10:$G$2251)</f>
        <v>0</v>
      </c>
      <c r="H112" s="512">
        <f t="shared" si="3"/>
        <v>0</v>
      </c>
      <c r="I112" s="512">
        <f t="shared" si="4"/>
        <v>0</v>
      </c>
      <c r="J112" s="557"/>
      <c r="K112" s="629"/>
    </row>
    <row r="113" spans="1:11" ht="15" x14ac:dyDescent="0.2">
      <c r="A113" s="560">
        <v>105</v>
      </c>
      <c r="B113" s="511" t="str">
        <f>_xlfn.XLOOKUP(A113,Códigos!$A$11:$A$415,Códigos!$B$11:$B$415,"Verificar",0)</f>
        <v>NOMBRE 311</v>
      </c>
      <c r="C113" s="525">
        <f>SUMIF('CARTERA años anteriores'!$C$9:$C$234,A113,'CARTERA años anteriores'!$J$9:$J$234)</f>
        <v>0</v>
      </c>
      <c r="D113" s="525">
        <f>SUMIF('CARTERA años anteriores'!$C$9:$C$234,A113,'CARTERA años anteriores'!$L$9:$L$234)</f>
        <v>0</v>
      </c>
      <c r="E113" s="525">
        <f>SUMIF(FACTURACIÓN!$C$8:$C$1082,A113,FACTURACIÓN!$K$8:$K$1082)</f>
        <v>0</v>
      </c>
      <c r="F113" s="525">
        <f>SUMIF('INGRESOS A CAJA'!$C$10:$C$954,A113,'INGRESOS A CAJA'!$F$10:$F$954)+SUMIF(FACTURACIÓN!$C$8:$C$1082,A113,FACTURACIÓN!$M$8:$M$1082)++SUMIF('CARTERA años anteriores'!$C$9:$C$234,A113,'CARTERA años anteriores'!$M$9:$M$234)</f>
        <v>0</v>
      </c>
      <c r="G113" s="525">
        <f>SUMIF('EGRESOS DE CAJA'!$C$10:$C$2251,A113,'EGRESOS DE CAJA'!$G$10:$G$2251)</f>
        <v>0</v>
      </c>
      <c r="H113" s="512">
        <f t="shared" si="3"/>
        <v>0</v>
      </c>
      <c r="I113" s="512">
        <f t="shared" si="4"/>
        <v>0</v>
      </c>
      <c r="J113" s="557"/>
      <c r="K113" s="629"/>
    </row>
    <row r="114" spans="1:11" ht="15" x14ac:dyDescent="0.2">
      <c r="A114" s="560">
        <v>106</v>
      </c>
      <c r="B114" s="511" t="str">
        <f>_xlfn.XLOOKUP(A114,Códigos!$A$11:$A$415,Códigos!$B$11:$B$415,"Verificar",0)</f>
        <v>NOMBRE 279</v>
      </c>
      <c r="C114" s="525">
        <f>SUMIF('CARTERA años anteriores'!$C$9:$C$234,A114,'CARTERA años anteriores'!$J$9:$J$234)</f>
        <v>0</v>
      </c>
      <c r="D114" s="525">
        <f>SUMIF('CARTERA años anteriores'!$C$9:$C$234,A114,'CARTERA años anteriores'!$L$9:$L$234)</f>
        <v>0</v>
      </c>
      <c r="E114" s="525">
        <f>SUMIF(FACTURACIÓN!$C$8:$C$1082,A114,FACTURACIÓN!$K$8:$K$1082)</f>
        <v>0</v>
      </c>
      <c r="F114" s="525">
        <f>SUMIF('INGRESOS A CAJA'!$C$10:$C$954,A114,'INGRESOS A CAJA'!$F$10:$F$954)+SUMIF(FACTURACIÓN!$C$8:$C$1082,A114,FACTURACIÓN!$M$8:$M$1082)++SUMIF('CARTERA años anteriores'!$C$9:$C$234,A114,'CARTERA años anteriores'!$M$9:$M$234)</f>
        <v>0</v>
      </c>
      <c r="G114" s="525">
        <f>SUMIF('EGRESOS DE CAJA'!$C$10:$C$2251,A114,'EGRESOS DE CAJA'!$G$10:$G$2251)</f>
        <v>0</v>
      </c>
      <c r="H114" s="512">
        <f t="shared" si="3"/>
        <v>0</v>
      </c>
      <c r="I114" s="512">
        <f t="shared" si="4"/>
        <v>0</v>
      </c>
      <c r="J114" s="557"/>
      <c r="K114" s="629"/>
    </row>
    <row r="115" spans="1:11" ht="15" x14ac:dyDescent="0.2">
      <c r="A115" s="560">
        <v>107</v>
      </c>
      <c r="B115" s="511" t="str">
        <f>_xlfn.XLOOKUP(A115,Códigos!$A$11:$A$415,Códigos!$B$11:$B$415,"Verificar",0)</f>
        <v>NOMBRE 288</v>
      </c>
      <c r="C115" s="525">
        <f>SUMIF('CARTERA años anteriores'!$C$9:$C$234,A115,'CARTERA años anteriores'!$J$9:$J$234)</f>
        <v>0</v>
      </c>
      <c r="D115" s="525">
        <f>SUMIF('CARTERA años anteriores'!$C$9:$C$234,A115,'CARTERA años anteriores'!$L$9:$L$234)</f>
        <v>0</v>
      </c>
      <c r="E115" s="525">
        <f>SUMIF(FACTURACIÓN!$C$8:$C$1082,A115,FACTURACIÓN!$K$8:$K$1082)</f>
        <v>0</v>
      </c>
      <c r="F115" s="525">
        <f>SUMIF('INGRESOS A CAJA'!$C$10:$C$954,A115,'INGRESOS A CAJA'!$F$10:$F$954)+SUMIF(FACTURACIÓN!$C$8:$C$1082,A115,FACTURACIÓN!$M$8:$M$1082)++SUMIF('CARTERA años anteriores'!$C$9:$C$234,A115,'CARTERA años anteriores'!$M$9:$M$234)</f>
        <v>0</v>
      </c>
      <c r="G115" s="525">
        <f>SUMIF('EGRESOS DE CAJA'!$C$10:$C$2251,A115,'EGRESOS DE CAJA'!$G$10:$G$2251)</f>
        <v>0</v>
      </c>
      <c r="H115" s="512">
        <f t="shared" si="3"/>
        <v>0</v>
      </c>
      <c r="I115" s="512">
        <f t="shared" si="4"/>
        <v>0</v>
      </c>
      <c r="J115" s="557"/>
      <c r="K115" s="629"/>
    </row>
    <row r="116" spans="1:11" ht="15" x14ac:dyDescent="0.2">
      <c r="A116" s="560">
        <v>108</v>
      </c>
      <c r="B116" s="511" t="str">
        <f>_xlfn.XLOOKUP(A116,Códigos!$A$11:$A$415,Códigos!$B$11:$B$415,"Verificar",0)</f>
        <v>NOMBRE 131</v>
      </c>
      <c r="C116" s="525">
        <f>SUMIF('CARTERA años anteriores'!$C$9:$C$234,A116,'CARTERA años anteriores'!$J$9:$J$234)</f>
        <v>0</v>
      </c>
      <c r="D116" s="525">
        <f>SUMIF('CARTERA años anteriores'!$C$9:$C$234,A116,'CARTERA años anteriores'!$L$9:$L$234)</f>
        <v>0</v>
      </c>
      <c r="E116" s="525">
        <f>SUMIF(FACTURACIÓN!$C$8:$C$1082,A116,FACTURACIÓN!$K$8:$K$1082)</f>
        <v>0</v>
      </c>
      <c r="F116" s="525">
        <f>SUMIF('INGRESOS A CAJA'!$C$10:$C$954,A116,'INGRESOS A CAJA'!$F$10:$F$954)+SUMIF(FACTURACIÓN!$C$8:$C$1082,A116,FACTURACIÓN!$M$8:$M$1082)++SUMIF('CARTERA años anteriores'!$C$9:$C$234,A116,'CARTERA años anteriores'!$M$9:$M$234)</f>
        <v>0</v>
      </c>
      <c r="G116" s="525">
        <f>SUMIF('EGRESOS DE CAJA'!$C$10:$C$2251,A116,'EGRESOS DE CAJA'!$G$10:$G$2251)</f>
        <v>0</v>
      </c>
      <c r="H116" s="512">
        <f t="shared" si="3"/>
        <v>0</v>
      </c>
      <c r="I116" s="512">
        <f t="shared" si="4"/>
        <v>0</v>
      </c>
      <c r="J116" s="557"/>
      <c r="K116" s="629"/>
    </row>
    <row r="117" spans="1:11" ht="15" x14ac:dyDescent="0.2">
      <c r="A117" s="560">
        <v>109</v>
      </c>
      <c r="B117" s="511" t="str">
        <f>_xlfn.XLOOKUP(A117,Códigos!$A$11:$A$415,Códigos!$B$11:$B$415,"Verificar",0)</f>
        <v>NOMBRE 133</v>
      </c>
      <c r="C117" s="525">
        <f>SUMIF('CARTERA años anteriores'!$C$9:$C$234,A117,'CARTERA años anteriores'!$J$9:$J$234)</f>
        <v>0</v>
      </c>
      <c r="D117" s="525">
        <f>SUMIF('CARTERA años anteriores'!$C$9:$C$234,A117,'CARTERA años anteriores'!$L$9:$L$234)</f>
        <v>0</v>
      </c>
      <c r="E117" s="525">
        <f>SUMIF(FACTURACIÓN!$C$8:$C$1082,A117,FACTURACIÓN!$K$8:$K$1082)</f>
        <v>0</v>
      </c>
      <c r="F117" s="525">
        <f>SUMIF('INGRESOS A CAJA'!$C$10:$C$954,A117,'INGRESOS A CAJA'!$F$10:$F$954)+SUMIF(FACTURACIÓN!$C$8:$C$1082,A117,FACTURACIÓN!$M$8:$M$1082)++SUMIF('CARTERA años anteriores'!$C$9:$C$234,A117,'CARTERA años anteriores'!$M$9:$M$234)</f>
        <v>0</v>
      </c>
      <c r="G117" s="525">
        <f>SUMIF('EGRESOS DE CAJA'!$C$10:$C$2251,A117,'EGRESOS DE CAJA'!$G$10:$G$2251)</f>
        <v>0</v>
      </c>
      <c r="H117" s="512">
        <f t="shared" si="3"/>
        <v>0</v>
      </c>
      <c r="I117" s="512">
        <f t="shared" si="4"/>
        <v>0</v>
      </c>
      <c r="J117" s="557"/>
      <c r="K117" s="629"/>
    </row>
    <row r="118" spans="1:11" ht="15" x14ac:dyDescent="0.2">
      <c r="A118" s="560">
        <v>110</v>
      </c>
      <c r="B118" s="511" t="str">
        <f>_xlfn.XLOOKUP(A118,Códigos!$A$11:$A$415,Códigos!$B$11:$B$415,"Verificar",0)</f>
        <v>NOMBRE 134</v>
      </c>
      <c r="C118" s="525">
        <f>SUMIF('CARTERA años anteriores'!$C$9:$C$234,A118,'CARTERA años anteriores'!$J$9:$J$234)</f>
        <v>0</v>
      </c>
      <c r="D118" s="525">
        <f>SUMIF('CARTERA años anteriores'!$C$9:$C$234,A118,'CARTERA años anteriores'!$L$9:$L$234)</f>
        <v>0</v>
      </c>
      <c r="E118" s="525">
        <f>SUMIF(FACTURACIÓN!$C$8:$C$1082,A118,FACTURACIÓN!$K$8:$K$1082)</f>
        <v>2450000</v>
      </c>
      <c r="F118" s="525">
        <f>SUMIF('INGRESOS A CAJA'!$C$10:$C$954,A118,'INGRESOS A CAJA'!$F$10:$F$954)+SUMIF(FACTURACIÓN!$C$8:$C$1082,A118,FACTURACIÓN!$M$8:$M$1082)++SUMIF('CARTERA años anteriores'!$C$9:$C$234,A118,'CARTERA años anteriores'!$M$9:$M$234)</f>
        <v>0</v>
      </c>
      <c r="G118" s="525">
        <f>SUMIF('EGRESOS DE CAJA'!$C$10:$C$2251,A118,'EGRESOS DE CAJA'!$G$10:$G$2251)</f>
        <v>0</v>
      </c>
      <c r="H118" s="512">
        <f t="shared" si="3"/>
        <v>2450000</v>
      </c>
      <c r="I118" s="512">
        <f t="shared" si="4"/>
        <v>0</v>
      </c>
      <c r="J118" s="557"/>
      <c r="K118" s="629"/>
    </row>
    <row r="119" spans="1:11" ht="15" x14ac:dyDescent="0.2">
      <c r="A119" s="560">
        <v>111</v>
      </c>
      <c r="B119" s="511" t="str">
        <f>_xlfn.XLOOKUP(A119,Códigos!$A$11:$A$415,Códigos!$B$11:$B$415,"Verificar",0)</f>
        <v>NOMBRE 135</v>
      </c>
      <c r="C119" s="525">
        <f>SUMIF('CARTERA años anteriores'!$C$9:$C$234,A119,'CARTERA años anteriores'!$J$9:$J$234)</f>
        <v>0</v>
      </c>
      <c r="D119" s="525">
        <f>SUMIF('CARTERA años anteriores'!$C$9:$C$234,A119,'CARTERA años anteriores'!$L$9:$L$234)</f>
        <v>0</v>
      </c>
      <c r="E119" s="525">
        <f>SUMIF(FACTURACIÓN!$C$8:$C$1082,A119,FACTURACIÓN!$K$8:$K$1082)</f>
        <v>2840000</v>
      </c>
      <c r="F119" s="525">
        <f>SUMIF('INGRESOS A CAJA'!$C$10:$C$954,A119,'INGRESOS A CAJA'!$F$10:$F$954)+SUMIF(FACTURACIÓN!$C$8:$C$1082,A119,FACTURACIÓN!$M$8:$M$1082)++SUMIF('CARTERA años anteriores'!$C$9:$C$234,A119,'CARTERA años anteriores'!$M$9:$M$234)</f>
        <v>0</v>
      </c>
      <c r="G119" s="525">
        <f>SUMIF('EGRESOS DE CAJA'!$C$10:$C$2251,A119,'EGRESOS DE CAJA'!$G$10:$G$2251)</f>
        <v>0</v>
      </c>
      <c r="H119" s="512">
        <f t="shared" si="3"/>
        <v>2840000</v>
      </c>
      <c r="I119" s="512">
        <f t="shared" si="4"/>
        <v>0</v>
      </c>
      <c r="J119" s="557"/>
      <c r="K119" s="629"/>
    </row>
    <row r="120" spans="1:11" ht="15" x14ac:dyDescent="0.2">
      <c r="A120" s="560">
        <v>112</v>
      </c>
      <c r="B120" s="511" t="str">
        <f>_xlfn.XLOOKUP(A120,Códigos!$A$11:$A$415,Códigos!$B$11:$B$415,"Verificar",0)</f>
        <v>NOMBRE 141</v>
      </c>
      <c r="C120" s="525">
        <f>SUMIF('CARTERA años anteriores'!$C$9:$C$234,A120,'CARTERA años anteriores'!$J$9:$J$234)</f>
        <v>0</v>
      </c>
      <c r="D120" s="525">
        <f>SUMIF('CARTERA años anteriores'!$C$9:$C$234,A120,'CARTERA años anteriores'!$L$9:$L$234)</f>
        <v>0</v>
      </c>
      <c r="E120" s="525">
        <f>SUMIF(FACTURACIÓN!$C$8:$C$1082,A120,FACTURACIÓN!$K$8:$K$1082)</f>
        <v>410000</v>
      </c>
      <c r="F120" s="525">
        <f>SUMIF('INGRESOS A CAJA'!$C$10:$C$954,A120,'INGRESOS A CAJA'!$F$10:$F$954)+SUMIF(FACTURACIÓN!$C$8:$C$1082,A120,FACTURACIÓN!$M$8:$M$1082)++SUMIF('CARTERA años anteriores'!$C$9:$C$234,A120,'CARTERA años anteriores'!$M$9:$M$234)</f>
        <v>410000</v>
      </c>
      <c r="G120" s="525">
        <f>SUMIF('EGRESOS DE CAJA'!$C$10:$C$2251,A120,'EGRESOS DE CAJA'!$G$10:$G$2251)</f>
        <v>0</v>
      </c>
      <c r="H120" s="512">
        <f t="shared" si="3"/>
        <v>0</v>
      </c>
      <c r="I120" s="512">
        <f t="shared" si="4"/>
        <v>0</v>
      </c>
      <c r="J120" s="557"/>
      <c r="K120" s="629"/>
    </row>
    <row r="121" spans="1:11" ht="15" x14ac:dyDescent="0.2">
      <c r="A121" s="560">
        <v>113</v>
      </c>
      <c r="B121" s="511" t="str">
        <f>_xlfn.XLOOKUP(A121,Códigos!$A$11:$A$415,Códigos!$B$11:$B$415,"Verificar",0)</f>
        <v>NOMBRE 142</v>
      </c>
      <c r="C121" s="525">
        <f>SUMIF('CARTERA años anteriores'!$C$9:$C$234,A121,'CARTERA años anteriores'!$J$9:$J$234)</f>
        <v>0</v>
      </c>
      <c r="D121" s="525">
        <f>SUMIF('CARTERA años anteriores'!$C$9:$C$234,A121,'CARTERA años anteriores'!$L$9:$L$234)</f>
        <v>0</v>
      </c>
      <c r="E121" s="525">
        <f>SUMIF(FACTURACIÓN!$C$8:$C$1082,A121,FACTURACIÓN!$K$8:$K$1082)</f>
        <v>0</v>
      </c>
      <c r="F121" s="525">
        <f>SUMIF('INGRESOS A CAJA'!$C$10:$C$954,A121,'INGRESOS A CAJA'!$F$10:$F$954)+SUMIF(FACTURACIÓN!$C$8:$C$1082,A121,FACTURACIÓN!$M$8:$M$1082)++SUMIF('CARTERA años anteriores'!$C$9:$C$234,A121,'CARTERA años anteriores'!$M$9:$M$234)</f>
        <v>0</v>
      </c>
      <c r="G121" s="525">
        <f>SUMIF('EGRESOS DE CAJA'!$C$10:$C$2251,A121,'EGRESOS DE CAJA'!$G$10:$G$2251)</f>
        <v>0</v>
      </c>
      <c r="H121" s="512">
        <f t="shared" si="3"/>
        <v>0</v>
      </c>
      <c r="I121" s="512">
        <f t="shared" si="4"/>
        <v>0</v>
      </c>
      <c r="J121" s="557"/>
      <c r="K121" s="629"/>
    </row>
    <row r="122" spans="1:11" ht="15" x14ac:dyDescent="0.2">
      <c r="A122" s="560">
        <v>114</v>
      </c>
      <c r="B122" s="511" t="str">
        <f>_xlfn.XLOOKUP(A122,Códigos!$A$11:$A$415,Códigos!$B$11:$B$415,"Verificar",0)</f>
        <v>NOMBRE 308</v>
      </c>
      <c r="C122" s="525">
        <f>SUMIF('CARTERA años anteriores'!$C$9:$C$234,A122,'CARTERA años anteriores'!$J$9:$J$234)</f>
        <v>0</v>
      </c>
      <c r="D122" s="525">
        <f>SUMIF('CARTERA años anteriores'!$C$9:$C$234,A122,'CARTERA años anteriores'!$L$9:$L$234)</f>
        <v>0</v>
      </c>
      <c r="E122" s="525">
        <f>SUMIF(FACTURACIÓN!$C$8:$C$1082,A122,FACTURACIÓN!$K$8:$K$1082)</f>
        <v>0</v>
      </c>
      <c r="F122" s="525">
        <f>SUMIF('INGRESOS A CAJA'!$C$10:$C$954,A122,'INGRESOS A CAJA'!$F$10:$F$954)+SUMIF(FACTURACIÓN!$C$8:$C$1082,A122,FACTURACIÓN!$M$8:$M$1082)++SUMIF('CARTERA años anteriores'!$C$9:$C$234,A122,'CARTERA años anteriores'!$M$9:$M$234)</f>
        <v>0</v>
      </c>
      <c r="G122" s="525">
        <f>SUMIF('EGRESOS DE CAJA'!$C$10:$C$2251,A122,'EGRESOS DE CAJA'!$G$10:$G$2251)</f>
        <v>0</v>
      </c>
      <c r="H122" s="512">
        <f t="shared" si="3"/>
        <v>0</v>
      </c>
      <c r="I122" s="512">
        <f t="shared" si="4"/>
        <v>0</v>
      </c>
      <c r="J122" s="557"/>
      <c r="K122" s="629"/>
    </row>
    <row r="123" spans="1:11" ht="15" x14ac:dyDescent="0.2">
      <c r="A123" s="560">
        <v>115</v>
      </c>
      <c r="B123" s="511" t="str">
        <f>_xlfn.XLOOKUP(A123,Códigos!$A$11:$A$415,Códigos!$B$11:$B$415,"Verificar",0)</f>
        <v>NOMBRE 145</v>
      </c>
      <c r="C123" s="525">
        <f>SUMIF('CARTERA años anteriores'!$C$9:$C$234,A123,'CARTERA años anteriores'!$J$9:$J$234)</f>
        <v>0</v>
      </c>
      <c r="D123" s="525">
        <f>SUMIF('CARTERA años anteriores'!$C$9:$C$234,A123,'CARTERA años anteriores'!$L$9:$L$234)</f>
        <v>0</v>
      </c>
      <c r="E123" s="525">
        <f>SUMIF(FACTURACIÓN!$C$8:$C$1082,A123,FACTURACIÓN!$K$8:$K$1082)</f>
        <v>0</v>
      </c>
      <c r="F123" s="525">
        <f>SUMIF('INGRESOS A CAJA'!$C$10:$C$954,A123,'INGRESOS A CAJA'!$F$10:$F$954)+SUMIF(FACTURACIÓN!$C$8:$C$1082,A123,FACTURACIÓN!$M$8:$M$1082)++SUMIF('CARTERA años anteriores'!$C$9:$C$234,A123,'CARTERA años anteriores'!$M$9:$M$234)</f>
        <v>0</v>
      </c>
      <c r="G123" s="525">
        <f>SUMIF('EGRESOS DE CAJA'!$C$10:$C$2251,A123,'EGRESOS DE CAJA'!$G$10:$G$2251)</f>
        <v>0</v>
      </c>
      <c r="H123" s="512">
        <f t="shared" si="3"/>
        <v>0</v>
      </c>
      <c r="I123" s="512">
        <f t="shared" si="4"/>
        <v>0</v>
      </c>
      <c r="J123" s="557"/>
      <c r="K123" s="629"/>
    </row>
    <row r="124" spans="1:11" ht="15" x14ac:dyDescent="0.2">
      <c r="A124" s="560">
        <v>116</v>
      </c>
      <c r="B124" s="511" t="str">
        <f>_xlfn.XLOOKUP(A124,Códigos!$A$11:$A$415,Códigos!$B$11:$B$415,"Verificar",0)</f>
        <v>NOMBRE 146</v>
      </c>
      <c r="C124" s="525">
        <f>SUMIF('CARTERA años anteriores'!$C$9:$C$234,A124,'CARTERA años anteriores'!$J$9:$J$234)</f>
        <v>430000</v>
      </c>
      <c r="D124" s="525">
        <f>SUMIF('CARTERA años anteriores'!$C$9:$C$234,A124,'CARTERA años anteriores'!$L$9:$L$234)</f>
        <v>385000</v>
      </c>
      <c r="E124" s="525">
        <f>SUMIF(FACTURACIÓN!$C$8:$C$1082,A124,FACTURACIÓN!$K$8:$K$1082)</f>
        <v>450000</v>
      </c>
      <c r="F124" s="525">
        <f>SUMIF('INGRESOS A CAJA'!$C$10:$C$954,A124,'INGRESOS A CAJA'!$F$10:$F$954)+SUMIF(FACTURACIÓN!$C$8:$C$1082,A124,FACTURACIÓN!$M$8:$M$1082)++SUMIF('CARTERA años anteriores'!$C$9:$C$234,A124,'CARTERA años anteriores'!$M$9:$M$234)</f>
        <v>430000</v>
      </c>
      <c r="G124" s="525">
        <f>SUMIF('EGRESOS DE CAJA'!$C$10:$C$2251,A124,'EGRESOS DE CAJA'!$G$10:$G$2251)</f>
        <v>0</v>
      </c>
      <c r="H124" s="512">
        <f t="shared" si="3"/>
        <v>450000</v>
      </c>
      <c r="I124" s="512">
        <f t="shared" si="4"/>
        <v>0</v>
      </c>
      <c r="J124" s="557"/>
      <c r="K124" s="629"/>
    </row>
    <row r="125" spans="1:11" ht="15" x14ac:dyDescent="0.2">
      <c r="A125" s="560">
        <v>117</v>
      </c>
      <c r="B125" s="511" t="str">
        <f>_xlfn.XLOOKUP(A125,Códigos!$A$11:$A$415,Códigos!$B$11:$B$415,"Verificar",0)</f>
        <v>NOMBRE 340</v>
      </c>
      <c r="C125" s="525">
        <f>SUMIF('CARTERA años anteriores'!$C$9:$C$234,A125,'CARTERA años anteriores'!$J$9:$J$234)</f>
        <v>0</v>
      </c>
      <c r="D125" s="525">
        <f>SUMIF('CARTERA años anteriores'!$C$9:$C$234,A125,'CARTERA años anteriores'!$L$9:$L$234)</f>
        <v>0</v>
      </c>
      <c r="E125" s="525">
        <f>SUMIF(FACTURACIÓN!$C$8:$C$1082,A125,FACTURACIÓN!$K$8:$K$1082)</f>
        <v>350000</v>
      </c>
      <c r="F125" s="525">
        <f>SUMIF('INGRESOS A CAJA'!$C$10:$C$954,A125,'INGRESOS A CAJA'!$F$10:$F$954)+SUMIF(FACTURACIÓN!$C$8:$C$1082,A125,FACTURACIÓN!$M$8:$M$1082)++SUMIF('CARTERA años anteriores'!$C$9:$C$234,A125,'CARTERA años anteriores'!$M$9:$M$234)</f>
        <v>0</v>
      </c>
      <c r="G125" s="525">
        <f>SUMIF('EGRESOS DE CAJA'!$C$10:$C$2251,A125,'EGRESOS DE CAJA'!$G$10:$G$2251)</f>
        <v>0</v>
      </c>
      <c r="H125" s="512">
        <f t="shared" si="3"/>
        <v>350000</v>
      </c>
      <c r="I125" s="512">
        <f t="shared" si="4"/>
        <v>0</v>
      </c>
      <c r="J125" s="557"/>
      <c r="K125" s="629"/>
    </row>
    <row r="126" spans="1:11" ht="15" x14ac:dyDescent="0.2">
      <c r="A126" s="560">
        <v>118</v>
      </c>
      <c r="B126" s="511" t="str">
        <f>_xlfn.XLOOKUP(A126,Códigos!$A$11:$A$415,Códigos!$B$11:$B$415,"Verificar",0)</f>
        <v>NOMBRE 154</v>
      </c>
      <c r="C126" s="525">
        <f>SUMIF('CARTERA años anteriores'!$C$9:$C$234,A126,'CARTERA años anteriores'!$J$9:$J$234)</f>
        <v>330000</v>
      </c>
      <c r="D126" s="525">
        <f>SUMIF('CARTERA años anteriores'!$C$9:$C$234,A126,'CARTERA años anteriores'!$L$9:$L$234)</f>
        <v>330000</v>
      </c>
      <c r="E126" s="525">
        <f>SUMIF(FACTURACIÓN!$C$8:$C$1082,A126,FACTURACIÓN!$K$8:$K$1082)</f>
        <v>350000</v>
      </c>
      <c r="F126" s="525">
        <f>SUMIF('INGRESOS A CAJA'!$C$10:$C$954,A126,'INGRESOS A CAJA'!$F$10:$F$954)+SUMIF(FACTURACIÓN!$C$8:$C$1082,A126,FACTURACIÓN!$M$8:$M$1082)++SUMIF('CARTERA años anteriores'!$C$9:$C$234,A126,'CARTERA años anteriores'!$M$9:$M$234)</f>
        <v>330000</v>
      </c>
      <c r="G126" s="525">
        <f>SUMIF('EGRESOS DE CAJA'!$C$10:$C$2251,A126,'EGRESOS DE CAJA'!$G$10:$G$2251)</f>
        <v>0</v>
      </c>
      <c r="H126" s="512">
        <f t="shared" si="3"/>
        <v>350000</v>
      </c>
      <c r="I126" s="512">
        <f t="shared" si="4"/>
        <v>0</v>
      </c>
      <c r="J126" s="557"/>
      <c r="K126" s="629"/>
    </row>
    <row r="127" spans="1:11" ht="15" x14ac:dyDescent="0.2">
      <c r="A127" s="560">
        <v>119</v>
      </c>
      <c r="B127" s="511" t="str">
        <f>_xlfn.XLOOKUP(A127,Códigos!$A$11:$A$415,Códigos!$B$11:$B$415,"Verificar",0)</f>
        <v>NOMBRE 157</v>
      </c>
      <c r="C127" s="525">
        <f>SUMIF('CARTERA años anteriores'!$C$9:$C$234,A127,'CARTERA años anteriores'!$J$9:$J$234)</f>
        <v>470000</v>
      </c>
      <c r="D127" s="525">
        <f>SUMIF('CARTERA años anteriores'!$C$9:$C$234,A127,'CARTERA años anteriores'!$L$9:$L$234)</f>
        <v>0</v>
      </c>
      <c r="E127" s="525">
        <f>SUMIF(FACTURACIÓN!$C$8:$C$1082,A127,FACTURACIÓN!$K$8:$K$1082)</f>
        <v>320000</v>
      </c>
      <c r="F127" s="525">
        <f>SUMIF('INGRESOS A CAJA'!$C$10:$C$954,A127,'INGRESOS A CAJA'!$F$10:$F$954)+SUMIF(FACTURACIÓN!$C$8:$C$1082,A127,FACTURACIÓN!$M$8:$M$1082)++SUMIF('CARTERA años anteriores'!$C$9:$C$234,A127,'CARTERA años anteriores'!$M$9:$M$234)</f>
        <v>0</v>
      </c>
      <c r="G127" s="525">
        <f>SUMIF('EGRESOS DE CAJA'!$C$10:$C$2251,A127,'EGRESOS DE CAJA'!$G$10:$G$2251)</f>
        <v>0</v>
      </c>
      <c r="H127" s="512">
        <f t="shared" si="3"/>
        <v>790000</v>
      </c>
      <c r="I127" s="512">
        <f t="shared" si="4"/>
        <v>0</v>
      </c>
      <c r="J127" s="557"/>
      <c r="K127" s="629"/>
    </row>
    <row r="128" spans="1:11" ht="15" x14ac:dyDescent="0.2">
      <c r="A128" s="560">
        <v>120</v>
      </c>
      <c r="B128" s="511" t="str">
        <f>_xlfn.XLOOKUP(A128,Códigos!$A$11:$A$415,Códigos!$B$11:$B$415,"Verificar",0)</f>
        <v>NOMBRE 343</v>
      </c>
      <c r="C128" s="525">
        <f>SUMIF('CARTERA años anteriores'!$C$9:$C$234,A128,'CARTERA años anteriores'!$J$9:$J$234)</f>
        <v>0</v>
      </c>
      <c r="D128" s="525">
        <f>SUMIF('CARTERA años anteriores'!$C$9:$C$234,A128,'CARTERA años anteriores'!$L$9:$L$234)</f>
        <v>0</v>
      </c>
      <c r="E128" s="525">
        <f>SUMIF(FACTURACIÓN!$C$8:$C$1082,A128,FACTURACIÓN!$K$8:$K$1082)</f>
        <v>0</v>
      </c>
      <c r="F128" s="525">
        <f>SUMIF('INGRESOS A CAJA'!$C$10:$C$954,A128,'INGRESOS A CAJA'!$F$10:$F$954)+SUMIF(FACTURACIÓN!$C$8:$C$1082,A128,FACTURACIÓN!$M$8:$M$1082)++SUMIF('CARTERA años anteriores'!$C$9:$C$234,A128,'CARTERA años anteriores'!$M$9:$M$234)</f>
        <v>0</v>
      </c>
      <c r="G128" s="525">
        <f>SUMIF('EGRESOS DE CAJA'!$C$10:$C$2251,A128,'EGRESOS DE CAJA'!$G$10:$G$2251)</f>
        <v>0</v>
      </c>
      <c r="H128" s="512">
        <f t="shared" si="3"/>
        <v>0</v>
      </c>
      <c r="I128" s="512">
        <f t="shared" si="4"/>
        <v>0</v>
      </c>
      <c r="J128" s="557"/>
      <c r="K128" s="629"/>
    </row>
    <row r="129" spans="1:11" ht="15" x14ac:dyDescent="0.2">
      <c r="A129" s="560">
        <v>121</v>
      </c>
      <c r="B129" s="511" t="str">
        <f>_xlfn.XLOOKUP(A129,Códigos!$A$11:$A$415,Códigos!$B$11:$B$415,"Verificar",0)</f>
        <v>NOMBRE 190</v>
      </c>
      <c r="C129" s="525">
        <f>SUMIF('CARTERA años anteriores'!$C$9:$C$234,A129,'CARTERA años anteriores'!$J$9:$J$234)</f>
        <v>0</v>
      </c>
      <c r="D129" s="525">
        <f>SUMIF('CARTERA años anteriores'!$C$9:$C$234,A129,'CARTERA años anteriores'!$L$9:$L$234)</f>
        <v>0</v>
      </c>
      <c r="E129" s="525">
        <f>SUMIF(FACTURACIÓN!$C$8:$C$1082,A129,FACTURACIÓN!$K$8:$K$1082)</f>
        <v>0</v>
      </c>
      <c r="F129" s="525">
        <f>SUMIF('INGRESOS A CAJA'!$C$10:$C$954,A129,'INGRESOS A CAJA'!$F$10:$F$954)+SUMIF(FACTURACIÓN!$C$8:$C$1082,A129,FACTURACIÓN!$M$8:$M$1082)++SUMIF('CARTERA años anteriores'!$C$9:$C$234,A129,'CARTERA años anteriores'!$M$9:$M$234)</f>
        <v>0</v>
      </c>
      <c r="G129" s="525">
        <f>SUMIF('EGRESOS DE CAJA'!$C$10:$C$2251,A129,'EGRESOS DE CAJA'!$G$10:$G$2251)</f>
        <v>0</v>
      </c>
      <c r="H129" s="512">
        <f t="shared" si="3"/>
        <v>0</v>
      </c>
      <c r="I129" s="512">
        <f t="shared" si="4"/>
        <v>0</v>
      </c>
      <c r="J129" s="557"/>
      <c r="K129" s="629"/>
    </row>
    <row r="130" spans="1:11" ht="15" x14ac:dyDescent="0.2">
      <c r="A130" s="560">
        <v>122</v>
      </c>
      <c r="B130" s="511" t="str">
        <f>_xlfn.XLOOKUP(A130,Códigos!$A$11:$A$415,Códigos!$B$11:$B$415,"Verificar",0)</f>
        <v>NOMBRE 191</v>
      </c>
      <c r="C130" s="525">
        <f>SUMIF('CARTERA años anteriores'!$C$9:$C$234,A130,'CARTERA años anteriores'!$J$9:$J$234)</f>
        <v>0</v>
      </c>
      <c r="D130" s="525">
        <f>SUMIF('CARTERA años anteriores'!$C$9:$C$234,A130,'CARTERA años anteriores'!$L$9:$L$234)</f>
        <v>0</v>
      </c>
      <c r="E130" s="525">
        <f>SUMIF(FACTURACIÓN!$C$8:$C$1082,A130,FACTURACIÓN!$K$8:$K$1082)</f>
        <v>690000</v>
      </c>
      <c r="F130" s="525">
        <f>SUMIF('INGRESOS A CAJA'!$C$10:$C$954,A130,'INGRESOS A CAJA'!$F$10:$F$954)+SUMIF(FACTURACIÓN!$C$8:$C$1082,A130,FACTURACIÓN!$M$8:$M$1082)++SUMIF('CARTERA años anteriores'!$C$9:$C$234,A130,'CARTERA años anteriores'!$M$9:$M$234)</f>
        <v>0</v>
      </c>
      <c r="G130" s="525">
        <f>SUMIF('EGRESOS DE CAJA'!$C$10:$C$2251,A130,'EGRESOS DE CAJA'!$G$10:$G$2251)</f>
        <v>0</v>
      </c>
      <c r="H130" s="512">
        <f t="shared" si="3"/>
        <v>690000</v>
      </c>
      <c r="I130" s="512">
        <f t="shared" si="4"/>
        <v>0</v>
      </c>
      <c r="J130" s="557"/>
      <c r="K130" s="630"/>
    </row>
    <row r="131" spans="1:11" ht="15" x14ac:dyDescent="0.2">
      <c r="A131" s="560">
        <v>123</v>
      </c>
      <c r="B131" s="511" t="str">
        <f>_xlfn.XLOOKUP(A131,Códigos!$A$11:$A$415,Códigos!$B$11:$B$415,"Verificar",0)</f>
        <v>NOMBRE 194</v>
      </c>
      <c r="C131" s="525">
        <f>SUMIF('CARTERA años anteriores'!$C$9:$C$234,A131,'CARTERA años anteriores'!$J$9:$J$234)</f>
        <v>0</v>
      </c>
      <c r="D131" s="525">
        <f>SUMIF('CARTERA años anteriores'!$C$9:$C$234,A131,'CARTERA años anteriores'!$L$9:$L$234)</f>
        <v>0</v>
      </c>
      <c r="E131" s="525">
        <f>SUMIF(FACTURACIÓN!$C$8:$C$1082,A131,FACTURACIÓN!$K$8:$K$1082)</f>
        <v>6660000</v>
      </c>
      <c r="F131" s="525">
        <f>SUMIF('INGRESOS A CAJA'!$C$10:$C$954,A131,'INGRESOS A CAJA'!$F$10:$F$954)+SUMIF(FACTURACIÓN!$C$8:$C$1082,A131,FACTURACIÓN!$M$8:$M$1082)++SUMIF('CARTERA años anteriores'!$C$9:$C$234,A131,'CARTERA años anteriores'!$M$9:$M$234)</f>
        <v>0</v>
      </c>
      <c r="G131" s="525">
        <f>SUMIF('EGRESOS DE CAJA'!$C$10:$C$2251,A131,'EGRESOS DE CAJA'!$G$10:$G$2251)</f>
        <v>283000</v>
      </c>
      <c r="H131" s="512">
        <f t="shared" si="3"/>
        <v>6943000</v>
      </c>
      <c r="I131" s="512">
        <f t="shared" si="4"/>
        <v>0</v>
      </c>
      <c r="J131" s="557"/>
      <c r="K131" s="629"/>
    </row>
    <row r="132" spans="1:11" ht="15" x14ac:dyDescent="0.2">
      <c r="A132" s="560">
        <v>124</v>
      </c>
      <c r="B132" s="511" t="str">
        <f>_xlfn.XLOOKUP(A132,Códigos!$A$11:$A$415,Códigos!$B$11:$B$415,"Verificar",0)</f>
        <v>NOMBRE 196</v>
      </c>
      <c r="C132" s="525">
        <f>SUMIF('CARTERA años anteriores'!$C$9:$C$234,A132,'CARTERA años anteriores'!$J$9:$J$234)</f>
        <v>0</v>
      </c>
      <c r="D132" s="525">
        <f>SUMIF('CARTERA años anteriores'!$C$9:$C$234,A132,'CARTERA años anteriores'!$L$9:$L$234)</f>
        <v>0</v>
      </c>
      <c r="E132" s="525">
        <f>SUMIF(FACTURACIÓN!$C$8:$C$1082,A132,FACTURACIÓN!$K$8:$K$1082)</f>
        <v>0</v>
      </c>
      <c r="F132" s="525">
        <f>SUMIF('INGRESOS A CAJA'!$C$10:$C$954,A132,'INGRESOS A CAJA'!$F$10:$F$954)+SUMIF(FACTURACIÓN!$C$8:$C$1082,A132,FACTURACIÓN!$M$8:$M$1082)++SUMIF('CARTERA años anteriores'!$C$9:$C$234,A132,'CARTERA años anteriores'!$M$9:$M$234)</f>
        <v>0</v>
      </c>
      <c r="G132" s="525">
        <f>SUMIF('EGRESOS DE CAJA'!$C$10:$C$2251,A132,'EGRESOS DE CAJA'!$G$10:$G$2251)</f>
        <v>0</v>
      </c>
      <c r="H132" s="512">
        <f t="shared" si="3"/>
        <v>0</v>
      </c>
      <c r="I132" s="512">
        <f t="shared" si="4"/>
        <v>0</v>
      </c>
      <c r="J132" s="557"/>
      <c r="K132" s="629"/>
    </row>
    <row r="133" spans="1:11" ht="15" x14ac:dyDescent="0.2">
      <c r="A133" s="560">
        <v>125</v>
      </c>
      <c r="B133" s="511" t="str">
        <f>_xlfn.XLOOKUP(A133,Códigos!$A$11:$A$415,Códigos!$B$11:$B$415,"Verificar",0)</f>
        <v>NOMBRE 355</v>
      </c>
      <c r="C133" s="525">
        <f>SUMIF('CARTERA años anteriores'!$C$9:$C$234,A133,'CARTERA años anteriores'!$J$9:$J$234)</f>
        <v>0</v>
      </c>
      <c r="D133" s="525">
        <f>SUMIF('CARTERA años anteriores'!$C$9:$C$234,A133,'CARTERA años anteriores'!$L$9:$L$234)</f>
        <v>0</v>
      </c>
      <c r="E133" s="525">
        <f>SUMIF(FACTURACIÓN!$C$8:$C$1082,A133,FACTURACIÓN!$K$8:$K$1082)</f>
        <v>0</v>
      </c>
      <c r="F133" s="525">
        <f>SUMIF('INGRESOS A CAJA'!$C$10:$C$954,A133,'INGRESOS A CAJA'!$F$10:$F$954)+SUMIF(FACTURACIÓN!$C$8:$C$1082,A133,FACTURACIÓN!$M$8:$M$1082)++SUMIF('CARTERA años anteriores'!$C$9:$C$234,A133,'CARTERA años anteriores'!$M$9:$M$234)</f>
        <v>0</v>
      </c>
      <c r="G133" s="525">
        <f>SUMIF('EGRESOS DE CAJA'!$C$10:$C$2251,A133,'EGRESOS DE CAJA'!$G$10:$G$2251)</f>
        <v>0</v>
      </c>
      <c r="H133" s="512">
        <f t="shared" si="3"/>
        <v>0</v>
      </c>
      <c r="I133" s="512">
        <f t="shared" si="4"/>
        <v>0</v>
      </c>
      <c r="J133" s="557"/>
      <c r="K133" s="629"/>
    </row>
    <row r="134" spans="1:11" ht="15" x14ac:dyDescent="0.2">
      <c r="A134" s="560">
        <v>126</v>
      </c>
      <c r="B134" s="511" t="str">
        <f>_xlfn.XLOOKUP(A134,Códigos!$A$11:$A$415,Códigos!$B$11:$B$415,"Verificar",0)</f>
        <v>NOMBRE 206</v>
      </c>
      <c r="C134" s="525">
        <f>SUMIF('CARTERA años anteriores'!$C$9:$C$234,A134,'CARTERA años anteriores'!$J$9:$J$234)</f>
        <v>0</v>
      </c>
      <c r="D134" s="525">
        <f>SUMIF('CARTERA años anteriores'!$C$9:$C$234,A134,'CARTERA años anteriores'!$L$9:$L$234)</f>
        <v>0</v>
      </c>
      <c r="E134" s="525">
        <f>SUMIF(FACTURACIÓN!$C$8:$C$1082,A134,FACTURACIÓN!$K$8:$K$1082)</f>
        <v>540000</v>
      </c>
      <c r="F134" s="525">
        <f>SUMIF('INGRESOS A CAJA'!$C$10:$C$954,A134,'INGRESOS A CAJA'!$F$10:$F$954)+SUMIF(FACTURACIÓN!$C$8:$C$1082,A134,FACTURACIÓN!$M$8:$M$1082)++SUMIF('CARTERA años anteriores'!$C$9:$C$234,A134,'CARTERA años anteriores'!$M$9:$M$234)</f>
        <v>0</v>
      </c>
      <c r="G134" s="525">
        <f>SUMIF('EGRESOS DE CAJA'!$C$10:$C$2251,A134,'EGRESOS DE CAJA'!$G$10:$G$2251)</f>
        <v>0</v>
      </c>
      <c r="H134" s="512">
        <f t="shared" si="3"/>
        <v>540000</v>
      </c>
      <c r="I134" s="512">
        <f t="shared" si="4"/>
        <v>0</v>
      </c>
      <c r="J134" s="557"/>
      <c r="K134" s="629"/>
    </row>
    <row r="135" spans="1:11" ht="15" x14ac:dyDescent="0.2">
      <c r="A135" s="560">
        <v>127</v>
      </c>
      <c r="B135" s="511" t="str">
        <f>_xlfn.XLOOKUP(A135,Códigos!$A$11:$A$415,Códigos!$B$11:$B$415,"Verificar",0)</f>
        <v>NOMBRE 208</v>
      </c>
      <c r="C135" s="525">
        <f>SUMIF('CARTERA años anteriores'!$C$9:$C$234,A135,'CARTERA años anteriores'!$J$9:$J$234)</f>
        <v>0</v>
      </c>
      <c r="D135" s="525">
        <f>SUMIF('CARTERA años anteriores'!$C$9:$C$234,A135,'CARTERA años anteriores'!$L$9:$L$234)</f>
        <v>0</v>
      </c>
      <c r="E135" s="525">
        <f>SUMIF(FACTURACIÓN!$C$8:$C$1082,A135,FACTURACIÓN!$K$8:$K$1082)</f>
        <v>760000</v>
      </c>
      <c r="F135" s="525">
        <f>SUMIF('INGRESOS A CAJA'!$C$10:$C$954,A135,'INGRESOS A CAJA'!$F$10:$F$954)+SUMIF(FACTURACIÓN!$C$8:$C$1082,A135,FACTURACIÓN!$M$8:$M$1082)++SUMIF('CARTERA años anteriores'!$C$9:$C$234,A135,'CARTERA años anteriores'!$M$9:$M$234)</f>
        <v>0</v>
      </c>
      <c r="G135" s="525">
        <f>SUMIF('EGRESOS DE CAJA'!$C$10:$C$2251,A135,'EGRESOS DE CAJA'!$G$10:$G$2251)</f>
        <v>0</v>
      </c>
      <c r="H135" s="512">
        <f t="shared" si="3"/>
        <v>760000</v>
      </c>
      <c r="I135" s="512">
        <f t="shared" si="4"/>
        <v>0</v>
      </c>
      <c r="J135" s="557"/>
      <c r="K135" s="629"/>
    </row>
    <row r="136" spans="1:11" ht="15" x14ac:dyDescent="0.2">
      <c r="A136" s="560">
        <v>128</v>
      </c>
      <c r="B136" s="511" t="str">
        <f>_xlfn.XLOOKUP(A136,Códigos!$A$11:$A$415,Códigos!$B$11:$B$415,"Verificar",0)</f>
        <v>NOMBRE 209</v>
      </c>
      <c r="C136" s="525">
        <f>SUMIF('CARTERA años anteriores'!$C$9:$C$234,A136,'CARTERA años anteriores'!$J$9:$J$234)</f>
        <v>0</v>
      </c>
      <c r="D136" s="525">
        <f>SUMIF('CARTERA años anteriores'!$C$9:$C$234,A136,'CARTERA años anteriores'!$L$9:$L$234)</f>
        <v>0</v>
      </c>
      <c r="E136" s="525">
        <f>SUMIF(FACTURACIÓN!$C$8:$C$1082,A136,FACTURACIÓN!$K$8:$K$1082)</f>
        <v>0</v>
      </c>
      <c r="F136" s="525">
        <f>SUMIF('INGRESOS A CAJA'!$C$10:$C$954,A136,'INGRESOS A CAJA'!$F$10:$F$954)+SUMIF(FACTURACIÓN!$C$8:$C$1082,A136,FACTURACIÓN!$M$8:$M$1082)++SUMIF('CARTERA años anteriores'!$C$9:$C$234,A136,'CARTERA años anteriores'!$M$9:$M$234)</f>
        <v>0</v>
      </c>
      <c r="G136" s="525">
        <f>SUMIF('EGRESOS DE CAJA'!$C$10:$C$2251,A136,'EGRESOS DE CAJA'!$G$10:$G$2251)</f>
        <v>0</v>
      </c>
      <c r="H136" s="512">
        <f t="shared" si="3"/>
        <v>0</v>
      </c>
      <c r="I136" s="512">
        <f t="shared" si="4"/>
        <v>0</v>
      </c>
      <c r="J136" s="557"/>
      <c r="K136" s="629"/>
    </row>
    <row r="137" spans="1:11" ht="15" x14ac:dyDescent="0.2">
      <c r="A137" s="560">
        <v>129</v>
      </c>
      <c r="B137" s="511" t="str">
        <f>_xlfn.XLOOKUP(A137,Códigos!$A$11:$A$415,Códigos!$B$11:$B$415,"Verificar",0)</f>
        <v>NOMBRE 214</v>
      </c>
      <c r="C137" s="525">
        <f>SUMIF('CARTERA años anteriores'!$C$9:$C$234,A137,'CARTERA años anteriores'!$J$9:$J$234)</f>
        <v>0</v>
      </c>
      <c r="D137" s="525">
        <f>SUMIF('CARTERA años anteriores'!$C$9:$C$234,A137,'CARTERA años anteriores'!$L$9:$L$234)</f>
        <v>0</v>
      </c>
      <c r="E137" s="525">
        <f>SUMIF(FACTURACIÓN!$C$8:$C$1082,A137,FACTURACIÓN!$K$8:$K$1082)</f>
        <v>0</v>
      </c>
      <c r="F137" s="525">
        <f>SUMIF('INGRESOS A CAJA'!$C$10:$C$954,A137,'INGRESOS A CAJA'!$F$10:$F$954)+SUMIF(FACTURACIÓN!$C$8:$C$1082,A137,FACTURACIÓN!$M$8:$M$1082)++SUMIF('CARTERA años anteriores'!$C$9:$C$234,A137,'CARTERA años anteriores'!$M$9:$M$234)</f>
        <v>0</v>
      </c>
      <c r="G137" s="525">
        <f>SUMIF('EGRESOS DE CAJA'!$C$10:$C$2251,A137,'EGRESOS DE CAJA'!$G$10:$G$2251)</f>
        <v>0</v>
      </c>
      <c r="H137" s="512">
        <f t="shared" si="3"/>
        <v>0</v>
      </c>
      <c r="I137" s="512">
        <f t="shared" si="4"/>
        <v>0</v>
      </c>
      <c r="J137" s="557"/>
      <c r="K137" s="629"/>
    </row>
    <row r="138" spans="1:11" ht="15" x14ac:dyDescent="0.2">
      <c r="A138" s="560">
        <v>130</v>
      </c>
      <c r="B138" s="511" t="str">
        <f>_xlfn.XLOOKUP(A138,Códigos!$A$11:$A$415,Códigos!$B$11:$B$415,"Verificar",0)</f>
        <v>NOMBRE 359</v>
      </c>
      <c r="C138" s="525">
        <f>SUMIF('CARTERA años anteriores'!$C$9:$C$234,A138,'CARTERA años anteriores'!$J$9:$J$234)</f>
        <v>0</v>
      </c>
      <c r="D138" s="525">
        <f>SUMIF('CARTERA años anteriores'!$C$9:$C$234,A138,'CARTERA años anteriores'!$L$9:$L$234)</f>
        <v>0</v>
      </c>
      <c r="E138" s="525">
        <f>SUMIF(FACTURACIÓN!$C$8:$C$1082,A138,FACTURACIÓN!$K$8:$K$1082)</f>
        <v>0</v>
      </c>
      <c r="F138" s="525">
        <f>SUMIF('INGRESOS A CAJA'!$C$10:$C$954,A138,'INGRESOS A CAJA'!$F$10:$F$954)+SUMIF(FACTURACIÓN!$C$8:$C$1082,A138,FACTURACIÓN!$M$8:$M$1082)++SUMIF('CARTERA años anteriores'!$C$9:$C$234,A138,'CARTERA años anteriores'!$M$9:$M$234)</f>
        <v>0</v>
      </c>
      <c r="G138" s="525">
        <f>SUMIF('EGRESOS DE CAJA'!$C$10:$C$2251,A138,'EGRESOS DE CAJA'!$G$10:$G$2251)</f>
        <v>0</v>
      </c>
      <c r="H138" s="512">
        <f t="shared" si="3"/>
        <v>0</v>
      </c>
      <c r="I138" s="512">
        <f t="shared" si="4"/>
        <v>0</v>
      </c>
      <c r="J138" s="557"/>
      <c r="K138" s="629"/>
    </row>
    <row r="139" spans="1:11" ht="15" x14ac:dyDescent="0.2">
      <c r="A139" s="560">
        <v>131</v>
      </c>
      <c r="B139" s="511" t="str">
        <f>_xlfn.XLOOKUP(A139,Códigos!$A$11:$A$415,Códigos!$B$11:$B$415,"Verificar",0)</f>
        <v>NOMBRE 117</v>
      </c>
      <c r="C139" s="525">
        <f>SUMIF('CARTERA años anteriores'!$C$9:$C$234,A139,'CARTERA años anteriores'!$J$9:$J$234)</f>
        <v>0</v>
      </c>
      <c r="D139" s="525">
        <f>SUMIF('CARTERA años anteriores'!$C$9:$C$234,A139,'CARTERA años anteriores'!$L$9:$L$234)</f>
        <v>0</v>
      </c>
      <c r="E139" s="525">
        <f>SUMIF(FACTURACIÓN!$C$8:$C$1082,A139,FACTURACIÓN!$K$8:$K$1082)</f>
        <v>0</v>
      </c>
      <c r="F139" s="525">
        <f>SUMIF('INGRESOS A CAJA'!$C$10:$C$954,A139,'INGRESOS A CAJA'!$F$10:$F$954)+SUMIF(FACTURACIÓN!$C$8:$C$1082,A139,FACTURACIÓN!$M$8:$M$1082)++SUMIF('CARTERA años anteriores'!$C$9:$C$234,A139,'CARTERA años anteriores'!$M$9:$M$234)</f>
        <v>0</v>
      </c>
      <c r="G139" s="525">
        <f>SUMIF('EGRESOS DE CAJA'!$C$10:$C$2251,A139,'EGRESOS DE CAJA'!$G$10:$G$2251)</f>
        <v>0</v>
      </c>
      <c r="H139" s="512">
        <f t="shared" si="3"/>
        <v>0</v>
      </c>
      <c r="I139" s="512">
        <f t="shared" si="4"/>
        <v>0</v>
      </c>
      <c r="J139" s="557"/>
      <c r="K139" s="629"/>
    </row>
    <row r="140" spans="1:11" ht="15" x14ac:dyDescent="0.2">
      <c r="A140" s="560">
        <v>132</v>
      </c>
      <c r="B140" s="511" t="str">
        <f>_xlfn.XLOOKUP(A140,Códigos!$A$11:$A$415,Códigos!$B$11:$B$415,"Verificar",0)</f>
        <v>NOMBRE 215</v>
      </c>
      <c r="C140" s="525">
        <f>SUMIF('CARTERA años anteriores'!$C$9:$C$234,A140,'CARTERA años anteriores'!$J$9:$J$234)</f>
        <v>6710000</v>
      </c>
      <c r="D140" s="525">
        <f>SUMIF('CARTERA años anteriores'!$C$9:$C$234,A140,'CARTERA años anteriores'!$L$9:$L$234)</f>
        <v>6710000</v>
      </c>
      <c r="E140" s="525">
        <f>SUMIF(FACTURACIÓN!$C$8:$C$1082,A140,FACTURACIÓN!$K$8:$K$1082)</f>
        <v>0</v>
      </c>
      <c r="F140" s="525">
        <f>SUMIF('INGRESOS A CAJA'!$C$10:$C$954,A140,'INGRESOS A CAJA'!$F$10:$F$954)+SUMIF(FACTURACIÓN!$C$8:$C$1082,A140,FACTURACIÓN!$M$8:$M$1082)++SUMIF('CARTERA años anteriores'!$C$9:$C$234,A140,'CARTERA años anteriores'!$M$9:$M$234)</f>
        <v>0</v>
      </c>
      <c r="G140" s="525">
        <f>SUMIF('EGRESOS DE CAJA'!$C$10:$C$2251,A140,'EGRESOS DE CAJA'!$G$10:$G$2251)</f>
        <v>0</v>
      </c>
      <c r="H140" s="512">
        <f t="shared" si="3"/>
        <v>6710000</v>
      </c>
      <c r="I140" s="512">
        <f t="shared" si="4"/>
        <v>0</v>
      </c>
      <c r="J140" s="557"/>
      <c r="K140" s="629"/>
    </row>
    <row r="141" spans="1:11" ht="15" x14ac:dyDescent="0.2">
      <c r="A141" s="560">
        <v>133</v>
      </c>
      <c r="B141" s="511" t="str">
        <f>_xlfn.XLOOKUP(A141,Códigos!$A$11:$A$415,Códigos!$B$11:$B$415,"Verificar",0)</f>
        <v>NOMBRE 216</v>
      </c>
      <c r="C141" s="525">
        <f>SUMIF('CARTERA años anteriores'!$C$9:$C$234,A141,'CARTERA años anteriores'!$J$9:$J$234)</f>
        <v>1160000</v>
      </c>
      <c r="D141" s="525">
        <f>SUMIF('CARTERA años anteriores'!$C$9:$C$234,A141,'CARTERA años anteriores'!$L$9:$L$234)</f>
        <v>1160000</v>
      </c>
      <c r="E141" s="525">
        <f>SUMIF(FACTURACIÓN!$C$8:$C$1082,A141,FACTURACIÓN!$K$8:$K$1082)</f>
        <v>0</v>
      </c>
      <c r="F141" s="525">
        <f>SUMIF('INGRESOS A CAJA'!$C$10:$C$954,A141,'INGRESOS A CAJA'!$F$10:$F$954)+SUMIF(FACTURACIÓN!$C$8:$C$1082,A141,FACTURACIÓN!$M$8:$M$1082)++SUMIF('CARTERA años anteriores'!$C$9:$C$234,A141,'CARTERA años anteriores'!$M$9:$M$234)</f>
        <v>1160000</v>
      </c>
      <c r="G141" s="525">
        <f>SUMIF('EGRESOS DE CAJA'!$C$10:$C$2251,A141,'EGRESOS DE CAJA'!$G$10:$G$2251)</f>
        <v>0</v>
      </c>
      <c r="H141" s="512">
        <f t="shared" si="3"/>
        <v>0</v>
      </c>
      <c r="I141" s="512">
        <f t="shared" si="4"/>
        <v>-1160000</v>
      </c>
      <c r="J141" s="557"/>
      <c r="K141" s="629"/>
    </row>
    <row r="142" spans="1:11" ht="15" x14ac:dyDescent="0.2">
      <c r="A142" s="560">
        <v>134</v>
      </c>
      <c r="B142" s="511" t="str">
        <f>_xlfn.XLOOKUP(A142,Códigos!$A$11:$A$415,Códigos!$B$11:$B$415,"Verificar",0)</f>
        <v>NOMBRE 217</v>
      </c>
      <c r="C142" s="525">
        <f>SUMIF('CARTERA años anteriores'!$C$9:$C$234,A142,'CARTERA años anteriores'!$J$9:$J$234)</f>
        <v>1160000</v>
      </c>
      <c r="D142" s="525">
        <f>SUMIF('CARTERA años anteriores'!$C$9:$C$234,A142,'CARTERA años anteriores'!$L$9:$L$234)</f>
        <v>1160000</v>
      </c>
      <c r="E142" s="525">
        <f>SUMIF(FACTURACIÓN!$C$8:$C$1082,A142,FACTURACIÓN!$K$8:$K$1082)</f>
        <v>0</v>
      </c>
      <c r="F142" s="525">
        <f>SUMIF('INGRESOS A CAJA'!$C$10:$C$954,A142,'INGRESOS A CAJA'!$F$10:$F$954)+SUMIF(FACTURACIÓN!$C$8:$C$1082,A142,FACTURACIÓN!$M$8:$M$1082)++SUMIF('CARTERA años anteriores'!$C$9:$C$234,A142,'CARTERA años anteriores'!$M$9:$M$234)</f>
        <v>1160000</v>
      </c>
      <c r="G142" s="525">
        <f>SUMIF('EGRESOS DE CAJA'!$C$10:$C$2251,A142,'EGRESOS DE CAJA'!$G$10:$G$2251)</f>
        <v>0</v>
      </c>
      <c r="H142" s="512">
        <f t="shared" si="3"/>
        <v>0</v>
      </c>
      <c r="I142" s="512">
        <f t="shared" si="4"/>
        <v>-1160000</v>
      </c>
      <c r="J142" s="557"/>
      <c r="K142" s="629"/>
    </row>
    <row r="143" spans="1:11" ht="15" x14ac:dyDescent="0.2">
      <c r="A143" s="560">
        <v>135</v>
      </c>
      <c r="B143" s="511" t="str">
        <f>_xlfn.XLOOKUP(A143,Códigos!$A$11:$A$415,Códigos!$B$11:$B$415,"Verificar",0)</f>
        <v>NOMBRE 306</v>
      </c>
      <c r="C143" s="525">
        <f>SUMIF('CARTERA años anteriores'!$C$9:$C$234,A143,'CARTERA años anteriores'!$J$9:$J$234)</f>
        <v>0</v>
      </c>
      <c r="D143" s="525">
        <f>SUMIF('CARTERA años anteriores'!$C$9:$C$234,A143,'CARTERA años anteriores'!$L$9:$L$234)</f>
        <v>0</v>
      </c>
      <c r="E143" s="525">
        <f>SUMIF(FACTURACIÓN!$C$8:$C$1082,A143,FACTURACIÓN!$K$8:$K$1082)</f>
        <v>0</v>
      </c>
      <c r="F143" s="525">
        <f>SUMIF('INGRESOS A CAJA'!$C$10:$C$954,A143,'INGRESOS A CAJA'!$F$10:$F$954)+SUMIF(FACTURACIÓN!$C$8:$C$1082,A143,FACTURACIÓN!$M$8:$M$1082)++SUMIF('CARTERA años anteriores'!$C$9:$C$234,A143,'CARTERA años anteriores'!$M$9:$M$234)</f>
        <v>0</v>
      </c>
      <c r="G143" s="525">
        <f>SUMIF('EGRESOS DE CAJA'!$C$10:$C$2251,A143,'EGRESOS DE CAJA'!$G$10:$G$2251)</f>
        <v>0</v>
      </c>
      <c r="H143" s="512">
        <f t="shared" si="3"/>
        <v>0</v>
      </c>
      <c r="I143" s="512">
        <f t="shared" si="4"/>
        <v>0</v>
      </c>
      <c r="J143" s="557"/>
      <c r="K143" s="629"/>
    </row>
    <row r="144" spans="1:11" ht="15" x14ac:dyDescent="0.2">
      <c r="A144" s="560">
        <v>136</v>
      </c>
      <c r="B144" s="511" t="str">
        <f>_xlfn.XLOOKUP(A144,Códigos!$A$11:$A$415,Códigos!$B$11:$B$415,"Verificar",0)</f>
        <v>NOMBRE 222</v>
      </c>
      <c r="C144" s="525">
        <f>SUMIF('CARTERA años anteriores'!$C$9:$C$234,A144,'CARTERA años anteriores'!$J$9:$J$234)</f>
        <v>0</v>
      </c>
      <c r="D144" s="525">
        <f>SUMIF('CARTERA años anteriores'!$C$9:$C$234,A144,'CARTERA años anteriores'!$L$9:$L$234)</f>
        <v>0</v>
      </c>
      <c r="E144" s="525">
        <f>SUMIF(FACTURACIÓN!$C$8:$C$1082,A144,FACTURACIÓN!$K$8:$K$1082)</f>
        <v>0</v>
      </c>
      <c r="F144" s="525">
        <f>SUMIF('INGRESOS A CAJA'!$C$10:$C$954,A144,'INGRESOS A CAJA'!$F$10:$F$954)+SUMIF(FACTURACIÓN!$C$8:$C$1082,A144,FACTURACIÓN!$M$8:$M$1082)++SUMIF('CARTERA años anteriores'!$C$9:$C$234,A144,'CARTERA años anteriores'!$M$9:$M$234)</f>
        <v>0</v>
      </c>
      <c r="G144" s="525">
        <f>SUMIF('EGRESOS DE CAJA'!$C$10:$C$2251,A144,'EGRESOS DE CAJA'!$G$10:$G$2251)</f>
        <v>0</v>
      </c>
      <c r="H144" s="512">
        <f t="shared" ref="H144:H205" si="5">IF((+C144-D144*0+E144-F144+G144)&gt;0,(+C144-D144*0+E144-F144+G144),0)</f>
        <v>0</v>
      </c>
      <c r="I144" s="512">
        <f t="shared" ref="I144:I207" si="6">IF((+C144-D144+E144-F144+G144)&lt;0,(+C144-D144+E144-F144+G144),0)</f>
        <v>0</v>
      </c>
      <c r="J144" s="557"/>
      <c r="K144" s="629"/>
    </row>
    <row r="145" spans="1:11" ht="15" x14ac:dyDescent="0.2">
      <c r="A145" s="560">
        <v>137</v>
      </c>
      <c r="B145" s="511" t="str">
        <f>_xlfn.XLOOKUP(A145,Códigos!$A$11:$A$415,Códigos!$B$11:$B$415,"Verificar",0)</f>
        <v>NOMBRE 223</v>
      </c>
      <c r="C145" s="525">
        <f>SUMIF('CARTERA años anteriores'!$C$9:$C$234,A145,'CARTERA años anteriores'!$J$9:$J$234)</f>
        <v>0</v>
      </c>
      <c r="D145" s="525">
        <f>SUMIF('CARTERA años anteriores'!$C$9:$C$234,A145,'CARTERA años anteriores'!$L$9:$L$234)</f>
        <v>0</v>
      </c>
      <c r="E145" s="525">
        <f>SUMIF(FACTURACIÓN!$C$8:$C$1082,A145,FACTURACIÓN!$K$8:$K$1082)</f>
        <v>490000</v>
      </c>
      <c r="F145" s="525">
        <f>SUMIF('INGRESOS A CAJA'!$C$10:$C$954,A145,'INGRESOS A CAJA'!$F$10:$F$954)+SUMIF(FACTURACIÓN!$C$8:$C$1082,A145,FACTURACIÓN!$M$8:$M$1082)++SUMIF('CARTERA años anteriores'!$C$9:$C$234,A145,'CARTERA años anteriores'!$M$9:$M$234)</f>
        <v>0</v>
      </c>
      <c r="G145" s="525">
        <f>SUMIF('EGRESOS DE CAJA'!$C$10:$C$2251,A145,'EGRESOS DE CAJA'!$G$10:$G$2251)</f>
        <v>0</v>
      </c>
      <c r="H145" s="512">
        <f t="shared" si="5"/>
        <v>490000</v>
      </c>
      <c r="I145" s="512">
        <f t="shared" si="6"/>
        <v>0</v>
      </c>
      <c r="J145" s="557"/>
      <c r="K145" s="629"/>
    </row>
    <row r="146" spans="1:11" ht="15" x14ac:dyDescent="0.2">
      <c r="A146" s="560">
        <v>138</v>
      </c>
      <c r="B146" s="511" t="str">
        <f>_xlfn.XLOOKUP(A146,Códigos!$A$11:$A$415,Códigos!$B$11:$B$415,"Verificar",0)</f>
        <v>NOMBRE 229</v>
      </c>
      <c r="C146" s="525">
        <f>SUMIF('CARTERA años anteriores'!$C$9:$C$234,A146,'CARTERA años anteriores'!$J$9:$J$234)</f>
        <v>0</v>
      </c>
      <c r="D146" s="525">
        <f>SUMIF('CARTERA años anteriores'!$C$9:$C$234,A146,'CARTERA años anteriores'!$L$9:$L$234)</f>
        <v>0</v>
      </c>
      <c r="E146" s="525">
        <f>SUMIF(FACTURACIÓN!$C$8:$C$1082,A146,FACTURACIÓN!$K$8:$K$1082)</f>
        <v>450000</v>
      </c>
      <c r="F146" s="525">
        <f>SUMIF('INGRESOS A CAJA'!$C$10:$C$954,A146,'INGRESOS A CAJA'!$F$10:$F$954)+SUMIF(FACTURACIÓN!$C$8:$C$1082,A146,FACTURACIÓN!$M$8:$M$1082)++SUMIF('CARTERA años anteriores'!$C$9:$C$234,A146,'CARTERA años anteriores'!$M$9:$M$234)</f>
        <v>0</v>
      </c>
      <c r="G146" s="525">
        <f>SUMIF('EGRESOS DE CAJA'!$C$10:$C$2251,A146,'EGRESOS DE CAJA'!$G$10:$G$2251)</f>
        <v>0</v>
      </c>
      <c r="H146" s="512">
        <f t="shared" si="5"/>
        <v>450000</v>
      </c>
      <c r="I146" s="512">
        <f t="shared" si="6"/>
        <v>0</v>
      </c>
      <c r="J146" s="557"/>
      <c r="K146" s="629"/>
    </row>
    <row r="147" spans="1:11" ht="15" x14ac:dyDescent="0.2">
      <c r="A147" s="560">
        <v>139</v>
      </c>
      <c r="B147" s="511" t="str">
        <f>_xlfn.XLOOKUP(A147,Códigos!$A$11:$A$415,Códigos!$B$11:$B$415,"Verificar",0)</f>
        <v>NOMBRE 230</v>
      </c>
      <c r="C147" s="525">
        <f>SUMIF('CARTERA años anteriores'!$C$9:$C$234,A147,'CARTERA años anteriores'!$J$9:$J$234)</f>
        <v>0</v>
      </c>
      <c r="D147" s="525">
        <f>SUMIF('CARTERA años anteriores'!$C$9:$C$234,A147,'CARTERA años anteriores'!$L$9:$L$234)</f>
        <v>0</v>
      </c>
      <c r="E147" s="525">
        <f>SUMIF(FACTURACIÓN!$C$8:$C$1082,A147,FACTURACIÓN!$K$8:$K$1082)</f>
        <v>450000</v>
      </c>
      <c r="F147" s="525">
        <f>SUMIF('INGRESOS A CAJA'!$C$10:$C$954,A147,'INGRESOS A CAJA'!$F$10:$F$954)+SUMIF(FACTURACIÓN!$C$8:$C$1082,A147,FACTURACIÓN!$M$8:$M$1082)++SUMIF('CARTERA años anteriores'!$C$9:$C$234,A147,'CARTERA años anteriores'!$M$9:$M$234)</f>
        <v>0</v>
      </c>
      <c r="G147" s="525">
        <f>SUMIF('EGRESOS DE CAJA'!$C$10:$C$2251,A147,'EGRESOS DE CAJA'!$G$10:$G$2251)</f>
        <v>0</v>
      </c>
      <c r="H147" s="512">
        <f t="shared" si="5"/>
        <v>450000</v>
      </c>
      <c r="I147" s="512">
        <f t="shared" si="6"/>
        <v>0</v>
      </c>
      <c r="J147" s="557"/>
      <c r="K147" s="629"/>
    </row>
    <row r="148" spans="1:11" ht="15" x14ac:dyDescent="0.2">
      <c r="A148" s="560">
        <v>140</v>
      </c>
      <c r="B148" s="511" t="str">
        <f>_xlfn.XLOOKUP(A148,Códigos!$A$11:$A$415,Códigos!$B$11:$B$415,"Verificar",0)</f>
        <v>NOMBRE 231</v>
      </c>
      <c r="C148" s="525">
        <f>SUMIF('CARTERA años anteriores'!$C$9:$C$234,A148,'CARTERA años anteriores'!$J$9:$J$234)</f>
        <v>0</v>
      </c>
      <c r="D148" s="525">
        <f>SUMIF('CARTERA años anteriores'!$C$9:$C$234,A148,'CARTERA años anteriores'!$L$9:$L$234)</f>
        <v>0</v>
      </c>
      <c r="E148" s="525">
        <f>SUMIF(FACTURACIÓN!$C$8:$C$1082,A148,FACTURACIÓN!$K$8:$K$1082)</f>
        <v>450000</v>
      </c>
      <c r="F148" s="525">
        <f>SUMIF('INGRESOS A CAJA'!$C$10:$C$954,A148,'INGRESOS A CAJA'!$F$10:$F$954)+SUMIF(FACTURACIÓN!$C$8:$C$1082,A148,FACTURACIÓN!$M$8:$M$1082)++SUMIF('CARTERA años anteriores'!$C$9:$C$234,A148,'CARTERA años anteriores'!$M$9:$M$234)</f>
        <v>0</v>
      </c>
      <c r="G148" s="525">
        <f>SUMIF('EGRESOS DE CAJA'!$C$10:$C$2251,A148,'EGRESOS DE CAJA'!$G$10:$G$2251)</f>
        <v>0</v>
      </c>
      <c r="H148" s="512">
        <f t="shared" si="5"/>
        <v>450000</v>
      </c>
      <c r="I148" s="512">
        <f t="shared" si="6"/>
        <v>0</v>
      </c>
      <c r="J148" s="557"/>
      <c r="K148" s="629"/>
    </row>
    <row r="149" spans="1:11" ht="15" x14ac:dyDescent="0.2">
      <c r="A149" s="560">
        <v>141</v>
      </c>
      <c r="B149" s="511" t="str">
        <f>_xlfn.XLOOKUP(A149,Códigos!$A$11:$A$415,Códigos!$B$11:$B$415,"Verificar",0)</f>
        <v>NOMBRE 228</v>
      </c>
      <c r="C149" s="525">
        <f>SUMIF('CARTERA años anteriores'!$C$9:$C$234,A149,'CARTERA años anteriores'!$J$9:$J$234)</f>
        <v>0</v>
      </c>
      <c r="D149" s="525">
        <f>SUMIF('CARTERA años anteriores'!$C$9:$C$234,A149,'CARTERA años anteriores'!$L$9:$L$234)</f>
        <v>0</v>
      </c>
      <c r="E149" s="525">
        <f>SUMIF(FACTURACIÓN!$C$8:$C$1082,A149,FACTURACIÓN!$K$8:$K$1082)</f>
        <v>160000</v>
      </c>
      <c r="F149" s="525">
        <f>SUMIF('INGRESOS A CAJA'!$C$10:$C$954,A149,'INGRESOS A CAJA'!$F$10:$F$954)+SUMIF(FACTURACIÓN!$C$8:$C$1082,A149,FACTURACIÓN!$M$8:$M$1082)++SUMIF('CARTERA años anteriores'!$C$9:$C$234,A149,'CARTERA años anteriores'!$M$9:$M$234)</f>
        <v>0</v>
      </c>
      <c r="G149" s="525">
        <f>SUMIF('EGRESOS DE CAJA'!$C$10:$C$2251,A149,'EGRESOS DE CAJA'!$G$10:$G$2251)</f>
        <v>0</v>
      </c>
      <c r="H149" s="512">
        <f t="shared" si="5"/>
        <v>160000</v>
      </c>
      <c r="I149" s="512">
        <f t="shared" si="6"/>
        <v>0</v>
      </c>
      <c r="J149" s="557"/>
      <c r="K149" s="629"/>
    </row>
    <row r="150" spans="1:11" ht="15" x14ac:dyDescent="0.2">
      <c r="A150" s="560">
        <v>142</v>
      </c>
      <c r="B150" s="511" t="str">
        <f>_xlfn.XLOOKUP(A150,Códigos!$A$11:$A$415,Códigos!$B$11:$B$415,"Verificar",0)</f>
        <v>NOMBRE 235</v>
      </c>
      <c r="C150" s="525">
        <f>SUMIF('CARTERA años anteriores'!$C$9:$C$234,A150,'CARTERA años anteriores'!$J$9:$J$234)</f>
        <v>2190000</v>
      </c>
      <c r="D150" s="525">
        <f>SUMIF('CARTERA años anteriores'!$C$9:$C$234,A150,'CARTERA años anteriores'!$L$9:$L$234)</f>
        <v>1500000</v>
      </c>
      <c r="E150" s="525">
        <f>SUMIF(FACTURACIÓN!$C$8:$C$1082,A150,FACTURACIÓN!$K$8:$K$1082)</f>
        <v>950000</v>
      </c>
      <c r="F150" s="525">
        <f>SUMIF('INGRESOS A CAJA'!$C$10:$C$954,A150,'INGRESOS A CAJA'!$F$10:$F$954)+SUMIF(FACTURACIÓN!$C$8:$C$1082,A150,FACTURACIÓN!$M$8:$M$1082)++SUMIF('CARTERA años anteriores'!$C$9:$C$234,A150,'CARTERA años anteriores'!$M$9:$M$234)</f>
        <v>0</v>
      </c>
      <c r="G150" s="525">
        <f>SUMIF('EGRESOS DE CAJA'!$C$10:$C$2251,A150,'EGRESOS DE CAJA'!$G$10:$G$2251)</f>
        <v>0</v>
      </c>
      <c r="H150" s="512">
        <f t="shared" si="5"/>
        <v>3140000</v>
      </c>
      <c r="I150" s="512">
        <f t="shared" si="6"/>
        <v>0</v>
      </c>
      <c r="J150" s="557"/>
      <c r="K150" s="629"/>
    </row>
    <row r="151" spans="1:11" ht="15" x14ac:dyDescent="0.2">
      <c r="A151" s="560">
        <v>143</v>
      </c>
      <c r="B151" s="511" t="str">
        <f>_xlfn.XLOOKUP(A151,Códigos!$A$11:$A$415,Códigos!$B$11:$B$415,"Verificar",0)</f>
        <v>NOMBRE 236</v>
      </c>
      <c r="C151" s="525">
        <f>SUMIF('CARTERA años anteriores'!$C$9:$C$234,A151,'CARTERA años anteriores'!$J$9:$J$234)</f>
        <v>730000</v>
      </c>
      <c r="D151" s="525">
        <f>SUMIF('CARTERA años anteriores'!$C$9:$C$234,A151,'CARTERA años anteriores'!$L$9:$L$234)</f>
        <v>0</v>
      </c>
      <c r="E151" s="525">
        <f>SUMIF(FACTURACIÓN!$C$8:$C$1082,A151,FACTURACIÓN!$K$8:$K$1082)</f>
        <v>1350000</v>
      </c>
      <c r="F151" s="525">
        <f>SUMIF('INGRESOS A CAJA'!$C$10:$C$954,A151,'INGRESOS A CAJA'!$F$10:$F$954)+SUMIF(FACTURACIÓN!$C$8:$C$1082,A151,FACTURACIÓN!$M$8:$M$1082)++SUMIF('CARTERA años anteriores'!$C$9:$C$234,A151,'CARTERA años anteriores'!$M$9:$M$234)</f>
        <v>0</v>
      </c>
      <c r="G151" s="525">
        <f>SUMIF('EGRESOS DE CAJA'!$C$10:$C$2251,A151,'EGRESOS DE CAJA'!$G$10:$G$2251)</f>
        <v>0</v>
      </c>
      <c r="H151" s="512">
        <f t="shared" si="5"/>
        <v>2080000</v>
      </c>
      <c r="I151" s="512">
        <f t="shared" si="6"/>
        <v>0</v>
      </c>
      <c r="J151" s="557"/>
      <c r="K151" s="629"/>
    </row>
    <row r="152" spans="1:11" ht="15" x14ac:dyDescent="0.2">
      <c r="A152" s="560">
        <v>144</v>
      </c>
      <c r="B152" s="511" t="str">
        <f>_xlfn.XLOOKUP(A152,Códigos!$A$11:$A$415,Códigos!$B$11:$B$415,"Verificar",0)</f>
        <v>NOMBRE 237</v>
      </c>
      <c r="C152" s="525">
        <f>SUMIF('CARTERA años anteriores'!$C$9:$C$234,A152,'CARTERA años anteriores'!$J$9:$J$234)</f>
        <v>0</v>
      </c>
      <c r="D152" s="525">
        <f>SUMIF('CARTERA años anteriores'!$C$9:$C$234,A152,'CARTERA años anteriores'!$L$9:$L$234)</f>
        <v>0</v>
      </c>
      <c r="E152" s="525">
        <f>SUMIF(FACTURACIÓN!$C$8:$C$1082,A152,FACTURACIÓN!$K$8:$K$1082)</f>
        <v>450000</v>
      </c>
      <c r="F152" s="525">
        <f>SUMIF('INGRESOS A CAJA'!$C$10:$C$954,A152,'INGRESOS A CAJA'!$F$10:$F$954)+SUMIF(FACTURACIÓN!$C$8:$C$1082,A152,FACTURACIÓN!$M$8:$M$1082)++SUMIF('CARTERA años anteriores'!$C$9:$C$234,A152,'CARTERA años anteriores'!$M$9:$M$234)</f>
        <v>0</v>
      </c>
      <c r="G152" s="525">
        <f>SUMIF('EGRESOS DE CAJA'!$C$10:$C$2251,A152,'EGRESOS DE CAJA'!$G$10:$G$2251)</f>
        <v>0</v>
      </c>
      <c r="H152" s="512">
        <f t="shared" si="5"/>
        <v>450000</v>
      </c>
      <c r="I152" s="512">
        <f t="shared" si="6"/>
        <v>0</v>
      </c>
      <c r="J152" s="557"/>
      <c r="K152" s="629"/>
    </row>
    <row r="153" spans="1:11" ht="15" x14ac:dyDescent="0.2">
      <c r="A153" s="560">
        <v>145</v>
      </c>
      <c r="B153" s="511" t="str">
        <f>_xlfn.XLOOKUP(A153,Códigos!$A$11:$A$415,Códigos!$B$11:$B$415,"Verificar",0)</f>
        <v>NOMBRE 238</v>
      </c>
      <c r="C153" s="525">
        <f>SUMIF('CARTERA años anteriores'!$C$9:$C$234,A153,'CARTERA años anteriores'!$J$9:$J$234)</f>
        <v>0</v>
      </c>
      <c r="D153" s="525">
        <f>SUMIF('CARTERA años anteriores'!$C$9:$C$234,A153,'CARTERA años anteriores'!$L$9:$L$234)</f>
        <v>0</v>
      </c>
      <c r="E153" s="525">
        <f>SUMIF(FACTURACIÓN!$C$8:$C$1082,A153,FACTURACIÓN!$K$8:$K$1082)</f>
        <v>0</v>
      </c>
      <c r="F153" s="525">
        <f>SUMIF('INGRESOS A CAJA'!$C$10:$C$954,A153,'INGRESOS A CAJA'!$F$10:$F$954)+SUMIF(FACTURACIÓN!$C$8:$C$1082,A153,FACTURACIÓN!$M$8:$M$1082)++SUMIF('CARTERA años anteriores'!$C$9:$C$234,A153,'CARTERA años anteriores'!$M$9:$M$234)</f>
        <v>9790000</v>
      </c>
      <c r="G153" s="525">
        <f>SUMIF('EGRESOS DE CAJA'!$C$10:$C$2251,A153,'EGRESOS DE CAJA'!$G$10:$G$2251)</f>
        <v>0</v>
      </c>
      <c r="H153" s="512">
        <f t="shared" si="5"/>
        <v>0</v>
      </c>
      <c r="I153" s="512">
        <f t="shared" si="6"/>
        <v>-9790000</v>
      </c>
      <c r="J153" s="557"/>
      <c r="K153" s="629"/>
    </row>
    <row r="154" spans="1:11" ht="15" x14ac:dyDescent="0.2">
      <c r="A154" s="560">
        <v>146</v>
      </c>
      <c r="B154" s="511" t="str">
        <f>_xlfn.XLOOKUP(A154,Códigos!$A$11:$A$415,Códigos!$B$11:$B$415,"Verificar",0)</f>
        <v>NOMBRE 239</v>
      </c>
      <c r="C154" s="525">
        <f>SUMIF('CARTERA años anteriores'!$C$9:$C$234,A154,'CARTERA años anteriores'!$J$9:$J$234)</f>
        <v>0</v>
      </c>
      <c r="D154" s="525">
        <f>SUMIF('CARTERA años anteriores'!$C$9:$C$234,A154,'CARTERA años anteriores'!$L$9:$L$234)</f>
        <v>0</v>
      </c>
      <c r="E154" s="525">
        <f>SUMIF(FACTURACIÓN!$C$8:$C$1082,A154,FACTURACIÓN!$K$8:$K$1082)</f>
        <v>0</v>
      </c>
      <c r="F154" s="525">
        <f>SUMIF('INGRESOS A CAJA'!$C$10:$C$954,A154,'INGRESOS A CAJA'!$F$10:$F$954)+SUMIF(FACTURACIÓN!$C$8:$C$1082,A154,FACTURACIÓN!$M$8:$M$1082)++SUMIF('CARTERA años anteriores'!$C$9:$C$234,A154,'CARTERA años anteriores'!$M$9:$M$234)</f>
        <v>0</v>
      </c>
      <c r="G154" s="525">
        <f>SUMIF('EGRESOS DE CAJA'!$C$10:$C$2251,A154,'EGRESOS DE CAJA'!$G$10:$G$2251)</f>
        <v>0</v>
      </c>
      <c r="H154" s="512">
        <f t="shared" si="5"/>
        <v>0</v>
      </c>
      <c r="I154" s="512">
        <f t="shared" si="6"/>
        <v>0</v>
      </c>
      <c r="J154" s="557"/>
      <c r="K154" s="629"/>
    </row>
    <row r="155" spans="1:11" ht="15" x14ac:dyDescent="0.2">
      <c r="A155" s="560">
        <v>147</v>
      </c>
      <c r="B155" s="511" t="str">
        <f>_xlfn.XLOOKUP(A155,Códigos!$A$11:$A$415,Códigos!$B$11:$B$415,"Verificar",0)</f>
        <v>NOMBRE 241</v>
      </c>
      <c r="C155" s="525">
        <f>SUMIF('CARTERA años anteriores'!$C$9:$C$234,A155,'CARTERA años anteriores'!$J$9:$J$234)</f>
        <v>0</v>
      </c>
      <c r="D155" s="525">
        <f>SUMIF('CARTERA años anteriores'!$C$9:$C$234,A155,'CARTERA años anteriores'!$L$9:$L$234)</f>
        <v>0</v>
      </c>
      <c r="E155" s="525">
        <f>SUMIF(FACTURACIÓN!$C$8:$C$1082,A155,FACTURACIÓN!$K$8:$K$1082)</f>
        <v>0</v>
      </c>
      <c r="F155" s="525">
        <f>SUMIF('INGRESOS A CAJA'!$C$10:$C$954,A155,'INGRESOS A CAJA'!$F$10:$F$954)+SUMIF(FACTURACIÓN!$C$8:$C$1082,A155,FACTURACIÓN!$M$8:$M$1082)++SUMIF('CARTERA años anteriores'!$C$9:$C$234,A155,'CARTERA años anteriores'!$M$9:$M$234)</f>
        <v>0</v>
      </c>
      <c r="G155" s="525">
        <f>SUMIF('EGRESOS DE CAJA'!$C$10:$C$2251,A155,'EGRESOS DE CAJA'!$G$10:$G$2251)</f>
        <v>0</v>
      </c>
      <c r="H155" s="512">
        <f t="shared" si="5"/>
        <v>0</v>
      </c>
      <c r="I155" s="512">
        <f t="shared" si="6"/>
        <v>0</v>
      </c>
      <c r="J155" s="557"/>
      <c r="K155" s="629"/>
    </row>
    <row r="156" spans="1:11" ht="15" x14ac:dyDescent="0.2">
      <c r="A156" s="560">
        <v>148</v>
      </c>
      <c r="B156" s="511" t="str">
        <f>_xlfn.XLOOKUP(A156,Códigos!$A$11:$A$415,Códigos!$B$11:$B$415,"Verificar",0)</f>
        <v>NOMBRE 143</v>
      </c>
      <c r="C156" s="525">
        <f>SUMIF('CARTERA años anteriores'!$C$9:$C$234,A156,'CARTERA años anteriores'!$J$9:$J$234)</f>
        <v>0</v>
      </c>
      <c r="D156" s="525">
        <f>SUMIF('CARTERA años anteriores'!$C$9:$C$234,A156,'CARTERA años anteriores'!$L$9:$L$234)</f>
        <v>0</v>
      </c>
      <c r="E156" s="525">
        <f>SUMIF(FACTURACIÓN!$C$8:$C$1082,A156,FACTURACIÓN!$K$8:$K$1082)</f>
        <v>0</v>
      </c>
      <c r="F156" s="525">
        <f>SUMIF('INGRESOS A CAJA'!$C$10:$C$954,A156,'INGRESOS A CAJA'!$F$10:$F$954)+SUMIF(FACTURACIÓN!$C$8:$C$1082,A156,FACTURACIÓN!$M$8:$M$1082)++SUMIF('CARTERA años anteriores'!$C$9:$C$234,A156,'CARTERA años anteriores'!$M$9:$M$234)</f>
        <v>0</v>
      </c>
      <c r="G156" s="525">
        <f>SUMIF('EGRESOS DE CAJA'!$C$10:$C$2251,A156,'EGRESOS DE CAJA'!$G$10:$G$2251)</f>
        <v>0</v>
      </c>
      <c r="H156" s="512">
        <f t="shared" si="5"/>
        <v>0</v>
      </c>
      <c r="I156" s="512">
        <f t="shared" si="6"/>
        <v>0</v>
      </c>
      <c r="J156" s="557"/>
      <c r="K156" s="629"/>
    </row>
    <row r="157" spans="1:11" ht="15" x14ac:dyDescent="0.2">
      <c r="A157" s="560">
        <v>149</v>
      </c>
      <c r="B157" s="511" t="str">
        <f>_xlfn.XLOOKUP(A157,Códigos!$A$11:$A$415,Códigos!$B$11:$B$415,"Verificar",0)</f>
        <v>NOMBRE 244</v>
      </c>
      <c r="C157" s="525">
        <f>SUMIF('CARTERA años anteriores'!$C$9:$C$234,A157,'CARTERA años anteriores'!$J$9:$J$234)</f>
        <v>0</v>
      </c>
      <c r="D157" s="525">
        <f>SUMIF('CARTERA años anteriores'!$C$9:$C$234,A157,'CARTERA años anteriores'!$L$9:$L$234)</f>
        <v>0</v>
      </c>
      <c r="E157" s="525">
        <f>SUMIF(FACTURACIÓN!$C$8:$C$1082,A157,FACTURACIÓN!$K$8:$K$1082)</f>
        <v>0</v>
      </c>
      <c r="F157" s="525">
        <f>SUMIF('INGRESOS A CAJA'!$C$10:$C$954,A157,'INGRESOS A CAJA'!$F$10:$F$954)+SUMIF(FACTURACIÓN!$C$8:$C$1082,A157,FACTURACIÓN!$M$8:$M$1082)++SUMIF('CARTERA años anteriores'!$C$9:$C$234,A157,'CARTERA años anteriores'!$M$9:$M$234)</f>
        <v>0</v>
      </c>
      <c r="G157" s="525">
        <f>SUMIF('EGRESOS DE CAJA'!$C$10:$C$2251,A157,'EGRESOS DE CAJA'!$G$10:$G$2251)</f>
        <v>0</v>
      </c>
      <c r="H157" s="512">
        <f t="shared" si="5"/>
        <v>0</v>
      </c>
      <c r="I157" s="512">
        <f t="shared" si="6"/>
        <v>0</v>
      </c>
      <c r="J157" s="557"/>
      <c r="K157" s="629"/>
    </row>
    <row r="158" spans="1:11" ht="15" x14ac:dyDescent="0.2">
      <c r="A158" s="560">
        <v>150</v>
      </c>
      <c r="B158" s="511" t="str">
        <f>_xlfn.XLOOKUP(A158,Códigos!$A$11:$A$415,Códigos!$B$11:$B$415,"Verificar",0)</f>
        <v>NOMBRE 247</v>
      </c>
      <c r="C158" s="525">
        <f>SUMIF('CARTERA años anteriores'!$C$9:$C$234,A158,'CARTERA años anteriores'!$J$9:$J$234)</f>
        <v>0</v>
      </c>
      <c r="D158" s="525">
        <f>SUMIF('CARTERA años anteriores'!$C$9:$C$234,A158,'CARTERA años anteriores'!$L$9:$L$234)</f>
        <v>0</v>
      </c>
      <c r="E158" s="525">
        <f>SUMIF(FACTURACIÓN!$C$8:$C$1082,A158,FACTURACIÓN!$K$8:$K$1082)</f>
        <v>0</v>
      </c>
      <c r="F158" s="525">
        <f>SUMIF('INGRESOS A CAJA'!$C$10:$C$954,A158,'INGRESOS A CAJA'!$F$10:$F$954)+SUMIF(FACTURACIÓN!$C$8:$C$1082,A158,FACTURACIÓN!$M$8:$M$1082)++SUMIF('CARTERA años anteriores'!$C$9:$C$234,A158,'CARTERA años anteriores'!$M$9:$M$234)</f>
        <v>0</v>
      </c>
      <c r="G158" s="525">
        <f>SUMIF('EGRESOS DE CAJA'!$C$10:$C$2251,A158,'EGRESOS DE CAJA'!$G$10:$G$2251)</f>
        <v>0</v>
      </c>
      <c r="H158" s="512">
        <f t="shared" si="5"/>
        <v>0</v>
      </c>
      <c r="I158" s="512">
        <f t="shared" si="6"/>
        <v>0</v>
      </c>
      <c r="J158" s="557"/>
      <c r="K158" s="629"/>
    </row>
    <row r="159" spans="1:11" ht="15" x14ac:dyDescent="0.2">
      <c r="A159" s="560">
        <v>151</v>
      </c>
      <c r="B159" s="511" t="str">
        <f>_xlfn.XLOOKUP(A159,Códigos!$A$11:$A$415,Códigos!$B$11:$B$415,"Verificar",0)</f>
        <v>NOMBRE 248</v>
      </c>
      <c r="C159" s="525">
        <f>SUMIF('CARTERA años anteriores'!$C$9:$C$234,A159,'CARTERA años anteriores'!$J$9:$J$234)</f>
        <v>1980000</v>
      </c>
      <c r="D159" s="525">
        <f>SUMIF('CARTERA años anteriores'!$C$9:$C$234,A159,'CARTERA años anteriores'!$L$9:$L$234)</f>
        <v>1980000</v>
      </c>
      <c r="E159" s="525">
        <f>SUMIF(FACTURACIÓN!$C$8:$C$1082,A159,FACTURACIÓN!$K$8:$K$1082)</f>
        <v>3670000</v>
      </c>
      <c r="F159" s="525">
        <f>SUMIF('INGRESOS A CAJA'!$C$10:$C$954,A159,'INGRESOS A CAJA'!$F$10:$F$954)+SUMIF(FACTURACIÓN!$C$8:$C$1082,A159,FACTURACIÓN!$M$8:$M$1082)++SUMIF('CARTERA años anteriores'!$C$9:$C$234,A159,'CARTERA años anteriores'!$M$9:$M$234)</f>
        <v>6980000</v>
      </c>
      <c r="G159" s="525">
        <f>SUMIF('EGRESOS DE CAJA'!$C$10:$C$2251,A159,'EGRESOS DE CAJA'!$G$10:$G$2251)</f>
        <v>0</v>
      </c>
      <c r="H159" s="512">
        <f>IF((+C159-D159*0+E159-F159+G159)&gt;0,(+C159-D159*0+E159-F159+G159),0)</f>
        <v>0</v>
      </c>
      <c r="I159" s="512">
        <f t="shared" si="6"/>
        <v>-3310000</v>
      </c>
      <c r="J159" s="557"/>
      <c r="K159" s="629"/>
    </row>
    <row r="160" spans="1:11" ht="15" x14ac:dyDescent="0.2">
      <c r="A160" s="560">
        <v>152</v>
      </c>
      <c r="B160" s="511" t="str">
        <f>_xlfn.XLOOKUP(A160,Códigos!$A$11:$A$415,Códigos!$B$11:$B$415,"Verificar",0)</f>
        <v>NOMBRE 249</v>
      </c>
      <c r="C160" s="525">
        <f>SUMIF('CARTERA años anteriores'!$C$9:$C$234,A160,'CARTERA años anteriores'!$J$9:$J$234)</f>
        <v>0</v>
      </c>
      <c r="D160" s="525">
        <f>SUMIF('CARTERA años anteriores'!$C$9:$C$234,A160,'CARTERA años anteriores'!$L$9:$L$234)</f>
        <v>0</v>
      </c>
      <c r="E160" s="525">
        <f>SUMIF(FACTURACIÓN!$C$8:$C$1082,A160,FACTURACIÓN!$K$8:$K$1082)</f>
        <v>3040000</v>
      </c>
      <c r="F160" s="525">
        <f>SUMIF('INGRESOS A CAJA'!$C$10:$C$954,A160,'INGRESOS A CAJA'!$F$10:$F$954)+SUMIF(FACTURACIÓN!$C$8:$C$1082,A160,FACTURACIÓN!$M$8:$M$1082)++SUMIF('CARTERA años anteriores'!$C$9:$C$234,A160,'CARTERA años anteriores'!$M$9:$M$234)</f>
        <v>0</v>
      </c>
      <c r="G160" s="525">
        <f>SUMIF('EGRESOS DE CAJA'!$C$10:$C$2251,A160,'EGRESOS DE CAJA'!$G$10:$G$2251)</f>
        <v>0</v>
      </c>
      <c r="H160" s="512">
        <f t="shared" si="5"/>
        <v>3040000</v>
      </c>
      <c r="I160" s="512">
        <f t="shared" si="6"/>
        <v>0</v>
      </c>
      <c r="J160" s="557"/>
      <c r="K160" s="629"/>
    </row>
    <row r="161" spans="1:11" ht="15" x14ac:dyDescent="0.2">
      <c r="A161" s="560">
        <v>153</v>
      </c>
      <c r="B161" s="511" t="str">
        <f>_xlfn.XLOOKUP(A161,Códigos!$A$11:$A$415,Códigos!$B$11:$B$415,"Verificar",0)</f>
        <v>NOMBRE 286</v>
      </c>
      <c r="C161" s="525">
        <f>SUMIF('CARTERA años anteriores'!$C$9:$C$234,A161,'CARTERA años anteriores'!$J$9:$J$234)</f>
        <v>0</v>
      </c>
      <c r="D161" s="525">
        <f>SUMIF('CARTERA años anteriores'!$C$9:$C$234,A161,'CARTERA años anteriores'!$L$9:$L$234)</f>
        <v>0</v>
      </c>
      <c r="E161" s="525">
        <f>SUMIF(FACTURACIÓN!$C$8:$C$1082,A161,FACTURACIÓN!$K$8:$K$1082)</f>
        <v>0</v>
      </c>
      <c r="F161" s="525">
        <f>SUMIF('INGRESOS A CAJA'!$C$10:$C$954,A161,'INGRESOS A CAJA'!$F$10:$F$954)+SUMIF(FACTURACIÓN!$C$8:$C$1082,A161,FACTURACIÓN!$M$8:$M$1082)++SUMIF('CARTERA años anteriores'!$C$9:$C$234,A161,'CARTERA años anteriores'!$M$9:$M$234)</f>
        <v>0</v>
      </c>
      <c r="G161" s="525">
        <f>SUMIF('EGRESOS DE CAJA'!$C$10:$C$2251,A161,'EGRESOS DE CAJA'!$G$10:$G$2251)</f>
        <v>0</v>
      </c>
      <c r="H161" s="512">
        <f t="shared" si="5"/>
        <v>0</v>
      </c>
      <c r="I161" s="512">
        <f t="shared" si="6"/>
        <v>0</v>
      </c>
      <c r="J161" s="557"/>
      <c r="K161" s="629"/>
    </row>
    <row r="162" spans="1:11" ht="15" x14ac:dyDescent="0.2">
      <c r="A162" s="560">
        <v>154</v>
      </c>
      <c r="B162" s="511" t="str">
        <f>_xlfn.XLOOKUP(A162,Códigos!$A$11:$A$415,Códigos!$B$11:$B$415,"Verificar",0)</f>
        <v>NOMBRE 251</v>
      </c>
      <c r="C162" s="525">
        <f>SUMIF('CARTERA años anteriores'!$C$9:$C$234,A162,'CARTERA años anteriores'!$J$9:$J$234)</f>
        <v>0</v>
      </c>
      <c r="D162" s="525">
        <f>SUMIF('CARTERA años anteriores'!$C$9:$C$234,A162,'CARTERA años anteriores'!$L$9:$L$234)</f>
        <v>0</v>
      </c>
      <c r="E162" s="525">
        <f>SUMIF(FACTURACIÓN!$C$8:$C$1082,A162,FACTURACIÓN!$K$8:$K$1082)</f>
        <v>0</v>
      </c>
      <c r="F162" s="525">
        <f>SUMIF('INGRESOS A CAJA'!$C$10:$C$954,A162,'INGRESOS A CAJA'!$F$10:$F$954)+SUMIF(FACTURACIÓN!$C$8:$C$1082,A162,FACTURACIÓN!$M$8:$M$1082)++SUMIF('CARTERA años anteriores'!$C$9:$C$234,A162,'CARTERA años anteriores'!$M$9:$M$234)</f>
        <v>0</v>
      </c>
      <c r="G162" s="525">
        <f>SUMIF('EGRESOS DE CAJA'!$C$10:$C$2251,A162,'EGRESOS DE CAJA'!$G$10:$G$2251)</f>
        <v>0</v>
      </c>
      <c r="H162" s="512">
        <f t="shared" si="5"/>
        <v>0</v>
      </c>
      <c r="I162" s="512">
        <f t="shared" si="6"/>
        <v>0</v>
      </c>
      <c r="J162" s="557"/>
      <c r="K162" s="629"/>
    </row>
    <row r="163" spans="1:11" ht="15" x14ac:dyDescent="0.2">
      <c r="A163" s="560">
        <v>155</v>
      </c>
      <c r="B163" s="511" t="str">
        <f>_xlfn.XLOOKUP(A163,Códigos!$A$11:$A$415,Códigos!$B$11:$B$415,"Verificar",0)</f>
        <v>NOMBRE 259</v>
      </c>
      <c r="C163" s="525">
        <f>SUMIF('CARTERA años anteriores'!$C$9:$C$234,A163,'CARTERA años anteriores'!$J$9:$J$234)</f>
        <v>0</v>
      </c>
      <c r="D163" s="525">
        <f>SUMIF('CARTERA años anteriores'!$C$9:$C$234,A163,'CARTERA años anteriores'!$L$9:$L$234)</f>
        <v>0</v>
      </c>
      <c r="E163" s="525">
        <f>SUMIF(FACTURACIÓN!$C$8:$C$1082,A163,FACTURACIÓN!$K$8:$K$1082)</f>
        <v>0</v>
      </c>
      <c r="F163" s="525">
        <f>SUMIF('INGRESOS A CAJA'!$C$10:$C$954,A163,'INGRESOS A CAJA'!$F$10:$F$954)+SUMIF(FACTURACIÓN!$C$8:$C$1082,A163,FACTURACIÓN!$M$8:$M$1082)++SUMIF('CARTERA años anteriores'!$C$9:$C$234,A163,'CARTERA años anteriores'!$M$9:$M$234)</f>
        <v>0</v>
      </c>
      <c r="G163" s="525">
        <f>SUMIF('EGRESOS DE CAJA'!$C$10:$C$2251,A163,'EGRESOS DE CAJA'!$G$10:$G$2251)</f>
        <v>0</v>
      </c>
      <c r="H163" s="512">
        <f t="shared" si="5"/>
        <v>0</v>
      </c>
      <c r="I163" s="512">
        <f t="shared" si="6"/>
        <v>0</v>
      </c>
      <c r="J163" s="557"/>
      <c r="K163" s="629"/>
    </row>
    <row r="164" spans="1:11" ht="15" x14ac:dyDescent="0.2">
      <c r="A164" s="560">
        <v>156</v>
      </c>
      <c r="B164" s="511" t="str">
        <f>_xlfn.XLOOKUP(A164,Códigos!$A$11:$A$415,Códigos!$B$11:$B$415,"Verificar",0)</f>
        <v>NOMBRE 11</v>
      </c>
      <c r="C164" s="525">
        <f>SUMIF('CARTERA años anteriores'!$C$9:$C$234,A164,'CARTERA años anteriores'!$J$9:$J$234)</f>
        <v>0</v>
      </c>
      <c r="D164" s="525">
        <f>SUMIF('CARTERA años anteriores'!$C$9:$C$234,A164,'CARTERA años anteriores'!$L$9:$L$234)</f>
        <v>0</v>
      </c>
      <c r="E164" s="525">
        <f>SUMIF(FACTURACIÓN!$C$8:$C$1082,A164,FACTURACIÓN!$K$8:$K$1082)</f>
        <v>210000</v>
      </c>
      <c r="F164" s="525">
        <f>SUMIF('INGRESOS A CAJA'!$C$10:$C$954,A164,'INGRESOS A CAJA'!$F$10:$F$954)+SUMIF(FACTURACIÓN!$C$8:$C$1082,A164,FACTURACIÓN!$M$8:$M$1082)++SUMIF('CARTERA años anteriores'!$C$9:$C$234,A164,'CARTERA años anteriores'!$M$9:$M$234)</f>
        <v>0</v>
      </c>
      <c r="G164" s="525">
        <f>SUMIF('EGRESOS DE CAJA'!$C$10:$C$2251,A164,'EGRESOS DE CAJA'!$G$10:$G$2251)</f>
        <v>0</v>
      </c>
      <c r="H164" s="512">
        <f t="shared" si="5"/>
        <v>210000</v>
      </c>
      <c r="I164" s="512">
        <f t="shared" si="6"/>
        <v>0</v>
      </c>
      <c r="J164" s="557"/>
      <c r="K164" s="629"/>
    </row>
    <row r="165" spans="1:11" ht="15" x14ac:dyDescent="0.2">
      <c r="A165" s="560">
        <v>157</v>
      </c>
      <c r="B165" s="511" t="str">
        <f>_xlfn.XLOOKUP(A165,Códigos!$A$11:$A$415,Códigos!$B$11:$B$415,"Verificar",0)</f>
        <v>NOMBRE 260</v>
      </c>
      <c r="C165" s="525">
        <f>SUMIF('CARTERA años anteriores'!$C$9:$C$234,A165,'CARTERA años anteriores'!$J$9:$J$234)</f>
        <v>0</v>
      </c>
      <c r="D165" s="525">
        <f>SUMIF('CARTERA años anteriores'!$C$9:$C$234,A165,'CARTERA años anteriores'!$L$9:$L$234)</f>
        <v>0</v>
      </c>
      <c r="E165" s="525">
        <f>SUMIF(FACTURACIÓN!$C$8:$C$1082,A165,FACTURACIÓN!$K$8:$K$1082)</f>
        <v>0</v>
      </c>
      <c r="F165" s="525">
        <f>SUMIF('INGRESOS A CAJA'!$C$10:$C$954,A165,'INGRESOS A CAJA'!$F$10:$F$954)+SUMIF(FACTURACIÓN!$C$8:$C$1082,A165,FACTURACIÓN!$M$8:$M$1082)++SUMIF('CARTERA años anteriores'!$C$9:$C$234,A165,'CARTERA años anteriores'!$M$9:$M$234)</f>
        <v>0</v>
      </c>
      <c r="G165" s="525">
        <f>SUMIF('EGRESOS DE CAJA'!$C$10:$C$2251,A165,'EGRESOS DE CAJA'!$G$10:$G$2251)</f>
        <v>0</v>
      </c>
      <c r="H165" s="512">
        <f t="shared" si="5"/>
        <v>0</v>
      </c>
      <c r="I165" s="512">
        <f t="shared" si="6"/>
        <v>0</v>
      </c>
      <c r="J165" s="557"/>
      <c r="K165" s="629"/>
    </row>
    <row r="166" spans="1:11" ht="15" x14ac:dyDescent="0.2">
      <c r="A166" s="560">
        <v>158</v>
      </c>
      <c r="B166" s="511" t="str">
        <f>_xlfn.XLOOKUP(A166,Códigos!$A$11:$A$415,Códigos!$B$11:$B$415,"Verificar",0)</f>
        <v>NOMBRE 262</v>
      </c>
      <c r="C166" s="525">
        <f>SUMIF('CARTERA años anteriores'!$C$9:$C$234,A166,'CARTERA años anteriores'!$J$9:$J$234)</f>
        <v>9758000</v>
      </c>
      <c r="D166" s="525">
        <f>SUMIF('CARTERA años anteriores'!$C$9:$C$234,A166,'CARTERA años anteriores'!$L$9:$L$234)</f>
        <v>6937700</v>
      </c>
      <c r="E166" s="525">
        <f>SUMIF(FACTURACIÓN!$C$8:$C$1082,A166,FACTURACIÓN!$K$8:$K$1082)</f>
        <v>0</v>
      </c>
      <c r="F166" s="525">
        <f>SUMIF('INGRESOS A CAJA'!$C$10:$C$954,A166,'INGRESOS A CAJA'!$F$10:$F$954)+SUMIF(FACTURACIÓN!$C$8:$C$1082,A166,FACTURACIÓN!$M$8:$M$1082)++SUMIF('CARTERA años anteriores'!$C$9:$C$234,A166,'CARTERA años anteriores'!$M$9:$M$234)</f>
        <v>6937700</v>
      </c>
      <c r="G166" s="525">
        <f>SUMIF('EGRESOS DE CAJA'!$C$10:$C$2251,A166,'EGRESOS DE CAJA'!$G$10:$G$2251)</f>
        <v>0</v>
      </c>
      <c r="H166" s="512">
        <f t="shared" si="5"/>
        <v>2820300</v>
      </c>
      <c r="I166" s="512">
        <f t="shared" si="6"/>
        <v>-4117400</v>
      </c>
      <c r="J166" s="557"/>
      <c r="K166" s="629"/>
    </row>
    <row r="167" spans="1:11" ht="15" x14ac:dyDescent="0.2">
      <c r="A167" s="560">
        <v>159</v>
      </c>
      <c r="B167" s="511" t="str">
        <f>_xlfn.XLOOKUP(A167,Códigos!$A$11:$A$415,Códigos!$B$11:$B$415,"Verificar",0)</f>
        <v>NOMBRE 266</v>
      </c>
      <c r="C167" s="525">
        <f>SUMIF('CARTERA años anteriores'!$C$9:$C$234,A167,'CARTERA años anteriores'!$J$9:$J$234)</f>
        <v>0</v>
      </c>
      <c r="D167" s="525">
        <f>SUMIF('CARTERA años anteriores'!$C$9:$C$234,A167,'CARTERA años anteriores'!$L$9:$L$234)</f>
        <v>0</v>
      </c>
      <c r="E167" s="525">
        <f>SUMIF(FACTURACIÓN!$C$8:$C$1082,A167,FACTURACIÓN!$K$8:$K$1082)</f>
        <v>0</v>
      </c>
      <c r="F167" s="525">
        <f>SUMIF('INGRESOS A CAJA'!$C$10:$C$954,A167,'INGRESOS A CAJA'!$F$10:$F$954)+SUMIF(FACTURACIÓN!$C$8:$C$1082,A167,FACTURACIÓN!$M$8:$M$1082)++SUMIF('CARTERA años anteriores'!$C$9:$C$234,A167,'CARTERA años anteriores'!$M$9:$M$234)</f>
        <v>0</v>
      </c>
      <c r="G167" s="525">
        <f>SUMIF('EGRESOS DE CAJA'!$C$10:$C$2251,A167,'EGRESOS DE CAJA'!$G$10:$G$2251)</f>
        <v>0</v>
      </c>
      <c r="H167" s="512">
        <f t="shared" si="5"/>
        <v>0</v>
      </c>
      <c r="I167" s="512">
        <f t="shared" si="6"/>
        <v>0</v>
      </c>
      <c r="J167" s="557"/>
      <c r="K167" s="629"/>
    </row>
    <row r="168" spans="1:11" ht="15" x14ac:dyDescent="0.2">
      <c r="A168" s="560">
        <v>160</v>
      </c>
      <c r="B168" s="511" t="str">
        <f>_xlfn.XLOOKUP(A168,Códigos!$A$11:$A$415,Códigos!$B$11:$B$415,"Verificar",0)</f>
        <v>NOMBRE 267</v>
      </c>
      <c r="C168" s="525">
        <f>SUMIF('CARTERA años anteriores'!$C$9:$C$234,A168,'CARTERA años anteriores'!$J$9:$J$234)</f>
        <v>0</v>
      </c>
      <c r="D168" s="525">
        <f>SUMIF('CARTERA años anteriores'!$C$9:$C$234,A168,'CARTERA años anteriores'!$L$9:$L$234)</f>
        <v>0</v>
      </c>
      <c r="E168" s="525">
        <f>SUMIF(FACTURACIÓN!$C$8:$C$1082,A168,FACTURACIÓN!$K$8:$K$1082)</f>
        <v>0</v>
      </c>
      <c r="F168" s="525">
        <f>SUMIF('INGRESOS A CAJA'!$C$10:$C$954,A168,'INGRESOS A CAJA'!$F$10:$F$954)+SUMIF(FACTURACIÓN!$C$8:$C$1082,A168,FACTURACIÓN!$M$8:$M$1082)++SUMIF('CARTERA años anteriores'!$C$9:$C$234,A168,'CARTERA años anteriores'!$M$9:$M$234)</f>
        <v>0</v>
      </c>
      <c r="G168" s="525">
        <f>SUMIF('EGRESOS DE CAJA'!$C$10:$C$2251,A168,'EGRESOS DE CAJA'!$G$10:$G$2251)</f>
        <v>0</v>
      </c>
      <c r="H168" s="512">
        <f t="shared" si="5"/>
        <v>0</v>
      </c>
      <c r="I168" s="512">
        <f t="shared" si="6"/>
        <v>0</v>
      </c>
      <c r="J168" s="557"/>
      <c r="K168" s="629"/>
    </row>
    <row r="169" spans="1:11" ht="15" x14ac:dyDescent="0.2">
      <c r="A169" s="560">
        <v>161</v>
      </c>
      <c r="B169" s="511" t="str">
        <f>_xlfn.XLOOKUP(A169,Códigos!$A$11:$A$415,Códigos!$B$11:$B$415,"Verificar",0)</f>
        <v>NOMBRE 268</v>
      </c>
      <c r="C169" s="525">
        <f>SUMIF('CARTERA años anteriores'!$C$9:$C$234,A169,'CARTERA años anteriores'!$J$9:$J$234)</f>
        <v>0</v>
      </c>
      <c r="D169" s="525">
        <f>SUMIF('CARTERA años anteriores'!$C$9:$C$234,A169,'CARTERA años anteriores'!$L$9:$L$234)</f>
        <v>0</v>
      </c>
      <c r="E169" s="525">
        <f>SUMIF(FACTURACIÓN!$C$8:$C$1082,A169,FACTURACIÓN!$K$8:$K$1082)</f>
        <v>0</v>
      </c>
      <c r="F169" s="525">
        <f>SUMIF('INGRESOS A CAJA'!$C$10:$C$954,A169,'INGRESOS A CAJA'!$F$10:$F$954)+SUMIF(FACTURACIÓN!$C$8:$C$1082,A169,FACTURACIÓN!$M$8:$M$1082)++SUMIF('CARTERA años anteriores'!$C$9:$C$234,A169,'CARTERA años anteriores'!$M$9:$M$234)</f>
        <v>0</v>
      </c>
      <c r="G169" s="525">
        <f>SUMIF('EGRESOS DE CAJA'!$C$10:$C$2251,A169,'EGRESOS DE CAJA'!$G$10:$G$2251)</f>
        <v>0</v>
      </c>
      <c r="H169" s="512">
        <f t="shared" si="5"/>
        <v>0</v>
      </c>
      <c r="I169" s="512">
        <f t="shared" si="6"/>
        <v>0</v>
      </c>
      <c r="J169" s="557"/>
      <c r="K169" s="629"/>
    </row>
    <row r="170" spans="1:11" ht="15" x14ac:dyDescent="0.2">
      <c r="A170" s="560">
        <v>162</v>
      </c>
      <c r="B170" s="511" t="str">
        <f>_xlfn.XLOOKUP(A170,Códigos!$A$11:$A$415,Códigos!$B$11:$B$415,"Verificar",0)</f>
        <v>NOMBRE 193</v>
      </c>
      <c r="C170" s="525">
        <f>SUMIF('CARTERA años anteriores'!$C$9:$C$234,A170,'CARTERA años anteriores'!$J$9:$J$234)</f>
        <v>0</v>
      </c>
      <c r="D170" s="525">
        <f>SUMIF('CARTERA años anteriores'!$C$9:$C$234,A170,'CARTERA años anteriores'!$L$9:$L$234)</f>
        <v>0</v>
      </c>
      <c r="E170" s="525">
        <f>SUMIF(FACTURACIÓN!$C$8:$C$1082,A170,FACTURACIÓN!$K$8:$K$1082)</f>
        <v>230000</v>
      </c>
      <c r="F170" s="525">
        <f>SUMIF('INGRESOS A CAJA'!$C$10:$C$954,A170,'INGRESOS A CAJA'!$F$10:$F$954)+SUMIF(FACTURACIÓN!$C$8:$C$1082,A170,FACTURACIÓN!$M$8:$M$1082)++SUMIF('CARTERA años anteriores'!$C$9:$C$234,A170,'CARTERA años anteriores'!$M$9:$M$234)</f>
        <v>0</v>
      </c>
      <c r="G170" s="525">
        <f>SUMIF('EGRESOS DE CAJA'!$C$10:$C$2251,A170,'EGRESOS DE CAJA'!$G$10:$G$2251)</f>
        <v>0</v>
      </c>
      <c r="H170" s="512">
        <f t="shared" si="5"/>
        <v>230000</v>
      </c>
      <c r="I170" s="512">
        <f t="shared" si="6"/>
        <v>0</v>
      </c>
      <c r="J170" s="557"/>
      <c r="K170" s="629"/>
    </row>
    <row r="171" spans="1:11" ht="15" x14ac:dyDescent="0.2">
      <c r="A171" s="560">
        <v>163</v>
      </c>
      <c r="B171" s="511" t="str">
        <f>_xlfn.XLOOKUP(A171,Códigos!$A$11:$A$415,Códigos!$B$11:$B$415,"Verificar",0)</f>
        <v>NOMBRE 253</v>
      </c>
      <c r="C171" s="525">
        <f>SUMIF('CARTERA años anteriores'!$C$9:$C$234,A171,'CARTERA años anteriores'!$J$9:$J$234)</f>
        <v>0</v>
      </c>
      <c r="D171" s="525">
        <f>SUMIF('CARTERA años anteriores'!$C$9:$C$234,A171,'CARTERA años anteriores'!$L$9:$L$234)</f>
        <v>0</v>
      </c>
      <c r="E171" s="525">
        <f>SUMIF(FACTURACIÓN!$C$8:$C$1082,A171,FACTURACIÓN!$K$8:$K$1082)</f>
        <v>0</v>
      </c>
      <c r="F171" s="525">
        <f>SUMIF('INGRESOS A CAJA'!$C$10:$C$954,A171,'INGRESOS A CAJA'!$F$10:$F$954)+SUMIF(FACTURACIÓN!$C$8:$C$1082,A171,FACTURACIÓN!$M$8:$M$1082)++SUMIF('CARTERA años anteriores'!$C$9:$C$234,A171,'CARTERA años anteriores'!$M$9:$M$234)</f>
        <v>0</v>
      </c>
      <c r="G171" s="525">
        <f>SUMIF('EGRESOS DE CAJA'!$C$10:$C$2251,A171,'EGRESOS DE CAJA'!$G$10:$G$2251)</f>
        <v>0</v>
      </c>
      <c r="H171" s="512">
        <f t="shared" si="5"/>
        <v>0</v>
      </c>
      <c r="I171" s="512">
        <f t="shared" si="6"/>
        <v>0</v>
      </c>
      <c r="J171" s="557"/>
      <c r="K171" s="629"/>
    </row>
    <row r="172" spans="1:11" ht="15" x14ac:dyDescent="0.2">
      <c r="A172" s="560">
        <v>164</v>
      </c>
      <c r="B172" s="511" t="str">
        <f>_xlfn.XLOOKUP(A172,Códigos!$A$11:$A$415,Códigos!$B$11:$B$415,"Verificar",0)</f>
        <v>NOMBRE 269</v>
      </c>
      <c r="C172" s="525">
        <f>SUMIF('CARTERA años anteriores'!$C$9:$C$234,A172,'CARTERA años anteriores'!$J$9:$J$234)</f>
        <v>0</v>
      </c>
      <c r="D172" s="525">
        <f>SUMIF('CARTERA años anteriores'!$C$9:$C$234,A172,'CARTERA años anteriores'!$L$9:$L$234)</f>
        <v>0</v>
      </c>
      <c r="E172" s="525">
        <f>SUMIF(FACTURACIÓN!$C$8:$C$1082,A172,FACTURACIÓN!$K$8:$K$1082)</f>
        <v>0</v>
      </c>
      <c r="F172" s="525">
        <f>SUMIF('INGRESOS A CAJA'!$C$10:$C$954,A172,'INGRESOS A CAJA'!$F$10:$F$954)+SUMIF(FACTURACIÓN!$C$8:$C$1082,A172,FACTURACIÓN!$M$8:$M$1082)++SUMIF('CARTERA años anteriores'!$C$9:$C$234,A172,'CARTERA años anteriores'!$M$9:$M$234)</f>
        <v>0</v>
      </c>
      <c r="G172" s="525">
        <f>SUMIF('EGRESOS DE CAJA'!$C$10:$C$2251,A172,'EGRESOS DE CAJA'!$G$10:$G$2251)</f>
        <v>0</v>
      </c>
      <c r="H172" s="512">
        <f t="shared" si="5"/>
        <v>0</v>
      </c>
      <c r="I172" s="512">
        <f t="shared" si="6"/>
        <v>0</v>
      </c>
      <c r="J172" s="557" t="s">
        <v>591</v>
      </c>
      <c r="K172" s="629" t="s">
        <v>649</v>
      </c>
    </row>
    <row r="173" spans="1:11" ht="15" x14ac:dyDescent="0.2">
      <c r="A173" s="560">
        <v>165</v>
      </c>
      <c r="B173" s="511" t="str">
        <f>_xlfn.XLOOKUP(A173,Códigos!$A$11:$A$415,Códigos!$B$11:$B$415,"Verificar",0)</f>
        <v>NOMBRE 270</v>
      </c>
      <c r="C173" s="525">
        <f>SUMIF('CARTERA años anteriores'!$C$9:$C$234,A173,'CARTERA años anteriores'!$J$9:$J$234)</f>
        <v>0</v>
      </c>
      <c r="D173" s="525">
        <f>SUMIF('CARTERA años anteriores'!$C$9:$C$234,A173,'CARTERA años anteriores'!$L$9:$L$234)</f>
        <v>0</v>
      </c>
      <c r="E173" s="525">
        <f>SUMIF(FACTURACIÓN!$C$8:$C$1082,A173,FACTURACIÓN!$K$8:$K$1082)</f>
        <v>0</v>
      </c>
      <c r="F173" s="525">
        <f>SUMIF('INGRESOS A CAJA'!$C$10:$C$954,A173,'INGRESOS A CAJA'!$F$10:$F$954)+SUMIF(FACTURACIÓN!$C$8:$C$1082,A173,FACTURACIÓN!$M$8:$M$1082)++SUMIF('CARTERA años anteriores'!$C$9:$C$234,A173,'CARTERA años anteriores'!$M$9:$M$234)</f>
        <v>0</v>
      </c>
      <c r="G173" s="525">
        <f>SUMIF('EGRESOS DE CAJA'!$C$10:$C$2251,A173,'EGRESOS DE CAJA'!$G$10:$G$2251)</f>
        <v>0</v>
      </c>
      <c r="H173" s="512">
        <f t="shared" si="5"/>
        <v>0</v>
      </c>
      <c r="I173" s="512">
        <f t="shared" si="6"/>
        <v>0</v>
      </c>
      <c r="J173" s="557"/>
      <c r="K173" s="629"/>
    </row>
    <row r="174" spans="1:11" ht="15" x14ac:dyDescent="0.2">
      <c r="A174" s="560">
        <v>166</v>
      </c>
      <c r="B174" s="511" t="str">
        <f>_xlfn.XLOOKUP(A174,Códigos!$A$11:$A$415,Códigos!$B$11:$B$415,"Verificar",0)</f>
        <v>NOMBRE 271</v>
      </c>
      <c r="C174" s="525">
        <f>SUMIF('CARTERA años anteriores'!$C$9:$C$234,A174,'CARTERA años anteriores'!$J$9:$J$234)</f>
        <v>0</v>
      </c>
      <c r="D174" s="525">
        <f>SUMIF('CARTERA años anteriores'!$C$9:$C$234,A174,'CARTERA años anteriores'!$L$9:$L$234)</f>
        <v>0</v>
      </c>
      <c r="E174" s="525">
        <f>SUMIF(FACTURACIÓN!$C$8:$C$1082,A174,FACTURACIÓN!$K$8:$K$1082)</f>
        <v>0</v>
      </c>
      <c r="F174" s="525">
        <f>SUMIF('INGRESOS A CAJA'!$C$10:$C$954,A174,'INGRESOS A CAJA'!$F$10:$F$954)+SUMIF(FACTURACIÓN!$C$8:$C$1082,A174,FACTURACIÓN!$M$8:$M$1082)++SUMIF('CARTERA años anteriores'!$C$9:$C$234,A174,'CARTERA años anteriores'!$M$9:$M$234)</f>
        <v>0</v>
      </c>
      <c r="G174" s="525">
        <f>SUMIF('EGRESOS DE CAJA'!$C$10:$C$2251,A174,'EGRESOS DE CAJA'!$G$10:$G$2251)</f>
        <v>0</v>
      </c>
      <c r="H174" s="512">
        <f t="shared" si="5"/>
        <v>0</v>
      </c>
      <c r="I174" s="512">
        <f t="shared" si="6"/>
        <v>0</v>
      </c>
      <c r="J174" s="557"/>
      <c r="K174" s="629"/>
    </row>
    <row r="175" spans="1:11" ht="15" x14ac:dyDescent="0.2">
      <c r="A175" s="560">
        <v>167</v>
      </c>
      <c r="B175" s="511" t="str">
        <f>_xlfn.XLOOKUP(A175,Códigos!$A$11:$A$415,Códigos!$B$11:$B$415,"Verificar",0)</f>
        <v>NOMBRE 272</v>
      </c>
      <c r="C175" s="525">
        <f>SUMIF('CARTERA años anteriores'!$C$9:$C$234,A175,'CARTERA años anteriores'!$J$9:$J$234)</f>
        <v>0</v>
      </c>
      <c r="D175" s="525">
        <f>SUMIF('CARTERA años anteriores'!$C$9:$C$234,A175,'CARTERA años anteriores'!$L$9:$L$234)</f>
        <v>0</v>
      </c>
      <c r="E175" s="525">
        <f>SUMIF(FACTURACIÓN!$C$8:$C$1082,A175,FACTURACIÓN!$K$8:$K$1082)</f>
        <v>0</v>
      </c>
      <c r="F175" s="525">
        <f>SUMIF('INGRESOS A CAJA'!$C$10:$C$954,A175,'INGRESOS A CAJA'!$F$10:$F$954)+SUMIF(FACTURACIÓN!$C$8:$C$1082,A175,FACTURACIÓN!$M$8:$M$1082)++SUMIF('CARTERA años anteriores'!$C$9:$C$234,A175,'CARTERA años anteriores'!$M$9:$M$234)</f>
        <v>0</v>
      </c>
      <c r="G175" s="525">
        <f>SUMIF('EGRESOS DE CAJA'!$C$10:$C$2251,A175,'EGRESOS DE CAJA'!$G$10:$G$2251)</f>
        <v>0</v>
      </c>
      <c r="H175" s="512">
        <f t="shared" si="5"/>
        <v>0</v>
      </c>
      <c r="I175" s="512">
        <f t="shared" si="6"/>
        <v>0</v>
      </c>
      <c r="J175" s="557"/>
      <c r="K175" s="629"/>
    </row>
    <row r="176" spans="1:11" ht="15" x14ac:dyDescent="0.2">
      <c r="A176" s="560">
        <v>168</v>
      </c>
      <c r="B176" s="511" t="str">
        <f>_xlfn.XLOOKUP(A176,Códigos!$A$11:$A$415,Códigos!$B$11:$B$415,"Verificar",0)</f>
        <v>NOMBRE 273</v>
      </c>
      <c r="C176" s="525">
        <f>SUMIF('CARTERA años anteriores'!$C$9:$C$234,A176,'CARTERA años anteriores'!$J$9:$J$234)</f>
        <v>0</v>
      </c>
      <c r="D176" s="525">
        <f>SUMIF('CARTERA años anteriores'!$C$9:$C$234,A176,'CARTERA años anteriores'!$L$9:$L$234)</f>
        <v>0</v>
      </c>
      <c r="E176" s="525">
        <f>SUMIF(FACTURACIÓN!$C$8:$C$1082,A176,FACTURACIÓN!$K$8:$K$1082)</f>
        <v>0</v>
      </c>
      <c r="F176" s="525">
        <f>SUMIF('INGRESOS A CAJA'!$C$10:$C$954,A176,'INGRESOS A CAJA'!$F$10:$F$954)+SUMIF(FACTURACIÓN!$C$8:$C$1082,A176,FACTURACIÓN!$M$8:$M$1082)++SUMIF('CARTERA años anteriores'!$C$9:$C$234,A176,'CARTERA años anteriores'!$M$9:$M$234)</f>
        <v>0</v>
      </c>
      <c r="G176" s="525">
        <f>SUMIF('EGRESOS DE CAJA'!$C$10:$C$2251,A176,'EGRESOS DE CAJA'!$G$10:$G$2251)</f>
        <v>0</v>
      </c>
      <c r="H176" s="512">
        <f t="shared" si="5"/>
        <v>0</v>
      </c>
      <c r="I176" s="512">
        <f t="shared" si="6"/>
        <v>0</v>
      </c>
      <c r="J176" s="557"/>
      <c r="K176" s="629"/>
    </row>
    <row r="177" spans="1:11" ht="15" x14ac:dyDescent="0.2">
      <c r="A177" s="560">
        <v>169</v>
      </c>
      <c r="B177" s="511" t="str">
        <f>_xlfn.XLOOKUP(A177,Códigos!$A$11:$A$415,Códigos!$B$11:$B$415,"Verificar",0)</f>
        <v>NOMBRE 284</v>
      </c>
      <c r="C177" s="525">
        <f>SUMIF('CARTERA años anteriores'!$C$9:$C$234,A177,'CARTERA años anteriores'!$J$9:$J$234)</f>
        <v>0</v>
      </c>
      <c r="D177" s="525">
        <f>SUMIF('CARTERA años anteriores'!$C$9:$C$234,A177,'CARTERA años anteriores'!$L$9:$L$234)</f>
        <v>0</v>
      </c>
      <c r="E177" s="525">
        <f>SUMIF(FACTURACIÓN!$C$8:$C$1082,A177,FACTURACIÓN!$K$8:$K$1082)</f>
        <v>0</v>
      </c>
      <c r="F177" s="525">
        <f>SUMIF('INGRESOS A CAJA'!$C$10:$C$954,A177,'INGRESOS A CAJA'!$F$10:$F$954)+SUMIF(FACTURACIÓN!$C$8:$C$1082,A177,FACTURACIÓN!$M$8:$M$1082)++SUMIF('CARTERA años anteriores'!$C$9:$C$234,A177,'CARTERA años anteriores'!$M$9:$M$234)</f>
        <v>0</v>
      </c>
      <c r="G177" s="525">
        <f>SUMIF('EGRESOS DE CAJA'!$C$10:$C$2251,A177,'EGRESOS DE CAJA'!$G$10:$G$2251)</f>
        <v>0</v>
      </c>
      <c r="H177" s="512">
        <f t="shared" si="5"/>
        <v>0</v>
      </c>
      <c r="I177" s="512">
        <f t="shared" si="6"/>
        <v>0</v>
      </c>
      <c r="J177" s="557"/>
      <c r="K177" s="629"/>
    </row>
    <row r="178" spans="1:11" ht="15" x14ac:dyDescent="0.2">
      <c r="A178" s="560">
        <v>170</v>
      </c>
      <c r="B178" s="511" t="str">
        <f>_xlfn.XLOOKUP(A178,Códigos!$A$11:$A$415,Códigos!$B$11:$B$415,"Verificar",0)</f>
        <v>NOMBRE 234</v>
      </c>
      <c r="C178" s="525">
        <f>SUMIF('CARTERA años anteriores'!$C$9:$C$234,A178,'CARTERA años anteriores'!$J$9:$J$234)</f>
        <v>0</v>
      </c>
      <c r="D178" s="525">
        <f>SUMIF('CARTERA años anteriores'!$C$9:$C$234,A178,'CARTERA años anteriores'!$L$9:$L$234)</f>
        <v>0</v>
      </c>
      <c r="E178" s="525">
        <f>SUMIF(FACTURACIÓN!$C$8:$C$1082,A178,FACTURACIÓN!$K$8:$K$1082)</f>
        <v>390000</v>
      </c>
      <c r="F178" s="525">
        <f>SUMIF('INGRESOS A CAJA'!$C$10:$C$954,A178,'INGRESOS A CAJA'!$F$10:$F$954)+SUMIF(FACTURACIÓN!$C$8:$C$1082,A178,FACTURACIÓN!$M$8:$M$1082)++SUMIF('CARTERA años anteriores'!$C$9:$C$234,A178,'CARTERA años anteriores'!$M$9:$M$234)</f>
        <v>0</v>
      </c>
      <c r="G178" s="525">
        <f>SUMIF('EGRESOS DE CAJA'!$C$10:$C$2251,A178,'EGRESOS DE CAJA'!$G$10:$G$2251)</f>
        <v>0</v>
      </c>
      <c r="H178" s="512">
        <f t="shared" si="5"/>
        <v>390000</v>
      </c>
      <c r="I178" s="512">
        <f t="shared" si="6"/>
        <v>0</v>
      </c>
      <c r="J178" s="557"/>
      <c r="K178" s="629"/>
    </row>
    <row r="179" spans="1:11" ht="15" x14ac:dyDescent="0.2">
      <c r="A179" s="560">
        <v>171</v>
      </c>
      <c r="B179" s="511" t="str">
        <f>_xlfn.XLOOKUP(A179,Códigos!$A$11:$A$415,Códigos!$B$11:$B$415,"Verificar",0)</f>
        <v>NOMBRE 290</v>
      </c>
      <c r="C179" s="525">
        <f>SUMIF('CARTERA años anteriores'!$C$9:$C$234,A179,'CARTERA años anteriores'!$J$9:$J$234)</f>
        <v>0</v>
      </c>
      <c r="D179" s="525">
        <f>SUMIF('CARTERA años anteriores'!$C$9:$C$234,A179,'CARTERA años anteriores'!$L$9:$L$234)</f>
        <v>0</v>
      </c>
      <c r="E179" s="525">
        <f>SUMIF(FACTURACIÓN!$C$8:$C$1082,A179,FACTURACIÓN!$K$8:$K$1082)</f>
        <v>0</v>
      </c>
      <c r="F179" s="525">
        <f>SUMIF('INGRESOS A CAJA'!$C$10:$C$954,A179,'INGRESOS A CAJA'!$F$10:$F$954)+SUMIF(FACTURACIÓN!$C$8:$C$1082,A179,FACTURACIÓN!$M$8:$M$1082)++SUMIF('CARTERA años anteriores'!$C$9:$C$234,A179,'CARTERA años anteriores'!$M$9:$M$234)</f>
        <v>0</v>
      </c>
      <c r="G179" s="525">
        <f>SUMIF('EGRESOS DE CAJA'!$C$10:$C$2251,A179,'EGRESOS DE CAJA'!$G$10:$G$2251)</f>
        <v>0</v>
      </c>
      <c r="H179" s="512">
        <f t="shared" si="5"/>
        <v>0</v>
      </c>
      <c r="I179" s="512">
        <f t="shared" si="6"/>
        <v>0</v>
      </c>
      <c r="J179" s="557"/>
      <c r="K179" s="629"/>
    </row>
    <row r="180" spans="1:11" ht="15" x14ac:dyDescent="0.2">
      <c r="A180" s="560">
        <v>172</v>
      </c>
      <c r="B180" s="511" t="str">
        <f>_xlfn.XLOOKUP(A180,Códigos!$A$11:$A$415,Códigos!$B$11:$B$415,"Verificar",0)</f>
        <v>NOMBRE 10</v>
      </c>
      <c r="C180" s="525">
        <f>SUMIF('CARTERA años anteriores'!$C$9:$C$234,A180,'CARTERA años anteriores'!$J$9:$J$234)</f>
        <v>0</v>
      </c>
      <c r="D180" s="525">
        <f>SUMIF('CARTERA años anteriores'!$C$9:$C$234,A180,'CARTERA años anteriores'!$L$9:$L$234)</f>
        <v>0</v>
      </c>
      <c r="E180" s="525">
        <f>SUMIF(FACTURACIÓN!$C$8:$C$1082,A180,FACTURACIÓN!$K$8:$K$1082)</f>
        <v>0</v>
      </c>
      <c r="F180" s="525">
        <f>SUMIF('INGRESOS A CAJA'!$C$10:$C$954,A180,'INGRESOS A CAJA'!$F$10:$F$954)+SUMIF(FACTURACIÓN!$C$8:$C$1082,A180,FACTURACIÓN!$M$8:$M$1082)++SUMIF('CARTERA años anteriores'!$C$9:$C$234,A180,'CARTERA años anteriores'!$M$9:$M$234)</f>
        <v>0</v>
      </c>
      <c r="G180" s="525">
        <f>SUMIF('EGRESOS DE CAJA'!$C$10:$C$2251,A180,'EGRESOS DE CAJA'!$G$10:$G$2251)</f>
        <v>0</v>
      </c>
      <c r="H180" s="512">
        <f t="shared" si="5"/>
        <v>0</v>
      </c>
      <c r="I180" s="512">
        <f t="shared" si="6"/>
        <v>0</v>
      </c>
      <c r="J180" s="557"/>
      <c r="K180" s="629"/>
    </row>
    <row r="181" spans="1:11" ht="15" x14ac:dyDescent="0.2">
      <c r="A181" s="560">
        <v>173</v>
      </c>
      <c r="B181" s="511" t="str">
        <f>_xlfn.XLOOKUP(A181,Códigos!$A$11:$A$415,Códigos!$B$11:$B$415,"Verificar",0)</f>
        <v>NOMBRE 294</v>
      </c>
      <c r="C181" s="525">
        <f>SUMIF('CARTERA años anteriores'!$C$9:$C$234,A181,'CARTERA años anteriores'!$J$9:$J$234)</f>
        <v>0</v>
      </c>
      <c r="D181" s="525">
        <f>SUMIF('CARTERA años anteriores'!$C$9:$C$234,A181,'CARTERA años anteriores'!$L$9:$L$234)</f>
        <v>0</v>
      </c>
      <c r="E181" s="525">
        <f>SUMIF(FACTURACIÓN!$C$8:$C$1082,A181,FACTURACIÓN!$K$8:$K$1082)</f>
        <v>3930000</v>
      </c>
      <c r="F181" s="525">
        <f>SUMIF('INGRESOS A CAJA'!$C$10:$C$954,A181,'INGRESOS A CAJA'!$F$10:$F$954)+SUMIF(FACTURACIÓN!$C$8:$C$1082,A181,FACTURACIÓN!$M$8:$M$1082)++SUMIF('CARTERA años anteriores'!$C$9:$C$234,A181,'CARTERA años anteriores'!$M$9:$M$234)</f>
        <v>0</v>
      </c>
      <c r="G181" s="525">
        <f>SUMIF('EGRESOS DE CAJA'!$C$10:$C$2251,A181,'EGRESOS DE CAJA'!$G$10:$G$2251)</f>
        <v>0</v>
      </c>
      <c r="H181" s="512">
        <f t="shared" si="5"/>
        <v>3930000</v>
      </c>
      <c r="I181" s="512">
        <f t="shared" si="6"/>
        <v>0</v>
      </c>
      <c r="J181" s="557"/>
      <c r="K181" s="629"/>
    </row>
    <row r="182" spans="1:11" ht="15" x14ac:dyDescent="0.2">
      <c r="A182" s="560">
        <v>174</v>
      </c>
      <c r="B182" s="511" t="str">
        <f>_xlfn.XLOOKUP(A182,Códigos!$A$11:$A$415,Códigos!$B$11:$B$415,"Verificar",0)</f>
        <v>NOMBRE 293</v>
      </c>
      <c r="C182" s="525">
        <f>SUMIF('CARTERA años anteriores'!$C$9:$C$234,A182,'CARTERA años anteriores'!$J$9:$J$234)</f>
        <v>0</v>
      </c>
      <c r="D182" s="525">
        <f>SUMIF('CARTERA años anteriores'!$C$9:$C$234,A182,'CARTERA años anteriores'!$L$9:$L$234)</f>
        <v>0</v>
      </c>
      <c r="E182" s="525">
        <f>SUMIF(FACTURACIÓN!$C$8:$C$1082,A182,FACTURACIÓN!$K$8:$K$1082)</f>
        <v>0</v>
      </c>
      <c r="F182" s="525">
        <f>SUMIF('INGRESOS A CAJA'!$C$10:$C$954,A182,'INGRESOS A CAJA'!$F$10:$F$954)+SUMIF(FACTURACIÓN!$C$8:$C$1082,A182,FACTURACIÓN!$M$8:$M$1082)++SUMIF('CARTERA años anteriores'!$C$9:$C$234,A182,'CARTERA años anteriores'!$M$9:$M$234)</f>
        <v>0</v>
      </c>
      <c r="G182" s="525">
        <f>SUMIF('EGRESOS DE CAJA'!$C$10:$C$2251,A182,'EGRESOS DE CAJA'!$G$10:$G$2251)</f>
        <v>0</v>
      </c>
      <c r="H182" s="512">
        <f t="shared" si="5"/>
        <v>0</v>
      </c>
      <c r="I182" s="512">
        <f t="shared" si="6"/>
        <v>0</v>
      </c>
      <c r="J182" s="557"/>
      <c r="K182" s="629"/>
    </row>
    <row r="183" spans="1:11" ht="15" x14ac:dyDescent="0.2">
      <c r="A183" s="560">
        <v>175</v>
      </c>
      <c r="B183" s="511" t="str">
        <f>_xlfn.XLOOKUP(A183,Códigos!$A$11:$A$415,Códigos!$B$11:$B$415,"Verificar",0)</f>
        <v>NOMBRE 299</v>
      </c>
      <c r="C183" s="525">
        <f>SUMIF('CARTERA años anteriores'!$C$9:$C$234,A183,'CARTERA años anteriores'!$J$9:$J$234)</f>
        <v>0</v>
      </c>
      <c r="D183" s="525">
        <f>SUMIF('CARTERA años anteriores'!$C$9:$C$234,A183,'CARTERA años anteriores'!$L$9:$L$234)</f>
        <v>0</v>
      </c>
      <c r="E183" s="525">
        <f>SUMIF(FACTURACIÓN!$C$8:$C$1082,A183,FACTURACIÓN!$K$8:$K$1082)</f>
        <v>0</v>
      </c>
      <c r="F183" s="525">
        <f>SUMIF('INGRESOS A CAJA'!$C$10:$C$954,A183,'INGRESOS A CAJA'!$F$10:$F$954)+SUMIF(FACTURACIÓN!$C$8:$C$1082,A183,FACTURACIÓN!$M$8:$M$1082)++SUMIF('CARTERA años anteriores'!$C$9:$C$234,A183,'CARTERA años anteriores'!$M$9:$M$234)</f>
        <v>0</v>
      </c>
      <c r="G183" s="525">
        <f>SUMIF('EGRESOS DE CAJA'!$C$10:$C$2251,A183,'EGRESOS DE CAJA'!$G$10:$G$2251)</f>
        <v>0</v>
      </c>
      <c r="H183" s="512">
        <f t="shared" si="5"/>
        <v>0</v>
      </c>
      <c r="I183" s="512">
        <f t="shared" si="6"/>
        <v>0</v>
      </c>
      <c r="J183" s="557"/>
      <c r="K183" s="629"/>
    </row>
    <row r="184" spans="1:11" ht="15" x14ac:dyDescent="0.2">
      <c r="A184" s="560">
        <v>176</v>
      </c>
      <c r="B184" s="511" t="str">
        <f>_xlfn.XLOOKUP(A184,Códigos!$A$11:$A$415,Códigos!$B$11:$B$415,"Verificar",0)</f>
        <v>NOMBRE 301</v>
      </c>
      <c r="C184" s="525">
        <f>SUMIF('CARTERA años anteriores'!$C$9:$C$234,A184,'CARTERA años anteriores'!$J$9:$J$234)</f>
        <v>0</v>
      </c>
      <c r="D184" s="525">
        <f>SUMIF('CARTERA años anteriores'!$C$9:$C$234,A184,'CARTERA años anteriores'!$L$9:$L$234)</f>
        <v>0</v>
      </c>
      <c r="E184" s="525">
        <f>SUMIF(FACTURACIÓN!$C$8:$C$1082,A184,FACTURACIÓN!$K$8:$K$1082)</f>
        <v>0</v>
      </c>
      <c r="F184" s="525">
        <f>SUMIF('INGRESOS A CAJA'!$C$10:$C$954,A184,'INGRESOS A CAJA'!$F$10:$F$954)+SUMIF(FACTURACIÓN!$C$8:$C$1082,A184,FACTURACIÓN!$M$8:$M$1082)++SUMIF('CARTERA años anteriores'!$C$9:$C$234,A184,'CARTERA años anteriores'!$M$9:$M$234)</f>
        <v>0</v>
      </c>
      <c r="G184" s="525">
        <f>SUMIF('EGRESOS DE CAJA'!$C$10:$C$2251,A184,'EGRESOS DE CAJA'!$G$10:$G$2251)</f>
        <v>0</v>
      </c>
      <c r="H184" s="512">
        <f t="shared" si="5"/>
        <v>0</v>
      </c>
      <c r="I184" s="512">
        <f t="shared" si="6"/>
        <v>0</v>
      </c>
      <c r="J184" s="557"/>
      <c r="K184" s="629"/>
    </row>
    <row r="185" spans="1:11" ht="15" x14ac:dyDescent="0.2">
      <c r="A185" s="560">
        <v>177</v>
      </c>
      <c r="B185" s="511" t="str">
        <f>_xlfn.XLOOKUP(A185,Códigos!$A$11:$A$415,Códigos!$B$11:$B$415,"Verificar",0)</f>
        <v>NOMBRE 302</v>
      </c>
      <c r="C185" s="525">
        <f>SUMIF('CARTERA años anteriores'!$C$9:$C$234,A185,'CARTERA años anteriores'!$J$9:$J$234)</f>
        <v>0</v>
      </c>
      <c r="D185" s="525">
        <f>SUMIF('CARTERA años anteriores'!$C$9:$C$234,A185,'CARTERA años anteriores'!$L$9:$L$234)</f>
        <v>0</v>
      </c>
      <c r="E185" s="525">
        <f>SUMIF(FACTURACIÓN!$C$8:$C$1082,A185,FACTURACIÓN!$K$8:$K$1082)</f>
        <v>0</v>
      </c>
      <c r="F185" s="525">
        <f>SUMIF('INGRESOS A CAJA'!$C$10:$C$954,A185,'INGRESOS A CAJA'!$F$10:$F$954)+SUMIF(FACTURACIÓN!$C$8:$C$1082,A185,FACTURACIÓN!$M$8:$M$1082)++SUMIF('CARTERA años anteriores'!$C$9:$C$234,A185,'CARTERA años anteriores'!$M$9:$M$234)</f>
        <v>0</v>
      </c>
      <c r="G185" s="525">
        <f>SUMIF('EGRESOS DE CAJA'!$C$10:$C$2251,A185,'EGRESOS DE CAJA'!$G$10:$G$2251)</f>
        <v>0</v>
      </c>
      <c r="H185" s="512">
        <f t="shared" si="5"/>
        <v>0</v>
      </c>
      <c r="I185" s="512">
        <f t="shared" si="6"/>
        <v>0</v>
      </c>
      <c r="J185" s="557"/>
      <c r="K185" s="629"/>
    </row>
    <row r="186" spans="1:11" ht="15" x14ac:dyDescent="0.2">
      <c r="A186" s="560">
        <v>178</v>
      </c>
      <c r="B186" s="511" t="str">
        <f>_xlfn.XLOOKUP(A186,Códigos!$A$11:$A$415,Códigos!$B$11:$B$415,"Verificar",0)</f>
        <v>NOMBRE 307</v>
      </c>
      <c r="C186" s="525">
        <f>SUMIF('CARTERA años anteriores'!$C$9:$C$234,A186,'CARTERA años anteriores'!$J$9:$J$234)</f>
        <v>0</v>
      </c>
      <c r="D186" s="525">
        <f>SUMIF('CARTERA años anteriores'!$C$9:$C$234,A186,'CARTERA años anteriores'!$L$9:$L$234)</f>
        <v>0</v>
      </c>
      <c r="E186" s="525">
        <f>SUMIF(FACTURACIÓN!$C$8:$C$1082,A186,FACTURACIÓN!$K$8:$K$1082)</f>
        <v>0</v>
      </c>
      <c r="F186" s="525">
        <f>SUMIF('INGRESOS A CAJA'!$C$10:$C$954,A186,'INGRESOS A CAJA'!$F$10:$F$954)+SUMIF(FACTURACIÓN!$C$8:$C$1082,A186,FACTURACIÓN!$M$8:$M$1082)++SUMIF('CARTERA años anteriores'!$C$9:$C$234,A186,'CARTERA años anteriores'!$M$9:$M$234)</f>
        <v>0</v>
      </c>
      <c r="G186" s="525">
        <f>SUMIF('EGRESOS DE CAJA'!$C$10:$C$2251,A186,'EGRESOS DE CAJA'!$G$10:$G$2251)</f>
        <v>0</v>
      </c>
      <c r="H186" s="512">
        <f t="shared" si="5"/>
        <v>0</v>
      </c>
      <c r="I186" s="512">
        <f t="shared" si="6"/>
        <v>0</v>
      </c>
      <c r="J186" s="557"/>
      <c r="K186" s="629"/>
    </row>
    <row r="187" spans="1:11" ht="15" x14ac:dyDescent="0.2">
      <c r="A187" s="560">
        <v>179</v>
      </c>
      <c r="B187" s="511" t="str">
        <f>_xlfn.XLOOKUP(A187,Códigos!$A$11:$A$415,Códigos!$B$11:$B$415,"Verificar",0)</f>
        <v>NOMBRE 13</v>
      </c>
      <c r="C187" s="525">
        <f>SUMIF('CARTERA años anteriores'!$C$9:$C$234,A187,'CARTERA años anteriores'!$J$9:$J$234)</f>
        <v>0</v>
      </c>
      <c r="D187" s="525">
        <f>SUMIF('CARTERA años anteriores'!$C$9:$C$234,A187,'CARTERA años anteriores'!$L$9:$L$234)</f>
        <v>0</v>
      </c>
      <c r="E187" s="525">
        <f>SUMIF(FACTURACIÓN!$C$8:$C$1082,A187,FACTURACIÓN!$K$8:$K$1082)</f>
        <v>170000</v>
      </c>
      <c r="F187" s="525">
        <f>SUMIF('INGRESOS A CAJA'!$C$10:$C$954,A187,'INGRESOS A CAJA'!$F$10:$F$954)+SUMIF(FACTURACIÓN!$C$8:$C$1082,A187,FACTURACIÓN!$M$8:$M$1082)++SUMIF('CARTERA años anteriores'!$C$9:$C$234,A187,'CARTERA años anteriores'!$M$9:$M$234)</f>
        <v>0</v>
      </c>
      <c r="G187" s="525">
        <f>SUMIF('EGRESOS DE CAJA'!$C$10:$C$2251,A187,'EGRESOS DE CAJA'!$G$10:$G$2251)</f>
        <v>0</v>
      </c>
      <c r="H187" s="512">
        <f t="shared" si="5"/>
        <v>170000</v>
      </c>
      <c r="I187" s="512">
        <f t="shared" si="6"/>
        <v>0</v>
      </c>
      <c r="J187" s="557"/>
      <c r="K187" s="629"/>
    </row>
    <row r="188" spans="1:11" ht="15" x14ac:dyDescent="0.2">
      <c r="A188" s="560">
        <v>180</v>
      </c>
      <c r="B188" s="511" t="str">
        <f>_xlfn.XLOOKUP(A188,Códigos!$A$11:$A$415,Códigos!$B$11:$B$415,"Verificar",0)</f>
        <v>NOMBRE 314</v>
      </c>
      <c r="C188" s="525">
        <f>SUMIF('CARTERA años anteriores'!$C$9:$C$234,A188,'CARTERA años anteriores'!$J$9:$J$234)</f>
        <v>0</v>
      </c>
      <c r="D188" s="525">
        <f>SUMIF('CARTERA años anteriores'!$C$9:$C$234,A188,'CARTERA años anteriores'!$L$9:$L$234)</f>
        <v>0</v>
      </c>
      <c r="E188" s="525">
        <f>SUMIF(FACTURACIÓN!$C$8:$C$1082,A188,FACTURACIÓN!$K$8:$K$1082)</f>
        <v>1480000</v>
      </c>
      <c r="F188" s="525">
        <f>SUMIF('INGRESOS A CAJA'!$C$10:$C$954,A188,'INGRESOS A CAJA'!$F$10:$F$954)+SUMIF(FACTURACIÓN!$C$8:$C$1082,A188,FACTURACIÓN!$M$8:$M$1082)++SUMIF('CARTERA años anteriores'!$C$9:$C$234,A188,'CARTERA años anteriores'!$M$9:$M$234)</f>
        <v>0</v>
      </c>
      <c r="G188" s="525">
        <f>SUMIF('EGRESOS DE CAJA'!$C$10:$C$2251,A188,'EGRESOS DE CAJA'!$G$10:$G$2251)</f>
        <v>0</v>
      </c>
      <c r="H188" s="512">
        <f t="shared" si="5"/>
        <v>1480000</v>
      </c>
      <c r="I188" s="512">
        <f t="shared" si="6"/>
        <v>0</v>
      </c>
      <c r="J188" s="557"/>
      <c r="K188" s="629"/>
    </row>
    <row r="189" spans="1:11" ht="15" x14ac:dyDescent="0.2">
      <c r="A189" s="560">
        <v>181</v>
      </c>
      <c r="B189" s="511" t="str">
        <f>_xlfn.XLOOKUP(A189,Códigos!$A$11:$A$415,Códigos!$B$11:$B$415,"Verificar",0)</f>
        <v>NOMBRE 287</v>
      </c>
      <c r="C189" s="525">
        <f>SUMIF('CARTERA años anteriores'!$C$9:$C$234,A189,'CARTERA años anteriores'!$J$9:$J$234)</f>
        <v>0</v>
      </c>
      <c r="D189" s="525">
        <f>SUMIF('CARTERA años anteriores'!$C$9:$C$234,A189,'CARTERA años anteriores'!$L$9:$L$234)</f>
        <v>0</v>
      </c>
      <c r="E189" s="525">
        <f>SUMIF(FACTURACIÓN!$C$8:$C$1082,A189,FACTURACIÓN!$K$8:$K$1082)</f>
        <v>0</v>
      </c>
      <c r="F189" s="525">
        <f>SUMIF('INGRESOS A CAJA'!$C$10:$C$954,A189,'INGRESOS A CAJA'!$F$10:$F$954)+SUMIF(FACTURACIÓN!$C$8:$C$1082,A189,FACTURACIÓN!$M$8:$M$1082)++SUMIF('CARTERA años anteriores'!$C$9:$C$234,A189,'CARTERA años anteriores'!$M$9:$M$234)</f>
        <v>0</v>
      </c>
      <c r="G189" s="525">
        <f>SUMIF('EGRESOS DE CAJA'!$C$10:$C$2251,A189,'EGRESOS DE CAJA'!$G$10:$G$2251)</f>
        <v>0</v>
      </c>
      <c r="H189" s="512">
        <f t="shared" si="5"/>
        <v>0</v>
      </c>
      <c r="I189" s="512">
        <f t="shared" si="6"/>
        <v>0</v>
      </c>
      <c r="J189" s="557"/>
      <c r="K189" s="629"/>
    </row>
    <row r="190" spans="1:11" ht="15" x14ac:dyDescent="0.2">
      <c r="A190" s="560">
        <v>182</v>
      </c>
      <c r="B190" s="511" t="str">
        <f>_xlfn.XLOOKUP(A190,Códigos!$A$11:$A$415,Códigos!$B$11:$B$415,"Verificar",0)</f>
        <v>NOMBRE 317</v>
      </c>
      <c r="C190" s="525">
        <f>SUMIF('CARTERA años anteriores'!$C$9:$C$234,A190,'CARTERA años anteriores'!$J$9:$J$234)</f>
        <v>1300000</v>
      </c>
      <c r="D190" s="525">
        <f>SUMIF('CARTERA años anteriores'!$C$9:$C$234,A190,'CARTERA años anteriores'!$L$9:$L$234)</f>
        <v>1300000</v>
      </c>
      <c r="E190" s="525">
        <f>SUMIF(FACTURACIÓN!$C$8:$C$1082,A190,FACTURACIÓN!$K$8:$K$1082)</f>
        <v>1370000</v>
      </c>
      <c r="F190" s="525">
        <f>SUMIF('INGRESOS A CAJA'!$C$10:$C$954,A190,'INGRESOS A CAJA'!$F$10:$F$954)+SUMIF(FACTURACIÓN!$C$8:$C$1082,A190,FACTURACIÓN!$M$8:$M$1082)++SUMIF('CARTERA años anteriores'!$C$9:$C$234,A190,'CARTERA años anteriores'!$M$9:$M$234)</f>
        <v>1800000</v>
      </c>
      <c r="G190" s="525">
        <f>SUMIF('EGRESOS DE CAJA'!$C$10:$C$2251,A190,'EGRESOS DE CAJA'!$G$10:$G$2251)</f>
        <v>0</v>
      </c>
      <c r="H190" s="512">
        <f t="shared" si="5"/>
        <v>870000</v>
      </c>
      <c r="I190" s="512">
        <f t="shared" si="6"/>
        <v>-430000</v>
      </c>
      <c r="J190" s="557"/>
      <c r="K190" s="629"/>
    </row>
    <row r="191" spans="1:11" ht="15" x14ac:dyDescent="0.2">
      <c r="A191" s="560">
        <v>183</v>
      </c>
      <c r="B191" s="511" t="str">
        <f>_xlfn.XLOOKUP(A191,Códigos!$A$11:$A$415,Códigos!$B$11:$B$415,"Verificar",0)</f>
        <v>NOMBRE 319</v>
      </c>
      <c r="C191" s="525">
        <f>SUMIF('CARTERA años anteriores'!$C$9:$C$234,A191,'CARTERA años anteriores'!$J$9:$J$234)</f>
        <v>0</v>
      </c>
      <c r="D191" s="525">
        <f>SUMIF('CARTERA años anteriores'!$C$9:$C$234,A191,'CARTERA años anteriores'!$L$9:$L$234)</f>
        <v>0</v>
      </c>
      <c r="E191" s="525">
        <f>SUMIF(FACTURACIÓN!$C$8:$C$1082,A191,FACTURACIÓN!$K$8:$K$1082)</f>
        <v>230000</v>
      </c>
      <c r="F191" s="525">
        <f>SUMIF('INGRESOS A CAJA'!$C$10:$C$954,A191,'INGRESOS A CAJA'!$F$10:$F$954)+SUMIF(FACTURACIÓN!$C$8:$C$1082,A191,FACTURACIÓN!$M$8:$M$1082)++SUMIF('CARTERA años anteriores'!$C$9:$C$234,A191,'CARTERA años anteriores'!$M$9:$M$234)</f>
        <v>0</v>
      </c>
      <c r="G191" s="525">
        <f>SUMIF('EGRESOS DE CAJA'!$C$10:$C$2251,A191,'EGRESOS DE CAJA'!$G$10:$G$2251)</f>
        <v>0</v>
      </c>
      <c r="H191" s="512">
        <f t="shared" si="5"/>
        <v>230000</v>
      </c>
      <c r="I191" s="512">
        <f t="shared" si="6"/>
        <v>0</v>
      </c>
      <c r="J191" s="557"/>
      <c r="K191" s="629"/>
    </row>
    <row r="192" spans="1:11" ht="15" x14ac:dyDescent="0.2">
      <c r="A192" s="560">
        <v>184</v>
      </c>
      <c r="B192" s="511" t="str">
        <f>_xlfn.XLOOKUP(A192,Códigos!$A$11:$A$415,Códigos!$B$11:$B$415,"Verificar",0)</f>
        <v>NOMBRE 245</v>
      </c>
      <c r="C192" s="525">
        <f>SUMIF('CARTERA años anteriores'!$C$9:$C$234,A192,'CARTERA años anteriores'!$J$9:$J$234)</f>
        <v>0</v>
      </c>
      <c r="D192" s="525">
        <f>SUMIF('CARTERA años anteriores'!$C$9:$C$234,A192,'CARTERA años anteriores'!$L$9:$L$234)</f>
        <v>0</v>
      </c>
      <c r="E192" s="525">
        <f>SUMIF(FACTURACIÓN!$C$8:$C$1082,A192,FACTURACIÓN!$K$8:$K$1082)</f>
        <v>0</v>
      </c>
      <c r="F192" s="525">
        <f>SUMIF('INGRESOS A CAJA'!$C$10:$C$954,A192,'INGRESOS A CAJA'!$F$10:$F$954)+SUMIF(FACTURACIÓN!$C$8:$C$1082,A192,FACTURACIÓN!$M$8:$M$1082)++SUMIF('CARTERA años anteriores'!$C$9:$C$234,A192,'CARTERA años anteriores'!$M$9:$M$234)</f>
        <v>0</v>
      </c>
      <c r="G192" s="525">
        <f>SUMIF('EGRESOS DE CAJA'!$C$10:$C$2251,A192,'EGRESOS DE CAJA'!$G$10:$G$2251)</f>
        <v>0</v>
      </c>
      <c r="H192" s="512">
        <f t="shared" si="5"/>
        <v>0</v>
      </c>
      <c r="I192" s="512">
        <f t="shared" si="6"/>
        <v>0</v>
      </c>
      <c r="J192" s="557"/>
      <c r="K192" s="629"/>
    </row>
    <row r="193" spans="1:11" ht="15" x14ac:dyDescent="0.2">
      <c r="A193" s="560">
        <v>185</v>
      </c>
      <c r="B193" s="511" t="str">
        <f>_xlfn.XLOOKUP(A193,Códigos!$A$11:$A$415,Códigos!$B$11:$B$415,"Verificar",0)</f>
        <v>NOMBRE 323</v>
      </c>
      <c r="C193" s="525">
        <f>SUMIF('CARTERA años anteriores'!$C$9:$C$234,A193,'CARTERA años anteriores'!$J$9:$J$234)</f>
        <v>3080000</v>
      </c>
      <c r="D193" s="525">
        <f>SUMIF('CARTERA años anteriores'!$C$9:$C$234,A193,'CARTERA años anteriores'!$L$9:$L$234)</f>
        <v>3080000</v>
      </c>
      <c r="E193" s="525">
        <f>SUMIF(FACTURACIÓN!$C$8:$C$1082,A193,FACTURACIÓN!$K$8:$K$1082)</f>
        <v>0</v>
      </c>
      <c r="F193" s="525">
        <f>SUMIF('INGRESOS A CAJA'!$C$10:$C$954,A193,'INGRESOS A CAJA'!$F$10:$F$954)+SUMIF(FACTURACIÓN!$C$8:$C$1082,A193,FACTURACIÓN!$M$8:$M$1082)++SUMIF('CARTERA años anteriores'!$C$9:$C$234,A193,'CARTERA años anteriores'!$M$9:$M$234)</f>
        <v>0</v>
      </c>
      <c r="G193" s="525">
        <f>SUMIF('EGRESOS DE CAJA'!$C$10:$C$2251,A193,'EGRESOS DE CAJA'!$G$10:$G$2251)</f>
        <v>0</v>
      </c>
      <c r="H193" s="512">
        <f t="shared" si="5"/>
        <v>3080000</v>
      </c>
      <c r="I193" s="512">
        <f t="shared" si="6"/>
        <v>0</v>
      </c>
      <c r="J193" s="557"/>
      <c r="K193" s="629"/>
    </row>
    <row r="194" spans="1:11" ht="15" x14ac:dyDescent="0.2">
      <c r="A194" s="560">
        <v>186</v>
      </c>
      <c r="B194" s="511" t="str">
        <f>_xlfn.XLOOKUP(A194,Códigos!$A$11:$A$415,Códigos!$B$11:$B$415,"Verificar",0)</f>
        <v>NOMBRE 205</v>
      </c>
      <c r="C194" s="525">
        <f>SUMIF('CARTERA años anteriores'!$C$9:$C$234,A194,'CARTERA años anteriores'!$J$9:$J$234)</f>
        <v>0</v>
      </c>
      <c r="D194" s="525">
        <f>SUMIF('CARTERA años anteriores'!$C$9:$C$234,A194,'CARTERA años anteriores'!$L$9:$L$234)</f>
        <v>0</v>
      </c>
      <c r="E194" s="525">
        <f>SUMIF(FACTURACIÓN!$C$8:$C$1082,A194,FACTURACIÓN!$K$8:$K$1082)</f>
        <v>160000</v>
      </c>
      <c r="F194" s="525">
        <f>SUMIF('INGRESOS A CAJA'!$C$10:$C$954,A194,'INGRESOS A CAJA'!$F$10:$F$954)+SUMIF(FACTURACIÓN!$C$8:$C$1082,A194,FACTURACIÓN!$M$8:$M$1082)++SUMIF('CARTERA años anteriores'!$C$9:$C$234,A194,'CARTERA años anteriores'!$M$9:$M$234)</f>
        <v>0</v>
      </c>
      <c r="G194" s="525">
        <f>SUMIF('EGRESOS DE CAJA'!$C$10:$C$2251,A194,'EGRESOS DE CAJA'!$G$10:$G$2251)</f>
        <v>0</v>
      </c>
      <c r="H194" s="512">
        <f t="shared" si="5"/>
        <v>160000</v>
      </c>
      <c r="I194" s="512">
        <f t="shared" si="6"/>
        <v>0</v>
      </c>
      <c r="J194" s="557"/>
      <c r="K194" s="629"/>
    </row>
    <row r="195" spans="1:11" ht="15" x14ac:dyDescent="0.2">
      <c r="A195" s="560">
        <v>187</v>
      </c>
      <c r="B195" s="511" t="str">
        <f>_xlfn.XLOOKUP(A195,Códigos!$A$11:$A$415,Códigos!$B$11:$B$415,"Verificar",0)</f>
        <v>NOMBRE 324</v>
      </c>
      <c r="C195" s="525">
        <f>SUMIF('CARTERA años anteriores'!$C$9:$C$234,A195,'CARTERA años anteriores'!$J$9:$J$234)</f>
        <v>0</v>
      </c>
      <c r="D195" s="525">
        <f>SUMIF('CARTERA años anteriores'!$C$9:$C$234,A195,'CARTERA años anteriores'!$L$9:$L$234)</f>
        <v>0</v>
      </c>
      <c r="E195" s="525">
        <f>SUMIF(FACTURACIÓN!$C$8:$C$1082,A195,FACTURACIÓN!$K$8:$K$1082)</f>
        <v>0</v>
      </c>
      <c r="F195" s="525">
        <f>SUMIF('INGRESOS A CAJA'!$C$10:$C$954,A195,'INGRESOS A CAJA'!$F$10:$F$954)+SUMIF(FACTURACIÓN!$C$8:$C$1082,A195,FACTURACIÓN!$M$8:$M$1082)++SUMIF('CARTERA años anteriores'!$C$9:$C$234,A195,'CARTERA años anteriores'!$M$9:$M$234)</f>
        <v>0</v>
      </c>
      <c r="G195" s="525">
        <f>SUMIF('EGRESOS DE CAJA'!$C$10:$C$2251,A195,'EGRESOS DE CAJA'!$G$10:$G$2251)</f>
        <v>0</v>
      </c>
      <c r="H195" s="512">
        <f t="shared" si="5"/>
        <v>0</v>
      </c>
      <c r="I195" s="512">
        <f t="shared" si="6"/>
        <v>0</v>
      </c>
      <c r="J195" s="557"/>
      <c r="K195" s="629"/>
    </row>
    <row r="196" spans="1:11" ht="15" x14ac:dyDescent="0.2">
      <c r="A196" s="560">
        <v>188</v>
      </c>
      <c r="B196" s="511" t="str">
        <f>_xlfn.XLOOKUP(A196,Códigos!$A$11:$A$415,Códigos!$B$11:$B$415,"Verificar",0)</f>
        <v>NOMBRE 327</v>
      </c>
      <c r="C196" s="525">
        <f>SUMIF('CARTERA años anteriores'!$C$9:$C$234,A196,'CARTERA años anteriores'!$J$9:$J$234)</f>
        <v>0</v>
      </c>
      <c r="D196" s="525">
        <f>SUMIF('CARTERA años anteriores'!$C$9:$C$234,A196,'CARTERA años anteriores'!$L$9:$L$234)</f>
        <v>0</v>
      </c>
      <c r="E196" s="525">
        <f>SUMIF(FACTURACIÓN!$C$8:$C$1082,A196,FACTURACIÓN!$K$8:$K$1082)</f>
        <v>450000</v>
      </c>
      <c r="F196" s="525">
        <f>SUMIF('INGRESOS A CAJA'!$C$10:$C$954,A196,'INGRESOS A CAJA'!$F$10:$F$954)+SUMIF(FACTURACIÓN!$C$8:$C$1082,A196,FACTURACIÓN!$M$8:$M$1082)++SUMIF('CARTERA años anteriores'!$C$9:$C$234,A196,'CARTERA años anteriores'!$M$9:$M$234)</f>
        <v>0</v>
      </c>
      <c r="G196" s="525">
        <f>SUMIF('EGRESOS DE CAJA'!$C$10:$C$2251,A196,'EGRESOS DE CAJA'!$G$10:$G$2251)</f>
        <v>0</v>
      </c>
      <c r="H196" s="512">
        <f t="shared" si="5"/>
        <v>450000</v>
      </c>
      <c r="I196" s="512">
        <f t="shared" si="6"/>
        <v>0</v>
      </c>
      <c r="J196" s="557"/>
      <c r="K196" s="629"/>
    </row>
    <row r="197" spans="1:11" ht="15" x14ac:dyDescent="0.2">
      <c r="A197" s="560">
        <v>189</v>
      </c>
      <c r="B197" s="511" t="str">
        <f>_xlfn.XLOOKUP(A197,Códigos!$A$11:$A$415,Códigos!$B$11:$B$415,"Verificar",0)</f>
        <v>NOMBRE 328</v>
      </c>
      <c r="C197" s="525">
        <f>SUMIF('CARTERA años anteriores'!$C$9:$C$234,A197,'CARTERA años anteriores'!$J$9:$J$234)</f>
        <v>0</v>
      </c>
      <c r="D197" s="525">
        <f>SUMIF('CARTERA años anteriores'!$C$9:$C$234,A197,'CARTERA años anteriores'!$L$9:$L$234)</f>
        <v>0</v>
      </c>
      <c r="E197" s="525">
        <f>SUMIF(FACTURACIÓN!$C$8:$C$1082,A197,FACTURACIÓN!$K$8:$K$1082)</f>
        <v>2050000</v>
      </c>
      <c r="F197" s="525">
        <f>SUMIF('INGRESOS A CAJA'!$C$10:$C$954,A197,'INGRESOS A CAJA'!$F$10:$F$954)+SUMIF(FACTURACIÓN!$C$8:$C$1082,A197,FACTURACIÓN!$M$8:$M$1082)++SUMIF('CARTERA años anteriores'!$C$9:$C$234,A197,'CARTERA años anteriores'!$M$9:$M$234)</f>
        <v>0</v>
      </c>
      <c r="G197" s="525">
        <f>SUMIF('EGRESOS DE CAJA'!$C$10:$C$2251,A197,'EGRESOS DE CAJA'!$G$10:$G$2251)</f>
        <v>0</v>
      </c>
      <c r="H197" s="512">
        <f t="shared" si="5"/>
        <v>2050000</v>
      </c>
      <c r="I197" s="512">
        <f t="shared" si="6"/>
        <v>0</v>
      </c>
      <c r="J197" s="557"/>
      <c r="K197" s="629"/>
    </row>
    <row r="198" spans="1:11" ht="15" x14ac:dyDescent="0.2">
      <c r="A198" s="560">
        <v>190</v>
      </c>
      <c r="B198" s="511" t="str">
        <f>_xlfn.XLOOKUP(A198,Códigos!$A$11:$A$415,Códigos!$B$11:$B$415,"Verificar",0)</f>
        <v>NOMBRE 329</v>
      </c>
      <c r="C198" s="525">
        <f>SUMIF('CARTERA años anteriores'!$C$9:$C$234,A198,'CARTERA años anteriores'!$J$9:$J$234)</f>
        <v>0</v>
      </c>
      <c r="D198" s="525">
        <f>SUMIF('CARTERA años anteriores'!$C$9:$C$234,A198,'CARTERA años anteriores'!$L$9:$L$234)</f>
        <v>0</v>
      </c>
      <c r="E198" s="525">
        <f>SUMIF(FACTURACIÓN!$C$8:$C$1082,A198,FACTURACIÓN!$K$8:$K$1082)</f>
        <v>0</v>
      </c>
      <c r="F198" s="525">
        <f>SUMIF('INGRESOS A CAJA'!$C$10:$C$954,A198,'INGRESOS A CAJA'!$F$10:$F$954)+SUMIF(FACTURACIÓN!$C$8:$C$1082,A198,FACTURACIÓN!$M$8:$M$1082)++SUMIF('CARTERA años anteriores'!$C$9:$C$234,A198,'CARTERA años anteriores'!$M$9:$M$234)</f>
        <v>0</v>
      </c>
      <c r="G198" s="525">
        <f>SUMIF('EGRESOS DE CAJA'!$C$10:$C$2251,A198,'EGRESOS DE CAJA'!$G$10:$G$2251)</f>
        <v>0</v>
      </c>
      <c r="H198" s="512">
        <f t="shared" si="5"/>
        <v>0</v>
      </c>
      <c r="I198" s="512">
        <f t="shared" si="6"/>
        <v>0</v>
      </c>
      <c r="J198" s="557"/>
      <c r="K198" s="629"/>
    </row>
    <row r="199" spans="1:11" ht="15" x14ac:dyDescent="0.2">
      <c r="A199" s="560">
        <v>191</v>
      </c>
      <c r="B199" s="511" t="str">
        <f>_xlfn.XLOOKUP(A199,Códigos!$A$11:$A$415,Códigos!$B$11:$B$415,"Verificar",0)</f>
        <v>NOMBRE 330</v>
      </c>
      <c r="C199" s="525">
        <f>SUMIF('CARTERA años anteriores'!$C$9:$C$234,A199,'CARTERA años anteriores'!$J$9:$J$234)</f>
        <v>0</v>
      </c>
      <c r="D199" s="525">
        <f>SUMIF('CARTERA años anteriores'!$C$9:$C$234,A199,'CARTERA años anteriores'!$L$9:$L$234)</f>
        <v>0</v>
      </c>
      <c r="E199" s="525">
        <f>SUMIF(FACTURACIÓN!$C$8:$C$1082,A199,FACTURACIÓN!$K$8:$K$1082)</f>
        <v>0</v>
      </c>
      <c r="F199" s="525">
        <f>SUMIF('INGRESOS A CAJA'!$C$10:$C$954,A199,'INGRESOS A CAJA'!$F$10:$F$954)+SUMIF(FACTURACIÓN!$C$8:$C$1082,A199,FACTURACIÓN!$M$8:$M$1082)++SUMIF('CARTERA años anteriores'!$C$9:$C$234,A199,'CARTERA años anteriores'!$M$9:$M$234)</f>
        <v>0</v>
      </c>
      <c r="G199" s="525">
        <f>SUMIF('EGRESOS DE CAJA'!$C$10:$C$2251,A199,'EGRESOS DE CAJA'!$G$10:$G$2251)</f>
        <v>0</v>
      </c>
      <c r="H199" s="512">
        <f t="shared" si="5"/>
        <v>0</v>
      </c>
      <c r="I199" s="512">
        <f t="shared" si="6"/>
        <v>0</v>
      </c>
      <c r="J199" s="557"/>
      <c r="K199" s="629"/>
    </row>
    <row r="200" spans="1:11" ht="15" x14ac:dyDescent="0.2">
      <c r="A200" s="560">
        <v>192</v>
      </c>
      <c r="B200" s="511" t="str">
        <f>_xlfn.XLOOKUP(A200,Códigos!$A$11:$A$415,Códigos!$B$11:$B$415,"Verificar",0)</f>
        <v>NOMBRE 331</v>
      </c>
      <c r="C200" s="525">
        <f>SUMIF('CARTERA años anteriores'!$C$9:$C$234,A200,'CARTERA años anteriores'!$J$9:$J$234)</f>
        <v>0</v>
      </c>
      <c r="D200" s="525">
        <f>SUMIF('CARTERA años anteriores'!$C$9:$C$234,A200,'CARTERA años anteriores'!$L$9:$L$234)</f>
        <v>0</v>
      </c>
      <c r="E200" s="525">
        <f>SUMIF(FACTURACIÓN!$C$8:$C$1082,A200,FACTURACIÓN!$K$8:$K$1082)</f>
        <v>730000</v>
      </c>
      <c r="F200" s="525">
        <f>SUMIF('INGRESOS A CAJA'!$C$10:$C$954,A200,'INGRESOS A CAJA'!$F$10:$F$954)+SUMIF(FACTURACIÓN!$C$8:$C$1082,A200,FACTURACIÓN!$M$8:$M$1082)++SUMIF('CARTERA años anteriores'!$C$9:$C$234,A200,'CARTERA años anteriores'!$M$9:$M$234)</f>
        <v>0</v>
      </c>
      <c r="G200" s="525">
        <f>SUMIF('EGRESOS DE CAJA'!$C$10:$C$2251,A200,'EGRESOS DE CAJA'!$G$10:$G$2251)</f>
        <v>0</v>
      </c>
      <c r="H200" s="512">
        <f t="shared" si="5"/>
        <v>730000</v>
      </c>
      <c r="I200" s="512">
        <f t="shared" si="6"/>
        <v>0</v>
      </c>
      <c r="J200" s="557"/>
      <c r="K200" s="629"/>
    </row>
    <row r="201" spans="1:11" ht="15" x14ac:dyDescent="0.2">
      <c r="A201" s="560">
        <v>193</v>
      </c>
      <c r="B201" s="511" t="str">
        <f>_xlfn.XLOOKUP(A201,Códigos!$A$11:$A$415,Códigos!$B$11:$B$415,"Verificar",0)</f>
        <v>NOMBRE 332</v>
      </c>
      <c r="C201" s="525">
        <f>SUMIF('CARTERA años anteriores'!$C$9:$C$234,A201,'CARTERA años anteriores'!$J$9:$J$234)</f>
        <v>0</v>
      </c>
      <c r="D201" s="525">
        <f>SUMIF('CARTERA años anteriores'!$C$9:$C$234,A201,'CARTERA años anteriores'!$L$9:$L$234)</f>
        <v>0</v>
      </c>
      <c r="E201" s="525">
        <f>SUMIF(FACTURACIÓN!$C$8:$C$1082,A201,FACTURACIÓN!$K$8:$K$1082)</f>
        <v>470000</v>
      </c>
      <c r="F201" s="525">
        <f>SUMIF('INGRESOS A CAJA'!$C$10:$C$954,A201,'INGRESOS A CAJA'!$F$10:$F$954)+SUMIF(FACTURACIÓN!$C$8:$C$1082,A201,FACTURACIÓN!$M$8:$M$1082)++SUMIF('CARTERA años anteriores'!$C$9:$C$234,A201,'CARTERA años anteriores'!$M$9:$M$234)</f>
        <v>0</v>
      </c>
      <c r="G201" s="525">
        <f>SUMIF('EGRESOS DE CAJA'!$C$10:$C$2251,A201,'EGRESOS DE CAJA'!$G$10:$G$2251)</f>
        <v>0</v>
      </c>
      <c r="H201" s="512">
        <f t="shared" si="5"/>
        <v>470000</v>
      </c>
      <c r="I201" s="512">
        <f t="shared" si="6"/>
        <v>0</v>
      </c>
      <c r="J201" s="557"/>
      <c r="K201" s="629"/>
    </row>
    <row r="202" spans="1:11" ht="15" x14ac:dyDescent="0.2">
      <c r="A202" s="560">
        <v>194</v>
      </c>
      <c r="B202" s="511" t="str">
        <f>_xlfn.XLOOKUP(A202,Códigos!$A$11:$A$415,Códigos!$B$11:$B$415,"Verificar",0)</f>
        <v>NOMBRE 333</v>
      </c>
      <c r="C202" s="525">
        <f>SUMIF('CARTERA años anteriores'!$C$9:$C$234,A202,'CARTERA años anteriores'!$J$9:$J$234)</f>
        <v>450000</v>
      </c>
      <c r="D202" s="525">
        <f>SUMIF('CARTERA años anteriores'!$C$9:$C$234,A202,'CARTERA años anteriores'!$L$9:$L$234)</f>
        <v>450000</v>
      </c>
      <c r="E202" s="525">
        <f>SUMIF(FACTURACIÓN!$C$8:$C$1082,A202,FACTURACIÓN!$K$8:$K$1082)</f>
        <v>470000</v>
      </c>
      <c r="F202" s="525">
        <f>SUMIF('INGRESOS A CAJA'!$C$10:$C$954,A202,'INGRESOS A CAJA'!$F$10:$F$954)+SUMIF(FACTURACIÓN!$C$8:$C$1082,A202,FACTURACIÓN!$M$8:$M$1082)++SUMIF('CARTERA años anteriores'!$C$9:$C$234,A202,'CARTERA años anteriores'!$M$9:$M$234)</f>
        <v>450000</v>
      </c>
      <c r="G202" s="525">
        <f>SUMIF('EGRESOS DE CAJA'!$C$10:$C$2251,A202,'EGRESOS DE CAJA'!$G$10:$G$2251)</f>
        <v>0</v>
      </c>
      <c r="H202" s="512">
        <f t="shared" si="5"/>
        <v>470000</v>
      </c>
      <c r="I202" s="512">
        <f t="shared" si="6"/>
        <v>0</v>
      </c>
      <c r="J202" s="557"/>
      <c r="K202" s="629"/>
    </row>
    <row r="203" spans="1:11" ht="15" x14ac:dyDescent="0.2">
      <c r="A203" s="560">
        <v>195</v>
      </c>
      <c r="B203" s="511" t="str">
        <f>_xlfn.XLOOKUP(A203,Códigos!$A$11:$A$415,Códigos!$B$11:$B$415,"Verificar",0)</f>
        <v>NOMBRE 233</v>
      </c>
      <c r="C203" s="525">
        <f>SUMIF('CARTERA años anteriores'!$C$9:$C$234,A203,'CARTERA años anteriores'!$J$9:$J$234)</f>
        <v>0</v>
      </c>
      <c r="D203" s="525">
        <f>SUMIF('CARTERA años anteriores'!$C$9:$C$234,A203,'CARTERA años anteriores'!$L$9:$L$234)</f>
        <v>0</v>
      </c>
      <c r="E203" s="525">
        <f>SUMIF(FACTURACIÓN!$C$8:$C$1082,A203,FACTURACIÓN!$K$8:$K$1082)</f>
        <v>470000</v>
      </c>
      <c r="F203" s="525">
        <f>SUMIF('INGRESOS A CAJA'!$C$10:$C$954,A203,'INGRESOS A CAJA'!$F$10:$F$954)+SUMIF(FACTURACIÓN!$C$8:$C$1082,A203,FACTURACIÓN!$M$8:$M$1082)++SUMIF('CARTERA años anteriores'!$C$9:$C$234,A203,'CARTERA años anteriores'!$M$9:$M$234)</f>
        <v>0</v>
      </c>
      <c r="G203" s="525">
        <f>SUMIF('EGRESOS DE CAJA'!$C$10:$C$2251,A203,'EGRESOS DE CAJA'!$G$10:$G$2251)</f>
        <v>0</v>
      </c>
      <c r="H203" s="512">
        <f t="shared" si="5"/>
        <v>470000</v>
      </c>
      <c r="I203" s="512">
        <f t="shared" si="6"/>
        <v>0</v>
      </c>
      <c r="J203" s="557"/>
      <c r="K203" s="629"/>
    </row>
    <row r="204" spans="1:11" ht="15" x14ac:dyDescent="0.2">
      <c r="A204" s="560">
        <v>196</v>
      </c>
      <c r="B204" s="511" t="str">
        <f>_xlfn.XLOOKUP(A204,Códigos!$A$11:$A$415,Códigos!$B$11:$B$415,"Verificar",0)</f>
        <v>NOMBRE 165</v>
      </c>
      <c r="C204" s="525">
        <f>SUMIF('CARTERA años anteriores'!$C$9:$C$234,A204,'CARTERA años anteriores'!$J$9:$J$234)</f>
        <v>7200</v>
      </c>
      <c r="D204" s="525">
        <f>SUMIF('CARTERA años anteriores'!$C$9:$C$234,A204,'CARTERA años anteriores'!$L$9:$L$234)</f>
        <v>0</v>
      </c>
      <c r="E204" s="525">
        <f>SUMIF(FACTURACIÓN!$C$8:$C$1082,A204,FACTURACIÓN!$K$8:$K$1082)</f>
        <v>0</v>
      </c>
      <c r="F204" s="525">
        <f>SUMIF('INGRESOS A CAJA'!$C$10:$C$954,A204,'INGRESOS A CAJA'!$F$10:$F$954)+SUMIF(FACTURACIÓN!$C$8:$C$1082,A204,FACTURACIÓN!$M$8:$M$1082)++SUMIF('CARTERA años anteriores'!$C$9:$C$234,A204,'CARTERA años anteriores'!$M$9:$M$234)</f>
        <v>0</v>
      </c>
      <c r="G204" s="525">
        <f>SUMIF('EGRESOS DE CAJA'!$C$10:$C$2251,A204,'EGRESOS DE CAJA'!$G$10:$G$2251)</f>
        <v>0</v>
      </c>
      <c r="H204" s="512">
        <f t="shared" si="5"/>
        <v>7200</v>
      </c>
      <c r="I204" s="512">
        <f t="shared" si="6"/>
        <v>0</v>
      </c>
      <c r="J204" s="557"/>
      <c r="K204" s="629"/>
    </row>
    <row r="205" spans="1:11" ht="15" x14ac:dyDescent="0.2">
      <c r="A205" s="560">
        <v>197</v>
      </c>
      <c r="B205" s="511" t="str">
        <f>_xlfn.XLOOKUP(A205,Códigos!$A$11:$A$415,Códigos!$B$11:$B$415,"Verificar",0)</f>
        <v>NOMBRE 334</v>
      </c>
      <c r="C205" s="525">
        <f>SUMIF('CARTERA años anteriores'!$C$9:$C$234,A205,'CARTERA años anteriores'!$J$9:$J$234)</f>
        <v>0</v>
      </c>
      <c r="D205" s="525">
        <f>SUMIF('CARTERA años anteriores'!$C$9:$C$234,A205,'CARTERA años anteriores'!$L$9:$L$234)</f>
        <v>0</v>
      </c>
      <c r="E205" s="525">
        <f>SUMIF(FACTURACIÓN!$C$8:$C$1082,A205,FACTURACIÓN!$K$8:$K$1082)</f>
        <v>0</v>
      </c>
      <c r="F205" s="525">
        <f>SUMIF('INGRESOS A CAJA'!$C$10:$C$954,A205,'INGRESOS A CAJA'!$F$10:$F$954)+SUMIF(FACTURACIÓN!$C$8:$C$1082,A205,FACTURACIÓN!$M$8:$M$1082)++SUMIF('CARTERA años anteriores'!$C$9:$C$234,A205,'CARTERA años anteriores'!$M$9:$M$234)</f>
        <v>0</v>
      </c>
      <c r="G205" s="525">
        <f>SUMIF('EGRESOS DE CAJA'!$C$10:$C$2251,A205,'EGRESOS DE CAJA'!$G$10:$G$2251)</f>
        <v>0</v>
      </c>
      <c r="H205" s="512">
        <f t="shared" si="5"/>
        <v>0</v>
      </c>
      <c r="I205" s="512">
        <f t="shared" si="6"/>
        <v>0</v>
      </c>
      <c r="J205" s="557"/>
      <c r="K205" s="629"/>
    </row>
    <row r="206" spans="1:11" ht="15" x14ac:dyDescent="0.2">
      <c r="A206" s="676">
        <v>198</v>
      </c>
      <c r="B206" s="887" t="str">
        <f>_xlfn.XLOOKUP(A206,Códigos!$A$11:$A$415,Códigos!$B$11:$B$415,"Verificar",0)</f>
        <v>NOMBRE 336</v>
      </c>
      <c r="C206" s="525">
        <f>SUMIF('CARTERA años anteriores'!$C$9:$C$234,A206,'CARTERA años anteriores'!$J$9:$J$234)</f>
        <v>430000</v>
      </c>
      <c r="D206" s="525">
        <f>SUMIF('CARTERA años anteriores'!$C$9:$C$234,A206,'CARTERA años anteriores'!$L$9:$L$234)</f>
        <v>385000</v>
      </c>
      <c r="E206" s="889">
        <f>SUMIF(FACTURACIÓN!$C$8:$C$1082,A206,FACTURACIÓN!$K$8:$K$1082)</f>
        <v>450000</v>
      </c>
      <c r="F206" s="525">
        <f>SUMIF('INGRESOS A CAJA'!$C$10:$C$954,A206,'INGRESOS A CAJA'!$F$10:$F$954)+SUMIF(FACTURACIÓN!$C$8:$C$1082,A206,FACTURACIÓN!$M$8:$M$1082)++SUMIF('CARTERA años anteriores'!$C$9:$C$234,A206,'CARTERA años anteriores'!$M$9:$M$234)</f>
        <v>430000</v>
      </c>
      <c r="G206" s="889">
        <f>SUMIF('EGRESOS DE CAJA'!$C$10:$C$2251,A206,'EGRESOS DE CAJA'!$G$10:$G$2251)</f>
        <v>0</v>
      </c>
      <c r="H206" s="890">
        <f>IF((+C206-D206*0+E206-F206+G206)&gt;0,(+C206-D206*0+E206-F206+G206),0)</f>
        <v>450000</v>
      </c>
      <c r="I206" s="512">
        <f t="shared" si="6"/>
        <v>0</v>
      </c>
      <c r="J206" s="557"/>
      <c r="K206" s="629"/>
    </row>
    <row r="207" spans="1:11" ht="15" x14ac:dyDescent="0.2">
      <c r="A207" s="560">
        <v>199</v>
      </c>
      <c r="B207" s="511" t="str">
        <f>_xlfn.XLOOKUP(A207,Códigos!$A$11:$A$415,Códigos!$B$11:$B$415,"Verificar",0)</f>
        <v>NOMBRE 337</v>
      </c>
      <c r="C207" s="525">
        <f>SUMIF('CARTERA años anteriores'!$C$9:$C$234,A207,'CARTERA años anteriores'!$J$9:$J$234)</f>
        <v>0</v>
      </c>
      <c r="D207" s="525">
        <f>SUMIF('CARTERA años anteriores'!$C$9:$C$234,A207,'CARTERA años anteriores'!$L$9:$L$234)</f>
        <v>0</v>
      </c>
      <c r="E207" s="525">
        <f>SUMIF(FACTURACIÓN!$C$8:$C$1082,A207,FACTURACIÓN!$K$8:$K$1082)</f>
        <v>0</v>
      </c>
      <c r="F207" s="525">
        <f>SUMIF('INGRESOS A CAJA'!$C$10:$C$954,A207,'INGRESOS A CAJA'!$F$10:$F$954)+SUMIF(FACTURACIÓN!$C$8:$C$1082,A207,FACTURACIÓN!$M$8:$M$1082)++SUMIF('CARTERA años anteriores'!$C$9:$C$234,A207,'CARTERA años anteriores'!$M$9:$M$234)</f>
        <v>0</v>
      </c>
      <c r="G207" s="525">
        <f>SUMIF('EGRESOS DE CAJA'!$C$10:$C$2251,A207,'EGRESOS DE CAJA'!$G$10:$G$2251)</f>
        <v>0</v>
      </c>
      <c r="H207" s="512">
        <f t="shared" ref="H207:H270" si="7">IF((+C207-D207*0+E207-F207+G207)&gt;0,(+C207-D207*0+E207-F207+G207),0)</f>
        <v>0</v>
      </c>
      <c r="I207" s="512">
        <f t="shared" si="6"/>
        <v>0</v>
      </c>
      <c r="J207" s="557"/>
      <c r="K207" s="629"/>
    </row>
    <row r="208" spans="1:11" ht="15" x14ac:dyDescent="0.2">
      <c r="A208" s="560">
        <v>200</v>
      </c>
      <c r="B208" s="511" t="str">
        <f>_xlfn.XLOOKUP(A208,Códigos!$A$11:$A$415,Códigos!$B$11:$B$415,"Verificar",0)</f>
        <v>NOMBRE 339</v>
      </c>
      <c r="C208" s="525">
        <f>SUMIF('CARTERA años anteriores'!$C$9:$C$234,A208,'CARTERA años anteriores'!$J$9:$J$234)</f>
        <v>0</v>
      </c>
      <c r="D208" s="525">
        <f>SUMIF('CARTERA años anteriores'!$C$9:$C$234,A208,'CARTERA años anteriores'!$L$9:$L$234)</f>
        <v>0</v>
      </c>
      <c r="E208" s="525">
        <f>SUMIF(FACTURACIÓN!$C$8:$C$1082,A208,FACTURACIÓN!$K$8:$K$1082)</f>
        <v>470000</v>
      </c>
      <c r="F208" s="525">
        <f>SUMIF('INGRESOS A CAJA'!$C$10:$C$954,A208,'INGRESOS A CAJA'!$F$10:$F$954)+SUMIF(FACTURACIÓN!$C$8:$C$1082,A208,FACTURACIÓN!$M$8:$M$1082)++SUMIF('CARTERA años anteriores'!$C$9:$C$234,A208,'CARTERA años anteriores'!$M$9:$M$234)</f>
        <v>0</v>
      </c>
      <c r="G208" s="525">
        <f>SUMIF('EGRESOS DE CAJA'!$C$10:$C$2251,A208,'EGRESOS DE CAJA'!$G$10:$G$2251)</f>
        <v>0</v>
      </c>
      <c r="H208" s="512">
        <f t="shared" si="7"/>
        <v>470000</v>
      </c>
      <c r="I208" s="512">
        <f t="shared" ref="I208:I269" si="8">IF((+C208-D208+E208-F208+G208)&lt;0,(+C208-D208+E208-F208+G208),0)</f>
        <v>0</v>
      </c>
      <c r="J208" s="557"/>
      <c r="K208" s="629"/>
    </row>
    <row r="209" spans="1:11" ht="15" x14ac:dyDescent="0.2">
      <c r="A209" s="560">
        <v>201</v>
      </c>
      <c r="B209" s="511" t="str">
        <f>_xlfn.XLOOKUP(A209,Códigos!$A$11:$A$415,Códigos!$B$11:$B$415,"Verificar",0)</f>
        <v>NOMBRE 321</v>
      </c>
      <c r="C209" s="525">
        <f>SUMIF('CARTERA años anteriores'!$C$9:$C$234,A209,'CARTERA años anteriores'!$J$9:$J$234)</f>
        <v>0</v>
      </c>
      <c r="D209" s="525">
        <f>SUMIF('CARTERA años anteriores'!$C$9:$C$234,A209,'CARTERA años anteriores'!$L$9:$L$234)</f>
        <v>0</v>
      </c>
      <c r="E209" s="525">
        <f>SUMIF(FACTURACIÓN!$C$8:$C$1082,A209,FACTURACIÓN!$K$8:$K$1082)</f>
        <v>120000</v>
      </c>
      <c r="F209" s="525">
        <f>SUMIF('INGRESOS A CAJA'!$C$10:$C$954,A209,'INGRESOS A CAJA'!$F$10:$F$954)+SUMIF(FACTURACIÓN!$C$8:$C$1082,A209,FACTURACIÓN!$M$8:$M$1082)++SUMIF('CARTERA años anteriores'!$C$9:$C$234,A209,'CARTERA años anteriores'!$M$9:$M$234)</f>
        <v>0</v>
      </c>
      <c r="G209" s="525">
        <f>SUMIF('EGRESOS DE CAJA'!$C$10:$C$2251,A209,'EGRESOS DE CAJA'!$G$10:$G$2251)</f>
        <v>0</v>
      </c>
      <c r="H209" s="512">
        <f t="shared" si="7"/>
        <v>120000</v>
      </c>
      <c r="I209" s="512">
        <f t="shared" si="8"/>
        <v>0</v>
      </c>
      <c r="J209" s="557"/>
      <c r="K209" s="629"/>
    </row>
    <row r="210" spans="1:11" ht="15" x14ac:dyDescent="0.2">
      <c r="A210" s="560">
        <v>202</v>
      </c>
      <c r="B210" s="511" t="str">
        <f>_xlfn.XLOOKUP(A210,Códigos!$A$11:$A$415,Códigos!$B$11:$B$415,"Verificar",0)</f>
        <v>NOMBRE 342</v>
      </c>
      <c r="C210" s="525">
        <f>SUMIF('CARTERA años anteriores'!$C$9:$C$234,A210,'CARTERA años anteriores'!$J$9:$J$234)</f>
        <v>0</v>
      </c>
      <c r="D210" s="525">
        <f>SUMIF('CARTERA años anteriores'!$C$9:$C$234,A210,'CARTERA años anteriores'!$L$9:$L$234)</f>
        <v>0</v>
      </c>
      <c r="E210" s="525">
        <f>SUMIF(FACTURACIÓN!$C$8:$C$1082,A210,FACTURACIÓN!$K$8:$K$1082)</f>
        <v>350000</v>
      </c>
      <c r="F210" s="525">
        <f>SUMIF('INGRESOS A CAJA'!$C$10:$C$954,A210,'INGRESOS A CAJA'!$F$10:$F$954)+SUMIF(FACTURACIÓN!$C$8:$C$1082,A210,FACTURACIÓN!$M$8:$M$1082)++SUMIF('CARTERA años anteriores'!$C$9:$C$234,A210,'CARTERA años anteriores'!$M$9:$M$234)</f>
        <v>0</v>
      </c>
      <c r="G210" s="525">
        <f>SUMIF('EGRESOS DE CAJA'!$C$10:$C$2251,A210,'EGRESOS DE CAJA'!$G$10:$G$2251)</f>
        <v>0</v>
      </c>
      <c r="H210" s="512">
        <f t="shared" si="7"/>
        <v>350000</v>
      </c>
      <c r="I210" s="512">
        <f t="shared" si="8"/>
        <v>0</v>
      </c>
      <c r="J210" s="557"/>
      <c r="K210" s="629"/>
    </row>
    <row r="211" spans="1:11" ht="15" x14ac:dyDescent="0.2">
      <c r="A211" s="560">
        <v>203</v>
      </c>
      <c r="B211" s="511" t="str">
        <f>_xlfn.XLOOKUP(A211,Códigos!$A$11:$A$415,Códigos!$B$11:$B$415,"Verificar",0)</f>
        <v>NOMBRE 344</v>
      </c>
      <c r="C211" s="525">
        <f>SUMIF('CARTERA años anteriores'!$C$9:$C$234,A211,'CARTERA años anteriores'!$J$9:$J$234)</f>
        <v>0</v>
      </c>
      <c r="D211" s="525">
        <f>SUMIF('CARTERA años anteriores'!$C$9:$C$234,A211,'CARTERA años anteriores'!$L$9:$L$234)</f>
        <v>0</v>
      </c>
      <c r="E211" s="525">
        <f>SUMIF(FACTURACIÓN!$C$8:$C$1082,A211,FACTURACIÓN!$K$8:$K$1082)</f>
        <v>1840000</v>
      </c>
      <c r="F211" s="525">
        <f>SUMIF('INGRESOS A CAJA'!$C$10:$C$954,A211,'INGRESOS A CAJA'!$F$10:$F$954)+SUMIF(FACTURACIÓN!$C$8:$C$1082,A211,FACTURACIÓN!$M$8:$M$1082)++SUMIF('CARTERA años anteriores'!$C$9:$C$234,A211,'CARTERA años anteriores'!$M$9:$M$234)</f>
        <v>0</v>
      </c>
      <c r="G211" s="525">
        <f>SUMIF('EGRESOS DE CAJA'!$C$10:$C$2251,A211,'EGRESOS DE CAJA'!$G$10:$G$2251)</f>
        <v>0</v>
      </c>
      <c r="H211" s="512">
        <f t="shared" si="7"/>
        <v>1840000</v>
      </c>
      <c r="I211" s="512">
        <f t="shared" si="8"/>
        <v>0</v>
      </c>
      <c r="J211" s="557"/>
      <c r="K211" s="629"/>
    </row>
    <row r="212" spans="1:11" ht="15" x14ac:dyDescent="0.2">
      <c r="A212" s="560">
        <v>204</v>
      </c>
      <c r="B212" s="511" t="str">
        <f>_xlfn.XLOOKUP(A212,Códigos!$A$11:$A$415,Códigos!$B$11:$B$415,"Verificar",0)</f>
        <v>NOMBRE 346</v>
      </c>
      <c r="C212" s="525">
        <f>SUMIF('CARTERA años anteriores'!$C$9:$C$234,A212,'CARTERA años anteriores'!$J$9:$J$234)</f>
        <v>0</v>
      </c>
      <c r="D212" s="525">
        <f>SUMIF('CARTERA años anteriores'!$C$9:$C$234,A212,'CARTERA años anteriores'!$L$9:$L$234)</f>
        <v>0</v>
      </c>
      <c r="E212" s="525">
        <f>SUMIF(FACTURACIÓN!$C$8:$C$1082,A212,FACTURACIÓN!$K$8:$K$1082)</f>
        <v>0</v>
      </c>
      <c r="F212" s="525">
        <f>SUMIF('INGRESOS A CAJA'!$C$10:$C$954,A212,'INGRESOS A CAJA'!$F$10:$F$954)+SUMIF(FACTURACIÓN!$C$8:$C$1082,A212,FACTURACIÓN!$M$8:$M$1082)++SUMIF('CARTERA años anteriores'!$C$9:$C$234,A212,'CARTERA años anteriores'!$M$9:$M$234)</f>
        <v>0</v>
      </c>
      <c r="G212" s="525">
        <f>SUMIF('EGRESOS DE CAJA'!$C$10:$C$2251,A212,'EGRESOS DE CAJA'!$G$10:$G$2251)</f>
        <v>0</v>
      </c>
      <c r="H212" s="512">
        <f t="shared" si="7"/>
        <v>0</v>
      </c>
      <c r="I212" s="512">
        <f t="shared" si="8"/>
        <v>0</v>
      </c>
      <c r="J212" s="557"/>
      <c r="K212" s="629"/>
    </row>
    <row r="213" spans="1:11" ht="15" x14ac:dyDescent="0.2">
      <c r="A213" s="560">
        <v>205</v>
      </c>
      <c r="B213" s="511" t="str">
        <f>_xlfn.XLOOKUP(A213,Códigos!$A$11:$A$415,Códigos!$B$11:$B$415,"Verificar",0)</f>
        <v>NOMBRE 322</v>
      </c>
      <c r="C213" s="525">
        <f>SUMIF('CARTERA años anteriores'!$C$9:$C$234,A213,'CARTERA años anteriores'!$J$9:$J$234)</f>
        <v>0</v>
      </c>
      <c r="D213" s="525">
        <f>SUMIF('CARTERA años anteriores'!$C$9:$C$234,A213,'CARTERA años anteriores'!$L$9:$L$234)</f>
        <v>0</v>
      </c>
      <c r="E213" s="525">
        <f>SUMIF(FACTURACIÓN!$C$8:$C$1082,A213,FACTURACIÓN!$K$8:$K$1082)</f>
        <v>120000</v>
      </c>
      <c r="F213" s="525">
        <f>SUMIF('INGRESOS A CAJA'!$C$10:$C$954,A213,'INGRESOS A CAJA'!$F$10:$F$954)+SUMIF(FACTURACIÓN!$C$8:$C$1082,A213,FACTURACIÓN!$M$8:$M$1082)++SUMIF('CARTERA años anteriores'!$C$9:$C$234,A213,'CARTERA años anteriores'!$M$9:$M$234)</f>
        <v>0</v>
      </c>
      <c r="G213" s="525">
        <f>SUMIF('EGRESOS DE CAJA'!$C$10:$C$2251,A213,'EGRESOS DE CAJA'!$G$10:$G$2251)</f>
        <v>0</v>
      </c>
      <c r="H213" s="512">
        <f t="shared" si="7"/>
        <v>120000</v>
      </c>
      <c r="I213" s="512">
        <f t="shared" si="8"/>
        <v>0</v>
      </c>
      <c r="J213" s="557"/>
      <c r="K213" s="629"/>
    </row>
    <row r="214" spans="1:11" ht="15" x14ac:dyDescent="0.2">
      <c r="A214" s="560">
        <v>206</v>
      </c>
      <c r="B214" s="511" t="str">
        <f>_xlfn.XLOOKUP(A214,Códigos!$A$11:$A$415,Códigos!$B$11:$B$415,"Verificar",0)</f>
        <v>NOMBRE 349</v>
      </c>
      <c r="C214" s="525">
        <f>SUMIF('CARTERA años anteriores'!$C$9:$C$234,A214,'CARTERA años anteriores'!$J$9:$J$234)</f>
        <v>1750000</v>
      </c>
      <c r="D214" s="525">
        <f>SUMIF('CARTERA años anteriores'!$C$9:$C$234,A214,'CARTERA años anteriores'!$L$9:$L$234)</f>
        <v>0</v>
      </c>
      <c r="E214" s="525">
        <f>SUMIF(FACTURACIÓN!$C$8:$C$1082,A214,FACTURACIÓN!$K$8:$K$1082)</f>
        <v>0</v>
      </c>
      <c r="F214" s="525">
        <f>SUMIF('INGRESOS A CAJA'!$C$10:$C$954,A214,'INGRESOS A CAJA'!$F$10:$F$954)+SUMIF(FACTURACIÓN!$C$8:$C$1082,A214,FACTURACIÓN!$M$8:$M$1082)++SUMIF('CARTERA años anteriores'!$C$9:$C$234,A214,'CARTERA años anteriores'!$M$9:$M$234)</f>
        <v>0</v>
      </c>
      <c r="G214" s="525">
        <f>SUMIF('EGRESOS DE CAJA'!$C$10:$C$2251,A214,'EGRESOS DE CAJA'!$G$10:$G$2251)</f>
        <v>0</v>
      </c>
      <c r="H214" s="512">
        <f t="shared" si="7"/>
        <v>1750000</v>
      </c>
      <c r="I214" s="512">
        <f t="shared" si="8"/>
        <v>0</v>
      </c>
      <c r="J214" s="557"/>
      <c r="K214" s="629"/>
    </row>
    <row r="215" spans="1:11" ht="15" x14ac:dyDescent="0.2">
      <c r="A215" s="560">
        <v>207</v>
      </c>
      <c r="B215" s="511" t="str">
        <f>_xlfn.XLOOKUP(A215,Códigos!$A$11:$A$415,Códigos!$B$11:$B$415,"Verificar",0)</f>
        <v>NOMBRE 350</v>
      </c>
      <c r="C215" s="525">
        <f>SUMIF('CARTERA años anteriores'!$C$9:$C$234,A215,'CARTERA años anteriores'!$J$9:$J$234)</f>
        <v>0</v>
      </c>
      <c r="D215" s="525">
        <f>SUMIF('CARTERA años anteriores'!$C$9:$C$234,A215,'CARTERA años anteriores'!$L$9:$L$234)</f>
        <v>0</v>
      </c>
      <c r="E215" s="525">
        <f>SUMIF(FACTURACIÓN!$C$8:$C$1082,A215,FACTURACIÓN!$K$8:$K$1082)</f>
        <v>0</v>
      </c>
      <c r="F215" s="525">
        <f>SUMIF('INGRESOS A CAJA'!$C$10:$C$954,A215,'INGRESOS A CAJA'!$F$10:$F$954)+SUMIF(FACTURACIÓN!$C$8:$C$1082,A215,FACTURACIÓN!$M$8:$M$1082)++SUMIF('CARTERA años anteriores'!$C$9:$C$234,A215,'CARTERA años anteriores'!$M$9:$M$234)</f>
        <v>0</v>
      </c>
      <c r="G215" s="525">
        <f>SUMIF('EGRESOS DE CAJA'!$C$10:$C$2251,A215,'EGRESOS DE CAJA'!$G$10:$G$2251)</f>
        <v>0</v>
      </c>
      <c r="H215" s="512">
        <f t="shared" si="7"/>
        <v>0</v>
      </c>
      <c r="I215" s="512">
        <f t="shared" si="8"/>
        <v>0</v>
      </c>
      <c r="J215" s="557"/>
      <c r="K215" s="630"/>
    </row>
    <row r="216" spans="1:11" ht="15" x14ac:dyDescent="0.2">
      <c r="A216" s="560">
        <v>208</v>
      </c>
      <c r="B216" s="511" t="str">
        <f>_xlfn.XLOOKUP(A216,Códigos!$A$11:$A$415,Códigos!$B$11:$B$415,"Verificar",0)</f>
        <v>NOMBRE 351</v>
      </c>
      <c r="C216" s="525">
        <f>SUMIF('CARTERA años anteriores'!$C$9:$C$234,A216,'CARTERA años anteriores'!$J$9:$J$234)</f>
        <v>0</v>
      </c>
      <c r="D216" s="525">
        <f>SUMIF('CARTERA años anteriores'!$C$9:$C$234,A216,'CARTERA años anteriores'!$L$9:$L$234)</f>
        <v>0</v>
      </c>
      <c r="E216" s="525">
        <f>SUMIF(FACTURACIÓN!$C$8:$C$1082,A216,FACTURACIÓN!$K$8:$K$1082)</f>
        <v>0</v>
      </c>
      <c r="F216" s="525">
        <f>SUMIF('INGRESOS A CAJA'!$C$10:$C$954,A216,'INGRESOS A CAJA'!$F$10:$F$954)+SUMIF(FACTURACIÓN!$C$8:$C$1082,A216,FACTURACIÓN!$M$8:$M$1082)++SUMIF('CARTERA años anteriores'!$C$9:$C$234,A216,'CARTERA años anteriores'!$M$9:$M$234)</f>
        <v>0</v>
      </c>
      <c r="G216" s="525">
        <f>SUMIF('EGRESOS DE CAJA'!$C$10:$C$2251,A216,'EGRESOS DE CAJA'!$G$10:$G$2251)</f>
        <v>0</v>
      </c>
      <c r="H216" s="512">
        <f t="shared" si="7"/>
        <v>0</v>
      </c>
      <c r="I216" s="512">
        <f t="shared" si="8"/>
        <v>0</v>
      </c>
      <c r="J216" s="557"/>
      <c r="K216" s="629"/>
    </row>
    <row r="217" spans="1:11" ht="15" x14ac:dyDescent="0.2">
      <c r="A217" s="560">
        <v>209</v>
      </c>
      <c r="B217" s="511" t="str">
        <f>_xlfn.XLOOKUP(A217,Códigos!$A$11:$A$415,Códigos!$B$11:$B$415,"Verificar",0)</f>
        <v>NOMBRE 352</v>
      </c>
      <c r="C217" s="525">
        <f>SUMIF('CARTERA años anteriores'!$C$9:$C$234,A217,'CARTERA años anteriores'!$J$9:$J$234)</f>
        <v>0</v>
      </c>
      <c r="D217" s="525">
        <f>SUMIF('CARTERA años anteriores'!$C$9:$C$234,A217,'CARTERA años anteriores'!$L$9:$L$234)</f>
        <v>0</v>
      </c>
      <c r="E217" s="525">
        <f>SUMIF(FACTURACIÓN!$C$8:$C$1082,A217,FACTURACIÓN!$K$8:$K$1082)</f>
        <v>0</v>
      </c>
      <c r="F217" s="525">
        <f>SUMIF('INGRESOS A CAJA'!$C$10:$C$954,A217,'INGRESOS A CAJA'!$F$10:$F$954)+SUMIF(FACTURACIÓN!$C$8:$C$1082,A217,FACTURACIÓN!$M$8:$M$1082)++SUMIF('CARTERA años anteriores'!$C$9:$C$234,A217,'CARTERA años anteriores'!$M$9:$M$234)</f>
        <v>0</v>
      </c>
      <c r="G217" s="525">
        <f>SUMIF('EGRESOS DE CAJA'!$C$10:$C$2251,A217,'EGRESOS DE CAJA'!$G$10:$G$2251)</f>
        <v>0</v>
      </c>
      <c r="H217" s="512">
        <f t="shared" si="7"/>
        <v>0</v>
      </c>
      <c r="I217" s="512">
        <f t="shared" si="8"/>
        <v>0</v>
      </c>
      <c r="J217" s="557"/>
      <c r="K217" s="629"/>
    </row>
    <row r="218" spans="1:11" ht="15" x14ac:dyDescent="0.2">
      <c r="A218" s="560">
        <v>210</v>
      </c>
      <c r="B218" s="511" t="str">
        <f>_xlfn.XLOOKUP(A218,Códigos!$A$11:$A$415,Códigos!$B$11:$B$415,"Verificar",0)</f>
        <v>NOMBRE 353</v>
      </c>
      <c r="C218" s="525">
        <f>SUMIF('CARTERA años anteriores'!$C$9:$C$234,A218,'CARTERA años anteriores'!$J$9:$J$234)</f>
        <v>0</v>
      </c>
      <c r="D218" s="525">
        <f>SUMIF('CARTERA años anteriores'!$C$9:$C$234,A218,'CARTERA años anteriores'!$L$9:$L$234)</f>
        <v>0</v>
      </c>
      <c r="E218" s="525">
        <f>SUMIF(FACTURACIÓN!$C$8:$C$1082,A218,FACTURACIÓN!$K$8:$K$1082)</f>
        <v>0</v>
      </c>
      <c r="F218" s="525">
        <f>SUMIF('INGRESOS A CAJA'!$C$10:$C$954,A218,'INGRESOS A CAJA'!$F$10:$F$954)+SUMIF(FACTURACIÓN!$C$8:$C$1082,A218,FACTURACIÓN!$M$8:$M$1082)++SUMIF('CARTERA años anteriores'!$C$9:$C$234,A218,'CARTERA años anteriores'!$M$9:$M$234)</f>
        <v>0</v>
      </c>
      <c r="G218" s="525">
        <f>SUMIF('EGRESOS DE CAJA'!$C$10:$C$2251,A218,'EGRESOS DE CAJA'!$G$10:$G$2251)</f>
        <v>0</v>
      </c>
      <c r="H218" s="512">
        <f t="shared" si="7"/>
        <v>0</v>
      </c>
      <c r="I218" s="512">
        <f t="shared" si="8"/>
        <v>0</v>
      </c>
      <c r="J218" s="557"/>
      <c r="K218" s="629"/>
    </row>
    <row r="219" spans="1:11" ht="15" x14ac:dyDescent="0.2">
      <c r="A219" s="560">
        <v>211</v>
      </c>
      <c r="B219" s="511" t="str">
        <f>_xlfn.XLOOKUP(A219,Códigos!$A$11:$A$415,Códigos!$B$11:$B$415,"Verificar",0)</f>
        <v>NOMBRE 354</v>
      </c>
      <c r="C219" s="525">
        <f>SUMIF('CARTERA años anteriores'!$C$9:$C$234,A219,'CARTERA años anteriores'!$J$9:$J$234)</f>
        <v>0</v>
      </c>
      <c r="D219" s="525">
        <f>SUMIF('CARTERA años anteriores'!$C$9:$C$234,A219,'CARTERA años anteriores'!$L$9:$L$234)</f>
        <v>0</v>
      </c>
      <c r="E219" s="525">
        <f>SUMIF(FACTURACIÓN!$C$8:$C$1082,A219,FACTURACIÓN!$K$8:$K$1082)</f>
        <v>0</v>
      </c>
      <c r="F219" s="525">
        <f>SUMIF('INGRESOS A CAJA'!$C$10:$C$954,A219,'INGRESOS A CAJA'!$F$10:$F$954)+SUMIF(FACTURACIÓN!$C$8:$C$1082,A219,FACTURACIÓN!$M$8:$M$1082)++SUMIF('CARTERA años anteriores'!$C$9:$C$234,A219,'CARTERA años anteriores'!$M$9:$M$234)</f>
        <v>0</v>
      </c>
      <c r="G219" s="525">
        <f>SUMIF('EGRESOS DE CAJA'!$C$10:$C$2251,A219,'EGRESOS DE CAJA'!$G$10:$G$2251)</f>
        <v>0</v>
      </c>
      <c r="H219" s="512">
        <f t="shared" si="7"/>
        <v>0</v>
      </c>
      <c r="I219" s="512">
        <f t="shared" si="8"/>
        <v>0</v>
      </c>
      <c r="J219" s="557"/>
      <c r="K219" s="629"/>
    </row>
    <row r="220" spans="1:11" ht="15" x14ac:dyDescent="0.2">
      <c r="A220" s="560">
        <v>212</v>
      </c>
      <c r="B220" s="511" t="str">
        <f>_xlfn.XLOOKUP(A220,Códigos!$A$11:$A$415,Códigos!$B$11:$B$415,"Verificar",0)</f>
        <v>NOMBRE 360</v>
      </c>
      <c r="C220" s="525">
        <f>SUMIF('CARTERA años anteriores'!$C$9:$C$234,A220,'CARTERA años anteriores'!$J$9:$J$234)</f>
        <v>0</v>
      </c>
      <c r="D220" s="525">
        <f>SUMIF('CARTERA años anteriores'!$C$9:$C$234,A220,'CARTERA años anteriores'!$L$9:$L$234)</f>
        <v>0</v>
      </c>
      <c r="E220" s="525">
        <f>SUMIF(FACTURACIÓN!$C$8:$C$1082,A220,FACTURACIÓN!$K$8:$K$1082)</f>
        <v>0</v>
      </c>
      <c r="F220" s="525">
        <f>SUMIF('INGRESOS A CAJA'!$C$10:$C$954,A220,'INGRESOS A CAJA'!$F$10:$F$954)+SUMIF(FACTURACIÓN!$C$8:$C$1082,A220,FACTURACIÓN!$M$8:$M$1082)++SUMIF('CARTERA años anteriores'!$C$9:$C$234,A220,'CARTERA años anteriores'!$M$9:$M$234)</f>
        <v>0</v>
      </c>
      <c r="G220" s="525">
        <f>SUMIF('EGRESOS DE CAJA'!$C$10:$C$2251,A220,'EGRESOS DE CAJA'!$G$10:$G$2251)</f>
        <v>0</v>
      </c>
      <c r="H220" s="512">
        <f t="shared" si="7"/>
        <v>0</v>
      </c>
      <c r="I220" s="512">
        <f t="shared" si="8"/>
        <v>0</v>
      </c>
      <c r="J220" s="557"/>
      <c r="K220" s="629"/>
    </row>
    <row r="221" spans="1:11" ht="15" x14ac:dyDescent="0.2">
      <c r="A221" s="560">
        <v>213</v>
      </c>
      <c r="B221" s="511" t="str">
        <f>_xlfn.XLOOKUP(A221,Códigos!$A$11:$A$415,Códigos!$B$11:$B$415,"Verificar",0)</f>
        <v>NOMBRE 362</v>
      </c>
      <c r="C221" s="525">
        <f>SUMIF('CARTERA años anteriores'!$C$9:$C$234,A221,'CARTERA años anteriores'!$J$9:$J$234)</f>
        <v>0</v>
      </c>
      <c r="D221" s="525">
        <f>SUMIF('CARTERA años anteriores'!$C$9:$C$234,A221,'CARTERA años anteriores'!$L$9:$L$234)</f>
        <v>0</v>
      </c>
      <c r="E221" s="525">
        <f>SUMIF(FACTURACIÓN!$C$8:$C$1082,A221,FACTURACIÓN!$K$8:$K$1082)</f>
        <v>0</v>
      </c>
      <c r="F221" s="525">
        <f>SUMIF('INGRESOS A CAJA'!$C$10:$C$954,A221,'INGRESOS A CAJA'!$F$10:$F$954)+SUMIF(FACTURACIÓN!$C$8:$C$1082,A221,FACTURACIÓN!$M$8:$M$1082)++SUMIF('CARTERA años anteriores'!$C$9:$C$234,A221,'CARTERA años anteriores'!$M$9:$M$234)</f>
        <v>0</v>
      </c>
      <c r="G221" s="525">
        <f>SUMIF('EGRESOS DE CAJA'!$C$10:$C$2251,A221,'EGRESOS DE CAJA'!$G$10:$G$2251)</f>
        <v>0</v>
      </c>
      <c r="H221" s="512">
        <f t="shared" si="7"/>
        <v>0</v>
      </c>
      <c r="I221" s="512">
        <f t="shared" si="8"/>
        <v>0</v>
      </c>
      <c r="J221" s="557"/>
      <c r="K221" s="629"/>
    </row>
    <row r="222" spans="1:11" ht="15" x14ac:dyDescent="0.2">
      <c r="A222" s="560">
        <v>214</v>
      </c>
      <c r="B222" s="511" t="str">
        <f>_xlfn.XLOOKUP(A222,Códigos!$A$11:$A$415,Códigos!$B$11:$B$415,"Verificar",0)</f>
        <v>NOMBRE 363</v>
      </c>
      <c r="C222" s="525">
        <f>SUMIF('CARTERA años anteriores'!$C$9:$C$234,A222,'CARTERA años anteriores'!$J$9:$J$234)</f>
        <v>0</v>
      </c>
      <c r="D222" s="525">
        <f>SUMIF('CARTERA años anteriores'!$C$9:$C$234,A222,'CARTERA años anteriores'!$L$9:$L$234)</f>
        <v>0</v>
      </c>
      <c r="E222" s="525">
        <f>SUMIF(FACTURACIÓN!$C$8:$C$1082,A222,FACTURACIÓN!$K$8:$K$1082)</f>
        <v>0</v>
      </c>
      <c r="F222" s="525">
        <f>SUMIF('INGRESOS A CAJA'!$C$10:$C$954,A222,'INGRESOS A CAJA'!$F$10:$F$954)+SUMIF(FACTURACIÓN!$C$8:$C$1082,A222,FACTURACIÓN!$M$8:$M$1082)++SUMIF('CARTERA años anteriores'!$C$9:$C$234,A222,'CARTERA años anteriores'!$M$9:$M$234)</f>
        <v>0</v>
      </c>
      <c r="G222" s="525">
        <f>SUMIF('EGRESOS DE CAJA'!$C$10:$C$2251,A222,'EGRESOS DE CAJA'!$G$10:$G$2251)</f>
        <v>0</v>
      </c>
      <c r="H222" s="512">
        <f t="shared" si="7"/>
        <v>0</v>
      </c>
      <c r="I222" s="512">
        <f t="shared" si="8"/>
        <v>0</v>
      </c>
      <c r="J222" s="557"/>
      <c r="K222" s="629"/>
    </row>
    <row r="223" spans="1:11" ht="15" x14ac:dyDescent="0.2">
      <c r="A223" s="560">
        <v>215</v>
      </c>
      <c r="B223" s="511" t="str">
        <f>_xlfn.XLOOKUP(A223,Códigos!$A$11:$A$415,Códigos!$B$11:$B$415,"Verificar",0)</f>
        <v>NOMBRE 364</v>
      </c>
      <c r="C223" s="525">
        <f>SUMIF('CARTERA años anteriores'!$C$9:$C$234,A223,'CARTERA años anteriores'!$J$9:$J$234)</f>
        <v>0</v>
      </c>
      <c r="D223" s="525">
        <f>SUMIF('CARTERA años anteriores'!$C$9:$C$234,A223,'CARTERA años anteriores'!$L$9:$L$234)</f>
        <v>0</v>
      </c>
      <c r="E223" s="525">
        <f>SUMIF(FACTURACIÓN!$C$8:$C$1082,A223,FACTURACIÓN!$K$8:$K$1082)</f>
        <v>0</v>
      </c>
      <c r="F223" s="525">
        <f>SUMIF('INGRESOS A CAJA'!$C$10:$C$954,A223,'INGRESOS A CAJA'!$F$10:$F$954)+SUMIF(FACTURACIÓN!$C$8:$C$1082,A223,FACTURACIÓN!$M$8:$M$1082)++SUMIF('CARTERA años anteriores'!$C$9:$C$234,A223,'CARTERA años anteriores'!$M$9:$M$234)</f>
        <v>0</v>
      </c>
      <c r="G223" s="525">
        <f>SUMIF('EGRESOS DE CAJA'!$C$10:$C$2251,A223,'EGRESOS DE CAJA'!$G$10:$G$2251)</f>
        <v>0</v>
      </c>
      <c r="H223" s="512">
        <f t="shared" si="7"/>
        <v>0</v>
      </c>
      <c r="I223" s="512">
        <f t="shared" si="8"/>
        <v>0</v>
      </c>
      <c r="J223" s="557"/>
      <c r="K223" s="629"/>
    </row>
    <row r="224" spans="1:11" ht="15" x14ac:dyDescent="0.2">
      <c r="A224" s="676">
        <v>216</v>
      </c>
      <c r="B224" s="887" t="str">
        <f>_xlfn.XLOOKUP(A224,Códigos!$A$11:$A$415,Códigos!$B$11:$B$415,"Verificar",0)</f>
        <v>NOMBRE 213</v>
      </c>
      <c r="C224" s="525">
        <f>SUMIF('CARTERA años anteriores'!$C$9:$C$234,A224,'CARTERA años anteriores'!$J$9:$J$234)</f>
        <v>0</v>
      </c>
      <c r="D224" s="525">
        <f>SUMIF('CARTERA años anteriores'!$C$9:$C$234,A224,'CARTERA años anteriores'!$L$9:$L$234)</f>
        <v>0</v>
      </c>
      <c r="E224" s="889">
        <f>SUMIF(FACTURACIÓN!$C$8:$C$1082,A224,FACTURACIÓN!$K$8:$K$1082)</f>
        <v>0</v>
      </c>
      <c r="F224" s="525">
        <f>SUMIF('INGRESOS A CAJA'!$C$10:$C$954,A224,'INGRESOS A CAJA'!$F$10:$F$954)+SUMIF(FACTURACIÓN!$C$8:$C$1082,A224,FACTURACIÓN!$M$8:$M$1082)++SUMIF('CARTERA años anteriores'!$C$9:$C$234,A224,'CARTERA años anteriores'!$M$9:$M$234)</f>
        <v>0</v>
      </c>
      <c r="G224" s="889">
        <f>SUMIF('EGRESOS DE CAJA'!$C$10:$C$2251,A224,'EGRESOS DE CAJA'!$G$10:$G$2251)</f>
        <v>0</v>
      </c>
      <c r="H224" s="890">
        <f t="shared" si="7"/>
        <v>0</v>
      </c>
      <c r="I224" s="890">
        <f t="shared" si="8"/>
        <v>0</v>
      </c>
      <c r="J224" s="557"/>
      <c r="K224" s="629"/>
    </row>
    <row r="225" spans="1:11" ht="15" x14ac:dyDescent="0.2">
      <c r="A225" s="560">
        <v>217</v>
      </c>
      <c r="B225" s="511" t="str">
        <f>_xlfn.XLOOKUP(A225,Códigos!$A$11:$A$415,Códigos!$B$11:$B$415,"Verificar",0)</f>
        <v>NOMBRE 5</v>
      </c>
      <c r="C225" s="525">
        <f>SUMIF('CARTERA años anteriores'!$C$9:$C$234,A225,'CARTERA años anteriores'!$J$9:$J$234)</f>
        <v>0</v>
      </c>
      <c r="D225" s="525">
        <f>SUMIF('CARTERA años anteriores'!$C$9:$C$234,A225,'CARTERA años anteriores'!$L$9:$L$234)</f>
        <v>0</v>
      </c>
      <c r="E225" s="525">
        <f>SUMIF(FACTURACIÓN!$C$8:$C$1082,A225,FACTURACIÓN!$K$8:$K$1082)</f>
        <v>330000</v>
      </c>
      <c r="F225" s="525">
        <f>SUMIF('INGRESOS A CAJA'!$C$10:$C$954,A225,'INGRESOS A CAJA'!$F$10:$F$954)+SUMIF(FACTURACIÓN!$C$8:$C$1082,A225,FACTURACIÓN!$M$8:$M$1082)++SUMIF('CARTERA años anteriores'!$C$9:$C$234,A225,'CARTERA años anteriores'!$M$9:$M$234)</f>
        <v>330000</v>
      </c>
      <c r="G225" s="525">
        <f>SUMIF('EGRESOS DE CAJA'!$C$10:$C$2251,A225,'EGRESOS DE CAJA'!$G$10:$G$2251)</f>
        <v>0</v>
      </c>
      <c r="H225" s="512">
        <f t="shared" si="7"/>
        <v>0</v>
      </c>
      <c r="I225" s="512">
        <f t="shared" si="8"/>
        <v>0</v>
      </c>
      <c r="J225" s="557"/>
      <c r="K225" s="629"/>
    </row>
    <row r="226" spans="1:11" ht="15" x14ac:dyDescent="0.2">
      <c r="A226" s="560">
        <v>218</v>
      </c>
      <c r="B226" s="511" t="str">
        <f>_xlfn.XLOOKUP(A226,Códigos!$A$11:$A$415,Códigos!$B$11:$B$415,"Verificar",0)</f>
        <v>NOMBRE 32</v>
      </c>
      <c r="C226" s="525">
        <f>SUMIF('CARTERA años anteriores'!$C$9:$C$234,A226,'CARTERA años anteriores'!$J$9:$J$234)</f>
        <v>0</v>
      </c>
      <c r="D226" s="525">
        <f>SUMIF('CARTERA años anteriores'!$C$9:$C$234,A226,'CARTERA años anteriores'!$L$9:$L$234)</f>
        <v>0</v>
      </c>
      <c r="E226" s="525">
        <f>SUMIF(FACTURACIÓN!$C$8:$C$1082,A226,FACTURACIÓN!$K$8:$K$1082)</f>
        <v>290000</v>
      </c>
      <c r="F226" s="525">
        <f>SUMIF('INGRESOS A CAJA'!$C$10:$C$954,A226,'INGRESOS A CAJA'!$F$10:$F$954)+SUMIF(FACTURACIÓN!$C$8:$C$1082,A226,FACTURACIÓN!$M$8:$M$1082)++SUMIF('CARTERA años anteriores'!$C$9:$C$234,A226,'CARTERA años anteriores'!$M$9:$M$234)</f>
        <v>290000</v>
      </c>
      <c r="G226" s="525">
        <f>SUMIF('EGRESOS DE CAJA'!$C$10:$C$2251,A226,'EGRESOS DE CAJA'!$G$10:$G$2251)</f>
        <v>0</v>
      </c>
      <c r="H226" s="512">
        <f t="shared" si="7"/>
        <v>0</v>
      </c>
      <c r="I226" s="512">
        <f t="shared" si="8"/>
        <v>0</v>
      </c>
      <c r="J226" s="557"/>
      <c r="K226" s="629"/>
    </row>
    <row r="227" spans="1:11" ht="15" x14ac:dyDescent="0.2">
      <c r="A227" s="560">
        <v>219</v>
      </c>
      <c r="B227" s="511" t="str">
        <f>_xlfn.XLOOKUP(A227,Códigos!$A$11:$A$415,Códigos!$B$11:$B$415,"Verificar",0)</f>
        <v>NOMBRE 348</v>
      </c>
      <c r="C227" s="525">
        <f>SUMIF('CARTERA años anteriores'!$C$9:$C$234,A227,'CARTERA años anteriores'!$J$9:$J$234)</f>
        <v>0</v>
      </c>
      <c r="D227" s="525">
        <f>SUMIF('CARTERA años anteriores'!$C$9:$C$234,A227,'CARTERA años anteriores'!$L$9:$L$234)</f>
        <v>0</v>
      </c>
      <c r="E227" s="525">
        <f>SUMIF(FACTURACIÓN!$C$8:$C$1082,A227,FACTURACIÓN!$K$8:$K$1082)</f>
        <v>0</v>
      </c>
      <c r="F227" s="525">
        <f>SUMIF('INGRESOS A CAJA'!$C$10:$C$954,A227,'INGRESOS A CAJA'!$F$10:$F$954)+SUMIF(FACTURACIÓN!$C$8:$C$1082,A227,FACTURACIÓN!$M$8:$M$1082)++SUMIF('CARTERA años anteriores'!$C$9:$C$234,A227,'CARTERA años anteriores'!$M$9:$M$234)</f>
        <v>0</v>
      </c>
      <c r="G227" s="525">
        <f>SUMIF('EGRESOS DE CAJA'!$C$10:$C$2251,A227,'EGRESOS DE CAJA'!$G$10:$G$2251)</f>
        <v>0</v>
      </c>
      <c r="H227" s="512">
        <f t="shared" si="7"/>
        <v>0</v>
      </c>
      <c r="I227" s="512">
        <f t="shared" si="8"/>
        <v>0</v>
      </c>
      <c r="J227" s="557"/>
      <c r="K227" s="629"/>
    </row>
    <row r="228" spans="1:11" ht="15" x14ac:dyDescent="0.2">
      <c r="A228" s="560">
        <v>220</v>
      </c>
      <c r="B228" s="511" t="str">
        <f>_xlfn.XLOOKUP(A228,Códigos!$A$11:$A$415,Códigos!$B$11:$B$415,"Verificar",0)</f>
        <v>NOMBRE 347</v>
      </c>
      <c r="C228" s="525">
        <f>SUMIF('CARTERA años anteriores'!$C$9:$C$234,A228,'CARTERA años anteriores'!$J$9:$J$234)</f>
        <v>0</v>
      </c>
      <c r="D228" s="525">
        <f>SUMIF('CARTERA años anteriores'!$C$9:$C$234,A228,'CARTERA años anteriores'!$L$9:$L$234)</f>
        <v>0</v>
      </c>
      <c r="E228" s="525">
        <f>SUMIF(FACTURACIÓN!$C$8:$C$1082,A228,FACTURACIÓN!$K$8:$K$1082)</f>
        <v>500000</v>
      </c>
      <c r="F228" s="525">
        <f>SUMIF('INGRESOS A CAJA'!$C$10:$C$954,A228,'INGRESOS A CAJA'!$F$10:$F$954)+SUMIF(FACTURACIÓN!$C$8:$C$1082,A228,FACTURACIÓN!$M$8:$M$1082)++SUMIF('CARTERA años anteriores'!$C$9:$C$234,A228,'CARTERA años anteriores'!$M$9:$M$234)</f>
        <v>500000</v>
      </c>
      <c r="G228" s="525">
        <f>SUMIF('EGRESOS DE CAJA'!$C$10:$C$2251,A228,'EGRESOS DE CAJA'!$G$10:$G$2251)</f>
        <v>0</v>
      </c>
      <c r="H228" s="512">
        <f t="shared" si="7"/>
        <v>0</v>
      </c>
      <c r="I228" s="512">
        <f t="shared" si="8"/>
        <v>0</v>
      </c>
      <c r="J228" s="557"/>
      <c r="K228" s="629"/>
    </row>
    <row r="229" spans="1:11" ht="15" x14ac:dyDescent="0.2">
      <c r="A229" s="560">
        <v>221</v>
      </c>
      <c r="B229" s="511" t="str">
        <f>_xlfn.XLOOKUP(A229,Códigos!$A$11:$A$415,Códigos!$B$11:$B$415,"Verificar",0)</f>
        <v>NOMBRE 210</v>
      </c>
      <c r="C229" s="525">
        <f>SUMIF('CARTERA años anteriores'!$C$9:$C$234,A229,'CARTERA años anteriores'!$J$9:$J$234)</f>
        <v>0</v>
      </c>
      <c r="D229" s="525">
        <f>SUMIF('CARTERA años anteriores'!$C$9:$C$234,A229,'CARTERA años anteriores'!$L$9:$L$234)</f>
        <v>0</v>
      </c>
      <c r="E229" s="525">
        <f>SUMIF(FACTURACIÓN!$C$8:$C$1082,A229,FACTURACIÓN!$K$8:$K$1082)</f>
        <v>950000</v>
      </c>
      <c r="F229" s="525">
        <f>SUMIF('INGRESOS A CAJA'!$C$10:$C$954,A229,'INGRESOS A CAJA'!$F$10:$F$954)+SUMIF(FACTURACIÓN!$C$8:$C$1082,A229,FACTURACIÓN!$M$8:$M$1082)++SUMIF('CARTERA años anteriores'!$C$9:$C$234,A229,'CARTERA años anteriores'!$M$9:$M$234)</f>
        <v>0</v>
      </c>
      <c r="G229" s="525">
        <f>SUMIF('EGRESOS DE CAJA'!$C$10:$C$2251,A229,'EGRESOS DE CAJA'!$G$10:$G$2251)</f>
        <v>0</v>
      </c>
      <c r="H229" s="512">
        <f t="shared" si="7"/>
        <v>950000</v>
      </c>
      <c r="I229" s="512">
        <f t="shared" si="8"/>
        <v>0</v>
      </c>
      <c r="J229" s="557"/>
      <c r="K229" s="629"/>
    </row>
    <row r="230" spans="1:11" ht="15" x14ac:dyDescent="0.2">
      <c r="A230" s="975">
        <v>222</v>
      </c>
      <c r="B230" s="976" t="str">
        <f>_xlfn.XLOOKUP(A230,Códigos!$A$11:$A$415,Códigos!$B$11:$B$415,"Verificar",0)</f>
        <v>NOMBRE 101</v>
      </c>
      <c r="C230" s="525">
        <f>SUMIF('CARTERA años anteriores'!$C$9:$C$234,A230,'CARTERA años anteriores'!$J$9:$J$234)</f>
        <v>3280000</v>
      </c>
      <c r="D230" s="525">
        <f>SUMIF('CARTERA años anteriores'!$C$9:$C$234,A230,'CARTERA años anteriores'!$L$9:$L$234)</f>
        <v>0</v>
      </c>
      <c r="E230" s="977">
        <f>SUMIF(FACTURACIÓN!$C$8:$C$1082,A230,FACTURACIÓN!$K$8:$K$1082)</f>
        <v>4880000</v>
      </c>
      <c r="F230" s="525">
        <f>SUMIF('INGRESOS A CAJA'!$C$10:$C$954,A230,'INGRESOS A CAJA'!$F$10:$F$954)+SUMIF(FACTURACIÓN!$C$8:$C$1082,A230,FACTURACIÓN!$M$8:$M$1082)++SUMIF('CARTERA años anteriores'!$C$9:$C$234,A230,'CARTERA años anteriores'!$M$9:$M$234)</f>
        <v>0</v>
      </c>
      <c r="G230" s="977">
        <f>SUMIF('EGRESOS DE CAJA'!$C$10:$C$2251,A230,'EGRESOS DE CAJA'!$G$10:$G$2251)</f>
        <v>2929800</v>
      </c>
      <c r="H230" s="978">
        <f t="shared" si="7"/>
        <v>11089800</v>
      </c>
      <c r="I230" s="978">
        <f t="shared" si="8"/>
        <v>0</v>
      </c>
      <c r="J230" s="979"/>
      <c r="K230" s="629" t="s">
        <v>649</v>
      </c>
    </row>
    <row r="231" spans="1:11" ht="15" x14ac:dyDescent="0.2">
      <c r="A231" s="560">
        <v>223</v>
      </c>
      <c r="B231" s="511" t="str">
        <f>_xlfn.XLOOKUP(A231,Códigos!$A$11:$A$415,Códigos!$B$11:$B$415,"Verificar",0)</f>
        <v>NOMBRE 125</v>
      </c>
      <c r="C231" s="525">
        <f>SUMIF('CARTERA años anteriores'!$C$9:$C$234,A231,'CARTERA años anteriores'!$J$9:$J$234)</f>
        <v>0</v>
      </c>
      <c r="D231" s="525">
        <f>SUMIF('CARTERA años anteriores'!$C$9:$C$234,A231,'CARTERA años anteriores'!$L$9:$L$234)</f>
        <v>0</v>
      </c>
      <c r="E231" s="525">
        <f>SUMIF(FACTURACIÓN!$C$8:$C$1082,A231,FACTURACIÓN!$K$8:$K$1082)</f>
        <v>430000</v>
      </c>
      <c r="F231" s="525">
        <f>SUMIF('INGRESOS A CAJA'!$C$10:$C$954,A231,'INGRESOS A CAJA'!$F$10:$F$954)+SUMIF(FACTURACIÓN!$C$8:$C$1082,A231,FACTURACIÓN!$M$8:$M$1082)++SUMIF('CARTERA años anteriores'!$C$9:$C$234,A231,'CARTERA años anteriores'!$M$9:$M$234)</f>
        <v>0</v>
      </c>
      <c r="G231" s="525">
        <f>SUMIF('EGRESOS DE CAJA'!$C$10:$C$2251,A231,'EGRESOS DE CAJA'!$G$10:$G$2251)</f>
        <v>0</v>
      </c>
      <c r="H231" s="512">
        <f t="shared" si="7"/>
        <v>430000</v>
      </c>
      <c r="I231" s="512">
        <f t="shared" si="8"/>
        <v>0</v>
      </c>
      <c r="J231" s="557"/>
      <c r="K231" s="629"/>
    </row>
    <row r="232" spans="1:11" ht="15" x14ac:dyDescent="0.2">
      <c r="A232" s="560">
        <v>224</v>
      </c>
      <c r="B232" s="511" t="str">
        <f>_xlfn.XLOOKUP(A232,Códigos!$A$11:$A$415,Códigos!$B$11:$B$415,"Verificar",0)</f>
        <v>NOMBRE 138</v>
      </c>
      <c r="C232" s="525">
        <f>SUMIF('CARTERA años anteriores'!$C$9:$C$234,A232,'CARTERA años anteriores'!$J$9:$J$234)</f>
        <v>0</v>
      </c>
      <c r="D232" s="525">
        <f>SUMIF('CARTERA años anteriores'!$C$9:$C$234,A232,'CARTERA años anteriores'!$L$9:$L$234)</f>
        <v>0</v>
      </c>
      <c r="E232" s="525">
        <f>SUMIF(FACTURACIÓN!$C$8:$C$1082,A232,FACTURACIÓN!$K$8:$K$1082)</f>
        <v>0</v>
      </c>
      <c r="F232" s="525">
        <f>SUMIF('INGRESOS A CAJA'!$C$10:$C$954,A232,'INGRESOS A CAJA'!$F$10:$F$954)+SUMIF(FACTURACIÓN!$C$8:$C$1082,A232,FACTURACIÓN!$M$8:$M$1082)++SUMIF('CARTERA años anteriores'!$C$9:$C$234,A232,'CARTERA años anteriores'!$M$9:$M$234)</f>
        <v>0</v>
      </c>
      <c r="G232" s="525">
        <f>SUMIF('EGRESOS DE CAJA'!$C$10:$C$2251,A232,'EGRESOS DE CAJA'!$G$10:$G$2251)</f>
        <v>0</v>
      </c>
      <c r="H232" s="512">
        <f t="shared" si="7"/>
        <v>0</v>
      </c>
      <c r="I232" s="512">
        <f t="shared" si="8"/>
        <v>0</v>
      </c>
      <c r="J232" s="557"/>
      <c r="K232" s="629"/>
    </row>
    <row r="233" spans="1:11" ht="15" x14ac:dyDescent="0.2">
      <c r="A233" s="560">
        <v>225</v>
      </c>
      <c r="B233" s="511" t="str">
        <f>_xlfn.XLOOKUP(A233,Códigos!$A$11:$A$415,Códigos!$B$11:$B$415,"Verificar",0)</f>
        <v>NOMBRE 28</v>
      </c>
      <c r="C233" s="525">
        <f>SUMIF('CARTERA años anteriores'!$C$9:$C$234,A233,'CARTERA años anteriores'!$J$9:$J$234)</f>
        <v>0</v>
      </c>
      <c r="D233" s="525">
        <f>SUMIF('CARTERA años anteriores'!$C$9:$C$234,A233,'CARTERA años anteriores'!$L$9:$L$234)</f>
        <v>0</v>
      </c>
      <c r="E233" s="525">
        <f>SUMIF(FACTURACIÓN!$C$8:$C$1082,A233,FACTURACIÓN!$K$8:$K$1082)</f>
        <v>0</v>
      </c>
      <c r="F233" s="525">
        <f>SUMIF('INGRESOS A CAJA'!$C$10:$C$954,A233,'INGRESOS A CAJA'!$F$10:$F$954)+SUMIF(FACTURACIÓN!$C$8:$C$1082,A233,FACTURACIÓN!$M$8:$M$1082)++SUMIF('CARTERA años anteriores'!$C$9:$C$234,A233,'CARTERA años anteriores'!$M$9:$M$234)</f>
        <v>0</v>
      </c>
      <c r="G233" s="525">
        <f>SUMIF('EGRESOS DE CAJA'!$C$10:$C$2251,A233,'EGRESOS DE CAJA'!$G$10:$G$2251)</f>
        <v>0</v>
      </c>
      <c r="H233" s="512">
        <f t="shared" si="7"/>
        <v>0</v>
      </c>
      <c r="I233" s="512">
        <f t="shared" si="8"/>
        <v>0</v>
      </c>
      <c r="J233" s="557"/>
      <c r="K233" s="629"/>
    </row>
    <row r="234" spans="1:11" ht="15" x14ac:dyDescent="0.2">
      <c r="A234" s="560">
        <v>226</v>
      </c>
      <c r="B234" s="511" t="str">
        <f>_xlfn.XLOOKUP(A234,Códigos!$A$11:$A$415,Códigos!$B$11:$B$415,"Verificar",0)</f>
        <v>NOMBRE 335</v>
      </c>
      <c r="C234" s="525">
        <f>SUMIF('CARTERA años anteriores'!$C$9:$C$234,A234,'CARTERA años anteriores'!$J$9:$J$234)</f>
        <v>0</v>
      </c>
      <c r="D234" s="525">
        <f>SUMIF('CARTERA años anteriores'!$C$9:$C$234,A234,'CARTERA años anteriores'!$L$9:$L$234)</f>
        <v>0</v>
      </c>
      <c r="E234" s="525">
        <f>SUMIF(FACTURACIÓN!$C$8:$C$1082,A234,FACTURACIÓN!$K$8:$K$1082)</f>
        <v>0</v>
      </c>
      <c r="F234" s="525">
        <f>SUMIF('INGRESOS A CAJA'!$C$10:$C$954,A234,'INGRESOS A CAJA'!$F$10:$F$954)+SUMIF(FACTURACIÓN!$C$8:$C$1082,A234,FACTURACIÓN!$M$8:$M$1082)++SUMIF('CARTERA años anteriores'!$C$9:$C$234,A234,'CARTERA años anteriores'!$M$9:$M$234)</f>
        <v>0</v>
      </c>
      <c r="G234" s="525">
        <f>SUMIF('EGRESOS DE CAJA'!$C$10:$C$2251,A234,'EGRESOS DE CAJA'!$G$10:$G$2251)</f>
        <v>0</v>
      </c>
      <c r="H234" s="512">
        <f t="shared" si="7"/>
        <v>0</v>
      </c>
      <c r="I234" s="512">
        <f t="shared" si="8"/>
        <v>0</v>
      </c>
      <c r="J234" s="557"/>
      <c r="K234" s="629"/>
    </row>
    <row r="235" spans="1:11" ht="15" x14ac:dyDescent="0.2">
      <c r="A235" s="560">
        <v>227</v>
      </c>
      <c r="B235" s="511" t="str">
        <f>_xlfn.XLOOKUP(A235,Códigos!$A$11:$A$415,Códigos!$B$11:$B$415,"Verificar",0)</f>
        <v>NOMBRE 74</v>
      </c>
      <c r="C235" s="525">
        <f>SUMIF('CARTERA años anteriores'!$C$9:$C$234,A235,'CARTERA años anteriores'!$J$9:$J$234)</f>
        <v>0</v>
      </c>
      <c r="D235" s="525">
        <f>SUMIF('CARTERA años anteriores'!$C$9:$C$234,A235,'CARTERA años anteriores'!$L$9:$L$234)</f>
        <v>0</v>
      </c>
      <c r="E235" s="525">
        <f>SUMIF(FACTURACIÓN!$C$8:$C$1082,A235,FACTURACIÓN!$K$8:$K$1082)</f>
        <v>0</v>
      </c>
      <c r="F235" s="525">
        <f>SUMIF('INGRESOS A CAJA'!$C$10:$C$954,A235,'INGRESOS A CAJA'!$F$10:$F$954)+SUMIF(FACTURACIÓN!$C$8:$C$1082,A235,FACTURACIÓN!$M$8:$M$1082)++SUMIF('CARTERA años anteriores'!$C$9:$C$234,A235,'CARTERA años anteriores'!$M$9:$M$234)</f>
        <v>0</v>
      </c>
      <c r="G235" s="525">
        <f>SUMIF('EGRESOS DE CAJA'!$C$10:$C$2251,A235,'EGRESOS DE CAJA'!$G$10:$G$2251)</f>
        <v>0</v>
      </c>
      <c r="H235" s="512">
        <f t="shared" si="7"/>
        <v>0</v>
      </c>
      <c r="I235" s="512">
        <f t="shared" si="8"/>
        <v>0</v>
      </c>
      <c r="J235" s="557"/>
      <c r="K235" s="629"/>
    </row>
    <row r="236" spans="1:11" ht="15" x14ac:dyDescent="0.2">
      <c r="A236" s="560">
        <v>228</v>
      </c>
      <c r="B236" s="511" t="str">
        <f>_xlfn.XLOOKUP(A236,Códigos!$A$11:$A$415,Códigos!$B$11:$B$415,"Verificar",0)</f>
        <v>NOMBRE 139</v>
      </c>
      <c r="C236" s="525">
        <f>SUMIF('CARTERA años anteriores'!$C$9:$C$234,A236,'CARTERA años anteriores'!$J$9:$J$234)</f>
        <v>0</v>
      </c>
      <c r="D236" s="525">
        <f>SUMIF('CARTERA años anteriores'!$C$9:$C$234,A236,'CARTERA años anteriores'!$L$9:$L$234)</f>
        <v>0</v>
      </c>
      <c r="E236" s="525">
        <f>SUMIF(FACTURACIÓN!$C$8:$C$1082,A236,FACTURACIÓN!$K$8:$K$1082)</f>
        <v>0</v>
      </c>
      <c r="F236" s="525">
        <f>SUMIF('INGRESOS A CAJA'!$C$10:$C$954,A236,'INGRESOS A CAJA'!$F$10:$F$954)+SUMIF(FACTURACIÓN!$C$8:$C$1082,A236,FACTURACIÓN!$M$8:$M$1082)++SUMIF('CARTERA años anteriores'!$C$9:$C$234,A236,'CARTERA años anteriores'!$M$9:$M$234)</f>
        <v>0</v>
      </c>
      <c r="G236" s="525">
        <f>SUMIF('EGRESOS DE CAJA'!$C$10:$C$2251,A236,'EGRESOS DE CAJA'!$G$10:$G$2251)</f>
        <v>0</v>
      </c>
      <c r="H236" s="512">
        <f t="shared" si="7"/>
        <v>0</v>
      </c>
      <c r="I236" s="512">
        <f t="shared" si="8"/>
        <v>0</v>
      </c>
      <c r="J236" s="557"/>
      <c r="K236" s="629"/>
    </row>
    <row r="237" spans="1:11" ht="15" x14ac:dyDescent="0.2">
      <c r="A237" s="560">
        <v>229</v>
      </c>
      <c r="B237" s="511" t="str">
        <f>_xlfn.XLOOKUP(A237,Códigos!$A$11:$A$415,Códigos!$B$11:$B$415,"Verificar",0)</f>
        <v>NOMBRE 289</v>
      </c>
      <c r="C237" s="525">
        <f>SUMIF('CARTERA años anteriores'!$C$9:$C$234,A237,'CARTERA años anteriores'!$J$9:$J$234)</f>
        <v>0</v>
      </c>
      <c r="D237" s="525">
        <f>SUMIF('CARTERA años anteriores'!$C$9:$C$234,A237,'CARTERA años anteriores'!$L$9:$L$234)</f>
        <v>0</v>
      </c>
      <c r="E237" s="525">
        <f>SUMIF(FACTURACIÓN!$C$8:$C$1082,A237,FACTURACIÓN!$K$8:$K$1082)</f>
        <v>0</v>
      </c>
      <c r="F237" s="525">
        <f>SUMIF('INGRESOS A CAJA'!$C$10:$C$954,A237,'INGRESOS A CAJA'!$F$10:$F$954)+SUMIF(FACTURACIÓN!$C$8:$C$1082,A237,FACTURACIÓN!$M$8:$M$1082)++SUMIF('CARTERA años anteriores'!$C$9:$C$234,A237,'CARTERA años anteriores'!$M$9:$M$234)</f>
        <v>0</v>
      </c>
      <c r="G237" s="525">
        <f>SUMIF('EGRESOS DE CAJA'!$C$10:$C$2251,A237,'EGRESOS DE CAJA'!$G$10:$G$2251)</f>
        <v>0</v>
      </c>
      <c r="H237" s="512">
        <f t="shared" si="7"/>
        <v>0</v>
      </c>
      <c r="I237" s="512">
        <f t="shared" si="8"/>
        <v>0</v>
      </c>
      <c r="J237" s="557"/>
      <c r="K237" s="629"/>
    </row>
    <row r="238" spans="1:11" ht="15" x14ac:dyDescent="0.2">
      <c r="A238" s="560">
        <v>230</v>
      </c>
      <c r="B238" s="511" t="str">
        <f>_xlfn.XLOOKUP(A238,Códigos!$A$11:$A$415,Códigos!$B$11:$B$415,"Verificar",0)</f>
        <v>NOMBRE 184</v>
      </c>
      <c r="C238" s="525">
        <f>SUMIF('CARTERA años anteriores'!$C$9:$C$234,A238,'CARTERA años anteriores'!$J$9:$J$234)</f>
        <v>270000</v>
      </c>
      <c r="D238" s="525">
        <f>SUMIF('CARTERA años anteriores'!$C$9:$C$234,A238,'CARTERA años anteriores'!$L$9:$L$234)</f>
        <v>260000</v>
      </c>
      <c r="E238" s="525">
        <f>SUMIF(FACTURACIÓN!$C$8:$C$1082,A238,FACTURACIÓN!$K$8:$K$1082)</f>
        <v>290000</v>
      </c>
      <c r="F238" s="525">
        <f>SUMIF('INGRESOS A CAJA'!$C$10:$C$954,A238,'INGRESOS A CAJA'!$F$10:$F$954)+SUMIF(FACTURACIÓN!$C$8:$C$1082,A238,FACTURACIÓN!$M$8:$M$1082)++SUMIF('CARTERA años anteriores'!$C$9:$C$234,A238,'CARTERA años anteriores'!$M$9:$M$234)</f>
        <v>10000</v>
      </c>
      <c r="G238" s="525">
        <f>SUMIF('EGRESOS DE CAJA'!$C$10:$C$2251,A238,'EGRESOS DE CAJA'!$G$10:$G$2251)</f>
        <v>0</v>
      </c>
      <c r="H238" s="512">
        <f t="shared" si="7"/>
        <v>550000</v>
      </c>
      <c r="I238" s="512">
        <f t="shared" si="8"/>
        <v>0</v>
      </c>
      <c r="J238" s="557"/>
      <c r="K238" s="629"/>
    </row>
    <row r="239" spans="1:11" ht="15" x14ac:dyDescent="0.2">
      <c r="A239" s="560">
        <v>231</v>
      </c>
      <c r="B239" s="511" t="str">
        <f>_xlfn.XLOOKUP(A239,Códigos!$A$11:$A$415,Códigos!$B$11:$B$415,"Verificar",0)</f>
        <v>NOMBRE 212</v>
      </c>
      <c r="C239" s="525">
        <f>SUMIF('CARTERA años anteriores'!$C$9:$C$234,A239,'CARTERA años anteriores'!$J$9:$J$234)</f>
        <v>0</v>
      </c>
      <c r="D239" s="525">
        <f>SUMIF('CARTERA años anteriores'!$C$9:$C$234,A239,'CARTERA años anteriores'!$L$9:$L$234)</f>
        <v>0</v>
      </c>
      <c r="E239" s="525">
        <f>SUMIF(FACTURACIÓN!$C$8:$C$1082,A239,FACTURACIÓN!$K$8:$K$1082)</f>
        <v>0</v>
      </c>
      <c r="F239" s="525">
        <f>SUMIF('INGRESOS A CAJA'!$C$10:$C$954,A239,'INGRESOS A CAJA'!$F$10:$F$954)+SUMIF(FACTURACIÓN!$C$8:$C$1082,A239,FACTURACIÓN!$M$8:$M$1082)++SUMIF('CARTERA años anteriores'!$C$9:$C$234,A239,'CARTERA años anteriores'!$M$9:$M$234)</f>
        <v>0</v>
      </c>
      <c r="G239" s="525">
        <f>SUMIF('EGRESOS DE CAJA'!$C$10:$C$2251,A239,'EGRESOS DE CAJA'!$G$10:$G$2251)</f>
        <v>0</v>
      </c>
      <c r="H239" s="512">
        <f t="shared" si="7"/>
        <v>0</v>
      </c>
      <c r="I239" s="512">
        <f t="shared" si="8"/>
        <v>0</v>
      </c>
      <c r="J239" s="557"/>
      <c r="K239" s="629"/>
    </row>
    <row r="240" spans="1:11" ht="15" x14ac:dyDescent="0.2">
      <c r="A240" s="560">
        <v>232</v>
      </c>
      <c r="B240" s="511" t="str">
        <f>_xlfn.XLOOKUP(A240,Códigos!$A$11:$A$415,Códigos!$B$11:$B$415,"Verificar",0)</f>
        <v>NOMBRE 121</v>
      </c>
      <c r="C240" s="525">
        <f>SUMIF('CARTERA años anteriores'!$C$9:$C$234,A240,'CARTERA años anteriores'!$J$9:$J$234)</f>
        <v>0</v>
      </c>
      <c r="D240" s="525">
        <f>SUMIF('CARTERA años anteriores'!$C$9:$C$234,A240,'CARTERA años anteriores'!$L$9:$L$234)</f>
        <v>0</v>
      </c>
      <c r="E240" s="525">
        <f>SUMIF(FACTURACIÓN!$C$8:$C$1082,A240,FACTURACIÓN!$K$8:$K$1082)</f>
        <v>0</v>
      </c>
      <c r="F240" s="525">
        <f>SUMIF('INGRESOS A CAJA'!$C$10:$C$954,A240,'INGRESOS A CAJA'!$F$10:$F$954)+SUMIF(FACTURACIÓN!$C$8:$C$1082,A240,FACTURACIÓN!$M$8:$M$1082)++SUMIF('CARTERA años anteriores'!$C$9:$C$234,A240,'CARTERA años anteriores'!$M$9:$M$234)</f>
        <v>0</v>
      </c>
      <c r="G240" s="525">
        <f>SUMIF('EGRESOS DE CAJA'!$C$10:$C$2251,A240,'EGRESOS DE CAJA'!$G$10:$G$2251)</f>
        <v>0</v>
      </c>
      <c r="H240" s="512">
        <f t="shared" si="7"/>
        <v>0</v>
      </c>
      <c r="I240" s="512">
        <f t="shared" si="8"/>
        <v>0</v>
      </c>
      <c r="J240" s="557"/>
      <c r="K240" s="629"/>
    </row>
    <row r="241" spans="1:11" ht="15" x14ac:dyDescent="0.2">
      <c r="A241" s="560">
        <v>233</v>
      </c>
      <c r="B241" s="511" t="str">
        <f>_xlfn.XLOOKUP(A241,Códigos!$A$11:$A$415,Códigos!$B$11:$B$415,"Verificar",0)</f>
        <v>NOMBRE 122</v>
      </c>
      <c r="C241" s="525">
        <f>SUMIF('CARTERA años anteriores'!$C$9:$C$234,A241,'CARTERA años anteriores'!$J$9:$J$234)</f>
        <v>0</v>
      </c>
      <c r="D241" s="525">
        <f>SUMIF('CARTERA años anteriores'!$C$9:$C$234,A241,'CARTERA años anteriores'!$L$9:$L$234)</f>
        <v>0</v>
      </c>
      <c r="E241" s="525">
        <f>SUMIF(FACTURACIÓN!$C$8:$C$1082,A241,FACTURACIÓN!$K$8:$K$1082)</f>
        <v>350000</v>
      </c>
      <c r="F241" s="525">
        <f>SUMIF('INGRESOS A CAJA'!$C$10:$C$954,A241,'INGRESOS A CAJA'!$F$10:$F$954)+SUMIF(FACTURACIÓN!$C$8:$C$1082,A241,FACTURACIÓN!$M$8:$M$1082)++SUMIF('CARTERA años anteriores'!$C$9:$C$234,A241,'CARTERA años anteriores'!$M$9:$M$234)</f>
        <v>0</v>
      </c>
      <c r="G241" s="525">
        <f>SUMIF('EGRESOS DE CAJA'!$C$10:$C$2251,A241,'EGRESOS DE CAJA'!$G$10:$G$2251)</f>
        <v>0</v>
      </c>
      <c r="H241" s="512">
        <f t="shared" si="7"/>
        <v>350000</v>
      </c>
      <c r="I241" s="512">
        <f t="shared" si="8"/>
        <v>0</v>
      </c>
      <c r="J241" s="557"/>
      <c r="K241" s="629"/>
    </row>
    <row r="242" spans="1:11" ht="15" x14ac:dyDescent="0.2">
      <c r="A242" s="560">
        <v>234</v>
      </c>
      <c r="B242" s="511" t="str">
        <f>_xlfn.XLOOKUP(A242,Códigos!$A$11:$A$415,Códigos!$B$11:$B$415,"Verificar",0)</f>
        <v>NOMBRE 303</v>
      </c>
      <c r="C242" s="525">
        <f>SUMIF('CARTERA años anteriores'!$C$9:$C$234,A242,'CARTERA años anteriores'!$J$9:$J$234)</f>
        <v>0</v>
      </c>
      <c r="D242" s="525">
        <f>SUMIF('CARTERA años anteriores'!$C$9:$C$234,A242,'CARTERA años anteriores'!$L$9:$L$234)</f>
        <v>0</v>
      </c>
      <c r="E242" s="525">
        <f>SUMIF(FACTURACIÓN!$C$8:$C$1082,A242,FACTURACIÓN!$K$8:$K$1082)</f>
        <v>310000</v>
      </c>
      <c r="F242" s="525">
        <f>SUMIF('INGRESOS A CAJA'!$C$10:$C$954,A242,'INGRESOS A CAJA'!$F$10:$F$954)+SUMIF(FACTURACIÓN!$C$8:$C$1082,A242,FACTURACIÓN!$M$8:$M$1082)++SUMIF('CARTERA años anteriores'!$C$9:$C$234,A242,'CARTERA años anteriores'!$M$9:$M$234)</f>
        <v>0</v>
      </c>
      <c r="G242" s="525">
        <f>SUMIF('EGRESOS DE CAJA'!$C$10:$C$2251,A242,'EGRESOS DE CAJA'!$G$10:$G$2251)</f>
        <v>0</v>
      </c>
      <c r="H242" s="512">
        <f t="shared" si="7"/>
        <v>310000</v>
      </c>
      <c r="I242" s="512">
        <f t="shared" si="8"/>
        <v>0</v>
      </c>
      <c r="J242" s="557"/>
      <c r="K242" s="629"/>
    </row>
    <row r="243" spans="1:11" ht="15" x14ac:dyDescent="0.2">
      <c r="A243" s="560">
        <v>235</v>
      </c>
      <c r="B243" s="511" t="str">
        <f>_xlfn.XLOOKUP(A243,Códigos!$A$11:$A$415,Códigos!$B$11:$B$415,"Verificar",0)</f>
        <v>NOMBRE 185</v>
      </c>
      <c r="C243" s="525">
        <f>SUMIF('CARTERA años anteriores'!$C$9:$C$234,A243,'CARTERA años anteriores'!$J$9:$J$234)</f>
        <v>0</v>
      </c>
      <c r="D243" s="525">
        <f>SUMIF('CARTERA años anteriores'!$C$9:$C$234,A243,'CARTERA años anteriores'!$L$9:$L$234)</f>
        <v>0</v>
      </c>
      <c r="E243" s="525">
        <f>SUMIF(FACTURACIÓN!$C$8:$C$1082,A243,FACTURACIÓN!$K$8:$K$1082)</f>
        <v>0</v>
      </c>
      <c r="F243" s="525">
        <f>SUMIF('INGRESOS A CAJA'!$C$10:$C$954,A243,'INGRESOS A CAJA'!$F$10:$F$954)+SUMIF(FACTURACIÓN!$C$8:$C$1082,A243,FACTURACIÓN!$M$8:$M$1082)++SUMIF('CARTERA años anteriores'!$C$9:$C$234,A243,'CARTERA años anteriores'!$M$9:$M$234)</f>
        <v>0</v>
      </c>
      <c r="G243" s="525">
        <f>SUMIF('EGRESOS DE CAJA'!$C$10:$C$2251,A243,'EGRESOS DE CAJA'!$G$10:$G$2251)</f>
        <v>0</v>
      </c>
      <c r="H243" s="512">
        <f t="shared" si="7"/>
        <v>0</v>
      </c>
      <c r="I243" s="512">
        <f t="shared" si="8"/>
        <v>0</v>
      </c>
      <c r="J243" s="557"/>
      <c r="K243" s="629"/>
    </row>
    <row r="244" spans="1:11" ht="15" x14ac:dyDescent="0.2">
      <c r="A244" s="560">
        <v>236</v>
      </c>
      <c r="B244" s="511" t="str">
        <f>_xlfn.XLOOKUP(A244,Códigos!$A$11:$A$415,Códigos!$B$11:$B$415,"Verificar",0)</f>
        <v>NOMBRE 48</v>
      </c>
      <c r="C244" s="525">
        <f>SUMIF('CARTERA años anteriores'!$C$9:$C$234,A244,'CARTERA años anteriores'!$J$9:$J$234)</f>
        <v>0</v>
      </c>
      <c r="D244" s="525">
        <f>SUMIF('CARTERA años anteriores'!$C$9:$C$234,A244,'CARTERA años anteriores'!$L$9:$L$234)</f>
        <v>0</v>
      </c>
      <c r="E244" s="525">
        <f>SUMIF(FACTURACIÓN!$C$8:$C$1082,A244,FACTURACIÓN!$K$8:$K$1082)</f>
        <v>0</v>
      </c>
      <c r="F244" s="525">
        <f>SUMIF('INGRESOS A CAJA'!$C$10:$C$954,A244,'INGRESOS A CAJA'!$F$10:$F$954)+SUMIF(FACTURACIÓN!$C$8:$C$1082,A244,FACTURACIÓN!$M$8:$M$1082)++SUMIF('CARTERA años anteriores'!$C$9:$C$234,A244,'CARTERA años anteriores'!$M$9:$M$234)</f>
        <v>0</v>
      </c>
      <c r="G244" s="525">
        <f>SUMIF('EGRESOS DE CAJA'!$C$10:$C$2251,A244,'EGRESOS DE CAJA'!$G$10:$G$2251)</f>
        <v>0</v>
      </c>
      <c r="H244" s="512">
        <f t="shared" si="7"/>
        <v>0</v>
      </c>
      <c r="I244" s="512">
        <f t="shared" si="8"/>
        <v>0</v>
      </c>
      <c r="J244" s="557"/>
      <c r="K244" s="629"/>
    </row>
    <row r="245" spans="1:11" ht="15" x14ac:dyDescent="0.2">
      <c r="A245" s="560">
        <v>237</v>
      </c>
      <c r="B245" s="511" t="str">
        <f>_xlfn.XLOOKUP(A245,Códigos!$A$11:$A$415,Códigos!$B$11:$B$415,"Verificar",0)</f>
        <v>NOMBRE 282</v>
      </c>
      <c r="C245" s="525">
        <f>SUMIF('CARTERA años anteriores'!$C$9:$C$234,A245,'CARTERA años anteriores'!$J$9:$J$234)</f>
        <v>0</v>
      </c>
      <c r="D245" s="525">
        <f>SUMIF('CARTERA años anteriores'!$C$9:$C$234,A245,'CARTERA años anteriores'!$L$9:$L$234)</f>
        <v>0</v>
      </c>
      <c r="E245" s="525">
        <f>SUMIF(FACTURACIÓN!$C$8:$C$1082,A245,FACTURACIÓN!$K$8:$K$1082)</f>
        <v>290000</v>
      </c>
      <c r="F245" s="525">
        <f>SUMIF('INGRESOS A CAJA'!$C$10:$C$954,A245,'INGRESOS A CAJA'!$F$10:$F$954)+SUMIF(FACTURACIÓN!$C$8:$C$1082,A245,FACTURACIÓN!$M$8:$M$1082)++SUMIF('CARTERA años anteriores'!$C$9:$C$234,A245,'CARTERA años anteriores'!$M$9:$M$234)</f>
        <v>0</v>
      </c>
      <c r="G245" s="525">
        <f>SUMIF('EGRESOS DE CAJA'!$C$10:$C$2251,A245,'EGRESOS DE CAJA'!$G$10:$G$2251)</f>
        <v>0</v>
      </c>
      <c r="H245" s="512">
        <f t="shared" si="7"/>
        <v>290000</v>
      </c>
      <c r="I245" s="512">
        <f t="shared" si="8"/>
        <v>0</v>
      </c>
      <c r="J245" s="557"/>
      <c r="K245" s="629"/>
    </row>
    <row r="246" spans="1:11" ht="15" x14ac:dyDescent="0.2">
      <c r="A246" s="560">
        <v>238</v>
      </c>
      <c r="B246" s="511" t="str">
        <f>_xlfn.XLOOKUP(A246,Códigos!$A$11:$A$415,Códigos!$B$11:$B$415,"Verificar",0)</f>
        <v>NOMBRE 291</v>
      </c>
      <c r="C246" s="525">
        <f>SUMIF('CARTERA años anteriores'!$C$9:$C$234,A246,'CARTERA años anteriores'!$J$9:$J$234)</f>
        <v>650000</v>
      </c>
      <c r="D246" s="525">
        <f>SUMIF('CARTERA años anteriores'!$C$9:$C$234,A246,'CARTERA años anteriores'!$L$9:$L$234)</f>
        <v>0</v>
      </c>
      <c r="E246" s="525">
        <f>SUMIF(FACTURACIÓN!$C$8:$C$1082,A246,FACTURACIÓN!$K$8:$K$1082)</f>
        <v>0</v>
      </c>
      <c r="F246" s="525">
        <f>SUMIF('INGRESOS A CAJA'!$C$10:$C$954,A246,'INGRESOS A CAJA'!$F$10:$F$954)+SUMIF(FACTURACIÓN!$C$8:$C$1082,A246,FACTURACIÓN!$M$8:$M$1082)++SUMIF('CARTERA años anteriores'!$C$9:$C$234,A246,'CARTERA años anteriores'!$M$9:$M$234)</f>
        <v>0</v>
      </c>
      <c r="G246" s="525">
        <f>SUMIF('EGRESOS DE CAJA'!$C$10:$C$2251,A246,'EGRESOS DE CAJA'!$G$10:$G$2251)</f>
        <v>0</v>
      </c>
      <c r="H246" s="512">
        <f t="shared" si="7"/>
        <v>650000</v>
      </c>
      <c r="I246" s="512">
        <f t="shared" si="8"/>
        <v>0</v>
      </c>
      <c r="J246" s="557"/>
      <c r="K246" s="629"/>
    </row>
    <row r="247" spans="1:11" ht="15" x14ac:dyDescent="0.2">
      <c r="A247" s="560">
        <v>239</v>
      </c>
      <c r="B247" s="511" t="str">
        <f>_xlfn.XLOOKUP(A247,Códigos!$A$11:$A$415,Códigos!$B$11:$B$415,"Verificar",0)</f>
        <v>NOMBRE 127</v>
      </c>
      <c r="C247" s="525">
        <f>SUMIF('CARTERA años anteriores'!$C$9:$C$234,A247,'CARTERA años anteriores'!$J$9:$J$234)</f>
        <v>0</v>
      </c>
      <c r="D247" s="525">
        <f>SUMIF('CARTERA años anteriores'!$C$9:$C$234,A247,'CARTERA años anteriores'!$L$9:$L$234)</f>
        <v>0</v>
      </c>
      <c r="E247" s="525">
        <f>SUMIF(FACTURACIÓN!$C$8:$C$1082,A247,FACTURACIÓN!$K$8:$K$1082)</f>
        <v>0</v>
      </c>
      <c r="F247" s="525">
        <f>SUMIF('INGRESOS A CAJA'!$C$10:$C$954,A247,'INGRESOS A CAJA'!$F$10:$F$954)+SUMIF(FACTURACIÓN!$C$8:$C$1082,A247,FACTURACIÓN!$M$8:$M$1082)++SUMIF('CARTERA años anteriores'!$C$9:$C$234,A247,'CARTERA años anteriores'!$M$9:$M$234)</f>
        <v>0</v>
      </c>
      <c r="G247" s="525">
        <f>SUMIF('EGRESOS DE CAJA'!$C$10:$C$2251,A247,'EGRESOS DE CAJA'!$G$10:$G$2251)</f>
        <v>0</v>
      </c>
      <c r="H247" s="512">
        <f t="shared" si="7"/>
        <v>0</v>
      </c>
      <c r="I247" s="512">
        <f t="shared" si="8"/>
        <v>0</v>
      </c>
      <c r="J247" s="557"/>
      <c r="K247" s="629"/>
    </row>
    <row r="248" spans="1:11" ht="15" x14ac:dyDescent="0.2">
      <c r="A248" s="560">
        <v>240</v>
      </c>
      <c r="B248" s="511" t="str">
        <f>_xlfn.XLOOKUP(A248,Códigos!$A$11:$A$415,Códigos!$B$11:$B$415,"Verificar",0)</f>
        <v>NOMBRE 341</v>
      </c>
      <c r="C248" s="525">
        <f>SUMIF('CARTERA años anteriores'!$C$9:$C$234,A248,'CARTERA años anteriores'!$J$9:$J$234)</f>
        <v>0</v>
      </c>
      <c r="D248" s="525">
        <f>SUMIF('CARTERA años anteriores'!$C$9:$C$234,A248,'CARTERA años anteriores'!$L$9:$L$234)</f>
        <v>0</v>
      </c>
      <c r="E248" s="525">
        <f>SUMIF(FACTURACIÓN!$C$8:$C$1082,A248,FACTURACIÓN!$K$8:$K$1082)</f>
        <v>350000</v>
      </c>
      <c r="F248" s="525">
        <f>SUMIF('INGRESOS A CAJA'!$C$10:$C$954,A248,'INGRESOS A CAJA'!$F$10:$F$954)+SUMIF(FACTURACIÓN!$C$8:$C$1082,A248,FACTURACIÓN!$M$8:$M$1082)++SUMIF('CARTERA años anteriores'!$C$9:$C$234,A248,'CARTERA años anteriores'!$M$9:$M$234)</f>
        <v>0</v>
      </c>
      <c r="G248" s="525">
        <f>SUMIF('EGRESOS DE CAJA'!$C$10:$C$2251,A248,'EGRESOS DE CAJA'!$G$10:$G$2251)</f>
        <v>0</v>
      </c>
      <c r="H248" s="512">
        <f t="shared" si="7"/>
        <v>350000</v>
      </c>
      <c r="I248" s="512">
        <f t="shared" si="8"/>
        <v>0</v>
      </c>
      <c r="J248" s="557"/>
      <c r="K248" s="629"/>
    </row>
    <row r="249" spans="1:11" ht="15" x14ac:dyDescent="0.2">
      <c r="A249" s="560">
        <v>241</v>
      </c>
      <c r="B249" s="511" t="str">
        <f>_xlfn.XLOOKUP(A249,Códigos!$A$11:$A$415,Códigos!$B$11:$B$415,"Verificar",0)</f>
        <v>NOMBRE 316</v>
      </c>
      <c r="C249" s="525">
        <f>SUMIF('CARTERA años anteriores'!$C$9:$C$234,A249,'CARTERA años anteriores'!$J$9:$J$234)</f>
        <v>0</v>
      </c>
      <c r="D249" s="525">
        <f>SUMIF('CARTERA años anteriores'!$C$9:$C$234,A249,'CARTERA años anteriores'!$L$9:$L$234)</f>
        <v>0</v>
      </c>
      <c r="E249" s="525">
        <f>SUMIF(FACTURACIÓN!$C$8:$C$1082,A249,FACTURACIÓN!$K$8:$K$1082)</f>
        <v>0</v>
      </c>
      <c r="F249" s="525">
        <f>SUMIF('INGRESOS A CAJA'!$C$10:$C$954,A249,'INGRESOS A CAJA'!$F$10:$F$954)+SUMIF(FACTURACIÓN!$C$8:$C$1082,A249,FACTURACIÓN!$M$8:$M$1082)++SUMIF('CARTERA años anteriores'!$C$9:$C$234,A249,'CARTERA años anteriores'!$M$9:$M$234)</f>
        <v>0</v>
      </c>
      <c r="G249" s="525">
        <f>SUMIF('EGRESOS DE CAJA'!$C$10:$C$2251,A249,'EGRESOS DE CAJA'!$G$10:$G$2251)</f>
        <v>0</v>
      </c>
      <c r="H249" s="512">
        <f t="shared" si="7"/>
        <v>0</v>
      </c>
      <c r="I249" s="512">
        <f t="shared" si="8"/>
        <v>0</v>
      </c>
      <c r="J249" s="557"/>
      <c r="K249" s="629"/>
    </row>
    <row r="250" spans="1:11" ht="15" x14ac:dyDescent="0.2">
      <c r="A250" s="560">
        <v>242</v>
      </c>
      <c r="B250" s="511" t="str">
        <f>_xlfn.XLOOKUP(A250,Códigos!$A$11:$A$415,Códigos!$B$11:$B$415,"Verificar",0)</f>
        <v>NOMBRE 149</v>
      </c>
      <c r="C250" s="525">
        <f>SUMIF('CARTERA años anteriores'!$C$9:$C$234,A250,'CARTERA años anteriores'!$J$9:$J$234)</f>
        <v>430000</v>
      </c>
      <c r="D250" s="525">
        <f>SUMIF('CARTERA años anteriores'!$C$9:$C$234,A250,'CARTERA años anteriores'!$L$9:$L$234)</f>
        <v>430000</v>
      </c>
      <c r="E250" s="525">
        <f>SUMIF(FACTURACIÓN!$C$8:$C$1082,A250,FACTURACIÓN!$K$8:$K$1082)</f>
        <v>450000</v>
      </c>
      <c r="F250" s="525">
        <f>SUMIF('INGRESOS A CAJA'!$C$10:$C$954,A250,'INGRESOS A CAJA'!$F$10:$F$954)+SUMIF(FACTURACIÓN!$C$8:$C$1082,A250,FACTURACIÓN!$M$8:$M$1082)++SUMIF('CARTERA años anteriores'!$C$9:$C$234,A250,'CARTERA años anteriores'!$M$9:$M$234)</f>
        <v>880000</v>
      </c>
      <c r="G250" s="525">
        <f>SUMIF('EGRESOS DE CAJA'!$C$10:$C$2251,A250,'EGRESOS DE CAJA'!$G$10:$G$2251)</f>
        <v>0</v>
      </c>
      <c r="H250" s="512">
        <f t="shared" si="7"/>
        <v>0</v>
      </c>
      <c r="I250" s="512">
        <f t="shared" si="8"/>
        <v>-430000</v>
      </c>
      <c r="J250" s="557"/>
      <c r="K250" s="629"/>
    </row>
    <row r="251" spans="1:11" ht="15" x14ac:dyDescent="0.2">
      <c r="A251" s="560">
        <v>243</v>
      </c>
      <c r="B251" s="511" t="str">
        <f>_xlfn.XLOOKUP(A251,Códigos!$A$11:$A$415,Códigos!$B$11:$B$415,"Verificar",0)</f>
        <v>NOMBRE 298</v>
      </c>
      <c r="C251" s="525">
        <f>SUMIF('CARTERA años anteriores'!$C$9:$C$234,A251,'CARTERA años anteriores'!$J$9:$J$234)</f>
        <v>0</v>
      </c>
      <c r="D251" s="525">
        <f>SUMIF('CARTERA años anteriores'!$C$9:$C$234,A251,'CARTERA años anteriores'!$L$9:$L$234)</f>
        <v>0</v>
      </c>
      <c r="E251" s="525">
        <f>SUMIF(FACTURACIÓN!$C$8:$C$1082,A251,FACTURACIÓN!$K$8:$K$1082)</f>
        <v>450000</v>
      </c>
      <c r="F251" s="525">
        <f>SUMIF('INGRESOS A CAJA'!$C$10:$C$954,A251,'INGRESOS A CAJA'!$F$10:$F$954)+SUMIF(FACTURACIÓN!$C$8:$C$1082,A251,FACTURACIÓN!$M$8:$M$1082)++SUMIF('CARTERA años anteriores'!$C$9:$C$234,A251,'CARTERA años anteriores'!$M$9:$M$234)</f>
        <v>0</v>
      </c>
      <c r="G251" s="525">
        <f>SUMIF('EGRESOS DE CAJA'!$C$10:$C$2251,A251,'EGRESOS DE CAJA'!$G$10:$G$2251)</f>
        <v>0</v>
      </c>
      <c r="H251" s="512">
        <f t="shared" si="7"/>
        <v>450000</v>
      </c>
      <c r="I251" s="512">
        <f t="shared" si="8"/>
        <v>0</v>
      </c>
      <c r="J251" s="557"/>
      <c r="K251" s="629"/>
    </row>
    <row r="252" spans="1:11" ht="15" x14ac:dyDescent="0.2">
      <c r="A252" s="560">
        <v>244</v>
      </c>
      <c r="B252" s="511" t="str">
        <f>_xlfn.XLOOKUP(A252,Códigos!$A$11:$A$415,Códigos!$B$11:$B$415,"Verificar",0)</f>
        <v>NOMBRE 98</v>
      </c>
      <c r="C252" s="525">
        <f>SUMIF('CARTERA años anteriores'!$C$9:$C$234,A252,'CARTERA años anteriores'!$J$9:$J$234)</f>
        <v>270000</v>
      </c>
      <c r="D252" s="525">
        <f>SUMIF('CARTERA años anteriores'!$C$9:$C$234,A252,'CARTERA años anteriores'!$L$9:$L$234)</f>
        <v>0</v>
      </c>
      <c r="E252" s="525">
        <f>SUMIF(FACTURACIÓN!$C$8:$C$1082,A252,FACTURACIÓN!$K$8:$K$1082)</f>
        <v>290000</v>
      </c>
      <c r="F252" s="525">
        <f>SUMIF('INGRESOS A CAJA'!$C$10:$C$954,A252,'INGRESOS A CAJA'!$F$10:$F$954)+SUMIF(FACTURACIÓN!$C$8:$C$1082,A252,FACTURACIÓN!$M$8:$M$1082)++SUMIF('CARTERA años anteriores'!$C$9:$C$234,A252,'CARTERA años anteriores'!$M$9:$M$234)</f>
        <v>0</v>
      </c>
      <c r="G252" s="525">
        <f>SUMIF('EGRESOS DE CAJA'!$C$10:$C$2251,A252,'EGRESOS DE CAJA'!$G$10:$G$2251)</f>
        <v>0</v>
      </c>
      <c r="H252" s="512">
        <f t="shared" si="7"/>
        <v>560000</v>
      </c>
      <c r="I252" s="512">
        <f t="shared" si="8"/>
        <v>0</v>
      </c>
      <c r="J252" s="557"/>
      <c r="K252" s="629"/>
    </row>
    <row r="253" spans="1:11" ht="15" x14ac:dyDescent="0.2">
      <c r="A253" s="560">
        <v>245</v>
      </c>
      <c r="B253" s="511" t="str">
        <f>_xlfn.XLOOKUP(A253,Códigos!$A$11:$A$415,Códigos!$B$11:$B$415,"Verificar",0)</f>
        <v>NOMBRE 162</v>
      </c>
      <c r="C253" s="525">
        <f>SUMIF('CARTERA años anteriores'!$C$9:$C$234,A253,'CARTERA años anteriores'!$J$9:$J$234)</f>
        <v>0</v>
      </c>
      <c r="D253" s="525">
        <f>SUMIF('CARTERA años anteriores'!$C$9:$C$234,A253,'CARTERA años anteriores'!$L$9:$L$234)</f>
        <v>0</v>
      </c>
      <c r="E253" s="525">
        <f>SUMIF(FACTURACIÓN!$C$8:$C$1082,A253,FACTURACIÓN!$K$8:$K$1082)</f>
        <v>0</v>
      </c>
      <c r="F253" s="525">
        <f>SUMIF('INGRESOS A CAJA'!$C$10:$C$954,A253,'INGRESOS A CAJA'!$F$10:$F$954)+SUMIF(FACTURACIÓN!$C$8:$C$1082,A253,FACTURACIÓN!$M$8:$M$1082)++SUMIF('CARTERA años anteriores'!$C$9:$C$234,A253,'CARTERA años anteriores'!$M$9:$M$234)</f>
        <v>0</v>
      </c>
      <c r="G253" s="525">
        <f>SUMIF('EGRESOS DE CAJA'!$C$10:$C$2251,A253,'EGRESOS DE CAJA'!$G$10:$G$2251)</f>
        <v>0</v>
      </c>
      <c r="H253" s="512">
        <f t="shared" si="7"/>
        <v>0</v>
      </c>
      <c r="I253" s="512">
        <f t="shared" si="8"/>
        <v>0</v>
      </c>
      <c r="J253" s="557"/>
      <c r="K253" s="629"/>
    </row>
    <row r="254" spans="1:11" ht="15" x14ac:dyDescent="0.2">
      <c r="A254" s="560">
        <v>246</v>
      </c>
      <c r="B254" s="511" t="str">
        <f>_xlfn.XLOOKUP(A254,Códigos!$A$11:$A$415,Códigos!$B$11:$B$415,"Verificar",0)</f>
        <v>NOMBRE 41</v>
      </c>
      <c r="C254" s="525">
        <f>SUMIF('CARTERA años anteriores'!$C$9:$C$234,A254,'CARTERA años anteriores'!$J$9:$J$234)</f>
        <v>0</v>
      </c>
      <c r="D254" s="525">
        <f>SUMIF('CARTERA años anteriores'!$C$9:$C$234,A254,'CARTERA años anteriores'!$L$9:$L$234)</f>
        <v>0</v>
      </c>
      <c r="E254" s="525">
        <f>SUMIF(FACTURACIÓN!$C$8:$C$1082,A254,FACTURACIÓN!$K$8:$K$1082)</f>
        <v>0</v>
      </c>
      <c r="F254" s="525">
        <f>SUMIF('INGRESOS A CAJA'!$C$10:$C$954,A254,'INGRESOS A CAJA'!$F$10:$F$954)+SUMIF(FACTURACIÓN!$C$8:$C$1082,A254,FACTURACIÓN!$M$8:$M$1082)++SUMIF('CARTERA años anteriores'!$C$9:$C$234,A254,'CARTERA años anteriores'!$M$9:$M$234)</f>
        <v>0</v>
      </c>
      <c r="G254" s="525">
        <f>SUMIF('EGRESOS DE CAJA'!$C$10:$C$2251,A254,'EGRESOS DE CAJA'!$G$10:$G$2251)</f>
        <v>0</v>
      </c>
      <c r="H254" s="512">
        <f t="shared" si="7"/>
        <v>0</v>
      </c>
      <c r="I254" s="512">
        <f t="shared" si="8"/>
        <v>0</v>
      </c>
      <c r="J254" s="557"/>
      <c r="K254" s="629"/>
    </row>
    <row r="255" spans="1:11" ht="15" x14ac:dyDescent="0.2">
      <c r="A255" s="560">
        <v>247</v>
      </c>
      <c r="B255" s="511" t="str">
        <f>_xlfn.XLOOKUP(A255,Códigos!$A$11:$A$415,Códigos!$B$11:$B$415,"Verificar",0)</f>
        <v>NOMBRE 200</v>
      </c>
      <c r="C255" s="525">
        <f>SUMIF('CARTERA años anteriores'!$C$9:$C$234,A255,'CARTERA años anteriores'!$J$9:$J$234)</f>
        <v>0</v>
      </c>
      <c r="D255" s="525">
        <f>SUMIF('CARTERA años anteriores'!$C$9:$C$234,A255,'CARTERA años anteriores'!$L$9:$L$234)</f>
        <v>0</v>
      </c>
      <c r="E255" s="525">
        <f>SUMIF(FACTURACIÓN!$C$8:$C$1082,A255,FACTURACIÓN!$K$8:$K$1082)</f>
        <v>260000</v>
      </c>
      <c r="F255" s="525">
        <f>SUMIF('INGRESOS A CAJA'!$C$10:$C$954,A255,'INGRESOS A CAJA'!$F$10:$F$954)+SUMIF(FACTURACIÓN!$C$8:$C$1082,A255,FACTURACIÓN!$M$8:$M$1082)++SUMIF('CARTERA años anteriores'!$C$9:$C$234,A255,'CARTERA años anteriores'!$M$9:$M$234)</f>
        <v>0</v>
      </c>
      <c r="G255" s="525">
        <f>SUMIF('EGRESOS DE CAJA'!$C$10:$C$2251,A255,'EGRESOS DE CAJA'!$G$10:$G$2251)</f>
        <v>0</v>
      </c>
      <c r="H255" s="512">
        <f t="shared" si="7"/>
        <v>260000</v>
      </c>
      <c r="I255" s="512">
        <f t="shared" si="8"/>
        <v>0</v>
      </c>
      <c r="J255" s="557"/>
      <c r="K255" s="629"/>
    </row>
    <row r="256" spans="1:11" ht="15" x14ac:dyDescent="0.2">
      <c r="A256" s="560">
        <v>248</v>
      </c>
      <c r="B256" s="511" t="str">
        <f>_xlfn.XLOOKUP(A256,Códigos!$A$11:$A$415,Códigos!$B$11:$B$415,"Verificar",0)</f>
        <v>NOMBRE 151</v>
      </c>
      <c r="C256" s="525">
        <f>SUMIF('CARTERA años anteriores'!$C$9:$C$234,A256,'CARTERA años anteriores'!$J$9:$J$234)</f>
        <v>0</v>
      </c>
      <c r="D256" s="525">
        <f>SUMIF('CARTERA años anteriores'!$C$9:$C$234,A256,'CARTERA años anteriores'!$L$9:$L$234)</f>
        <v>0</v>
      </c>
      <c r="E256" s="525">
        <f>SUMIF(FACTURACIÓN!$C$8:$C$1082,A256,FACTURACIÓN!$K$8:$K$1082)</f>
        <v>0</v>
      </c>
      <c r="F256" s="525">
        <f>SUMIF('INGRESOS A CAJA'!$C$10:$C$954,A256,'INGRESOS A CAJA'!$F$10:$F$954)+SUMIF(FACTURACIÓN!$C$8:$C$1082,A256,FACTURACIÓN!$M$8:$M$1082)++SUMIF('CARTERA años anteriores'!$C$9:$C$234,A256,'CARTERA años anteriores'!$M$9:$M$234)</f>
        <v>0</v>
      </c>
      <c r="G256" s="525">
        <f>SUMIF('EGRESOS DE CAJA'!$C$10:$C$2251,A256,'EGRESOS DE CAJA'!$G$10:$G$2251)</f>
        <v>0</v>
      </c>
      <c r="H256" s="512">
        <f t="shared" si="7"/>
        <v>0</v>
      </c>
      <c r="I256" s="512">
        <f t="shared" si="8"/>
        <v>0</v>
      </c>
      <c r="J256" s="557"/>
      <c r="K256" s="629"/>
    </row>
    <row r="257" spans="1:11" ht="15" x14ac:dyDescent="0.2">
      <c r="A257" s="560">
        <v>249</v>
      </c>
      <c r="B257" s="511" t="str">
        <f>_xlfn.XLOOKUP(A257,Códigos!$A$11:$A$415,Códigos!$B$11:$B$415,"Verificar",0)</f>
        <v>NOMBRE 220</v>
      </c>
      <c r="C257" s="525">
        <f>SUMIF('CARTERA años anteriores'!$C$9:$C$234,A257,'CARTERA años anteriores'!$J$9:$J$234)</f>
        <v>0</v>
      </c>
      <c r="D257" s="525">
        <f>SUMIF('CARTERA años anteriores'!$C$9:$C$234,A257,'CARTERA años anteriores'!$L$9:$L$234)</f>
        <v>0</v>
      </c>
      <c r="E257" s="525">
        <f>SUMIF(FACTURACIÓN!$C$8:$C$1082,A257,FACTURACIÓN!$K$8:$K$1082)</f>
        <v>0</v>
      </c>
      <c r="F257" s="525">
        <f>SUMIF('INGRESOS A CAJA'!$C$10:$C$954,A257,'INGRESOS A CAJA'!$F$10:$F$954)+SUMIF(FACTURACIÓN!$C$8:$C$1082,A257,FACTURACIÓN!$M$8:$M$1082)++SUMIF('CARTERA años anteriores'!$C$9:$C$234,A257,'CARTERA años anteriores'!$M$9:$M$234)</f>
        <v>0</v>
      </c>
      <c r="G257" s="525">
        <f>SUMIF('EGRESOS DE CAJA'!$C$10:$C$2251,A257,'EGRESOS DE CAJA'!$G$10:$G$2251)</f>
        <v>30664600</v>
      </c>
      <c r="H257" s="512">
        <f t="shared" si="7"/>
        <v>30664600</v>
      </c>
      <c r="I257" s="512">
        <f t="shared" si="8"/>
        <v>0</v>
      </c>
      <c r="J257" s="557"/>
      <c r="K257" s="629"/>
    </row>
    <row r="258" spans="1:11" ht="15" x14ac:dyDescent="0.2">
      <c r="A258" s="560">
        <v>250</v>
      </c>
      <c r="B258" s="511" t="str">
        <f>_xlfn.XLOOKUP(A258,Códigos!$A$11:$A$415,Códigos!$B$11:$B$415,"Verificar",0)</f>
        <v>NOMBRE 75</v>
      </c>
      <c r="C258" s="525">
        <f>SUMIF('CARTERA años anteriores'!$C$9:$C$234,A258,'CARTERA años anteriores'!$J$9:$J$234)</f>
        <v>0</v>
      </c>
      <c r="D258" s="525">
        <f>SUMIF('CARTERA años anteriores'!$C$9:$C$234,A258,'CARTERA años anteriores'!$L$9:$L$234)</f>
        <v>0</v>
      </c>
      <c r="E258" s="525">
        <f>SUMIF(FACTURACIÓN!$C$8:$C$1082,A258,FACTURACIÓN!$K$8:$K$1082)</f>
        <v>0</v>
      </c>
      <c r="F258" s="525">
        <f>SUMIF('INGRESOS A CAJA'!$C$10:$C$954,A258,'INGRESOS A CAJA'!$F$10:$F$954)+SUMIF(FACTURACIÓN!$C$8:$C$1082,A258,FACTURACIÓN!$M$8:$M$1082)++SUMIF('CARTERA años anteriores'!$C$9:$C$234,A258,'CARTERA años anteriores'!$M$9:$M$234)</f>
        <v>3396800</v>
      </c>
      <c r="G258" s="525">
        <f>SUMIF('EGRESOS DE CAJA'!$C$10:$C$2251,A258,'EGRESOS DE CAJA'!$G$10:$G$2251)</f>
        <v>3396800</v>
      </c>
      <c r="H258" s="512">
        <f t="shared" si="7"/>
        <v>0</v>
      </c>
      <c r="I258" s="512">
        <f t="shared" si="8"/>
        <v>0</v>
      </c>
      <c r="J258" s="557"/>
      <c r="K258" s="629"/>
    </row>
    <row r="259" spans="1:11" ht="15" x14ac:dyDescent="0.2">
      <c r="A259" s="560">
        <v>251</v>
      </c>
      <c r="B259" s="511" t="str">
        <f>_xlfn.XLOOKUP(A259,Códigos!$A$11:$A$415,Códigos!$B$11:$B$415,"Verificar",0)</f>
        <v>NOMBRE 152</v>
      </c>
      <c r="C259" s="525">
        <f>SUMIF('CARTERA años anteriores'!$C$9:$C$234,A259,'CARTERA años anteriores'!$J$9:$J$234)</f>
        <v>0</v>
      </c>
      <c r="D259" s="525">
        <f>SUMIF('CARTERA años anteriores'!$C$9:$C$234,A259,'CARTERA años anteriores'!$L$9:$L$234)</f>
        <v>0</v>
      </c>
      <c r="E259" s="525">
        <f>SUMIF(FACTURACIÓN!$C$8:$C$1082,A259,FACTURACIÓN!$K$8:$K$1082)</f>
        <v>0</v>
      </c>
      <c r="F259" s="525">
        <f>SUMIF('INGRESOS A CAJA'!$C$10:$C$954,A259,'INGRESOS A CAJA'!$F$10:$F$954)+SUMIF(FACTURACIÓN!$C$8:$C$1082,A259,FACTURACIÓN!$M$8:$M$1082)++SUMIF('CARTERA años anteriores'!$C$9:$C$234,A259,'CARTERA años anteriores'!$M$9:$M$234)</f>
        <v>0</v>
      </c>
      <c r="G259" s="525">
        <f>SUMIF('EGRESOS DE CAJA'!$C$10:$C$2251,A259,'EGRESOS DE CAJA'!$G$10:$G$2251)</f>
        <v>0</v>
      </c>
      <c r="H259" s="512">
        <f t="shared" si="7"/>
        <v>0</v>
      </c>
      <c r="I259" s="512">
        <f t="shared" si="8"/>
        <v>0</v>
      </c>
      <c r="J259" s="557"/>
      <c r="K259" s="629"/>
    </row>
    <row r="260" spans="1:11" ht="15" x14ac:dyDescent="0.2">
      <c r="A260" s="644">
        <v>252</v>
      </c>
      <c r="B260" s="540" t="str">
        <f>_xlfn.XLOOKUP(A260,Códigos!$A$11:$A$415,Códigos!$B$11:$B$415,"Verificar",0)</f>
        <v>NOMBRE 219</v>
      </c>
      <c r="C260" s="525">
        <f>SUMIF('CARTERA años anteriores'!$C$9:$C$234,A260,'CARTERA años anteriores'!$J$9:$J$234)</f>
        <v>3290000</v>
      </c>
      <c r="D260" s="525">
        <f>SUMIF('CARTERA años anteriores'!$C$9:$C$234,A260,'CARTERA años anteriores'!$L$9:$L$234)</f>
        <v>320000</v>
      </c>
      <c r="E260" s="541">
        <f>SUMIF(FACTURACIÓN!$C$8:$C$1082,A260,FACTURACIÓN!$K$8:$K$1082)</f>
        <v>160000</v>
      </c>
      <c r="F260" s="525">
        <f>SUMIF('INGRESOS A CAJA'!$C$10:$C$954,A260,'INGRESOS A CAJA'!$F$10:$F$954)+SUMIF(FACTURACIÓN!$C$8:$C$1082,A260,FACTURACIÓN!$M$8:$M$1082)++SUMIF('CARTERA años anteriores'!$C$9:$C$234,A260,'CARTERA años anteriores'!$M$9:$M$234)</f>
        <v>1540000</v>
      </c>
      <c r="G260" s="541">
        <f>SUMIF('EGRESOS DE CAJA'!$C$10:$C$2251,A260,'EGRESOS DE CAJA'!$G$10:$G$2251)</f>
        <v>3111000</v>
      </c>
      <c r="H260" s="542">
        <f t="shared" si="7"/>
        <v>5021000</v>
      </c>
      <c r="I260" s="542">
        <f t="shared" si="8"/>
        <v>0</v>
      </c>
      <c r="J260" s="558"/>
      <c r="K260" s="630"/>
    </row>
    <row r="261" spans="1:11" ht="15" x14ac:dyDescent="0.2">
      <c r="A261" s="560">
        <v>253</v>
      </c>
      <c r="B261" s="511" t="str">
        <f>_xlfn.XLOOKUP(A261,Códigos!$A$11:$A$415,Códigos!$B$11:$B$415,"Verificar",0)</f>
        <v>NOMBRE 102</v>
      </c>
      <c r="C261" s="525">
        <f>SUMIF('CARTERA años anteriores'!$C$9:$C$234,A261,'CARTERA años anteriores'!$J$9:$J$234)</f>
        <v>0</v>
      </c>
      <c r="D261" s="525">
        <f>SUMIF('CARTERA años anteriores'!$C$9:$C$234,A261,'CARTERA años anteriores'!$L$9:$L$234)</f>
        <v>0</v>
      </c>
      <c r="E261" s="525">
        <f>SUMIF(FACTURACIÓN!$C$8:$C$1082,A261,FACTURACIÓN!$K$8:$K$1082)</f>
        <v>0</v>
      </c>
      <c r="F261" s="525">
        <f>SUMIF('INGRESOS A CAJA'!$C$10:$C$954,A261,'INGRESOS A CAJA'!$F$10:$F$954)+SUMIF(FACTURACIÓN!$C$8:$C$1082,A261,FACTURACIÓN!$M$8:$M$1082)++SUMIF('CARTERA años anteriores'!$C$9:$C$234,A261,'CARTERA años anteriores'!$M$9:$M$234)</f>
        <v>0</v>
      </c>
      <c r="G261" s="525">
        <f>SUMIF('EGRESOS DE CAJA'!$C$10:$C$2251,A261,'EGRESOS DE CAJA'!$G$10:$G$2251)</f>
        <v>0</v>
      </c>
      <c r="H261" s="512">
        <f t="shared" si="7"/>
        <v>0</v>
      </c>
      <c r="I261" s="512">
        <f t="shared" si="8"/>
        <v>0</v>
      </c>
      <c r="J261" s="557"/>
      <c r="K261" s="629"/>
    </row>
    <row r="262" spans="1:11" ht="15" x14ac:dyDescent="0.2">
      <c r="A262" s="560">
        <v>254</v>
      </c>
      <c r="B262" s="511" t="str">
        <f>_xlfn.XLOOKUP(A262,Códigos!$A$11:$A$415,Códigos!$B$11:$B$415,"Verificar",0)</f>
        <v>NOMBRE 181</v>
      </c>
      <c r="C262" s="525">
        <f>SUMIF('CARTERA años anteriores'!$C$9:$C$234,A262,'CARTERA años anteriores'!$J$9:$J$234)</f>
        <v>0</v>
      </c>
      <c r="D262" s="525">
        <f>SUMIF('CARTERA años anteriores'!$C$9:$C$234,A262,'CARTERA años anteriores'!$L$9:$L$234)</f>
        <v>0</v>
      </c>
      <c r="E262" s="525">
        <f>SUMIF(FACTURACIÓN!$C$8:$C$1082,A262,FACTURACIÓN!$K$8:$K$1082)</f>
        <v>0</v>
      </c>
      <c r="F262" s="525">
        <f>SUMIF('INGRESOS A CAJA'!$C$10:$C$954,A262,'INGRESOS A CAJA'!$F$10:$F$954)+SUMIF(FACTURACIÓN!$C$8:$C$1082,A262,FACTURACIÓN!$M$8:$M$1082)++SUMIF('CARTERA años anteriores'!$C$9:$C$234,A262,'CARTERA años anteriores'!$M$9:$M$234)</f>
        <v>0</v>
      </c>
      <c r="G262" s="525">
        <f>SUMIF('EGRESOS DE CAJA'!$C$10:$C$2251,A262,'EGRESOS DE CAJA'!$G$10:$G$2251)</f>
        <v>0</v>
      </c>
      <c r="H262" s="512">
        <f t="shared" si="7"/>
        <v>0</v>
      </c>
      <c r="I262" s="512">
        <f t="shared" si="8"/>
        <v>0</v>
      </c>
      <c r="J262" s="557"/>
      <c r="K262" s="629"/>
    </row>
    <row r="263" spans="1:11" ht="15" x14ac:dyDescent="0.2">
      <c r="A263" s="560">
        <v>255</v>
      </c>
      <c r="B263" s="511" t="str">
        <f>_xlfn.XLOOKUP(A263,Códigos!$A$11:$A$415,Códigos!$B$11:$B$415,"Verificar",0)</f>
        <v>NOMBRE 166</v>
      </c>
      <c r="C263" s="525">
        <f>SUMIF('CARTERA años anteriores'!$C$9:$C$234,A263,'CARTERA años anteriores'!$J$9:$J$234)</f>
        <v>0</v>
      </c>
      <c r="D263" s="525">
        <f>SUMIF('CARTERA años anteriores'!$C$9:$C$234,A263,'CARTERA años anteriores'!$L$9:$L$234)</f>
        <v>0</v>
      </c>
      <c r="E263" s="525">
        <f>SUMIF(FACTURACIÓN!$C$8:$C$1082,A263,FACTURACIÓN!$K$8:$K$1082)</f>
        <v>0</v>
      </c>
      <c r="F263" s="525">
        <f>SUMIF('INGRESOS A CAJA'!$C$10:$C$954,A263,'INGRESOS A CAJA'!$F$10:$F$954)+SUMIF(FACTURACIÓN!$C$8:$C$1082,A263,FACTURACIÓN!$M$8:$M$1082)++SUMIF('CARTERA años anteriores'!$C$9:$C$234,A263,'CARTERA años anteriores'!$M$9:$M$234)</f>
        <v>0</v>
      </c>
      <c r="G263" s="525">
        <f>SUMIF('EGRESOS DE CAJA'!$C$10:$C$2251,A263,'EGRESOS DE CAJA'!$G$10:$G$2251)</f>
        <v>0</v>
      </c>
      <c r="H263" s="512">
        <f t="shared" si="7"/>
        <v>0</v>
      </c>
      <c r="I263" s="512">
        <f t="shared" si="8"/>
        <v>0</v>
      </c>
      <c r="J263" s="557"/>
      <c r="K263" s="629"/>
    </row>
    <row r="264" spans="1:11" ht="15" x14ac:dyDescent="0.2">
      <c r="A264" s="560">
        <v>256</v>
      </c>
      <c r="B264" s="511" t="str">
        <f>_xlfn.XLOOKUP(A264,Códigos!$A$11:$A$415,Códigos!$B$11:$B$415,"Verificar",0)</f>
        <v>NOMBRE 148</v>
      </c>
      <c r="C264" s="525">
        <f>SUMIF('CARTERA años anteriores'!$C$9:$C$234,A264,'CARTERA años anteriores'!$J$9:$J$234)</f>
        <v>0</v>
      </c>
      <c r="D264" s="525">
        <f>SUMIF('CARTERA años anteriores'!$C$9:$C$234,A264,'CARTERA años anteriores'!$L$9:$L$234)</f>
        <v>0</v>
      </c>
      <c r="E264" s="525">
        <f>SUMIF(FACTURACIÓN!$C$8:$C$1082,A264,FACTURACIÓN!$K$8:$K$1082)</f>
        <v>0</v>
      </c>
      <c r="F264" s="525">
        <f>SUMIF('INGRESOS A CAJA'!$C$10:$C$954,A264,'INGRESOS A CAJA'!$F$10:$F$954)+SUMIF(FACTURACIÓN!$C$8:$C$1082,A264,FACTURACIÓN!$M$8:$M$1082)++SUMIF('CARTERA años anteriores'!$C$9:$C$234,A264,'CARTERA años anteriores'!$M$9:$M$234)</f>
        <v>0</v>
      </c>
      <c r="G264" s="525">
        <f>SUMIF('EGRESOS DE CAJA'!$C$10:$C$2251,A264,'EGRESOS DE CAJA'!$G$10:$G$2251)</f>
        <v>0</v>
      </c>
      <c r="H264" s="512">
        <f t="shared" si="7"/>
        <v>0</v>
      </c>
      <c r="I264" s="512">
        <f t="shared" si="8"/>
        <v>0</v>
      </c>
      <c r="J264" s="557"/>
      <c r="K264" s="629"/>
    </row>
    <row r="265" spans="1:11" ht="15" x14ac:dyDescent="0.2">
      <c r="A265" s="560">
        <v>257</v>
      </c>
      <c r="B265" s="511" t="str">
        <f>_xlfn.XLOOKUP(A265,Códigos!$A$11:$A$415,Códigos!$B$11:$B$415,"Verificar",0)</f>
        <v>NOMBRE 29</v>
      </c>
      <c r="C265" s="525">
        <f>SUMIF('CARTERA años anteriores'!$C$9:$C$234,A265,'CARTERA años anteriores'!$J$9:$J$234)</f>
        <v>0</v>
      </c>
      <c r="D265" s="525">
        <f>SUMIF('CARTERA años anteriores'!$C$9:$C$234,A265,'CARTERA años anteriores'!$L$9:$L$234)</f>
        <v>0</v>
      </c>
      <c r="E265" s="525">
        <f>SUMIF(FACTURACIÓN!$C$8:$C$1082,A265,FACTURACIÓN!$K$8:$K$1082)</f>
        <v>0</v>
      </c>
      <c r="F265" s="525">
        <f>SUMIF('INGRESOS A CAJA'!$C$10:$C$954,A265,'INGRESOS A CAJA'!$F$10:$F$954)+SUMIF(FACTURACIÓN!$C$8:$C$1082,A265,FACTURACIÓN!$M$8:$M$1082)++SUMIF('CARTERA años anteriores'!$C$9:$C$234,A265,'CARTERA años anteriores'!$M$9:$M$234)</f>
        <v>0</v>
      </c>
      <c r="G265" s="525">
        <f>SUMIF('EGRESOS DE CAJA'!$C$10:$C$2251,A265,'EGRESOS DE CAJA'!$G$10:$G$2251)</f>
        <v>0</v>
      </c>
      <c r="H265" s="512">
        <f t="shared" si="7"/>
        <v>0</v>
      </c>
      <c r="I265" s="512">
        <f t="shared" si="8"/>
        <v>0</v>
      </c>
      <c r="J265" s="557"/>
      <c r="K265" s="629"/>
    </row>
    <row r="266" spans="1:11" ht="15" x14ac:dyDescent="0.2">
      <c r="A266" s="560">
        <v>258</v>
      </c>
      <c r="B266" s="511" t="str">
        <f>_xlfn.XLOOKUP(A266,Códigos!$A$11:$A$415,Códigos!$B$11:$B$415,"Verificar",0)</f>
        <v>NOMBRE 144</v>
      </c>
      <c r="C266" s="525">
        <f>SUMIF('CARTERA años anteriores'!$C$9:$C$234,A266,'CARTERA años anteriores'!$J$9:$J$234)</f>
        <v>0</v>
      </c>
      <c r="D266" s="525">
        <f>SUMIF('CARTERA años anteriores'!$C$9:$C$234,A266,'CARTERA años anteriores'!$L$9:$L$234)</f>
        <v>0</v>
      </c>
      <c r="E266" s="525">
        <f>SUMIF(FACTURACIÓN!$C$8:$C$1082,A266,FACTURACIÓN!$K$8:$K$1082)</f>
        <v>0</v>
      </c>
      <c r="F266" s="525">
        <f>SUMIF('INGRESOS A CAJA'!$C$10:$C$954,A266,'INGRESOS A CAJA'!$F$10:$F$954)+SUMIF(FACTURACIÓN!$C$8:$C$1082,A266,FACTURACIÓN!$M$8:$M$1082)++SUMIF('CARTERA años anteriores'!$C$9:$C$234,A266,'CARTERA años anteriores'!$M$9:$M$234)</f>
        <v>0</v>
      </c>
      <c r="G266" s="525">
        <f>SUMIF('EGRESOS DE CAJA'!$C$10:$C$2251,A266,'EGRESOS DE CAJA'!$G$10:$G$2251)</f>
        <v>0</v>
      </c>
      <c r="H266" s="512">
        <f t="shared" si="7"/>
        <v>0</v>
      </c>
      <c r="I266" s="512">
        <f t="shared" si="8"/>
        <v>0</v>
      </c>
      <c r="J266" s="557"/>
      <c r="K266" s="629"/>
    </row>
    <row r="267" spans="1:11" ht="15" x14ac:dyDescent="0.2">
      <c r="A267" s="560">
        <v>259</v>
      </c>
      <c r="B267" s="511" t="str">
        <f>_xlfn.XLOOKUP(A267,Códigos!$A$11:$A$415,Códigos!$B$11:$B$415,"Verificar",0)</f>
        <v>NOMBRE 186</v>
      </c>
      <c r="C267" s="525">
        <f>SUMIF('CARTERA años anteriores'!$C$9:$C$234,A267,'CARTERA años anteriores'!$J$9:$J$234)</f>
        <v>0</v>
      </c>
      <c r="D267" s="525">
        <f>SUMIF('CARTERA años anteriores'!$C$9:$C$234,A267,'CARTERA años anteriores'!$L$9:$L$234)</f>
        <v>0</v>
      </c>
      <c r="E267" s="525">
        <f>SUMIF(FACTURACIÓN!$C$8:$C$1082,A267,FACTURACIÓN!$K$8:$K$1082)</f>
        <v>470000</v>
      </c>
      <c r="F267" s="525">
        <f>SUMIF('INGRESOS A CAJA'!$C$10:$C$954,A267,'INGRESOS A CAJA'!$F$10:$F$954)+SUMIF(FACTURACIÓN!$C$8:$C$1082,A267,FACTURACIÓN!$M$8:$M$1082)++SUMIF('CARTERA años anteriores'!$C$9:$C$234,A267,'CARTERA años anteriores'!$M$9:$M$234)</f>
        <v>0</v>
      </c>
      <c r="G267" s="525">
        <f>SUMIF('EGRESOS DE CAJA'!$C$10:$C$2251,A267,'EGRESOS DE CAJA'!$G$10:$G$2251)</f>
        <v>0</v>
      </c>
      <c r="H267" s="512">
        <f t="shared" si="7"/>
        <v>470000</v>
      </c>
      <c r="I267" s="512">
        <f t="shared" si="8"/>
        <v>0</v>
      </c>
      <c r="J267" s="557"/>
      <c r="K267" s="629"/>
    </row>
    <row r="268" spans="1:11" ht="15" x14ac:dyDescent="0.2">
      <c r="A268" s="560">
        <v>260</v>
      </c>
      <c r="B268" s="511" t="str">
        <f>_xlfn.XLOOKUP(A268,Códigos!$A$11:$A$415,Códigos!$B$11:$B$415,"Verificar",0)</f>
        <v>NOMBRE 27</v>
      </c>
      <c r="C268" s="525">
        <f>SUMIF('CARTERA años anteriores'!$C$9:$C$234,A268,'CARTERA años anteriores'!$J$9:$J$234)</f>
        <v>0</v>
      </c>
      <c r="D268" s="525">
        <f>SUMIF('CARTERA años anteriores'!$C$9:$C$234,A268,'CARTERA años anteriores'!$L$9:$L$234)</f>
        <v>0</v>
      </c>
      <c r="E268" s="525">
        <f>SUMIF(FACTURACIÓN!$C$8:$C$1082,A268,FACTURACIÓN!$K$8:$K$1082)</f>
        <v>170000</v>
      </c>
      <c r="F268" s="525">
        <f>SUMIF('INGRESOS A CAJA'!$C$10:$C$954,A268,'INGRESOS A CAJA'!$F$10:$F$954)+SUMIF(FACTURACIÓN!$C$8:$C$1082,A268,FACTURACIÓN!$M$8:$M$1082)++SUMIF('CARTERA años anteriores'!$C$9:$C$234,A268,'CARTERA años anteriores'!$M$9:$M$234)</f>
        <v>0</v>
      </c>
      <c r="G268" s="525">
        <f>SUMIF('EGRESOS DE CAJA'!$C$10:$C$2251,A268,'EGRESOS DE CAJA'!$G$10:$G$2251)</f>
        <v>0</v>
      </c>
      <c r="H268" s="512">
        <f t="shared" si="7"/>
        <v>170000</v>
      </c>
      <c r="I268" s="512">
        <f t="shared" si="8"/>
        <v>0</v>
      </c>
      <c r="J268" s="557"/>
      <c r="K268" s="629"/>
    </row>
    <row r="269" spans="1:11" ht="15" x14ac:dyDescent="0.2">
      <c r="A269" s="560">
        <v>261</v>
      </c>
      <c r="B269" s="511" t="str">
        <f>_xlfn.XLOOKUP(A269,Códigos!$A$11:$A$415,Códigos!$B$11:$B$415,"Verificar",0)</f>
        <v>NOMBRE 153</v>
      </c>
      <c r="C269" s="525">
        <f>SUMIF('CARTERA años anteriores'!$C$9:$C$234,A269,'CARTERA años anteriores'!$J$9:$J$234)</f>
        <v>0</v>
      </c>
      <c r="D269" s="525">
        <f>SUMIF('CARTERA años anteriores'!$C$9:$C$234,A269,'CARTERA años anteriores'!$L$9:$L$234)</f>
        <v>0</v>
      </c>
      <c r="E269" s="525">
        <f>SUMIF(FACTURACIÓN!$C$8:$C$1082,A269,FACTURACIÓN!$K$8:$K$1082)</f>
        <v>0</v>
      </c>
      <c r="F269" s="525">
        <f>SUMIF('INGRESOS A CAJA'!$C$10:$C$954,A269,'INGRESOS A CAJA'!$F$10:$F$954)+SUMIF(FACTURACIÓN!$C$8:$C$1082,A269,FACTURACIÓN!$M$8:$M$1082)++SUMIF('CARTERA años anteriores'!$C$9:$C$234,A269,'CARTERA años anteriores'!$M$9:$M$234)</f>
        <v>0</v>
      </c>
      <c r="G269" s="525">
        <f>SUMIF('EGRESOS DE CAJA'!$C$10:$C$2251,A269,'EGRESOS DE CAJA'!$G$10:$G$2251)</f>
        <v>0</v>
      </c>
      <c r="H269" s="512">
        <f t="shared" si="7"/>
        <v>0</v>
      </c>
      <c r="I269" s="512">
        <f t="shared" si="8"/>
        <v>0</v>
      </c>
      <c r="J269" s="557"/>
      <c r="K269" s="629"/>
    </row>
    <row r="270" spans="1:11" ht="15" x14ac:dyDescent="0.2">
      <c r="A270" s="560">
        <v>262</v>
      </c>
      <c r="B270" s="511" t="str">
        <f>_xlfn.XLOOKUP(A270,Códigos!$A$11:$A$415,Códigos!$B$11:$B$415,"Verificar",0)</f>
        <v>NOMBRE 95</v>
      </c>
      <c r="C270" s="525">
        <f>SUMIF('CARTERA años anteriores'!$C$9:$C$234,A270,'CARTERA años anteriores'!$J$9:$J$234)</f>
        <v>43100984</v>
      </c>
      <c r="D270" s="525">
        <f>SUMIF('CARTERA años anteriores'!$C$9:$C$234,A270,'CARTERA años anteriores'!$L$9:$L$234)</f>
        <v>1744200</v>
      </c>
      <c r="E270" s="641">
        <f>SUMIF(FACTURACIÓN!$C$8:$C$1082,A270,FACTURACIÓN!$K$8:$K$1082)</f>
        <v>0</v>
      </c>
      <c r="F270" s="525">
        <f>SUMIF('INGRESOS A CAJA'!$C$10:$C$954,A270,'INGRESOS A CAJA'!$F$10:$F$954)+SUMIF(FACTURACIÓN!$C$8:$C$1082,A270,FACTURACIÓN!$M$8:$M$1082)++SUMIF('CARTERA años anteriores'!$C$9:$C$234,A270,'CARTERA años anteriores'!$M$9:$M$234)</f>
        <v>13810100</v>
      </c>
      <c r="G270" s="641">
        <f>SUMIF('EGRESOS DE CAJA'!$C$10:$C$2251,A270,'EGRESOS DE CAJA'!$G$10:$G$2251)</f>
        <v>35640900</v>
      </c>
      <c r="H270" s="641">
        <f t="shared" si="7"/>
        <v>64931784</v>
      </c>
      <c r="I270" s="641" t="s">
        <v>399</v>
      </c>
      <c r="J270" s="557"/>
      <c r="K270" s="629"/>
    </row>
    <row r="271" spans="1:11" ht="15" x14ac:dyDescent="0.2">
      <c r="A271" s="560">
        <v>263</v>
      </c>
      <c r="B271" s="511" t="str">
        <f>_xlfn.XLOOKUP(A271,Códigos!$A$11:$A$415,Códigos!$B$11:$B$415,"Verificar",0)</f>
        <v>NOMBRE 128</v>
      </c>
      <c r="C271" s="525">
        <f>SUMIF('CARTERA años anteriores'!$C$9:$C$234,A271,'CARTERA años anteriores'!$J$9:$J$234)</f>
        <v>0</v>
      </c>
      <c r="D271" s="525">
        <f>SUMIF('CARTERA años anteriores'!$C$9:$C$234,A271,'CARTERA años anteriores'!$L$9:$L$234)</f>
        <v>0</v>
      </c>
      <c r="E271" s="525">
        <f>SUMIF(FACTURACIÓN!$C$8:$C$1082,A271,FACTURACIÓN!$K$8:$K$1082)</f>
        <v>0</v>
      </c>
      <c r="F271" s="525">
        <f>SUMIF('INGRESOS A CAJA'!$C$10:$C$954,A271,'INGRESOS A CAJA'!$F$10:$F$954)+SUMIF(FACTURACIÓN!$C$8:$C$1082,A271,FACTURACIÓN!$M$8:$M$1082)++SUMIF('CARTERA años anteriores'!$C$9:$C$234,A271,'CARTERA años anteriores'!$M$9:$M$234)</f>
        <v>0</v>
      </c>
      <c r="G271" s="525">
        <f>SUMIF('EGRESOS DE CAJA'!$C$10:$C$2251,A271,'EGRESOS DE CAJA'!$G$10:$G$2251)</f>
        <v>0</v>
      </c>
      <c r="H271" s="512">
        <f t="shared" ref="H271:H334" si="9">IF((+C271-D271*0+E271-F271+G271)&gt;0,(+C271-D271*0+E271-F271+G271),0)</f>
        <v>0</v>
      </c>
      <c r="I271" s="512">
        <f t="shared" ref="I271:I290" si="10">IF((+C271-D271+E271-F271+G271)&lt;0,(+C271-D271+E271-F271+G271),0)</f>
        <v>0</v>
      </c>
      <c r="J271" s="557"/>
      <c r="K271" s="629"/>
    </row>
    <row r="272" spans="1:11" ht="15" x14ac:dyDescent="0.2">
      <c r="A272" s="560">
        <v>264</v>
      </c>
      <c r="B272" s="511" t="str">
        <f>_xlfn.XLOOKUP(A272,Códigos!$A$11:$A$415,Códigos!$B$11:$B$415,"Verificar",0)</f>
        <v>NOMBRE 312</v>
      </c>
      <c r="C272" s="525">
        <f>SUMIF('CARTERA años anteriores'!$C$9:$C$234,A272,'CARTERA años anteriores'!$J$9:$J$234)</f>
        <v>0</v>
      </c>
      <c r="D272" s="525">
        <f>SUMIF('CARTERA años anteriores'!$C$9:$C$234,A272,'CARTERA años anteriores'!$L$9:$L$234)</f>
        <v>0</v>
      </c>
      <c r="E272" s="525">
        <f>SUMIF(FACTURACIÓN!$C$8:$C$1082,A272,FACTURACIÓN!$K$8:$K$1082)</f>
        <v>350000</v>
      </c>
      <c r="F272" s="525">
        <f>SUMIF('INGRESOS A CAJA'!$C$10:$C$954,A272,'INGRESOS A CAJA'!$F$10:$F$954)+SUMIF(FACTURACIÓN!$C$8:$C$1082,A272,FACTURACIÓN!$M$8:$M$1082)++SUMIF('CARTERA años anteriores'!$C$9:$C$234,A272,'CARTERA años anteriores'!$M$9:$M$234)</f>
        <v>0</v>
      </c>
      <c r="G272" s="525">
        <f>SUMIF('EGRESOS DE CAJA'!$C$10:$C$2251,A272,'EGRESOS DE CAJA'!$G$10:$G$2251)</f>
        <v>0</v>
      </c>
      <c r="H272" s="512">
        <f t="shared" si="9"/>
        <v>350000</v>
      </c>
      <c r="I272" s="512">
        <f t="shared" si="10"/>
        <v>0</v>
      </c>
      <c r="J272" s="557"/>
      <c r="K272" s="629"/>
    </row>
    <row r="273" spans="1:11" ht="15" x14ac:dyDescent="0.2">
      <c r="A273" s="560">
        <v>265</v>
      </c>
      <c r="B273" s="511" t="str">
        <f>_xlfn.XLOOKUP(A273,Códigos!$A$11:$A$415,Códigos!$B$11:$B$415,"Verificar",0)</f>
        <v>NOMBRE 246</v>
      </c>
      <c r="C273" s="525">
        <f>SUMIF('CARTERA años anteriores'!$C$9:$C$234,A273,'CARTERA años anteriores'!$J$9:$J$234)</f>
        <v>320000</v>
      </c>
      <c r="D273" s="525">
        <f>SUMIF('CARTERA años anteriores'!$C$9:$C$234,A273,'CARTERA años anteriores'!$L$9:$L$234)</f>
        <v>0</v>
      </c>
      <c r="E273" s="525">
        <f>SUMIF(FACTURACIÓN!$C$8:$C$1082,A273,FACTURACIÓN!$K$8:$K$1082)</f>
        <v>370000</v>
      </c>
      <c r="F273" s="525">
        <f>SUMIF('INGRESOS A CAJA'!$C$10:$C$954,A273,'INGRESOS A CAJA'!$F$10:$F$954)+SUMIF(FACTURACIÓN!$C$8:$C$1082,A273,FACTURACIÓN!$M$8:$M$1082)++SUMIF('CARTERA años anteriores'!$C$9:$C$234,A273,'CARTERA años anteriores'!$M$9:$M$234)</f>
        <v>0</v>
      </c>
      <c r="G273" s="525">
        <f>SUMIF('EGRESOS DE CAJA'!$C$10:$C$2251,A273,'EGRESOS DE CAJA'!$G$10:$G$2251)</f>
        <v>0</v>
      </c>
      <c r="H273" s="512">
        <f t="shared" si="9"/>
        <v>690000</v>
      </c>
      <c r="I273" s="512">
        <f t="shared" si="10"/>
        <v>0</v>
      </c>
      <c r="J273" s="557"/>
      <c r="K273" s="629"/>
    </row>
    <row r="274" spans="1:11" ht="15" x14ac:dyDescent="0.2">
      <c r="A274" s="560">
        <v>266</v>
      </c>
      <c r="B274" s="511" t="str">
        <f>_xlfn.XLOOKUP(A274,Códigos!$A$11:$A$415,Códigos!$B$11:$B$415,"Verificar",0)</f>
        <v>NOMBRE 304</v>
      </c>
      <c r="C274" s="525">
        <f>SUMIF('CARTERA años anteriores'!$C$9:$C$234,A274,'CARTERA años anteriores'!$J$9:$J$234)</f>
        <v>0</v>
      </c>
      <c r="D274" s="525">
        <f>SUMIF('CARTERA años anteriores'!$C$9:$C$234,A274,'CARTERA años anteriores'!$L$9:$L$234)</f>
        <v>0</v>
      </c>
      <c r="E274" s="525">
        <f>SUMIF(FACTURACIÓN!$C$8:$C$1082,A274,FACTURACIÓN!$K$8:$K$1082)</f>
        <v>310000</v>
      </c>
      <c r="F274" s="525">
        <f>SUMIF('INGRESOS A CAJA'!$C$10:$C$954,A274,'INGRESOS A CAJA'!$F$10:$F$954)+SUMIF(FACTURACIÓN!$C$8:$C$1082,A274,FACTURACIÓN!$M$8:$M$1082)++SUMIF('CARTERA años anteriores'!$C$9:$C$234,A274,'CARTERA años anteriores'!$M$9:$M$234)</f>
        <v>0</v>
      </c>
      <c r="G274" s="525">
        <f>SUMIF('EGRESOS DE CAJA'!$C$10:$C$2251,A274,'EGRESOS DE CAJA'!$G$10:$G$2251)</f>
        <v>0</v>
      </c>
      <c r="H274" s="512">
        <f t="shared" si="9"/>
        <v>310000</v>
      </c>
      <c r="I274" s="512">
        <f t="shared" si="10"/>
        <v>0</v>
      </c>
      <c r="J274" s="557"/>
      <c r="K274" s="629"/>
    </row>
    <row r="275" spans="1:11" ht="15" x14ac:dyDescent="0.2">
      <c r="A275" s="560">
        <v>267</v>
      </c>
      <c r="B275" s="511" t="str">
        <f>_xlfn.XLOOKUP(A275,Códigos!$A$11:$A$415,Códigos!$B$11:$B$415,"Verificar",0)</f>
        <v>NOMBRE 224</v>
      </c>
      <c r="C275" s="525">
        <f>SUMIF('CARTERA años anteriores'!$C$9:$C$234,A275,'CARTERA años anteriores'!$J$9:$J$234)</f>
        <v>0</v>
      </c>
      <c r="D275" s="525">
        <f>SUMIF('CARTERA años anteriores'!$C$9:$C$234,A275,'CARTERA años anteriores'!$L$9:$L$234)</f>
        <v>0</v>
      </c>
      <c r="E275" s="525">
        <f>SUMIF(FACTURACIÓN!$C$8:$C$1082,A275,FACTURACIÓN!$K$8:$K$1082)</f>
        <v>310000</v>
      </c>
      <c r="F275" s="525">
        <f>SUMIF('INGRESOS A CAJA'!$C$10:$C$954,A275,'INGRESOS A CAJA'!$F$10:$F$954)+SUMIF(FACTURACIÓN!$C$8:$C$1082,A275,FACTURACIÓN!$M$8:$M$1082)++SUMIF('CARTERA años anteriores'!$C$9:$C$234,A275,'CARTERA años anteriores'!$M$9:$M$234)</f>
        <v>0</v>
      </c>
      <c r="G275" s="525">
        <f>SUMIF('EGRESOS DE CAJA'!$C$10:$C$2251,A275,'EGRESOS DE CAJA'!$G$10:$G$2251)</f>
        <v>0</v>
      </c>
      <c r="H275" s="512">
        <f t="shared" si="9"/>
        <v>310000</v>
      </c>
      <c r="I275" s="512">
        <f t="shared" si="10"/>
        <v>0</v>
      </c>
      <c r="J275" s="557"/>
      <c r="K275" s="629"/>
    </row>
    <row r="276" spans="1:11" ht="15" x14ac:dyDescent="0.2">
      <c r="A276" s="560">
        <v>268</v>
      </c>
      <c r="B276" s="511" t="str">
        <f>_xlfn.XLOOKUP(A276,Códigos!$A$11:$A$415,Códigos!$B$11:$B$415,"Verificar",0)</f>
        <v>NOMBRE 326</v>
      </c>
      <c r="C276" s="525">
        <f>SUMIF('CARTERA años anteriores'!$C$9:$C$234,A276,'CARTERA años anteriores'!$J$9:$J$234)</f>
        <v>0</v>
      </c>
      <c r="D276" s="525">
        <f>SUMIF('CARTERA años anteriores'!$C$9:$C$234,A276,'CARTERA años anteriores'!$L$9:$L$234)</f>
        <v>0</v>
      </c>
      <c r="E276" s="525">
        <f>SUMIF(FACTURACIÓN!$C$8:$C$1082,A276,FACTURACIÓN!$K$8:$K$1082)</f>
        <v>0</v>
      </c>
      <c r="F276" s="525">
        <f>SUMIF('INGRESOS A CAJA'!$C$10:$C$954,A276,'INGRESOS A CAJA'!$F$10:$F$954)+SUMIF(FACTURACIÓN!$C$8:$C$1082,A276,FACTURACIÓN!$M$8:$M$1082)++SUMIF('CARTERA años anteriores'!$C$9:$C$234,A276,'CARTERA años anteriores'!$M$9:$M$234)</f>
        <v>0</v>
      </c>
      <c r="G276" s="525">
        <f>SUMIF('EGRESOS DE CAJA'!$C$10:$C$2251,A276,'EGRESOS DE CAJA'!$G$10:$G$2251)</f>
        <v>0</v>
      </c>
      <c r="H276" s="512">
        <f t="shared" si="9"/>
        <v>0</v>
      </c>
      <c r="I276" s="512">
        <f t="shared" si="10"/>
        <v>0</v>
      </c>
      <c r="J276" s="557"/>
      <c r="K276" s="629"/>
    </row>
    <row r="277" spans="1:11" ht="15" x14ac:dyDescent="0.2">
      <c r="A277" s="560">
        <v>269</v>
      </c>
      <c r="B277" s="511" t="str">
        <f>_xlfn.XLOOKUP(A277,Códigos!$A$11:$A$415,Códigos!$B$11:$B$415,"Verificar",0)</f>
        <v>NOMBRE 218</v>
      </c>
      <c r="C277" s="525">
        <f>SUMIF('CARTERA años anteriores'!$C$9:$C$234,A277,'CARTERA años anteriores'!$J$9:$J$234)</f>
        <v>0</v>
      </c>
      <c r="D277" s="525">
        <f>SUMIF('CARTERA años anteriores'!$C$9:$C$234,A277,'CARTERA años anteriores'!$L$9:$L$234)</f>
        <v>0</v>
      </c>
      <c r="E277" s="525">
        <f>SUMIF(FACTURACIÓN!$C$8:$C$1082,A277,FACTURACIÓN!$K$8:$K$1082)</f>
        <v>320000</v>
      </c>
      <c r="F277" s="525">
        <f>SUMIF('INGRESOS A CAJA'!$C$10:$C$954,A277,'INGRESOS A CAJA'!$F$10:$F$954)+SUMIF(FACTURACIÓN!$C$8:$C$1082,A277,FACTURACIÓN!$M$8:$M$1082)++SUMIF('CARTERA años anteriores'!$C$9:$C$234,A277,'CARTERA años anteriores'!$M$9:$M$234)</f>
        <v>0</v>
      </c>
      <c r="G277" s="525">
        <f>SUMIF('EGRESOS DE CAJA'!$C$10:$C$2251,A277,'EGRESOS DE CAJA'!$G$10:$G$2251)</f>
        <v>0</v>
      </c>
      <c r="H277" s="512">
        <f t="shared" si="9"/>
        <v>320000</v>
      </c>
      <c r="I277" s="512">
        <f t="shared" si="10"/>
        <v>0</v>
      </c>
      <c r="J277" s="557"/>
      <c r="K277" s="629"/>
    </row>
    <row r="278" spans="1:11" ht="15" x14ac:dyDescent="0.2">
      <c r="A278" s="560">
        <v>270</v>
      </c>
      <c r="B278" s="511" t="str">
        <f>_xlfn.XLOOKUP(A278,Códigos!$A$11:$A$415,Códigos!$B$11:$B$415,"Verificar",0)</f>
        <v>NOMBRE 34</v>
      </c>
      <c r="C278" s="525">
        <f>SUMIF('CARTERA años anteriores'!$C$9:$C$234,A278,'CARTERA años anteriores'!$J$9:$J$234)</f>
        <v>0</v>
      </c>
      <c r="D278" s="525">
        <f>SUMIF('CARTERA años anteriores'!$C$9:$C$234,A278,'CARTERA años anteriores'!$L$9:$L$234)</f>
        <v>0</v>
      </c>
      <c r="E278" s="525">
        <f>SUMIF(FACTURACIÓN!$C$8:$C$1082,A278,FACTURACIÓN!$K$8:$K$1082)</f>
        <v>0</v>
      </c>
      <c r="F278" s="525">
        <f>SUMIF('INGRESOS A CAJA'!$C$10:$C$954,A278,'INGRESOS A CAJA'!$F$10:$F$954)+SUMIF(FACTURACIÓN!$C$8:$C$1082,A278,FACTURACIÓN!$M$8:$M$1082)++SUMIF('CARTERA años anteriores'!$C$9:$C$234,A278,'CARTERA años anteriores'!$M$9:$M$234)</f>
        <v>0</v>
      </c>
      <c r="G278" s="525">
        <f>SUMIF('EGRESOS DE CAJA'!$C$10:$C$2251,A278,'EGRESOS DE CAJA'!$G$10:$G$2251)</f>
        <v>0</v>
      </c>
      <c r="H278" s="512">
        <f t="shared" si="9"/>
        <v>0</v>
      </c>
      <c r="I278" s="512">
        <f t="shared" si="10"/>
        <v>0</v>
      </c>
      <c r="J278" s="557"/>
      <c r="K278" s="629"/>
    </row>
    <row r="279" spans="1:11" ht="15" x14ac:dyDescent="0.2">
      <c r="A279" s="560">
        <v>271</v>
      </c>
      <c r="B279" s="511" t="str">
        <f>_xlfn.XLOOKUP(A279,Códigos!$A$11:$A$415,Códigos!$B$11:$B$415,"Verificar",0)</f>
        <v>NOMBRE 38</v>
      </c>
      <c r="C279" s="525">
        <f>SUMIF('CARTERA años anteriores'!$C$9:$C$234,A279,'CARTERA años anteriores'!$J$9:$J$234)</f>
        <v>0</v>
      </c>
      <c r="D279" s="525">
        <f>SUMIF('CARTERA años anteriores'!$C$9:$C$234,A279,'CARTERA años anteriores'!$L$9:$L$234)</f>
        <v>0</v>
      </c>
      <c r="E279" s="525">
        <f>SUMIF(FACTURACIÓN!$C$8:$C$1082,A279,FACTURACIÓN!$K$8:$K$1082)</f>
        <v>330000</v>
      </c>
      <c r="F279" s="525">
        <f>SUMIF('INGRESOS A CAJA'!$C$10:$C$954,A279,'INGRESOS A CAJA'!$F$10:$F$954)+SUMIF(FACTURACIÓN!$C$8:$C$1082,A279,FACTURACIÓN!$M$8:$M$1082)++SUMIF('CARTERA años anteriores'!$C$9:$C$234,A279,'CARTERA años anteriores'!$M$9:$M$234)</f>
        <v>0</v>
      </c>
      <c r="G279" s="525">
        <f>SUMIF('EGRESOS DE CAJA'!$C$10:$C$2251,A279,'EGRESOS DE CAJA'!$G$10:$G$2251)</f>
        <v>0</v>
      </c>
      <c r="H279" s="512">
        <f t="shared" si="9"/>
        <v>330000</v>
      </c>
      <c r="I279" s="512">
        <f t="shared" si="10"/>
        <v>0</v>
      </c>
      <c r="J279" s="557"/>
      <c r="K279" s="629"/>
    </row>
    <row r="280" spans="1:11" ht="15" x14ac:dyDescent="0.2">
      <c r="A280" s="560">
        <v>272</v>
      </c>
      <c r="B280" s="511" t="str">
        <f>_xlfn.XLOOKUP(A280,Códigos!$A$11:$A$415,Códigos!$B$11:$B$415,"Verificar",0)</f>
        <v>NOMBRE 81</v>
      </c>
      <c r="C280" s="525">
        <f>SUMIF('CARTERA años anteriores'!$C$9:$C$234,A280,'CARTERA años anteriores'!$J$9:$J$234)</f>
        <v>0</v>
      </c>
      <c r="D280" s="525">
        <f>SUMIF('CARTERA años anteriores'!$C$9:$C$234,A280,'CARTERA años anteriores'!$L$9:$L$234)</f>
        <v>0</v>
      </c>
      <c r="E280" s="525">
        <f>SUMIF(FACTURACIÓN!$C$8:$C$1082,A280,FACTURACIÓN!$K$8:$K$1082)</f>
        <v>350000</v>
      </c>
      <c r="F280" s="525">
        <f>SUMIF('INGRESOS A CAJA'!$C$10:$C$954,A280,'INGRESOS A CAJA'!$F$10:$F$954)+SUMIF(FACTURACIÓN!$C$8:$C$1082,A280,FACTURACIÓN!$M$8:$M$1082)++SUMIF('CARTERA años anteriores'!$C$9:$C$234,A280,'CARTERA años anteriores'!$M$9:$M$234)</f>
        <v>350000</v>
      </c>
      <c r="G280" s="525">
        <f>SUMIF('EGRESOS DE CAJA'!$C$10:$C$2251,A280,'EGRESOS DE CAJA'!$G$10:$G$2251)</f>
        <v>0</v>
      </c>
      <c r="H280" s="512">
        <f t="shared" si="9"/>
        <v>0</v>
      </c>
      <c r="I280" s="512">
        <f t="shared" si="10"/>
        <v>0</v>
      </c>
      <c r="J280" s="557"/>
      <c r="K280" s="629"/>
    </row>
    <row r="281" spans="1:11" ht="15" x14ac:dyDescent="0.2">
      <c r="A281" s="560">
        <v>273</v>
      </c>
      <c r="B281" s="511" t="str">
        <f>_xlfn.XLOOKUP(A281,Códigos!$A$11:$A$415,Códigos!$B$11:$B$415,"Verificar",0)</f>
        <v>NOMBRE 88</v>
      </c>
      <c r="C281" s="525">
        <f>SUMIF('CARTERA años anteriores'!$C$9:$C$234,A281,'CARTERA años anteriores'!$J$9:$J$234)</f>
        <v>580000</v>
      </c>
      <c r="D281" s="525">
        <f>SUMIF('CARTERA años anteriores'!$C$9:$C$234,A281,'CARTERA años anteriores'!$L$9:$L$234)</f>
        <v>580000</v>
      </c>
      <c r="E281" s="525">
        <f>SUMIF(FACTURACIÓN!$C$8:$C$1082,A281,FACTURACIÓN!$K$8:$K$1082)</f>
        <v>610000</v>
      </c>
      <c r="F281" s="525">
        <f>SUMIF('INGRESOS A CAJA'!$C$10:$C$954,A281,'INGRESOS A CAJA'!$F$10:$F$954)+SUMIF(FACTURACIÓN!$C$8:$C$1082,A281,FACTURACIÓN!$M$8:$M$1082)++SUMIF('CARTERA años anteriores'!$C$9:$C$234,A281,'CARTERA años anteriores'!$M$9:$M$234)</f>
        <v>580000</v>
      </c>
      <c r="G281" s="525">
        <f>SUMIF('EGRESOS DE CAJA'!$C$10:$C$2251,A281,'EGRESOS DE CAJA'!$G$10:$G$2251)</f>
        <v>0</v>
      </c>
      <c r="H281" s="512">
        <f t="shared" si="9"/>
        <v>610000</v>
      </c>
      <c r="I281" s="512">
        <f t="shared" si="10"/>
        <v>0</v>
      </c>
      <c r="J281" s="557"/>
      <c r="K281" s="629"/>
    </row>
    <row r="282" spans="1:11" ht="15" x14ac:dyDescent="0.2">
      <c r="A282" s="560">
        <v>274</v>
      </c>
      <c r="B282" s="511" t="str">
        <f>_xlfn.XLOOKUP(A282,Códigos!$A$11:$A$415,Códigos!$B$11:$B$415,"Verificar",0)</f>
        <v>NOMBRE 280</v>
      </c>
      <c r="C282" s="525">
        <f>SUMIF('CARTERA años anteriores'!$C$9:$C$234,A282,'CARTERA años anteriores'!$J$9:$J$234)</f>
        <v>0</v>
      </c>
      <c r="D282" s="525">
        <f>SUMIF('CARTERA años anteriores'!$C$9:$C$234,A282,'CARTERA años anteriores'!$L$9:$L$234)</f>
        <v>0</v>
      </c>
      <c r="E282" s="525">
        <f>SUMIF(FACTURACIÓN!$C$8:$C$1082,A282,FACTURACIÓN!$K$8:$K$1082)</f>
        <v>0</v>
      </c>
      <c r="F282" s="525">
        <f>SUMIF('INGRESOS A CAJA'!$C$10:$C$954,A282,'INGRESOS A CAJA'!$F$10:$F$954)+SUMIF(FACTURACIÓN!$C$8:$C$1082,A282,FACTURACIÓN!$M$8:$M$1082)++SUMIF('CARTERA años anteriores'!$C$9:$C$234,A282,'CARTERA años anteriores'!$M$9:$M$234)</f>
        <v>0</v>
      </c>
      <c r="G282" s="525">
        <f>SUMIF('EGRESOS DE CAJA'!$C$10:$C$2251,A282,'EGRESOS DE CAJA'!$G$10:$G$2251)</f>
        <v>0</v>
      </c>
      <c r="H282" s="512">
        <f t="shared" si="9"/>
        <v>0</v>
      </c>
      <c r="I282" s="512">
        <f t="shared" si="10"/>
        <v>0</v>
      </c>
      <c r="J282" s="557"/>
      <c r="K282" s="629"/>
    </row>
    <row r="283" spans="1:11" ht="15" x14ac:dyDescent="0.2">
      <c r="A283" s="560">
        <v>275</v>
      </c>
      <c r="B283" s="511" t="str">
        <f>_xlfn.XLOOKUP(A283,Códigos!$A$11:$A$415,Códigos!$B$11:$B$415,"Verificar",0)</f>
        <v>NOMBRE 155</v>
      </c>
      <c r="C283" s="525">
        <f>SUMIF('CARTERA años anteriores'!$C$9:$C$234,A283,'CARTERA años anteriores'!$J$9:$J$234)</f>
        <v>1140000</v>
      </c>
      <c r="D283" s="525">
        <f>SUMIF('CARTERA años anteriores'!$C$9:$C$234,A283,'CARTERA años anteriores'!$L$9:$L$234)</f>
        <v>580000</v>
      </c>
      <c r="E283" s="525">
        <f>SUMIF(FACTURACIÓN!$C$8:$C$1082,A283,FACTURACIÓN!$K$8:$K$1082)</f>
        <v>350000</v>
      </c>
      <c r="F283" s="525">
        <f>SUMIF('INGRESOS A CAJA'!$C$10:$C$954,A283,'INGRESOS A CAJA'!$F$10:$F$954)+SUMIF(FACTURACIÓN!$C$8:$C$1082,A283,FACTURACIÓN!$M$8:$M$1082)++SUMIF('CARTERA años anteriores'!$C$9:$C$234,A283,'CARTERA años anteriores'!$M$9:$M$234)</f>
        <v>580000</v>
      </c>
      <c r="G283" s="525">
        <f>SUMIF('EGRESOS DE CAJA'!$C$10:$C$2251,A283,'EGRESOS DE CAJA'!$G$10:$G$2251)</f>
        <v>0</v>
      </c>
      <c r="H283" s="512">
        <f t="shared" si="9"/>
        <v>910000</v>
      </c>
      <c r="I283" s="512">
        <f t="shared" si="10"/>
        <v>0</v>
      </c>
      <c r="J283" s="557"/>
      <c r="K283" s="629"/>
    </row>
    <row r="284" spans="1:11" ht="15" x14ac:dyDescent="0.2">
      <c r="A284" s="560">
        <v>276</v>
      </c>
      <c r="B284" s="511" t="str">
        <f>_xlfn.XLOOKUP(A284,Códigos!$A$11:$A$415,Códigos!$B$11:$B$415,"Verificar",0)</f>
        <v>NOMBRE 156</v>
      </c>
      <c r="C284" s="525">
        <f>SUMIF('CARTERA años anteriores'!$C$9:$C$234,A284,'CARTERA años anteriores'!$J$9:$J$234)</f>
        <v>0</v>
      </c>
      <c r="D284" s="525">
        <f>SUMIF('CARTERA años anteriores'!$C$9:$C$234,A284,'CARTERA años anteriores'!$L$9:$L$234)</f>
        <v>0</v>
      </c>
      <c r="E284" s="525">
        <f>SUMIF(FACTURACIÓN!$C$8:$C$1082,A284,FACTURACIÓN!$K$8:$K$1082)</f>
        <v>0</v>
      </c>
      <c r="F284" s="525">
        <f>SUMIF('INGRESOS A CAJA'!$C$10:$C$954,A284,'INGRESOS A CAJA'!$F$10:$F$954)+SUMIF(FACTURACIÓN!$C$8:$C$1082,A284,FACTURACIÓN!$M$8:$M$1082)++SUMIF('CARTERA años anteriores'!$C$9:$C$234,A284,'CARTERA años anteriores'!$M$9:$M$234)</f>
        <v>0</v>
      </c>
      <c r="G284" s="525">
        <f>SUMIF('EGRESOS DE CAJA'!$C$10:$C$2251,A284,'EGRESOS DE CAJA'!$G$10:$G$2251)</f>
        <v>0</v>
      </c>
      <c r="H284" s="512">
        <f t="shared" si="9"/>
        <v>0</v>
      </c>
      <c r="I284" s="512">
        <f t="shared" si="10"/>
        <v>0</v>
      </c>
      <c r="J284" s="557"/>
      <c r="K284" s="629"/>
    </row>
    <row r="285" spans="1:11" ht="15" x14ac:dyDescent="0.2">
      <c r="A285" s="560">
        <v>277</v>
      </c>
      <c r="B285" s="511" t="str">
        <f>_xlfn.XLOOKUP(A285,Códigos!$A$11:$A$415,Códigos!$B$11:$B$415,"Verificar",0)</f>
        <v>NOMBRE 257</v>
      </c>
      <c r="C285" s="525">
        <f>SUMIF('CARTERA años anteriores'!$C$9:$C$234,A285,'CARTERA años anteriores'!$J$9:$J$234)</f>
        <v>300000</v>
      </c>
      <c r="D285" s="525">
        <f>SUMIF('CARTERA años anteriores'!$C$9:$C$234,A285,'CARTERA años anteriores'!$L$9:$L$234)</f>
        <v>0</v>
      </c>
      <c r="E285" s="525">
        <f>SUMIF(FACTURACIÓN!$C$8:$C$1082,A285,FACTURACIÓN!$K$8:$K$1082)</f>
        <v>310000</v>
      </c>
      <c r="F285" s="525">
        <f>SUMIF('INGRESOS A CAJA'!$C$10:$C$954,A285,'INGRESOS A CAJA'!$F$10:$F$954)+SUMIF(FACTURACIÓN!$C$8:$C$1082,A285,FACTURACIÓN!$M$8:$M$1082)++SUMIF('CARTERA años anteriores'!$C$9:$C$234,A285,'CARTERA años anteriores'!$M$9:$M$234)</f>
        <v>0</v>
      </c>
      <c r="G285" s="525">
        <f>SUMIF('EGRESOS DE CAJA'!$C$10:$C$2251,A285,'EGRESOS DE CAJA'!$G$10:$G$2251)</f>
        <v>0</v>
      </c>
      <c r="H285" s="512">
        <f t="shared" si="9"/>
        <v>610000</v>
      </c>
      <c r="I285" s="512">
        <f t="shared" si="10"/>
        <v>0</v>
      </c>
      <c r="J285" s="557"/>
      <c r="K285" s="629"/>
    </row>
    <row r="286" spans="1:11" ht="15" x14ac:dyDescent="0.2">
      <c r="A286" s="560">
        <v>278</v>
      </c>
      <c r="B286" s="511" t="str">
        <f>_xlfn.XLOOKUP(A286,Códigos!$A$11:$A$415,Códigos!$B$11:$B$415,"Verificar",0)</f>
        <v>NOMBRE 357</v>
      </c>
      <c r="C286" s="525">
        <f>SUMIF('CARTERA años anteriores'!$C$9:$C$234,A286,'CARTERA años anteriores'!$J$9:$J$234)</f>
        <v>0</v>
      </c>
      <c r="D286" s="525">
        <f>SUMIF('CARTERA años anteriores'!$C$9:$C$234,A286,'CARTERA años anteriores'!$L$9:$L$234)</f>
        <v>0</v>
      </c>
      <c r="E286" s="525">
        <f>SUMIF(FACTURACIÓN!$C$8:$C$1082,A286,FACTURACIÓN!$K$8:$K$1082)</f>
        <v>470000</v>
      </c>
      <c r="F286" s="525">
        <f>SUMIF('INGRESOS A CAJA'!$C$10:$C$954,A286,'INGRESOS A CAJA'!$F$10:$F$954)+SUMIF(FACTURACIÓN!$C$8:$C$1082,A286,FACTURACIÓN!$M$8:$M$1082)++SUMIF('CARTERA años anteriores'!$C$9:$C$234,A286,'CARTERA años anteriores'!$M$9:$M$234)</f>
        <v>0</v>
      </c>
      <c r="G286" s="525">
        <f>SUMIF('EGRESOS DE CAJA'!$C$10:$C$2251,A286,'EGRESOS DE CAJA'!$G$10:$G$2251)</f>
        <v>0</v>
      </c>
      <c r="H286" s="512">
        <f t="shared" si="9"/>
        <v>470000</v>
      </c>
      <c r="I286" s="512">
        <f t="shared" si="10"/>
        <v>0</v>
      </c>
      <c r="J286" s="557"/>
      <c r="K286" s="629"/>
    </row>
    <row r="287" spans="1:11" ht="15" x14ac:dyDescent="0.2">
      <c r="A287" s="560">
        <v>279</v>
      </c>
      <c r="B287" s="511" t="str">
        <f>_xlfn.XLOOKUP(A287,Códigos!$A$11:$A$415,Códigos!$B$11:$B$415,"Verificar",0)</f>
        <v>NOMBRE 46</v>
      </c>
      <c r="C287" s="525">
        <f>SUMIF('CARTERA años anteriores'!$C$9:$C$234,A287,'CARTERA años anteriores'!$J$9:$J$234)</f>
        <v>0</v>
      </c>
      <c r="D287" s="525">
        <f>SUMIF('CARTERA años anteriores'!$C$9:$C$234,A287,'CARTERA años anteriores'!$L$9:$L$234)</f>
        <v>0</v>
      </c>
      <c r="E287" s="525">
        <f>SUMIF(FACTURACIÓN!$C$8:$C$1082,A287,FACTURACIÓN!$K$8:$K$1082)</f>
        <v>0</v>
      </c>
      <c r="F287" s="525">
        <f>SUMIF('INGRESOS A CAJA'!$C$10:$C$954,A287,'INGRESOS A CAJA'!$F$10:$F$954)+SUMIF(FACTURACIÓN!$C$8:$C$1082,A287,FACTURACIÓN!$M$8:$M$1082)++SUMIF('CARTERA años anteriores'!$C$9:$C$234,A287,'CARTERA años anteriores'!$M$9:$M$234)</f>
        <v>0</v>
      </c>
      <c r="G287" s="525">
        <f>SUMIF('EGRESOS DE CAJA'!$C$10:$C$2251,A287,'EGRESOS DE CAJA'!$G$10:$G$2251)</f>
        <v>0</v>
      </c>
      <c r="H287" s="512">
        <f t="shared" si="9"/>
        <v>0</v>
      </c>
      <c r="I287" s="512">
        <f t="shared" si="10"/>
        <v>0</v>
      </c>
      <c r="J287" s="557"/>
      <c r="K287" s="629"/>
    </row>
    <row r="288" spans="1:11" ht="15" x14ac:dyDescent="0.2">
      <c r="A288" s="560">
        <v>280</v>
      </c>
      <c r="B288" s="511" t="str">
        <f>_xlfn.XLOOKUP(A288,Códigos!$A$11:$A$415,Códigos!$B$11:$B$415,"Verificar",0)</f>
        <v>NOMBRE 225</v>
      </c>
      <c r="C288" s="525">
        <f>SUMIF('CARTERA años anteriores'!$C$9:$C$234,A288,'CARTERA años anteriores'!$J$9:$J$234)</f>
        <v>300000</v>
      </c>
      <c r="D288" s="525">
        <f>SUMIF('CARTERA años anteriores'!$C$9:$C$234,A288,'CARTERA años anteriores'!$L$9:$L$234)</f>
        <v>0</v>
      </c>
      <c r="E288" s="525">
        <f>SUMIF(FACTURACIÓN!$C$8:$C$1082,A288,FACTURACIÓN!$K$8:$K$1082)</f>
        <v>0</v>
      </c>
      <c r="F288" s="525">
        <f>SUMIF('INGRESOS A CAJA'!$C$10:$C$954,A288,'INGRESOS A CAJA'!$F$10:$F$954)+SUMIF(FACTURACIÓN!$C$8:$C$1082,A288,FACTURACIÓN!$M$8:$M$1082)++SUMIF('CARTERA años anteriores'!$C$9:$C$234,A288,'CARTERA años anteriores'!$M$9:$M$234)</f>
        <v>0</v>
      </c>
      <c r="G288" s="525">
        <f>SUMIF('EGRESOS DE CAJA'!$C$10:$C$2251,A288,'EGRESOS DE CAJA'!$G$10:$G$2251)</f>
        <v>0</v>
      </c>
      <c r="H288" s="512">
        <f t="shared" si="9"/>
        <v>300000</v>
      </c>
      <c r="I288" s="512">
        <f t="shared" si="10"/>
        <v>0</v>
      </c>
      <c r="J288" s="557"/>
      <c r="K288" s="629"/>
    </row>
    <row r="289" spans="1:11" ht="15" x14ac:dyDescent="0.2">
      <c r="A289" s="560">
        <v>281</v>
      </c>
      <c r="B289" s="511" t="str">
        <f>_xlfn.XLOOKUP(A289,Códigos!$A$11:$A$415,Códigos!$B$11:$B$415,"Verificar",0)</f>
        <v>NOMBRE 313</v>
      </c>
      <c r="C289" s="525">
        <f>SUMIF('CARTERA años anteriores'!$C$9:$C$234,A289,'CARTERA años anteriores'!$J$9:$J$234)</f>
        <v>0</v>
      </c>
      <c r="D289" s="525">
        <f>SUMIF('CARTERA años anteriores'!$C$9:$C$234,A289,'CARTERA años anteriores'!$L$9:$L$234)</f>
        <v>0</v>
      </c>
      <c r="E289" s="525">
        <f>SUMIF(FACTURACIÓN!$C$8:$C$1082,A289,FACTURACIÓN!$K$8:$K$1082)</f>
        <v>260000</v>
      </c>
      <c r="F289" s="525">
        <f>SUMIF('INGRESOS A CAJA'!$C$10:$C$954,A289,'INGRESOS A CAJA'!$F$10:$F$954)+SUMIF(FACTURACIÓN!$C$8:$C$1082,A289,FACTURACIÓN!$M$8:$M$1082)++SUMIF('CARTERA años anteriores'!$C$9:$C$234,A289,'CARTERA años anteriores'!$M$9:$M$234)</f>
        <v>0</v>
      </c>
      <c r="G289" s="525">
        <f>SUMIF('EGRESOS DE CAJA'!$C$10:$C$2251,A289,'EGRESOS DE CAJA'!$G$10:$G$2251)</f>
        <v>0</v>
      </c>
      <c r="H289" s="512">
        <f t="shared" si="9"/>
        <v>260000</v>
      </c>
      <c r="I289" s="512">
        <f t="shared" si="10"/>
        <v>0</v>
      </c>
      <c r="J289" s="557"/>
      <c r="K289" s="629"/>
    </row>
    <row r="290" spans="1:11" ht="15" x14ac:dyDescent="0.2">
      <c r="A290" s="560">
        <v>282</v>
      </c>
      <c r="B290" s="511" t="str">
        <f>_xlfn.XLOOKUP(A290,Códigos!$A$11:$A$415,Códigos!$B$11:$B$415,"Verificar",0)</f>
        <v>NOMBRE 292</v>
      </c>
      <c r="C290" s="525">
        <f>SUMIF('CARTERA años anteriores'!$C$9:$C$234,A290,'CARTERA años anteriores'!$J$9:$J$234)</f>
        <v>2170000</v>
      </c>
      <c r="D290" s="525">
        <f>SUMIF('CARTERA años anteriores'!$C$9:$C$234,A290,'CARTERA años anteriores'!$L$9:$L$234)</f>
        <v>0</v>
      </c>
      <c r="E290" s="525">
        <f>SUMIF(FACTURACIÓN!$C$8:$C$1082,A290,FACTURACIÓN!$K$8:$K$1082)</f>
        <v>0</v>
      </c>
      <c r="F290" s="525">
        <f>SUMIF('INGRESOS A CAJA'!$C$10:$C$954,A290,'INGRESOS A CAJA'!$F$10:$F$954)+SUMIF(FACTURACIÓN!$C$8:$C$1082,A290,FACTURACIÓN!$M$8:$M$1082)++SUMIF('CARTERA años anteriores'!$C$9:$C$234,A290,'CARTERA años anteriores'!$M$9:$M$234)</f>
        <v>0</v>
      </c>
      <c r="G290" s="525">
        <f>SUMIF('EGRESOS DE CAJA'!$C$10:$C$2251,A290,'EGRESOS DE CAJA'!$G$10:$G$2251)</f>
        <v>0</v>
      </c>
      <c r="H290" s="512">
        <f t="shared" si="9"/>
        <v>2170000</v>
      </c>
      <c r="I290" s="512">
        <f t="shared" si="10"/>
        <v>0</v>
      </c>
      <c r="J290" s="557"/>
      <c r="K290" s="629"/>
    </row>
    <row r="291" spans="1:11" ht="15" x14ac:dyDescent="0.2">
      <c r="A291" s="560">
        <v>283</v>
      </c>
      <c r="B291" s="511" t="str">
        <f>_xlfn.XLOOKUP(A291,Códigos!$A$11:$A$415,Códigos!$B$11:$B$415,"Verificar",0)</f>
        <v>NOMBRE 104</v>
      </c>
      <c r="C291" s="525" t="e">
        <f>SUMIF('CARTERA años anteriores'!$C$9:$C$234,A291,'CARTERA años anteriores'!$J$9:$J$234)</f>
        <v>#REF!</v>
      </c>
      <c r="D291" s="525">
        <f>SUMIF('CARTERA años anteriores'!$C$9:$C$234,A291,'CARTERA años anteriores'!$L$9:$L$234)</f>
        <v>0</v>
      </c>
      <c r="E291" s="641">
        <f>SUMIF(FACTURACIÓN!$C$8:$C$1082,A291,FACTURACIÓN!$K$8:$K$1082)</f>
        <v>0</v>
      </c>
      <c r="F291" s="525" t="e">
        <f>SUMIF('INGRESOS A CAJA'!$C$10:$C$954,A291,'INGRESOS A CAJA'!$F$10:$F$954)+SUMIF(FACTURACIÓN!$C$8:$C$1082,A291,FACTURACIÓN!$M$8:$M$1082)++SUMIF('CARTERA años anteriores'!$C$9:$C$234,A291,'CARTERA años anteriores'!$M$9:$M$234)</f>
        <v>#REF!</v>
      </c>
      <c r="G291" s="641">
        <f>SUMIF('EGRESOS DE CAJA'!$C$10:$C$2251,A291,'EGRESOS DE CAJA'!$G$10:$G$2251)</f>
        <v>0</v>
      </c>
      <c r="H291" s="641" t="e">
        <f t="shared" si="9"/>
        <v>#REF!</v>
      </c>
      <c r="I291" s="641" t="s">
        <v>399</v>
      </c>
      <c r="J291" s="557"/>
      <c r="K291" s="629"/>
    </row>
    <row r="292" spans="1:11" ht="15" x14ac:dyDescent="0.2">
      <c r="A292" s="560">
        <v>284</v>
      </c>
      <c r="B292" s="511" t="str">
        <f>_xlfn.XLOOKUP(A292,Códigos!$A$11:$A$415,Códigos!$B$11:$B$415,"Verificar",0)</f>
        <v>NOMBRE 103</v>
      </c>
      <c r="C292" s="525">
        <f>SUMIF('CARTERA años anteriores'!$C$9:$C$234,A292,'CARTERA años anteriores'!$J$9:$J$234)</f>
        <v>0</v>
      </c>
      <c r="D292" s="525">
        <f>SUMIF('CARTERA años anteriores'!$C$9:$C$234,A292,'CARTERA años anteriores'!$L$9:$L$234)</f>
        <v>0</v>
      </c>
      <c r="E292" s="641">
        <f>SUMIF(FACTURACIÓN!$C$8:$C$1082,A292,FACTURACIÓN!$K$8:$K$1082)</f>
        <v>0</v>
      </c>
      <c r="F292" s="525">
        <f>SUMIF('INGRESOS A CAJA'!$C$10:$C$954,A292,'INGRESOS A CAJA'!$F$10:$F$954)+SUMIF(FACTURACIÓN!$C$8:$C$1082,A292,FACTURACIÓN!$M$8:$M$1082)++SUMIF('CARTERA años anteriores'!$C$9:$C$234,A292,'CARTERA años anteriores'!$M$9:$M$234)</f>
        <v>0</v>
      </c>
      <c r="G292" s="641">
        <f>SUMIF('EGRESOS DE CAJA'!$C$10:$C$2251,A292,'EGRESOS DE CAJA'!$G$10:$G$2251)</f>
        <v>0</v>
      </c>
      <c r="H292" s="641">
        <f t="shared" si="9"/>
        <v>0</v>
      </c>
      <c r="I292" s="641" t="s">
        <v>399</v>
      </c>
      <c r="J292" s="557"/>
      <c r="K292" s="629"/>
    </row>
    <row r="293" spans="1:11" ht="15" x14ac:dyDescent="0.2">
      <c r="A293" s="560">
        <v>285</v>
      </c>
      <c r="B293" s="511" t="str">
        <f>_xlfn.XLOOKUP(A293,Códigos!$A$11:$A$415,Códigos!$B$11:$B$415,"Verificar",0)</f>
        <v>NOMBRE 99</v>
      </c>
      <c r="C293" s="525">
        <f>SUMIF('CARTERA años anteriores'!$C$9:$C$234,A293,'CARTERA años anteriores'!$J$9:$J$234)</f>
        <v>0</v>
      </c>
      <c r="D293" s="525">
        <f>SUMIF('CARTERA años anteriores'!$C$9:$C$234,A293,'CARTERA años anteriores'!$L$9:$L$234)</f>
        <v>0</v>
      </c>
      <c r="E293" s="525">
        <f>SUMIF(FACTURACIÓN!$C$8:$C$1082,A293,FACTURACIÓN!$K$8:$K$1082)</f>
        <v>0</v>
      </c>
      <c r="F293" s="525">
        <f>SUMIF('INGRESOS A CAJA'!$C$10:$C$954,A293,'INGRESOS A CAJA'!$F$10:$F$954)+SUMIF(FACTURACIÓN!$C$8:$C$1082,A293,FACTURACIÓN!$M$8:$M$1082)++SUMIF('CARTERA años anteriores'!$C$9:$C$234,A293,'CARTERA años anteriores'!$M$9:$M$234)</f>
        <v>0</v>
      </c>
      <c r="G293" s="525">
        <f>SUMIF('EGRESOS DE CAJA'!$C$10:$C$2251,A293,'EGRESOS DE CAJA'!$G$10:$G$2251)</f>
        <v>0</v>
      </c>
      <c r="H293" s="512">
        <f t="shared" si="9"/>
        <v>0</v>
      </c>
      <c r="I293" s="512">
        <f t="shared" ref="I293:I356" si="11">IF((+C293-D293+E293-F293+G293)&lt;0,(+C293-D293+E293-F293+G293),0)</f>
        <v>0</v>
      </c>
      <c r="J293" s="557"/>
      <c r="K293" s="629"/>
    </row>
    <row r="294" spans="1:11" ht="15" x14ac:dyDescent="0.2">
      <c r="A294" s="560">
        <v>286</v>
      </c>
      <c r="B294" s="511" t="str">
        <f>_xlfn.XLOOKUP(A294,Códigos!$A$11:$A$415,Códigos!$B$11:$B$415,"Verificar",0)</f>
        <v>NOMBRE 129</v>
      </c>
      <c r="C294" s="525">
        <f>SUMIF('CARTERA años anteriores'!$C$9:$C$234,A294,'CARTERA años anteriores'!$J$9:$J$234)</f>
        <v>0</v>
      </c>
      <c r="D294" s="525">
        <f>SUMIF('CARTERA años anteriores'!$C$9:$C$234,A294,'CARTERA años anteriores'!$L$9:$L$234)</f>
        <v>0</v>
      </c>
      <c r="E294" s="525">
        <f>SUMIF(FACTURACIÓN!$C$8:$C$1082,A294,FACTURACIÓN!$K$8:$K$1082)</f>
        <v>0</v>
      </c>
      <c r="F294" s="525">
        <f>SUMIF('INGRESOS A CAJA'!$C$10:$C$954,A294,'INGRESOS A CAJA'!$F$10:$F$954)+SUMIF(FACTURACIÓN!$C$8:$C$1082,A294,FACTURACIÓN!$M$8:$M$1082)++SUMIF('CARTERA años anteriores'!$C$9:$C$234,A294,'CARTERA años anteriores'!$M$9:$M$234)</f>
        <v>0</v>
      </c>
      <c r="G294" s="525">
        <f>SUMIF('EGRESOS DE CAJA'!$C$10:$C$2251,A294,'EGRESOS DE CAJA'!$G$10:$G$2251)</f>
        <v>0</v>
      </c>
      <c r="H294" s="512">
        <f t="shared" si="9"/>
        <v>0</v>
      </c>
      <c r="I294" s="512">
        <f t="shared" si="11"/>
        <v>0</v>
      </c>
      <c r="J294" s="557"/>
      <c r="K294" s="629"/>
    </row>
    <row r="295" spans="1:11" ht="15" x14ac:dyDescent="0.2">
      <c r="A295" s="560">
        <v>287</v>
      </c>
      <c r="B295" s="511" t="str">
        <f>_xlfn.XLOOKUP(A295,Códigos!$A$11:$A$415,Códigos!$B$11:$B$415,"Verificar",0)</f>
        <v>NOMBRE 109</v>
      </c>
      <c r="C295" s="525">
        <f>SUMIF('CARTERA años anteriores'!$C$9:$C$234,A295,'CARTERA años anteriores'!$J$9:$J$234)</f>
        <v>150000</v>
      </c>
      <c r="D295" s="525">
        <f>SUMIF('CARTERA años anteriores'!$C$9:$C$234,A295,'CARTERA años anteriores'!$L$9:$L$234)</f>
        <v>150000</v>
      </c>
      <c r="E295" s="525">
        <f>SUMIF(FACTURACIÓN!$C$8:$C$1082,A295,FACTURACIÓN!$K$8:$K$1082)</f>
        <v>160000</v>
      </c>
      <c r="F295" s="525">
        <f>SUMIF('INGRESOS A CAJA'!$C$10:$C$954,A295,'INGRESOS A CAJA'!$F$10:$F$954)+SUMIF(FACTURACIÓN!$C$8:$C$1082,A295,FACTURACIÓN!$M$8:$M$1082)++SUMIF('CARTERA años anteriores'!$C$9:$C$234,A295,'CARTERA años anteriores'!$M$9:$M$234)</f>
        <v>150000</v>
      </c>
      <c r="G295" s="525">
        <f>SUMIF('EGRESOS DE CAJA'!$C$10:$C$2251,A295,'EGRESOS DE CAJA'!$G$10:$G$2251)</f>
        <v>0</v>
      </c>
      <c r="H295" s="512">
        <f t="shared" si="9"/>
        <v>160000</v>
      </c>
      <c r="I295" s="512">
        <f t="shared" si="11"/>
        <v>0</v>
      </c>
      <c r="J295" s="557"/>
      <c r="K295" s="629"/>
    </row>
    <row r="296" spans="1:11" ht="15" x14ac:dyDescent="0.2">
      <c r="A296" s="560">
        <v>288</v>
      </c>
      <c r="B296" s="511" t="str">
        <f>_xlfn.XLOOKUP(A296,Códigos!$A$11:$A$415,Códigos!$B$11:$B$415,"Verificar",0)</f>
        <v>NOMBRE 182</v>
      </c>
      <c r="C296" s="525">
        <f>SUMIF('CARTERA años anteriores'!$C$9:$C$234,A296,'CARTERA años anteriores'!$J$9:$J$234)</f>
        <v>0</v>
      </c>
      <c r="D296" s="525">
        <f>SUMIF('CARTERA años anteriores'!$C$9:$C$234,A296,'CARTERA años anteriores'!$L$9:$L$234)</f>
        <v>0</v>
      </c>
      <c r="E296" s="525">
        <f>SUMIF(FACTURACIÓN!$C$8:$C$1082,A296,FACTURACIÓN!$K$8:$K$1082)</f>
        <v>0</v>
      </c>
      <c r="F296" s="525">
        <f>SUMIF('INGRESOS A CAJA'!$C$10:$C$954,A296,'INGRESOS A CAJA'!$F$10:$F$954)+SUMIF(FACTURACIÓN!$C$8:$C$1082,A296,FACTURACIÓN!$M$8:$M$1082)++SUMIF('CARTERA años anteriores'!$C$9:$C$234,A296,'CARTERA años anteriores'!$M$9:$M$234)</f>
        <v>0</v>
      </c>
      <c r="G296" s="525">
        <f>SUMIF('EGRESOS DE CAJA'!$C$10:$C$2251,A296,'EGRESOS DE CAJA'!$G$10:$G$2251)</f>
        <v>0</v>
      </c>
      <c r="H296" s="512">
        <f t="shared" si="9"/>
        <v>0</v>
      </c>
      <c r="I296" s="512">
        <f t="shared" si="11"/>
        <v>0</v>
      </c>
      <c r="J296" s="557"/>
      <c r="K296" s="629"/>
    </row>
    <row r="297" spans="1:11" ht="15" x14ac:dyDescent="0.2">
      <c r="A297" s="560">
        <v>289</v>
      </c>
      <c r="B297" s="511" t="str">
        <f>_xlfn.XLOOKUP(A297,Códigos!$A$11:$A$415,Códigos!$B$11:$B$415,"Verificar",0)</f>
        <v>NOMBRE 140</v>
      </c>
      <c r="C297" s="525">
        <f>SUMIF('CARTERA años anteriores'!$C$9:$C$234,A297,'CARTERA años anteriores'!$J$9:$J$234)</f>
        <v>430000</v>
      </c>
      <c r="D297" s="525">
        <f>SUMIF('CARTERA años anteriores'!$C$9:$C$234,A297,'CARTERA años anteriores'!$L$9:$L$234)</f>
        <v>0</v>
      </c>
      <c r="E297" s="525">
        <f>SUMIF(FACTURACIÓN!$C$8:$C$1082,A297,FACTURACIÓN!$K$8:$K$1082)</f>
        <v>450000</v>
      </c>
      <c r="F297" s="525">
        <f>SUMIF('INGRESOS A CAJA'!$C$10:$C$954,A297,'INGRESOS A CAJA'!$F$10:$F$954)+SUMIF(FACTURACIÓN!$C$8:$C$1082,A297,FACTURACIÓN!$M$8:$M$1082)++SUMIF('CARTERA años anteriores'!$C$9:$C$234,A297,'CARTERA años anteriores'!$M$9:$M$234)</f>
        <v>0</v>
      </c>
      <c r="G297" s="525">
        <f>SUMIF('EGRESOS DE CAJA'!$C$10:$C$2251,A297,'EGRESOS DE CAJA'!$G$10:$G$2251)</f>
        <v>0</v>
      </c>
      <c r="H297" s="512">
        <f t="shared" si="9"/>
        <v>880000</v>
      </c>
      <c r="I297" s="512">
        <f t="shared" si="11"/>
        <v>0</v>
      </c>
      <c r="J297" s="557"/>
      <c r="K297" s="629"/>
    </row>
    <row r="298" spans="1:11" ht="15" x14ac:dyDescent="0.2">
      <c r="A298" s="560">
        <v>290</v>
      </c>
      <c r="B298" s="511" t="str">
        <f>_xlfn.XLOOKUP(A298,Códigos!$A$11:$A$415,Códigos!$B$11:$B$415,"Verificar",0)</f>
        <v>NOMBRE 170</v>
      </c>
      <c r="C298" s="525">
        <f>SUMIF('CARTERA años anteriores'!$C$9:$C$234,A298,'CARTERA años anteriores'!$J$9:$J$234)</f>
        <v>15957100</v>
      </c>
      <c r="D298" s="525">
        <f>SUMIF('CARTERA años anteriores'!$C$9:$C$234,A298,'CARTERA años anteriores'!$L$9:$L$234)</f>
        <v>11983300</v>
      </c>
      <c r="E298" s="525">
        <f>SUMIF(FACTURACIÓN!$C$8:$C$1082,A298,FACTURACIÓN!$K$8:$K$1082)</f>
        <v>0</v>
      </c>
      <c r="F298" s="525">
        <f>SUMIF('INGRESOS A CAJA'!$C$10:$C$954,A298,'INGRESOS A CAJA'!$F$10:$F$954)+SUMIF(FACTURACIÓN!$C$8:$C$1082,A298,FACTURACIÓN!$M$8:$M$1082)++SUMIF('CARTERA años anteriores'!$C$9:$C$234,A298,'CARTERA años anteriores'!$M$9:$M$234)</f>
        <v>11983300</v>
      </c>
      <c r="G298" s="525">
        <f>SUMIF('EGRESOS DE CAJA'!$C$10:$C$2251,A298,'EGRESOS DE CAJA'!$G$10:$G$2251)</f>
        <v>0</v>
      </c>
      <c r="H298" s="512">
        <f t="shared" si="9"/>
        <v>3973800</v>
      </c>
      <c r="I298" s="512">
        <f t="shared" si="11"/>
        <v>-8009500</v>
      </c>
      <c r="J298" s="557"/>
      <c r="K298" s="629"/>
    </row>
    <row r="299" spans="1:11" ht="15" x14ac:dyDescent="0.2">
      <c r="A299" s="560">
        <v>291</v>
      </c>
      <c r="B299" s="511" t="str">
        <f>_xlfn.XLOOKUP(A299,Códigos!$A$11:$A$415,Códigos!$B$11:$B$415,"Verificar",0)</f>
        <v>NOMBRE 173</v>
      </c>
      <c r="C299" s="525">
        <f>SUMIF('CARTERA años anteriores'!$C$9:$C$234,A299,'CARTERA años anteriores'!$J$9:$J$234)</f>
        <v>0</v>
      </c>
      <c r="D299" s="525">
        <f>SUMIF('CARTERA años anteriores'!$C$9:$C$234,A299,'CARTERA años anteriores'!$L$9:$L$234)</f>
        <v>0</v>
      </c>
      <c r="E299" s="525">
        <f>SUMIF(FACTURACIÓN!$C$8:$C$1082,A299,FACTURACIÓN!$K$8:$K$1082)</f>
        <v>0</v>
      </c>
      <c r="F299" s="525">
        <f>SUMIF('INGRESOS A CAJA'!$C$10:$C$954,A299,'INGRESOS A CAJA'!$F$10:$F$954)+SUMIF(FACTURACIÓN!$C$8:$C$1082,A299,FACTURACIÓN!$M$8:$M$1082)++SUMIF('CARTERA años anteriores'!$C$9:$C$234,A299,'CARTERA años anteriores'!$M$9:$M$234)</f>
        <v>0</v>
      </c>
      <c r="G299" s="525">
        <f>SUMIF('EGRESOS DE CAJA'!$C$10:$C$2251,A299,'EGRESOS DE CAJA'!$G$10:$G$2251)</f>
        <v>0</v>
      </c>
      <c r="H299" s="512">
        <f t="shared" si="9"/>
        <v>0</v>
      </c>
      <c r="I299" s="512">
        <f t="shared" si="11"/>
        <v>0</v>
      </c>
      <c r="J299" s="557"/>
      <c r="K299" s="629"/>
    </row>
    <row r="300" spans="1:11" ht="15" x14ac:dyDescent="0.2">
      <c r="A300" s="560">
        <v>292</v>
      </c>
      <c r="B300" s="511" t="str">
        <f>_xlfn.XLOOKUP(A300,Códigos!$A$11:$A$415,Códigos!$B$11:$B$415,"Verificar",0)</f>
        <v>NOMBRE 174</v>
      </c>
      <c r="C300" s="525">
        <f>SUMIF('CARTERA años anteriores'!$C$9:$C$234,A300,'CARTERA años anteriores'!$J$9:$J$234)</f>
        <v>0</v>
      </c>
      <c r="D300" s="525">
        <f>SUMIF('CARTERA años anteriores'!$C$9:$C$234,A300,'CARTERA años anteriores'!$L$9:$L$234)</f>
        <v>0</v>
      </c>
      <c r="E300" s="525">
        <f>SUMIF(FACTURACIÓN!$C$8:$C$1082,A300,FACTURACIÓN!$K$8:$K$1082)</f>
        <v>0</v>
      </c>
      <c r="F300" s="525">
        <f>SUMIF('INGRESOS A CAJA'!$C$10:$C$954,A300,'INGRESOS A CAJA'!$F$10:$F$954)+SUMIF(FACTURACIÓN!$C$8:$C$1082,A300,FACTURACIÓN!$M$8:$M$1082)++SUMIF('CARTERA años anteriores'!$C$9:$C$234,A300,'CARTERA años anteriores'!$M$9:$M$234)</f>
        <v>0</v>
      </c>
      <c r="G300" s="525">
        <f>SUMIF('EGRESOS DE CAJA'!$C$10:$C$2251,A300,'EGRESOS DE CAJA'!$G$10:$G$2251)</f>
        <v>0</v>
      </c>
      <c r="H300" s="512">
        <f t="shared" si="9"/>
        <v>0</v>
      </c>
      <c r="I300" s="512">
        <f t="shared" si="11"/>
        <v>0</v>
      </c>
      <c r="J300" s="557"/>
      <c r="K300" s="629"/>
    </row>
    <row r="301" spans="1:11" ht="15" x14ac:dyDescent="0.2">
      <c r="A301" s="560">
        <v>293</v>
      </c>
      <c r="B301" s="511" t="str">
        <f>_xlfn.XLOOKUP(A301,Códigos!$A$11:$A$415,Códigos!$B$11:$B$415,"Verificar",0)</f>
        <v>NOMBRE 175</v>
      </c>
      <c r="C301" s="525">
        <f>SUMIF('CARTERA años anteriores'!$C$9:$C$234,A301,'CARTERA años anteriores'!$J$9:$J$234)</f>
        <v>0</v>
      </c>
      <c r="D301" s="525">
        <f>SUMIF('CARTERA años anteriores'!$C$9:$C$234,A301,'CARTERA años anteriores'!$L$9:$L$234)</f>
        <v>0</v>
      </c>
      <c r="E301" s="525">
        <f>SUMIF(FACTURACIÓN!$C$8:$C$1082,A301,FACTURACIÓN!$K$8:$K$1082)</f>
        <v>0</v>
      </c>
      <c r="F301" s="525">
        <f>SUMIF('INGRESOS A CAJA'!$C$10:$C$954,A301,'INGRESOS A CAJA'!$F$10:$F$954)+SUMIF(FACTURACIÓN!$C$8:$C$1082,A301,FACTURACIÓN!$M$8:$M$1082)++SUMIF('CARTERA años anteriores'!$C$9:$C$234,A301,'CARTERA años anteriores'!$M$9:$M$234)</f>
        <v>0</v>
      </c>
      <c r="G301" s="525">
        <f>SUMIF('EGRESOS DE CAJA'!$C$10:$C$2251,A301,'EGRESOS DE CAJA'!$G$10:$G$2251)</f>
        <v>0</v>
      </c>
      <c r="H301" s="512">
        <f t="shared" si="9"/>
        <v>0</v>
      </c>
      <c r="I301" s="512">
        <f t="shared" si="11"/>
        <v>0</v>
      </c>
      <c r="J301" s="557"/>
      <c r="K301" s="629"/>
    </row>
    <row r="302" spans="1:11" ht="15" x14ac:dyDescent="0.2">
      <c r="A302" s="560">
        <v>294</v>
      </c>
      <c r="B302" s="511" t="str">
        <f>_xlfn.XLOOKUP(A302,Códigos!$A$11:$A$415,Códigos!$B$11:$B$415,"Verificar",0)</f>
        <v>NOMBRE 296</v>
      </c>
      <c r="C302" s="525">
        <f>SUMIF('CARTERA años anteriores'!$C$9:$C$234,A302,'CARTERA años anteriores'!$J$9:$J$234)</f>
        <v>0</v>
      </c>
      <c r="D302" s="525">
        <f>SUMIF('CARTERA años anteriores'!$C$9:$C$234,A302,'CARTERA años anteriores'!$L$9:$L$234)</f>
        <v>0</v>
      </c>
      <c r="E302" s="525">
        <f>SUMIF(FACTURACIÓN!$C$8:$C$1082,A302,FACTURACIÓN!$K$8:$K$1082)</f>
        <v>0</v>
      </c>
      <c r="F302" s="525">
        <f>SUMIF('INGRESOS A CAJA'!$C$10:$C$954,A302,'INGRESOS A CAJA'!$F$10:$F$954)+SUMIF(FACTURACIÓN!$C$8:$C$1082,A302,FACTURACIÓN!$M$8:$M$1082)++SUMIF('CARTERA años anteriores'!$C$9:$C$234,A302,'CARTERA años anteriores'!$M$9:$M$234)</f>
        <v>0</v>
      </c>
      <c r="G302" s="525">
        <f>SUMIF('EGRESOS DE CAJA'!$C$10:$C$2251,A302,'EGRESOS DE CAJA'!$G$10:$G$2251)</f>
        <v>0</v>
      </c>
      <c r="H302" s="512">
        <f t="shared" si="9"/>
        <v>0</v>
      </c>
      <c r="I302" s="512">
        <f t="shared" si="11"/>
        <v>0</v>
      </c>
      <c r="J302" s="557"/>
      <c r="K302" s="629"/>
    </row>
    <row r="303" spans="1:11" ht="15" x14ac:dyDescent="0.2">
      <c r="A303" s="560">
        <v>295</v>
      </c>
      <c r="B303" s="511" t="str">
        <f>_xlfn.XLOOKUP(A303,Códigos!$A$11:$A$415,Códigos!$B$11:$B$415,"Verificar",0)</f>
        <v>NOMBRE 77</v>
      </c>
      <c r="C303" s="525">
        <f>SUMIF('CARTERA años anteriores'!$C$9:$C$234,A303,'CARTERA años anteriores'!$J$9:$J$234)</f>
        <v>0</v>
      </c>
      <c r="D303" s="525">
        <f>SUMIF('CARTERA años anteriores'!$C$9:$C$234,A303,'CARTERA años anteriores'!$L$9:$L$234)</f>
        <v>0</v>
      </c>
      <c r="E303" s="525">
        <f>SUMIF(FACTURACIÓN!$C$8:$C$1082,A303,FACTURACIÓN!$K$8:$K$1082)</f>
        <v>900000</v>
      </c>
      <c r="F303" s="525">
        <f>SUMIF('INGRESOS A CAJA'!$C$10:$C$954,A303,'INGRESOS A CAJA'!$F$10:$F$954)+SUMIF(FACTURACIÓN!$C$8:$C$1082,A303,FACTURACIÓN!$M$8:$M$1082)++SUMIF('CARTERA años anteriores'!$C$9:$C$234,A303,'CARTERA años anteriores'!$M$9:$M$234)</f>
        <v>900000</v>
      </c>
      <c r="G303" s="525">
        <f>SUMIF('EGRESOS DE CAJA'!$C$10:$C$2251,A303,'EGRESOS DE CAJA'!$G$10:$G$2251)</f>
        <v>0</v>
      </c>
      <c r="H303" s="512">
        <f t="shared" si="9"/>
        <v>0</v>
      </c>
      <c r="I303" s="512">
        <f t="shared" si="11"/>
        <v>0</v>
      </c>
      <c r="J303" s="557"/>
      <c r="K303" s="630"/>
    </row>
    <row r="304" spans="1:11" ht="15" x14ac:dyDescent="0.2">
      <c r="A304" s="560">
        <v>296</v>
      </c>
      <c r="B304" s="511" t="str">
        <f>_xlfn.XLOOKUP(A304,Códigos!$A$11:$A$415,Códigos!$B$11:$B$415,"Verificar",0)</f>
        <v>NOMBRE 300</v>
      </c>
      <c r="C304" s="525">
        <f>SUMIF('CARTERA años anteriores'!$C$9:$C$234,A304,'CARTERA años anteriores'!$J$9:$J$234)</f>
        <v>2701300</v>
      </c>
      <c r="D304" s="525">
        <f>SUMIF('CARTERA años anteriores'!$C$9:$C$234,A304,'CARTERA años anteriores'!$L$9:$L$234)</f>
        <v>2165800</v>
      </c>
      <c r="E304" s="525">
        <f>SUMIF(FACTURACIÓN!$C$8:$C$1082,A304,FACTURACIÓN!$K$8:$K$1082)</f>
        <v>0</v>
      </c>
      <c r="F304" s="525">
        <f>SUMIF('INGRESOS A CAJA'!$C$10:$C$954,A304,'INGRESOS A CAJA'!$F$10:$F$954)+SUMIF(FACTURACIÓN!$C$8:$C$1082,A304,FACTURACIÓN!$M$8:$M$1082)++SUMIF('CARTERA años anteriores'!$C$9:$C$234,A304,'CARTERA años anteriores'!$M$9:$M$234)</f>
        <v>2165800</v>
      </c>
      <c r="G304" s="525">
        <f>SUMIF('EGRESOS DE CAJA'!$C$10:$C$2251,A304,'EGRESOS DE CAJA'!$G$10:$G$2251)</f>
        <v>0</v>
      </c>
      <c r="H304" s="512">
        <f t="shared" si="9"/>
        <v>535500</v>
      </c>
      <c r="I304" s="512">
        <f t="shared" si="11"/>
        <v>-1630300</v>
      </c>
      <c r="J304" s="557"/>
      <c r="K304" s="629"/>
    </row>
    <row r="305" spans="1:11" ht="15" x14ac:dyDescent="0.2">
      <c r="A305" s="560">
        <v>297</v>
      </c>
      <c r="B305" s="511" t="str">
        <f>_xlfn.XLOOKUP(A305,Códigos!$A$11:$A$415,Códigos!$B$11:$B$415,"Verificar",0)</f>
        <v>NOMBRE 252</v>
      </c>
      <c r="C305" s="525">
        <f>SUMIF('CARTERA años anteriores'!$C$9:$C$234,A305,'CARTERA años anteriores'!$J$9:$J$234)</f>
        <v>0</v>
      </c>
      <c r="D305" s="525">
        <f>SUMIF('CARTERA años anteriores'!$C$9:$C$234,A305,'CARTERA años anteriores'!$L$9:$L$234)</f>
        <v>0</v>
      </c>
      <c r="E305" s="525">
        <f>SUMIF(FACTURACIÓN!$C$8:$C$1082,A305,FACTURACIÓN!$K$8:$K$1082)</f>
        <v>0</v>
      </c>
      <c r="F305" s="525">
        <f>SUMIF('INGRESOS A CAJA'!$C$10:$C$954,A305,'INGRESOS A CAJA'!$F$10:$F$954)+SUMIF(FACTURACIÓN!$C$8:$C$1082,A305,FACTURACIÓN!$M$8:$M$1082)++SUMIF('CARTERA años anteriores'!$C$9:$C$234,A305,'CARTERA años anteriores'!$M$9:$M$234)</f>
        <v>0</v>
      </c>
      <c r="G305" s="525">
        <f>SUMIF('EGRESOS DE CAJA'!$C$10:$C$2251,A305,'EGRESOS DE CAJA'!$G$10:$G$2251)</f>
        <v>0</v>
      </c>
      <c r="H305" s="512">
        <f t="shared" si="9"/>
        <v>0</v>
      </c>
      <c r="I305" s="512">
        <f t="shared" si="11"/>
        <v>0</v>
      </c>
      <c r="J305" s="557"/>
      <c r="K305" s="629"/>
    </row>
    <row r="306" spans="1:11" ht="15" x14ac:dyDescent="0.2">
      <c r="A306" s="560">
        <v>298</v>
      </c>
      <c r="B306" s="511" t="str">
        <f>_xlfn.XLOOKUP(A306,Códigos!$A$11:$A$415,Códigos!$B$11:$B$415,"Verificar",0)</f>
        <v>NOMBRE 283</v>
      </c>
      <c r="C306" s="525">
        <f>SUMIF('CARTERA años anteriores'!$C$9:$C$234,A306,'CARTERA años anteriores'!$J$9:$J$234)</f>
        <v>0</v>
      </c>
      <c r="D306" s="525">
        <f>SUMIF('CARTERA años anteriores'!$C$9:$C$234,A306,'CARTERA años anteriores'!$L$9:$L$234)</f>
        <v>0</v>
      </c>
      <c r="E306" s="525">
        <f>SUMIF(FACTURACIÓN!$C$8:$C$1082,A306,FACTURACIÓN!$K$8:$K$1082)</f>
        <v>520000</v>
      </c>
      <c r="F306" s="525">
        <f>SUMIF('INGRESOS A CAJA'!$C$10:$C$954,A306,'INGRESOS A CAJA'!$F$10:$F$954)+SUMIF(FACTURACIÓN!$C$8:$C$1082,A306,FACTURACIÓN!$M$8:$M$1082)++SUMIF('CARTERA años anteriores'!$C$9:$C$234,A306,'CARTERA años anteriores'!$M$9:$M$234)</f>
        <v>0</v>
      </c>
      <c r="G306" s="525">
        <f>SUMIF('EGRESOS DE CAJA'!$C$10:$C$2251,A306,'EGRESOS DE CAJA'!$G$10:$G$2251)</f>
        <v>438000</v>
      </c>
      <c r="H306" s="512">
        <f t="shared" si="9"/>
        <v>958000</v>
      </c>
      <c r="I306" s="512">
        <f t="shared" si="11"/>
        <v>0</v>
      </c>
      <c r="J306" s="557"/>
      <c r="K306" s="630"/>
    </row>
    <row r="307" spans="1:11" ht="15" x14ac:dyDescent="0.2">
      <c r="A307" s="560">
        <v>299</v>
      </c>
      <c r="B307" s="511" t="str">
        <f>_xlfn.XLOOKUP(A307,Códigos!$A$11:$A$415,Códigos!$B$11:$B$415,"Verificar",0)</f>
        <v>NOMBRE 76</v>
      </c>
      <c r="C307" s="525">
        <f>SUMIF('CARTERA años anteriores'!$C$9:$C$234,A307,'CARTERA años anteriores'!$J$9:$J$234)</f>
        <v>0</v>
      </c>
      <c r="D307" s="525">
        <f>SUMIF('CARTERA años anteriores'!$C$9:$C$234,A307,'CARTERA años anteriores'!$L$9:$L$234)</f>
        <v>0</v>
      </c>
      <c r="E307" s="525">
        <f>SUMIF(FACTURACIÓN!$C$8:$C$1082,A307,FACTURACIÓN!$K$8:$K$1082)</f>
        <v>640000</v>
      </c>
      <c r="F307" s="525">
        <f>SUMIF('INGRESOS A CAJA'!$C$10:$C$954,A307,'INGRESOS A CAJA'!$F$10:$F$954)+SUMIF(FACTURACIÓN!$C$8:$C$1082,A307,FACTURACIÓN!$M$8:$M$1082)++SUMIF('CARTERA años anteriores'!$C$9:$C$234,A307,'CARTERA años anteriores'!$M$9:$M$234)</f>
        <v>640000</v>
      </c>
      <c r="G307" s="525">
        <f>SUMIF('EGRESOS DE CAJA'!$C$10:$C$2251,A307,'EGRESOS DE CAJA'!$G$10:$G$2251)</f>
        <v>0</v>
      </c>
      <c r="H307" s="512">
        <f t="shared" si="9"/>
        <v>0</v>
      </c>
      <c r="I307" s="512">
        <f t="shared" si="11"/>
        <v>0</v>
      </c>
      <c r="J307" s="557"/>
      <c r="K307" s="629"/>
    </row>
    <row r="308" spans="1:11" ht="15" x14ac:dyDescent="0.2">
      <c r="A308" s="560">
        <v>300</v>
      </c>
      <c r="B308" s="511" t="str">
        <f>_xlfn.XLOOKUP(A308,Códigos!$A$11:$A$415,Códigos!$B$11:$B$415,"Verificar",0)</f>
        <v>NOMBRE 3</v>
      </c>
      <c r="C308" s="525">
        <f>SUMIF('CARTERA años anteriores'!$C$9:$C$234,A308,'CARTERA años anteriores'!$J$9:$J$234)</f>
        <v>0</v>
      </c>
      <c r="D308" s="525">
        <f>SUMIF('CARTERA años anteriores'!$C$9:$C$234,A308,'CARTERA años anteriores'!$L$9:$L$234)</f>
        <v>0</v>
      </c>
      <c r="E308" s="525">
        <f>SUMIF(FACTURACIÓN!$C$8:$C$1082,A308,FACTURACIÓN!$K$8:$K$1082)</f>
        <v>470000</v>
      </c>
      <c r="F308" s="525">
        <f>SUMIF('INGRESOS A CAJA'!$C$10:$C$954,A308,'INGRESOS A CAJA'!$F$10:$F$954)+SUMIF(FACTURACIÓN!$C$8:$C$1082,A308,FACTURACIÓN!$M$8:$M$1082)++SUMIF('CARTERA años anteriores'!$C$9:$C$234,A308,'CARTERA años anteriores'!$M$9:$M$234)</f>
        <v>0</v>
      </c>
      <c r="G308" s="525">
        <f>SUMIF('EGRESOS DE CAJA'!$C$10:$C$2251,A308,'EGRESOS DE CAJA'!$G$10:$G$2251)</f>
        <v>0</v>
      </c>
      <c r="H308" s="512">
        <f t="shared" si="9"/>
        <v>470000</v>
      </c>
      <c r="I308" s="512">
        <f t="shared" si="11"/>
        <v>0</v>
      </c>
      <c r="J308" s="557"/>
      <c r="K308" s="629"/>
    </row>
    <row r="309" spans="1:11" ht="15" x14ac:dyDescent="0.2">
      <c r="A309" s="560">
        <v>301</v>
      </c>
      <c r="B309" s="511" t="str">
        <f>_xlfn.XLOOKUP(A309,Códigos!$A$11:$A$415,Códigos!$B$11:$B$415,"Verificar",0)</f>
        <v>NOMBRE 84</v>
      </c>
      <c r="C309" s="525">
        <f>SUMIF('CARTERA años anteriores'!$C$9:$C$234,A309,'CARTERA años anteriores'!$J$9:$J$234)</f>
        <v>0</v>
      </c>
      <c r="D309" s="525">
        <f>SUMIF('CARTERA años anteriores'!$C$9:$C$234,A309,'CARTERA años anteriores'!$L$9:$L$234)</f>
        <v>0</v>
      </c>
      <c r="E309" s="525">
        <f>SUMIF(FACTURACIÓN!$C$8:$C$1082,A309,FACTURACIÓN!$K$8:$K$1082)</f>
        <v>0</v>
      </c>
      <c r="F309" s="525">
        <f>SUMIF('INGRESOS A CAJA'!$C$10:$C$954,A309,'INGRESOS A CAJA'!$F$10:$F$954)+SUMIF(FACTURACIÓN!$C$8:$C$1082,A309,FACTURACIÓN!$M$8:$M$1082)++SUMIF('CARTERA años anteriores'!$C$9:$C$234,A309,'CARTERA años anteriores'!$M$9:$M$234)</f>
        <v>0</v>
      </c>
      <c r="G309" s="525">
        <f>SUMIF('EGRESOS DE CAJA'!$C$10:$C$2251,A309,'EGRESOS DE CAJA'!$G$10:$G$2251)</f>
        <v>0</v>
      </c>
      <c r="H309" s="512">
        <f t="shared" si="9"/>
        <v>0</v>
      </c>
      <c r="I309" s="512">
        <f t="shared" si="11"/>
        <v>0</v>
      </c>
      <c r="J309" s="557"/>
      <c r="K309" s="629"/>
    </row>
    <row r="310" spans="1:11" ht="15" x14ac:dyDescent="0.2">
      <c r="A310" s="560">
        <v>302</v>
      </c>
      <c r="B310" s="511" t="str">
        <f>_xlfn.XLOOKUP(A310,Códigos!$A$11:$A$415,Códigos!$B$11:$B$415,"Verificar",0)</f>
        <v>NOMBRE 258</v>
      </c>
      <c r="C310" s="525">
        <f>SUMIF('CARTERA años anteriores'!$C$9:$C$234,A310,'CARTERA años anteriores'!$J$9:$J$234)</f>
        <v>0</v>
      </c>
      <c r="D310" s="525">
        <f>SUMIF('CARTERA años anteriores'!$C$9:$C$234,A310,'CARTERA años anteriores'!$L$9:$L$234)</f>
        <v>0</v>
      </c>
      <c r="E310" s="525">
        <f>SUMIF(FACTURACIÓN!$C$8:$C$1082,A310,FACTURACIÓN!$K$8:$K$1082)</f>
        <v>0</v>
      </c>
      <c r="F310" s="525">
        <f>SUMIF('INGRESOS A CAJA'!$C$10:$C$954,A310,'INGRESOS A CAJA'!$F$10:$F$954)+SUMIF(FACTURACIÓN!$C$8:$C$1082,A310,FACTURACIÓN!$M$8:$M$1082)++SUMIF('CARTERA años anteriores'!$C$9:$C$234,A310,'CARTERA años anteriores'!$M$9:$M$234)</f>
        <v>0</v>
      </c>
      <c r="G310" s="525">
        <f>SUMIF('EGRESOS DE CAJA'!$C$10:$C$2251,A310,'EGRESOS DE CAJA'!$G$10:$G$2251)</f>
        <v>0</v>
      </c>
      <c r="H310" s="512">
        <f t="shared" si="9"/>
        <v>0</v>
      </c>
      <c r="I310" s="512">
        <f t="shared" si="11"/>
        <v>0</v>
      </c>
      <c r="J310" s="557"/>
      <c r="K310" s="629"/>
    </row>
    <row r="311" spans="1:11" ht="15" x14ac:dyDescent="0.2">
      <c r="A311" s="560">
        <v>303</v>
      </c>
      <c r="B311" s="511" t="str">
        <f>_xlfn.XLOOKUP(A311,Códigos!$A$11:$A$415,Códigos!$B$11:$B$415,"Verificar",0)</f>
        <v>NOMBRE 66</v>
      </c>
      <c r="C311" s="525">
        <f>SUMIF('CARTERA años anteriores'!$C$9:$C$234,A311,'CARTERA años anteriores'!$J$9:$J$234)</f>
        <v>0</v>
      </c>
      <c r="D311" s="525">
        <f>SUMIF('CARTERA años anteriores'!$C$9:$C$234,A311,'CARTERA años anteriores'!$L$9:$L$234)</f>
        <v>0</v>
      </c>
      <c r="E311" s="525">
        <f>SUMIF(FACTURACIÓN!$C$8:$C$1082,A311,FACTURACIÓN!$K$8:$K$1082)</f>
        <v>1370000</v>
      </c>
      <c r="F311" s="525">
        <f>SUMIF('INGRESOS A CAJA'!$C$10:$C$954,A311,'INGRESOS A CAJA'!$F$10:$F$954)+SUMIF(FACTURACIÓN!$C$8:$C$1082,A311,FACTURACIÓN!$M$8:$M$1082)++SUMIF('CARTERA años anteriores'!$C$9:$C$234,A311,'CARTERA años anteriores'!$M$9:$M$234)</f>
        <v>0</v>
      </c>
      <c r="G311" s="525">
        <f>SUMIF('EGRESOS DE CAJA'!$C$10:$C$2251,A311,'EGRESOS DE CAJA'!$G$10:$G$2251)</f>
        <v>0</v>
      </c>
      <c r="H311" s="512">
        <f t="shared" si="9"/>
        <v>1370000</v>
      </c>
      <c r="I311" s="512">
        <f t="shared" si="11"/>
        <v>0</v>
      </c>
      <c r="J311" s="557"/>
      <c r="K311" s="629"/>
    </row>
    <row r="312" spans="1:11" ht="15" x14ac:dyDescent="0.2">
      <c r="A312" s="560">
        <v>304</v>
      </c>
      <c r="B312" s="511" t="str">
        <f>_xlfn.XLOOKUP(A312,Códigos!$A$11:$A$415,Códigos!$B$11:$B$415,"Verificar",0)</f>
        <v>NOMBRE 281</v>
      </c>
      <c r="C312" s="525">
        <f>SUMIF('CARTERA años anteriores'!$C$9:$C$234,A312,'CARTERA años anteriores'!$J$9:$J$234)</f>
        <v>0</v>
      </c>
      <c r="D312" s="525">
        <f>SUMIF('CARTERA años anteriores'!$C$9:$C$234,A312,'CARTERA años anteriores'!$L$9:$L$234)</f>
        <v>0</v>
      </c>
      <c r="E312" s="525">
        <f>SUMIF(FACTURACIÓN!$C$8:$C$1082,A312,FACTURACIÓN!$K$8:$K$1082)</f>
        <v>0</v>
      </c>
      <c r="F312" s="525">
        <f>SUMIF('INGRESOS A CAJA'!$C$10:$C$954,A312,'INGRESOS A CAJA'!$F$10:$F$954)+SUMIF(FACTURACIÓN!$C$8:$C$1082,A312,FACTURACIÓN!$M$8:$M$1082)++SUMIF('CARTERA años anteriores'!$C$9:$C$234,A312,'CARTERA años anteriores'!$M$9:$M$234)</f>
        <v>0</v>
      </c>
      <c r="G312" s="525">
        <f>SUMIF('EGRESOS DE CAJA'!$C$10:$C$2251,A312,'EGRESOS DE CAJA'!$G$10:$G$2251)</f>
        <v>0</v>
      </c>
      <c r="H312" s="512">
        <f t="shared" si="9"/>
        <v>0</v>
      </c>
      <c r="I312" s="512">
        <f t="shared" si="11"/>
        <v>0</v>
      </c>
      <c r="J312" s="557"/>
      <c r="K312" s="629"/>
    </row>
    <row r="313" spans="1:11" ht="15" x14ac:dyDescent="0.2">
      <c r="A313" s="560">
        <v>305</v>
      </c>
      <c r="B313" s="511" t="str">
        <f>_xlfn.XLOOKUP(A313,Códigos!$A$11:$A$415,Códigos!$B$11:$B$415,"Verificar",0)</f>
        <v>NOMBRE 137</v>
      </c>
      <c r="C313" s="525">
        <f>SUMIF('CARTERA años anteriores'!$C$9:$C$234,A313,'CARTERA años anteriores'!$J$9:$J$234)</f>
        <v>0</v>
      </c>
      <c r="D313" s="525">
        <f>SUMIF('CARTERA años anteriores'!$C$9:$C$234,A313,'CARTERA años anteriores'!$L$9:$L$234)</f>
        <v>0</v>
      </c>
      <c r="E313" s="525">
        <f>SUMIF(FACTURACIÓN!$C$8:$C$1082,A313,FACTURACIÓN!$K$8:$K$1082)</f>
        <v>370000</v>
      </c>
      <c r="F313" s="525">
        <f>SUMIF('INGRESOS A CAJA'!$C$10:$C$954,A313,'INGRESOS A CAJA'!$F$10:$F$954)+SUMIF(FACTURACIÓN!$C$8:$C$1082,A313,FACTURACIÓN!$M$8:$M$1082)++SUMIF('CARTERA años anteriores'!$C$9:$C$234,A313,'CARTERA años anteriores'!$M$9:$M$234)</f>
        <v>370000</v>
      </c>
      <c r="G313" s="525">
        <f>SUMIF('EGRESOS DE CAJA'!$C$10:$C$2251,A313,'EGRESOS DE CAJA'!$G$10:$G$2251)</f>
        <v>0</v>
      </c>
      <c r="H313" s="512">
        <f t="shared" si="9"/>
        <v>0</v>
      </c>
      <c r="I313" s="512">
        <f t="shared" si="11"/>
        <v>0</v>
      </c>
      <c r="J313" s="557"/>
      <c r="K313" s="629"/>
    </row>
    <row r="314" spans="1:11" ht="15" x14ac:dyDescent="0.2">
      <c r="A314" s="560">
        <v>306</v>
      </c>
      <c r="B314" s="511" t="str">
        <f>_xlfn.XLOOKUP(A314,Códigos!$A$11:$A$415,Códigos!$B$11:$B$415,"Verificar",0)</f>
        <v>NOMBRE 33</v>
      </c>
      <c r="C314" s="525">
        <f>SUMIF('CARTERA años anteriores'!$C$9:$C$234,A314,'CARTERA años anteriores'!$J$9:$J$234)</f>
        <v>630000</v>
      </c>
      <c r="D314" s="525">
        <f>SUMIF('CARTERA años anteriores'!$C$9:$C$234,A314,'CARTERA años anteriores'!$L$9:$L$234)</f>
        <v>330000</v>
      </c>
      <c r="E314" s="525">
        <f>SUMIF(FACTURACIÓN!$C$8:$C$1082,A314,FACTURACIÓN!$K$8:$K$1082)</f>
        <v>450000</v>
      </c>
      <c r="F314" s="525">
        <f>SUMIF('INGRESOS A CAJA'!$C$10:$C$954,A314,'INGRESOS A CAJA'!$F$10:$F$954)+SUMIF(FACTURACIÓN!$C$8:$C$1082,A314,FACTURACIÓN!$M$8:$M$1082)++SUMIF('CARTERA años anteriores'!$C$9:$C$234,A314,'CARTERA años anteriores'!$M$9:$M$234)</f>
        <v>780000</v>
      </c>
      <c r="G314" s="525">
        <f>SUMIF('EGRESOS DE CAJA'!$C$10:$C$2251,A314,'EGRESOS DE CAJA'!$G$10:$G$2251)</f>
        <v>0</v>
      </c>
      <c r="H314" s="512">
        <f t="shared" si="9"/>
        <v>300000</v>
      </c>
      <c r="I314" s="512">
        <f t="shared" si="11"/>
        <v>-30000</v>
      </c>
      <c r="J314" s="557"/>
      <c r="K314" s="629"/>
    </row>
    <row r="315" spans="1:11" ht="15" x14ac:dyDescent="0.2">
      <c r="A315" s="560">
        <v>307</v>
      </c>
      <c r="B315" s="511" t="str">
        <f>_xlfn.XLOOKUP(A315,Códigos!$A$11:$A$415,Códigos!$B$11:$B$415,"Verificar",0)</f>
        <v>NOMBRE 275</v>
      </c>
      <c r="C315" s="525">
        <f>SUMIF('CARTERA años anteriores'!$C$9:$C$234,A315,'CARTERA años anteriores'!$J$9:$J$234)</f>
        <v>0</v>
      </c>
      <c r="D315" s="525">
        <f>SUMIF('CARTERA años anteriores'!$C$9:$C$234,A315,'CARTERA años anteriores'!$L$9:$L$234)</f>
        <v>0</v>
      </c>
      <c r="E315" s="525">
        <f>SUMIF(FACTURACIÓN!$C$8:$C$1082,A315,FACTURACIÓN!$K$8:$K$1082)</f>
        <v>0</v>
      </c>
      <c r="F315" s="525">
        <f>SUMIF('INGRESOS A CAJA'!$C$10:$C$954,A315,'INGRESOS A CAJA'!$F$10:$F$954)+SUMIF(FACTURACIÓN!$C$8:$C$1082,A315,FACTURACIÓN!$M$8:$M$1082)++SUMIF('CARTERA años anteriores'!$C$9:$C$234,A315,'CARTERA años anteriores'!$M$9:$M$234)</f>
        <v>0</v>
      </c>
      <c r="G315" s="525">
        <f>SUMIF('EGRESOS DE CAJA'!$C$10:$C$2251,A315,'EGRESOS DE CAJA'!$G$10:$G$2251)</f>
        <v>0</v>
      </c>
      <c r="H315" s="512">
        <f t="shared" si="9"/>
        <v>0</v>
      </c>
      <c r="I315" s="512">
        <f t="shared" si="11"/>
        <v>0</v>
      </c>
      <c r="J315" s="557"/>
      <c r="K315" s="629"/>
    </row>
    <row r="316" spans="1:11" ht="15" x14ac:dyDescent="0.2">
      <c r="A316" s="560">
        <v>308</v>
      </c>
      <c r="B316" s="511" t="str">
        <f>_xlfn.XLOOKUP(A316,Códigos!$A$11:$A$415,Códigos!$B$11:$B$415,"Verificar",0)</f>
        <v>NOMBRE 277</v>
      </c>
      <c r="C316" s="525">
        <f>SUMIF('CARTERA años anteriores'!$C$9:$C$234,A316,'CARTERA años anteriores'!$J$9:$J$234)</f>
        <v>0</v>
      </c>
      <c r="D316" s="525">
        <f>SUMIF('CARTERA años anteriores'!$C$9:$C$234,A316,'CARTERA años anteriores'!$L$9:$L$234)</f>
        <v>0</v>
      </c>
      <c r="E316" s="525">
        <f>SUMIF(FACTURACIÓN!$C$8:$C$1082,A316,FACTURACIÓN!$K$8:$K$1082)</f>
        <v>230000</v>
      </c>
      <c r="F316" s="525">
        <f>SUMIF('INGRESOS A CAJA'!$C$10:$C$954,A316,'INGRESOS A CAJA'!$F$10:$F$954)+SUMIF(FACTURACIÓN!$C$8:$C$1082,A316,FACTURACIÓN!$M$8:$M$1082)++SUMIF('CARTERA años anteriores'!$C$9:$C$234,A316,'CARTERA años anteriores'!$M$9:$M$234)</f>
        <v>0</v>
      </c>
      <c r="G316" s="525">
        <f>SUMIF('EGRESOS DE CAJA'!$C$10:$C$2251,A316,'EGRESOS DE CAJA'!$G$10:$G$2251)</f>
        <v>0</v>
      </c>
      <c r="H316" s="512">
        <f t="shared" si="9"/>
        <v>230000</v>
      </c>
      <c r="I316" s="512">
        <f t="shared" si="11"/>
        <v>0</v>
      </c>
      <c r="J316" s="557"/>
      <c r="K316" s="629"/>
    </row>
    <row r="317" spans="1:11" ht="15" x14ac:dyDescent="0.2">
      <c r="A317" s="560">
        <v>309</v>
      </c>
      <c r="B317" s="511" t="str">
        <f>_xlfn.XLOOKUP(A317,Códigos!$A$11:$A$415,Códigos!$B$11:$B$415,"Verificar",0)</f>
        <v>NOMBRE 91</v>
      </c>
      <c r="C317" s="525">
        <f>SUMIF('CARTERA años anteriores'!$C$9:$C$234,A317,'CARTERA años anteriores'!$J$9:$J$234)</f>
        <v>0</v>
      </c>
      <c r="D317" s="525">
        <f>SUMIF('CARTERA años anteriores'!$C$9:$C$234,A317,'CARTERA años anteriores'!$L$9:$L$234)</f>
        <v>0</v>
      </c>
      <c r="E317" s="525">
        <f>SUMIF(FACTURACIÓN!$C$8:$C$1082,A317,FACTURACIÓN!$K$8:$K$1082)</f>
        <v>160000</v>
      </c>
      <c r="F317" s="525">
        <f>SUMIF('INGRESOS A CAJA'!$C$10:$C$954,A317,'INGRESOS A CAJA'!$F$10:$F$954)+SUMIF(FACTURACIÓN!$C$8:$C$1082,A317,FACTURACIÓN!$M$8:$M$1082)++SUMIF('CARTERA años anteriores'!$C$9:$C$234,A317,'CARTERA años anteriores'!$M$9:$M$234)</f>
        <v>0</v>
      </c>
      <c r="G317" s="525">
        <f>SUMIF('EGRESOS DE CAJA'!$C$10:$C$2251,A317,'EGRESOS DE CAJA'!$G$10:$G$2251)</f>
        <v>0</v>
      </c>
      <c r="H317" s="512">
        <f t="shared" si="9"/>
        <v>160000</v>
      </c>
      <c r="I317" s="512">
        <f t="shared" si="11"/>
        <v>0</v>
      </c>
      <c r="J317" s="557"/>
      <c r="K317" s="629"/>
    </row>
    <row r="318" spans="1:11" ht="15" x14ac:dyDescent="0.2">
      <c r="A318" s="560">
        <v>310</v>
      </c>
      <c r="B318" s="511" t="str">
        <f>_xlfn.XLOOKUP(A318,Códigos!$A$11:$A$415,Códigos!$B$11:$B$415,"Verificar",0)</f>
        <v>NOMBRE 177</v>
      </c>
      <c r="C318" s="525">
        <f>SUMIF('CARTERA años anteriores'!$C$9:$C$234,A318,'CARTERA años anteriores'!$J$9:$J$234)</f>
        <v>0</v>
      </c>
      <c r="D318" s="525">
        <f>SUMIF('CARTERA años anteriores'!$C$9:$C$234,A318,'CARTERA años anteriores'!$L$9:$L$234)</f>
        <v>0</v>
      </c>
      <c r="E318" s="525">
        <f>SUMIF(FACTURACIÓN!$C$8:$C$1082,A318,FACTURACIÓN!$K$8:$K$1082)</f>
        <v>0</v>
      </c>
      <c r="F318" s="525">
        <f>SUMIF('INGRESOS A CAJA'!$C$10:$C$954,A318,'INGRESOS A CAJA'!$F$10:$F$954)+SUMIF(FACTURACIÓN!$C$8:$C$1082,A318,FACTURACIÓN!$M$8:$M$1082)++SUMIF('CARTERA años anteriores'!$C$9:$C$234,A318,'CARTERA años anteriores'!$M$9:$M$234)</f>
        <v>0</v>
      </c>
      <c r="G318" s="525">
        <f>SUMIF('EGRESOS DE CAJA'!$C$10:$C$2251,A318,'EGRESOS DE CAJA'!$G$10:$G$2251)</f>
        <v>0</v>
      </c>
      <c r="H318" s="512">
        <f t="shared" si="9"/>
        <v>0</v>
      </c>
      <c r="I318" s="512">
        <f t="shared" si="11"/>
        <v>0</v>
      </c>
      <c r="J318" s="557"/>
      <c r="K318" s="629"/>
    </row>
    <row r="319" spans="1:11" ht="15" x14ac:dyDescent="0.2">
      <c r="A319" s="560">
        <v>311</v>
      </c>
      <c r="B319" s="511" t="str">
        <f>_xlfn.XLOOKUP(A319,Códigos!$A$11:$A$415,Códigos!$B$11:$B$415,"Verificar",0)</f>
        <v>NOMBRE 315</v>
      </c>
      <c r="C319" s="525">
        <f>SUMIF('CARTERA años anteriores'!$C$9:$C$234,A319,'CARTERA años anteriores'!$J$9:$J$234)</f>
        <v>0</v>
      </c>
      <c r="D319" s="525">
        <f>SUMIF('CARTERA años anteriores'!$C$9:$C$234,A319,'CARTERA años anteriores'!$L$9:$L$234)</f>
        <v>0</v>
      </c>
      <c r="E319" s="525">
        <f>SUMIF(FACTURACIÓN!$C$8:$C$1082,A319,FACTURACIÓN!$K$8:$K$1082)</f>
        <v>1000000</v>
      </c>
      <c r="F319" s="525">
        <f>SUMIF('INGRESOS A CAJA'!$C$10:$C$954,A319,'INGRESOS A CAJA'!$F$10:$F$954)+SUMIF(FACTURACIÓN!$C$8:$C$1082,A319,FACTURACIÓN!$M$8:$M$1082)++SUMIF('CARTERA años anteriores'!$C$9:$C$234,A319,'CARTERA años anteriores'!$M$9:$M$234)</f>
        <v>0</v>
      </c>
      <c r="G319" s="525">
        <f>SUMIF('EGRESOS DE CAJA'!$C$10:$C$2251,A319,'EGRESOS DE CAJA'!$G$10:$G$2251)</f>
        <v>0</v>
      </c>
      <c r="H319" s="512">
        <f t="shared" si="9"/>
        <v>1000000</v>
      </c>
      <c r="I319" s="512">
        <f t="shared" si="11"/>
        <v>0</v>
      </c>
      <c r="J319" s="557"/>
      <c r="K319" s="629"/>
    </row>
    <row r="320" spans="1:11" ht="15" x14ac:dyDescent="0.2">
      <c r="A320" s="560">
        <v>312</v>
      </c>
      <c r="B320" s="511" t="str">
        <f>_xlfn.XLOOKUP(A320,Códigos!$A$11:$A$415,Códigos!$B$11:$B$415,"Verificar",0)</f>
        <v>NOMBRE 4</v>
      </c>
      <c r="C320" s="525">
        <f>SUMIF('CARTERA años anteriores'!$C$9:$C$234,A320,'CARTERA años anteriores'!$J$9:$J$234)</f>
        <v>0</v>
      </c>
      <c r="D320" s="525">
        <f>SUMIF('CARTERA años anteriores'!$C$9:$C$234,A320,'CARTERA años anteriores'!$L$9:$L$234)</f>
        <v>0</v>
      </c>
      <c r="E320" s="525">
        <f>SUMIF(FACTURACIÓN!$C$8:$C$1082,A320,FACTURACIÓN!$K$8:$K$1082)</f>
        <v>0</v>
      </c>
      <c r="F320" s="525">
        <f>SUMIF('INGRESOS A CAJA'!$C$10:$C$954,A320,'INGRESOS A CAJA'!$F$10:$F$954)+SUMIF(FACTURACIÓN!$C$8:$C$1082,A320,FACTURACIÓN!$M$8:$M$1082)++SUMIF('CARTERA años anteriores'!$C$9:$C$234,A320,'CARTERA años anteriores'!$M$9:$M$234)</f>
        <v>0</v>
      </c>
      <c r="G320" s="525">
        <f>SUMIF('EGRESOS DE CAJA'!$C$10:$C$2251,A320,'EGRESOS DE CAJA'!$G$10:$G$2251)</f>
        <v>0</v>
      </c>
      <c r="H320" s="512">
        <f t="shared" si="9"/>
        <v>0</v>
      </c>
      <c r="I320" s="512">
        <f t="shared" si="11"/>
        <v>0</v>
      </c>
      <c r="J320" s="557"/>
      <c r="K320" s="629"/>
    </row>
    <row r="321" spans="1:11" ht="15" x14ac:dyDescent="0.2">
      <c r="A321" s="560">
        <v>313</v>
      </c>
      <c r="B321" s="511" t="str">
        <f>_xlfn.XLOOKUP(A321,Códigos!$A$11:$A$415,Códigos!$B$11:$B$415,"Verificar",0)</f>
        <v>NOMBRE 70</v>
      </c>
      <c r="C321" s="525">
        <f>SUMIF('CARTERA años anteriores'!$C$9:$C$234,A321,'CARTERA años anteriores'!$J$9:$J$234)</f>
        <v>0</v>
      </c>
      <c r="D321" s="525">
        <f>SUMIF('CARTERA años anteriores'!$C$9:$C$234,A321,'CARTERA años anteriores'!$L$9:$L$234)</f>
        <v>0</v>
      </c>
      <c r="E321" s="525">
        <f>SUMIF(FACTURACIÓN!$C$8:$C$1082,A321,FACTURACIÓN!$K$8:$K$1082)</f>
        <v>0</v>
      </c>
      <c r="F321" s="525">
        <f>SUMIF('INGRESOS A CAJA'!$C$10:$C$954,A321,'INGRESOS A CAJA'!$F$10:$F$954)+SUMIF(FACTURACIÓN!$C$8:$C$1082,A321,FACTURACIÓN!$M$8:$M$1082)++SUMIF('CARTERA años anteriores'!$C$9:$C$234,A321,'CARTERA años anteriores'!$M$9:$M$234)</f>
        <v>0</v>
      </c>
      <c r="G321" s="525">
        <f>SUMIF('EGRESOS DE CAJA'!$C$10:$C$2251,A321,'EGRESOS DE CAJA'!$G$10:$G$2251)</f>
        <v>0</v>
      </c>
      <c r="H321" s="512">
        <f t="shared" si="9"/>
        <v>0</v>
      </c>
      <c r="I321" s="512">
        <f t="shared" si="11"/>
        <v>0</v>
      </c>
      <c r="J321" s="557"/>
      <c r="K321" s="629"/>
    </row>
    <row r="322" spans="1:11" ht="15" x14ac:dyDescent="0.2">
      <c r="A322" s="560">
        <v>314</v>
      </c>
      <c r="B322" s="511" t="str">
        <f>_xlfn.XLOOKUP(A322,Códigos!$A$11:$A$415,Códigos!$B$11:$B$415,"Verificar",0)</f>
        <v>NOMBRE 150</v>
      </c>
      <c r="C322" s="525">
        <f>SUMIF('CARTERA años anteriores'!$C$9:$C$234,A322,'CARTERA años anteriores'!$J$9:$J$234)</f>
        <v>0</v>
      </c>
      <c r="D322" s="525">
        <f>SUMIF('CARTERA años anteriores'!$C$9:$C$234,A322,'CARTERA años anteriores'!$L$9:$L$234)</f>
        <v>0</v>
      </c>
      <c r="E322" s="525">
        <f>SUMIF(FACTURACIÓN!$C$8:$C$1082,A322,FACTURACIÓN!$K$8:$K$1082)</f>
        <v>0</v>
      </c>
      <c r="F322" s="525">
        <f>SUMIF('INGRESOS A CAJA'!$C$10:$C$954,A322,'INGRESOS A CAJA'!$F$10:$F$954)+SUMIF(FACTURACIÓN!$C$8:$C$1082,A322,FACTURACIÓN!$M$8:$M$1082)++SUMIF('CARTERA años anteriores'!$C$9:$C$234,A322,'CARTERA años anteriores'!$M$9:$M$234)</f>
        <v>0</v>
      </c>
      <c r="G322" s="525">
        <f>SUMIF('EGRESOS DE CAJA'!$C$10:$C$2251,A322,'EGRESOS DE CAJA'!$G$10:$G$2251)</f>
        <v>0</v>
      </c>
      <c r="H322" s="512">
        <f t="shared" si="9"/>
        <v>0</v>
      </c>
      <c r="I322" s="512">
        <f t="shared" si="11"/>
        <v>0</v>
      </c>
      <c r="J322" s="557"/>
      <c r="K322" s="629"/>
    </row>
    <row r="323" spans="1:11" ht="15" x14ac:dyDescent="0.2">
      <c r="A323" s="560">
        <v>315</v>
      </c>
      <c r="B323" s="511" t="str">
        <f>_xlfn.XLOOKUP(A323,Códigos!$A$11:$A$415,Códigos!$B$11:$B$415,"Verificar",0)</f>
        <v>NOMBRE 183</v>
      </c>
      <c r="C323" s="525">
        <f>SUMIF('CARTERA años anteriores'!$C$9:$C$234,A323,'CARTERA años anteriores'!$J$9:$J$234)</f>
        <v>0</v>
      </c>
      <c r="D323" s="525">
        <f>SUMIF('CARTERA años anteriores'!$C$9:$C$234,A323,'CARTERA años anteriores'!$L$9:$L$234)</f>
        <v>0</v>
      </c>
      <c r="E323" s="525">
        <f>SUMIF(FACTURACIÓN!$C$8:$C$1082,A323,FACTURACIÓN!$K$8:$K$1082)</f>
        <v>470000</v>
      </c>
      <c r="F323" s="525">
        <f>SUMIF('INGRESOS A CAJA'!$C$10:$C$954,A323,'INGRESOS A CAJA'!$F$10:$F$954)+SUMIF(FACTURACIÓN!$C$8:$C$1082,A323,FACTURACIÓN!$M$8:$M$1082)++SUMIF('CARTERA años anteriores'!$C$9:$C$234,A323,'CARTERA años anteriores'!$M$9:$M$234)</f>
        <v>0</v>
      </c>
      <c r="G323" s="525">
        <f>SUMIF('EGRESOS DE CAJA'!$C$10:$C$2251,A323,'EGRESOS DE CAJA'!$G$10:$G$2251)</f>
        <v>0</v>
      </c>
      <c r="H323" s="512">
        <f t="shared" si="9"/>
        <v>470000</v>
      </c>
      <c r="I323" s="512">
        <f t="shared" si="11"/>
        <v>0</v>
      </c>
      <c r="J323" s="557"/>
      <c r="K323" s="629"/>
    </row>
    <row r="324" spans="1:11" ht="15" x14ac:dyDescent="0.2">
      <c r="A324" s="560">
        <v>316</v>
      </c>
      <c r="B324" s="511" t="str">
        <f>_xlfn.XLOOKUP(A324,Códigos!$A$11:$A$415,Códigos!$B$11:$B$415,"Verificar",0)</f>
        <v>NOMBRE 285</v>
      </c>
      <c r="C324" s="525">
        <f>SUMIF('CARTERA años anteriores'!$C$9:$C$234,A324,'CARTERA años anteriores'!$J$9:$J$234)</f>
        <v>0</v>
      </c>
      <c r="D324" s="525">
        <f>SUMIF('CARTERA años anteriores'!$C$9:$C$234,A324,'CARTERA años anteriores'!$L$9:$L$234)</f>
        <v>0</v>
      </c>
      <c r="E324" s="525">
        <f>SUMIF(FACTURACIÓN!$C$8:$C$1082,A324,FACTURACIÓN!$K$8:$K$1082)</f>
        <v>0</v>
      </c>
      <c r="F324" s="525">
        <f>SUMIF('INGRESOS A CAJA'!$C$10:$C$954,A324,'INGRESOS A CAJA'!$F$10:$F$954)+SUMIF(FACTURACIÓN!$C$8:$C$1082,A324,FACTURACIÓN!$M$8:$M$1082)++SUMIF('CARTERA años anteriores'!$C$9:$C$234,A324,'CARTERA años anteriores'!$M$9:$M$234)</f>
        <v>0</v>
      </c>
      <c r="G324" s="525">
        <f>SUMIF('EGRESOS DE CAJA'!$C$10:$C$2251,A324,'EGRESOS DE CAJA'!$G$10:$G$2251)</f>
        <v>0</v>
      </c>
      <c r="H324" s="512">
        <f t="shared" si="9"/>
        <v>0</v>
      </c>
      <c r="I324" s="512">
        <f t="shared" si="11"/>
        <v>0</v>
      </c>
      <c r="J324" s="557"/>
      <c r="K324" s="629"/>
    </row>
    <row r="325" spans="1:11" ht="15" x14ac:dyDescent="0.2">
      <c r="A325" s="560">
        <v>317</v>
      </c>
      <c r="B325" s="511" t="str">
        <f>_xlfn.XLOOKUP(A325,Códigos!$A$11:$A$415,Códigos!$B$11:$B$415,"Verificar",0)</f>
        <v>NOMBRE 305</v>
      </c>
      <c r="C325" s="525">
        <f>SUMIF('CARTERA años anteriores'!$C$9:$C$234,A325,'CARTERA años anteriores'!$J$9:$J$234)</f>
        <v>0</v>
      </c>
      <c r="D325" s="525">
        <f>SUMIF('CARTERA años anteriores'!$C$9:$C$234,A325,'CARTERA años anteriores'!$L$9:$L$234)</f>
        <v>0</v>
      </c>
      <c r="E325" s="525">
        <f>SUMIF(FACTURACIÓN!$C$8:$C$1082,A325,FACTURACIÓN!$K$8:$K$1082)</f>
        <v>920000</v>
      </c>
      <c r="F325" s="525">
        <f>SUMIF('INGRESOS A CAJA'!$C$10:$C$954,A325,'INGRESOS A CAJA'!$F$10:$F$954)+SUMIF(FACTURACIÓN!$C$8:$C$1082,A325,FACTURACIÓN!$M$8:$M$1082)++SUMIF('CARTERA años anteriores'!$C$9:$C$234,A325,'CARTERA años anteriores'!$M$9:$M$234)</f>
        <v>0</v>
      </c>
      <c r="G325" s="525">
        <f>SUMIF('EGRESOS DE CAJA'!$C$10:$C$2251,A325,'EGRESOS DE CAJA'!$G$10:$G$2251)</f>
        <v>0</v>
      </c>
      <c r="H325" s="512">
        <f t="shared" si="9"/>
        <v>920000</v>
      </c>
      <c r="I325" s="512">
        <f t="shared" si="11"/>
        <v>0</v>
      </c>
      <c r="J325" s="557"/>
      <c r="K325" s="629"/>
    </row>
    <row r="326" spans="1:11" ht="15" x14ac:dyDescent="0.2">
      <c r="A326" s="560">
        <v>318</v>
      </c>
      <c r="B326" s="511" t="str">
        <f>_xlfn.XLOOKUP(A326,Códigos!$A$11:$A$415,Códigos!$B$11:$B$415,"Verificar",0)</f>
        <v>NOMBRE 172</v>
      </c>
      <c r="C326" s="525">
        <f>SUMIF('CARTERA años anteriores'!$C$9:$C$234,A326,'CARTERA años anteriores'!$J$9:$J$234)</f>
        <v>0</v>
      </c>
      <c r="D326" s="525">
        <f>SUMIF('CARTERA años anteriores'!$C$9:$C$234,A326,'CARTERA años anteriores'!$L$9:$L$234)</f>
        <v>0</v>
      </c>
      <c r="E326" s="525">
        <f>SUMIF(FACTURACIÓN!$C$8:$C$1082,A326,FACTURACIÓN!$K$8:$K$1082)</f>
        <v>0</v>
      </c>
      <c r="F326" s="525">
        <f>SUMIF('INGRESOS A CAJA'!$C$10:$C$954,A326,'INGRESOS A CAJA'!$F$10:$F$954)+SUMIF(FACTURACIÓN!$C$8:$C$1082,A326,FACTURACIÓN!$M$8:$M$1082)++SUMIF('CARTERA años anteriores'!$C$9:$C$234,A326,'CARTERA años anteriores'!$M$9:$M$234)</f>
        <v>0</v>
      </c>
      <c r="G326" s="525">
        <f>SUMIF('EGRESOS DE CAJA'!$C$10:$C$2251,A326,'EGRESOS DE CAJA'!$G$10:$G$2251)</f>
        <v>0</v>
      </c>
      <c r="H326" s="512">
        <f t="shared" si="9"/>
        <v>0</v>
      </c>
      <c r="I326" s="512">
        <f t="shared" si="11"/>
        <v>0</v>
      </c>
      <c r="J326" s="557"/>
      <c r="K326" s="629"/>
    </row>
    <row r="327" spans="1:11" ht="15" x14ac:dyDescent="0.2">
      <c r="A327" s="560">
        <v>319</v>
      </c>
      <c r="B327" s="511" t="str">
        <f>_xlfn.XLOOKUP(A327,Códigos!$A$11:$A$415,Códigos!$B$11:$B$415,"Verificar",0)</f>
        <v>NOMBRE 309</v>
      </c>
      <c r="C327" s="525">
        <f>SUMIF('CARTERA años anteriores'!$C$9:$C$234,A327,'CARTERA años anteriores'!$J$9:$J$234)</f>
        <v>0</v>
      </c>
      <c r="D327" s="525">
        <f>SUMIF('CARTERA años anteriores'!$C$9:$C$234,A327,'CARTERA años anteriores'!$L$9:$L$234)</f>
        <v>0</v>
      </c>
      <c r="E327" s="525">
        <f>SUMIF(FACTURACIÓN!$C$8:$C$1082,A327,FACTURACIÓN!$K$8:$K$1082)</f>
        <v>0</v>
      </c>
      <c r="F327" s="525">
        <f>SUMIF('INGRESOS A CAJA'!$C$10:$C$954,A327,'INGRESOS A CAJA'!$F$10:$F$954)+SUMIF(FACTURACIÓN!$C$8:$C$1082,A327,FACTURACIÓN!$M$8:$M$1082)++SUMIF('CARTERA años anteriores'!$C$9:$C$234,A327,'CARTERA años anteriores'!$M$9:$M$234)</f>
        <v>0</v>
      </c>
      <c r="G327" s="525">
        <f>SUMIF('EGRESOS DE CAJA'!$C$10:$C$2251,A327,'EGRESOS DE CAJA'!$G$10:$G$2251)</f>
        <v>0</v>
      </c>
      <c r="H327" s="512">
        <f t="shared" si="9"/>
        <v>0</v>
      </c>
      <c r="I327" s="512">
        <f t="shared" si="11"/>
        <v>0</v>
      </c>
      <c r="J327" s="557"/>
      <c r="K327" s="629"/>
    </row>
    <row r="328" spans="1:11" ht="15" x14ac:dyDescent="0.2">
      <c r="A328" s="560">
        <v>320</v>
      </c>
      <c r="B328" s="511" t="str">
        <f>_xlfn.XLOOKUP(A328,Códigos!$A$11:$A$415,Códigos!$B$11:$B$415,"Verificar",0)</f>
        <v>NOMBRE 242</v>
      </c>
      <c r="C328" s="525">
        <f>SUMIF('CARTERA años anteriores'!$C$9:$C$234,A328,'CARTERA años anteriores'!$J$9:$J$234)</f>
        <v>0</v>
      </c>
      <c r="D328" s="525">
        <f>SUMIF('CARTERA años anteriores'!$C$9:$C$234,A328,'CARTERA años anteriores'!$L$9:$L$234)</f>
        <v>0</v>
      </c>
      <c r="E328" s="525">
        <f>SUMIF(FACTURACIÓN!$C$8:$C$1082,A328,FACTURACIÓN!$K$8:$K$1082)</f>
        <v>0</v>
      </c>
      <c r="F328" s="525">
        <f>SUMIF('INGRESOS A CAJA'!$C$10:$C$954,A328,'INGRESOS A CAJA'!$F$10:$F$954)+SUMIF(FACTURACIÓN!$C$8:$C$1082,A328,FACTURACIÓN!$M$8:$M$1082)++SUMIF('CARTERA años anteriores'!$C$9:$C$234,A328,'CARTERA años anteriores'!$M$9:$M$234)</f>
        <v>0</v>
      </c>
      <c r="G328" s="525">
        <f>SUMIF('EGRESOS DE CAJA'!$C$10:$C$2251,A328,'EGRESOS DE CAJA'!$G$10:$G$2251)</f>
        <v>0</v>
      </c>
      <c r="H328" s="512">
        <f t="shared" si="9"/>
        <v>0</v>
      </c>
      <c r="I328" s="512">
        <f t="shared" si="11"/>
        <v>0</v>
      </c>
      <c r="J328" s="557"/>
      <c r="K328" s="629"/>
    </row>
    <row r="329" spans="1:11" ht="15" x14ac:dyDescent="0.2">
      <c r="A329" s="560">
        <v>321</v>
      </c>
      <c r="B329" s="511" t="str">
        <f>_xlfn.XLOOKUP(A329,Códigos!$A$11:$A$415,Códigos!$B$11:$B$415,"Verificar",0)</f>
        <v>NOMBRE 256</v>
      </c>
      <c r="C329" s="525">
        <f>SUMIF('CARTERA años anteriores'!$C$9:$C$234,A329,'CARTERA años anteriores'!$J$9:$J$234)</f>
        <v>0</v>
      </c>
      <c r="D329" s="525">
        <f>SUMIF('CARTERA años anteriores'!$C$9:$C$234,A329,'CARTERA años anteriores'!$L$9:$L$234)</f>
        <v>0</v>
      </c>
      <c r="E329" s="525">
        <f>SUMIF(FACTURACIÓN!$C$8:$C$1082,A329,FACTURACIÓN!$K$8:$K$1082)</f>
        <v>0</v>
      </c>
      <c r="F329" s="525">
        <f>SUMIF('INGRESOS A CAJA'!$C$10:$C$954,A329,'INGRESOS A CAJA'!$F$10:$F$954)+SUMIF(FACTURACIÓN!$C$8:$C$1082,A329,FACTURACIÓN!$M$8:$M$1082)++SUMIF('CARTERA años anteriores'!$C$9:$C$234,A329,'CARTERA años anteriores'!$M$9:$M$234)</f>
        <v>0</v>
      </c>
      <c r="G329" s="525">
        <f>SUMIF('EGRESOS DE CAJA'!$C$10:$C$2251,A329,'EGRESOS DE CAJA'!$G$10:$G$2251)</f>
        <v>0</v>
      </c>
      <c r="H329" s="512">
        <f t="shared" si="9"/>
        <v>0</v>
      </c>
      <c r="I329" s="512">
        <f t="shared" si="11"/>
        <v>0</v>
      </c>
      <c r="J329" s="557"/>
      <c r="K329" s="629"/>
    </row>
    <row r="330" spans="1:11" ht="15" x14ac:dyDescent="0.2">
      <c r="A330" s="560">
        <v>322</v>
      </c>
      <c r="B330" s="511" t="str">
        <f>_xlfn.XLOOKUP(A330,Códigos!$A$11:$A$415,Códigos!$B$11:$B$415,"Verificar",0)</f>
        <v>NOMBRE 37</v>
      </c>
      <c r="C330" s="525">
        <f>SUMIF('CARTERA años anteriores'!$C$9:$C$234,A330,'CARTERA años anteriores'!$J$9:$J$234)</f>
        <v>320000</v>
      </c>
      <c r="D330" s="525">
        <f>SUMIF('CARTERA años anteriores'!$C$9:$C$234,A330,'CARTERA años anteriores'!$L$9:$L$234)</f>
        <v>320000</v>
      </c>
      <c r="E330" s="525">
        <f>SUMIF(FACTURACIÓN!$C$8:$C$1082,A330,FACTURACIÓN!$K$8:$K$1082)</f>
        <v>0</v>
      </c>
      <c r="F330" s="525">
        <f>SUMIF('INGRESOS A CAJA'!$C$10:$C$954,A330,'INGRESOS A CAJA'!$F$10:$F$954)+SUMIF(FACTURACIÓN!$C$8:$C$1082,A330,FACTURACIÓN!$M$8:$M$1082)++SUMIF('CARTERA años anteriores'!$C$9:$C$234,A330,'CARTERA años anteriores'!$M$9:$M$234)</f>
        <v>320000</v>
      </c>
      <c r="G330" s="525">
        <f>SUMIF('EGRESOS DE CAJA'!$C$10:$C$2251,A330,'EGRESOS DE CAJA'!$G$10:$G$2251)</f>
        <v>0</v>
      </c>
      <c r="H330" s="512">
        <f t="shared" si="9"/>
        <v>0</v>
      </c>
      <c r="I330" s="512">
        <f t="shared" si="11"/>
        <v>-320000</v>
      </c>
      <c r="J330" s="557"/>
      <c r="K330" s="629"/>
    </row>
    <row r="331" spans="1:11" ht="15" x14ac:dyDescent="0.2">
      <c r="A331" s="560">
        <v>323</v>
      </c>
      <c r="B331" s="511" t="str">
        <f>_xlfn.XLOOKUP(A331,Códigos!$A$11:$A$415,Códigos!$B$11:$B$415,"Verificar",0)</f>
        <v>NOMBRE 278</v>
      </c>
      <c r="C331" s="525">
        <f>SUMIF('CARTERA años anteriores'!$C$9:$C$234,A331,'CARTERA años anteriores'!$J$9:$J$234)</f>
        <v>0</v>
      </c>
      <c r="D331" s="525">
        <f>SUMIF('CARTERA años anteriores'!$C$9:$C$234,A331,'CARTERA años anteriores'!$L$9:$L$234)</f>
        <v>0</v>
      </c>
      <c r="E331" s="525">
        <f>SUMIF(FACTURACIÓN!$C$8:$C$1082,A331,FACTURACIÓN!$K$8:$K$1082)</f>
        <v>0</v>
      </c>
      <c r="F331" s="525">
        <f>SUMIF('INGRESOS A CAJA'!$C$10:$C$954,A331,'INGRESOS A CAJA'!$F$10:$F$954)+SUMIF(FACTURACIÓN!$C$8:$C$1082,A331,FACTURACIÓN!$M$8:$M$1082)++SUMIF('CARTERA años anteriores'!$C$9:$C$234,A331,'CARTERA años anteriores'!$M$9:$M$234)</f>
        <v>0</v>
      </c>
      <c r="G331" s="525">
        <f>SUMIF('EGRESOS DE CAJA'!$C$10:$C$2251,A331,'EGRESOS DE CAJA'!$G$10:$G$2251)</f>
        <v>0</v>
      </c>
      <c r="H331" s="512">
        <f t="shared" si="9"/>
        <v>0</v>
      </c>
      <c r="I331" s="512">
        <f t="shared" si="11"/>
        <v>0</v>
      </c>
      <c r="J331" s="557"/>
      <c r="K331" s="629"/>
    </row>
    <row r="332" spans="1:11" ht="15" x14ac:dyDescent="0.2">
      <c r="A332" s="560">
        <v>324</v>
      </c>
      <c r="B332" s="511" t="str">
        <f>_xlfn.XLOOKUP(A332,Códigos!$A$11:$A$415,Códigos!$B$11:$B$415,"Verificar",0)</f>
        <v>NOMBRE 71</v>
      </c>
      <c r="C332" s="525">
        <f>SUMIF('CARTERA años anteriores'!$C$9:$C$234,A332,'CARTERA años anteriores'!$J$9:$J$234)</f>
        <v>0</v>
      </c>
      <c r="D332" s="525">
        <f>SUMIF('CARTERA años anteriores'!$C$9:$C$234,A332,'CARTERA años anteriores'!$L$9:$L$234)</f>
        <v>0</v>
      </c>
      <c r="E332" s="525">
        <f>SUMIF(FACTURACIÓN!$C$8:$C$1082,A332,FACTURACIÓN!$K$8:$K$1082)</f>
        <v>0</v>
      </c>
      <c r="F332" s="525">
        <f>SUMIF('INGRESOS A CAJA'!$C$10:$C$954,A332,'INGRESOS A CAJA'!$F$10:$F$954)+SUMIF(FACTURACIÓN!$C$8:$C$1082,A332,FACTURACIÓN!$M$8:$M$1082)++SUMIF('CARTERA años anteriores'!$C$9:$C$234,A332,'CARTERA años anteriores'!$M$9:$M$234)</f>
        <v>0</v>
      </c>
      <c r="G332" s="525">
        <f>SUMIF('EGRESOS DE CAJA'!$C$10:$C$2251,A332,'EGRESOS DE CAJA'!$G$10:$G$2251)</f>
        <v>0</v>
      </c>
      <c r="H332" s="512">
        <f t="shared" si="9"/>
        <v>0</v>
      </c>
      <c r="I332" s="512">
        <f t="shared" si="11"/>
        <v>0</v>
      </c>
      <c r="J332" s="557"/>
      <c r="K332" s="629"/>
    </row>
    <row r="333" spans="1:11" ht="15" x14ac:dyDescent="0.2">
      <c r="A333" s="560">
        <v>325</v>
      </c>
      <c r="B333" s="511" t="str">
        <f>_xlfn.XLOOKUP(A333,Códigos!$A$11:$A$415,Códigos!$B$11:$B$415,"Verificar",0)</f>
        <v>NOMBRE 179</v>
      </c>
      <c r="C333" s="525">
        <f>SUMIF('CARTERA años anteriores'!$C$9:$C$234,A333,'CARTERA años anteriores'!$J$9:$J$234)</f>
        <v>0</v>
      </c>
      <c r="D333" s="525">
        <f>SUMIF('CARTERA años anteriores'!$C$9:$C$234,A333,'CARTERA años anteriores'!$L$9:$L$234)</f>
        <v>0</v>
      </c>
      <c r="E333" s="525">
        <f>SUMIF(FACTURACIÓN!$C$8:$C$1082,A333,FACTURACIÓN!$K$8:$K$1082)</f>
        <v>0</v>
      </c>
      <c r="F333" s="525">
        <f>SUMIF('INGRESOS A CAJA'!$C$10:$C$954,A333,'INGRESOS A CAJA'!$F$10:$F$954)+SUMIF(FACTURACIÓN!$C$8:$C$1082,A333,FACTURACIÓN!$M$8:$M$1082)++SUMIF('CARTERA años anteriores'!$C$9:$C$234,A333,'CARTERA años anteriores'!$M$9:$M$234)</f>
        <v>0</v>
      </c>
      <c r="G333" s="525">
        <f>SUMIF('EGRESOS DE CAJA'!$C$10:$C$2251,A333,'EGRESOS DE CAJA'!$G$10:$G$2251)</f>
        <v>0</v>
      </c>
      <c r="H333" s="512">
        <f t="shared" si="9"/>
        <v>0</v>
      </c>
      <c r="I333" s="512">
        <f t="shared" si="11"/>
        <v>0</v>
      </c>
      <c r="J333" s="557"/>
      <c r="K333" s="630"/>
    </row>
    <row r="334" spans="1:11" ht="15" x14ac:dyDescent="0.2">
      <c r="A334" s="560">
        <v>326</v>
      </c>
      <c r="B334" s="511" t="str">
        <f>_xlfn.XLOOKUP(A334,Códigos!$A$11:$A$415,Códigos!$B$11:$B$415,"Verificar",0)</f>
        <v>NOMBRE 297</v>
      </c>
      <c r="C334" s="525">
        <f>SUMIF('CARTERA años anteriores'!$C$9:$C$234,A334,'CARTERA años anteriores'!$J$9:$J$234)</f>
        <v>0</v>
      </c>
      <c r="D334" s="525">
        <f>SUMIF('CARTERA años anteriores'!$C$9:$C$234,A334,'CARTERA años anteriores'!$L$9:$L$234)</f>
        <v>0</v>
      </c>
      <c r="E334" s="525">
        <f>SUMIF(FACTURACIÓN!$C$8:$C$1082,A334,FACTURACIÓN!$K$8:$K$1082)</f>
        <v>0</v>
      </c>
      <c r="F334" s="525">
        <f>SUMIF('INGRESOS A CAJA'!$C$10:$C$954,A334,'INGRESOS A CAJA'!$F$10:$F$954)+SUMIF(FACTURACIÓN!$C$8:$C$1082,A334,FACTURACIÓN!$M$8:$M$1082)++SUMIF('CARTERA años anteriores'!$C$9:$C$234,A334,'CARTERA años anteriores'!$M$9:$M$234)</f>
        <v>0</v>
      </c>
      <c r="G334" s="525">
        <f>SUMIF('EGRESOS DE CAJA'!$C$10:$C$2251,A334,'EGRESOS DE CAJA'!$G$10:$G$2251)</f>
        <v>0</v>
      </c>
      <c r="H334" s="512">
        <f t="shared" si="9"/>
        <v>0</v>
      </c>
      <c r="I334" s="512">
        <f t="shared" si="11"/>
        <v>0</v>
      </c>
      <c r="J334" s="557"/>
      <c r="K334" s="629"/>
    </row>
    <row r="335" spans="1:11" ht="15" x14ac:dyDescent="0.2">
      <c r="A335" s="560">
        <v>327</v>
      </c>
      <c r="B335" s="511" t="str">
        <f>_xlfn.XLOOKUP(A335,Códigos!$A$11:$A$415,Códigos!$B$11:$B$415,"Verificar",0)</f>
        <v>NOMBRE 320</v>
      </c>
      <c r="C335" s="525">
        <f>SUMIF('CARTERA años anteriores'!$C$9:$C$234,A335,'CARTERA años anteriores'!$J$9:$J$234)</f>
        <v>0</v>
      </c>
      <c r="D335" s="525">
        <f>SUMIF('CARTERA años anteriores'!$C$9:$C$234,A335,'CARTERA años anteriores'!$L$9:$L$234)</f>
        <v>0</v>
      </c>
      <c r="E335" s="525">
        <f>SUMIF(FACTURACIÓN!$C$8:$C$1082,A335,FACTURACIÓN!$K$8:$K$1082)</f>
        <v>0</v>
      </c>
      <c r="F335" s="525">
        <f>SUMIF('INGRESOS A CAJA'!$C$10:$C$954,A335,'INGRESOS A CAJA'!$F$10:$F$954)+SUMIF(FACTURACIÓN!$C$8:$C$1082,A335,FACTURACIÓN!$M$8:$M$1082)++SUMIF('CARTERA años anteriores'!$C$9:$C$234,A335,'CARTERA años anteriores'!$M$9:$M$234)</f>
        <v>0</v>
      </c>
      <c r="G335" s="525">
        <f>SUMIF('EGRESOS DE CAJA'!$C$10:$C$2251,A335,'EGRESOS DE CAJA'!$G$10:$G$2251)</f>
        <v>0</v>
      </c>
      <c r="H335" s="512">
        <f t="shared" ref="H335:H360" si="12">IF((+C335-D335*0+E335-F335+G335)&gt;0,(+C335-D335*0+E335-F335+G335),0)</f>
        <v>0</v>
      </c>
      <c r="I335" s="512">
        <f t="shared" si="11"/>
        <v>0</v>
      </c>
      <c r="J335" s="557"/>
      <c r="K335" s="629"/>
    </row>
    <row r="336" spans="1:11" ht="15" x14ac:dyDescent="0.2">
      <c r="A336" s="560">
        <v>328</v>
      </c>
      <c r="B336" s="511" t="str">
        <f>_xlfn.XLOOKUP(A336,Códigos!$A$11:$A$415,Códigos!$B$11:$B$415,"Verificar",0)</f>
        <v>NOMBRE 265</v>
      </c>
      <c r="C336" s="525">
        <f>SUMIF('CARTERA años anteriores'!$C$9:$C$234,A336,'CARTERA años anteriores'!$J$9:$J$234)</f>
        <v>0</v>
      </c>
      <c r="D336" s="525">
        <f>SUMIF('CARTERA años anteriores'!$C$9:$C$234,A336,'CARTERA años anteriores'!$L$9:$L$234)</f>
        <v>0</v>
      </c>
      <c r="E336" s="525">
        <f>SUMIF(FACTURACIÓN!$C$8:$C$1082,A336,FACTURACIÓN!$K$8:$K$1082)</f>
        <v>0</v>
      </c>
      <c r="F336" s="525">
        <f>SUMIF('INGRESOS A CAJA'!$C$10:$C$954,A336,'INGRESOS A CAJA'!$F$10:$F$954)+SUMIF(FACTURACIÓN!$C$8:$C$1082,A336,FACTURACIÓN!$M$8:$M$1082)++SUMIF('CARTERA años anteriores'!$C$9:$C$234,A336,'CARTERA años anteriores'!$M$9:$M$234)</f>
        <v>0</v>
      </c>
      <c r="G336" s="525">
        <f>SUMIF('EGRESOS DE CAJA'!$C$10:$C$2251,A336,'EGRESOS DE CAJA'!$G$10:$G$2251)</f>
        <v>0</v>
      </c>
      <c r="H336" s="512">
        <f t="shared" si="12"/>
        <v>0</v>
      </c>
      <c r="I336" s="512">
        <f t="shared" si="11"/>
        <v>0</v>
      </c>
      <c r="J336" s="557"/>
      <c r="K336" s="629"/>
    </row>
    <row r="337" spans="1:11" ht="15" x14ac:dyDescent="0.2">
      <c r="A337" s="560">
        <v>329</v>
      </c>
      <c r="B337" s="511" t="str">
        <f>_xlfn.XLOOKUP(A337,Códigos!$A$11:$A$415,Códigos!$B$11:$B$415,"Verificar",0)</f>
        <v>NOMBRE 85</v>
      </c>
      <c r="C337" s="525">
        <f>SUMIF('CARTERA años anteriores'!$C$9:$C$234,A337,'CARTERA años anteriores'!$J$9:$J$234)</f>
        <v>0</v>
      </c>
      <c r="D337" s="525">
        <f>SUMIF('CARTERA años anteriores'!$C$9:$C$234,A337,'CARTERA años anteriores'!$L$9:$L$234)</f>
        <v>0</v>
      </c>
      <c r="E337" s="525">
        <f>SUMIF(FACTURACIÓN!$C$8:$C$1082,A337,FACTURACIÓN!$K$8:$K$1082)</f>
        <v>330000</v>
      </c>
      <c r="F337" s="525">
        <f>SUMIF('INGRESOS A CAJA'!$C$10:$C$954,A337,'INGRESOS A CAJA'!$F$10:$F$954)+SUMIF(FACTURACIÓN!$C$8:$C$1082,A337,FACTURACIÓN!$M$8:$M$1082)++SUMIF('CARTERA años anteriores'!$C$9:$C$234,A337,'CARTERA años anteriores'!$M$9:$M$234)</f>
        <v>0</v>
      </c>
      <c r="G337" s="525">
        <f>SUMIF('EGRESOS DE CAJA'!$C$10:$C$2251,A337,'EGRESOS DE CAJA'!$G$10:$G$2251)</f>
        <v>0</v>
      </c>
      <c r="H337" s="512">
        <f t="shared" si="12"/>
        <v>330000</v>
      </c>
      <c r="I337" s="512">
        <f t="shared" si="11"/>
        <v>0</v>
      </c>
      <c r="J337" s="557"/>
      <c r="K337" s="629"/>
    </row>
    <row r="338" spans="1:11" ht="15" x14ac:dyDescent="0.2">
      <c r="A338" s="560">
        <v>330</v>
      </c>
      <c r="B338" s="511" t="str">
        <f>_xlfn.XLOOKUP(A338,Códigos!$A$11:$A$415,Códigos!$B$11:$B$415,"Verificar",0)</f>
        <v>NOMBRE 123</v>
      </c>
      <c r="C338" s="525">
        <f>SUMIF('CARTERA años anteriores'!$C$9:$C$234,A338,'CARTERA años anteriores'!$J$9:$J$234)</f>
        <v>0</v>
      </c>
      <c r="D338" s="525">
        <f>SUMIF('CARTERA años anteriores'!$C$9:$C$234,A338,'CARTERA años anteriores'!$L$9:$L$234)</f>
        <v>0</v>
      </c>
      <c r="E338" s="525">
        <f>SUMIF(FACTURACIÓN!$C$8:$C$1082,A338,FACTURACIÓN!$K$8:$K$1082)</f>
        <v>1050000</v>
      </c>
      <c r="F338" s="525">
        <f>SUMIF('INGRESOS A CAJA'!$C$10:$C$954,A338,'INGRESOS A CAJA'!$F$10:$F$954)+SUMIF(FACTURACIÓN!$C$8:$C$1082,A338,FACTURACIÓN!$M$8:$M$1082)++SUMIF('CARTERA años anteriores'!$C$9:$C$234,A338,'CARTERA años anteriores'!$M$9:$M$234)</f>
        <v>0</v>
      </c>
      <c r="G338" s="525">
        <f>SUMIF('EGRESOS DE CAJA'!$C$10:$C$2251,A338,'EGRESOS DE CAJA'!$G$10:$G$2251)</f>
        <v>0</v>
      </c>
      <c r="H338" s="512">
        <f t="shared" si="12"/>
        <v>1050000</v>
      </c>
      <c r="I338" s="512">
        <f t="shared" si="11"/>
        <v>0</v>
      </c>
      <c r="J338" s="557"/>
      <c r="K338" s="629"/>
    </row>
    <row r="339" spans="1:11" ht="15" x14ac:dyDescent="0.2">
      <c r="A339" s="560">
        <v>331</v>
      </c>
      <c r="B339" s="511" t="str">
        <f>_xlfn.XLOOKUP(A339,Códigos!$A$11:$A$415,Códigos!$B$11:$B$415,"Verificar",0)</f>
        <v>NOMBRE 147</v>
      </c>
      <c r="C339" s="525">
        <f>SUMIF('CARTERA años anteriores'!$C$9:$C$234,A339,'CARTERA años anteriores'!$J$9:$J$234)</f>
        <v>0</v>
      </c>
      <c r="D339" s="525">
        <f>SUMIF('CARTERA años anteriores'!$C$9:$C$234,A339,'CARTERA años anteriores'!$L$9:$L$234)</f>
        <v>0</v>
      </c>
      <c r="E339" s="525">
        <f>SUMIF(FACTURACIÓN!$C$8:$C$1082,A339,FACTURACIÓN!$K$8:$K$1082)</f>
        <v>1050000</v>
      </c>
      <c r="F339" s="525">
        <f>SUMIF('INGRESOS A CAJA'!$C$10:$C$954,A339,'INGRESOS A CAJA'!$F$10:$F$954)+SUMIF(FACTURACIÓN!$C$8:$C$1082,A339,FACTURACIÓN!$M$8:$M$1082)++SUMIF('CARTERA años anteriores'!$C$9:$C$234,A339,'CARTERA años anteriores'!$M$9:$M$234)</f>
        <v>0</v>
      </c>
      <c r="G339" s="525">
        <f>SUMIF('EGRESOS DE CAJA'!$C$10:$C$2251,A339,'EGRESOS DE CAJA'!$G$10:$G$2251)</f>
        <v>0</v>
      </c>
      <c r="H339" s="512">
        <f t="shared" si="12"/>
        <v>1050000</v>
      </c>
      <c r="I339" s="512">
        <f t="shared" si="11"/>
        <v>0</v>
      </c>
      <c r="J339" s="557"/>
      <c r="K339" s="629"/>
    </row>
    <row r="340" spans="1:11" ht="15" x14ac:dyDescent="0.2">
      <c r="A340" s="560">
        <v>332</v>
      </c>
      <c r="B340" s="511" t="str">
        <f>_xlfn.XLOOKUP(A340,Códigos!$A$11:$A$415,Códigos!$B$11:$B$415,"Verificar",0)</f>
        <v>NOMBRE 295</v>
      </c>
      <c r="C340" s="525">
        <f>SUMIF('CARTERA años anteriores'!$C$9:$C$234,A340,'CARTERA años anteriores'!$J$9:$J$234)</f>
        <v>0</v>
      </c>
      <c r="D340" s="525">
        <f>SUMIF('CARTERA años anteriores'!$C$9:$C$234,A340,'CARTERA años anteriores'!$L$9:$L$234)</f>
        <v>0</v>
      </c>
      <c r="E340" s="525">
        <f>SUMIF(FACTURACIÓN!$C$8:$C$1082,A340,FACTURACIÓN!$K$8:$K$1082)</f>
        <v>0</v>
      </c>
      <c r="F340" s="525">
        <f>SUMIF('INGRESOS A CAJA'!$C$10:$C$954,A340,'INGRESOS A CAJA'!$F$10:$F$954)+SUMIF(FACTURACIÓN!$C$8:$C$1082,A340,FACTURACIÓN!$M$8:$M$1082)++SUMIF('CARTERA años anteriores'!$C$9:$C$234,A340,'CARTERA años anteriores'!$M$9:$M$234)</f>
        <v>0</v>
      </c>
      <c r="G340" s="525">
        <f>SUMIF('EGRESOS DE CAJA'!$C$10:$C$2251,A340,'EGRESOS DE CAJA'!$G$10:$G$2251)</f>
        <v>0</v>
      </c>
      <c r="H340" s="512">
        <f t="shared" si="12"/>
        <v>0</v>
      </c>
      <c r="I340" s="512">
        <f t="shared" si="11"/>
        <v>0</v>
      </c>
      <c r="J340" s="557"/>
      <c r="K340" s="629"/>
    </row>
    <row r="341" spans="1:11" ht="15" x14ac:dyDescent="0.2">
      <c r="A341" s="560">
        <v>333</v>
      </c>
      <c r="B341" s="511" t="str">
        <f>_xlfn.XLOOKUP(A341,Códigos!$A$11:$A$415,Códigos!$B$11:$B$415,"Verificar",0)</f>
        <v>NOMBRE 203</v>
      </c>
      <c r="C341" s="525">
        <f>SUMIF('CARTERA años anteriores'!$C$9:$C$234,A341,'CARTERA años anteriores'!$J$9:$J$234)</f>
        <v>0</v>
      </c>
      <c r="D341" s="525">
        <f>SUMIF('CARTERA años anteriores'!$C$9:$C$234,A341,'CARTERA años anteriores'!$L$9:$L$234)</f>
        <v>0</v>
      </c>
      <c r="E341" s="525">
        <f>SUMIF(FACTURACIÓN!$C$8:$C$1082,A341,FACTURACIÓN!$K$8:$K$1082)</f>
        <v>160000</v>
      </c>
      <c r="F341" s="525">
        <f>SUMIF('INGRESOS A CAJA'!$C$10:$C$954,A341,'INGRESOS A CAJA'!$F$10:$F$954)+SUMIF(FACTURACIÓN!$C$8:$C$1082,A341,FACTURACIÓN!$M$8:$M$1082)++SUMIF('CARTERA años anteriores'!$C$9:$C$234,A341,'CARTERA años anteriores'!$M$9:$M$234)</f>
        <v>0</v>
      </c>
      <c r="G341" s="525">
        <f>SUMIF('EGRESOS DE CAJA'!$C$10:$C$2251,A341,'EGRESOS DE CAJA'!$G$10:$G$2251)</f>
        <v>0</v>
      </c>
      <c r="H341" s="512">
        <f t="shared" si="12"/>
        <v>160000</v>
      </c>
      <c r="I341" s="512">
        <f t="shared" si="11"/>
        <v>0</v>
      </c>
      <c r="J341" s="557"/>
      <c r="K341" s="629"/>
    </row>
    <row r="342" spans="1:11" ht="15" x14ac:dyDescent="0.2">
      <c r="A342" s="560">
        <v>334</v>
      </c>
      <c r="B342" s="511" t="str">
        <f>_xlfn.XLOOKUP(A342,Códigos!$A$11:$A$415,Códigos!$B$11:$B$415,"Verificar",0)</f>
        <v>NOMBRE 263</v>
      </c>
      <c r="C342" s="525">
        <f>SUMIF('CARTERA años anteriores'!$C$9:$C$234,A342,'CARTERA años anteriores'!$J$9:$J$234)</f>
        <v>0</v>
      </c>
      <c r="D342" s="525">
        <f>SUMIF('CARTERA años anteriores'!$C$9:$C$234,A342,'CARTERA años anteriores'!$L$9:$L$234)</f>
        <v>0</v>
      </c>
      <c r="E342" s="525">
        <f>SUMIF(FACTURACIÓN!$C$8:$C$1082,A342,FACTURACIÓN!$K$8:$K$1082)</f>
        <v>240000</v>
      </c>
      <c r="F342" s="525">
        <f>SUMIF('INGRESOS A CAJA'!$C$10:$C$954,A342,'INGRESOS A CAJA'!$F$10:$F$954)+SUMIF(FACTURACIÓN!$C$8:$C$1082,A342,FACTURACIÓN!$M$8:$M$1082)++SUMIF('CARTERA años anteriores'!$C$9:$C$234,A342,'CARTERA años anteriores'!$M$9:$M$234)</f>
        <v>0</v>
      </c>
      <c r="G342" s="525">
        <f>SUMIF('EGRESOS DE CAJA'!$C$10:$C$2251,A342,'EGRESOS DE CAJA'!$G$10:$G$2251)</f>
        <v>0</v>
      </c>
      <c r="H342" s="512">
        <f t="shared" si="12"/>
        <v>240000</v>
      </c>
      <c r="I342" s="512">
        <f t="shared" si="11"/>
        <v>0</v>
      </c>
      <c r="J342" s="557"/>
      <c r="K342" s="629"/>
    </row>
    <row r="343" spans="1:11" ht="15" x14ac:dyDescent="0.2">
      <c r="A343" s="560">
        <v>335</v>
      </c>
      <c r="B343" s="511" t="str">
        <f>_xlfn.XLOOKUP(A343,Códigos!$A$11:$A$415,Códigos!$B$11:$B$415,"Verificar",0)</f>
        <v>NOMBRE 356</v>
      </c>
      <c r="C343" s="525">
        <f>SUMIF('CARTERA años anteriores'!$C$9:$C$234,A343,'CARTERA años anteriores'!$J$9:$J$234)</f>
        <v>0</v>
      </c>
      <c r="D343" s="525">
        <f>SUMIF('CARTERA años anteriores'!$C$9:$C$234,A343,'CARTERA años anteriores'!$L$9:$L$234)</f>
        <v>0</v>
      </c>
      <c r="E343" s="525">
        <f>SUMIF(FACTURACIÓN!$C$8:$C$1082,A343,FACTURACIÓN!$K$8:$K$1082)</f>
        <v>160000</v>
      </c>
      <c r="F343" s="525">
        <f>SUMIF('INGRESOS A CAJA'!$C$10:$C$954,A343,'INGRESOS A CAJA'!$F$10:$F$954)+SUMIF(FACTURACIÓN!$C$8:$C$1082,A343,FACTURACIÓN!$M$8:$M$1082)++SUMIF('CARTERA años anteriores'!$C$9:$C$234,A343,'CARTERA años anteriores'!$M$9:$M$234)</f>
        <v>0</v>
      </c>
      <c r="G343" s="525">
        <f>SUMIF('EGRESOS DE CAJA'!$C$10:$C$2251,A343,'EGRESOS DE CAJA'!$G$10:$G$2251)</f>
        <v>0</v>
      </c>
      <c r="H343" s="512">
        <f t="shared" si="12"/>
        <v>160000</v>
      </c>
      <c r="I343" s="512">
        <f t="shared" si="11"/>
        <v>0</v>
      </c>
      <c r="J343" s="557"/>
      <c r="K343" s="629"/>
    </row>
    <row r="344" spans="1:11" ht="15" x14ac:dyDescent="0.2">
      <c r="A344" s="560">
        <v>336</v>
      </c>
      <c r="B344" s="511" t="str">
        <f>_xlfn.XLOOKUP(A344,Códigos!$A$11:$A$415,Códigos!$B$11:$B$415,"Verificar",0)</f>
        <v>NOMBRE 361</v>
      </c>
      <c r="C344" s="525">
        <f>SUMIF('CARTERA años anteriores'!$C$9:$C$234,A344,'CARTERA años anteriores'!$J$9:$J$234)</f>
        <v>150000</v>
      </c>
      <c r="D344" s="525">
        <f>SUMIF('CARTERA años anteriores'!$C$9:$C$234,A344,'CARTERA años anteriores'!$L$9:$L$234)</f>
        <v>0</v>
      </c>
      <c r="E344" s="525">
        <f>SUMIF(FACTURACIÓN!$C$8:$C$1082,A344,FACTURACIÓN!$K$8:$K$1082)</f>
        <v>0</v>
      </c>
      <c r="F344" s="525">
        <f>SUMIF('INGRESOS A CAJA'!$C$10:$C$954,A344,'INGRESOS A CAJA'!$F$10:$F$954)+SUMIF(FACTURACIÓN!$C$8:$C$1082,A344,FACTURACIÓN!$M$8:$M$1082)++SUMIF('CARTERA años anteriores'!$C$9:$C$234,A344,'CARTERA años anteriores'!$M$9:$M$234)</f>
        <v>0</v>
      </c>
      <c r="G344" s="525">
        <f>SUMIF('EGRESOS DE CAJA'!$C$10:$C$2251,A344,'EGRESOS DE CAJA'!$G$10:$G$2251)</f>
        <v>0</v>
      </c>
      <c r="H344" s="512">
        <f t="shared" si="12"/>
        <v>150000</v>
      </c>
      <c r="I344" s="512">
        <f t="shared" si="11"/>
        <v>0</v>
      </c>
      <c r="J344" s="557"/>
      <c r="K344" s="629"/>
    </row>
    <row r="345" spans="1:11" ht="15" x14ac:dyDescent="0.2">
      <c r="A345" s="560">
        <v>337</v>
      </c>
      <c r="B345" s="511" t="str">
        <f>_xlfn.XLOOKUP(A345,Códigos!$A$11:$A$415,Códigos!$B$11:$B$415,"Verificar",0)</f>
        <v>NOMBRE 163</v>
      </c>
      <c r="C345" s="525">
        <f>SUMIF('CARTERA años anteriores'!$C$9:$C$234,A345,'CARTERA años anteriores'!$J$9:$J$234)</f>
        <v>0</v>
      </c>
      <c r="D345" s="525">
        <f>SUMIF('CARTERA años anteriores'!$C$9:$C$234,A345,'CARTERA años anteriores'!$L$9:$L$234)</f>
        <v>0</v>
      </c>
      <c r="E345" s="525">
        <f>SUMIF(FACTURACIÓN!$C$8:$C$1082,A345,FACTURACIÓN!$K$8:$K$1082)</f>
        <v>0</v>
      </c>
      <c r="F345" s="525">
        <f>SUMIF('INGRESOS A CAJA'!$C$10:$C$954,A345,'INGRESOS A CAJA'!$F$10:$F$954)+SUMIF(FACTURACIÓN!$C$8:$C$1082,A345,FACTURACIÓN!$M$8:$M$1082)++SUMIF('CARTERA años anteriores'!$C$9:$C$234,A345,'CARTERA años anteriores'!$M$9:$M$234)</f>
        <v>0</v>
      </c>
      <c r="G345" s="525">
        <f>SUMIF('EGRESOS DE CAJA'!$C$10:$C$2251,A345,'EGRESOS DE CAJA'!$G$10:$G$2251)</f>
        <v>0</v>
      </c>
      <c r="H345" s="512">
        <f t="shared" si="12"/>
        <v>0</v>
      </c>
      <c r="I345" s="512">
        <f t="shared" si="11"/>
        <v>0</v>
      </c>
      <c r="J345" s="557"/>
      <c r="K345" s="629"/>
    </row>
    <row r="346" spans="1:11" ht="15" x14ac:dyDescent="0.2">
      <c r="A346" s="560">
        <v>338</v>
      </c>
      <c r="B346" s="511" t="str">
        <f>_xlfn.XLOOKUP(A346,Códigos!$A$11:$A$415,Códigos!$B$11:$B$415,"Verificar",0)</f>
        <v>NOMBRE 69</v>
      </c>
      <c r="C346" s="525">
        <f>SUMIF('CARTERA años anteriores'!$C$9:$C$234,A346,'CARTERA años anteriores'!$J$9:$J$234)</f>
        <v>0</v>
      </c>
      <c r="D346" s="525">
        <f>SUMIF('CARTERA años anteriores'!$C$9:$C$234,A346,'CARTERA años anteriores'!$L$9:$L$234)</f>
        <v>0</v>
      </c>
      <c r="E346" s="525">
        <f>SUMIF(FACTURACIÓN!$C$8:$C$1082,A346,FACTURACIÓN!$K$8:$K$1082)</f>
        <v>550000</v>
      </c>
      <c r="F346" s="525">
        <f>SUMIF('INGRESOS A CAJA'!$C$10:$C$954,A346,'INGRESOS A CAJA'!$F$10:$F$954)+SUMIF(FACTURACIÓN!$C$8:$C$1082,A346,FACTURACIÓN!$M$8:$M$1082)++SUMIF('CARTERA años anteriores'!$C$9:$C$234,A346,'CARTERA años anteriores'!$M$9:$M$234)</f>
        <v>5000000</v>
      </c>
      <c r="G346" s="525">
        <f>SUMIF('EGRESOS DE CAJA'!$C$10:$C$2251,A346,'EGRESOS DE CAJA'!$G$10:$G$2251)</f>
        <v>0</v>
      </c>
      <c r="H346" s="512">
        <f t="shared" si="12"/>
        <v>0</v>
      </c>
      <c r="I346" s="512">
        <f t="shared" si="11"/>
        <v>-4450000</v>
      </c>
      <c r="J346" s="557"/>
      <c r="K346" s="629"/>
    </row>
    <row r="347" spans="1:11" ht="15" x14ac:dyDescent="0.2">
      <c r="A347" s="560">
        <v>339</v>
      </c>
      <c r="B347" s="511" t="str">
        <f>_xlfn.XLOOKUP(A347,Códigos!$A$11:$A$415,Códigos!$B$11:$B$415,"Verificar",0)</f>
        <v>NOMBRE 254</v>
      </c>
      <c r="C347" s="525">
        <f>SUMIF('CARTERA años anteriores'!$C$9:$C$234,A347,'CARTERA años anteriores'!$J$9:$J$234)</f>
        <v>0</v>
      </c>
      <c r="D347" s="525">
        <f>SUMIF('CARTERA años anteriores'!$C$9:$C$234,A347,'CARTERA años anteriores'!$L$9:$L$234)</f>
        <v>0</v>
      </c>
      <c r="E347" s="525">
        <f>SUMIF(FACTURACIÓN!$C$8:$C$1082,A347,FACTURACIÓN!$K$8:$K$1082)</f>
        <v>0</v>
      </c>
      <c r="F347" s="525">
        <f>SUMIF('INGRESOS A CAJA'!$C$10:$C$954,A347,'INGRESOS A CAJA'!$F$10:$F$954)+SUMIF(FACTURACIÓN!$C$8:$C$1082,A347,FACTURACIÓN!$M$8:$M$1082)++SUMIF('CARTERA años anteriores'!$C$9:$C$234,A347,'CARTERA años anteriores'!$M$9:$M$234)</f>
        <v>0</v>
      </c>
      <c r="G347" s="525">
        <f>SUMIF('EGRESOS DE CAJA'!$C$10:$C$2251,A347,'EGRESOS DE CAJA'!$G$10:$G$2251)</f>
        <v>0</v>
      </c>
      <c r="H347" s="512">
        <f t="shared" si="12"/>
        <v>0</v>
      </c>
      <c r="I347" s="512">
        <f t="shared" si="11"/>
        <v>0</v>
      </c>
      <c r="J347" s="557"/>
      <c r="K347" s="629"/>
    </row>
    <row r="348" spans="1:11" ht="15" x14ac:dyDescent="0.2">
      <c r="A348" s="560">
        <v>340</v>
      </c>
      <c r="B348" s="511" t="str">
        <f>_xlfn.XLOOKUP(A348,Códigos!$A$11:$A$415,Códigos!$B$11:$B$415,"Verificar",0)</f>
        <v>NOMBRE 72</v>
      </c>
      <c r="C348" s="525">
        <f>SUMIF('CARTERA años anteriores'!$C$9:$C$234,A348,'CARTERA años anteriores'!$J$9:$J$234)</f>
        <v>0</v>
      </c>
      <c r="D348" s="525">
        <f>SUMIF('CARTERA años anteriores'!$C$9:$C$234,A348,'CARTERA años anteriores'!$L$9:$L$234)</f>
        <v>0</v>
      </c>
      <c r="E348" s="525">
        <f>SUMIF(FACTURACIÓN!$C$8:$C$1082,A348,FACTURACIÓN!$K$8:$K$1082)</f>
        <v>200000</v>
      </c>
      <c r="F348" s="525">
        <f>SUMIF('INGRESOS A CAJA'!$C$10:$C$954,A348,'INGRESOS A CAJA'!$F$10:$F$954)+SUMIF(FACTURACIÓN!$C$8:$C$1082,A348,FACTURACIÓN!$M$8:$M$1082)++SUMIF('CARTERA años anteriores'!$C$9:$C$234,A348,'CARTERA años anteriores'!$M$9:$M$234)</f>
        <v>200000</v>
      </c>
      <c r="G348" s="525">
        <f>SUMIF('EGRESOS DE CAJA'!$C$10:$C$2251,A348,'EGRESOS DE CAJA'!$G$10:$G$2251)</f>
        <v>0</v>
      </c>
      <c r="H348" s="512">
        <f t="shared" si="12"/>
        <v>0</v>
      </c>
      <c r="I348" s="512">
        <f t="shared" si="11"/>
        <v>0</v>
      </c>
      <c r="J348" s="557"/>
      <c r="K348" s="629"/>
    </row>
    <row r="349" spans="1:11" ht="15" x14ac:dyDescent="0.2">
      <c r="A349" s="560">
        <v>341</v>
      </c>
      <c r="B349" s="511" t="str">
        <f>_xlfn.XLOOKUP(A349,Códigos!$A$11:$A$415,Códigos!$B$11:$B$415,"Verificar",0)</f>
        <v>NOMBRE 26</v>
      </c>
      <c r="C349" s="525">
        <f>SUMIF('CARTERA años anteriores'!$C$9:$C$234,A349,'CARTERA años anteriores'!$J$9:$J$234)</f>
        <v>0</v>
      </c>
      <c r="D349" s="525">
        <f>SUMIF('CARTERA años anteriores'!$C$9:$C$234,A349,'CARTERA años anteriores'!$L$9:$L$234)</f>
        <v>0</v>
      </c>
      <c r="E349" s="525">
        <f>SUMIF(FACTURACIÓN!$C$8:$C$1082,A349,FACTURACIÓN!$K$8:$K$1082)</f>
        <v>0</v>
      </c>
      <c r="F349" s="525">
        <f>SUMIF('INGRESOS A CAJA'!$C$10:$C$954,A349,'INGRESOS A CAJA'!$F$10:$F$954)+SUMIF(FACTURACIÓN!$C$8:$C$1082,A349,FACTURACIÓN!$M$8:$M$1082)++SUMIF('CARTERA años anteriores'!$C$9:$C$234,A349,'CARTERA años anteriores'!$M$9:$M$234)</f>
        <v>0</v>
      </c>
      <c r="G349" s="525">
        <f>SUMIF('EGRESOS DE CAJA'!$C$10:$C$2251,A349,'EGRESOS DE CAJA'!$G$10:$G$2251)</f>
        <v>0</v>
      </c>
      <c r="H349" s="512">
        <f t="shared" si="12"/>
        <v>0</v>
      </c>
      <c r="I349" s="512">
        <f t="shared" si="11"/>
        <v>0</v>
      </c>
      <c r="J349" s="557"/>
      <c r="K349" s="629"/>
    </row>
    <row r="350" spans="1:11" ht="15" x14ac:dyDescent="0.2">
      <c r="A350" s="676">
        <v>342</v>
      </c>
      <c r="B350" s="887" t="str">
        <f>_xlfn.XLOOKUP(A350,Códigos!$A$11:$A$415,Códigos!$B$11:$B$415,"Verificar",0)</f>
        <v>NOMBRE 264</v>
      </c>
      <c r="C350" s="525">
        <f>SUMIF('CARTERA años anteriores'!$C$9:$C$234,A350,'CARTERA años anteriores'!$J$9:$J$234)</f>
        <v>0</v>
      </c>
      <c r="D350" s="525">
        <f>SUMIF('CARTERA años anteriores'!$C$9:$C$234,A350,'CARTERA años anteriores'!$L$9:$L$234)</f>
        <v>0</v>
      </c>
      <c r="E350" s="889">
        <f>SUMIF(FACTURACIÓN!$C$8:$C$1082,A350,FACTURACIÓN!$K$8:$K$1082)</f>
        <v>120000</v>
      </c>
      <c r="F350" s="525">
        <f>SUMIF('INGRESOS A CAJA'!$C$10:$C$954,A350,'INGRESOS A CAJA'!$F$10:$F$954)+SUMIF(FACTURACIÓN!$C$8:$C$1082,A350,FACTURACIÓN!$M$8:$M$1082)++SUMIF('CARTERA años anteriores'!$C$9:$C$234,A350,'CARTERA años anteriores'!$M$9:$M$234)</f>
        <v>0</v>
      </c>
      <c r="G350" s="889">
        <f>SUMIF('EGRESOS DE CAJA'!$C$10:$C$2251,A350,'EGRESOS DE CAJA'!$G$10:$G$2251)</f>
        <v>0</v>
      </c>
      <c r="H350" s="890">
        <f t="shared" si="12"/>
        <v>120000</v>
      </c>
      <c r="I350" s="890">
        <f t="shared" si="11"/>
        <v>0</v>
      </c>
      <c r="J350" s="557"/>
      <c r="K350" s="629"/>
    </row>
    <row r="351" spans="1:11" ht="15" x14ac:dyDescent="0.2">
      <c r="A351" s="560">
        <v>343</v>
      </c>
      <c r="B351" s="511" t="str">
        <f>_xlfn.XLOOKUP(A351,Códigos!$A$11:$A$415,Códigos!$B$11:$B$415,"Verificar",0)</f>
        <v>NOMBRE 136</v>
      </c>
      <c r="C351" s="525">
        <f>SUMIF('CARTERA años anteriores'!$C$9:$C$234,A351,'CARTERA años anteriores'!$J$9:$J$234)</f>
        <v>250000</v>
      </c>
      <c r="D351" s="525">
        <f>SUMIF('CARTERA años anteriores'!$C$9:$C$234,A351,'CARTERA años anteriores'!$L$9:$L$234)</f>
        <v>250000</v>
      </c>
      <c r="E351" s="525">
        <f>SUMIF(FACTURACIÓN!$C$8:$C$1082,A351,FACTURACIÓN!$K$8:$K$1082)</f>
        <v>260000</v>
      </c>
      <c r="F351" s="525">
        <f>SUMIF('INGRESOS A CAJA'!$C$10:$C$954,A351,'INGRESOS A CAJA'!$F$10:$F$954)+SUMIF(FACTURACIÓN!$C$8:$C$1082,A351,FACTURACIÓN!$M$8:$M$1082)++SUMIF('CARTERA años anteriores'!$C$9:$C$234,A351,'CARTERA años anteriores'!$M$9:$M$234)</f>
        <v>250000</v>
      </c>
      <c r="G351" s="525">
        <f>SUMIF('EGRESOS DE CAJA'!$C$10:$C$2251,A351,'EGRESOS DE CAJA'!$G$10:$G$2251)</f>
        <v>0</v>
      </c>
      <c r="H351" s="512">
        <f t="shared" si="12"/>
        <v>260000</v>
      </c>
      <c r="I351" s="512">
        <f t="shared" si="11"/>
        <v>0</v>
      </c>
      <c r="J351" s="557"/>
      <c r="K351" s="629"/>
    </row>
    <row r="352" spans="1:11" ht="15" x14ac:dyDescent="0.2">
      <c r="A352" s="560">
        <v>344</v>
      </c>
      <c r="B352" s="511" t="str">
        <f>_xlfn.XLOOKUP(A352,Códigos!$A$11:$A$415,Códigos!$B$11:$B$415,"Verificar",0)</f>
        <v>NOMBRE 204</v>
      </c>
      <c r="C352" s="525">
        <f>SUMIF('CARTERA años anteriores'!$C$9:$C$234,A352,'CARTERA años anteriores'!$J$9:$J$234)</f>
        <v>0</v>
      </c>
      <c r="D352" s="525">
        <f>SUMIF('CARTERA años anteriores'!$C$9:$C$234,A352,'CARTERA años anteriores'!$L$9:$L$234)</f>
        <v>0</v>
      </c>
      <c r="E352" s="525">
        <f>SUMIF(FACTURACIÓN!$C$8:$C$1082,A352,FACTURACIÓN!$K$8:$K$1082)</f>
        <v>0</v>
      </c>
      <c r="F352" s="525">
        <f>SUMIF('INGRESOS A CAJA'!$C$10:$C$954,A352,'INGRESOS A CAJA'!$F$10:$F$954)+SUMIF(FACTURACIÓN!$C$8:$C$1082,A352,FACTURACIÓN!$M$8:$M$1082)++SUMIF('CARTERA años anteriores'!$C$9:$C$234,A352,'CARTERA años anteriores'!$M$9:$M$234)</f>
        <v>0</v>
      </c>
      <c r="G352" s="525">
        <f>SUMIF('EGRESOS DE CAJA'!$C$10:$C$2251,A352,'EGRESOS DE CAJA'!$G$10:$G$2251)</f>
        <v>0</v>
      </c>
      <c r="H352" s="512">
        <f t="shared" si="12"/>
        <v>0</v>
      </c>
      <c r="I352" s="512">
        <f t="shared" si="11"/>
        <v>0</v>
      </c>
      <c r="J352" s="557"/>
      <c r="K352" s="629"/>
    </row>
    <row r="353" spans="1:11" ht="15" x14ac:dyDescent="0.2">
      <c r="A353" s="560">
        <v>345</v>
      </c>
      <c r="B353" s="511" t="str">
        <f>_xlfn.XLOOKUP(A353,Códigos!$A$11:$A$415,Códigos!$B$11:$B$415,"Verificar",0)</f>
        <v>NOMBRE 195</v>
      </c>
      <c r="C353" s="525">
        <f>SUMIF('CARTERA años anteriores'!$C$9:$C$234,A353,'CARTERA años anteriores'!$J$9:$J$234)</f>
        <v>0</v>
      </c>
      <c r="D353" s="525">
        <f>SUMIF('CARTERA años anteriores'!$C$9:$C$234,A353,'CARTERA años anteriores'!$L$9:$L$234)</f>
        <v>0</v>
      </c>
      <c r="E353" s="525">
        <f>SUMIF(FACTURACIÓN!$C$8:$C$1082,A353,FACTURACIÓN!$K$8:$K$1082)</f>
        <v>460000</v>
      </c>
      <c r="F353" s="525">
        <f>SUMIF('INGRESOS A CAJA'!$C$10:$C$954,A353,'INGRESOS A CAJA'!$F$10:$F$954)+SUMIF(FACTURACIÓN!$C$8:$C$1082,A353,FACTURACIÓN!$M$8:$M$1082)++SUMIF('CARTERA años anteriores'!$C$9:$C$234,A353,'CARTERA años anteriores'!$M$9:$M$234)</f>
        <v>0</v>
      </c>
      <c r="G353" s="525">
        <f>SUMIF('EGRESOS DE CAJA'!$C$10:$C$2251,A353,'EGRESOS DE CAJA'!$G$10:$G$2251)</f>
        <v>0</v>
      </c>
      <c r="H353" s="512">
        <f t="shared" si="12"/>
        <v>460000</v>
      </c>
      <c r="I353" s="512">
        <f t="shared" si="11"/>
        <v>0</v>
      </c>
      <c r="J353" s="557"/>
      <c r="K353" s="629"/>
    </row>
    <row r="354" spans="1:11" ht="15" x14ac:dyDescent="0.2">
      <c r="A354" s="560">
        <v>346</v>
      </c>
      <c r="B354" s="511" t="str">
        <f>_xlfn.XLOOKUP(A354,Códigos!$A$11:$A$415,Códigos!$B$11:$B$415,"Verificar",0)</f>
        <v>NOMBRE 2</v>
      </c>
      <c r="C354" s="525">
        <f>SUMIF('CARTERA años anteriores'!$C$9:$C$234,A354,'CARTERA años anteriores'!$J$9:$J$234)</f>
        <v>0</v>
      </c>
      <c r="D354" s="525">
        <f>SUMIF('CARTERA años anteriores'!$C$9:$C$234,A354,'CARTERA años anteriores'!$L$9:$L$234)</f>
        <v>0</v>
      </c>
      <c r="E354" s="525">
        <f>SUMIF(FACTURACIÓN!$C$8:$C$1082,A354,FACTURACIÓN!$K$8:$K$1082)</f>
        <v>160000</v>
      </c>
      <c r="F354" s="525">
        <f>SUMIF('INGRESOS A CAJA'!$C$10:$C$954,A354,'INGRESOS A CAJA'!$F$10:$F$954)+SUMIF(FACTURACIÓN!$C$8:$C$1082,A354,FACTURACIÓN!$M$8:$M$1082)++SUMIF('CARTERA años anteriores'!$C$9:$C$234,A354,'CARTERA años anteriores'!$M$9:$M$234)</f>
        <v>160000</v>
      </c>
      <c r="G354" s="525">
        <f>SUMIF('EGRESOS DE CAJA'!$C$10:$C$2251,A354,'EGRESOS DE CAJA'!$G$10:$G$2251)</f>
        <v>0</v>
      </c>
      <c r="H354" s="512">
        <f t="shared" si="12"/>
        <v>0</v>
      </c>
      <c r="I354" s="512">
        <f t="shared" si="11"/>
        <v>0</v>
      </c>
      <c r="J354" s="557"/>
      <c r="K354" s="629"/>
    </row>
    <row r="355" spans="1:11" ht="15" x14ac:dyDescent="0.2">
      <c r="A355" s="560">
        <v>347</v>
      </c>
      <c r="B355" s="511" t="str">
        <f>_xlfn.XLOOKUP(A355,Códigos!$A$11:$A$415,Códigos!$B$11:$B$415,"Verificar",0)</f>
        <v>NOMBRE 110</v>
      </c>
      <c r="C355" s="525">
        <f>SUMIF('CARTERA años anteriores'!$C$9:$C$234,A355,'CARTERA años anteriores'!$J$9:$J$234)</f>
        <v>0</v>
      </c>
      <c r="D355" s="525">
        <f>SUMIF('CARTERA años anteriores'!$C$9:$C$234,A355,'CARTERA años anteriores'!$L$9:$L$234)</f>
        <v>0</v>
      </c>
      <c r="E355" s="525">
        <f>SUMIF(FACTURACIÓN!$C$8:$C$1082,A355,FACTURACIÓN!$K$8:$K$1082)</f>
        <v>0</v>
      </c>
      <c r="F355" s="525">
        <f>SUMIF('INGRESOS A CAJA'!$C$10:$C$954,A355,'INGRESOS A CAJA'!$F$10:$F$954)+SUMIF(FACTURACIÓN!$C$8:$C$1082,A355,FACTURACIÓN!$M$8:$M$1082)++SUMIF('CARTERA años anteriores'!$C$9:$C$234,A355,'CARTERA años anteriores'!$M$9:$M$234)</f>
        <v>0</v>
      </c>
      <c r="G355" s="525">
        <f>SUMIF('EGRESOS DE CAJA'!$C$10:$C$2251,A355,'EGRESOS DE CAJA'!$G$10:$G$2251)</f>
        <v>0</v>
      </c>
      <c r="H355" s="512">
        <f t="shared" si="12"/>
        <v>0</v>
      </c>
      <c r="I355" s="512">
        <f t="shared" si="11"/>
        <v>0</v>
      </c>
      <c r="J355" s="557"/>
      <c r="K355" s="629"/>
    </row>
    <row r="356" spans="1:11" ht="15" x14ac:dyDescent="0.2">
      <c r="A356" s="560">
        <v>348</v>
      </c>
      <c r="B356" s="511" t="str">
        <f>_xlfn.XLOOKUP(A356,Códigos!$A$11:$A$415,Códigos!$B$11:$B$415,"Verificar",0)</f>
        <v>NOMBRE 68</v>
      </c>
      <c r="C356" s="525">
        <f>SUMIF('CARTERA años anteriores'!$C$9:$C$234,A356,'CARTERA años anteriores'!$J$9:$J$234)</f>
        <v>0</v>
      </c>
      <c r="D356" s="525">
        <f>SUMIF('CARTERA años anteriores'!$C$9:$C$234,A356,'CARTERA años anteriores'!$L$9:$L$234)</f>
        <v>0</v>
      </c>
      <c r="E356" s="525">
        <f>SUMIF(FACTURACIÓN!$C$8:$C$1082,A356,FACTURACIÓN!$K$8:$K$1082)</f>
        <v>350000</v>
      </c>
      <c r="F356" s="525">
        <f>SUMIF('INGRESOS A CAJA'!$C$10:$C$954,A356,'INGRESOS A CAJA'!$F$10:$F$954)+SUMIF(FACTURACIÓN!$C$8:$C$1082,A356,FACTURACIÓN!$M$8:$M$1082)++SUMIF('CARTERA años anteriores'!$C$9:$C$234,A356,'CARTERA años anteriores'!$M$9:$M$234)</f>
        <v>0</v>
      </c>
      <c r="G356" s="525">
        <f>SUMIF('EGRESOS DE CAJA'!$C$10:$C$2251,A356,'EGRESOS DE CAJA'!$G$10:$G$2251)</f>
        <v>0</v>
      </c>
      <c r="H356" s="512">
        <f t="shared" si="12"/>
        <v>350000</v>
      </c>
      <c r="I356" s="512">
        <f t="shared" si="11"/>
        <v>0</v>
      </c>
      <c r="J356" s="557"/>
      <c r="K356" s="629"/>
    </row>
    <row r="357" spans="1:11" ht="14.25" customHeight="1" x14ac:dyDescent="0.2">
      <c r="A357" s="560">
        <v>349</v>
      </c>
      <c r="B357" s="511" t="str">
        <f>_xlfn.XLOOKUP(A357,Códigos!$A$11:$A$415,Códigos!$B$11:$B$415,"Verificar",0)</f>
        <v>NOMBRE 73</v>
      </c>
      <c r="C357" s="525">
        <f>SUMIF('CARTERA años anteriores'!$C$9:$C$234,A357,'CARTERA años anteriores'!$J$9:$J$234)</f>
        <v>0</v>
      </c>
      <c r="D357" s="525">
        <f>SUMIF('CARTERA años anteriores'!$C$9:$C$234,A357,'CARTERA años anteriores'!$L$9:$L$234)</f>
        <v>0</v>
      </c>
      <c r="E357" s="525">
        <f>SUMIF(FACTURACIÓN!$C$8:$C$1082,A357,FACTURACIÓN!$K$8:$K$1082)</f>
        <v>890000</v>
      </c>
      <c r="F357" s="525">
        <f>SUMIF('INGRESOS A CAJA'!$C$10:$C$954,A357,'INGRESOS A CAJA'!$F$10:$F$954)+SUMIF(FACTURACIÓN!$C$8:$C$1082,A357,FACTURACIÓN!$M$8:$M$1082)++SUMIF('CARTERA años anteriores'!$C$9:$C$234,A357,'CARTERA años anteriores'!$M$9:$M$234)</f>
        <v>0</v>
      </c>
      <c r="G357" s="525">
        <f>SUMIF('EGRESOS DE CAJA'!$C$10:$C$2251,A357,'EGRESOS DE CAJA'!$G$10:$G$2251)</f>
        <v>102000</v>
      </c>
      <c r="H357" s="512">
        <f t="shared" si="12"/>
        <v>992000</v>
      </c>
      <c r="I357" s="512">
        <f>IF((+C357-D357+E357-F357+G357)&lt;0,(+C357-D357+E357-F357+G357),0)</f>
        <v>0</v>
      </c>
      <c r="J357" s="557"/>
      <c r="K357" s="629"/>
    </row>
    <row r="358" spans="1:11" ht="14.25" customHeight="1" x14ac:dyDescent="0.2">
      <c r="A358" s="560">
        <v>350</v>
      </c>
      <c r="B358" s="511" t="str">
        <f>_xlfn.XLOOKUP(A358,Códigos!$A$11:$A$415,Códigos!$B$11:$B$415,"Verificar",0)</f>
        <v>NOMBRE 197</v>
      </c>
      <c r="C358" s="525">
        <f>SUMIF('CARTERA años anteriores'!$C$9:$C$234,A358,'CARTERA años anteriores'!$J$9:$J$234)</f>
        <v>0</v>
      </c>
      <c r="D358" s="525">
        <f>SUMIF('CARTERA años anteriores'!$C$9:$C$234,A358,'CARTERA años anteriores'!$L$9:$L$234)</f>
        <v>0</v>
      </c>
      <c r="E358" s="525">
        <f>SUMIF(FACTURACIÓN!$C$8:$C$1082,A358,FACTURACIÓN!$K$8:$K$1082)</f>
        <v>1930000</v>
      </c>
      <c r="F358" s="525">
        <f>SUMIF('INGRESOS A CAJA'!$C$10:$C$954,A358,'INGRESOS A CAJA'!$F$10:$F$954)+SUMIF(FACTURACIÓN!$C$8:$C$1082,A358,FACTURACIÓN!$M$8:$M$1082)++SUMIF('CARTERA años anteriores'!$C$9:$C$234,A358,'CARTERA años anteriores'!$M$9:$M$234)</f>
        <v>0</v>
      </c>
      <c r="G358" s="525">
        <f>SUMIF('EGRESOS DE CAJA'!$C$10:$C$2251,A358,'EGRESOS DE CAJA'!$G$10:$G$2251)</f>
        <v>0</v>
      </c>
      <c r="H358" s="512">
        <f t="shared" si="12"/>
        <v>1930000</v>
      </c>
      <c r="I358" s="512">
        <f>IF((+C358-D358+E358-F358+G358)&lt;0,(+C358-D358+E358-F358+G358),0)</f>
        <v>0</v>
      </c>
      <c r="J358" s="557"/>
      <c r="K358" s="629"/>
    </row>
    <row r="359" spans="1:11" ht="14.25" customHeight="1" x14ac:dyDescent="0.2">
      <c r="A359" s="560">
        <v>351</v>
      </c>
      <c r="B359" s="511" t="str">
        <f>_xlfn.XLOOKUP(A359,Códigos!$A$11:$A$415,Códigos!$B$11:$B$415,"Verificar",0)</f>
        <v>NOMBRE 198</v>
      </c>
      <c r="C359" s="525">
        <f>SUMIF('CARTERA años anteriores'!$C$9:$C$234,A359,'CARTERA años anteriores'!$J$9:$J$234)</f>
        <v>0</v>
      </c>
      <c r="D359" s="525">
        <f>SUMIF('CARTERA años anteriores'!$C$9:$C$234,A359,'CARTERA años anteriores'!$L$9:$L$234)</f>
        <v>0</v>
      </c>
      <c r="E359" s="525">
        <f>SUMIF(FACTURACIÓN!$C$8:$C$1082,A359,FACTURACIÓN!$K$8:$K$1082)</f>
        <v>890000</v>
      </c>
      <c r="F359" s="525">
        <f>SUMIF('INGRESOS A CAJA'!$C$10:$C$954,A359,'INGRESOS A CAJA'!$F$10:$F$954)+SUMIF(FACTURACIÓN!$C$8:$C$1082,A359,FACTURACIÓN!$M$8:$M$1082)++SUMIF('CARTERA años anteriores'!$C$9:$C$234,A359,'CARTERA años anteriores'!$M$9:$M$234)</f>
        <v>890000</v>
      </c>
      <c r="G359" s="525">
        <f>SUMIF('EGRESOS DE CAJA'!$C$10:$C$2251,A359,'EGRESOS DE CAJA'!$G$10:$G$2251)</f>
        <v>0</v>
      </c>
      <c r="H359" s="512">
        <f t="shared" si="12"/>
        <v>0</v>
      </c>
      <c r="I359" s="512">
        <f>IF((+C359-D359+E359-F359+G359)&lt;0,(+C359-D359+E359-F359+G359),0)</f>
        <v>0</v>
      </c>
      <c r="J359" s="557"/>
      <c r="K359" s="629"/>
    </row>
    <row r="360" spans="1:11" ht="14.25" customHeight="1" x14ac:dyDescent="0.2">
      <c r="A360" s="560">
        <v>352</v>
      </c>
      <c r="B360" s="511" t="str">
        <f>_xlfn.XLOOKUP(A360,Códigos!$A$11:$A$415,Códigos!$B$11:$B$415,"Verificar",0)</f>
        <v>NOMBRE 227</v>
      </c>
      <c r="C360" s="525">
        <f>SUMIF('CARTERA años anteriores'!$C$9:$C$234,A360,'CARTERA años anteriores'!$J$9:$J$234)</f>
        <v>0</v>
      </c>
      <c r="D360" s="525">
        <f>SUMIF('CARTERA años anteriores'!$C$9:$C$234,A360,'CARTERA años anteriores'!$L$9:$L$234)</f>
        <v>0</v>
      </c>
      <c r="E360" s="525">
        <f>SUMIF(FACTURACIÓN!$C$8:$C$1082,A360,FACTURACIÓN!$K$8:$K$1082)</f>
        <v>0</v>
      </c>
      <c r="F360" s="525">
        <f>SUMIF('INGRESOS A CAJA'!$C$10:$C$954,A360,'INGRESOS A CAJA'!$F$10:$F$954)+SUMIF(FACTURACIÓN!$C$8:$C$1082,A360,FACTURACIÓN!$M$8:$M$1082)++SUMIF('CARTERA años anteriores'!$C$9:$C$234,A360,'CARTERA años anteriores'!$M$9:$M$234)</f>
        <v>0</v>
      </c>
      <c r="G360" s="525">
        <f>SUMIF('EGRESOS DE CAJA'!$C$10:$C$2251,A360,'EGRESOS DE CAJA'!$G$10:$G$2251)</f>
        <v>0</v>
      </c>
      <c r="H360" s="512">
        <f t="shared" si="12"/>
        <v>0</v>
      </c>
      <c r="I360" s="512">
        <f>IF((+C360-D360+E360-F360+G360)&lt;0,(+C360-D360+E360-F360+G360),0)</f>
        <v>0</v>
      </c>
      <c r="J360" s="557"/>
      <c r="K360" s="629"/>
    </row>
    <row r="361" spans="1:11" ht="14.25" customHeight="1" x14ac:dyDescent="0.2">
      <c r="A361" s="560">
        <v>353</v>
      </c>
      <c r="B361" s="511" t="str">
        <f>_xlfn.XLOOKUP(A361,Códigos!$A$11:$A$415,Códigos!$B$11:$B$415,"Verificar",0)</f>
        <v>NOMBRE 31</v>
      </c>
      <c r="C361" s="641" t="s">
        <v>399</v>
      </c>
      <c r="D361" s="641" t="s">
        <v>399</v>
      </c>
      <c r="E361" s="641" t="s">
        <v>399</v>
      </c>
      <c r="F361" s="641" t="s">
        <v>399</v>
      </c>
      <c r="G361" s="641" t="s">
        <v>399</v>
      </c>
      <c r="H361" s="641" t="s">
        <v>399</v>
      </c>
      <c r="I361" s="641" t="s">
        <v>399</v>
      </c>
      <c r="J361" s="557"/>
      <c r="K361" s="629"/>
    </row>
    <row r="362" spans="1:11" ht="14.25" customHeight="1" x14ac:dyDescent="0.2">
      <c r="A362" s="560">
        <v>354</v>
      </c>
      <c r="B362" s="511" t="str">
        <f>_xlfn.XLOOKUP(A362,Códigos!$A$11:$A$415,Códigos!$B$11:$B$415,"Verificar",0)</f>
        <v>NOMBRE 318</v>
      </c>
      <c r="C362" s="525">
        <f>SUMIF('CARTERA años anteriores'!$C$9:$C$234,A362,'CARTERA años anteriores'!$J$9:$J$234)</f>
        <v>0</v>
      </c>
      <c r="D362" s="525">
        <f>SUMIF('CARTERA años anteriores'!$C$9:$C$133,A362,'CARTERA años anteriores'!$L$9:$L$133)</f>
        <v>0</v>
      </c>
      <c r="E362" s="525">
        <f>SUMIF(FACTURACIÓN!$C$8:$C$1082,A362,FACTURACIÓN!$K$8:$K$1082)</f>
        <v>0</v>
      </c>
      <c r="F362" s="525">
        <f>SUMIF('INGRESOS A CAJA'!$C$10:$C$954,A362,'INGRESOS A CAJA'!$F$10:$F$954)</f>
        <v>0</v>
      </c>
      <c r="G362" s="525">
        <f>SUMIF('EGRESOS DE CAJA'!$C$10:$C$2251,A362,'EGRESOS DE CAJA'!$G$10:$G$2251)</f>
        <v>0</v>
      </c>
      <c r="H362" s="512">
        <f>IF((+C362-D362+E362-F362+G362)&gt;0,(+C362-D362+E362-F362+G362),0)</f>
        <v>0</v>
      </c>
      <c r="I362" s="512">
        <f>IF((+C362-D362+E362-F362+G362)&lt;0,(+C362-D362+E362-F362+G362),0)</f>
        <v>0</v>
      </c>
      <c r="J362" s="557"/>
      <c r="K362" s="629"/>
    </row>
    <row r="363" spans="1:11" ht="14.25" customHeight="1" x14ac:dyDescent="0.2">
      <c r="A363" s="560">
        <v>355</v>
      </c>
      <c r="B363" s="511" t="str">
        <f>_xlfn.XLOOKUP(A363,Códigos!$A$11:$A$415,Códigos!$B$11:$B$415,"Verificar",0)</f>
        <v>NOMBRE 96</v>
      </c>
      <c r="C363" s="641" t="s">
        <v>399</v>
      </c>
      <c r="D363" s="641" t="s">
        <v>399</v>
      </c>
      <c r="E363" s="641" t="s">
        <v>399</v>
      </c>
      <c r="F363" s="641" t="s">
        <v>399</v>
      </c>
      <c r="G363" s="641" t="s">
        <v>399</v>
      </c>
      <c r="H363" s="641" t="s">
        <v>399</v>
      </c>
      <c r="I363" s="641" t="s">
        <v>399</v>
      </c>
      <c r="J363" s="557"/>
      <c r="K363" s="629"/>
    </row>
    <row r="364" spans="1:11" ht="14.25" customHeight="1" x14ac:dyDescent="0.2">
      <c r="A364" s="560">
        <v>356</v>
      </c>
      <c r="B364" s="511" t="str">
        <f>_xlfn.XLOOKUP(A364,Códigos!$A$11:$A$415,Códigos!$B$11:$B$415,"Verificar",0)</f>
        <v>NOMBRE 108</v>
      </c>
      <c r="C364" s="641" t="s">
        <v>399</v>
      </c>
      <c r="D364" s="641" t="s">
        <v>399</v>
      </c>
      <c r="E364" s="641" t="s">
        <v>399</v>
      </c>
      <c r="F364" s="641" t="s">
        <v>399</v>
      </c>
      <c r="G364" s="641" t="s">
        <v>399</v>
      </c>
      <c r="H364" s="641" t="s">
        <v>399</v>
      </c>
      <c r="I364" s="641" t="s">
        <v>399</v>
      </c>
      <c r="J364" s="557"/>
      <c r="K364" s="629"/>
    </row>
    <row r="365" spans="1:11" ht="15" x14ac:dyDescent="0.2">
      <c r="A365" s="560">
        <v>357</v>
      </c>
      <c r="B365" s="511" t="str">
        <f>_xlfn.XLOOKUP(A365,Códigos!$A$11:$A$415,Códigos!$B$11:$B$415,"Verificar",0)</f>
        <v>NOMBRE 107</v>
      </c>
      <c r="C365" s="641" t="s">
        <v>399</v>
      </c>
      <c r="D365" s="641" t="s">
        <v>399</v>
      </c>
      <c r="E365" s="641" t="s">
        <v>399</v>
      </c>
      <c r="F365" s="641" t="s">
        <v>399</v>
      </c>
      <c r="G365" s="641" t="s">
        <v>399</v>
      </c>
      <c r="H365" s="641" t="s">
        <v>399</v>
      </c>
      <c r="I365" s="641" t="s">
        <v>399</v>
      </c>
      <c r="J365" s="557"/>
      <c r="K365" s="629"/>
    </row>
    <row r="366" spans="1:11" ht="15" x14ac:dyDescent="0.2">
      <c r="A366" s="560">
        <v>358</v>
      </c>
      <c r="B366" s="511" t="str">
        <f>_xlfn.XLOOKUP(A366,Códigos!$A$11:$A$415,Códigos!$B$11:$B$415,"Verificar",0)</f>
        <v>NOMBRE 338</v>
      </c>
      <c r="C366" s="641" t="s">
        <v>399</v>
      </c>
      <c r="D366" s="641" t="s">
        <v>399</v>
      </c>
      <c r="E366" s="641" t="s">
        <v>399</v>
      </c>
      <c r="F366" s="641" t="s">
        <v>399</v>
      </c>
      <c r="G366" s="641" t="s">
        <v>399</v>
      </c>
      <c r="H366" s="641" t="s">
        <v>399</v>
      </c>
      <c r="I366" s="641" t="s">
        <v>399</v>
      </c>
      <c r="J366" s="557"/>
      <c r="K366" s="629"/>
    </row>
    <row r="367" spans="1:11" ht="18" customHeight="1" x14ac:dyDescent="0.2">
      <c r="A367" s="560">
        <v>359</v>
      </c>
      <c r="B367" s="511" t="str">
        <f>_xlfn.XLOOKUP(A367,Códigos!$A$11:$A$415,Códigos!$B$11:$B$415,"Verificar",0)</f>
        <v>NOMBRE 232</v>
      </c>
      <c r="C367" s="641" t="s">
        <v>399</v>
      </c>
      <c r="D367" s="641" t="s">
        <v>399</v>
      </c>
      <c r="E367" s="641" t="s">
        <v>399</v>
      </c>
      <c r="F367" s="641" t="s">
        <v>399</v>
      </c>
      <c r="G367" s="641" t="s">
        <v>399</v>
      </c>
      <c r="H367" s="641" t="s">
        <v>399</v>
      </c>
      <c r="I367" s="641" t="s">
        <v>399</v>
      </c>
      <c r="J367" s="557"/>
      <c r="K367" s="629"/>
    </row>
    <row r="368" spans="1:11" ht="18" customHeight="1" x14ac:dyDescent="0.2">
      <c r="A368" s="560">
        <v>360</v>
      </c>
      <c r="B368" s="511" t="str">
        <f>_xlfn.XLOOKUP(A368,Códigos!$A$11:$A$415,Códigos!$B$11:$B$415,"Verificar",0)</f>
        <v>NOMBRE 94</v>
      </c>
      <c r="C368" s="641" t="s">
        <v>399</v>
      </c>
      <c r="D368" s="641" t="s">
        <v>399</v>
      </c>
      <c r="E368" s="641" t="s">
        <v>399</v>
      </c>
      <c r="F368" s="641" t="s">
        <v>399</v>
      </c>
      <c r="G368" s="641" t="s">
        <v>399</v>
      </c>
      <c r="H368" s="641" t="s">
        <v>399</v>
      </c>
      <c r="I368" s="641" t="s">
        <v>399</v>
      </c>
      <c r="J368" s="557"/>
      <c r="K368" s="629"/>
    </row>
    <row r="369" spans="1:11" ht="18" customHeight="1" x14ac:dyDescent="0.2">
      <c r="A369" s="560">
        <v>361</v>
      </c>
      <c r="B369" s="511" t="str">
        <f>_xlfn.XLOOKUP(A369,Códigos!$A$11:$A$415,Códigos!$B$11:$B$415,"Verificar",0)</f>
        <v>NOMBRE 49</v>
      </c>
      <c r="C369" s="641" t="s">
        <v>399</v>
      </c>
      <c r="D369" s="641" t="s">
        <v>399</v>
      </c>
      <c r="E369" s="641" t="s">
        <v>399</v>
      </c>
      <c r="F369" s="641" t="s">
        <v>399</v>
      </c>
      <c r="G369" s="641" t="s">
        <v>399</v>
      </c>
      <c r="H369" s="641" t="s">
        <v>399</v>
      </c>
      <c r="I369" s="641" t="s">
        <v>399</v>
      </c>
      <c r="J369" s="557"/>
      <c r="K369" s="629"/>
    </row>
    <row r="370" spans="1:11" ht="18" customHeight="1" x14ac:dyDescent="0.2">
      <c r="A370" s="560">
        <v>362</v>
      </c>
      <c r="B370" s="511" t="str">
        <f>_xlfn.XLOOKUP(A370,Códigos!$A$11:$A$415,Códigos!$B$11:$B$415,"Verificar",0)</f>
        <v>NOMBRE 97</v>
      </c>
      <c r="C370" s="641" t="s">
        <v>399</v>
      </c>
      <c r="D370" s="641" t="s">
        <v>399</v>
      </c>
      <c r="E370" s="641" t="s">
        <v>399</v>
      </c>
      <c r="F370" s="641" t="s">
        <v>399</v>
      </c>
      <c r="G370" s="641" t="s">
        <v>399</v>
      </c>
      <c r="H370" s="641" t="s">
        <v>399</v>
      </c>
      <c r="I370" s="641" t="s">
        <v>399</v>
      </c>
      <c r="J370" s="557"/>
      <c r="K370" s="629"/>
    </row>
    <row r="371" spans="1:11" ht="18" customHeight="1" x14ac:dyDescent="0.2">
      <c r="A371" s="560">
        <v>363</v>
      </c>
      <c r="B371" s="511" t="str">
        <f>_xlfn.XLOOKUP(A371,Códigos!$A$11:$A$415,Códigos!$B$11:$B$415,"Verificar",0)</f>
        <v>NOMBRE 358</v>
      </c>
      <c r="C371" s="525">
        <f>SUMIF('CARTERA años anteriores'!$C$9:$C$234,A371,'CARTERA años anteriores'!$J$9:$J$234)</f>
        <v>0</v>
      </c>
      <c r="D371" s="525">
        <f>SUMIF('CARTERA años anteriores'!$C$9:$C$234,A371,'CARTERA años anteriores'!$L$9:$L$234)</f>
        <v>0</v>
      </c>
      <c r="E371" s="525">
        <f>SUMIF(FACTURACIÓN!$C$8:$C$1082,A371,FACTURACIÓN!$K$8:$K$1082)</f>
        <v>260000</v>
      </c>
      <c r="F371" s="525">
        <f>SUMIF('INGRESOS A CAJA'!$C$10:$C$954,A371,'INGRESOS A CAJA'!$F$10:$F$954)+SUMIF(FACTURACIÓN!$C$8:$C$1082,A371,FACTURACIÓN!$M$8:$M$1082)++SUMIF('CARTERA años anteriores'!$C$9:$C$133,A371,'CARTERA años anteriores'!$M$9:$M$133)</f>
        <v>0</v>
      </c>
      <c r="G371" s="525">
        <f>SUMIF('EGRESOS DE CAJA'!$C$10:$C$2251,A371,'EGRESOS DE CAJA'!$G$10:$G$2251)</f>
        <v>0</v>
      </c>
      <c r="H371" s="512">
        <f t="shared" ref="H371:H388" si="13">IF((+C371-D371*0+E371-F371+G371)&gt;0,(+C371-D371*0+E371-F371+G371),0)</f>
        <v>260000</v>
      </c>
      <c r="I371" s="512">
        <f t="shared" ref="I371:I388" si="14">IF((+C371-D371+E371-F371+G371)&lt;0,(+C371-D371+E371-F371+G371),0)</f>
        <v>0</v>
      </c>
      <c r="J371" s="557"/>
      <c r="K371" s="629"/>
    </row>
    <row r="372" spans="1:11" ht="18" customHeight="1" x14ac:dyDescent="0.2">
      <c r="A372" s="560">
        <v>364</v>
      </c>
      <c r="B372" s="511" t="str">
        <f>_xlfn.XLOOKUP(A372,Códigos!$A$11:$A$415,Códigos!$B$11:$B$415,"Verificar",0)</f>
        <v>NOMBRE 365</v>
      </c>
      <c r="C372" s="525">
        <f>SUMIF('CARTERA años anteriores'!$C$9:$C$133,A372,'CARTERA años anteriores'!$J$9:$J$133)</f>
        <v>0</v>
      </c>
      <c r="D372" s="525">
        <f>SUMIF('CARTERA años anteriores'!$C$9:$C$234,A372,'CARTERA años anteriores'!$L$9:$L$234)</f>
        <v>0</v>
      </c>
      <c r="E372" s="525">
        <f>SUMIF(FACTURACIÓN!$C$8:$C$1082,A372,FACTURACIÓN!$K$8:$K$1082)</f>
        <v>150000</v>
      </c>
      <c r="F372" s="525">
        <f>SUMIF('INGRESOS A CAJA'!$C$10:$C$954,A372,'INGRESOS A CAJA'!$F$10:$F$954)+SUMIF(FACTURACIÓN!$C$8:$C$1082,A372,FACTURACIÓN!$M$8:$M$1082)++SUMIF('CARTERA años anteriores'!$C$9:$C$133,A372,'CARTERA años anteriores'!$M$9:$M$133)</f>
        <v>0</v>
      </c>
      <c r="G372" s="525">
        <f>SUMIF('EGRESOS DE CAJA'!$C$10:$C$2251,A372,'EGRESOS DE CAJA'!$G$10:$G$2251)</f>
        <v>0</v>
      </c>
      <c r="H372" s="512">
        <f t="shared" si="13"/>
        <v>150000</v>
      </c>
      <c r="I372" s="512">
        <f t="shared" si="14"/>
        <v>0</v>
      </c>
      <c r="J372" s="557"/>
      <c r="K372" s="629"/>
    </row>
    <row r="373" spans="1:11" ht="18" customHeight="1" x14ac:dyDescent="0.2">
      <c r="A373" s="560">
        <v>365</v>
      </c>
      <c r="B373" s="511" t="str">
        <f>_xlfn.XLOOKUP(A373,Códigos!$A$11:$A$415,Códigos!$B$11:$B$415,"Verificar",0)</f>
        <v>NOMBRE 366</v>
      </c>
      <c r="C373" s="525">
        <f>SUMIF('CARTERA años anteriores'!$C$9:$C$133,A373,'CARTERA años anteriores'!$J$9:$J$133)</f>
        <v>0</v>
      </c>
      <c r="D373" s="525">
        <f>SUMIF('CARTERA años anteriores'!$C$9:$C$234,A373,'CARTERA años anteriores'!$L$9:$L$234)</f>
        <v>0</v>
      </c>
      <c r="E373" s="525">
        <f>SUMIF(FACTURACIÓN!$C$8:$C$1082,A373,FACTURACIÓN!$K$8:$K$1082)</f>
        <v>0</v>
      </c>
      <c r="F373" s="525">
        <f>SUMIF('INGRESOS A CAJA'!$C$10:$C$954,A373,'INGRESOS A CAJA'!$F$10:$F$954)+SUMIF(FACTURACIÓN!$C$8:$C$1082,A373,FACTURACIÓN!$M$8:$M$1082)++SUMIF('CARTERA años anteriores'!$C$9:$C$133,A373,'CARTERA años anteriores'!$M$9:$M$133)</f>
        <v>0</v>
      </c>
      <c r="G373" s="525">
        <f>SUMIF('EGRESOS DE CAJA'!$C$10:$C$2251,A373,'EGRESOS DE CAJA'!$G$10:$G$2251)</f>
        <v>0</v>
      </c>
      <c r="H373" s="512">
        <f t="shared" si="13"/>
        <v>0</v>
      </c>
      <c r="I373" s="512">
        <f t="shared" si="14"/>
        <v>0</v>
      </c>
      <c r="J373" s="557"/>
      <c r="K373" s="629"/>
    </row>
    <row r="374" spans="1:11" ht="18" customHeight="1" x14ac:dyDescent="0.2">
      <c r="A374" s="560">
        <v>366</v>
      </c>
      <c r="B374" s="511" t="str">
        <f>_xlfn.XLOOKUP(A374,Códigos!$A$11:$A$415,Códigos!$B$11:$B$415,"Verificar",0)</f>
        <v>NOMBRE 367</v>
      </c>
      <c r="C374" s="525">
        <f>SUMIF('CARTERA años anteriores'!$C$9:$C$133,A374,'CARTERA años anteriores'!$J$9:$J$133)</f>
        <v>0</v>
      </c>
      <c r="D374" s="525">
        <f>SUMIF('CARTERA años anteriores'!$C$9:$C$234,A374,'CARTERA años anteriores'!$L$9:$L$234)</f>
        <v>0</v>
      </c>
      <c r="E374" s="525">
        <f>SUMIF(FACTURACIÓN!$C$8:$C$1082,A374,FACTURACIÓN!$K$8:$K$1082)</f>
        <v>7200000</v>
      </c>
      <c r="F374" s="525">
        <f>SUMIF('INGRESOS A CAJA'!$C$10:$C$954,A374,'INGRESOS A CAJA'!$F$10:$F$954)+SUMIF(FACTURACIÓN!$C$8:$C$1082,A374,FACTURACIÓN!$M$8:$M$1082)++SUMIF('CARTERA años anteriores'!$C$9:$C$133,A374,'CARTERA años anteriores'!$M$9:$M$133)</f>
        <v>7000000</v>
      </c>
      <c r="G374" s="525">
        <f>SUMIF('EGRESOS DE CAJA'!$C$10:$C$2251,A374,'EGRESOS DE CAJA'!$G$10:$G$2251)</f>
        <v>0</v>
      </c>
      <c r="H374" s="512">
        <f t="shared" si="13"/>
        <v>200000</v>
      </c>
      <c r="I374" s="512">
        <f t="shared" si="14"/>
        <v>0</v>
      </c>
      <c r="J374" s="557"/>
      <c r="K374" s="629"/>
    </row>
    <row r="375" spans="1:11" ht="18" customHeight="1" x14ac:dyDescent="0.2">
      <c r="A375" s="560">
        <v>367</v>
      </c>
      <c r="B375" s="511" t="str">
        <f>_xlfn.XLOOKUP(A375,Códigos!$A$11:$A$415,Códigos!$B$11:$B$415,"Verificar",0)</f>
        <v>NOMBRE 368</v>
      </c>
      <c r="C375" s="525">
        <f>SUMIF('CARTERA años anteriores'!$C$9:$C$133,A375,'CARTERA años anteriores'!$J$9:$J$133)</f>
        <v>0</v>
      </c>
      <c r="D375" s="525">
        <f>SUMIF('CARTERA años anteriores'!$C$9:$C$234,A375,'CARTERA años anteriores'!$L$9:$L$234)</f>
        <v>0</v>
      </c>
      <c r="E375" s="525">
        <f>SUMIF(FACTURACIÓN!$C$8:$C$1082,A375,FACTURACIÓN!$K$8:$K$1082)</f>
        <v>100000</v>
      </c>
      <c r="F375" s="525">
        <f>SUMIF('INGRESOS A CAJA'!$C$10:$C$954,A375,'INGRESOS A CAJA'!$F$10:$F$954)+SUMIF(FACTURACIÓN!$C$8:$C$1082,A375,FACTURACIÓN!$M$8:$M$1082)++SUMIF('CARTERA años anteriores'!$C$9:$C$133,A375,'CARTERA años anteriores'!$M$9:$M$133)</f>
        <v>100000</v>
      </c>
      <c r="G375" s="525">
        <f>SUMIF('EGRESOS DE CAJA'!$C$10:$C$2251,A375,'EGRESOS DE CAJA'!$G$10:$G$2251)</f>
        <v>0</v>
      </c>
      <c r="H375" s="512">
        <f t="shared" si="13"/>
        <v>0</v>
      </c>
      <c r="I375" s="512">
        <f t="shared" si="14"/>
        <v>0</v>
      </c>
      <c r="J375" s="557"/>
      <c r="K375" s="629"/>
    </row>
    <row r="376" spans="1:11" ht="18" customHeight="1" x14ac:dyDescent="0.2">
      <c r="A376" s="560">
        <v>368</v>
      </c>
      <c r="B376" s="511" t="str">
        <f>_xlfn.XLOOKUP(A376,Códigos!$A$11:$A$415,Códigos!$B$11:$B$415,"Verificar",0)</f>
        <v>NOMBRE 369</v>
      </c>
      <c r="C376" s="525">
        <f>SUMIF('CARTERA años anteriores'!$C$9:$C$133,A376,'CARTERA años anteriores'!$J$9:$J$133)</f>
        <v>0</v>
      </c>
      <c r="D376" s="525">
        <f>SUMIF('CARTERA años anteriores'!$C$9:$C$234,A376,'CARTERA años anteriores'!$L$9:$L$234)</f>
        <v>0</v>
      </c>
      <c r="E376" s="525">
        <f>SUMIF(FACTURACIÓN!$C$8:$C$1082,A376,FACTURACIÓN!$K$8:$K$1082)</f>
        <v>0</v>
      </c>
      <c r="F376" s="525">
        <f>SUMIF('INGRESOS A CAJA'!$C$10:$C$954,A376,'INGRESOS A CAJA'!$F$10:$F$954)+SUMIF(FACTURACIÓN!$C$8:$C$1082,A376,FACTURACIÓN!$M$8:$M$1082)++SUMIF('CARTERA años anteriores'!$C$9:$C$133,A376,'CARTERA años anteriores'!$M$9:$M$133)</f>
        <v>0</v>
      </c>
      <c r="G376" s="525">
        <f>SUMIF('EGRESOS DE CAJA'!$C$10:$C$2251,A376,'EGRESOS DE CAJA'!$G$10:$G$2251)</f>
        <v>0</v>
      </c>
      <c r="H376" s="512">
        <f t="shared" si="13"/>
        <v>0</v>
      </c>
      <c r="I376" s="512">
        <f t="shared" si="14"/>
        <v>0</v>
      </c>
      <c r="J376" s="557"/>
      <c r="K376" s="629"/>
    </row>
    <row r="377" spans="1:11" ht="18" customHeight="1" x14ac:dyDescent="0.2">
      <c r="A377" s="560">
        <v>369</v>
      </c>
      <c r="B377" s="511">
        <f>_xlfn.XLOOKUP(A377,Códigos!$A$11:$A$415,Códigos!$B$11:$B$415,"Verificar",0)</f>
        <v>0</v>
      </c>
      <c r="C377" s="525">
        <f>SUMIF('CARTERA años anteriores'!$C$9:$C$133,A377,'CARTERA años anteriores'!$J$9:$J$133)</f>
        <v>0</v>
      </c>
      <c r="D377" s="525">
        <f>SUMIF('CARTERA años anteriores'!$C$9:$C$234,A377,'CARTERA años anteriores'!$L$9:$L$234)</f>
        <v>0</v>
      </c>
      <c r="E377" s="525">
        <f>SUMIF(FACTURACIÓN!$C$8:$C$1082,A377,FACTURACIÓN!$K$8:$K$1082)</f>
        <v>0</v>
      </c>
      <c r="F377" s="525">
        <f>SUMIF('INGRESOS A CAJA'!$C$10:$C$954,A377,'INGRESOS A CAJA'!$F$10:$F$954)+SUMIF(FACTURACIÓN!$C$8:$C$1082,A377,FACTURACIÓN!$M$8:$M$1082)++SUMIF('CARTERA años anteriores'!$C$9:$C$133,A377,'CARTERA años anteriores'!$M$9:$M$133)</f>
        <v>0</v>
      </c>
      <c r="G377" s="525">
        <f>SUMIF('EGRESOS DE CAJA'!$C$10:$C$2251,A377,'EGRESOS DE CAJA'!$G$10:$G$2251)</f>
        <v>0</v>
      </c>
      <c r="H377" s="512">
        <f t="shared" si="13"/>
        <v>0</v>
      </c>
      <c r="I377" s="512">
        <f t="shared" si="14"/>
        <v>0</v>
      </c>
      <c r="J377" s="557"/>
      <c r="K377" s="629"/>
    </row>
    <row r="378" spans="1:11" ht="18" customHeight="1" x14ac:dyDescent="0.2">
      <c r="A378" s="560">
        <v>370</v>
      </c>
      <c r="B378" s="511">
        <f>_xlfn.XLOOKUP(A378,Códigos!$A$11:$A$415,Códigos!$B$11:$B$415,"Verificar",0)</f>
        <v>0</v>
      </c>
      <c r="C378" s="525">
        <f>SUMIF('CARTERA años anteriores'!$C$9:$C$133,A378,'CARTERA años anteriores'!$J$9:$J$133)</f>
        <v>0</v>
      </c>
      <c r="D378" s="525">
        <f>SUMIF('CARTERA años anteriores'!$C$9:$C$234,A378,'CARTERA años anteriores'!$L$9:$L$234)</f>
        <v>0</v>
      </c>
      <c r="E378" s="525">
        <f>SUMIF(FACTURACIÓN!$C$8:$C$1082,A378,FACTURACIÓN!$K$8:$K$1082)</f>
        <v>0</v>
      </c>
      <c r="F378" s="525">
        <f>SUMIF('INGRESOS A CAJA'!$C$10:$C$954,A378,'INGRESOS A CAJA'!$F$10:$F$954)+SUMIF(FACTURACIÓN!$C$8:$C$1082,A378,FACTURACIÓN!$M$8:$M$1082)++SUMIF('CARTERA años anteriores'!$C$9:$C$133,A378,'CARTERA años anteriores'!$M$9:$M$133)</f>
        <v>0</v>
      </c>
      <c r="G378" s="525">
        <f>SUMIF('EGRESOS DE CAJA'!$C$10:$C$2251,A378,'EGRESOS DE CAJA'!$G$10:$G$2251)</f>
        <v>0</v>
      </c>
      <c r="H378" s="512">
        <f t="shared" si="13"/>
        <v>0</v>
      </c>
      <c r="I378" s="512">
        <f t="shared" si="14"/>
        <v>0</v>
      </c>
      <c r="J378" s="557"/>
      <c r="K378" s="629"/>
    </row>
    <row r="379" spans="1:11" ht="18" customHeight="1" x14ac:dyDescent="0.2">
      <c r="A379" s="560">
        <v>371</v>
      </c>
      <c r="B379" s="511">
        <f>_xlfn.XLOOKUP(A379,Códigos!$A$11:$A$415,Códigos!$B$11:$B$415,"Verificar",0)</f>
        <v>0</v>
      </c>
      <c r="C379" s="525">
        <f>SUMIF('CARTERA años anteriores'!$C$9:$C$133,A379,'CARTERA años anteriores'!$J$9:$J$133)</f>
        <v>0</v>
      </c>
      <c r="D379" s="525">
        <f>SUMIF('CARTERA años anteriores'!$C$9:$C$234,A379,'CARTERA años anteriores'!$L$9:$L$234)</f>
        <v>0</v>
      </c>
      <c r="E379" s="525">
        <f>SUMIF(FACTURACIÓN!$C$8:$C$1082,A379,FACTURACIÓN!$K$8:$K$1082)</f>
        <v>0</v>
      </c>
      <c r="F379" s="525">
        <f>SUMIF('INGRESOS A CAJA'!$C$10:$C$954,A379,'INGRESOS A CAJA'!$F$10:$F$954)+SUMIF(FACTURACIÓN!$C$8:$C$1082,A379,FACTURACIÓN!$M$8:$M$1082)++SUMIF('CARTERA años anteriores'!$C$9:$C$133,A379,'CARTERA años anteriores'!$M$9:$M$133)</f>
        <v>0</v>
      </c>
      <c r="G379" s="525">
        <f>SUMIF('EGRESOS DE CAJA'!$C$10:$C$2251,A379,'EGRESOS DE CAJA'!$G$10:$G$2251)</f>
        <v>0</v>
      </c>
      <c r="H379" s="512">
        <f t="shared" si="13"/>
        <v>0</v>
      </c>
      <c r="I379" s="512">
        <f t="shared" si="14"/>
        <v>0</v>
      </c>
      <c r="J379" s="557"/>
      <c r="K379" s="629"/>
    </row>
    <row r="380" spans="1:11" ht="18" customHeight="1" x14ac:dyDescent="0.2">
      <c r="A380" s="560">
        <v>372</v>
      </c>
      <c r="B380" s="511">
        <f>_xlfn.XLOOKUP(A380,Códigos!$A$11:$A$415,Códigos!$B$11:$B$415,"Verificar",0)</f>
        <v>0</v>
      </c>
      <c r="C380" s="525">
        <f>SUMIF('CARTERA años anteriores'!$C$9:$C$133,A380,'CARTERA años anteriores'!$J$9:$J$133)</f>
        <v>0</v>
      </c>
      <c r="D380" s="525">
        <f>SUMIF('CARTERA años anteriores'!$C$9:$C$234,A380,'CARTERA años anteriores'!$L$9:$L$234)</f>
        <v>0</v>
      </c>
      <c r="E380" s="525">
        <f>SUMIF(FACTURACIÓN!$C$8:$C$1082,A380,FACTURACIÓN!$K$8:$K$1082)</f>
        <v>0</v>
      </c>
      <c r="F380" s="525">
        <f>SUMIF('INGRESOS A CAJA'!$C$10:$C$954,A380,'INGRESOS A CAJA'!$F$10:$F$954)+SUMIF(FACTURACIÓN!$C$8:$C$1082,A380,FACTURACIÓN!$M$8:$M$1082)++SUMIF('CARTERA años anteriores'!$C$9:$C$133,A380,'CARTERA años anteriores'!$M$9:$M$133)</f>
        <v>0</v>
      </c>
      <c r="G380" s="525">
        <f>SUMIF('EGRESOS DE CAJA'!$C$10:$C$2251,A380,'EGRESOS DE CAJA'!$G$10:$G$2251)</f>
        <v>0</v>
      </c>
      <c r="H380" s="512">
        <f t="shared" si="13"/>
        <v>0</v>
      </c>
      <c r="I380" s="512">
        <f t="shared" si="14"/>
        <v>0</v>
      </c>
      <c r="J380" s="557"/>
      <c r="K380" s="629"/>
    </row>
    <row r="381" spans="1:11" ht="18" customHeight="1" x14ac:dyDescent="0.2">
      <c r="A381" s="560">
        <v>373</v>
      </c>
      <c r="B381" s="511">
        <f>_xlfn.XLOOKUP(A381,Códigos!$A$11:$A$415,Códigos!$B$11:$B$415,"Verificar",0)</f>
        <v>0</v>
      </c>
      <c r="C381" s="525">
        <f>SUMIF('CARTERA años anteriores'!$C$9:$C$133,A381,'CARTERA años anteriores'!$J$9:$J$133)</f>
        <v>0</v>
      </c>
      <c r="D381" s="525">
        <f>SUMIF('CARTERA años anteriores'!$C$9:$C$234,A381,'CARTERA años anteriores'!$L$9:$L$234)</f>
        <v>0</v>
      </c>
      <c r="E381" s="525">
        <f>SUMIF(FACTURACIÓN!$C$8:$C$1082,A381,FACTURACIÓN!$K$8:$K$1082)</f>
        <v>0</v>
      </c>
      <c r="F381" s="525">
        <f>SUMIF('INGRESOS A CAJA'!$C$10:$C$954,A381,'INGRESOS A CAJA'!$F$10:$F$954)+SUMIF(FACTURACIÓN!$C$8:$C$1082,A381,FACTURACIÓN!$M$8:$M$1082)++SUMIF('CARTERA años anteriores'!$C$9:$C$133,A381,'CARTERA años anteriores'!$M$9:$M$133)</f>
        <v>0</v>
      </c>
      <c r="G381" s="525">
        <f>SUMIF('EGRESOS DE CAJA'!$C$10:$C$2251,A381,'EGRESOS DE CAJA'!$G$10:$G$2251)</f>
        <v>0</v>
      </c>
      <c r="H381" s="512">
        <f t="shared" si="13"/>
        <v>0</v>
      </c>
      <c r="I381" s="512">
        <f t="shared" si="14"/>
        <v>0</v>
      </c>
      <c r="J381" s="557"/>
      <c r="K381" s="629"/>
    </row>
    <row r="382" spans="1:11" ht="18" customHeight="1" x14ac:dyDescent="0.2">
      <c r="A382" s="560">
        <v>374</v>
      </c>
      <c r="B382" s="511">
        <f>_xlfn.XLOOKUP(A382,Códigos!$A$11:$A$415,Códigos!$B$11:$B$415,"Verificar",0)</f>
        <v>0</v>
      </c>
      <c r="C382" s="525">
        <f>SUMIF('CARTERA años anteriores'!$C$9:$C$133,A382,'CARTERA años anteriores'!$J$9:$J$133)</f>
        <v>0</v>
      </c>
      <c r="D382" s="525">
        <f>SUMIF('CARTERA años anteriores'!$C$9:$C$234,A382,'CARTERA años anteriores'!$L$9:$L$234)</f>
        <v>0</v>
      </c>
      <c r="E382" s="525">
        <f>SUMIF(FACTURACIÓN!$C$8:$C$1082,A382,FACTURACIÓN!$K$8:$K$1082)</f>
        <v>0</v>
      </c>
      <c r="F382" s="525">
        <f>SUMIF('INGRESOS A CAJA'!$C$10:$C$954,A382,'INGRESOS A CAJA'!$F$10:$F$954)+SUMIF(FACTURACIÓN!$C$8:$C$1082,A382,FACTURACIÓN!$M$8:$M$1082)++SUMIF('CARTERA años anteriores'!$C$9:$C$133,A382,'CARTERA años anteriores'!$M$9:$M$133)</f>
        <v>0</v>
      </c>
      <c r="G382" s="525">
        <f>SUMIF('EGRESOS DE CAJA'!$C$10:$C$2251,A382,'EGRESOS DE CAJA'!$G$10:$G$2251)</f>
        <v>0</v>
      </c>
      <c r="H382" s="512">
        <f t="shared" si="13"/>
        <v>0</v>
      </c>
      <c r="I382" s="512">
        <f t="shared" si="14"/>
        <v>0</v>
      </c>
      <c r="J382" s="557"/>
      <c r="K382" s="629"/>
    </row>
    <row r="383" spans="1:11" ht="18" customHeight="1" x14ac:dyDescent="0.2">
      <c r="A383" s="560">
        <v>375</v>
      </c>
      <c r="B383" s="511">
        <f>_xlfn.XLOOKUP(A383,Códigos!$A$11:$A$415,Códigos!$B$11:$B$415,"Verificar",0)</f>
        <v>0</v>
      </c>
      <c r="C383" s="525">
        <f>SUMIF('CARTERA años anteriores'!$C$9:$C$133,A383,'CARTERA años anteriores'!$J$9:$J$133)</f>
        <v>0</v>
      </c>
      <c r="D383" s="525">
        <f>SUMIF('CARTERA años anteriores'!$C$9:$C$234,A383,'CARTERA años anteriores'!$L$9:$L$234)</f>
        <v>0</v>
      </c>
      <c r="E383" s="525">
        <f>SUMIF(FACTURACIÓN!$C$8:$C$1082,A383,FACTURACIÓN!$K$8:$K$1082)</f>
        <v>0</v>
      </c>
      <c r="F383" s="525">
        <f>SUMIF('INGRESOS A CAJA'!$C$10:$C$954,A383,'INGRESOS A CAJA'!$F$10:$F$954)+SUMIF(FACTURACIÓN!$C$8:$C$1082,A383,FACTURACIÓN!$M$8:$M$1082)++SUMIF('CARTERA años anteriores'!$C$9:$C$133,A383,'CARTERA años anteriores'!$M$9:$M$133)</f>
        <v>0</v>
      </c>
      <c r="G383" s="525">
        <f>SUMIF('EGRESOS DE CAJA'!$C$10:$C$2251,A383,'EGRESOS DE CAJA'!$G$10:$G$2251)</f>
        <v>0</v>
      </c>
      <c r="H383" s="512">
        <f t="shared" si="13"/>
        <v>0</v>
      </c>
      <c r="I383" s="512">
        <f t="shared" si="14"/>
        <v>0</v>
      </c>
      <c r="J383" s="557"/>
      <c r="K383" s="629"/>
    </row>
    <row r="384" spans="1:11" ht="18" customHeight="1" x14ac:dyDescent="0.2">
      <c r="A384" s="560">
        <v>376</v>
      </c>
      <c r="B384" s="511">
        <f>_xlfn.XLOOKUP(A384,Códigos!$A$11:$A$415,Códigos!$B$11:$B$415,"Verificar",0)</f>
        <v>0</v>
      </c>
      <c r="C384" s="525">
        <f>SUMIF('CARTERA años anteriores'!$C$9:$C$133,A384,'CARTERA años anteriores'!$J$9:$J$133)</f>
        <v>0</v>
      </c>
      <c r="D384" s="525">
        <f>SUMIF('CARTERA años anteriores'!$C$9:$C$234,A384,'CARTERA años anteriores'!$L$9:$L$234)</f>
        <v>0</v>
      </c>
      <c r="E384" s="525">
        <f>SUMIF(FACTURACIÓN!$C$8:$C$1082,A384,FACTURACIÓN!$K$8:$K$1082)</f>
        <v>0</v>
      </c>
      <c r="F384" s="525">
        <f>SUMIF('INGRESOS A CAJA'!$C$10:$C$954,A384,'INGRESOS A CAJA'!$F$10:$F$954)+SUMIF(FACTURACIÓN!$C$8:$C$1082,A384,FACTURACIÓN!$M$8:$M$1082)++SUMIF('CARTERA años anteriores'!$C$9:$C$133,A384,'CARTERA años anteriores'!$M$9:$M$133)</f>
        <v>0</v>
      </c>
      <c r="G384" s="525">
        <f>SUMIF('EGRESOS DE CAJA'!$C$10:$C$2251,A384,'EGRESOS DE CAJA'!$G$10:$G$2251)</f>
        <v>0</v>
      </c>
      <c r="H384" s="512">
        <f t="shared" si="13"/>
        <v>0</v>
      </c>
      <c r="I384" s="512">
        <f t="shared" si="14"/>
        <v>0</v>
      </c>
      <c r="J384" s="557"/>
      <c r="K384" s="629"/>
    </row>
    <row r="385" spans="1:11" ht="18" customHeight="1" x14ac:dyDescent="0.2">
      <c r="A385" s="560">
        <v>377</v>
      </c>
      <c r="B385" s="511">
        <f>_xlfn.XLOOKUP(A385,Códigos!$A$11:$A$415,Códigos!$B$11:$B$415,"Verificar",0)</f>
        <v>0</v>
      </c>
      <c r="C385" s="525">
        <f>SUMIF('CARTERA años anteriores'!$C$9:$C$133,A385,'CARTERA años anteriores'!$J$9:$J$133)</f>
        <v>0</v>
      </c>
      <c r="D385" s="525">
        <f>(SUMIF('CARTERA años anteriores'!$C$9:$C$133,A385,'CARTERA años anteriores'!$L$9:$L$133)+SUMIF('CARTERA años anteriores'!$C$9:$C$133,A385,'CARTERA años anteriores'!$M$9:$M$133))*0</f>
        <v>0</v>
      </c>
      <c r="E385" s="525">
        <f>SUMIF(FACTURACIÓN!$C$8:$C$1082,A385,FACTURACIÓN!$K$8:$K$1082)</f>
        <v>0</v>
      </c>
      <c r="F385" s="525">
        <f>SUMIF('INGRESOS A CAJA'!$C$10:$C$954,A385,'INGRESOS A CAJA'!$F$10:$F$954)+SUMIF(FACTURACIÓN!$C$8:$C$1082,A385,FACTURACIÓN!$M$8:$M$1082)++SUMIF('CARTERA años anteriores'!$C$9:$C$133,A385,'CARTERA años anteriores'!$M$9:$M$133)</f>
        <v>0</v>
      </c>
      <c r="G385" s="525">
        <f>SUMIF('EGRESOS DE CAJA'!$C$10:$C$2251,A385,'EGRESOS DE CAJA'!$G$10:$G$2251)</f>
        <v>0</v>
      </c>
      <c r="H385" s="512">
        <f t="shared" si="13"/>
        <v>0</v>
      </c>
      <c r="I385" s="512">
        <f t="shared" si="14"/>
        <v>0</v>
      </c>
      <c r="J385" s="557"/>
      <c r="K385" s="629"/>
    </row>
    <row r="386" spans="1:11" ht="18" customHeight="1" x14ac:dyDescent="0.2">
      <c r="A386" s="560">
        <v>378</v>
      </c>
      <c r="B386" s="511">
        <f>_xlfn.XLOOKUP(A386,Códigos!$A$11:$A$415,Códigos!$B$11:$B$415,"Verificar",0)</f>
        <v>0</v>
      </c>
      <c r="C386" s="525">
        <f>SUMIF('CARTERA años anteriores'!$C$9:$C$133,A386,'CARTERA años anteriores'!$J$9:$J$133)</f>
        <v>0</v>
      </c>
      <c r="D386" s="525">
        <f>(SUMIF('CARTERA años anteriores'!$C$9:$C$133,A386,'CARTERA años anteriores'!$L$9:$L$133)+SUMIF('CARTERA años anteriores'!$C$9:$C$133,A386,'CARTERA años anteriores'!$M$9:$M$133))*0</f>
        <v>0</v>
      </c>
      <c r="E386" s="525">
        <f>SUMIF(FACTURACIÓN!$C$8:$C$1082,A386,FACTURACIÓN!$K$8:$K$1082)</f>
        <v>0</v>
      </c>
      <c r="F386" s="525">
        <f>SUMIF('INGRESOS A CAJA'!$C$10:$C$954,A386,'INGRESOS A CAJA'!$F$10:$F$954)+SUMIF(FACTURACIÓN!$C$8:$C$1082,A386,FACTURACIÓN!$M$8:$M$1082)++SUMIF('CARTERA años anteriores'!$C$9:$C$133,A386,'CARTERA años anteriores'!$M$9:$M$133)</f>
        <v>0</v>
      </c>
      <c r="G386" s="525">
        <f>SUMIF('EGRESOS DE CAJA'!$C$10:$C$2251,A386,'EGRESOS DE CAJA'!$G$10:$G$2251)</f>
        <v>0</v>
      </c>
      <c r="H386" s="512">
        <f t="shared" si="13"/>
        <v>0</v>
      </c>
      <c r="I386" s="512">
        <f t="shared" si="14"/>
        <v>0</v>
      </c>
      <c r="J386" s="557"/>
      <c r="K386" s="629"/>
    </row>
    <row r="387" spans="1:11" ht="18" customHeight="1" x14ac:dyDescent="0.2">
      <c r="A387" s="560">
        <v>379</v>
      </c>
      <c r="B387" s="511">
        <f>_xlfn.XLOOKUP(A387,Códigos!$A$11:$A$415,Códigos!$B$11:$B$415,"Verificar",0)</f>
        <v>0</v>
      </c>
      <c r="C387" s="525">
        <f>SUMIF('CARTERA años anteriores'!$C$9:$C$133,A387,'CARTERA años anteriores'!$J$9:$J$133)</f>
        <v>0</v>
      </c>
      <c r="D387" s="525">
        <f>(SUMIF('CARTERA años anteriores'!$C$9:$C$133,A387,'CARTERA años anteriores'!$L$9:$L$133)+SUMIF('CARTERA años anteriores'!$C$9:$C$133,A387,'CARTERA años anteriores'!$M$9:$M$133))*0</f>
        <v>0</v>
      </c>
      <c r="E387" s="525">
        <f>SUMIF(FACTURACIÓN!$C$8:$C$1082,A387,FACTURACIÓN!$K$8:$K$1082)</f>
        <v>0</v>
      </c>
      <c r="F387" s="525">
        <f>SUMIF('INGRESOS A CAJA'!$C$10:$C$954,A387,'INGRESOS A CAJA'!$F$10:$F$954)+SUMIF(FACTURACIÓN!$C$8:$C$1082,A387,FACTURACIÓN!$M$8:$M$1082)++SUMIF('CARTERA años anteriores'!$C$9:$C$133,A387,'CARTERA años anteriores'!$M$9:$M$133)</f>
        <v>0</v>
      </c>
      <c r="G387" s="525">
        <f>SUMIF('EGRESOS DE CAJA'!$C$10:$C$2251,A387,'EGRESOS DE CAJA'!$G$10:$G$2251)</f>
        <v>0</v>
      </c>
      <c r="H387" s="512">
        <f t="shared" si="13"/>
        <v>0</v>
      </c>
      <c r="I387" s="512">
        <f t="shared" si="14"/>
        <v>0</v>
      </c>
      <c r="J387" s="557"/>
      <c r="K387" s="629"/>
    </row>
    <row r="388" spans="1:11" ht="18" customHeight="1" x14ac:dyDescent="0.2">
      <c r="A388" s="560">
        <v>380</v>
      </c>
      <c r="B388" s="511">
        <f>_xlfn.XLOOKUP(A388,Códigos!$A$11:$A$415,Códigos!$B$11:$B$415,"Verificar",0)</f>
        <v>0</v>
      </c>
      <c r="C388" s="525">
        <f>SUMIF('CARTERA años anteriores'!$C$9:$C$133,A388,'CARTERA años anteriores'!$J$9:$J$133)</f>
        <v>0</v>
      </c>
      <c r="D388" s="525">
        <f>(SUMIF('CARTERA años anteriores'!$C$9:$C$133,A388,'CARTERA años anteriores'!$L$9:$L$133)+SUMIF('CARTERA años anteriores'!$C$9:$C$133,A388,'CARTERA años anteriores'!$M$9:$M$133))*0</f>
        <v>0</v>
      </c>
      <c r="E388" s="525">
        <f>SUMIF(FACTURACIÓN!$C$8:$C$1082,A388,FACTURACIÓN!$K$8:$K$1082)</f>
        <v>0</v>
      </c>
      <c r="F388" s="525">
        <f>SUMIF('INGRESOS A CAJA'!$C$10:$C$954,A388,'INGRESOS A CAJA'!$F$10:$F$954)+SUMIF(FACTURACIÓN!$C$8:$C$1082,A388,FACTURACIÓN!$M$8:$M$1082)++SUMIF('CARTERA años anteriores'!$C$9:$C$133,A388,'CARTERA años anteriores'!$M$9:$M$133)</f>
        <v>0</v>
      </c>
      <c r="G388" s="525">
        <f>SUMIF('EGRESOS DE CAJA'!$C$10:$C$2251,A388,'EGRESOS DE CAJA'!$G$10:$G$2251)</f>
        <v>0</v>
      </c>
      <c r="H388" s="512">
        <f t="shared" si="13"/>
        <v>0</v>
      </c>
      <c r="I388" s="512">
        <f t="shared" si="14"/>
        <v>0</v>
      </c>
      <c r="J388" s="557"/>
      <c r="K388" s="629"/>
    </row>
    <row r="389" spans="1:11" ht="18" customHeight="1" x14ac:dyDescent="0.2">
      <c r="A389" s="103"/>
      <c r="B389" s="506"/>
      <c r="C389" s="81"/>
      <c r="D389" s="81"/>
      <c r="E389" s="81"/>
      <c r="F389" s="81"/>
      <c r="G389" s="81"/>
      <c r="H389" s="84"/>
      <c r="I389" s="84"/>
      <c r="J389" s="555"/>
      <c r="K389" s="625"/>
    </row>
    <row r="390" spans="1:11" s="76" customFormat="1" x14ac:dyDescent="0.2">
      <c r="A390" s="645"/>
      <c r="B390" s="499" t="s">
        <v>103</v>
      </c>
      <c r="C390" s="89" t="e">
        <f>SUM(C7:C389)</f>
        <v>#REF!</v>
      </c>
      <c r="D390" s="89">
        <f t="shared" ref="D390:I390" si="15">SUM(D7:D389)</f>
        <v>70794200</v>
      </c>
      <c r="E390" s="89">
        <f t="shared" si="15"/>
        <v>153531240</v>
      </c>
      <c r="F390" s="89" t="e">
        <f t="shared" si="15"/>
        <v>#REF!</v>
      </c>
      <c r="G390" s="89">
        <f t="shared" si="15"/>
        <v>78562200</v>
      </c>
      <c r="H390" s="89" t="e">
        <f t="shared" si="15"/>
        <v>#REF!</v>
      </c>
      <c r="I390" s="89">
        <f t="shared" si="15"/>
        <v>-49864800</v>
      </c>
      <c r="J390" s="555"/>
      <c r="K390" s="625"/>
    </row>
  </sheetData>
  <mergeCells count="1">
    <mergeCell ref="C5:D5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56"/>
  <sheetViews>
    <sheetView showGridLines="0" showOutlineSymbols="0" defaultGridColor="0" colorId="8" zoomScale="80" zoomScaleNormal="8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baseColWidth="10" defaultColWidth="9.6640625" defaultRowHeight="12.75" x14ac:dyDescent="0.2"/>
  <cols>
    <col min="1" max="1" width="10.44140625" style="1" customWidth="1"/>
    <col min="2" max="2" width="12.77734375" style="722" customWidth="1"/>
    <col min="3" max="3" width="7.109375" style="337" customWidth="1"/>
    <col min="4" max="4" width="40.33203125" style="251" customWidth="1"/>
    <col min="5" max="5" width="40.88671875" style="68" customWidth="1"/>
    <col min="6" max="6" width="12.88671875" style="51" customWidth="1"/>
    <col min="7" max="8" width="11.77734375" style="51" customWidth="1"/>
    <col min="9" max="9" width="12.88671875" style="51" customWidth="1"/>
    <col min="10" max="10" width="13.77734375" style="252" customWidth="1"/>
    <col min="11" max="11" width="1.77734375" style="252" customWidth="1"/>
    <col min="12" max="12" width="16.44140625" style="51" customWidth="1"/>
    <col min="13" max="13" width="10.88671875" style="51" customWidth="1"/>
    <col min="14" max="14" width="12.88671875" style="62" customWidth="1"/>
    <col min="15" max="15" width="12.6640625" style="252" customWidth="1"/>
    <col min="16" max="16" width="15.6640625" style="68" customWidth="1"/>
    <col min="17" max="17" width="20.21875" style="1328" bestFit="1" customWidth="1"/>
    <col min="18" max="18" width="37" style="715" bestFit="1" customWidth="1"/>
    <col min="19" max="19" width="1.6640625" style="1" customWidth="1"/>
    <col min="20" max="16384" width="9.6640625" style="1"/>
  </cols>
  <sheetData>
    <row r="1" spans="1:18" s="31" customFormat="1" x14ac:dyDescent="0.2">
      <c r="A1" s="225" t="str">
        <f>+Códigos!$A$1</f>
        <v>LIBRO DIARIO OFICINA</v>
      </c>
      <c r="B1" s="721"/>
      <c r="C1" s="93"/>
      <c r="D1" s="69"/>
      <c r="E1" s="383" t="s">
        <v>411</v>
      </c>
      <c r="F1" s="229"/>
      <c r="G1" s="229"/>
      <c r="H1" s="229"/>
      <c r="I1" s="229"/>
      <c r="J1" s="229"/>
      <c r="K1" s="816"/>
      <c r="L1" s="229"/>
      <c r="M1" s="229"/>
      <c r="N1" s="229"/>
      <c r="O1" s="553"/>
      <c r="P1" s="233"/>
      <c r="Q1" s="1328"/>
      <c r="R1" s="714"/>
    </row>
    <row r="2" spans="1:18" x14ac:dyDescent="0.2">
      <c r="A2" s="31" t="s">
        <v>106</v>
      </c>
      <c r="E2" s="206" t="s">
        <v>578</v>
      </c>
      <c r="F2" s="128">
        <v>214007129</v>
      </c>
      <c r="G2" s="128">
        <v>8679408</v>
      </c>
      <c r="H2" s="128">
        <v>6074552</v>
      </c>
      <c r="I2" s="128">
        <v>51727800</v>
      </c>
      <c r="J2" s="128">
        <v>216611985</v>
      </c>
      <c r="K2" s="816"/>
      <c r="L2" s="128">
        <v>51727800</v>
      </c>
      <c r="M2" s="128">
        <v>0</v>
      </c>
      <c r="N2" s="128">
        <v>164884185</v>
      </c>
      <c r="O2" s="252">
        <v>0</v>
      </c>
    </row>
    <row r="3" spans="1:18" x14ac:dyDescent="0.2">
      <c r="A3" s="66" t="str">
        <f>+Códigos!$A$3</f>
        <v>AÑO:</v>
      </c>
      <c r="B3" s="772">
        <f>+Códigos!$B$3</f>
        <v>2025</v>
      </c>
      <c r="F3" s="498">
        <f>+F1-F2</f>
        <v>-214007129</v>
      </c>
      <c r="G3" s="498">
        <f>+G1-G2</f>
        <v>-8679408</v>
      </c>
      <c r="H3" s="498">
        <f>+H1-H2</f>
        <v>-6074552</v>
      </c>
      <c r="I3" s="498">
        <f>+I1-I2</f>
        <v>-51727800</v>
      </c>
      <c r="J3" s="498">
        <f>+J1-J2</f>
        <v>-216611985</v>
      </c>
      <c r="K3" s="816"/>
      <c r="L3" s="498">
        <f>+L1-L2</f>
        <v>-51727800</v>
      </c>
      <c r="M3" s="498">
        <f>+M1-M2</f>
        <v>0</v>
      </c>
      <c r="N3" s="498">
        <f>+N1-N2</f>
        <v>-164884185</v>
      </c>
      <c r="O3" s="252">
        <f>+O1-O2</f>
        <v>0</v>
      </c>
      <c r="P3" s="337"/>
    </row>
    <row r="4" spans="1:18" x14ac:dyDescent="0.2">
      <c r="A4" s="27"/>
      <c r="F4" s="498"/>
      <c r="G4" s="498"/>
      <c r="H4" s="498"/>
      <c r="I4" s="498"/>
      <c r="J4" s="498"/>
      <c r="K4" s="816"/>
      <c r="L4" s="498"/>
      <c r="M4" s="498"/>
      <c r="N4" s="498"/>
      <c r="P4" s="337"/>
    </row>
    <row r="5" spans="1:18" s="269" customFormat="1" ht="42.75" thickBot="1" x14ac:dyDescent="0.25">
      <c r="A5" s="270" t="s">
        <v>326</v>
      </c>
      <c r="B5" s="720" t="s">
        <v>3</v>
      </c>
      <c r="C5" s="271" t="s">
        <v>377</v>
      </c>
      <c r="D5" s="246" t="s">
        <v>579</v>
      </c>
      <c r="E5" s="351" t="s">
        <v>19</v>
      </c>
      <c r="F5" s="665" t="s">
        <v>402</v>
      </c>
      <c r="G5" s="665" t="s">
        <v>403</v>
      </c>
      <c r="H5" s="666" t="s">
        <v>320</v>
      </c>
      <c r="I5" s="665" t="s">
        <v>653</v>
      </c>
      <c r="J5" s="811" t="s">
        <v>600</v>
      </c>
      <c r="K5" s="816"/>
      <c r="L5" s="813" t="s">
        <v>650</v>
      </c>
      <c r="M5" s="814" t="s">
        <v>267</v>
      </c>
      <c r="N5" s="814" t="s">
        <v>601</v>
      </c>
      <c r="O5" s="815" t="s">
        <v>364</v>
      </c>
      <c r="P5" s="812" t="s">
        <v>323</v>
      </c>
      <c r="Q5" s="1329" t="s">
        <v>324</v>
      </c>
      <c r="R5" s="348" t="s">
        <v>26</v>
      </c>
    </row>
    <row r="6" spans="1:18" ht="12" customHeight="1" thickTop="1" thickBot="1" x14ac:dyDescent="0.25">
      <c r="A6" s="8"/>
      <c r="B6" s="723"/>
      <c r="C6" s="646"/>
      <c r="D6" s="259"/>
      <c r="E6" s="260"/>
      <c r="F6" s="1363"/>
      <c r="G6" s="1364"/>
      <c r="H6" s="1364"/>
      <c r="I6" s="1364"/>
      <c r="J6" s="1365"/>
      <c r="K6" s="816"/>
      <c r="L6" s="58"/>
      <c r="M6" s="58"/>
      <c r="N6" s="226"/>
      <c r="O6" s="521"/>
      <c r="P6" s="260"/>
      <c r="Q6" s="1330"/>
      <c r="R6" s="716"/>
    </row>
    <row r="7" spans="1:18" ht="12" customHeight="1" thickTop="1" thickBot="1" x14ac:dyDescent="0.25">
      <c r="A7" s="8"/>
      <c r="B7" s="723"/>
      <c r="C7" s="646"/>
      <c r="D7" s="259"/>
      <c r="E7" s="260"/>
      <c r="F7" s="1357" t="s">
        <v>727</v>
      </c>
      <c r="G7" s="1358"/>
      <c r="H7" s="1358"/>
      <c r="I7" s="1358"/>
      <c r="J7" s="1359"/>
      <c r="K7" s="816"/>
      <c r="L7" s="1360" t="s">
        <v>756</v>
      </c>
      <c r="M7" s="1361"/>
      <c r="N7" s="1361"/>
      <c r="O7" s="1362"/>
      <c r="P7" s="501"/>
      <c r="Q7" s="1330"/>
      <c r="R7" s="716"/>
    </row>
    <row r="8" spans="1:18" ht="5.0999999999999996" customHeight="1" thickTop="1" x14ac:dyDescent="0.2">
      <c r="A8" s="34"/>
      <c r="B8" s="724"/>
      <c r="C8" s="67"/>
      <c r="D8" s="349"/>
      <c r="E8" s="67"/>
      <c r="F8" s="59"/>
      <c r="G8" s="59"/>
      <c r="H8" s="59"/>
      <c r="I8" s="59"/>
      <c r="J8" s="522"/>
      <c r="K8" s="522"/>
      <c r="L8" s="59"/>
      <c r="M8" s="59"/>
      <c r="N8" s="227"/>
      <c r="O8" s="522"/>
      <c r="P8" s="378"/>
      <c r="Q8" s="1331"/>
      <c r="R8" s="717"/>
    </row>
    <row r="9" spans="1:18" x14ac:dyDescent="0.2">
      <c r="K9" s="816"/>
    </row>
    <row r="10" spans="1:18" ht="15" x14ac:dyDescent="0.2">
      <c r="A10" s="224" t="s">
        <v>407</v>
      </c>
      <c r="B10" s="725"/>
      <c r="K10" s="816"/>
    </row>
    <row r="11" spans="1:18" x14ac:dyDescent="0.2">
      <c r="A11" s="246" t="s">
        <v>682</v>
      </c>
      <c r="B11" s="246" t="s">
        <v>681</v>
      </c>
      <c r="K11" s="816"/>
    </row>
    <row r="12" spans="1:18" s="63" customFormat="1" x14ac:dyDescent="0.2">
      <c r="A12" s="392" t="s">
        <v>10</v>
      </c>
      <c r="B12" s="392">
        <v>5</v>
      </c>
      <c r="C12" s="286">
        <v>262</v>
      </c>
      <c r="D12" s="350" t="str">
        <f>_xlfn.XLOOKUP(C12,Códigos!$A$11:$A$415,Códigos!$B$11:$B$415,"Verificar",0)</f>
        <v>NOMBRE 95</v>
      </c>
      <c r="E12" s="326" t="s">
        <v>404</v>
      </c>
      <c r="F12" s="650">
        <f>IF('EMPLEADO 2'!E9&gt;0,'EMPLEADO 2'!E9,'EMPLEADO 2'!E9)</f>
        <v>43100984</v>
      </c>
      <c r="G12" s="652"/>
      <c r="H12" s="652"/>
      <c r="I12" s="652"/>
      <c r="J12" s="651">
        <f>IF((+F12+G12-H12-I12)&gt;0,(+F12+G12-H12-I12),0)</f>
        <v>43100984</v>
      </c>
      <c r="K12" s="816"/>
      <c r="L12" s="651">
        <f>SUMIF('INGRESOS A CAJA'!$B$11:$B$4478,A12,'INGRESOS A CAJA'!$F$11:$F$4478)</f>
        <v>1744200</v>
      </c>
      <c r="M12" s="651">
        <f>SUMIF('EGRESOS DE CAJA'!$B$11:$B$5553,B12,'EGRESOS DE CAJA'!$G$11:$G$5553)</f>
        <v>12065900</v>
      </c>
      <c r="N12" s="533">
        <f>IF((J12-L12+M12)&gt;0,(J12-L12+M12),0)</f>
        <v>53422684</v>
      </c>
      <c r="O12" s="525">
        <f>IF((F12)&lt;0,(F12-L12+M12),0)</f>
        <v>0</v>
      </c>
      <c r="P12" s="808"/>
      <c r="Q12" s="1332"/>
      <c r="R12" s="719"/>
    </row>
    <row r="13" spans="1:18" s="64" customFormat="1" x14ac:dyDescent="0.2">
      <c r="A13" s="392" t="s">
        <v>9</v>
      </c>
      <c r="B13" s="392">
        <v>8</v>
      </c>
      <c r="C13" s="286">
        <v>283</v>
      </c>
      <c r="D13" s="350" t="str">
        <f>_xlfn.XLOOKUP(C13,Códigos!$A$11:$A$415,Códigos!$B$11:$B$415,"Verificar",0)</f>
        <v>NOMBRE 104</v>
      </c>
      <c r="E13" s="326" t="s">
        <v>404</v>
      </c>
      <c r="F13" s="650" t="e">
        <f>IF(#REF!&lt;0,-#REF!,-#REF!)</f>
        <v>#REF!</v>
      </c>
      <c r="G13" s="653"/>
      <c r="H13" s="653"/>
      <c r="I13" s="653"/>
      <c r="J13" s="651" t="e">
        <f>+F13+G13-H13-I13</f>
        <v>#REF!</v>
      </c>
      <c r="K13" s="816"/>
      <c r="L13" s="651">
        <f>SUMIF('INGRESOS A CAJA'!$B$11:$B$4478,A13,'INGRESOS A CAJA'!$F$11:$F$4478)</f>
        <v>0</v>
      </c>
      <c r="M13" s="651" t="e">
        <f>+#REF!</f>
        <v>#REF!</v>
      </c>
      <c r="N13" s="533" t="e">
        <f>IF((J13-L13+M13)&gt;0,(J13-L13+M13),0)</f>
        <v>#REF!</v>
      </c>
      <c r="O13" s="525" t="e">
        <f>IF((F13)&lt;0,(F13-L13-M13),0)</f>
        <v>#REF!</v>
      </c>
      <c r="P13" s="808"/>
      <c r="Q13" s="1332"/>
      <c r="R13" s="719"/>
    </row>
    <row r="14" spans="1:18" s="64" customFormat="1" x14ac:dyDescent="0.2">
      <c r="A14" s="392" t="s">
        <v>14</v>
      </c>
      <c r="B14" s="392">
        <v>6</v>
      </c>
      <c r="C14" s="647">
        <v>353</v>
      </c>
      <c r="D14" s="367" t="str">
        <f>_xlfn.XLOOKUP(C14,Códigos!$A$11:$A$415,Códigos!$B$11:$B$415,"Verificar",0)</f>
        <v>NOMBRE 31</v>
      </c>
      <c r="E14" s="368" t="s">
        <v>404</v>
      </c>
      <c r="F14" s="650">
        <f>IF('EMPLEADO 1'!E8&gt;0,'EMPLEADO 1'!E8,'EMPLEADO 1'!E8)</f>
        <v>0</v>
      </c>
      <c r="G14" s="654"/>
      <c r="H14" s="654"/>
      <c r="I14" s="654"/>
      <c r="J14" s="651">
        <f>+F14+G14-H14-I14</f>
        <v>0</v>
      </c>
      <c r="K14" s="816"/>
      <c r="L14" s="651">
        <f>SUMIF('INGRESOS A CAJA'!$B$11:$B$4478,A14,'INGRESOS A CAJA'!$F$11:$F$4478)</f>
        <v>0</v>
      </c>
      <c r="M14" s="651">
        <f>SUMIF('EGRESOS DE CAJA'!$B$12:$B$5553,B14,'EGRESOS DE CAJA'!$G$11:$G$5553)</f>
        <v>2603900</v>
      </c>
      <c r="N14" s="533">
        <f>IF((J14-L14+M14)&gt;0,(J14-L14+M14),0)</f>
        <v>2603900</v>
      </c>
      <c r="O14" s="525">
        <f>IF((F14)&lt;0,(F14-L14-M14),0)</f>
        <v>0</v>
      </c>
      <c r="P14" s="808"/>
      <c r="Q14" s="1332"/>
      <c r="R14" s="719"/>
    </row>
    <row r="15" spans="1:18" s="65" customFormat="1" ht="15" customHeight="1" x14ac:dyDescent="0.2">
      <c r="A15" s="374" t="s">
        <v>102</v>
      </c>
      <c r="B15" s="726" t="str">
        <f>+A10</f>
        <v>OFICINA</v>
      </c>
      <c r="C15" s="648"/>
      <c r="D15" s="375"/>
      <c r="E15" s="376"/>
      <c r="F15" s="377" t="e">
        <f>SUM(F11:F14)</f>
        <v>#REF!</v>
      </c>
      <c r="G15" s="377">
        <f t="shared" ref="G15:O15" si="0">SUM(G11:G14)</f>
        <v>0</v>
      </c>
      <c r="H15" s="377">
        <f>SUM(H11:H14)</f>
        <v>0</v>
      </c>
      <c r="I15" s="377">
        <f>SUM(I11:I14)</f>
        <v>0</v>
      </c>
      <c r="J15" s="523" t="e">
        <f>SUM(J11:J14)</f>
        <v>#REF!</v>
      </c>
      <c r="K15" s="816"/>
      <c r="L15" s="377">
        <f t="shared" si="0"/>
        <v>1744200</v>
      </c>
      <c r="M15" s="377" t="e">
        <f t="shared" si="0"/>
        <v>#REF!</v>
      </c>
      <c r="N15" s="377" t="e">
        <f t="shared" si="0"/>
        <v>#REF!</v>
      </c>
      <c r="O15" s="523" t="e">
        <f t="shared" si="0"/>
        <v>#REF!</v>
      </c>
      <c r="P15" s="373"/>
      <c r="Q15" s="1333"/>
      <c r="R15" s="718"/>
    </row>
    <row r="19" spans="1:17" x14ac:dyDescent="0.2">
      <c r="A19" s="379" t="s">
        <v>350</v>
      </c>
      <c r="B19" s="935">
        <v>43299</v>
      </c>
      <c r="C19" s="649">
        <v>32</v>
      </c>
      <c r="D19" s="350" t="str">
        <f>_xlfn.XLOOKUP(C19,Códigos!$A$11:$A$415,Códigos!$B$11:$B$415,"Verificar",0)</f>
        <v>NOMBRE 199</v>
      </c>
      <c r="E19" s="326" t="s">
        <v>408</v>
      </c>
      <c r="F19" s="370">
        <v>127500</v>
      </c>
      <c r="G19" s="657"/>
      <c r="H19" s="655"/>
      <c r="I19" s="658"/>
      <c r="J19" s="552">
        <f>+F19+G19-H19-I19</f>
        <v>127500</v>
      </c>
      <c r="K19" s="816"/>
      <c r="L19" s="788">
        <v>0</v>
      </c>
      <c r="M19" s="788">
        <v>0</v>
      </c>
      <c r="N19" s="533">
        <f>IF((J19-L19-M19)&gt;0,(J19-L19-M19),0)</f>
        <v>127500</v>
      </c>
      <c r="O19" s="525">
        <f>IF((J19-L19-M19)&lt;0,(J19-L19-M19),0)</f>
        <v>0</v>
      </c>
      <c r="P19" s="808"/>
      <c r="Q19" s="1332"/>
    </row>
    <row r="20" spans="1:17" x14ac:dyDescent="0.2">
      <c r="A20" s="372" t="s">
        <v>406</v>
      </c>
      <c r="B20" s="935"/>
      <c r="C20" s="363"/>
      <c r="D20" s="371"/>
      <c r="E20" s="369"/>
      <c r="F20" s="366">
        <f>SUM(F19:F19)</f>
        <v>127500</v>
      </c>
      <c r="G20" s="366">
        <f>SUM(G19:G19)</f>
        <v>0</v>
      </c>
      <c r="H20" s="366">
        <f>SUM(H19:H19)</f>
        <v>0</v>
      </c>
      <c r="I20" s="366">
        <f>SUM(I19:I19)</f>
        <v>0</v>
      </c>
      <c r="J20" s="366">
        <f>SUM(J19:J19)</f>
        <v>127500</v>
      </c>
      <c r="K20" s="816"/>
      <c r="L20" s="809">
        <f>SUM(L19:L19)</f>
        <v>0</v>
      </c>
      <c r="M20" s="809">
        <f>SUM(M19:M19)</f>
        <v>0</v>
      </c>
      <c r="N20" s="366">
        <f>SUM(N19:N19)</f>
        <v>127500</v>
      </c>
      <c r="O20" s="366">
        <f>SUM(O19:O19)</f>
        <v>0</v>
      </c>
      <c r="P20" s="65"/>
    </row>
    <row r="21" spans="1:17" x14ac:dyDescent="0.2">
      <c r="B21" s="935"/>
      <c r="K21" s="816"/>
    </row>
    <row r="22" spans="1:17" x14ac:dyDescent="0.2">
      <c r="A22" s="192" t="s">
        <v>266</v>
      </c>
      <c r="B22" s="935"/>
      <c r="D22" s="256"/>
      <c r="E22" s="261"/>
      <c r="F22" s="55"/>
      <c r="G22" s="55"/>
      <c r="H22" s="55"/>
      <c r="I22" s="55"/>
      <c r="J22" s="333"/>
      <c r="K22" s="816"/>
      <c r="L22" s="55"/>
      <c r="M22" s="55"/>
      <c r="N22" s="228"/>
      <c r="O22" s="333"/>
    </row>
    <row r="23" spans="1:17" x14ac:dyDescent="0.2">
      <c r="A23" s="30" t="s">
        <v>2055</v>
      </c>
      <c r="B23" s="935"/>
      <c r="D23" s="256"/>
      <c r="E23" s="261"/>
      <c r="F23" s="55"/>
      <c r="G23" s="55"/>
      <c r="H23" s="55"/>
      <c r="I23" s="55"/>
      <c r="J23" s="333"/>
      <c r="K23" s="816"/>
      <c r="L23" s="55"/>
      <c r="M23" s="55"/>
      <c r="N23" s="228"/>
      <c r="O23" s="333"/>
    </row>
    <row r="24" spans="1:17" x14ac:dyDescent="0.2">
      <c r="A24" s="184"/>
      <c r="B24" s="935"/>
      <c r="K24" s="816"/>
    </row>
    <row r="25" spans="1:17" ht="13.5" customHeight="1" x14ac:dyDescent="0.2">
      <c r="A25" s="379" t="s">
        <v>325</v>
      </c>
      <c r="B25" s="935">
        <v>43336</v>
      </c>
      <c r="C25" s="649">
        <v>275</v>
      </c>
      <c r="D25" s="350" t="str">
        <f>_xlfn.XLOOKUP(C25,Códigos!$A$11:$A$415,Códigos!$B$11:$B$415,"Verificar",0)</f>
        <v>NOMBRE 155</v>
      </c>
      <c r="E25" s="326" t="s">
        <v>412</v>
      </c>
      <c r="F25" s="370">
        <f>220000*0</f>
        <v>0</v>
      </c>
      <c r="G25" s="657"/>
      <c r="H25" s="655"/>
      <c r="I25" s="658"/>
      <c r="J25" s="552">
        <f t="shared" ref="J25" si="1">+F25+G25-H25-I25</f>
        <v>0</v>
      </c>
      <c r="K25" s="816"/>
      <c r="L25" s="788">
        <v>0</v>
      </c>
      <c r="M25" s="788">
        <v>0</v>
      </c>
      <c r="N25" s="1259">
        <f>IF((J25-L25-M25)&gt;0,(J25-L25-M25),0)*0</f>
        <v>0</v>
      </c>
      <c r="O25" s="525">
        <f t="shared" ref="O25" si="2">IF((J25-L25-M25)&lt;0,(J25-L25-M25),0)</f>
        <v>0</v>
      </c>
      <c r="P25" s="808"/>
      <c r="Q25" s="1332"/>
    </row>
    <row r="26" spans="1:17" x14ac:dyDescent="0.2">
      <c r="A26" s="372" t="s">
        <v>406</v>
      </c>
      <c r="B26" s="935" t="str">
        <f>+A23</f>
        <v>CUENTAS DE COBRO -OFICINA-</v>
      </c>
      <c r="C26" s="363"/>
      <c r="D26" s="371"/>
      <c r="E26" s="381"/>
      <c r="F26" s="366">
        <f>SUM(F24:F25)</f>
        <v>0</v>
      </c>
      <c r="G26" s="366">
        <f>SUM(G24:G25)</f>
        <v>0</v>
      </c>
      <c r="H26" s="366">
        <f>SUM(H24:H25)</f>
        <v>0</v>
      </c>
      <c r="I26" s="366">
        <f>SUM(I24:I25)</f>
        <v>0</v>
      </c>
      <c r="J26" s="366">
        <f>SUM(J24:J25)</f>
        <v>0</v>
      </c>
      <c r="K26" s="816"/>
      <c r="L26" s="809">
        <f>SUM(L24:L25)</f>
        <v>0</v>
      </c>
      <c r="M26" s="809">
        <f>SUM(M24:M25)</f>
        <v>0</v>
      </c>
      <c r="N26" s="366">
        <f>SUM(N24:N25)</f>
        <v>0</v>
      </c>
      <c r="O26" s="366">
        <f>SUM(O24:O25)</f>
        <v>0</v>
      </c>
      <c r="P26" s="65"/>
    </row>
    <row r="27" spans="1:17" x14ac:dyDescent="0.2">
      <c r="A27" s="192"/>
      <c r="B27" s="935"/>
      <c r="C27" s="93"/>
      <c r="D27" s="69"/>
      <c r="E27" s="65"/>
      <c r="F27" s="53"/>
      <c r="G27" s="53"/>
      <c r="H27" s="53"/>
      <c r="I27" s="53"/>
      <c r="J27" s="70"/>
      <c r="K27" s="816"/>
      <c r="L27" s="53"/>
      <c r="M27" s="53"/>
      <c r="N27" s="96"/>
      <c r="O27" s="70"/>
      <c r="P27" s="65"/>
    </row>
    <row r="28" spans="1:17" x14ac:dyDescent="0.2">
      <c r="A28" s="31" t="s">
        <v>107</v>
      </c>
      <c r="B28" s="935"/>
      <c r="C28" s="93"/>
      <c r="D28" s="69"/>
      <c r="E28" s="65"/>
      <c r="F28" s="238"/>
      <c r="G28" s="238"/>
      <c r="H28" s="238"/>
      <c r="I28" s="238"/>
      <c r="J28" s="70"/>
      <c r="K28" s="816"/>
      <c r="L28" s="238"/>
      <c r="M28" s="238"/>
      <c r="N28" s="238"/>
      <c r="O28" s="70"/>
      <c r="P28" s="65"/>
    </row>
    <row r="29" spans="1:17" x14ac:dyDescent="0.2">
      <c r="A29" s="382"/>
      <c r="B29" s="935"/>
      <c r="C29" s="286">
        <v>252</v>
      </c>
      <c r="D29" s="350" t="str">
        <f>_xlfn.XLOOKUP(C29,Códigos!$A$11:$A$415,Códigos!$B$11:$B$415,"Verificar",0)</f>
        <v>NOMBRE 219</v>
      </c>
      <c r="E29" s="326" t="s">
        <v>371</v>
      </c>
      <c r="F29" s="370">
        <v>4940000</v>
      </c>
      <c r="G29" s="662"/>
      <c r="H29" s="656"/>
      <c r="I29" s="663">
        <f>490000+110000+1200000</f>
        <v>1800000</v>
      </c>
      <c r="J29" s="552">
        <f t="shared" ref="J29" si="3">+F29+G29-H29-I29</f>
        <v>3140000</v>
      </c>
      <c r="K29" s="816"/>
      <c r="L29" s="810">
        <v>320000</v>
      </c>
      <c r="M29" s="810"/>
      <c r="N29" s="533">
        <f t="shared" ref="N29" si="4">IF((J29-L29-M29)&gt;0,(J29-L29-M29),0)</f>
        <v>2820000</v>
      </c>
      <c r="O29" s="525">
        <f t="shared" ref="O29" si="5">IF((J29-L29-M29)&lt;0,(J29-L29-M29),0)</f>
        <v>0</v>
      </c>
      <c r="P29" s="808" t="s">
        <v>775</v>
      </c>
      <c r="Q29" s="1332" t="s">
        <v>776</v>
      </c>
    </row>
    <row r="30" spans="1:17" s="31" customFormat="1" x14ac:dyDescent="0.2">
      <c r="A30" s="372" t="s">
        <v>406</v>
      </c>
      <c r="B30" s="1209" t="str">
        <f>+A28</f>
        <v>DE: OTRAS CUENTAS POR COBRAR</v>
      </c>
      <c r="C30" s="363"/>
      <c r="D30" s="371"/>
      <c r="E30" s="381"/>
      <c r="F30" s="617">
        <f>SUM(F29:F29)</f>
        <v>4940000</v>
      </c>
      <c r="G30" s="617">
        <f>SUM(G29:G29)</f>
        <v>0</v>
      </c>
      <c r="H30" s="617">
        <f>SUM(H29:H29)</f>
        <v>0</v>
      </c>
      <c r="I30" s="617">
        <f>SUM(I29:I29)</f>
        <v>1800000</v>
      </c>
      <c r="J30" s="617">
        <f>SUM(J29:J29)</f>
        <v>3140000</v>
      </c>
      <c r="K30" s="816"/>
      <c r="L30" s="617">
        <f>SUM(L29:L29)</f>
        <v>320000</v>
      </c>
      <c r="M30" s="617">
        <f>SUM(M29:M29)</f>
        <v>0</v>
      </c>
      <c r="N30" s="617">
        <f>SUM(N29:N29)</f>
        <v>2820000</v>
      </c>
      <c r="O30" s="617">
        <f>SUM(O29:O29)</f>
        <v>0</v>
      </c>
      <c r="P30" s="65"/>
      <c r="Q30" s="1328"/>
    </row>
    <row r="31" spans="1:17" x14ac:dyDescent="0.2">
      <c r="A31" s="192"/>
      <c r="B31" s="15"/>
      <c r="C31" s="93"/>
      <c r="D31" s="69"/>
      <c r="E31" s="65"/>
      <c r="F31" s="53"/>
      <c r="G31" s="53"/>
      <c r="H31" s="53"/>
      <c r="I31" s="53"/>
      <c r="J31" s="70"/>
      <c r="K31" s="816"/>
      <c r="L31" s="53"/>
      <c r="M31" s="53"/>
      <c r="N31" s="96"/>
      <c r="O31" s="70"/>
      <c r="P31" s="65"/>
    </row>
    <row r="32" spans="1:17" ht="15" x14ac:dyDescent="0.2">
      <c r="A32" s="224" t="s">
        <v>750</v>
      </c>
      <c r="B32" s="15"/>
      <c r="C32" s="93"/>
      <c r="D32" s="69"/>
      <c r="E32" s="65"/>
      <c r="F32" s="53"/>
      <c r="G32" s="53"/>
      <c r="H32" s="53"/>
      <c r="I32" s="53"/>
      <c r="J32" s="70"/>
      <c r="K32" s="816"/>
      <c r="L32" s="53"/>
      <c r="M32" s="53"/>
      <c r="N32" s="96"/>
      <c r="O32" s="70"/>
      <c r="P32" s="65"/>
    </row>
    <row r="34" spans="1:17" x14ac:dyDescent="0.2">
      <c r="A34" s="192" t="s">
        <v>266</v>
      </c>
      <c r="B34" s="15"/>
      <c r="C34" s="93"/>
      <c r="D34" s="69"/>
      <c r="E34" s="65"/>
      <c r="F34" s="53"/>
      <c r="G34" s="53"/>
      <c r="H34" s="53"/>
      <c r="I34" s="53"/>
      <c r="J34" s="70"/>
      <c r="K34" s="816"/>
      <c r="L34" s="53"/>
      <c r="M34" s="53"/>
      <c r="N34" s="96"/>
      <c r="O34" s="53"/>
    </row>
    <row r="35" spans="1:17" x14ac:dyDescent="0.2">
      <c r="A35" s="30" t="s">
        <v>2055</v>
      </c>
      <c r="B35" s="15"/>
      <c r="C35" s="93"/>
      <c r="D35" s="69"/>
      <c r="E35" s="65"/>
      <c r="F35" s="53"/>
      <c r="G35" s="53"/>
      <c r="H35" s="53"/>
      <c r="I35" s="53"/>
      <c r="J35" s="70"/>
      <c r="K35" s="816"/>
      <c r="L35" s="53"/>
      <c r="M35" s="53"/>
      <c r="N35" s="96"/>
      <c r="O35" s="70"/>
    </row>
    <row r="36" spans="1:17" x14ac:dyDescent="0.2">
      <c r="A36" s="192"/>
      <c r="B36" s="1200"/>
      <c r="C36" s="93"/>
      <c r="D36" s="69"/>
      <c r="E36" s="65"/>
      <c r="F36" s="53"/>
      <c r="G36" s="53"/>
      <c r="H36" s="53"/>
      <c r="I36" s="53"/>
      <c r="J36" s="70"/>
      <c r="K36" s="816"/>
      <c r="L36" s="53"/>
      <c r="M36" s="53"/>
      <c r="N36" s="96"/>
      <c r="O36" s="70"/>
    </row>
    <row r="37" spans="1:17" x14ac:dyDescent="0.2">
      <c r="A37" s="914" t="s">
        <v>751</v>
      </c>
      <c r="B37" s="935">
        <v>44074</v>
      </c>
      <c r="C37" s="991">
        <v>275</v>
      </c>
      <c r="D37" s="986" t="str">
        <f>_xlfn.XLOOKUP(C37,Códigos!$A$11:$A$415,Códigos!$B$11:$B$415,"Verificar",0)</f>
        <v>NOMBRE 155</v>
      </c>
      <c r="E37" s="992" t="s">
        <v>744</v>
      </c>
      <c r="F37" s="993">
        <f>240000*0</f>
        <v>0</v>
      </c>
      <c r="G37" s="994"/>
      <c r="H37" s="994"/>
      <c r="I37" s="993"/>
      <c r="J37" s="988">
        <f t="shared" ref="J37" si="6">+F37+G37-H37-I37</f>
        <v>0</v>
      </c>
      <c r="K37" s="816"/>
      <c r="L37" s="993"/>
      <c r="M37" s="993"/>
      <c r="N37" s="1259">
        <f>IF((J37-L37-M37)&gt;0,(J37-L37-M37),0)*0</f>
        <v>0</v>
      </c>
      <c r="O37" s="525">
        <f t="shared" ref="O37" si="7">IF((J37-L37-M37)&lt;0,(J37-L37-M37),0)</f>
        <v>0</v>
      </c>
    </row>
    <row r="38" spans="1:17" x14ac:dyDescent="0.2">
      <c r="A38" s="192" t="s">
        <v>406</v>
      </c>
      <c r="B38" s="35" t="str">
        <f>+A35</f>
        <v>CUENTAS DE COBRO -OFICINA-</v>
      </c>
      <c r="C38" s="93"/>
      <c r="D38" s="69"/>
      <c r="E38" s="65"/>
      <c r="F38" s="53">
        <f>SUM(F37:F37)</f>
        <v>0</v>
      </c>
      <c r="G38" s="53">
        <f>SUM(G37:G37)</f>
        <v>0</v>
      </c>
      <c r="H38" s="53">
        <f>SUM(H37:H37)</f>
        <v>0</v>
      </c>
      <c r="I38" s="53">
        <f>SUM(I37:I37)</f>
        <v>0</v>
      </c>
      <c r="J38" s="53">
        <f>SUM(J37:J37)</f>
        <v>0</v>
      </c>
      <c r="K38" s="816"/>
      <c r="L38" s="53">
        <f>SUM(L37:L37)</f>
        <v>0</v>
      </c>
      <c r="M38" s="53">
        <f>SUM(M37:M37)</f>
        <v>0</v>
      </c>
      <c r="N38" s="53">
        <f>SUM(N37:N37)</f>
        <v>0</v>
      </c>
      <c r="O38" s="53">
        <f>SUM(O37:O37)</f>
        <v>0</v>
      </c>
    </row>
    <row r="39" spans="1:17" s="933" customFormat="1" x14ac:dyDescent="0.2">
      <c r="A39" s="926"/>
      <c r="B39" s="15"/>
      <c r="C39" s="928"/>
      <c r="D39" s="929"/>
      <c r="E39" s="930"/>
      <c r="F39" s="931"/>
      <c r="G39" s="931"/>
      <c r="H39" s="931"/>
      <c r="I39" s="931"/>
      <c r="J39" s="931"/>
      <c r="K39" s="816"/>
      <c r="L39" s="931"/>
      <c r="M39" s="931"/>
      <c r="N39" s="931"/>
      <c r="O39" s="931"/>
      <c r="Q39" s="1324"/>
    </row>
    <row r="40" spans="1:17" s="933" customFormat="1" x14ac:dyDescent="0.2">
      <c r="A40" s="926"/>
      <c r="B40" s="15"/>
      <c r="C40" s="928"/>
      <c r="D40" s="929"/>
      <c r="E40" s="930"/>
      <c r="F40" s="931"/>
      <c r="G40" s="931"/>
      <c r="H40" s="931"/>
      <c r="I40" s="931"/>
      <c r="J40" s="931"/>
      <c r="K40" s="816"/>
      <c r="L40" s="931"/>
      <c r="M40" s="931"/>
      <c r="N40" s="931"/>
      <c r="O40" s="931"/>
      <c r="Q40" s="1324"/>
    </row>
    <row r="41" spans="1:17" s="933" customFormat="1" ht="15" x14ac:dyDescent="0.2">
      <c r="A41" s="224" t="s">
        <v>804</v>
      </c>
      <c r="B41" s="15"/>
      <c r="C41" s="928"/>
      <c r="D41" s="929"/>
      <c r="E41" s="930"/>
      <c r="F41" s="931"/>
      <c r="G41" s="931"/>
      <c r="H41" s="931"/>
      <c r="I41" s="931"/>
      <c r="J41" s="931"/>
      <c r="K41" s="816"/>
      <c r="L41" s="931"/>
      <c r="M41" s="931"/>
      <c r="N41" s="931"/>
      <c r="O41" s="931"/>
      <c r="Q41" s="1324"/>
    </row>
    <row r="42" spans="1:17" s="933" customFormat="1" x14ac:dyDescent="0.2">
      <c r="A42" s="926"/>
      <c r="B42" s="15"/>
      <c r="C42" s="928"/>
      <c r="D42" s="929"/>
      <c r="E42" s="930"/>
      <c r="F42" s="931"/>
      <c r="G42" s="931"/>
      <c r="H42" s="931"/>
      <c r="I42" s="931"/>
      <c r="J42" s="931"/>
      <c r="K42" s="816"/>
      <c r="L42" s="931"/>
      <c r="M42" s="931"/>
      <c r="N42" s="931"/>
      <c r="O42" s="931"/>
      <c r="Q42" s="1324"/>
    </row>
    <row r="43" spans="1:17" s="933" customFormat="1" x14ac:dyDescent="0.2">
      <c r="A43" s="30" t="s">
        <v>2053</v>
      </c>
      <c r="B43" s="1200"/>
      <c r="C43" s="928"/>
      <c r="D43" s="929"/>
      <c r="E43" s="930"/>
      <c r="F43" s="931"/>
      <c r="G43" s="931"/>
      <c r="H43" s="931"/>
      <c r="I43" s="931"/>
      <c r="J43" s="931"/>
      <c r="K43" s="816"/>
      <c r="L43" s="931"/>
      <c r="M43" s="931"/>
      <c r="N43" s="931"/>
      <c r="O43" s="931"/>
      <c r="Q43" s="1324"/>
    </row>
    <row r="44" spans="1:17" s="933" customFormat="1" x14ac:dyDescent="0.2">
      <c r="A44" s="926"/>
      <c r="B44" s="935"/>
      <c r="C44" s="928"/>
      <c r="D44" s="929"/>
      <c r="E44" s="930"/>
      <c r="F44" s="931"/>
      <c r="G44" s="931"/>
      <c r="H44" s="931"/>
      <c r="I44" s="931"/>
      <c r="J44" s="931"/>
      <c r="K44" s="816"/>
      <c r="L44" s="931"/>
      <c r="M44" s="931"/>
      <c r="N44" s="931"/>
      <c r="O44" s="931"/>
      <c r="Q44" s="1324"/>
    </row>
    <row r="45" spans="1:17" s="933" customFormat="1" ht="14.25" customHeight="1" x14ac:dyDescent="0.2">
      <c r="A45" s="1002" t="s">
        <v>762</v>
      </c>
      <c r="B45" s="935">
        <v>44544</v>
      </c>
      <c r="C45" s="1003">
        <v>25</v>
      </c>
      <c r="D45" s="1004" t="s">
        <v>120</v>
      </c>
      <c r="E45" s="998" t="s">
        <v>766</v>
      </c>
      <c r="F45" s="1005">
        <v>3840000</v>
      </c>
      <c r="G45" s="1006">
        <v>729600</v>
      </c>
      <c r="H45" s="1006">
        <v>422400</v>
      </c>
      <c r="I45" s="788">
        <v>442200</v>
      </c>
      <c r="J45" s="1006">
        <f t="shared" ref="J45:J47" si="8">+F45+G45-H45-I45</f>
        <v>3705000</v>
      </c>
      <c r="K45" s="816"/>
      <c r="L45" s="788"/>
      <c r="M45" s="788"/>
      <c r="N45" s="533">
        <f t="shared" ref="N45:N49" si="9">IF((J45-L45-M45)&gt;0,(J45-L45-M45),0)</f>
        <v>3705000</v>
      </c>
      <c r="O45" s="525">
        <f t="shared" ref="O45:O49" si="10">IF((J45-L45-M45)&lt;0,(J45-L45-M45),0)</f>
        <v>0</v>
      </c>
      <c r="Q45" s="1324"/>
    </row>
    <row r="46" spans="1:17" s="1199" customFormat="1" x14ac:dyDescent="0.2">
      <c r="A46" s="1189" t="s">
        <v>763</v>
      </c>
      <c r="B46" s="935">
        <v>44545</v>
      </c>
      <c r="C46" s="1190">
        <v>290</v>
      </c>
      <c r="D46" s="1191" t="s">
        <v>419</v>
      </c>
      <c r="E46" s="1192" t="s">
        <v>766</v>
      </c>
      <c r="F46" s="1193">
        <v>4190000</v>
      </c>
      <c r="G46" s="1194">
        <v>796100</v>
      </c>
      <c r="H46" s="1194">
        <v>460900</v>
      </c>
      <c r="I46" s="1006">
        <v>0</v>
      </c>
      <c r="J46" s="1006">
        <f t="shared" si="8"/>
        <v>4525200</v>
      </c>
      <c r="K46" s="1195"/>
      <c r="L46" s="1193"/>
      <c r="M46" s="1196"/>
      <c r="N46" s="1197">
        <f t="shared" si="9"/>
        <v>4525200</v>
      </c>
      <c r="O46" s="1198">
        <f t="shared" si="10"/>
        <v>0</v>
      </c>
      <c r="Q46" s="1325"/>
    </row>
    <row r="47" spans="1:17" s="933" customFormat="1" x14ac:dyDescent="0.2">
      <c r="A47" s="1002" t="s">
        <v>764</v>
      </c>
      <c r="B47" s="935">
        <v>44551</v>
      </c>
      <c r="C47" s="1188">
        <v>158</v>
      </c>
      <c r="D47" s="1004" t="s">
        <v>157</v>
      </c>
      <c r="E47" s="998" t="s">
        <v>766</v>
      </c>
      <c r="F47" s="1005">
        <v>2370000</v>
      </c>
      <c r="G47" s="1006">
        <v>450300</v>
      </c>
      <c r="H47" s="1006"/>
      <c r="I47" s="1006">
        <v>0</v>
      </c>
      <c r="J47" s="1006">
        <f t="shared" si="8"/>
        <v>2820300</v>
      </c>
      <c r="K47" s="816"/>
      <c r="L47" s="788"/>
      <c r="M47" s="788"/>
      <c r="N47" s="533">
        <f t="shared" si="9"/>
        <v>2820300</v>
      </c>
      <c r="O47" s="525">
        <f t="shared" si="10"/>
        <v>0</v>
      </c>
      <c r="Q47" s="1324"/>
    </row>
    <row r="48" spans="1:17" s="933" customFormat="1" x14ac:dyDescent="0.2">
      <c r="A48" s="1002" t="s">
        <v>765</v>
      </c>
      <c r="B48" s="935">
        <v>44551</v>
      </c>
      <c r="C48" s="1003">
        <v>296</v>
      </c>
      <c r="D48" s="1004" t="s">
        <v>422</v>
      </c>
      <c r="E48" s="998" t="s">
        <v>766</v>
      </c>
      <c r="F48" s="1005">
        <v>450000</v>
      </c>
      <c r="G48" s="1006">
        <v>85500</v>
      </c>
      <c r="H48" s="1006"/>
      <c r="I48" s="1006">
        <v>0</v>
      </c>
      <c r="J48" s="1006">
        <f>(+F48+G48-H48-I48)</f>
        <v>535500</v>
      </c>
      <c r="K48" s="816"/>
      <c r="L48" s="788"/>
      <c r="M48" s="788"/>
      <c r="N48" s="533">
        <f t="shared" si="9"/>
        <v>535500</v>
      </c>
      <c r="O48" s="525">
        <f t="shared" si="10"/>
        <v>0</v>
      </c>
      <c r="Q48" s="1324"/>
    </row>
    <row r="49" spans="1:18" s="933" customFormat="1" x14ac:dyDescent="0.2">
      <c r="A49" s="1002"/>
      <c r="B49" s="935"/>
      <c r="C49" s="1003"/>
      <c r="D49" s="1004"/>
      <c r="E49" s="998"/>
      <c r="F49" s="1005"/>
      <c r="G49" s="1006"/>
      <c r="H49" s="1006"/>
      <c r="I49" s="1006"/>
      <c r="J49" s="1006"/>
      <c r="K49" s="816"/>
      <c r="L49" s="788"/>
      <c r="M49" s="788"/>
      <c r="N49" s="533">
        <f t="shared" si="9"/>
        <v>0</v>
      </c>
      <c r="O49" s="525">
        <f t="shared" si="10"/>
        <v>0</v>
      </c>
      <c r="P49" s="808"/>
      <c r="Q49" s="1332"/>
      <c r="R49" s="690"/>
    </row>
    <row r="50" spans="1:18" s="933" customFormat="1" x14ac:dyDescent="0.2">
      <c r="A50" s="1205"/>
      <c r="B50" s="1206"/>
      <c r="C50" s="1207"/>
      <c r="D50" s="1208"/>
      <c r="E50" s="930"/>
      <c r="F50" s="931"/>
      <c r="G50" s="931"/>
      <c r="H50" s="931"/>
      <c r="I50" s="931"/>
      <c r="J50" s="931"/>
      <c r="K50" s="816"/>
      <c r="L50" s="931"/>
      <c r="M50" s="931"/>
      <c r="N50" s="931"/>
      <c r="O50" s="931"/>
      <c r="P50" s="930"/>
      <c r="Q50" s="1334"/>
      <c r="R50" s="932"/>
    </row>
    <row r="51" spans="1:18" s="933" customFormat="1" x14ac:dyDescent="0.2">
      <c r="A51" s="926" t="s">
        <v>406</v>
      </c>
      <c r="B51" s="35" t="s">
        <v>752</v>
      </c>
      <c r="C51" s="928"/>
      <c r="D51" s="929"/>
      <c r="E51" s="930"/>
      <c r="F51" s="931">
        <f>SUM(F45:F48)</f>
        <v>10850000</v>
      </c>
      <c r="G51" s="931">
        <f>SUM(G45:G48)</f>
        <v>2061500</v>
      </c>
      <c r="H51" s="931">
        <f>SUM(H45:H48)</f>
        <v>883300</v>
      </c>
      <c r="I51" s="931">
        <f>SUM(I45:I48)</f>
        <v>442200</v>
      </c>
      <c r="J51" s="931">
        <f>SUM(J45:J48)</f>
        <v>11586000</v>
      </c>
      <c r="K51" s="816"/>
      <c r="L51" s="931">
        <f>SUM(L45:L48)</f>
        <v>0</v>
      </c>
      <c r="M51" s="931">
        <f>SUM(M45:M48)</f>
        <v>0</v>
      </c>
      <c r="N51" s="931">
        <f>SUM(N45:N48)</f>
        <v>11586000</v>
      </c>
      <c r="O51" s="931">
        <f>SUM(O45:O48)</f>
        <v>0</v>
      </c>
      <c r="P51" s="930"/>
      <c r="Q51" s="1334"/>
      <c r="R51" s="932"/>
    </row>
    <row r="52" spans="1:18" s="933" customFormat="1" x14ac:dyDescent="0.2">
      <c r="A52" s="926"/>
      <c r="B52" s="15"/>
      <c r="C52" s="928"/>
      <c r="D52" s="929"/>
      <c r="E52" s="930"/>
      <c r="F52" s="931"/>
      <c r="G52" s="931"/>
      <c r="H52" s="931"/>
      <c r="I52" s="931"/>
      <c r="J52" s="931"/>
      <c r="K52" s="816"/>
      <c r="L52" s="931"/>
      <c r="M52" s="931"/>
      <c r="N52" s="931"/>
      <c r="O52" s="931"/>
      <c r="P52" s="930"/>
      <c r="Q52" s="1334"/>
      <c r="R52" s="932"/>
    </row>
    <row r="53" spans="1:18" s="933" customFormat="1" x14ac:dyDescent="0.2">
      <c r="A53" s="926" t="s">
        <v>266</v>
      </c>
      <c r="B53" s="15"/>
      <c r="C53" s="928"/>
      <c r="D53" s="929"/>
      <c r="E53" s="930"/>
      <c r="F53" s="931"/>
      <c r="G53" s="931"/>
      <c r="H53" s="931"/>
      <c r="I53" s="931"/>
      <c r="J53" s="931"/>
      <c r="K53" s="816"/>
      <c r="L53" s="931"/>
      <c r="M53" s="931"/>
      <c r="N53" s="931"/>
      <c r="O53" s="931"/>
      <c r="P53" s="930"/>
      <c r="Q53" s="1334"/>
      <c r="R53" s="932"/>
    </row>
    <row r="54" spans="1:18" s="933" customFormat="1" x14ac:dyDescent="0.2">
      <c r="A54" s="926" t="s">
        <v>2056</v>
      </c>
      <c r="B54" s="1200"/>
      <c r="C54" s="928"/>
      <c r="D54" s="929"/>
      <c r="E54" s="930"/>
      <c r="F54" s="931"/>
      <c r="G54" s="931"/>
      <c r="H54" s="931"/>
      <c r="I54" s="931"/>
      <c r="J54" s="931"/>
      <c r="K54" s="816"/>
      <c r="L54" s="931"/>
      <c r="M54" s="931"/>
      <c r="N54" s="931"/>
      <c r="O54" s="931"/>
      <c r="P54" s="930"/>
      <c r="Q54" s="1334"/>
      <c r="R54" s="932"/>
    </row>
    <row r="55" spans="1:18" s="933" customFormat="1" x14ac:dyDescent="0.2">
      <c r="A55" s="926"/>
      <c r="B55" s="935"/>
      <c r="C55" s="928"/>
      <c r="D55" s="929"/>
      <c r="E55" s="930"/>
      <c r="F55" s="931"/>
      <c r="G55" s="931"/>
      <c r="H55" s="931"/>
      <c r="I55" s="931"/>
      <c r="J55" s="931"/>
      <c r="K55" s="816"/>
      <c r="L55" s="931"/>
      <c r="M55" s="931"/>
      <c r="N55" s="931"/>
      <c r="O55" s="931"/>
      <c r="P55" s="930"/>
      <c r="Q55" s="1334"/>
      <c r="R55" s="932"/>
    </row>
    <row r="56" spans="1:18" s="933" customFormat="1" x14ac:dyDescent="0.2">
      <c r="A56" s="1002" t="s">
        <v>767</v>
      </c>
      <c r="B56" s="935">
        <v>44477</v>
      </c>
      <c r="C56" s="1003">
        <v>275</v>
      </c>
      <c r="D56" s="1004" t="s">
        <v>417</v>
      </c>
      <c r="E56" s="998" t="s">
        <v>766</v>
      </c>
      <c r="F56" s="1005">
        <v>250000</v>
      </c>
      <c r="G56" s="1006"/>
      <c r="H56" s="1006"/>
      <c r="I56" s="1006"/>
      <c r="J56" s="1006">
        <f t="shared" ref="J56:J57" si="11">+F56+G56-H56-I56</f>
        <v>250000</v>
      </c>
      <c r="K56" s="816"/>
      <c r="L56" s="788">
        <v>250000</v>
      </c>
      <c r="M56" s="788"/>
      <c r="N56" s="1259">
        <f t="shared" ref="N56:N57" si="12">IF((J56-L56-M56)&gt;0,(J56-L56-M56),0)</f>
        <v>0</v>
      </c>
      <c r="O56" s="525">
        <f t="shared" ref="O56:O57" si="13">IF((J56-L56-M56)&lt;0,(J56-L56-M56),0)</f>
        <v>0</v>
      </c>
      <c r="P56" s="808" t="s">
        <v>1087</v>
      </c>
      <c r="Q56" s="1332">
        <v>45898</v>
      </c>
      <c r="R56" s="690"/>
    </row>
    <row r="57" spans="1:18" s="933" customFormat="1" x14ac:dyDescent="0.2">
      <c r="A57" s="1002" t="s">
        <v>768</v>
      </c>
      <c r="B57" s="935">
        <v>44489</v>
      </c>
      <c r="C57" s="1003">
        <v>67</v>
      </c>
      <c r="D57" s="1004" t="s">
        <v>135</v>
      </c>
      <c r="E57" s="998" t="s">
        <v>766</v>
      </c>
      <c r="F57" s="1005">
        <v>1580000</v>
      </c>
      <c r="G57" s="1006"/>
      <c r="H57" s="1006"/>
      <c r="I57" s="1006"/>
      <c r="J57" s="1006">
        <f t="shared" si="11"/>
        <v>1580000</v>
      </c>
      <c r="K57" s="816"/>
      <c r="L57" s="788"/>
      <c r="M57" s="788"/>
      <c r="N57" s="533">
        <f t="shared" si="12"/>
        <v>1580000</v>
      </c>
      <c r="O57" s="525">
        <f t="shared" si="13"/>
        <v>0</v>
      </c>
      <c r="P57" s="808"/>
      <c r="Q57" s="1332"/>
      <c r="R57" s="690"/>
    </row>
    <row r="58" spans="1:18" s="933" customFormat="1" x14ac:dyDescent="0.2">
      <c r="A58" s="929"/>
      <c r="B58" s="929"/>
      <c r="C58" s="929"/>
      <c r="D58" s="929"/>
      <c r="E58" s="930"/>
      <c r="F58" s="931"/>
      <c r="G58" s="931"/>
      <c r="H58" s="931"/>
      <c r="I58" s="931"/>
      <c r="J58" s="931"/>
      <c r="K58" s="816"/>
      <c r="L58" s="931"/>
      <c r="M58" s="931"/>
      <c r="N58" s="931"/>
      <c r="O58" s="931"/>
      <c r="P58" s="930"/>
      <c r="Q58" s="1334"/>
      <c r="R58" s="932"/>
    </row>
    <row r="59" spans="1:18" s="933" customFormat="1" x14ac:dyDescent="0.2">
      <c r="A59" s="930" t="s">
        <v>406</v>
      </c>
      <c r="B59" s="930" t="s">
        <v>2055</v>
      </c>
      <c r="C59" s="930"/>
      <c r="D59" s="930"/>
      <c r="E59" s="930"/>
      <c r="F59" s="931">
        <f>SUM(F56:F57)</f>
        <v>1830000</v>
      </c>
      <c r="G59" s="931">
        <f>SUM(G56:G57)</f>
        <v>0</v>
      </c>
      <c r="H59" s="931">
        <f>SUM(H56:H57)</f>
        <v>0</v>
      </c>
      <c r="I59" s="931">
        <f>SUM(I56:I57)</f>
        <v>0</v>
      </c>
      <c r="J59" s="931">
        <f>SUM(J56:J57)</f>
        <v>1830000</v>
      </c>
      <c r="K59" s="816"/>
      <c r="L59" s="931">
        <f>SUM(L56:L57)</f>
        <v>250000</v>
      </c>
      <c r="M59" s="931">
        <f>SUM(M56:M57)</f>
        <v>0</v>
      </c>
      <c r="N59" s="931">
        <f>SUM(N56:N57)</f>
        <v>1580000</v>
      </c>
      <c r="O59" s="931">
        <f>SUM(O56:O57)</f>
        <v>0</v>
      </c>
      <c r="P59" s="930"/>
      <c r="Q59" s="1334"/>
      <c r="R59" s="932"/>
    </row>
    <row r="60" spans="1:18" s="933" customFormat="1" x14ac:dyDescent="0.2">
      <c r="A60" s="929"/>
      <c r="B60" s="929"/>
      <c r="C60" s="929"/>
      <c r="D60" s="929"/>
      <c r="E60" s="930"/>
      <c r="F60" s="931"/>
      <c r="G60" s="931"/>
      <c r="H60" s="931"/>
      <c r="I60" s="931"/>
      <c r="J60" s="931"/>
      <c r="K60" s="816"/>
      <c r="L60" s="931"/>
      <c r="M60" s="931"/>
      <c r="N60" s="931"/>
      <c r="O60" s="931"/>
      <c r="P60" s="930"/>
      <c r="Q60" s="1334"/>
      <c r="R60" s="932"/>
    </row>
    <row r="61" spans="1:18" s="933" customFormat="1" ht="15" x14ac:dyDescent="0.2">
      <c r="A61" s="224" t="s">
        <v>805</v>
      </c>
      <c r="B61" s="926"/>
      <c r="C61" s="928"/>
      <c r="D61" s="929"/>
      <c r="E61" s="930"/>
      <c r="F61" s="931"/>
      <c r="G61" s="931"/>
      <c r="H61" s="931"/>
      <c r="I61" s="931"/>
      <c r="J61" s="931"/>
      <c r="K61" s="816"/>
      <c r="L61" s="931"/>
      <c r="M61" s="931"/>
      <c r="N61" s="931"/>
      <c r="O61" s="931"/>
      <c r="P61" s="930"/>
      <c r="Q61" s="1334"/>
      <c r="R61" s="932"/>
    </row>
    <row r="62" spans="1:18" s="933" customFormat="1" x14ac:dyDescent="0.2">
      <c r="A62" s="926"/>
      <c r="B62" s="926"/>
      <c r="C62" s="928"/>
      <c r="D62" s="929"/>
      <c r="E62" s="930"/>
      <c r="F62" s="931"/>
      <c r="G62" s="931"/>
      <c r="H62" s="931"/>
      <c r="I62" s="931"/>
      <c r="J62" s="931"/>
      <c r="K62" s="816"/>
      <c r="L62" s="931"/>
      <c r="M62" s="931"/>
      <c r="N62" s="931"/>
      <c r="O62" s="931"/>
      <c r="P62" s="930"/>
      <c r="Q62" s="1334"/>
      <c r="R62" s="932"/>
    </row>
    <row r="63" spans="1:18" s="933" customFormat="1" x14ac:dyDescent="0.2">
      <c r="A63" s="926" t="s">
        <v>266</v>
      </c>
      <c r="B63" s="927"/>
      <c r="C63" s="928"/>
      <c r="D63" s="929"/>
      <c r="E63" s="930"/>
      <c r="F63" s="931"/>
      <c r="G63" s="931"/>
      <c r="H63" s="931"/>
      <c r="I63" s="931"/>
      <c r="J63" s="931"/>
      <c r="K63" s="816"/>
      <c r="L63" s="931"/>
      <c r="M63" s="931"/>
      <c r="N63" s="931"/>
      <c r="O63" s="931"/>
      <c r="P63" s="930"/>
      <c r="Q63" s="1334"/>
      <c r="R63" s="932"/>
    </row>
    <row r="64" spans="1:18" s="933" customFormat="1" x14ac:dyDescent="0.2">
      <c r="A64" s="926" t="s">
        <v>2057</v>
      </c>
      <c r="B64" s="927"/>
      <c r="C64" s="928"/>
      <c r="D64" s="929"/>
      <c r="E64" s="930"/>
      <c r="F64" s="931"/>
      <c r="G64" s="931"/>
      <c r="H64" s="931"/>
      <c r="I64" s="931"/>
      <c r="J64" s="931"/>
      <c r="K64" s="816"/>
      <c r="L64" s="931"/>
      <c r="M64" s="931"/>
      <c r="N64" s="931"/>
      <c r="O64" s="931"/>
      <c r="P64" s="930"/>
      <c r="Q64" s="1334"/>
      <c r="R64" s="932"/>
    </row>
    <row r="65" spans="1:18" s="933" customFormat="1" x14ac:dyDescent="0.2">
      <c r="A65" s="926"/>
      <c r="B65" s="927"/>
      <c r="C65" s="928"/>
      <c r="D65" s="929"/>
      <c r="E65" s="930"/>
      <c r="F65" s="931"/>
      <c r="G65" s="931"/>
      <c r="H65" s="931"/>
      <c r="I65" s="931"/>
      <c r="J65" s="931"/>
      <c r="K65" s="816"/>
      <c r="L65" s="931"/>
      <c r="M65" s="931"/>
      <c r="N65" s="931"/>
      <c r="O65" s="931"/>
      <c r="P65" s="930"/>
      <c r="Q65" s="1334"/>
      <c r="R65" s="932"/>
    </row>
    <row r="66" spans="1:18" s="933" customFormat="1" x14ac:dyDescent="0.2">
      <c r="A66" s="1002" t="s">
        <v>772</v>
      </c>
      <c r="B66" s="1057">
        <v>44847</v>
      </c>
      <c r="C66" s="1036">
        <v>206</v>
      </c>
      <c r="D66" s="511" t="str">
        <f>_xlfn.XLOOKUP(C66,Códigos!$A$11:$A$415,Códigos!$B$11:$B$415,"Verificar",0)</f>
        <v>NOMBRE 349</v>
      </c>
      <c r="E66" s="1056" t="s">
        <v>771</v>
      </c>
      <c r="F66" s="1059">
        <v>1750000</v>
      </c>
      <c r="G66" s="1060"/>
      <c r="H66" s="1060"/>
      <c r="I66" s="1060"/>
      <c r="J66" s="1035">
        <f t="shared" ref="J66:J68" si="14">+F66-I66</f>
        <v>1750000</v>
      </c>
      <c r="K66" s="816"/>
      <c r="L66" s="788"/>
      <c r="M66" s="788"/>
      <c r="N66" s="533">
        <f t="shared" ref="N66:N68" si="15">IF((J66-L66-M66)&gt;0,(J66-L66-M66),0)</f>
        <v>1750000</v>
      </c>
      <c r="O66" s="525">
        <f t="shared" ref="O66:O68" si="16">IF((J66-L66-M66)&lt;0,(J66-L66-M66),0)</f>
        <v>0</v>
      </c>
      <c r="P66" s="808"/>
      <c r="Q66" s="1332"/>
      <c r="R66" s="690"/>
    </row>
    <row r="67" spans="1:18" s="933" customFormat="1" x14ac:dyDescent="0.2">
      <c r="A67" s="1058" t="s">
        <v>773</v>
      </c>
      <c r="B67" s="1057">
        <v>44847</v>
      </c>
      <c r="C67" s="1036">
        <v>275</v>
      </c>
      <c r="D67" s="511" t="str">
        <f>_xlfn.XLOOKUP(C67,Códigos!$A$11:$A$415,Códigos!$B$11:$B$415,"Verificar",0)</f>
        <v>NOMBRE 155</v>
      </c>
      <c r="E67" s="1056" t="s">
        <v>771</v>
      </c>
      <c r="F67" s="1059">
        <v>260000</v>
      </c>
      <c r="G67" s="1060"/>
      <c r="H67" s="1060"/>
      <c r="I67" s="1060"/>
      <c r="J67" s="1035">
        <f t="shared" si="14"/>
        <v>260000</v>
      </c>
      <c r="K67" s="816"/>
      <c r="L67" s="788">
        <v>260000</v>
      </c>
      <c r="M67" s="788"/>
      <c r="N67" s="1260">
        <f t="shared" si="15"/>
        <v>0</v>
      </c>
      <c r="O67" s="525">
        <f t="shared" si="16"/>
        <v>0</v>
      </c>
      <c r="P67" s="808" t="s">
        <v>1087</v>
      </c>
      <c r="Q67" s="1332">
        <v>45898</v>
      </c>
      <c r="R67" s="690"/>
    </row>
    <row r="68" spans="1:18" s="933" customFormat="1" x14ac:dyDescent="0.2">
      <c r="A68" s="1002" t="s">
        <v>774</v>
      </c>
      <c r="B68" s="1057">
        <v>44853</v>
      </c>
      <c r="C68" s="1036">
        <v>67</v>
      </c>
      <c r="D68" s="511" t="str">
        <f>_xlfn.XLOOKUP(C68,Códigos!$A$11:$A$415,Códigos!$B$11:$B$415,"Verificar",0)</f>
        <v>NOMBRE 45</v>
      </c>
      <c r="E68" s="1056" t="s">
        <v>771</v>
      </c>
      <c r="F68" s="1059">
        <v>1660000</v>
      </c>
      <c r="G68" s="1060"/>
      <c r="H68" s="1060"/>
      <c r="I68" s="1060"/>
      <c r="J68" s="1035">
        <f t="shared" si="14"/>
        <v>1660000</v>
      </c>
      <c r="K68" s="816"/>
      <c r="L68" s="788">
        <v>494200</v>
      </c>
      <c r="M68" s="788"/>
      <c r="N68" s="533">
        <f t="shared" si="15"/>
        <v>1165800</v>
      </c>
      <c r="O68" s="525">
        <f t="shared" si="16"/>
        <v>0</v>
      </c>
      <c r="P68" s="808"/>
      <c r="Q68" s="1332"/>
      <c r="R68" s="690"/>
    </row>
    <row r="69" spans="1:18" s="933" customFormat="1" x14ac:dyDescent="0.2">
      <c r="A69" s="240"/>
      <c r="B69" s="157"/>
      <c r="C69" s="821"/>
      <c r="D69" s="705"/>
      <c r="E69" s="204"/>
      <c r="F69" s="81"/>
      <c r="G69" s="931"/>
      <c r="H69" s="931"/>
      <c r="I69" s="931"/>
      <c r="J69" s="84"/>
      <c r="K69" s="816"/>
      <c r="L69" s="51"/>
      <c r="M69" s="51"/>
      <c r="N69" s="87"/>
      <c r="O69" s="84"/>
      <c r="P69" s="68"/>
      <c r="Q69" s="1328"/>
      <c r="R69" s="61"/>
    </row>
    <row r="70" spans="1:18" s="933" customFormat="1" x14ac:dyDescent="0.2">
      <c r="A70" s="926" t="s">
        <v>406</v>
      </c>
      <c r="B70" s="1256" t="s">
        <v>2055</v>
      </c>
      <c r="C70" s="928"/>
      <c r="D70" s="929"/>
      <c r="E70" s="930"/>
      <c r="F70" s="931">
        <f>SUM(F66:F68)</f>
        <v>3670000</v>
      </c>
      <c r="G70" s="931">
        <f>SUM(G66:G68)</f>
        <v>0</v>
      </c>
      <c r="H70" s="931">
        <f>SUM(H66:H68)</f>
        <v>0</v>
      </c>
      <c r="I70" s="931">
        <f>SUM(I66:I68)</f>
        <v>0</v>
      </c>
      <c r="J70" s="931">
        <f>SUM(J66:J68)</f>
        <v>3670000</v>
      </c>
      <c r="K70" s="816"/>
      <c r="L70" s="931">
        <f>SUM(L66:L68)</f>
        <v>754200</v>
      </c>
      <c r="M70" s="931">
        <f>SUM(M66:M68)</f>
        <v>0</v>
      </c>
      <c r="N70" s="931">
        <f>SUM(N66:N68)</f>
        <v>2915800</v>
      </c>
      <c r="O70" s="931">
        <f>SUM(O66:O68)</f>
        <v>0</v>
      </c>
      <c r="P70" s="930"/>
      <c r="Q70" s="1334"/>
      <c r="R70" s="932"/>
    </row>
    <row r="71" spans="1:18" s="933" customFormat="1" ht="15" x14ac:dyDescent="0.2">
      <c r="A71" s="224" t="s">
        <v>823</v>
      </c>
      <c r="B71" s="926"/>
      <c r="C71" s="928"/>
      <c r="D71" s="929"/>
      <c r="E71" s="930"/>
      <c r="F71" s="931"/>
      <c r="G71" s="931"/>
      <c r="H71" s="931"/>
      <c r="I71" s="931"/>
      <c r="J71" s="931"/>
      <c r="K71" s="816"/>
      <c r="L71" s="931"/>
      <c r="M71" s="931"/>
      <c r="N71" s="931"/>
      <c r="O71" s="931"/>
      <c r="P71" s="930"/>
      <c r="Q71" s="1334"/>
      <c r="R71" s="932"/>
    </row>
    <row r="72" spans="1:18" s="933" customFormat="1" x14ac:dyDescent="0.2">
      <c r="A72" s="926"/>
      <c r="B72" s="926"/>
      <c r="C72" s="928"/>
      <c r="D72" s="929"/>
      <c r="E72" s="930"/>
      <c r="F72" s="931"/>
      <c r="G72" s="931"/>
      <c r="H72" s="931"/>
      <c r="I72" s="931"/>
      <c r="J72" s="931"/>
      <c r="K72" s="816"/>
      <c r="L72" s="931"/>
      <c r="M72" s="931"/>
      <c r="N72" s="931"/>
      <c r="O72" s="931"/>
      <c r="P72" s="930"/>
      <c r="Q72" s="1334"/>
      <c r="R72" s="932"/>
    </row>
    <row r="73" spans="1:18" s="933" customFormat="1" x14ac:dyDescent="0.2">
      <c r="A73" s="30" t="s">
        <v>2054</v>
      </c>
      <c r="B73" s="926"/>
      <c r="C73" s="928"/>
      <c r="D73" s="929"/>
      <c r="E73" s="930"/>
      <c r="F73" s="931"/>
      <c r="G73" s="931"/>
      <c r="H73" s="931"/>
      <c r="I73" s="931"/>
      <c r="J73" s="931"/>
      <c r="K73" s="816"/>
      <c r="L73" s="931"/>
      <c r="M73" s="931"/>
      <c r="N73" s="931"/>
      <c r="O73" s="931"/>
      <c r="P73" s="930"/>
      <c r="Q73" s="1334"/>
      <c r="R73" s="932"/>
    </row>
    <row r="74" spans="1:18" s="933" customFormat="1" x14ac:dyDescent="0.2">
      <c r="A74" s="926"/>
      <c r="B74" s="927"/>
      <c r="C74" s="928"/>
      <c r="D74" s="929"/>
      <c r="E74" s="930"/>
      <c r="F74" s="931"/>
      <c r="G74" s="931"/>
      <c r="H74" s="931"/>
      <c r="I74" s="931"/>
      <c r="J74" s="931"/>
      <c r="K74" s="816"/>
      <c r="L74" s="931"/>
      <c r="M74" s="931"/>
      <c r="N74" s="931"/>
      <c r="O74" s="931"/>
      <c r="P74" s="930"/>
      <c r="Q74" s="1334"/>
      <c r="R74" s="932"/>
    </row>
    <row r="75" spans="1:18" s="933" customFormat="1" x14ac:dyDescent="0.2">
      <c r="A75" s="1244" t="s">
        <v>824</v>
      </c>
      <c r="B75" s="1252">
        <v>45261</v>
      </c>
      <c r="C75" s="1245">
        <v>25</v>
      </c>
      <c r="D75" s="511" t="str">
        <f>_xlfn.XLOOKUP(C75,Códigos!$A$11:$A$415,Códigos!$B$11:$B$415,"Verificar",0)</f>
        <v>NOMBRE 178</v>
      </c>
      <c r="E75" s="1050" t="s">
        <v>769</v>
      </c>
      <c r="F75" s="1246">
        <v>4340000</v>
      </c>
      <c r="G75" s="1247">
        <v>824600</v>
      </c>
      <c r="H75" s="1247">
        <v>0</v>
      </c>
      <c r="I75" s="1247"/>
      <c r="J75" s="1247">
        <f t="shared" ref="J75:J78" si="17">+F75+G75-H75</f>
        <v>5164600</v>
      </c>
      <c r="K75" s="1248"/>
      <c r="L75" s="1246">
        <v>5164600</v>
      </c>
      <c r="M75" s="1246">
        <v>0</v>
      </c>
      <c r="N75" s="1249">
        <f t="shared" ref="N75:N78" si="18">+J75-L75</f>
        <v>0</v>
      </c>
      <c r="O75" s="939">
        <f t="shared" ref="O75:O78" si="19">IF((J75-L75-M75)&lt;0,(J75-L75-M75),0)</f>
        <v>0</v>
      </c>
      <c r="P75" s="808" t="s">
        <v>1087</v>
      </c>
      <c r="Q75" s="1326">
        <v>45671</v>
      </c>
      <c r="R75" s="1251"/>
    </row>
    <row r="76" spans="1:18" s="933" customFormat="1" x14ac:dyDescent="0.2">
      <c r="A76" s="1244" t="s">
        <v>825</v>
      </c>
      <c r="B76" s="1252">
        <v>45261</v>
      </c>
      <c r="C76" s="1245">
        <v>290</v>
      </c>
      <c r="D76" s="511" t="str">
        <f>_xlfn.XLOOKUP(C76,Códigos!$A$11:$A$415,Códigos!$B$11:$B$415,"Verificar",0)</f>
        <v>NOMBRE 170</v>
      </c>
      <c r="E76" s="1050" t="s">
        <v>769</v>
      </c>
      <c r="F76" s="1246">
        <v>5040000</v>
      </c>
      <c r="G76" s="1247">
        <v>959500</v>
      </c>
      <c r="H76" s="1247">
        <v>0</v>
      </c>
      <c r="I76" s="1247"/>
      <c r="J76" s="1247">
        <f t="shared" si="17"/>
        <v>5999500</v>
      </c>
      <c r="K76" s="1248"/>
      <c r="L76" s="1246">
        <v>5999500</v>
      </c>
      <c r="M76" s="1246">
        <v>0</v>
      </c>
      <c r="N76" s="1249">
        <f t="shared" si="18"/>
        <v>0</v>
      </c>
      <c r="O76" s="939">
        <f t="shared" si="19"/>
        <v>0</v>
      </c>
      <c r="P76" s="808" t="s">
        <v>1087</v>
      </c>
      <c r="Q76" s="1326">
        <v>45674</v>
      </c>
      <c r="R76" s="1251"/>
    </row>
    <row r="77" spans="1:18" s="933" customFormat="1" x14ac:dyDescent="0.2">
      <c r="A77" s="1244" t="s">
        <v>826</v>
      </c>
      <c r="B77" s="1252">
        <v>45261</v>
      </c>
      <c r="C77" s="1245">
        <v>158</v>
      </c>
      <c r="D77" s="511" t="str">
        <f>_xlfn.XLOOKUP(C77,Códigos!$A$11:$A$415,Códigos!$B$11:$B$415,"Verificar",0)</f>
        <v>NOMBRE 262</v>
      </c>
      <c r="E77" s="1050" t="s">
        <v>769</v>
      </c>
      <c r="F77" s="1246">
        <v>2780000</v>
      </c>
      <c r="G77" s="1247">
        <v>528200</v>
      </c>
      <c r="H77" s="1247">
        <v>0</v>
      </c>
      <c r="I77" s="1247"/>
      <c r="J77" s="1247">
        <f t="shared" si="17"/>
        <v>3308200</v>
      </c>
      <c r="K77" s="1248"/>
      <c r="L77" s="1246">
        <v>3308200</v>
      </c>
      <c r="M77" s="1246">
        <v>0</v>
      </c>
      <c r="N77" s="1249">
        <f t="shared" si="18"/>
        <v>0</v>
      </c>
      <c r="O77" s="939">
        <f t="shared" si="19"/>
        <v>0</v>
      </c>
      <c r="P77" s="808" t="s">
        <v>1087</v>
      </c>
      <c r="Q77" s="1326">
        <v>45671</v>
      </c>
      <c r="R77" s="1251"/>
    </row>
    <row r="78" spans="1:18" s="933" customFormat="1" x14ac:dyDescent="0.2">
      <c r="A78" s="1244" t="s">
        <v>827</v>
      </c>
      <c r="B78" s="1252">
        <v>45261</v>
      </c>
      <c r="C78" s="1245">
        <v>296</v>
      </c>
      <c r="D78" s="511" t="str">
        <f>_xlfn.XLOOKUP(C78,Códigos!$A$11:$A$415,Códigos!$B$11:$B$415,"Verificar",0)</f>
        <v>NOMBRE 300</v>
      </c>
      <c r="E78" s="1050" t="s">
        <v>769</v>
      </c>
      <c r="F78" s="1246">
        <v>870000</v>
      </c>
      <c r="G78" s="1247">
        <v>165300</v>
      </c>
      <c r="H78" s="1247">
        <v>0</v>
      </c>
      <c r="I78" s="1247"/>
      <c r="J78" s="1247">
        <f t="shared" si="17"/>
        <v>1035300</v>
      </c>
      <c r="K78" s="1248"/>
      <c r="L78" s="1246">
        <v>1035300</v>
      </c>
      <c r="M78" s="1246">
        <v>0</v>
      </c>
      <c r="N78" s="1249">
        <f t="shared" si="18"/>
        <v>0</v>
      </c>
      <c r="O78" s="939">
        <f t="shared" si="19"/>
        <v>0</v>
      </c>
      <c r="P78" s="808" t="s">
        <v>1087</v>
      </c>
      <c r="Q78" s="1326">
        <v>45671</v>
      </c>
      <c r="R78" s="1251"/>
    </row>
    <row r="79" spans="1:18" s="933" customFormat="1" x14ac:dyDescent="0.2">
      <c r="A79" s="926"/>
      <c r="B79" s="927"/>
      <c r="C79" s="928"/>
      <c r="D79" s="929"/>
      <c r="E79" s="930"/>
      <c r="F79" s="931"/>
      <c r="G79" s="931"/>
      <c r="H79" s="931"/>
      <c r="I79" s="931"/>
      <c r="J79" s="931"/>
      <c r="K79" s="816"/>
      <c r="L79" s="931"/>
      <c r="M79" s="931"/>
      <c r="N79" s="931"/>
      <c r="O79" s="931"/>
      <c r="P79" s="930"/>
      <c r="Q79" s="1334"/>
      <c r="R79" s="932"/>
    </row>
    <row r="80" spans="1:18" s="933" customFormat="1" x14ac:dyDescent="0.2">
      <c r="A80" s="926" t="s">
        <v>406</v>
      </c>
      <c r="B80" s="35" t="s">
        <v>752</v>
      </c>
      <c r="C80" s="928"/>
      <c r="D80" s="929"/>
      <c r="E80" s="930"/>
      <c r="F80" s="931">
        <f>SUM(F75:F78)</f>
        <v>13030000</v>
      </c>
      <c r="G80" s="931">
        <f>SUM(G75:G78)</f>
        <v>2477600</v>
      </c>
      <c r="H80" s="931">
        <f>SUM(H75:H78)</f>
        <v>0</v>
      </c>
      <c r="I80" s="931">
        <f>SUM(I75:I78)</f>
        <v>0</v>
      </c>
      <c r="J80" s="931">
        <f>SUM(J75:J78)</f>
        <v>15507600</v>
      </c>
      <c r="K80" s="816"/>
      <c r="L80" s="931">
        <f>SUM(L75:L78)</f>
        <v>15507600</v>
      </c>
      <c r="M80" s="931">
        <f>SUM(M75:M78)</f>
        <v>0</v>
      </c>
      <c r="N80" s="931">
        <f>SUM(N75:N78)</f>
        <v>0</v>
      </c>
      <c r="O80" s="931">
        <f>SUM(O75:O78)</f>
        <v>0</v>
      </c>
      <c r="P80" s="930"/>
      <c r="Q80" s="1334"/>
      <c r="R80" s="932"/>
    </row>
    <row r="82" spans="1:17" s="933" customFormat="1" x14ac:dyDescent="0.2">
      <c r="A82" s="926" t="s">
        <v>266</v>
      </c>
      <c r="B82" s="927"/>
      <c r="C82" s="928"/>
      <c r="D82" s="929"/>
      <c r="E82" s="930"/>
      <c r="F82" s="931"/>
      <c r="G82" s="931"/>
      <c r="H82" s="931"/>
      <c r="I82" s="931"/>
      <c r="J82" s="931"/>
      <c r="K82" s="816"/>
      <c r="L82" s="931"/>
      <c r="M82" s="931"/>
      <c r="N82" s="931"/>
      <c r="O82" s="931"/>
      <c r="P82" s="930"/>
      <c r="Q82" s="1334"/>
    </row>
    <row r="83" spans="1:17" s="933" customFormat="1" x14ac:dyDescent="0.2">
      <c r="A83" s="926" t="s">
        <v>2058</v>
      </c>
      <c r="B83" s="927"/>
      <c r="C83" s="928"/>
      <c r="D83" s="929"/>
      <c r="E83" s="930"/>
      <c r="F83" s="931"/>
      <c r="G83" s="931"/>
      <c r="H83" s="931"/>
      <c r="I83" s="931"/>
      <c r="J83" s="931"/>
      <c r="K83" s="816"/>
      <c r="L83" s="931"/>
      <c r="M83" s="931"/>
      <c r="N83" s="931"/>
      <c r="O83" s="931"/>
      <c r="P83" s="930"/>
      <c r="Q83" s="1334"/>
    </row>
    <row r="84" spans="1:17" s="933" customFormat="1" x14ac:dyDescent="0.2">
      <c r="A84" s="926"/>
      <c r="B84" s="927"/>
      <c r="C84" s="928"/>
      <c r="D84" s="929"/>
      <c r="E84" s="930"/>
      <c r="F84" s="931"/>
      <c r="G84" s="931"/>
      <c r="H84" s="931"/>
      <c r="I84" s="931"/>
      <c r="J84" s="931"/>
      <c r="K84" s="816"/>
      <c r="L84" s="931"/>
      <c r="M84" s="931"/>
      <c r="N84" s="931"/>
      <c r="O84" s="931"/>
      <c r="P84" s="930"/>
      <c r="Q84" s="1334"/>
    </row>
    <row r="85" spans="1:17" s="933" customFormat="1" x14ac:dyDescent="0.2">
      <c r="A85" s="1253" t="s">
        <v>828</v>
      </c>
      <c r="B85" s="1234">
        <v>45148</v>
      </c>
      <c r="C85" s="1254">
        <v>2</v>
      </c>
      <c r="D85" s="511" t="str">
        <f>_xlfn.XLOOKUP(C85,Códigos!$A$11:$A$415,Códigos!$B$11:$B$415,"Verificar",0)</f>
        <v>NOMBRE 23</v>
      </c>
      <c r="E85" s="1056" t="s">
        <v>769</v>
      </c>
      <c r="F85" s="1059">
        <v>4310000</v>
      </c>
      <c r="G85" s="1255" t="s">
        <v>399</v>
      </c>
      <c r="H85" s="1060"/>
      <c r="I85" s="1060"/>
      <c r="J85" s="1035">
        <f>+F85-I85</f>
        <v>4310000</v>
      </c>
      <c r="K85" s="816"/>
      <c r="L85" s="788"/>
      <c r="M85" s="788"/>
      <c r="N85" s="533">
        <f t="shared" ref="N85" si="20">IF((J85-L85-M85)&gt;0,(J85-L85-M85),0)</f>
        <v>4310000</v>
      </c>
      <c r="O85" s="525">
        <f t="shared" ref="O85" si="21">IF((J85-L85-M85)&lt;0,(J85-L85-M85),0)</f>
        <v>0</v>
      </c>
      <c r="P85" s="808"/>
      <c r="Q85" s="1332"/>
    </row>
    <row r="86" spans="1:17" s="933" customFormat="1" x14ac:dyDescent="0.2">
      <c r="A86" s="1253" t="s">
        <v>829</v>
      </c>
      <c r="B86" s="1234">
        <v>45177</v>
      </c>
      <c r="C86" s="1254">
        <v>119</v>
      </c>
      <c r="D86" s="511" t="str">
        <f>_xlfn.XLOOKUP(C86,Códigos!$A$11:$A$415,Códigos!$B$11:$B$415,"Verificar",0)</f>
        <v>NOMBRE 157</v>
      </c>
      <c r="E86" s="1056" t="s">
        <v>769</v>
      </c>
      <c r="F86" s="1059">
        <v>270000</v>
      </c>
      <c r="G86" s="1255" t="s">
        <v>399</v>
      </c>
      <c r="H86" s="1060"/>
      <c r="I86" s="1060">
        <v>100000</v>
      </c>
      <c r="J86" s="1035">
        <f t="shared" ref="J86:J88" si="22">+F86-I86</f>
        <v>170000</v>
      </c>
      <c r="K86" s="816"/>
      <c r="L86" s="788"/>
      <c r="M86" s="788"/>
      <c r="N86" s="533">
        <f t="shared" ref="N86:N88" si="23">IF((J86-L86-M86)&gt;0,(J86-L86-M86),0)</f>
        <v>170000</v>
      </c>
      <c r="O86" s="525">
        <f t="shared" ref="O86:O88" si="24">IF((J86-L86-M86)&lt;0,(J86-L86-M86),0)</f>
        <v>0</v>
      </c>
      <c r="P86" s="808" t="s">
        <v>845</v>
      </c>
      <c r="Q86" s="1332">
        <v>45162</v>
      </c>
    </row>
    <row r="87" spans="1:17" s="933" customFormat="1" x14ac:dyDescent="0.2">
      <c r="A87" s="1253" t="s">
        <v>830</v>
      </c>
      <c r="B87" s="1234">
        <v>45196</v>
      </c>
      <c r="C87" s="1254">
        <v>265</v>
      </c>
      <c r="D87" s="511" t="str">
        <f>_xlfn.XLOOKUP(C87,Códigos!$A$11:$A$415,Códigos!$B$11:$B$415,"Verificar",0)</f>
        <v>NOMBRE 246</v>
      </c>
      <c r="E87" s="1056" t="s">
        <v>769</v>
      </c>
      <c r="F87" s="1059">
        <v>320000</v>
      </c>
      <c r="G87" s="1255" t="s">
        <v>399</v>
      </c>
      <c r="H87" s="1060"/>
      <c r="I87" s="1060"/>
      <c r="J87" s="1035">
        <f t="shared" si="22"/>
        <v>320000</v>
      </c>
      <c r="K87" s="816"/>
      <c r="L87" s="788"/>
      <c r="M87" s="788"/>
      <c r="N87" s="533">
        <f t="shared" si="23"/>
        <v>320000</v>
      </c>
      <c r="O87" s="525">
        <f t="shared" si="24"/>
        <v>0</v>
      </c>
      <c r="P87" s="808"/>
      <c r="Q87" s="1332"/>
    </row>
    <row r="88" spans="1:17" s="933" customFormat="1" x14ac:dyDescent="0.2">
      <c r="A88" s="1253" t="s">
        <v>831</v>
      </c>
      <c r="B88" s="1234">
        <v>45201</v>
      </c>
      <c r="C88" s="1254">
        <v>306</v>
      </c>
      <c r="D88" s="511" t="str">
        <f>_xlfn.XLOOKUP(C88,Códigos!$A$11:$A$415,Códigos!$B$11:$B$415,"Verificar",0)</f>
        <v>NOMBRE 33</v>
      </c>
      <c r="E88" s="1056" t="s">
        <v>769</v>
      </c>
      <c r="F88" s="1059">
        <v>300000</v>
      </c>
      <c r="G88" s="1255" t="s">
        <v>399</v>
      </c>
      <c r="H88" s="1060"/>
      <c r="I88" s="1060"/>
      <c r="J88" s="1035">
        <f t="shared" si="22"/>
        <v>300000</v>
      </c>
      <c r="K88" s="816"/>
      <c r="L88" s="788"/>
      <c r="M88" s="788"/>
      <c r="N88" s="533">
        <f t="shared" si="23"/>
        <v>300000</v>
      </c>
      <c r="O88" s="525">
        <f t="shared" si="24"/>
        <v>0</v>
      </c>
      <c r="P88" s="808"/>
      <c r="Q88" s="1332"/>
    </row>
    <row r="89" spans="1:17" s="933" customFormat="1" x14ac:dyDescent="0.2">
      <c r="A89" s="1253" t="s">
        <v>832</v>
      </c>
      <c r="B89" s="1234">
        <v>45205</v>
      </c>
      <c r="C89" s="1254">
        <v>275</v>
      </c>
      <c r="D89" s="511" t="str">
        <f>_xlfn.XLOOKUP(C89,Códigos!$A$11:$A$415,Códigos!$B$11:$B$415,"Verificar",0)</f>
        <v>NOMBRE 155</v>
      </c>
      <c r="E89" s="1056" t="s">
        <v>769</v>
      </c>
      <c r="F89" s="1059">
        <v>300000</v>
      </c>
      <c r="G89" s="1255" t="s">
        <v>399</v>
      </c>
      <c r="H89" s="1060"/>
      <c r="I89" s="1060"/>
      <c r="J89" s="1035">
        <f t="shared" ref="J89:J90" si="25">+F89-I89</f>
        <v>300000</v>
      </c>
      <c r="K89" s="816"/>
      <c r="L89" s="788">
        <f>70000</f>
        <v>70000</v>
      </c>
      <c r="M89" s="788"/>
      <c r="N89" s="533">
        <f t="shared" ref="N89:N91" si="26">IF((J89-L89-M89)&gt;0,(J89-L89-M89),0)</f>
        <v>230000</v>
      </c>
      <c r="O89" s="525">
        <f t="shared" ref="O89:O91" si="27">IF((J89-L89-M89)&lt;0,(J89-L89-M89),0)</f>
        <v>0</v>
      </c>
      <c r="P89" s="808" t="s">
        <v>1604</v>
      </c>
      <c r="Q89" s="1332">
        <v>45898</v>
      </c>
    </row>
    <row r="90" spans="1:17" s="933" customFormat="1" x14ac:dyDescent="0.2">
      <c r="A90" s="1253" t="s">
        <v>833</v>
      </c>
      <c r="B90" s="1234">
        <v>45217</v>
      </c>
      <c r="C90" s="1254">
        <v>67</v>
      </c>
      <c r="D90" s="511" t="str">
        <f>_xlfn.XLOOKUP(C90,Códigos!$A$11:$A$415,Códigos!$B$11:$B$415,"Verificar",0)</f>
        <v>NOMBRE 45</v>
      </c>
      <c r="E90" s="1056" t="s">
        <v>769</v>
      </c>
      <c r="F90" s="1059">
        <v>1890000</v>
      </c>
      <c r="G90" s="1255" t="s">
        <v>399</v>
      </c>
      <c r="H90" s="1060"/>
      <c r="I90" s="1060"/>
      <c r="J90" s="1035">
        <f t="shared" si="25"/>
        <v>1890000</v>
      </c>
      <c r="K90" s="816"/>
      <c r="L90" s="788"/>
      <c r="M90" s="788"/>
      <c r="N90" s="533">
        <f t="shared" si="26"/>
        <v>1890000</v>
      </c>
      <c r="O90" s="525">
        <f t="shared" si="27"/>
        <v>0</v>
      </c>
      <c r="P90" s="808"/>
      <c r="Q90" s="1332"/>
    </row>
    <row r="91" spans="1:17" s="933" customFormat="1" x14ac:dyDescent="0.2">
      <c r="A91" s="1253" t="s">
        <v>834</v>
      </c>
      <c r="B91" s="1234">
        <v>45218</v>
      </c>
      <c r="C91" s="1254">
        <v>21</v>
      </c>
      <c r="D91" s="511" t="str">
        <f>_xlfn.XLOOKUP(C91,Códigos!$A$11:$A$415,Códigos!$B$11:$B$415,"Verificar",0)</f>
        <v>NOMBRE 168</v>
      </c>
      <c r="E91" s="1056" t="s">
        <v>769</v>
      </c>
      <c r="F91" s="1059">
        <v>2800000</v>
      </c>
      <c r="G91" s="1255" t="s">
        <v>399</v>
      </c>
      <c r="H91" s="1060"/>
      <c r="I91" s="1060"/>
      <c r="J91" s="1035">
        <v>2320000</v>
      </c>
      <c r="K91" s="816"/>
      <c r="L91" s="788"/>
      <c r="M91" s="788"/>
      <c r="N91" s="533">
        <f t="shared" si="26"/>
        <v>2320000</v>
      </c>
      <c r="O91" s="525">
        <f t="shared" si="27"/>
        <v>0</v>
      </c>
      <c r="P91" s="808"/>
      <c r="Q91" s="1332"/>
    </row>
    <row r="92" spans="1:17" s="933" customFormat="1" x14ac:dyDescent="0.2">
      <c r="A92" s="926"/>
      <c r="B92" s="927"/>
      <c r="C92" s="928"/>
      <c r="D92" s="929"/>
      <c r="E92" s="930"/>
      <c r="F92" s="931"/>
      <c r="G92" s="931"/>
      <c r="H92" s="931"/>
      <c r="I92" s="931"/>
      <c r="J92" s="931"/>
      <c r="K92" s="816"/>
      <c r="L92" s="931"/>
      <c r="M92" s="931"/>
      <c r="N92" s="931"/>
      <c r="O92" s="931"/>
      <c r="P92" s="930"/>
      <c r="Q92" s="1334"/>
    </row>
    <row r="93" spans="1:17" s="933" customFormat="1" x14ac:dyDescent="0.2">
      <c r="A93" s="926" t="s">
        <v>406</v>
      </c>
      <c r="B93" s="1256" t="s">
        <v>2055</v>
      </c>
      <c r="C93" s="928"/>
      <c r="D93" s="929"/>
      <c r="E93" s="930"/>
      <c r="F93" s="931">
        <f>SUM(F85:F91)</f>
        <v>10190000</v>
      </c>
      <c r="G93" s="931">
        <f>SUM(G85:G91)</f>
        <v>0</v>
      </c>
      <c r="H93" s="931">
        <f>SUM(H85:H91)</f>
        <v>0</v>
      </c>
      <c r="I93" s="931">
        <f>SUM(I85:I91)</f>
        <v>100000</v>
      </c>
      <c r="J93" s="931">
        <f>SUM(J85:J91)</f>
        <v>9610000</v>
      </c>
      <c r="K93" s="816"/>
      <c r="L93" s="931">
        <f>SUM(L85:L91)</f>
        <v>70000</v>
      </c>
      <c r="M93" s="931">
        <f>SUM(M85:M91)</f>
        <v>0</v>
      </c>
      <c r="N93" s="931">
        <f>SUM(N85:N91)</f>
        <v>9540000</v>
      </c>
      <c r="O93" s="931">
        <f>SUM(O85:O91)</f>
        <v>0</v>
      </c>
      <c r="P93" s="930"/>
      <c r="Q93" s="1334"/>
    </row>
    <row r="94" spans="1:17" s="933" customFormat="1" x14ac:dyDescent="0.2">
      <c r="A94" s="926"/>
      <c r="B94" s="927"/>
      <c r="C94" s="928"/>
      <c r="D94" s="929"/>
      <c r="E94" s="930"/>
      <c r="F94" s="931"/>
      <c r="G94" s="931"/>
      <c r="H94" s="931"/>
      <c r="I94" s="931"/>
      <c r="J94" s="931"/>
      <c r="K94" s="816"/>
      <c r="L94" s="931"/>
      <c r="M94" s="931"/>
      <c r="N94" s="931"/>
      <c r="O94" s="931"/>
      <c r="P94" s="930"/>
      <c r="Q94" s="1334"/>
    </row>
    <row r="95" spans="1:17" s="933" customFormat="1" x14ac:dyDescent="0.2">
      <c r="A95" s="31" t="s">
        <v>107</v>
      </c>
      <c r="B95" s="927"/>
      <c r="C95" s="928"/>
      <c r="D95" s="929"/>
      <c r="E95" s="930"/>
      <c r="F95" s="931"/>
      <c r="G95" s="931"/>
      <c r="H95" s="931"/>
      <c r="I95" s="931"/>
      <c r="J95" s="931"/>
      <c r="K95" s="816"/>
      <c r="L95" s="931"/>
      <c r="M95" s="931"/>
      <c r="N95" s="931"/>
      <c r="O95" s="931"/>
      <c r="P95" s="930"/>
      <c r="Q95" s="1334"/>
    </row>
    <row r="96" spans="1:17" s="933" customFormat="1" x14ac:dyDescent="0.2">
      <c r="A96" s="1033"/>
      <c r="B96" s="999">
        <v>45083</v>
      </c>
      <c r="C96" s="1034">
        <v>8</v>
      </c>
      <c r="D96" s="1257" t="s">
        <v>379</v>
      </c>
      <c r="E96" s="998" t="s">
        <v>835</v>
      </c>
      <c r="F96" s="659">
        <v>49000</v>
      </c>
      <c r="G96" s="990"/>
      <c r="H96" s="990"/>
      <c r="I96" s="990">
        <v>11000</v>
      </c>
      <c r="J96" s="1035">
        <f t="shared" ref="J96:J103" si="28">+F96-I96</f>
        <v>38000</v>
      </c>
      <c r="K96" s="816"/>
      <c r="L96" s="990"/>
      <c r="M96" s="990"/>
      <c r="N96" s="533">
        <f t="shared" ref="N96:N103" si="29">IF((J96-L96-M96)&gt;0,(J96-L96-M96),0)</f>
        <v>38000</v>
      </c>
      <c r="O96" s="1035"/>
      <c r="P96" s="995"/>
      <c r="Q96" s="1335"/>
    </row>
    <row r="97" spans="1:18" s="933" customFormat="1" x14ac:dyDescent="0.2">
      <c r="A97" s="1033"/>
      <c r="B97" s="999">
        <v>45147</v>
      </c>
      <c r="C97" s="1034">
        <v>8</v>
      </c>
      <c r="D97" s="1257" t="s">
        <v>379</v>
      </c>
      <c r="E97" s="998" t="s">
        <v>848</v>
      </c>
      <c r="F97" s="659">
        <v>44000</v>
      </c>
      <c r="G97" s="990"/>
      <c r="H97" s="990"/>
      <c r="I97" s="990"/>
      <c r="J97" s="1035">
        <f t="shared" si="28"/>
        <v>44000</v>
      </c>
      <c r="K97" s="816"/>
      <c r="L97" s="990"/>
      <c r="M97" s="990"/>
      <c r="N97" s="533">
        <f t="shared" si="29"/>
        <v>44000</v>
      </c>
      <c r="O97" s="1035"/>
      <c r="P97" s="995"/>
      <c r="Q97" s="1335"/>
    </row>
    <row r="98" spans="1:18" s="933" customFormat="1" x14ac:dyDescent="0.2">
      <c r="A98" s="1033"/>
      <c r="B98" s="999">
        <v>45210</v>
      </c>
      <c r="C98" s="1034">
        <v>8</v>
      </c>
      <c r="D98" s="1257" t="s">
        <v>379</v>
      </c>
      <c r="E98" s="998" t="s">
        <v>847</v>
      </c>
      <c r="F98" s="659">
        <v>43000</v>
      </c>
      <c r="G98" s="990"/>
      <c r="H98" s="990"/>
      <c r="I98" s="990"/>
      <c r="J98" s="1035">
        <f t="shared" si="28"/>
        <v>43000</v>
      </c>
      <c r="K98" s="816"/>
      <c r="L98" s="990"/>
      <c r="M98" s="990"/>
      <c r="N98" s="533">
        <f t="shared" si="29"/>
        <v>43000</v>
      </c>
      <c r="O98" s="1035"/>
      <c r="P98" s="995"/>
      <c r="Q98" s="1335"/>
    </row>
    <row r="99" spans="1:18" s="933" customFormat="1" x14ac:dyDescent="0.2">
      <c r="A99" s="1033"/>
      <c r="B99" s="999">
        <v>45238</v>
      </c>
      <c r="C99" s="1034">
        <v>8</v>
      </c>
      <c r="D99" s="1257" t="s">
        <v>379</v>
      </c>
      <c r="E99" s="998" t="s">
        <v>836</v>
      </c>
      <c r="F99" s="659">
        <v>56000</v>
      </c>
      <c r="G99" s="990"/>
      <c r="H99" s="990"/>
      <c r="I99" s="990"/>
      <c r="J99" s="1035">
        <f t="shared" ref="J99:J100" si="30">+F99-I99</f>
        <v>56000</v>
      </c>
      <c r="K99" s="816"/>
      <c r="L99" s="990"/>
      <c r="M99" s="990"/>
      <c r="N99" s="533">
        <f t="shared" ref="N99:N100" si="31">IF((J99-L99-M99)&gt;0,(J99-L99-M99),0)</f>
        <v>56000</v>
      </c>
      <c r="O99" s="1035"/>
      <c r="P99" s="995"/>
      <c r="Q99" s="1335"/>
    </row>
    <row r="100" spans="1:18" s="933" customFormat="1" x14ac:dyDescent="0.2">
      <c r="A100" s="1033"/>
      <c r="B100" s="999">
        <v>45267</v>
      </c>
      <c r="C100" s="1034">
        <v>8</v>
      </c>
      <c r="D100" s="1257" t="s">
        <v>379</v>
      </c>
      <c r="E100" s="998" t="s">
        <v>846</v>
      </c>
      <c r="F100" s="659">
        <v>71000</v>
      </c>
      <c r="G100" s="990"/>
      <c r="H100" s="990"/>
      <c r="I100" s="990"/>
      <c r="J100" s="1035">
        <f t="shared" si="30"/>
        <v>71000</v>
      </c>
      <c r="K100" s="816"/>
      <c r="L100" s="990"/>
      <c r="M100" s="990"/>
      <c r="N100" s="1258">
        <f t="shared" si="31"/>
        <v>71000</v>
      </c>
      <c r="O100" s="1035"/>
      <c r="P100" s="995"/>
      <c r="Q100" s="1335"/>
    </row>
    <row r="101" spans="1:18" s="933" customFormat="1" x14ac:dyDescent="0.2">
      <c r="A101" s="1033"/>
      <c r="B101" s="999">
        <v>45274</v>
      </c>
      <c r="C101" s="1034">
        <v>359</v>
      </c>
      <c r="D101" s="1257" t="s">
        <v>418</v>
      </c>
      <c r="E101" s="998" t="s">
        <v>837</v>
      </c>
      <c r="F101" s="659">
        <v>7200</v>
      </c>
      <c r="G101" s="990"/>
      <c r="H101" s="990"/>
      <c r="I101" s="990"/>
      <c r="J101" s="1035">
        <f t="shared" si="28"/>
        <v>7200</v>
      </c>
      <c r="K101" s="816"/>
      <c r="L101" s="990"/>
      <c r="M101" s="990"/>
      <c r="N101" s="533">
        <f t="shared" si="29"/>
        <v>7200</v>
      </c>
      <c r="O101" s="1035"/>
      <c r="P101" s="995"/>
      <c r="Q101" s="1335"/>
    </row>
    <row r="102" spans="1:18" s="933" customFormat="1" x14ac:dyDescent="0.2">
      <c r="A102" s="1033"/>
      <c r="B102" s="999">
        <v>45133</v>
      </c>
      <c r="C102" s="1034">
        <v>29</v>
      </c>
      <c r="D102" s="1257" t="s">
        <v>420</v>
      </c>
      <c r="E102" s="998" t="s">
        <v>838</v>
      </c>
      <c r="F102" s="659">
        <v>8000</v>
      </c>
      <c r="G102" s="990"/>
      <c r="H102" s="990"/>
      <c r="I102" s="990"/>
      <c r="J102" s="1035">
        <f t="shared" si="28"/>
        <v>8000</v>
      </c>
      <c r="K102" s="816"/>
      <c r="L102" s="990"/>
      <c r="M102" s="990"/>
      <c r="N102" s="533">
        <f t="shared" si="29"/>
        <v>8000</v>
      </c>
      <c r="O102" s="1035"/>
      <c r="P102" s="995"/>
      <c r="Q102" s="1335"/>
    </row>
    <row r="103" spans="1:18" s="933" customFormat="1" x14ac:dyDescent="0.2">
      <c r="A103" s="1033"/>
      <c r="B103" s="999">
        <v>45048</v>
      </c>
      <c r="C103" s="1034">
        <v>196</v>
      </c>
      <c r="D103" s="1257" t="s">
        <v>787</v>
      </c>
      <c r="E103" s="998" t="s">
        <v>839</v>
      </c>
      <c r="F103" s="659">
        <v>7200</v>
      </c>
      <c r="G103" s="990"/>
      <c r="H103" s="990"/>
      <c r="I103" s="990"/>
      <c r="J103" s="1035">
        <f t="shared" si="28"/>
        <v>7200</v>
      </c>
      <c r="K103" s="816"/>
      <c r="L103" s="990"/>
      <c r="M103" s="990"/>
      <c r="N103" s="533">
        <f t="shared" si="29"/>
        <v>7200</v>
      </c>
      <c r="O103" s="1035"/>
      <c r="P103" s="995"/>
      <c r="Q103" s="1335"/>
    </row>
    <row r="104" spans="1:18" s="933" customFormat="1" x14ac:dyDescent="0.2">
      <c r="A104" s="926"/>
      <c r="B104" s="927"/>
      <c r="C104" s="928"/>
      <c r="D104" s="929"/>
      <c r="E104" s="930"/>
      <c r="F104" s="931"/>
      <c r="G104" s="931"/>
      <c r="H104" s="931"/>
      <c r="I104" s="931"/>
      <c r="J104" s="931"/>
      <c r="K104" s="816"/>
      <c r="L104" s="931"/>
      <c r="M104" s="931"/>
      <c r="N104" s="931"/>
      <c r="O104" s="931"/>
      <c r="P104" s="930"/>
      <c r="Q104" s="1334"/>
    </row>
    <row r="105" spans="1:18" s="933" customFormat="1" x14ac:dyDescent="0.2">
      <c r="A105" s="926" t="s">
        <v>406</v>
      </c>
      <c r="B105" s="1256" t="s">
        <v>2055</v>
      </c>
      <c r="C105" s="928"/>
      <c r="D105" s="929"/>
      <c r="E105" s="930"/>
      <c r="F105" s="931">
        <f>SUM(F96:F103)</f>
        <v>285400</v>
      </c>
      <c r="G105" s="931"/>
      <c r="H105" s="931"/>
      <c r="I105" s="931"/>
      <c r="J105" s="931">
        <f>SUM(J96:J103)</f>
        <v>274400</v>
      </c>
      <c r="K105" s="816"/>
      <c r="L105" s="931"/>
      <c r="M105" s="931"/>
      <c r="N105" s="931">
        <f>SUM(N96:N103)</f>
        <v>274400</v>
      </c>
      <c r="O105" s="931"/>
      <c r="P105" s="930"/>
      <c r="Q105" s="1334"/>
    </row>
    <row r="106" spans="1:18" s="933" customFormat="1" x14ac:dyDescent="0.2">
      <c r="A106" s="926"/>
      <c r="B106" s="927"/>
      <c r="C106" s="928"/>
      <c r="D106" s="929"/>
      <c r="E106" s="930"/>
      <c r="F106" s="931"/>
      <c r="G106" s="931"/>
      <c r="H106" s="931"/>
      <c r="I106" s="931"/>
      <c r="J106" s="931"/>
      <c r="K106" s="816"/>
      <c r="L106" s="931"/>
      <c r="M106" s="931"/>
      <c r="N106" s="931"/>
      <c r="O106" s="931"/>
      <c r="P106" s="930"/>
      <c r="Q106" s="1334"/>
    </row>
    <row r="107" spans="1:18" s="933" customFormat="1" x14ac:dyDescent="0.2">
      <c r="A107" s="926"/>
      <c r="B107" s="927"/>
      <c r="C107" s="928"/>
      <c r="D107" s="929"/>
      <c r="E107" s="930"/>
      <c r="F107" s="931"/>
      <c r="G107" s="931"/>
      <c r="H107" s="931"/>
      <c r="I107" s="931"/>
      <c r="J107" s="931"/>
      <c r="K107" s="816"/>
      <c r="L107" s="931"/>
      <c r="M107" s="931"/>
      <c r="N107" s="931"/>
      <c r="O107" s="931"/>
      <c r="P107" s="930"/>
      <c r="Q107" s="1334"/>
    </row>
    <row r="108" spans="1:18" s="933" customFormat="1" x14ac:dyDescent="0.2">
      <c r="A108" s="30" t="s">
        <v>2059</v>
      </c>
      <c r="B108" s="15"/>
      <c r="C108" s="337"/>
      <c r="D108" s="18"/>
      <c r="E108" s="93"/>
      <c r="F108" s="1"/>
      <c r="G108" s="128"/>
      <c r="H108" s="252"/>
      <c r="I108" s="252"/>
      <c r="J108" s="252"/>
      <c r="K108" s="816"/>
      <c r="L108" s="496"/>
      <c r="M108" s="496"/>
      <c r="N108" s="496">
        <f>+N105+N93+N80</f>
        <v>9814400</v>
      </c>
      <c r="O108" s="496"/>
      <c r="P108" s="930"/>
      <c r="Q108" s="1334"/>
    </row>
    <row r="109" spans="1:18" s="933" customFormat="1" x14ac:dyDescent="0.2">
      <c r="A109" s="1002" t="s">
        <v>1003</v>
      </c>
      <c r="B109" s="999">
        <v>45615</v>
      </c>
      <c r="C109" s="1003">
        <v>9</v>
      </c>
      <c r="D109" s="1004" t="str">
        <f>_xlfn.XLOOKUP(C109,Códigos!$A$11:$A$415,Códigos!$B$11:$B$415,"Verificar",0)</f>
        <v>NOMBRE 65</v>
      </c>
      <c r="E109" s="998" t="s">
        <v>1002</v>
      </c>
      <c r="F109" s="1005">
        <v>8020000</v>
      </c>
      <c r="G109" s="1006">
        <f t="shared" ref="G109:G112" si="32">+F109*19%</f>
        <v>1523800</v>
      </c>
      <c r="H109" s="1006">
        <v>882200</v>
      </c>
      <c r="I109" s="1006">
        <f>IF(D109="SI",F109*11%,0)</f>
        <v>0</v>
      </c>
      <c r="J109" s="1006">
        <f>+F109+G109-H109-I109</f>
        <v>8661600</v>
      </c>
      <c r="K109" s="816"/>
      <c r="L109" s="788"/>
      <c r="M109" s="1246"/>
      <c r="N109" s="533">
        <f t="shared" ref="N109:N116" si="33">IF((J109-L109-M109)&gt;0,(J109-L109-M109),0)</f>
        <v>8661600</v>
      </c>
      <c r="O109" s="525">
        <f t="shared" ref="O109:O116" si="34">IF((J109-L109-M109)&lt;0,(J109-L109-M109),0)</f>
        <v>0</v>
      </c>
      <c r="P109" s="808"/>
      <c r="Q109" s="1327"/>
    </row>
    <row r="110" spans="1:18" s="933" customFormat="1" ht="12" customHeight="1" x14ac:dyDescent="0.2">
      <c r="A110" s="1002" t="s">
        <v>1004</v>
      </c>
      <c r="B110" s="999">
        <v>45622</v>
      </c>
      <c r="C110" s="1003">
        <v>40</v>
      </c>
      <c r="D110" s="1004" t="str">
        <f>_xlfn.XLOOKUP(C110,Códigos!$A$11:$A$415,Códigos!$B$11:$B$415,"Verificar",0)</f>
        <v>NOMBRE 325</v>
      </c>
      <c r="E110" s="998" t="s">
        <v>1002</v>
      </c>
      <c r="F110" s="1005">
        <v>7240000</v>
      </c>
      <c r="G110" s="1006">
        <f t="shared" si="32"/>
        <v>1375600</v>
      </c>
      <c r="H110" s="1006">
        <v>0</v>
      </c>
      <c r="I110" s="1006">
        <f t="shared" ref="I110:I112" si="35">IF(D110="SI",F110*11%,0)</f>
        <v>0</v>
      </c>
      <c r="J110" s="1006">
        <f t="shared" ref="J110:J112" si="36">+F110+G110-H110-I110</f>
        <v>8615600</v>
      </c>
      <c r="K110" s="816"/>
      <c r="L110" s="788">
        <v>7819200</v>
      </c>
      <c r="M110" s="1246"/>
      <c r="N110" s="533">
        <f t="shared" si="33"/>
        <v>796400</v>
      </c>
      <c r="O110" s="525">
        <f t="shared" si="34"/>
        <v>0</v>
      </c>
      <c r="P110" s="808" t="s">
        <v>1087</v>
      </c>
      <c r="Q110" s="1327">
        <v>45713</v>
      </c>
      <c r="R110" s="933" t="s">
        <v>1551</v>
      </c>
    </row>
    <row r="111" spans="1:18" s="933" customFormat="1" ht="12" customHeight="1" x14ac:dyDescent="0.2">
      <c r="A111" s="1002" t="s">
        <v>1005</v>
      </c>
      <c r="B111" s="999">
        <v>45623</v>
      </c>
      <c r="C111" s="1003">
        <v>33</v>
      </c>
      <c r="D111" s="1004" t="str">
        <f>_xlfn.XLOOKUP(C111,Códigos!$A$11:$A$415,Códigos!$B$11:$B$415,"Verificar",0)</f>
        <v>NOMBRE 171</v>
      </c>
      <c r="E111" s="998" t="s">
        <v>1002</v>
      </c>
      <c r="F111" s="1005">
        <v>3210000</v>
      </c>
      <c r="G111" s="1006">
        <f t="shared" si="32"/>
        <v>609900</v>
      </c>
      <c r="H111" s="1006">
        <v>353100</v>
      </c>
      <c r="I111" s="1006">
        <f t="shared" si="35"/>
        <v>0</v>
      </c>
      <c r="J111" s="1006">
        <f t="shared" si="36"/>
        <v>3466800</v>
      </c>
      <c r="K111" s="816"/>
      <c r="L111" s="788">
        <v>3466800</v>
      </c>
      <c r="M111" s="1246"/>
      <c r="N111" s="533">
        <f t="shared" si="33"/>
        <v>0</v>
      </c>
      <c r="O111" s="525">
        <f t="shared" si="34"/>
        <v>0</v>
      </c>
      <c r="P111" s="808" t="s">
        <v>1087</v>
      </c>
      <c r="Q111" s="1335">
        <v>45674</v>
      </c>
    </row>
    <row r="112" spans="1:18" s="933" customFormat="1" x14ac:dyDescent="0.2">
      <c r="A112" s="1002" t="s">
        <v>1006</v>
      </c>
      <c r="B112" s="999">
        <v>45623</v>
      </c>
      <c r="C112" s="1003">
        <v>37</v>
      </c>
      <c r="D112" s="1004" t="str">
        <f>_xlfn.XLOOKUP(C112,Códigos!$A$11:$A$415,Códigos!$B$11:$B$415,"Verificar",0)</f>
        <v>NOMBRE 310</v>
      </c>
      <c r="E112" s="998" t="s">
        <v>1002</v>
      </c>
      <c r="F112" s="1005">
        <v>3210000</v>
      </c>
      <c r="G112" s="1006">
        <f t="shared" si="32"/>
        <v>609900</v>
      </c>
      <c r="H112" s="1006">
        <v>353100</v>
      </c>
      <c r="I112" s="1006">
        <f t="shared" si="35"/>
        <v>0</v>
      </c>
      <c r="J112" s="1006">
        <f t="shared" si="36"/>
        <v>3466800</v>
      </c>
      <c r="K112" s="816"/>
      <c r="L112" s="788">
        <f>+(L111-5000000)*-1+1933600</f>
        <v>3466800</v>
      </c>
      <c r="M112" s="1246"/>
      <c r="N112" s="533">
        <f t="shared" si="33"/>
        <v>0</v>
      </c>
      <c r="O112" s="525">
        <f t="shared" si="34"/>
        <v>0</v>
      </c>
      <c r="P112" s="808" t="s">
        <v>1079</v>
      </c>
      <c r="Q112" s="1335">
        <v>45674</v>
      </c>
    </row>
    <row r="113" spans="1:17" s="933" customFormat="1" ht="12" customHeight="1" x14ac:dyDescent="0.2">
      <c r="A113" s="1002" t="s">
        <v>852</v>
      </c>
      <c r="B113" s="999">
        <v>45647</v>
      </c>
      <c r="C113" s="1003">
        <v>25</v>
      </c>
      <c r="D113" s="1004" t="str">
        <f>_xlfn.XLOOKUP(C113,Códigos!$A$11:$A$415,Códigos!$B$11:$B$415,"Verificar",0)</f>
        <v>NOMBRE 178</v>
      </c>
      <c r="E113" s="998" t="s">
        <v>1002</v>
      </c>
      <c r="F113" s="1005">
        <v>4270000</v>
      </c>
      <c r="G113" s="1006">
        <f t="shared" ref="G113:G116" si="37">+F113*19%</f>
        <v>811300</v>
      </c>
      <c r="H113" s="1006">
        <v>469700</v>
      </c>
      <c r="I113" s="1006">
        <f t="shared" ref="I113:I116" si="38">IF(D113="SI",F113*11%,0)</f>
        <v>0</v>
      </c>
      <c r="J113" s="1006">
        <f t="shared" ref="J113:J116" si="39">+F113+G113-H113-I113</f>
        <v>4611600</v>
      </c>
      <c r="K113" s="816"/>
      <c r="L113" s="788">
        <v>4611600</v>
      </c>
      <c r="M113" s="1246"/>
      <c r="N113" s="533">
        <f t="shared" si="33"/>
        <v>0</v>
      </c>
      <c r="O113" s="525">
        <f t="shared" si="34"/>
        <v>0</v>
      </c>
      <c r="P113" s="808" t="s">
        <v>1087</v>
      </c>
      <c r="Q113" s="1326">
        <v>45671</v>
      </c>
    </row>
    <row r="114" spans="1:17" s="933" customFormat="1" ht="12" customHeight="1" x14ac:dyDescent="0.2">
      <c r="A114" s="1002" t="s">
        <v>853</v>
      </c>
      <c r="B114" s="999">
        <v>45647</v>
      </c>
      <c r="C114" s="1003">
        <v>290</v>
      </c>
      <c r="D114" s="1004" t="str">
        <f>_xlfn.XLOOKUP(C114,Códigos!$A$11:$A$415,Códigos!$B$11:$B$415,"Verificar",0)</f>
        <v>NOMBRE 170</v>
      </c>
      <c r="E114" s="998" t="s">
        <v>1002</v>
      </c>
      <c r="F114" s="1005">
        <v>5030000</v>
      </c>
      <c r="G114" s="1006">
        <f t="shared" si="37"/>
        <v>955700</v>
      </c>
      <c r="H114" s="1006">
        <v>553300</v>
      </c>
      <c r="I114" s="1006">
        <f t="shared" si="38"/>
        <v>0</v>
      </c>
      <c r="J114" s="1006">
        <f t="shared" si="39"/>
        <v>5432400</v>
      </c>
      <c r="K114" s="816"/>
      <c r="L114" s="788">
        <f>11983300-L76</f>
        <v>5983800</v>
      </c>
      <c r="M114" s="1246"/>
      <c r="N114" s="533">
        <f t="shared" si="33"/>
        <v>0</v>
      </c>
      <c r="O114" s="525">
        <f t="shared" si="34"/>
        <v>-551400</v>
      </c>
      <c r="P114" s="808" t="s">
        <v>1087</v>
      </c>
      <c r="Q114" s="1335">
        <v>45674</v>
      </c>
    </row>
    <row r="115" spans="1:17" s="933" customFormat="1" ht="12" customHeight="1" x14ac:dyDescent="0.2">
      <c r="A115" s="1002" t="s">
        <v>1085</v>
      </c>
      <c r="B115" s="999">
        <v>45647</v>
      </c>
      <c r="C115" s="1003">
        <v>158</v>
      </c>
      <c r="D115" s="1004" t="str">
        <f>_xlfn.XLOOKUP(C115,Códigos!$A$11:$A$415,Códigos!$B$11:$B$415,"Verificar",0)</f>
        <v>NOMBRE 262</v>
      </c>
      <c r="E115" s="998" t="s">
        <v>1002</v>
      </c>
      <c r="F115" s="1005">
        <v>3050000</v>
      </c>
      <c r="G115" s="1006">
        <f t="shared" si="37"/>
        <v>579500</v>
      </c>
      <c r="H115" s="1006"/>
      <c r="I115" s="1006">
        <f t="shared" si="38"/>
        <v>0</v>
      </c>
      <c r="J115" s="1006">
        <f t="shared" si="39"/>
        <v>3629500</v>
      </c>
      <c r="K115" s="816"/>
      <c r="L115" s="788">
        <v>3629500</v>
      </c>
      <c r="M115" s="1246"/>
      <c r="N115" s="533">
        <f t="shared" si="33"/>
        <v>0</v>
      </c>
      <c r="O115" s="525">
        <f t="shared" si="34"/>
        <v>0</v>
      </c>
      <c r="P115" s="808" t="s">
        <v>1087</v>
      </c>
      <c r="Q115" s="1326">
        <v>45671</v>
      </c>
    </row>
    <row r="116" spans="1:17" s="933" customFormat="1" ht="12" customHeight="1" x14ac:dyDescent="0.2">
      <c r="A116" s="1002" t="s">
        <v>1086</v>
      </c>
      <c r="B116" s="999">
        <v>45647</v>
      </c>
      <c r="C116" s="1003">
        <v>296</v>
      </c>
      <c r="D116" s="1004" t="str">
        <f>_xlfn.XLOOKUP(C116,Códigos!$A$11:$A$415,Códigos!$B$11:$B$415,"Verificar",0)</f>
        <v>NOMBRE 300</v>
      </c>
      <c r="E116" s="998" t="s">
        <v>1002</v>
      </c>
      <c r="F116" s="1005">
        <v>950000</v>
      </c>
      <c r="G116" s="1006">
        <f t="shared" si="37"/>
        <v>180500</v>
      </c>
      <c r="H116" s="1006"/>
      <c r="I116" s="1006">
        <f t="shared" si="38"/>
        <v>0</v>
      </c>
      <c r="J116" s="1006">
        <f t="shared" si="39"/>
        <v>1130500</v>
      </c>
      <c r="K116" s="816"/>
      <c r="L116" s="788">
        <v>1130500</v>
      </c>
      <c r="M116" s="1246"/>
      <c r="N116" s="533">
        <f t="shared" si="33"/>
        <v>0</v>
      </c>
      <c r="O116" s="525">
        <f t="shared" si="34"/>
        <v>0</v>
      </c>
      <c r="P116" s="808" t="s">
        <v>1087</v>
      </c>
      <c r="Q116" s="1326">
        <v>45671</v>
      </c>
    </row>
    <row r="117" spans="1:17" s="933" customFormat="1" x14ac:dyDescent="0.2">
      <c r="A117" s="926"/>
      <c r="B117" s="927"/>
      <c r="C117" s="928"/>
      <c r="D117" s="929"/>
      <c r="E117" s="930"/>
      <c r="F117" s="931"/>
      <c r="G117" s="931"/>
      <c r="H117" s="931"/>
      <c r="I117" s="931"/>
      <c r="J117" s="931"/>
      <c r="K117" s="816"/>
      <c r="L117" s="931"/>
      <c r="M117" s="931"/>
      <c r="N117" s="931"/>
      <c r="O117" s="931"/>
      <c r="P117" s="930"/>
      <c r="Q117" s="1334"/>
    </row>
    <row r="118" spans="1:17" s="933" customFormat="1" x14ac:dyDescent="0.2">
      <c r="A118" s="30" t="s">
        <v>266</v>
      </c>
      <c r="B118" s="5"/>
      <c r="C118" s="337"/>
      <c r="D118" s="38"/>
      <c r="E118" s="930"/>
      <c r="F118" s="931"/>
      <c r="G118" s="931"/>
      <c r="H118" s="931"/>
      <c r="I118" s="931"/>
      <c r="J118" s="931"/>
      <c r="K118" s="816"/>
      <c r="L118" s="931"/>
      <c r="M118" s="931"/>
      <c r="N118" s="931"/>
      <c r="O118" s="931"/>
      <c r="P118" s="930"/>
      <c r="Q118" s="1334"/>
    </row>
    <row r="119" spans="1:17" s="933" customFormat="1" x14ac:dyDescent="0.2">
      <c r="A119" s="30" t="s">
        <v>2055</v>
      </c>
      <c r="B119" s="194"/>
      <c r="C119" s="337"/>
      <c r="D119" s="38"/>
      <c r="E119" s="930"/>
      <c r="F119" s="931"/>
      <c r="G119" s="931"/>
      <c r="H119" s="931"/>
      <c r="I119" s="931"/>
      <c r="J119" s="931"/>
      <c r="K119" s="816"/>
      <c r="L119" s="931"/>
      <c r="M119" s="931"/>
      <c r="N119" s="931"/>
      <c r="O119" s="931"/>
      <c r="P119" s="930"/>
      <c r="Q119" s="1334"/>
    </row>
    <row r="120" spans="1:17" s="933" customFormat="1" x14ac:dyDescent="0.2">
      <c r="A120" s="22"/>
      <c r="B120" s="15"/>
      <c r="C120" s="337"/>
      <c r="D120" s="18"/>
      <c r="E120" s="930"/>
      <c r="F120" s="931"/>
      <c r="G120" s="931"/>
      <c r="H120" s="931"/>
      <c r="I120" s="931"/>
      <c r="J120" s="931"/>
      <c r="K120" s="816"/>
      <c r="L120" s="931"/>
      <c r="M120" s="931"/>
      <c r="N120" s="931"/>
      <c r="O120" s="931"/>
      <c r="P120" s="930"/>
      <c r="Q120" s="1334"/>
    </row>
    <row r="121" spans="1:17" s="933" customFormat="1" x14ac:dyDescent="0.2">
      <c r="A121" s="1253" t="s">
        <v>1007</v>
      </c>
      <c r="B121" s="1057">
        <v>45538</v>
      </c>
      <c r="C121" s="1036">
        <v>143</v>
      </c>
      <c r="D121" s="1004" t="str">
        <f>_xlfn.XLOOKUP(C121,Códigos!$A$11:$A$415,Códigos!$B$11:$B$415,"Verificar",0)</f>
        <v>NOMBRE 236</v>
      </c>
      <c r="E121" s="1056" t="s">
        <v>1002</v>
      </c>
      <c r="F121" s="1059">
        <v>730000</v>
      </c>
      <c r="G121" s="1035">
        <v>0</v>
      </c>
      <c r="H121" s="1035">
        <v>0</v>
      </c>
      <c r="I121" s="1035">
        <v>0</v>
      </c>
      <c r="J121" s="1006">
        <f t="shared" ref="J121:J130" si="40">+F121+G121-H121-I121</f>
        <v>730000</v>
      </c>
      <c r="K121" s="816"/>
      <c r="L121" s="788"/>
      <c r="M121" s="1246"/>
      <c r="N121" s="533">
        <f t="shared" ref="N121:N130" si="41">IF((J121-L121-M121)&gt;0,(J121-L121-M121),0)</f>
        <v>730000</v>
      </c>
      <c r="O121" s="525"/>
      <c r="P121" s="808"/>
      <c r="Q121" s="1327"/>
    </row>
    <row r="122" spans="1:17" s="933" customFormat="1" x14ac:dyDescent="0.2">
      <c r="A122" s="1253" t="s">
        <v>1008</v>
      </c>
      <c r="B122" s="1057">
        <v>45538</v>
      </c>
      <c r="C122" s="1036">
        <v>230</v>
      </c>
      <c r="D122" s="1004" t="str">
        <f>_xlfn.XLOOKUP(C122,Códigos!$A$11:$A$415,Códigos!$B$11:$B$415,"Verificar",0)</f>
        <v>NOMBRE 184</v>
      </c>
      <c r="E122" s="1056" t="s">
        <v>1002</v>
      </c>
      <c r="F122" s="1059">
        <v>270000</v>
      </c>
      <c r="G122" s="1035">
        <v>0</v>
      </c>
      <c r="H122" s="1035">
        <v>0</v>
      </c>
      <c r="I122" s="1035">
        <v>0</v>
      </c>
      <c r="J122" s="1006">
        <f t="shared" si="40"/>
        <v>270000</v>
      </c>
      <c r="K122" s="816"/>
      <c r="L122" s="788">
        <v>260000</v>
      </c>
      <c r="M122" s="1246">
        <v>10000</v>
      </c>
      <c r="N122" s="533">
        <f t="shared" si="41"/>
        <v>0</v>
      </c>
      <c r="O122" s="525"/>
      <c r="P122" s="808"/>
      <c r="Q122" s="1327"/>
    </row>
    <row r="123" spans="1:17" s="933" customFormat="1" x14ac:dyDescent="0.2">
      <c r="A123" s="1253" t="s">
        <v>1009</v>
      </c>
      <c r="B123" s="1057">
        <v>45539</v>
      </c>
      <c r="C123" s="1036">
        <v>273</v>
      </c>
      <c r="D123" s="1004" t="str">
        <f>_xlfn.XLOOKUP(C123,Códigos!$A$11:$A$415,Códigos!$B$11:$B$415,"Verificar",0)</f>
        <v>NOMBRE 88</v>
      </c>
      <c r="E123" s="1056" t="s">
        <v>1002</v>
      </c>
      <c r="F123" s="1059">
        <v>580000</v>
      </c>
      <c r="G123" s="1035">
        <v>0</v>
      </c>
      <c r="H123" s="1035">
        <v>0</v>
      </c>
      <c r="I123" s="1035">
        <v>0</v>
      </c>
      <c r="J123" s="1006">
        <f t="shared" si="40"/>
        <v>580000</v>
      </c>
      <c r="K123" s="816"/>
      <c r="L123" s="788">
        <v>580000</v>
      </c>
      <c r="M123" s="1246"/>
      <c r="N123" s="533">
        <f t="shared" si="41"/>
        <v>0</v>
      </c>
      <c r="O123" s="525"/>
      <c r="P123" s="808"/>
      <c r="Q123" s="1327"/>
    </row>
    <row r="124" spans="1:17" s="933" customFormat="1" x14ac:dyDescent="0.2">
      <c r="A124" s="1253" t="s">
        <v>1010</v>
      </c>
      <c r="B124" s="1057">
        <v>45548</v>
      </c>
      <c r="C124" s="1036">
        <v>322</v>
      </c>
      <c r="D124" s="1004" t="str">
        <f>_xlfn.XLOOKUP(C124,Códigos!$A$11:$A$415,Códigos!$B$11:$B$415,"Verificar",0)</f>
        <v>NOMBRE 37</v>
      </c>
      <c r="E124" s="1056" t="s">
        <v>1002</v>
      </c>
      <c r="F124" s="1059">
        <v>320000</v>
      </c>
      <c r="G124" s="1035">
        <v>0</v>
      </c>
      <c r="H124" s="1035">
        <v>0</v>
      </c>
      <c r="I124" s="1035">
        <v>0</v>
      </c>
      <c r="J124" s="1006">
        <f t="shared" si="40"/>
        <v>320000</v>
      </c>
      <c r="K124" s="816"/>
      <c r="L124" s="788">
        <v>320000</v>
      </c>
      <c r="M124" s="1246"/>
      <c r="N124" s="533">
        <f t="shared" si="41"/>
        <v>0</v>
      </c>
      <c r="O124" s="525"/>
      <c r="P124" s="808" t="s">
        <v>1092</v>
      </c>
      <c r="Q124" s="1327">
        <v>45702</v>
      </c>
    </row>
    <row r="125" spans="1:17" s="933" customFormat="1" x14ac:dyDescent="0.2">
      <c r="A125" s="1253" t="s">
        <v>1011</v>
      </c>
      <c r="B125" s="1057">
        <v>45561</v>
      </c>
      <c r="C125" s="1036">
        <v>119</v>
      </c>
      <c r="D125" s="1004" t="str">
        <f>_xlfn.XLOOKUP(C125,Códigos!$A$11:$A$415,Códigos!$B$11:$B$415,"Verificar",0)</f>
        <v>NOMBRE 157</v>
      </c>
      <c r="E125" s="1056" t="s">
        <v>1002</v>
      </c>
      <c r="F125" s="1059">
        <v>300000</v>
      </c>
      <c r="G125" s="1035">
        <v>0</v>
      </c>
      <c r="H125" s="1035">
        <v>0</v>
      </c>
      <c r="I125" s="1035">
        <v>0</v>
      </c>
      <c r="J125" s="1006">
        <f t="shared" si="40"/>
        <v>300000</v>
      </c>
      <c r="K125" s="816"/>
      <c r="L125" s="788"/>
      <c r="M125" s="1246"/>
      <c r="N125" s="533">
        <f t="shared" si="41"/>
        <v>300000</v>
      </c>
      <c r="O125" s="525"/>
      <c r="P125" s="808"/>
      <c r="Q125" s="1327"/>
    </row>
    <row r="126" spans="1:17" s="933" customFormat="1" x14ac:dyDescent="0.2">
      <c r="A126" s="1253" t="s">
        <v>1012</v>
      </c>
      <c r="B126" s="1057">
        <v>45561</v>
      </c>
      <c r="C126" s="1036">
        <v>280</v>
      </c>
      <c r="D126" s="1004" t="str">
        <f>_xlfn.XLOOKUP(C126,Códigos!$A$11:$A$415,Códigos!$B$11:$B$415,"Verificar",0)</f>
        <v>NOMBRE 225</v>
      </c>
      <c r="E126" s="1056" t="s">
        <v>1002</v>
      </c>
      <c r="F126" s="1059">
        <v>300000</v>
      </c>
      <c r="G126" s="1035">
        <v>0</v>
      </c>
      <c r="H126" s="1035">
        <v>0</v>
      </c>
      <c r="I126" s="1035">
        <v>0</v>
      </c>
      <c r="J126" s="1006">
        <f t="shared" si="40"/>
        <v>300000</v>
      </c>
      <c r="K126" s="816"/>
      <c r="L126" s="788"/>
      <c r="M126" s="1246"/>
      <c r="N126" s="533">
        <f t="shared" si="41"/>
        <v>300000</v>
      </c>
      <c r="O126" s="525"/>
      <c r="P126" s="808"/>
      <c r="Q126" s="1327"/>
    </row>
    <row r="127" spans="1:17" s="933" customFormat="1" x14ac:dyDescent="0.2">
      <c r="A127" s="1253" t="s">
        <v>1013</v>
      </c>
      <c r="B127" s="1057">
        <v>45561</v>
      </c>
      <c r="C127" s="1036">
        <v>118</v>
      </c>
      <c r="D127" s="1004" t="str">
        <f>_xlfn.XLOOKUP(C127,Códigos!$A$11:$A$415,Códigos!$B$11:$B$415,"Verificar",0)</f>
        <v>NOMBRE 154</v>
      </c>
      <c r="E127" s="1056" t="s">
        <v>1002</v>
      </c>
      <c r="F127" s="1059">
        <v>330000</v>
      </c>
      <c r="G127" s="1035">
        <v>0</v>
      </c>
      <c r="H127" s="1035">
        <v>0</v>
      </c>
      <c r="I127" s="1035">
        <v>0</v>
      </c>
      <c r="J127" s="1006">
        <f t="shared" si="40"/>
        <v>330000</v>
      </c>
      <c r="K127" s="816"/>
      <c r="L127" s="788">
        <v>330000</v>
      </c>
      <c r="M127" s="1246"/>
      <c r="N127" s="533">
        <f t="shared" si="41"/>
        <v>0</v>
      </c>
      <c r="O127" s="525"/>
      <c r="P127" s="808" t="s">
        <v>1092</v>
      </c>
      <c r="Q127" s="1327">
        <v>45903</v>
      </c>
    </row>
    <row r="128" spans="1:17" s="933" customFormat="1" x14ac:dyDescent="0.2">
      <c r="A128" s="1253" t="s">
        <v>1014</v>
      </c>
      <c r="B128" s="1057">
        <v>45561</v>
      </c>
      <c r="C128" s="1036">
        <v>142</v>
      </c>
      <c r="D128" s="1004" t="str">
        <f>_xlfn.XLOOKUP(C128,Códigos!$A$11:$A$415,Códigos!$B$11:$B$415,"Verificar",0)</f>
        <v>NOMBRE 235</v>
      </c>
      <c r="E128" s="1056" t="s">
        <v>1002</v>
      </c>
      <c r="F128" s="1059">
        <v>2190000</v>
      </c>
      <c r="G128" s="1035">
        <v>0</v>
      </c>
      <c r="H128" s="1035">
        <v>0</v>
      </c>
      <c r="I128" s="1035">
        <v>0</v>
      </c>
      <c r="J128" s="1006">
        <f t="shared" si="40"/>
        <v>2190000</v>
      </c>
      <c r="K128" s="816"/>
      <c r="L128" s="788">
        <v>1500000</v>
      </c>
      <c r="M128" s="1246"/>
      <c r="N128" s="533">
        <f t="shared" si="41"/>
        <v>690000</v>
      </c>
      <c r="O128" s="525"/>
      <c r="P128" s="808" t="s">
        <v>1427</v>
      </c>
      <c r="Q128" s="1327">
        <v>45639</v>
      </c>
    </row>
    <row r="129" spans="1:18" s="933" customFormat="1" x14ac:dyDescent="0.2">
      <c r="A129" s="1253" t="s">
        <v>1015</v>
      </c>
      <c r="B129" s="1057">
        <v>45561</v>
      </c>
      <c r="C129" s="1036">
        <v>222</v>
      </c>
      <c r="D129" s="1004" t="str">
        <f>_xlfn.XLOOKUP(C129,Códigos!$A$11:$A$415,Códigos!$B$11:$B$415,"Verificar",0)</f>
        <v>NOMBRE 101</v>
      </c>
      <c r="E129" s="1056" t="s">
        <v>1002</v>
      </c>
      <c r="F129" s="1059">
        <v>3280000</v>
      </c>
      <c r="G129" s="1035">
        <v>0</v>
      </c>
      <c r="H129" s="1035">
        <v>0</v>
      </c>
      <c r="I129" s="1035">
        <v>0</v>
      </c>
      <c r="J129" s="1006">
        <f t="shared" si="40"/>
        <v>3280000</v>
      </c>
      <c r="K129" s="816"/>
      <c r="L129" s="788"/>
      <c r="M129" s="1246"/>
      <c r="N129" s="533">
        <f t="shared" si="41"/>
        <v>3280000</v>
      </c>
      <c r="O129" s="525"/>
      <c r="P129" s="808"/>
      <c r="Q129" s="1327"/>
    </row>
    <row r="130" spans="1:18" s="933" customFormat="1" x14ac:dyDescent="0.2">
      <c r="A130" s="1253" t="s">
        <v>1016</v>
      </c>
      <c r="B130" s="1057">
        <v>45561</v>
      </c>
      <c r="C130" s="1036">
        <v>277</v>
      </c>
      <c r="D130" s="1004" t="str">
        <f>_xlfn.XLOOKUP(C130,Códigos!$A$11:$A$415,Códigos!$B$11:$B$415,"Verificar",0)</f>
        <v>NOMBRE 257</v>
      </c>
      <c r="E130" s="1056" t="s">
        <v>1002</v>
      </c>
      <c r="F130" s="1059">
        <v>300000</v>
      </c>
      <c r="G130" s="1035">
        <v>0</v>
      </c>
      <c r="H130" s="1035">
        <v>0</v>
      </c>
      <c r="I130" s="1035">
        <v>0</v>
      </c>
      <c r="J130" s="1006">
        <f t="shared" si="40"/>
        <v>300000</v>
      </c>
      <c r="K130" s="816"/>
      <c r="L130" s="788"/>
      <c r="M130" s="1246"/>
      <c r="N130" s="533">
        <f t="shared" si="41"/>
        <v>300000</v>
      </c>
      <c r="O130" s="525"/>
      <c r="P130" s="808"/>
      <c r="Q130" s="1327"/>
    </row>
    <row r="131" spans="1:18" s="933" customFormat="1" x14ac:dyDescent="0.2">
      <c r="A131" s="1253" t="s">
        <v>1017</v>
      </c>
      <c r="B131" s="1057">
        <v>45586</v>
      </c>
      <c r="C131" s="1036">
        <v>289</v>
      </c>
      <c r="D131" s="1004" t="str">
        <f>_xlfn.XLOOKUP(C131,Códigos!$A$11:$A$415,Códigos!$B$11:$B$415,"Verificar",0)</f>
        <v>NOMBRE 140</v>
      </c>
      <c r="E131" s="1056" t="s">
        <v>1002</v>
      </c>
      <c r="F131" s="1059">
        <v>430000</v>
      </c>
      <c r="G131" s="1035">
        <v>0</v>
      </c>
      <c r="H131" s="1035">
        <v>0</v>
      </c>
      <c r="I131" s="1035">
        <v>0</v>
      </c>
      <c r="J131" s="1006">
        <f t="shared" ref="J131:J149" si="42">+F131+G131-H131-I131</f>
        <v>430000</v>
      </c>
      <c r="K131" s="816"/>
      <c r="L131" s="788"/>
      <c r="M131" s="1246"/>
      <c r="N131" s="533">
        <f t="shared" ref="N131:N149" si="43">IF((J131-L131-M131)&gt;0,(J131-L131-M131),0)</f>
        <v>430000</v>
      </c>
      <c r="O131" s="525"/>
      <c r="P131" s="808"/>
      <c r="Q131" s="1327"/>
    </row>
    <row r="132" spans="1:18" x14ac:dyDescent="0.2">
      <c r="A132" s="1253" t="s">
        <v>1018</v>
      </c>
      <c r="B132" s="1057">
        <v>45586</v>
      </c>
      <c r="C132" s="1036">
        <v>151</v>
      </c>
      <c r="D132" s="1004" t="str">
        <f>_xlfn.XLOOKUP(C132,Códigos!$A$11:$A$415,Códigos!$B$11:$B$415,"Verificar",0)</f>
        <v>NOMBRE 248</v>
      </c>
      <c r="E132" s="1056" t="s">
        <v>1002</v>
      </c>
      <c r="F132" s="1059">
        <v>1980000</v>
      </c>
      <c r="G132" s="1035">
        <v>0</v>
      </c>
      <c r="H132" s="1035">
        <v>0</v>
      </c>
      <c r="I132" s="1035">
        <v>0</v>
      </c>
      <c r="J132" s="1006">
        <f t="shared" si="42"/>
        <v>1980000</v>
      </c>
      <c r="K132" s="816"/>
      <c r="L132" s="788">
        <v>1980000</v>
      </c>
      <c r="M132" s="1246"/>
      <c r="N132" s="533">
        <f t="shared" si="43"/>
        <v>0</v>
      </c>
      <c r="O132" s="525"/>
      <c r="P132" s="808"/>
      <c r="Q132" s="1327"/>
    </row>
    <row r="133" spans="1:18" x14ac:dyDescent="0.2">
      <c r="A133" s="1253" t="s">
        <v>1019</v>
      </c>
      <c r="B133" s="1057">
        <v>45586</v>
      </c>
      <c r="C133" s="1036">
        <v>306</v>
      </c>
      <c r="D133" s="1004" t="str">
        <f>_xlfn.XLOOKUP(C133,Códigos!$A$11:$A$415,Códigos!$B$11:$B$415,"Verificar",0)</f>
        <v>NOMBRE 33</v>
      </c>
      <c r="E133" s="1056" t="s">
        <v>1002</v>
      </c>
      <c r="F133" s="1059">
        <v>330000</v>
      </c>
      <c r="G133" s="1035">
        <v>0</v>
      </c>
      <c r="H133" s="1035">
        <v>0</v>
      </c>
      <c r="I133" s="1035">
        <v>0</v>
      </c>
      <c r="J133" s="1006">
        <f t="shared" si="42"/>
        <v>330000</v>
      </c>
      <c r="K133" s="816"/>
      <c r="L133" s="788">
        <v>330000</v>
      </c>
      <c r="M133" s="1246"/>
      <c r="N133" s="533">
        <f t="shared" si="43"/>
        <v>0</v>
      </c>
      <c r="O133" s="525"/>
      <c r="P133" s="808" t="s">
        <v>1092</v>
      </c>
      <c r="Q133" s="1327">
        <v>45705</v>
      </c>
    </row>
    <row r="134" spans="1:18" x14ac:dyDescent="0.2">
      <c r="A134" s="1253" t="s">
        <v>1020</v>
      </c>
      <c r="B134" s="1057">
        <v>45586</v>
      </c>
      <c r="C134" s="1036">
        <v>336</v>
      </c>
      <c r="D134" s="1004" t="str">
        <f>_xlfn.XLOOKUP(C134,Códigos!$A$11:$A$415,Códigos!$B$11:$B$415,"Verificar",0)</f>
        <v>NOMBRE 361</v>
      </c>
      <c r="E134" s="1056" t="s">
        <v>1002</v>
      </c>
      <c r="F134" s="1059">
        <v>150000</v>
      </c>
      <c r="G134" s="1035">
        <v>0</v>
      </c>
      <c r="H134" s="1035">
        <v>0</v>
      </c>
      <c r="I134" s="1035">
        <v>0</v>
      </c>
      <c r="J134" s="1006">
        <f t="shared" si="42"/>
        <v>150000</v>
      </c>
      <c r="K134" s="816"/>
      <c r="L134" s="788"/>
      <c r="M134" s="1246"/>
      <c r="N134" s="533">
        <f t="shared" si="43"/>
        <v>150000</v>
      </c>
      <c r="O134" s="525"/>
      <c r="P134" s="808"/>
      <c r="Q134" s="1327"/>
    </row>
    <row r="135" spans="1:18" x14ac:dyDescent="0.2">
      <c r="A135" s="1253" t="s">
        <v>1021</v>
      </c>
      <c r="B135" s="1057">
        <v>45586</v>
      </c>
      <c r="C135" s="1036">
        <v>244</v>
      </c>
      <c r="D135" s="1004" t="str">
        <f>_xlfn.XLOOKUP(C135,Códigos!$A$11:$A$415,Códigos!$B$11:$B$415,"Verificar",0)</f>
        <v>NOMBRE 98</v>
      </c>
      <c r="E135" s="1056" t="s">
        <v>1002</v>
      </c>
      <c r="F135" s="1059">
        <v>270000</v>
      </c>
      <c r="G135" s="1035">
        <v>0</v>
      </c>
      <c r="H135" s="1035">
        <v>0</v>
      </c>
      <c r="I135" s="1035">
        <v>0</v>
      </c>
      <c r="J135" s="1006">
        <f t="shared" si="42"/>
        <v>270000</v>
      </c>
      <c r="K135" s="816"/>
      <c r="L135" s="788"/>
      <c r="M135" s="1246"/>
      <c r="N135" s="533">
        <f t="shared" si="43"/>
        <v>270000</v>
      </c>
      <c r="O135" s="525"/>
      <c r="P135" s="808"/>
      <c r="Q135" s="1327"/>
    </row>
    <row r="136" spans="1:18" x14ac:dyDescent="0.2">
      <c r="A136" s="1273" t="s">
        <v>1022</v>
      </c>
      <c r="B136" s="1057">
        <v>45586</v>
      </c>
      <c r="C136" s="1036">
        <v>238</v>
      </c>
      <c r="D136" s="1004" t="str">
        <f>_xlfn.XLOOKUP(C136,Códigos!$A$11:$A$415,Códigos!$B$11:$B$415,"Verificar",0)</f>
        <v>NOMBRE 291</v>
      </c>
      <c r="E136" s="1056" t="s">
        <v>1002</v>
      </c>
      <c r="F136" s="1059">
        <v>650000</v>
      </c>
      <c r="G136" s="1035">
        <v>0</v>
      </c>
      <c r="H136" s="1035">
        <v>0</v>
      </c>
      <c r="I136" s="1035">
        <v>0</v>
      </c>
      <c r="J136" s="1006">
        <f t="shared" si="42"/>
        <v>650000</v>
      </c>
      <c r="K136" s="816"/>
      <c r="L136" s="788"/>
      <c r="M136" s="1246"/>
      <c r="N136" s="533">
        <f t="shared" si="43"/>
        <v>650000</v>
      </c>
      <c r="O136" s="525"/>
      <c r="P136" s="808"/>
      <c r="Q136" s="1327"/>
    </row>
    <row r="137" spans="1:18" x14ac:dyDescent="0.2">
      <c r="A137" s="1273" t="s">
        <v>1023</v>
      </c>
      <c r="B137" s="1057">
        <v>45586</v>
      </c>
      <c r="C137" s="1036">
        <v>49</v>
      </c>
      <c r="D137" s="1004" t="str">
        <f>_xlfn.XLOOKUP(C137,Códigos!$A$11:$A$415,Códigos!$B$11:$B$415,"Verificar",0)</f>
        <v>NOMBRE 17</v>
      </c>
      <c r="E137" s="1056" t="s">
        <v>1002</v>
      </c>
      <c r="F137" s="1059">
        <v>660000</v>
      </c>
      <c r="G137" s="1035">
        <v>0</v>
      </c>
      <c r="H137" s="1035">
        <v>0</v>
      </c>
      <c r="I137" s="1035">
        <v>0</v>
      </c>
      <c r="J137" s="1006">
        <f t="shared" si="42"/>
        <v>660000</v>
      </c>
      <c r="K137" s="816"/>
      <c r="L137" s="788">
        <v>660000</v>
      </c>
      <c r="M137" s="1246"/>
      <c r="N137" s="533">
        <f t="shared" si="43"/>
        <v>0</v>
      </c>
      <c r="O137" s="525"/>
      <c r="P137" s="808" t="s">
        <v>1092</v>
      </c>
      <c r="Q137" s="1327">
        <v>45881</v>
      </c>
    </row>
    <row r="138" spans="1:18" x14ac:dyDescent="0.2">
      <c r="A138" s="1273" t="s">
        <v>1140</v>
      </c>
      <c r="B138" s="1057">
        <v>45586</v>
      </c>
      <c r="C138" s="1036">
        <v>182</v>
      </c>
      <c r="D138" s="1004" t="str">
        <f>_xlfn.XLOOKUP(C138,Códigos!$A$11:$A$415,Códigos!$B$11:$B$415,"Verificar",0)</f>
        <v>NOMBRE 317</v>
      </c>
      <c r="E138" s="1056" t="s">
        <v>1002</v>
      </c>
      <c r="F138" s="1059">
        <v>1300000</v>
      </c>
      <c r="G138" s="1035">
        <v>0</v>
      </c>
      <c r="H138" s="1035">
        <v>0</v>
      </c>
      <c r="I138" s="1035">
        <v>0</v>
      </c>
      <c r="J138" s="1006">
        <f t="shared" ref="J138" si="44">+F138+G138-H138-I138</f>
        <v>1300000</v>
      </c>
      <c r="K138" s="816"/>
      <c r="L138" s="990">
        <v>1300000</v>
      </c>
      <c r="M138" s="1246"/>
      <c r="N138" s="533">
        <f t="shared" si="43"/>
        <v>0</v>
      </c>
      <c r="O138" s="1035"/>
      <c r="P138" s="808" t="s">
        <v>1092</v>
      </c>
      <c r="Q138" s="1327">
        <v>45660</v>
      </c>
    </row>
    <row r="139" spans="1:18" x14ac:dyDescent="0.2">
      <c r="A139" s="1273" t="s">
        <v>1024</v>
      </c>
      <c r="B139" s="1057">
        <v>45586</v>
      </c>
      <c r="C139" s="1036">
        <v>275</v>
      </c>
      <c r="D139" s="1004" t="str">
        <f>_xlfn.XLOOKUP(C139,Códigos!$A$11:$A$415,Códigos!$B$11:$B$415,"Verificar",0)</f>
        <v>NOMBRE 155</v>
      </c>
      <c r="E139" s="1056" t="s">
        <v>1002</v>
      </c>
      <c r="F139" s="1059">
        <v>330000</v>
      </c>
      <c r="G139" s="1035">
        <v>0</v>
      </c>
      <c r="H139" s="1035">
        <v>0</v>
      </c>
      <c r="I139" s="1035">
        <v>0</v>
      </c>
      <c r="J139" s="1006">
        <f t="shared" si="42"/>
        <v>330000</v>
      </c>
      <c r="K139" s="816"/>
      <c r="L139" s="788"/>
      <c r="M139" s="1246"/>
      <c r="N139" s="533">
        <f t="shared" si="43"/>
        <v>330000</v>
      </c>
      <c r="O139" s="525"/>
      <c r="P139" s="808"/>
      <c r="Q139" s="1327"/>
    </row>
    <row r="140" spans="1:18" x14ac:dyDescent="0.2">
      <c r="A140" s="1253" t="s">
        <v>1025</v>
      </c>
      <c r="B140" s="1057">
        <v>45586</v>
      </c>
      <c r="C140" s="1036">
        <v>83</v>
      </c>
      <c r="D140" s="1004" t="str">
        <f>_xlfn.XLOOKUP(C140,Códigos!$A$11:$A$415,Códigos!$B$11:$B$415,"Verificar",0)</f>
        <v>NOMBRE 82</v>
      </c>
      <c r="E140" s="1056" t="s">
        <v>1002</v>
      </c>
      <c r="F140" s="1059">
        <v>620000</v>
      </c>
      <c r="G140" s="1035">
        <v>0</v>
      </c>
      <c r="H140" s="1035">
        <v>0</v>
      </c>
      <c r="I140" s="1035">
        <v>0</v>
      </c>
      <c r="J140" s="1006">
        <f t="shared" si="42"/>
        <v>620000</v>
      </c>
      <c r="K140" s="816"/>
      <c r="L140" s="788">
        <v>620000</v>
      </c>
      <c r="M140" s="1246"/>
      <c r="N140" s="533">
        <f t="shared" si="43"/>
        <v>0</v>
      </c>
      <c r="O140" s="525"/>
      <c r="P140" s="808" t="s">
        <v>1092</v>
      </c>
      <c r="Q140" s="1327">
        <v>45702</v>
      </c>
    </row>
    <row r="141" spans="1:18" x14ac:dyDescent="0.2">
      <c r="A141" s="1253" t="s">
        <v>1026</v>
      </c>
      <c r="B141" s="1057">
        <v>45586</v>
      </c>
      <c r="C141" s="1036">
        <v>343</v>
      </c>
      <c r="D141" s="1004" t="str">
        <f>_xlfn.XLOOKUP(C141,Códigos!$A$11:$A$415,Códigos!$B$11:$B$415,"Verificar",0)</f>
        <v>NOMBRE 136</v>
      </c>
      <c r="E141" s="1056" t="s">
        <v>1002</v>
      </c>
      <c r="F141" s="1059">
        <v>250000</v>
      </c>
      <c r="G141" s="1035">
        <v>0</v>
      </c>
      <c r="H141" s="1035">
        <v>0</v>
      </c>
      <c r="I141" s="1035">
        <v>0</v>
      </c>
      <c r="J141" s="1006">
        <f t="shared" si="42"/>
        <v>250000</v>
      </c>
      <c r="K141" s="816"/>
      <c r="L141" s="788">
        <v>250000</v>
      </c>
      <c r="M141" s="1246"/>
      <c r="N141" s="533">
        <f t="shared" si="43"/>
        <v>0</v>
      </c>
      <c r="O141" s="525"/>
      <c r="P141" s="808" t="s">
        <v>1092</v>
      </c>
      <c r="Q141" s="1327">
        <v>45913</v>
      </c>
    </row>
    <row r="142" spans="1:18" x14ac:dyDescent="0.2">
      <c r="A142" s="1253" t="s">
        <v>1027</v>
      </c>
      <c r="B142" s="1057">
        <v>45586</v>
      </c>
      <c r="C142" s="1036">
        <v>252</v>
      </c>
      <c r="D142" s="1004" t="str">
        <f>_xlfn.XLOOKUP(C142,Códigos!$A$11:$A$415,Códigos!$B$11:$B$415,"Verificar",0)</f>
        <v>NOMBRE 219</v>
      </c>
      <c r="E142" s="1056" t="s">
        <v>1002</v>
      </c>
      <c r="F142" s="1059">
        <v>150000</v>
      </c>
      <c r="G142" s="1035">
        <v>0</v>
      </c>
      <c r="H142" s="1035">
        <v>0</v>
      </c>
      <c r="I142" s="1035">
        <v>0</v>
      </c>
      <c r="J142" s="1006">
        <f t="shared" si="42"/>
        <v>150000</v>
      </c>
      <c r="K142" s="816"/>
      <c r="L142" s="788"/>
      <c r="M142" s="1246"/>
      <c r="N142" s="533">
        <f t="shared" si="43"/>
        <v>150000</v>
      </c>
      <c r="O142" s="525"/>
      <c r="P142" s="808"/>
      <c r="Q142" s="1327"/>
    </row>
    <row r="143" spans="1:18" x14ac:dyDescent="0.2">
      <c r="A143" s="1253" t="s">
        <v>1028</v>
      </c>
      <c r="B143" s="1057">
        <v>45586</v>
      </c>
      <c r="C143" s="1036">
        <v>242</v>
      </c>
      <c r="D143" s="1004" t="str">
        <f>_xlfn.XLOOKUP(C143,Códigos!$A$11:$A$415,Códigos!$B$11:$B$415,"Verificar",0)</f>
        <v>NOMBRE 149</v>
      </c>
      <c r="E143" s="1056" t="s">
        <v>1002</v>
      </c>
      <c r="F143" s="1059">
        <v>430000</v>
      </c>
      <c r="G143" s="1035">
        <v>0</v>
      </c>
      <c r="H143" s="1035">
        <v>0</v>
      </c>
      <c r="I143" s="1035">
        <v>0</v>
      </c>
      <c r="J143" s="1006">
        <f t="shared" si="42"/>
        <v>430000</v>
      </c>
      <c r="K143" s="816"/>
      <c r="L143" s="788">
        <v>430000</v>
      </c>
      <c r="M143" s="1246"/>
      <c r="N143" s="533">
        <f t="shared" si="43"/>
        <v>0</v>
      </c>
      <c r="O143" s="525"/>
      <c r="P143" s="808" t="s">
        <v>1092</v>
      </c>
      <c r="Q143" s="1327">
        <v>45702</v>
      </c>
      <c r="R143" s="1250"/>
    </row>
    <row r="144" spans="1:18" x14ac:dyDescent="0.2">
      <c r="A144" s="1253" t="s">
        <v>1029</v>
      </c>
      <c r="B144" s="1057">
        <v>45586</v>
      </c>
      <c r="C144" s="1036">
        <v>287</v>
      </c>
      <c r="D144" s="1004" t="str">
        <f>_xlfn.XLOOKUP(C144,Códigos!$A$11:$A$415,Códigos!$B$11:$B$415,"Verificar",0)</f>
        <v>NOMBRE 109</v>
      </c>
      <c r="E144" s="1056" t="s">
        <v>1002</v>
      </c>
      <c r="F144" s="1059">
        <v>150000</v>
      </c>
      <c r="G144" s="1035">
        <v>0</v>
      </c>
      <c r="H144" s="1035">
        <v>0</v>
      </c>
      <c r="I144" s="1035">
        <v>0</v>
      </c>
      <c r="J144" s="1006">
        <f t="shared" si="42"/>
        <v>150000</v>
      </c>
      <c r="K144" s="816"/>
      <c r="L144" s="788">
        <v>150000</v>
      </c>
      <c r="M144" s="1246"/>
      <c r="N144" s="533">
        <f t="shared" si="43"/>
        <v>0</v>
      </c>
      <c r="O144" s="525"/>
      <c r="P144" s="808" t="s">
        <v>308</v>
      </c>
      <c r="Q144" s="1327">
        <v>45709</v>
      </c>
      <c r="R144" s="1250"/>
    </row>
    <row r="145" spans="1:18" x14ac:dyDescent="0.2">
      <c r="A145" s="1253" t="s">
        <v>1030</v>
      </c>
      <c r="B145" s="1057">
        <v>45588</v>
      </c>
      <c r="C145" s="1036">
        <v>116</v>
      </c>
      <c r="D145" s="1004" t="str">
        <f>_xlfn.XLOOKUP(C145,Códigos!$A$11:$A$415,Códigos!$B$11:$B$415,"Verificar",0)</f>
        <v>NOMBRE 146</v>
      </c>
      <c r="E145" s="1056" t="s">
        <v>1002</v>
      </c>
      <c r="F145" s="1059">
        <v>430000</v>
      </c>
      <c r="G145" s="1035">
        <v>0</v>
      </c>
      <c r="H145" s="1035">
        <v>0</v>
      </c>
      <c r="I145" s="1035">
        <v>0</v>
      </c>
      <c r="J145" s="1006">
        <f t="shared" si="42"/>
        <v>430000</v>
      </c>
      <c r="K145" s="816"/>
      <c r="L145" s="788">
        <v>385000</v>
      </c>
      <c r="M145" s="1246">
        <v>45000</v>
      </c>
      <c r="N145" s="533">
        <f t="shared" si="43"/>
        <v>0</v>
      </c>
      <c r="O145" s="525"/>
      <c r="P145" s="808"/>
      <c r="Q145" s="1327"/>
      <c r="R145" s="1250"/>
    </row>
    <row r="146" spans="1:18" x14ac:dyDescent="0.2">
      <c r="A146" s="1253" t="s">
        <v>1031</v>
      </c>
      <c r="B146" s="1057">
        <v>45588</v>
      </c>
      <c r="C146" s="1036">
        <v>194</v>
      </c>
      <c r="D146" s="1004" t="str">
        <f>_xlfn.XLOOKUP(C146,Códigos!$A$11:$A$415,Códigos!$B$11:$B$415,"Verificar",0)</f>
        <v>NOMBRE 333</v>
      </c>
      <c r="E146" s="1056" t="s">
        <v>1002</v>
      </c>
      <c r="F146" s="1059">
        <v>450000</v>
      </c>
      <c r="G146" s="1035">
        <v>0</v>
      </c>
      <c r="H146" s="1035">
        <v>0</v>
      </c>
      <c r="I146" s="1035">
        <v>0</v>
      </c>
      <c r="J146" s="1006">
        <f t="shared" si="42"/>
        <v>450000</v>
      </c>
      <c r="K146" s="816"/>
      <c r="L146" s="788">
        <v>450000</v>
      </c>
      <c r="M146" s="1246"/>
      <c r="N146" s="533">
        <f t="shared" si="43"/>
        <v>0</v>
      </c>
      <c r="O146" s="525"/>
      <c r="P146" s="808" t="s">
        <v>308</v>
      </c>
      <c r="Q146" s="1327">
        <v>45806</v>
      </c>
      <c r="R146" s="1250"/>
    </row>
    <row r="147" spans="1:18" x14ac:dyDescent="0.2">
      <c r="A147" s="1253" t="s">
        <v>1032</v>
      </c>
      <c r="B147" s="1057">
        <v>45588</v>
      </c>
      <c r="C147" s="1036">
        <v>198</v>
      </c>
      <c r="D147" s="1004" t="str">
        <f>_xlfn.XLOOKUP(C147,Códigos!$A$11:$A$415,Códigos!$B$11:$B$415,"Verificar",0)</f>
        <v>NOMBRE 336</v>
      </c>
      <c r="E147" s="1056" t="s">
        <v>1002</v>
      </c>
      <c r="F147" s="1059">
        <v>430000</v>
      </c>
      <c r="G147" s="1035">
        <v>0</v>
      </c>
      <c r="H147" s="1035">
        <v>0</v>
      </c>
      <c r="I147" s="1035">
        <v>0</v>
      </c>
      <c r="J147" s="1006">
        <f t="shared" si="42"/>
        <v>430000</v>
      </c>
      <c r="K147" s="816"/>
      <c r="L147" s="788">
        <v>385000</v>
      </c>
      <c r="M147" s="1246">
        <v>45000</v>
      </c>
      <c r="N147" s="533">
        <f t="shared" si="43"/>
        <v>0</v>
      </c>
      <c r="O147" s="525"/>
      <c r="P147" s="808"/>
      <c r="Q147" s="1327"/>
      <c r="R147" s="1250"/>
    </row>
    <row r="148" spans="1:18" x14ac:dyDescent="0.2">
      <c r="A148" s="1253" t="s">
        <v>1033</v>
      </c>
      <c r="B148" s="1057">
        <v>45588</v>
      </c>
      <c r="C148" s="1036">
        <v>282</v>
      </c>
      <c r="D148" s="1004" t="str">
        <f>_xlfn.XLOOKUP(C148,Códigos!$A$11:$A$415,Códigos!$B$11:$B$415,"Verificar",0)</f>
        <v>NOMBRE 292</v>
      </c>
      <c r="E148" s="1056" t="s">
        <v>1002</v>
      </c>
      <c r="F148" s="1059">
        <v>2170000</v>
      </c>
      <c r="G148" s="1035">
        <v>0</v>
      </c>
      <c r="H148" s="1035">
        <v>0</v>
      </c>
      <c r="I148" s="1035">
        <v>0</v>
      </c>
      <c r="J148" s="1006">
        <f t="shared" si="42"/>
        <v>2170000</v>
      </c>
      <c r="K148" s="816"/>
      <c r="L148" s="788"/>
      <c r="M148" s="1246"/>
      <c r="N148" s="533">
        <f t="shared" si="43"/>
        <v>2170000</v>
      </c>
      <c r="O148" s="525"/>
      <c r="P148" s="808"/>
      <c r="Q148" s="1327"/>
      <c r="R148" s="1250"/>
    </row>
    <row r="149" spans="1:18" x14ac:dyDescent="0.2">
      <c r="A149" s="1253" t="s">
        <v>1034</v>
      </c>
      <c r="B149" s="1057">
        <v>45590</v>
      </c>
      <c r="C149" s="1036">
        <v>67</v>
      </c>
      <c r="D149" s="1004" t="str">
        <f>_xlfn.XLOOKUP(C149,Códigos!$A$11:$A$415,Códigos!$B$11:$B$415,"Verificar",0)</f>
        <v>NOMBRE 45</v>
      </c>
      <c r="E149" s="1056" t="s">
        <v>1002</v>
      </c>
      <c r="F149" s="1059">
        <v>900000</v>
      </c>
      <c r="G149" s="1035">
        <v>0</v>
      </c>
      <c r="H149" s="1035">
        <v>0</v>
      </c>
      <c r="I149" s="1035">
        <v>0</v>
      </c>
      <c r="J149" s="1006">
        <f t="shared" si="42"/>
        <v>900000</v>
      </c>
      <c r="K149" s="816"/>
      <c r="L149" s="788"/>
      <c r="M149" s="1246"/>
      <c r="N149" s="533">
        <f t="shared" si="43"/>
        <v>900000</v>
      </c>
      <c r="O149" s="525"/>
      <c r="P149" s="808"/>
      <c r="Q149" s="1327"/>
      <c r="R149" s="1250"/>
    </row>
    <row r="150" spans="1:18" x14ac:dyDescent="0.2">
      <c r="A150" s="1002" t="s">
        <v>1035</v>
      </c>
      <c r="B150" s="1057">
        <v>45609</v>
      </c>
      <c r="C150" s="1036">
        <v>21</v>
      </c>
      <c r="D150" s="1004" t="str">
        <f>_xlfn.XLOOKUP(C150,Códigos!$A$11:$A$415,Códigos!$B$11:$B$415,"Verificar",0)</f>
        <v>NOMBRE 168</v>
      </c>
      <c r="E150" s="1056" t="s">
        <v>1002</v>
      </c>
      <c r="F150" s="1059">
        <v>3060000</v>
      </c>
      <c r="G150" s="1035">
        <v>0</v>
      </c>
      <c r="H150" s="1035">
        <v>0</v>
      </c>
      <c r="I150" s="1035">
        <v>0</v>
      </c>
      <c r="J150" s="1006">
        <f t="shared" ref="J150:J154" si="45">+F150+G150-H150-I150</f>
        <v>3060000</v>
      </c>
      <c r="K150" s="816"/>
      <c r="L150" s="788"/>
      <c r="M150" s="1246"/>
      <c r="N150" s="533">
        <f t="shared" ref="N150:N154" si="46">IF((J150-L150-M150)&gt;0,(J150-L150-M150),0)</f>
        <v>3060000</v>
      </c>
      <c r="O150" s="525"/>
      <c r="P150" s="808"/>
      <c r="Q150" s="1327"/>
      <c r="R150" s="1250"/>
    </row>
    <row r="151" spans="1:18" x14ac:dyDescent="0.2">
      <c r="A151" s="1002" t="s">
        <v>1088</v>
      </c>
      <c r="B151" s="1057">
        <v>45670</v>
      </c>
      <c r="C151" s="1036">
        <v>132</v>
      </c>
      <c r="D151" s="1004" t="str">
        <f>_xlfn.XLOOKUP(C151,Códigos!$A$11:$A$415,Códigos!$B$11:$B$415,"Verificar",0)</f>
        <v>NOMBRE 215</v>
      </c>
      <c r="E151" s="1056" t="s">
        <v>1002</v>
      </c>
      <c r="F151" s="1059">
        <v>6710000</v>
      </c>
      <c r="G151" s="1035">
        <v>0</v>
      </c>
      <c r="H151" s="1035">
        <v>0</v>
      </c>
      <c r="I151" s="1035">
        <v>0</v>
      </c>
      <c r="J151" s="1006">
        <f t="shared" si="45"/>
        <v>6710000</v>
      </c>
      <c r="K151" s="816"/>
      <c r="L151" s="788">
        <f>3355000+3355000</f>
        <v>6710000</v>
      </c>
      <c r="M151" s="1246"/>
      <c r="N151" s="533">
        <f t="shared" si="46"/>
        <v>0</v>
      </c>
      <c r="O151" s="525"/>
      <c r="P151" s="808" t="s">
        <v>1092</v>
      </c>
      <c r="Q151" s="1327">
        <v>45733</v>
      </c>
      <c r="R151" s="1250" t="s">
        <v>1245</v>
      </c>
    </row>
    <row r="152" spans="1:18" x14ac:dyDescent="0.2">
      <c r="A152" s="1002" t="s">
        <v>1089</v>
      </c>
      <c r="B152" s="1057">
        <v>45670</v>
      </c>
      <c r="C152" s="1036">
        <v>133</v>
      </c>
      <c r="D152" s="1004" t="str">
        <f>_xlfn.XLOOKUP(C152,Códigos!$A$11:$A$415,Códigos!$B$11:$B$415,"Verificar",0)</f>
        <v>NOMBRE 216</v>
      </c>
      <c r="E152" s="1056" t="s">
        <v>1002</v>
      </c>
      <c r="F152" s="1059">
        <v>1160000</v>
      </c>
      <c r="G152" s="1035">
        <v>0</v>
      </c>
      <c r="H152" s="1035">
        <v>0</v>
      </c>
      <c r="I152" s="1035">
        <v>0</v>
      </c>
      <c r="J152" s="1006">
        <f t="shared" si="45"/>
        <v>1160000</v>
      </c>
      <c r="K152" s="816"/>
      <c r="L152" s="788">
        <v>1160000</v>
      </c>
      <c r="M152" s="1246"/>
      <c r="N152" s="533">
        <f t="shared" si="46"/>
        <v>0</v>
      </c>
      <c r="O152" s="525"/>
      <c r="P152" s="808" t="s">
        <v>1092</v>
      </c>
      <c r="Q152" s="1327">
        <v>45672</v>
      </c>
      <c r="R152" s="1250"/>
    </row>
    <row r="153" spans="1:18" x14ac:dyDescent="0.2">
      <c r="A153" s="1002" t="s">
        <v>1090</v>
      </c>
      <c r="B153" s="1057">
        <v>45670</v>
      </c>
      <c r="C153" s="1036">
        <v>134</v>
      </c>
      <c r="D153" s="1004" t="str">
        <f>_xlfn.XLOOKUP(C153,Códigos!$A$11:$A$415,Códigos!$B$11:$B$415,"Verificar",0)</f>
        <v>NOMBRE 217</v>
      </c>
      <c r="E153" s="1056" t="s">
        <v>1002</v>
      </c>
      <c r="F153" s="1059">
        <v>1160000</v>
      </c>
      <c r="G153" s="1035">
        <v>0</v>
      </c>
      <c r="H153" s="1035">
        <v>0</v>
      </c>
      <c r="I153" s="1035">
        <v>0</v>
      </c>
      <c r="J153" s="1006">
        <f t="shared" si="45"/>
        <v>1160000</v>
      </c>
      <c r="K153" s="816"/>
      <c r="L153" s="788">
        <v>1160000</v>
      </c>
      <c r="M153" s="1246"/>
      <c r="N153" s="533">
        <f t="shared" si="46"/>
        <v>0</v>
      </c>
      <c r="O153" s="525"/>
      <c r="P153" s="808" t="s">
        <v>1092</v>
      </c>
      <c r="Q153" s="1327">
        <v>45708</v>
      </c>
      <c r="R153" s="1250"/>
    </row>
    <row r="154" spans="1:18" x14ac:dyDescent="0.2">
      <c r="A154" s="1002" t="s">
        <v>1091</v>
      </c>
      <c r="B154" s="1057">
        <v>45670</v>
      </c>
      <c r="C154" s="1036">
        <v>185</v>
      </c>
      <c r="D154" s="1004" t="str">
        <f>_xlfn.XLOOKUP(C154,Códigos!$A$11:$A$415,Códigos!$B$11:$B$415,"Verificar",0)</f>
        <v>NOMBRE 323</v>
      </c>
      <c r="E154" s="1056" t="s">
        <v>1002</v>
      </c>
      <c r="F154" s="1059">
        <v>3080000</v>
      </c>
      <c r="G154" s="1035">
        <v>0</v>
      </c>
      <c r="H154" s="1035">
        <v>0</v>
      </c>
      <c r="I154" s="1035">
        <v>0</v>
      </c>
      <c r="J154" s="1006">
        <f t="shared" si="45"/>
        <v>3080000</v>
      </c>
      <c r="K154" s="816"/>
      <c r="L154" s="788">
        <v>3080000</v>
      </c>
      <c r="M154" s="1246"/>
      <c r="N154" s="533">
        <f t="shared" si="46"/>
        <v>0</v>
      </c>
      <c r="O154" s="525"/>
      <c r="P154" s="808" t="s">
        <v>1092</v>
      </c>
      <c r="Q154" s="1327">
        <v>45735</v>
      </c>
      <c r="R154" s="1250"/>
    </row>
    <row r="155" spans="1:18" x14ac:dyDescent="0.2">
      <c r="A155" s="1002"/>
      <c r="B155" s="1057"/>
      <c r="C155" s="1036"/>
      <c r="D155" s="1004"/>
      <c r="E155" s="1056"/>
      <c r="F155" s="1059"/>
      <c r="G155" s="1035"/>
      <c r="H155" s="1035"/>
      <c r="I155" s="1035"/>
      <c r="J155" s="1006"/>
      <c r="K155" s="816"/>
      <c r="L155" s="990"/>
      <c r="M155" s="1246"/>
      <c r="N155" s="1258"/>
      <c r="O155" s="1035"/>
      <c r="P155" s="995"/>
      <c r="Q155" s="1327"/>
      <c r="R155" s="1250"/>
    </row>
    <row r="156" spans="1:18" x14ac:dyDescent="0.2">
      <c r="A156" s="1002"/>
      <c r="B156" s="1057"/>
      <c r="C156" s="1036"/>
      <c r="D156" s="1004">
        <f>_xlfn.XLOOKUP(C156,Códigos!$A$11:$A$415,Códigos!$B$11:$B$415,"Verificar",0)</f>
        <v>0</v>
      </c>
      <c r="E156" s="1056" t="s">
        <v>1002</v>
      </c>
      <c r="F156" s="1059"/>
      <c r="G156" s="1035">
        <v>0</v>
      </c>
      <c r="H156" s="1035">
        <v>0</v>
      </c>
      <c r="I156" s="1035">
        <v>0</v>
      </c>
      <c r="J156" s="1006">
        <f t="shared" ref="J156" si="47">+F156+G156-H156-I156</f>
        <v>0</v>
      </c>
      <c r="K156" s="816"/>
      <c r="L156" s="788"/>
      <c r="M156" s="1246"/>
      <c r="N156" s="533">
        <f t="shared" ref="N156" si="48">IF((J156-L156-M156)&gt;0,(J156-L156-M156),0)</f>
        <v>0</v>
      </c>
      <c r="O156" s="525"/>
      <c r="P156" s="808"/>
      <c r="Q156" s="1327"/>
      <c r="R156" s="1250"/>
    </row>
  </sheetData>
  <autoFilter ref="A7:T156" xr:uid="{00000000-0001-0000-0500-000000000000}">
    <filterColumn colId="5" showButton="0"/>
    <filterColumn colId="6" showButton="0"/>
    <filterColumn colId="7" showButton="0"/>
    <filterColumn colId="8" showButton="0"/>
    <filterColumn colId="11" showButton="0"/>
    <filterColumn colId="12" showButton="0"/>
    <filterColumn colId="13" showButton="0"/>
  </autoFilter>
  <mergeCells count="3">
    <mergeCell ref="F7:J7"/>
    <mergeCell ref="L7:O7"/>
    <mergeCell ref="F6:J6"/>
  </mergeCells>
  <printOptions horizontalCentered="1"/>
  <pageMargins left="0.15748031496062992" right="0.27559055118110237" top="0.39370078740157483" bottom="0.59055118110236227" header="0" footer="0"/>
  <pageSetup scale="38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showGridLines="0" showOutlineSymbols="0" defaultGridColor="0" colorId="8" zoomScale="90" zoomScaleNormal="90" workbookViewId="0">
      <pane ySplit="9" topLeftCell="A10" activePane="bottomLeft" state="frozen"/>
      <selection pane="bottomLeft" activeCell="J51" sqref="J51"/>
    </sheetView>
  </sheetViews>
  <sheetFormatPr baseColWidth="10" defaultRowHeight="15" x14ac:dyDescent="0.2"/>
  <cols>
    <col min="1" max="1" width="7.5546875" style="698" customWidth="1"/>
    <col min="2" max="2" width="55.77734375" style="703" customWidth="1"/>
    <col min="3" max="7" width="12.77734375" style="698" customWidth="1"/>
    <col min="8" max="9" width="12.77734375" style="704" customWidth="1"/>
    <col min="10" max="10" width="27.109375" style="893" bestFit="1" customWidth="1"/>
    <col min="11" max="11" width="2.77734375" style="892" customWidth="1"/>
    <col min="12" max="16384" width="11.5546875" style="697"/>
  </cols>
  <sheetData>
    <row r="1" spans="1:10" x14ac:dyDescent="0.2">
      <c r="A1" s="225" t="str">
        <f>+Códigos!$A$1</f>
        <v>LIBRO DIARIO OFICINA</v>
      </c>
      <c r="B1" s="506"/>
      <c r="C1" s="229" t="e">
        <f t="shared" ref="C1:H1" si="0">+C22</f>
        <v>#REF!</v>
      </c>
      <c r="D1" s="229">
        <f t="shared" si="0"/>
        <v>1744200</v>
      </c>
      <c r="E1" s="229">
        <f t="shared" si="0"/>
        <v>0</v>
      </c>
      <c r="F1" s="229">
        <f t="shared" si="0"/>
        <v>0</v>
      </c>
      <c r="G1" s="229">
        <f t="shared" si="0"/>
        <v>85803300</v>
      </c>
      <c r="H1" s="229" t="e">
        <f t="shared" si="0"/>
        <v>#REF!</v>
      </c>
      <c r="I1" s="229">
        <f>+I387</f>
        <v>0</v>
      </c>
      <c r="J1" s="554" t="s">
        <v>602</v>
      </c>
    </row>
    <row r="2" spans="1:10" x14ac:dyDescent="0.2">
      <c r="A2" s="89" t="s">
        <v>657</v>
      </c>
      <c r="B2" s="506"/>
      <c r="G2" s="81"/>
      <c r="H2" s="84"/>
      <c r="I2" s="84"/>
      <c r="J2" s="555"/>
    </row>
    <row r="3" spans="1:10" x14ac:dyDescent="0.2">
      <c r="A3" s="66" t="str">
        <f>+Códigos!$A$3</f>
        <v>AÑO:</v>
      </c>
      <c r="B3" s="772">
        <f>+Códigos!$B$3</f>
        <v>2025</v>
      </c>
      <c r="G3" s="81"/>
      <c r="H3" s="84"/>
      <c r="I3" s="84"/>
      <c r="J3" s="555"/>
    </row>
    <row r="4" spans="1:10" s="699" customFormat="1" ht="12.75" x14ac:dyDescent="0.2">
      <c r="A4" s="501" t="s">
        <v>1</v>
      </c>
      <c r="B4" s="507">
        <f>+'INGRESOS A CAJA'!D4</f>
        <v>45658</v>
      </c>
      <c r="C4" s="85"/>
      <c r="D4" s="85"/>
      <c r="E4" s="85"/>
      <c r="F4" s="85"/>
      <c r="G4" s="85"/>
      <c r="H4" s="530"/>
      <c r="I4" s="530"/>
      <c r="J4" s="555"/>
    </row>
    <row r="5" spans="1:10" s="699" customFormat="1" ht="12.75" x14ac:dyDescent="0.2">
      <c r="A5" s="501" t="s">
        <v>2</v>
      </c>
      <c r="B5" s="507">
        <f>+'INGRESOS A CAJA'!D5</f>
        <v>46022</v>
      </c>
      <c r="C5" s="85"/>
      <c r="D5" s="85"/>
      <c r="E5" s="85"/>
      <c r="F5" s="85"/>
      <c r="G5" s="85"/>
      <c r="H5" s="530"/>
      <c r="I5" s="530"/>
      <c r="J5" s="555"/>
    </row>
    <row r="6" spans="1:10" x14ac:dyDescent="0.2">
      <c r="A6" s="81"/>
      <c r="B6" s="506"/>
      <c r="C6" s="81"/>
      <c r="D6" s="81"/>
      <c r="E6" s="81"/>
      <c r="F6" s="81"/>
      <c r="G6" s="81"/>
      <c r="H6" s="84"/>
      <c r="I6" s="84"/>
      <c r="J6" s="555"/>
    </row>
    <row r="7" spans="1:10" ht="31.5" x14ac:dyDescent="0.2">
      <c r="A7" s="81"/>
      <c r="B7" s="506"/>
      <c r="C7" s="1355" t="s">
        <v>583</v>
      </c>
      <c r="D7" s="1356"/>
      <c r="E7" s="628" t="s">
        <v>587</v>
      </c>
      <c r="F7" s="628" t="s">
        <v>588</v>
      </c>
      <c r="G7" s="628" t="s">
        <v>589</v>
      </c>
      <c r="H7" s="84"/>
      <c r="I7" s="84"/>
      <c r="J7" s="555"/>
    </row>
    <row r="8" spans="1:10" s="700" customFormat="1" ht="31.5" x14ac:dyDescent="0.2">
      <c r="A8" s="901" t="s">
        <v>377</v>
      </c>
      <c r="B8" s="902" t="s">
        <v>579</v>
      </c>
      <c r="C8" s="901" t="s">
        <v>643</v>
      </c>
      <c r="D8" s="901" t="s">
        <v>651</v>
      </c>
      <c r="E8" s="901" t="s">
        <v>584</v>
      </c>
      <c r="F8" s="901" t="s">
        <v>585</v>
      </c>
      <c r="G8" s="901" t="s">
        <v>586</v>
      </c>
      <c r="H8" s="901" t="s">
        <v>590</v>
      </c>
      <c r="I8" s="903" t="s">
        <v>658</v>
      </c>
      <c r="J8" s="904" t="s">
        <v>26</v>
      </c>
    </row>
    <row r="9" spans="1:10" ht="5.0999999999999996" customHeight="1" x14ac:dyDescent="0.2">
      <c r="A9" s="106"/>
      <c r="B9" s="508"/>
      <c r="C9" s="83"/>
      <c r="D9" s="83"/>
      <c r="E9" s="83"/>
      <c r="F9" s="83"/>
      <c r="G9" s="83"/>
      <c r="H9" s="105"/>
      <c r="I9" s="105"/>
      <c r="J9" s="556"/>
    </row>
    <row r="10" spans="1:10" x14ac:dyDescent="0.2">
      <c r="A10" s="103"/>
      <c r="B10" s="506"/>
      <c r="C10" s="81"/>
      <c r="D10" s="81"/>
      <c r="E10" s="81"/>
      <c r="F10" s="81"/>
      <c r="G10" s="81"/>
      <c r="H10" s="104"/>
      <c r="I10" s="104"/>
      <c r="J10" s="555"/>
    </row>
    <row r="11" spans="1:10" x14ac:dyDescent="0.2">
      <c r="A11" s="894">
        <v>262</v>
      </c>
      <c r="B11" s="895" t="str">
        <f>_xlfn.XLOOKUP(A11,Códigos!$A$11:$A$415,Códigos!$B$11:$B$415,"Verificar",0)</f>
        <v>NOMBRE 95</v>
      </c>
      <c r="C11" s="896">
        <f>SUMIF('CARTERA años anteriores'!$C$9:$C$133,A11,'CARTERA años anteriores'!$F$9:$F$133)</f>
        <v>43100984</v>
      </c>
      <c r="D11" s="896">
        <f>SUMIF('CARTERA años anteriores'!$C$9:$C$133,A11,'CARTERA años anteriores'!$L$9:$L$133)</f>
        <v>1744200</v>
      </c>
      <c r="E11" s="896">
        <f>SUMIF(FACTURACIÓN!$C$8:$C$1082,A11,FACTURACIÓN!$K$8:$K$1082)</f>
        <v>0</v>
      </c>
      <c r="F11" s="897"/>
      <c r="G11" s="898">
        <f>+'EMPLEADO 2'!E14</f>
        <v>12065900</v>
      </c>
      <c r="H11" s="899">
        <f>IF((+C11-D11+E11-F11+G11)&gt;0,(+C11-D11+E11-F11+G11),0)</f>
        <v>53422684</v>
      </c>
      <c r="I11" s="899">
        <f>IF((+C11-D11+E11-F11+G11)&lt;0,(+C11-D11+E11-F11+G11),0)</f>
        <v>0</v>
      </c>
      <c r="J11" s="900"/>
    </row>
    <row r="12" spans="1:10" x14ac:dyDescent="0.2">
      <c r="A12" s="894">
        <v>283</v>
      </c>
      <c r="B12" s="895" t="str">
        <f>_xlfn.XLOOKUP(A12,Códigos!$A$11:$A$415,Códigos!$B$11:$B$415,"Verificar",0)</f>
        <v>NOMBRE 104</v>
      </c>
      <c r="C12" s="896" t="e">
        <f>SUMIF('CARTERA años anteriores'!$C$9:$C$133,A12,'CARTERA años anteriores'!$F$9:$F$133)</f>
        <v>#REF!</v>
      </c>
      <c r="D12" s="896">
        <f>SUMIF('CARTERA años anteriores'!$C$9:$C$133,A12,'CARTERA años anteriores'!$L$9:$L$133)</f>
        <v>0</v>
      </c>
      <c r="E12" s="896">
        <f>SUMIF(FACTURACIÓN!$C$8:$C$1082,A12,FACTURACIÓN!$K$8:$K$1082)</f>
        <v>0</v>
      </c>
      <c r="F12" s="896">
        <f>SUMIF('INGRESOS A CAJA'!$C$10:$C$954,A12,'INGRESOS A CAJA'!$F$10:$F$954)</f>
        <v>0</v>
      </c>
      <c r="G12" s="896">
        <f>SUMIF('EGRESOS DE CAJA'!$C$10:$C$2251,A12,'EGRESOS DE CAJA'!$G$10:$G$2251)</f>
        <v>0</v>
      </c>
      <c r="H12" s="899" t="e">
        <f>IF((+C12-D12+E12-F12+G12)&gt;0,(+C12-D12+E12-F12+G12),0)</f>
        <v>#REF!</v>
      </c>
      <c r="I12" s="899" t="e">
        <f>IF((+C12-D12+E12-F12+G12)&lt;0,(+C12-D12+E12-F12+G12),0)</f>
        <v>#REF!</v>
      </c>
      <c r="J12" s="900"/>
    </row>
    <row r="13" spans="1:10" x14ac:dyDescent="0.2">
      <c r="A13" s="894">
        <v>353</v>
      </c>
      <c r="B13" s="895" t="str">
        <f>_xlfn.XLOOKUP(A13,Códigos!$A$11:$A$415,Códigos!$B$11:$B$415,"Verificar",0)</f>
        <v>NOMBRE 31</v>
      </c>
      <c r="C13" s="896">
        <f>SUMIF('CARTERA años anteriores'!$C$9:$C$133,A13,'CARTERA años anteriores'!$F$9:$F$133)</f>
        <v>0</v>
      </c>
      <c r="D13" s="896">
        <f>SUMIF('CARTERA años anteriores'!$C$9:$C$133,A13,'CARTERA años anteriores'!$L$9:$L$133)</f>
        <v>0</v>
      </c>
      <c r="E13" s="896">
        <f>SUMIF(FACTURACIÓN!$C$8:$C$1082,A13,FACTURACIÓN!$K$8:$K$1082)</f>
        <v>0</v>
      </c>
      <c r="F13" s="897"/>
      <c r="G13" s="898">
        <f>+'EMPLEADO 1'!E14</f>
        <v>67737400</v>
      </c>
      <c r="H13" s="899">
        <f>IF((+C13-D13+E13-F13+G13)&gt;0,(+C13-D13+E13-F13+G13),0)</f>
        <v>67737400</v>
      </c>
      <c r="I13" s="899">
        <f>IF((+C13-D13+E13-F13+G13)&lt;0,(+C13-D13+E13-F13+G13),0)</f>
        <v>0</v>
      </c>
      <c r="J13" s="900"/>
    </row>
    <row r="14" spans="1:10" x14ac:dyDescent="0.2">
      <c r="A14" s="894">
        <v>362</v>
      </c>
      <c r="B14" s="895" t="str">
        <f>_xlfn.XLOOKUP(A14,Códigos!$A$11:$A$415,Códigos!$B$11:$B$415,"Verificar",0)</f>
        <v>NOMBRE 97</v>
      </c>
      <c r="C14" s="896">
        <f>SUMIF('CARTERA años anteriores'!$C$9:$C$133,A14,'CARTERA años anteriores'!$F$9:$F$133)</f>
        <v>0</v>
      </c>
      <c r="D14" s="896">
        <f>SUMIF('CARTERA años anteriores'!$C$9:$C$133,A14,'CARTERA años anteriores'!$L$9:$L$133)</f>
        <v>0</v>
      </c>
      <c r="E14" s="896">
        <f>SUMIF(FACTURACIÓN!$C$8:$C$1082,A14,FACTURACIÓN!$K$8:$K$1082)</f>
        <v>0</v>
      </c>
      <c r="F14" s="896">
        <f>SUMIF('INGRESOS A CAJA'!$C$10:$C$954,A14,'INGRESOS A CAJA'!$F$10:$F$954)</f>
        <v>0</v>
      </c>
      <c r="G14" s="896">
        <f>SUMIF('EGRESOS DE CAJA'!$C$10:$C$2251,A14,'EGRESOS DE CAJA'!$G$10:$G$2251)</f>
        <v>6000000</v>
      </c>
      <c r="H14" s="899">
        <f>IF((+C14-D14+E14-F14+G14)&gt;0,(+C14-D14+E14-F14+G14),0)</f>
        <v>6000000</v>
      </c>
      <c r="I14" s="899">
        <f>IF((+C14-D14+E14-F14+G14)&lt;0,(+C14-D14+E14-F14+G14),0)</f>
        <v>0</v>
      </c>
      <c r="J14" s="900" t="s">
        <v>674</v>
      </c>
    </row>
    <row r="22" spans="1:10" s="701" customFormat="1" x14ac:dyDescent="0.2">
      <c r="A22" s="503"/>
      <c r="B22" s="499" t="s">
        <v>103</v>
      </c>
      <c r="C22" s="89" t="e">
        <f t="shared" ref="C22:H22" si="1">SUM(C9:C21)</f>
        <v>#REF!</v>
      </c>
      <c r="D22" s="89">
        <f t="shared" si="1"/>
        <v>1744200</v>
      </c>
      <c r="E22" s="89">
        <f t="shared" si="1"/>
        <v>0</v>
      </c>
      <c r="F22" s="89">
        <f t="shared" si="1"/>
        <v>0</v>
      </c>
      <c r="G22" s="89">
        <f t="shared" si="1"/>
        <v>85803300</v>
      </c>
      <c r="H22" s="89" t="e">
        <f t="shared" si="1"/>
        <v>#REF!</v>
      </c>
      <c r="I22" s="89"/>
      <c r="J22" s="555"/>
    </row>
    <row r="23" spans="1:10" ht="5.0999999999999996" customHeight="1" x14ac:dyDescent="0.2">
      <c r="A23" s="106"/>
      <c r="B23" s="508"/>
      <c r="C23" s="83"/>
      <c r="D23" s="83"/>
      <c r="E23" s="83"/>
      <c r="F23" s="83"/>
      <c r="G23" s="83"/>
      <c r="H23" s="86"/>
      <c r="I23" s="86"/>
      <c r="J23" s="556"/>
    </row>
    <row r="24" spans="1:10" x14ac:dyDescent="0.2">
      <c r="A24" s="502"/>
      <c r="B24" s="506"/>
      <c r="C24" s="81"/>
      <c r="D24" s="81"/>
      <c r="E24" s="81"/>
      <c r="F24" s="81"/>
      <c r="G24" s="81"/>
      <c r="H24" s="84"/>
      <c r="I24" s="84"/>
      <c r="J24" s="555"/>
    </row>
    <row r="25" spans="1:10" ht="21" x14ac:dyDescent="0.2">
      <c r="A25" s="89" t="s">
        <v>676</v>
      </c>
      <c r="E25" s="271" t="s">
        <v>733</v>
      </c>
      <c r="H25" s="1366" t="s">
        <v>734</v>
      </c>
      <c r="I25" s="1367"/>
      <c r="J25" s="901" t="s">
        <v>735</v>
      </c>
    </row>
    <row r="26" spans="1:10" x14ac:dyDescent="0.2">
      <c r="A26" s="894">
        <v>3</v>
      </c>
      <c r="B26" s="895" t="str">
        <f>_xlfn.XLOOKUP(A26,Códigos!$A$11:$A$415,Códigos!$B$11:$B$415,"Verificar",0)</f>
        <v>NOMBRE 24</v>
      </c>
      <c r="C26" s="896"/>
      <c r="D26" s="896"/>
      <c r="E26" s="896">
        <f>+'BANCO 2'!E6</f>
        <v>36604851.209999993</v>
      </c>
      <c r="F26" s="896">
        <f>SUMIF('INGRESOS A CAJA'!$C$10:$C$954,A26,'INGRESOS A CAJA'!$F$10:$F$954)</f>
        <v>58950073</v>
      </c>
      <c r="G26" s="896">
        <f>SUMIF('EGRESOS DE CAJA'!$C$10:$C$2251,A26,'EGRESOS DE CAJA'!$G$10:$G$2251)</f>
        <v>68909800</v>
      </c>
      <c r="H26" s="899">
        <f>IF((+C26-D26+E26-F26+G26)&gt;0,(+C26-D26+E26-F26+G26),0)</f>
        <v>46564578.209999993</v>
      </c>
      <c r="I26" s="899">
        <f>IF((+C26-D26+E26-F26+G26)&lt;0,(+C26-D26+E26-F26+G26),0)</f>
        <v>0</v>
      </c>
      <c r="J26" s="900">
        <f>+'BANCO 2'!E7</f>
        <v>3640821.0099999905</v>
      </c>
    </row>
    <row r="27" spans="1:10" x14ac:dyDescent="0.2">
      <c r="A27" s="894">
        <v>5</v>
      </c>
      <c r="B27" s="895" t="str">
        <f>_xlfn.XLOOKUP(A27,Códigos!$A$11:$A$415,Códigos!$B$11:$B$415,"Verificar",0)</f>
        <v>NOMBRE 25</v>
      </c>
      <c r="C27" s="896"/>
      <c r="D27" s="896"/>
      <c r="E27" s="896">
        <f>+BANCO!E6</f>
        <v>42358530.978055984</v>
      </c>
      <c r="F27" s="896">
        <f>SUMIF('INGRESOS A CAJA'!$C$10:$C$954,A27,'INGRESOS A CAJA'!$F$10:$F$954)</f>
        <v>474216710</v>
      </c>
      <c r="G27" s="896">
        <f>SUMIF('EGRESOS DE CAJA'!$C$10:$C$2251,A27,'EGRESOS DE CAJA'!$G$10:$G$2251)</f>
        <v>56271800</v>
      </c>
      <c r="H27" s="899">
        <f>IF((+C27-D27+E27-F27+G27)&gt;0,(+C27-D27+E27-F27+G27),0)</f>
        <v>0</v>
      </c>
      <c r="I27" s="899">
        <f>IF((+C27-D27+E27-F27+G27)&lt;0,(+C27-D27+E27-F27+G27),0)</f>
        <v>-375586379.02194405</v>
      </c>
      <c r="J27" s="900">
        <f>+BANCO!E7</f>
        <v>2559378.6780560459</v>
      </c>
    </row>
    <row r="28" spans="1:10" x14ac:dyDescent="0.2">
      <c r="A28" s="894">
        <v>7</v>
      </c>
      <c r="B28" s="895" t="str">
        <f>_xlfn.XLOOKUP(A28,Códigos!$A$11:$A$415,Códigos!$B$11:$B$415,"Verificar",0)</f>
        <v>NOMBRE 59</v>
      </c>
      <c r="C28" s="896"/>
      <c r="D28" s="896"/>
      <c r="E28" s="896">
        <f>+'BANCO 3'!E6</f>
        <v>2956001</v>
      </c>
      <c r="F28" s="896">
        <f>SUMIF('INGRESOS A CAJA'!$C$10:$C$954,A28,'INGRESOS A CAJA'!$F$10:$F$954)</f>
        <v>0</v>
      </c>
      <c r="G28" s="896">
        <f>SUMIF('EGRESOS DE CAJA'!$C$10:$C$2251,A28,'EGRESOS DE CAJA'!$G$10:$G$2251)</f>
        <v>0</v>
      </c>
      <c r="H28" s="899">
        <f>IF((+C28-D28+E28-F28+G28)&gt;0,(+C28-D28+E28-F28+G28),0)</f>
        <v>2956001</v>
      </c>
      <c r="I28" s="899">
        <f>IF((+C28-D28+E28-F28+G28)&lt;0,(+C28-D28+E28-F28+G28),0)</f>
        <v>0</v>
      </c>
      <c r="J28" s="900">
        <f>+'BANCO 3'!E7</f>
        <v>0</v>
      </c>
    </row>
    <row r="29" spans="1:10" x14ac:dyDescent="0.2">
      <c r="A29" s="702"/>
    </row>
    <row r="30" spans="1:10" x14ac:dyDescent="0.2">
      <c r="A30" s="89" t="s">
        <v>675</v>
      </c>
    </row>
    <row r="31" spans="1:10" x14ac:dyDescent="0.2">
      <c r="A31" s="510">
        <v>355</v>
      </c>
      <c r="B31" s="511" t="str">
        <f>_xlfn.XLOOKUP(A31,Códigos!$A$11:$A$415,Códigos!$B$11:$B$415,"Verificar",0)</f>
        <v>NOMBRE 96</v>
      </c>
      <c r="C31" s="525">
        <f>SUMIF('CARTERA años anteriores'!$C$9:$C$133,A31,'CARTERA años anteriores'!$F$9:$F$133)</f>
        <v>0</v>
      </c>
      <c r="D31" s="525">
        <f>SUMIF('CARTERA años anteriores'!$C$9:$C$133,A31,'CARTERA años anteriores'!$L$9:$L$133)</f>
        <v>0</v>
      </c>
      <c r="E31" s="525">
        <f>SUMIF(FACTURACIÓN!$C$8:$C$1082,A31,FACTURACIÓN!$K$8:$K$1082)</f>
        <v>0</v>
      </c>
      <c r="F31" s="525">
        <f>SUMIF('INGRESOS A CAJA'!$C$10:$C$954,A31,'INGRESOS A CAJA'!$F$10:$F$954)</f>
        <v>0</v>
      </c>
      <c r="G31" s="525">
        <f>SUMIF('EGRESOS DE CAJA'!$C$10:$C$2251,A31,'EGRESOS DE CAJA'!$G$10:$G$2251)</f>
        <v>17316800</v>
      </c>
      <c r="H31" s="512">
        <f t="shared" ref="H31:H37" si="2">IF((+C31-D31+E31-F31+G31)&gt;0,(+C31-D31+E31-F31+G31),0)</f>
        <v>17316800</v>
      </c>
      <c r="I31" s="512">
        <f t="shared" ref="I31:I37" si="3">IF((+C31-D31+E31-F31+G31)&lt;0,(+C31-D31+E31-F31+G31),0)</f>
        <v>0</v>
      </c>
      <c r="J31" s="900"/>
    </row>
    <row r="32" spans="1:10" x14ac:dyDescent="0.2">
      <c r="A32" s="510">
        <v>356</v>
      </c>
      <c r="B32" s="511" t="str">
        <f>_xlfn.XLOOKUP(A32,Códigos!$A$11:$A$415,Códigos!$B$11:$B$415,"Verificar",0)</f>
        <v>NOMBRE 108</v>
      </c>
      <c r="C32" s="525">
        <f>SUMIF('CARTERA años anteriores'!$C$9:$C$133,A32,'CARTERA años anteriores'!$F$9:$F$133)</f>
        <v>0</v>
      </c>
      <c r="D32" s="525">
        <f>SUMIF('CARTERA años anteriores'!$C$9:$C$133,A32,'CARTERA años anteriores'!$L$9:$L$133)</f>
        <v>0</v>
      </c>
      <c r="E32" s="525">
        <f>SUMIF(FACTURACIÓN!$C$8:$C$1082,A32,FACTURACIÓN!$K$8:$K$1082)</f>
        <v>0</v>
      </c>
      <c r="F32" s="525">
        <f>SUMIF('INGRESOS A CAJA'!$C$10:$C$954,A32,'INGRESOS A CAJA'!$F$10:$F$954)</f>
        <v>0</v>
      </c>
      <c r="G32" s="525">
        <f>SUMIF('EGRESOS DE CAJA'!$C$10:$C$2251,A32,'EGRESOS DE CAJA'!$G$10:$G$2251)</f>
        <v>14633700</v>
      </c>
      <c r="H32" s="512">
        <f t="shared" si="2"/>
        <v>14633700</v>
      </c>
      <c r="I32" s="512">
        <f t="shared" si="3"/>
        <v>0</v>
      </c>
      <c r="J32" s="900"/>
    </row>
    <row r="33" spans="1:9" x14ac:dyDescent="0.2">
      <c r="A33" s="510">
        <v>357</v>
      </c>
      <c r="B33" s="511" t="str">
        <f>_xlfn.XLOOKUP(A33,Códigos!$A$11:$A$415,Códigos!$B$11:$B$415,"Verificar",0)</f>
        <v>NOMBRE 107</v>
      </c>
      <c r="C33" s="525">
        <f>SUMIF('CARTERA años anteriores'!$C$9:$C$133,A33,'CARTERA años anteriores'!$F$9:$F$133)</f>
        <v>0</v>
      </c>
      <c r="D33" s="525">
        <f>SUMIF('CARTERA años anteriores'!$C$9:$C$133,A33,'CARTERA años anteriores'!$L$9:$L$133)</f>
        <v>0</v>
      </c>
      <c r="E33" s="525">
        <f>SUMIF(FACTURACIÓN!$C$8:$C$1082,A33,FACTURACIÓN!$K$8:$K$1082)</f>
        <v>0</v>
      </c>
      <c r="F33" s="525">
        <f>SUMIF('INGRESOS A CAJA'!$C$10:$C$954,A33,'INGRESOS A CAJA'!$F$10:$F$954)</f>
        <v>0</v>
      </c>
      <c r="G33" s="525">
        <f>SUMIF('EGRESOS DE CAJA'!$C$10:$C$2251,A33,'EGRESOS DE CAJA'!$G$10:$G$2251)</f>
        <v>9950000</v>
      </c>
      <c r="H33" s="512">
        <f t="shared" si="2"/>
        <v>9950000</v>
      </c>
      <c r="I33" s="512">
        <f t="shared" si="3"/>
        <v>0</v>
      </c>
    </row>
    <row r="34" spans="1:9" x14ac:dyDescent="0.2">
      <c r="A34" s="510">
        <v>358</v>
      </c>
      <c r="B34" s="511" t="str">
        <f>_xlfn.XLOOKUP(A34,Códigos!$A$11:$A$415,Códigos!$B$11:$B$415,"Verificar",0)</f>
        <v>NOMBRE 338</v>
      </c>
      <c r="C34" s="525">
        <f>SUMIF('CARTERA años anteriores'!$C$9:$C$133,A34,'CARTERA años anteriores'!$F$9:$F$133)</f>
        <v>0</v>
      </c>
      <c r="D34" s="525">
        <f>SUMIF('CARTERA años anteriores'!$C$9:$C$133,A34,'CARTERA años anteriores'!$L$9:$L$133)</f>
        <v>0</v>
      </c>
      <c r="E34" s="525">
        <f>SUMIF(FACTURACIÓN!$C$8:$C$1082,A34,FACTURACIÓN!$K$8:$K$1082)</f>
        <v>0</v>
      </c>
      <c r="F34" s="525">
        <f>SUMIF('INGRESOS A CAJA'!$C$10:$C$954,A34,'INGRESOS A CAJA'!$F$10:$F$954)</f>
        <v>0</v>
      </c>
      <c r="G34" s="525">
        <f>SUMIF('EGRESOS DE CAJA'!$C$10:$C$2251,A34,'EGRESOS DE CAJA'!$G$10:$G$2251)</f>
        <v>15500000</v>
      </c>
      <c r="H34" s="512">
        <f t="shared" si="2"/>
        <v>15500000</v>
      </c>
      <c r="I34" s="512">
        <f t="shared" si="3"/>
        <v>0</v>
      </c>
    </row>
    <row r="35" spans="1:9" x14ac:dyDescent="0.2">
      <c r="A35" s="510">
        <v>359</v>
      </c>
      <c r="B35" s="511" t="str">
        <f>_xlfn.XLOOKUP(A35,Códigos!$A$11:$A$415,Códigos!$B$11:$B$415,"Verificar",0)</f>
        <v>NOMBRE 232</v>
      </c>
      <c r="C35" s="525">
        <f>SUMIF('CARTERA años anteriores'!$C$9:$C$133,A35,'CARTERA años anteriores'!$F$9:$F$133)</f>
        <v>7200</v>
      </c>
      <c r="D35" s="525">
        <f>SUMIF('CARTERA años anteriores'!$C$9:$C$133,A35,'CARTERA años anteriores'!$L$9:$L$133)</f>
        <v>0</v>
      </c>
      <c r="E35" s="525">
        <f>SUMIF(FACTURACIÓN!$C$8:$C$1082,A35,FACTURACIÓN!$K$8:$K$1082)</f>
        <v>0</v>
      </c>
      <c r="F35" s="525">
        <f>SUMIF('INGRESOS A CAJA'!$C$10:$C$954,A35,'INGRESOS A CAJA'!$F$10:$F$954)</f>
        <v>300000</v>
      </c>
      <c r="G35" s="525">
        <f>SUMIF('EGRESOS DE CAJA'!$C$10:$C$2251,A35,'EGRESOS DE CAJA'!$G$10:$G$2251)</f>
        <v>265275383</v>
      </c>
      <c r="H35" s="512">
        <f t="shared" si="2"/>
        <v>264982583</v>
      </c>
      <c r="I35" s="512">
        <f t="shared" si="3"/>
        <v>0</v>
      </c>
    </row>
    <row r="36" spans="1:9" x14ac:dyDescent="0.2">
      <c r="A36" s="510">
        <v>360</v>
      </c>
      <c r="B36" s="511" t="str">
        <f>_xlfn.XLOOKUP(A36,Códigos!$A$11:$A$415,Códigos!$B$11:$B$415,"Verificar",0)</f>
        <v>NOMBRE 94</v>
      </c>
      <c r="C36" s="525">
        <f>SUMIF('CARTERA años anteriores'!$C$9:$C$133,A36,'CARTERA años anteriores'!$F$9:$F$133)</f>
        <v>0</v>
      </c>
      <c r="D36" s="525">
        <f>SUMIF('CARTERA años anteriores'!$C$9:$C$133,A36,'CARTERA años anteriores'!$L$9:$L$133)</f>
        <v>0</v>
      </c>
      <c r="E36" s="525">
        <f>SUMIF(FACTURACIÓN!$C$8:$C$1082,A36,FACTURACIÓN!$K$8:$K$1082)</f>
        <v>0</v>
      </c>
      <c r="F36" s="525">
        <f>SUMIF('INGRESOS A CAJA'!$C$10:$C$954,A36,'INGRESOS A CAJA'!$F$10:$F$954)</f>
        <v>0</v>
      </c>
      <c r="G36" s="525">
        <f>SUMIF('EGRESOS DE CAJA'!$C$10:$C$2251,A36,'EGRESOS DE CAJA'!$G$10:$G$2251)</f>
        <v>0</v>
      </c>
      <c r="H36" s="512">
        <f t="shared" si="2"/>
        <v>0</v>
      </c>
      <c r="I36" s="512">
        <f t="shared" si="3"/>
        <v>0</v>
      </c>
    </row>
    <row r="37" spans="1:9" x14ac:dyDescent="0.2">
      <c r="A37" s="510">
        <v>361</v>
      </c>
      <c r="B37" s="511" t="str">
        <f>_xlfn.XLOOKUP(A37,Códigos!$A$11:$A$415,Códigos!$B$11:$B$415,"Verificar",0)</f>
        <v>NOMBRE 49</v>
      </c>
      <c r="C37" s="525">
        <f>SUMIF('CARTERA años anteriores'!$C$9:$C$133,A37,'CARTERA años anteriores'!$F$9:$F$133)</f>
        <v>0</v>
      </c>
      <c r="D37" s="525">
        <f>SUMIF('CARTERA años anteriores'!$C$9:$C$133,A37,'CARTERA años anteriores'!$L$9:$L$133)</f>
        <v>0</v>
      </c>
      <c r="E37" s="525">
        <f>SUMIF(FACTURACIÓN!$C$8:$C$1082,A37,FACTURACIÓN!$K$8:$K$1082)</f>
        <v>0</v>
      </c>
      <c r="F37" s="525">
        <f>SUMIF('INGRESOS A CAJA'!$C$10:$C$954,A37,'INGRESOS A CAJA'!$F$10:$F$954)</f>
        <v>0</v>
      </c>
      <c r="G37" s="525">
        <f>SUMIF('EGRESOS DE CAJA'!$C$10:$C$2251,A37,'EGRESOS DE CAJA'!$G$10:$G$2251)</f>
        <v>0</v>
      </c>
      <c r="H37" s="512">
        <f t="shared" si="2"/>
        <v>0</v>
      </c>
      <c r="I37" s="512">
        <f t="shared" si="3"/>
        <v>0</v>
      </c>
    </row>
  </sheetData>
  <mergeCells count="2">
    <mergeCell ref="C7:D7"/>
    <mergeCell ref="H25:I25"/>
  </mergeCells>
  <printOptions horizontalCentered="1"/>
  <pageMargins left="0.15972222222222221" right="0.28333333333333333" top="0.39374999999999999" bottom="0.58333333333333337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D288"/>
  <sheetViews>
    <sheetView showGridLines="0" showOutlineSymbols="0" defaultGridColor="0" colorId="8" zoomScale="80" zoomScaleNormal="80" workbookViewId="0">
      <pane xSplit="6" ySplit="6" topLeftCell="G16" activePane="bottomRight" state="frozen"/>
      <selection pane="topRight"/>
      <selection pane="bottomLeft"/>
      <selection pane="bottomRight" activeCell="G7" sqref="G7"/>
    </sheetView>
  </sheetViews>
  <sheetFormatPr baseColWidth="10" defaultColWidth="9.6640625" defaultRowHeight="12.75" x14ac:dyDescent="0.2"/>
  <cols>
    <col min="1" max="2" width="9.77734375" style="14" bestFit="1" customWidth="1"/>
    <col min="3" max="3" width="31.33203125" style="14" customWidth="1"/>
    <col min="4" max="4" width="17.6640625" style="134" customWidth="1"/>
    <col min="5" max="5" width="14.5546875" style="219" bestFit="1" customWidth="1"/>
    <col min="6" max="6" width="1.77734375" style="134" customWidth="1"/>
    <col min="7" max="7" width="9.6640625" style="134" bestFit="1" customWidth="1"/>
    <col min="8" max="8" width="16.5546875" style="134" customWidth="1"/>
    <col min="9" max="9" width="13.44140625" style="134" bestFit="1" customWidth="1"/>
    <col min="10" max="10" width="17.44140625" style="134" bestFit="1" customWidth="1"/>
    <col min="11" max="13" width="13.44140625" style="134" bestFit="1" customWidth="1"/>
    <col min="14" max="14" width="17.44140625" style="134" bestFit="1" customWidth="1"/>
    <col min="15" max="17" width="13.44140625" style="134" bestFit="1" customWidth="1"/>
    <col min="18" max="18" width="17.44140625" style="134" bestFit="1" customWidth="1"/>
    <col min="19" max="21" width="13.44140625" style="134" bestFit="1" customWidth="1"/>
    <col min="22" max="22" width="17.6640625" style="134" bestFit="1" customWidth="1"/>
    <col min="23" max="23" width="17.44140625" style="134" bestFit="1" customWidth="1"/>
    <col min="24" max="26" width="13.44140625" style="134" bestFit="1" customWidth="1"/>
    <col min="27" max="27" width="17.44140625" style="134" bestFit="1" customWidth="1"/>
    <col min="28" max="30" width="13.44140625" style="134" bestFit="1" customWidth="1"/>
    <col min="31" max="31" width="17.44140625" style="134" bestFit="1" customWidth="1"/>
    <col min="32" max="35" width="13.44140625" style="134" bestFit="1" customWidth="1"/>
    <col min="36" max="36" width="17.44140625" style="134" bestFit="1" customWidth="1"/>
    <col min="37" max="39" width="13.44140625" style="134" bestFit="1" customWidth="1"/>
    <col min="40" max="40" width="17.44140625" style="134" bestFit="1" customWidth="1"/>
    <col min="41" max="43" width="13.44140625" style="134" bestFit="1" customWidth="1"/>
    <col min="44" max="44" width="17.44140625" style="134" bestFit="1" customWidth="1"/>
    <col min="45" max="48" width="13.44140625" style="134" bestFit="1" customWidth="1"/>
    <col min="49" max="49" width="17.44140625" style="134" bestFit="1" customWidth="1"/>
    <col min="50" max="52" width="13.44140625" style="134" bestFit="1" customWidth="1"/>
    <col min="53" max="53" width="17.44140625" style="134" bestFit="1" customWidth="1"/>
    <col min="54" max="56" width="13.44140625" style="134" bestFit="1" customWidth="1"/>
    <col min="57" max="57" width="17.44140625" style="134" bestFit="1" customWidth="1"/>
    <col min="58" max="58" width="13.44140625" style="134" bestFit="1" customWidth="1"/>
    <col min="59" max="59" width="11.6640625" style="134" bestFit="1" customWidth="1"/>
    <col min="60" max="60" width="1.77734375" style="134" customWidth="1"/>
    <col min="61" max="61" width="13.44140625" style="134" bestFit="1" customWidth="1"/>
    <col min="62" max="82" width="9.6640625" style="134"/>
    <col min="83" max="16384" width="9.6640625" style="14"/>
  </cols>
  <sheetData>
    <row r="1" spans="1:59" x14ac:dyDescent="0.2">
      <c r="A1" s="310" t="str">
        <f>+Códigos!$A$1</f>
        <v>LIBRO DIARIO OFICINA</v>
      </c>
      <c r="B1" s="310"/>
      <c r="E1" s="1063"/>
    </row>
    <row r="2" spans="1:59" x14ac:dyDescent="0.2">
      <c r="A2" s="30" t="s">
        <v>314</v>
      </c>
      <c r="B2" s="30"/>
      <c r="E2" s="1065"/>
    </row>
    <row r="3" spans="1:59" x14ac:dyDescent="0.2">
      <c r="A3" s="310" t="str">
        <f>+Códigos!$A$3</f>
        <v>AÑO:</v>
      </c>
      <c r="B3" s="310"/>
      <c r="C3" s="772">
        <f>+Códigos!$B$3</f>
        <v>2025</v>
      </c>
      <c r="D3" s="1066"/>
      <c r="X3" s="1067">
        <v>452000</v>
      </c>
    </row>
    <row r="4" spans="1:59" ht="13.5" thickBot="1" x14ac:dyDescent="0.25">
      <c r="A4" s="310"/>
      <c r="B4" s="310"/>
      <c r="C4" s="772"/>
      <c r="D4" s="1066"/>
      <c r="X4" s="1067">
        <v>271000</v>
      </c>
    </row>
    <row r="5" spans="1:59" s="1008" customFormat="1" ht="38.25" x14ac:dyDescent="0.2">
      <c r="A5" s="1007" t="s">
        <v>366</v>
      </c>
      <c r="B5" s="1007" t="s">
        <v>377</v>
      </c>
      <c r="C5" s="1007" t="s">
        <v>685</v>
      </c>
      <c r="D5" s="1068" t="s">
        <v>608</v>
      </c>
      <c r="E5" s="1069" t="s">
        <v>315</v>
      </c>
      <c r="F5" s="1070"/>
      <c r="G5" s="1368" t="s">
        <v>185</v>
      </c>
      <c r="H5" s="1369"/>
      <c r="I5" s="1369"/>
      <c r="J5" s="1369"/>
      <c r="K5" s="1370"/>
      <c r="L5" s="1368" t="s">
        <v>191</v>
      </c>
      <c r="M5" s="1369"/>
      <c r="N5" s="1369"/>
      <c r="O5" s="1370"/>
      <c r="P5" s="1368" t="s">
        <v>196</v>
      </c>
      <c r="Q5" s="1369"/>
      <c r="R5" s="1369"/>
      <c r="S5" s="1371"/>
      <c r="T5" s="1372" t="s">
        <v>201</v>
      </c>
      <c r="U5" s="1369"/>
      <c r="V5" s="1369"/>
      <c r="W5" s="1369"/>
      <c r="X5" s="1370"/>
      <c r="Y5" s="1368" t="s">
        <v>208</v>
      </c>
      <c r="Z5" s="1369"/>
      <c r="AA5" s="1369"/>
      <c r="AB5" s="1370"/>
      <c r="AC5" s="1368" t="s">
        <v>214</v>
      </c>
      <c r="AD5" s="1369"/>
      <c r="AE5" s="1369"/>
      <c r="AF5" s="1370"/>
      <c r="AG5" s="1368" t="s">
        <v>219</v>
      </c>
      <c r="AH5" s="1369"/>
      <c r="AI5" s="1369"/>
      <c r="AJ5" s="1369"/>
      <c r="AK5" s="1370"/>
      <c r="AL5" s="1368" t="s">
        <v>224</v>
      </c>
      <c r="AM5" s="1369"/>
      <c r="AN5" s="1369"/>
      <c r="AO5" s="1370"/>
      <c r="AP5" s="1368" t="s">
        <v>203</v>
      </c>
      <c r="AQ5" s="1369"/>
      <c r="AR5" s="1369"/>
      <c r="AS5" s="1370"/>
      <c r="AT5" s="1368" t="s">
        <v>234</v>
      </c>
      <c r="AU5" s="1369"/>
      <c r="AV5" s="1369"/>
      <c r="AW5" s="1369"/>
      <c r="AX5" s="1370"/>
      <c r="AY5" s="1368" t="s">
        <v>240</v>
      </c>
      <c r="AZ5" s="1369"/>
      <c r="BA5" s="1369"/>
      <c r="BB5" s="1370"/>
      <c r="BC5" s="1368" t="s">
        <v>245</v>
      </c>
      <c r="BD5" s="1369"/>
      <c r="BE5" s="1369"/>
      <c r="BF5" s="1370"/>
      <c r="BG5" s="1071" t="s">
        <v>309</v>
      </c>
    </row>
    <row r="6" spans="1:59" s="1008" customFormat="1" x14ac:dyDescent="0.2">
      <c r="D6" s="1072"/>
      <c r="E6" s="1073"/>
      <c r="F6" s="1064"/>
      <c r="G6" s="1074" t="s">
        <v>186</v>
      </c>
      <c r="H6" s="1075" t="s">
        <v>187</v>
      </c>
      <c r="I6" s="1075" t="s">
        <v>188</v>
      </c>
      <c r="J6" s="1075" t="s">
        <v>189</v>
      </c>
      <c r="K6" s="1076" t="s">
        <v>190</v>
      </c>
      <c r="L6" s="1074" t="s">
        <v>192</v>
      </c>
      <c r="M6" s="1075" t="s">
        <v>193</v>
      </c>
      <c r="N6" s="1075" t="s">
        <v>194</v>
      </c>
      <c r="O6" s="1076" t="s">
        <v>195</v>
      </c>
      <c r="P6" s="1074" t="s">
        <v>197</v>
      </c>
      <c r="Q6" s="1075" t="s">
        <v>198</v>
      </c>
      <c r="R6" s="1075" t="s">
        <v>199</v>
      </c>
      <c r="S6" s="1075" t="s">
        <v>200</v>
      </c>
      <c r="T6" s="1075" t="s">
        <v>202</v>
      </c>
      <c r="U6" s="1075" t="s">
        <v>204</v>
      </c>
      <c r="V6" s="1075" t="s">
        <v>205</v>
      </c>
      <c r="W6" s="1075" t="s">
        <v>206</v>
      </c>
      <c r="X6" s="1076" t="s">
        <v>207</v>
      </c>
      <c r="Y6" s="1074" t="s">
        <v>209</v>
      </c>
      <c r="Z6" s="1075" t="s">
        <v>210</v>
      </c>
      <c r="AA6" s="1075" t="s">
        <v>211</v>
      </c>
      <c r="AB6" s="1076" t="s">
        <v>212</v>
      </c>
      <c r="AC6" s="1074" t="s">
        <v>213</v>
      </c>
      <c r="AD6" s="1075" t="s">
        <v>215</v>
      </c>
      <c r="AE6" s="1075" t="s">
        <v>216</v>
      </c>
      <c r="AF6" s="1076" t="s">
        <v>217</v>
      </c>
      <c r="AG6" s="1074" t="s">
        <v>218</v>
      </c>
      <c r="AH6" s="1075" t="s">
        <v>220</v>
      </c>
      <c r="AI6" s="1075" t="s">
        <v>221</v>
      </c>
      <c r="AJ6" s="1075" t="s">
        <v>222</v>
      </c>
      <c r="AK6" s="1076" t="s">
        <v>223</v>
      </c>
      <c r="AL6" s="1074" t="s">
        <v>225</v>
      </c>
      <c r="AM6" s="1075" t="s">
        <v>226</v>
      </c>
      <c r="AN6" s="1075" t="s">
        <v>227</v>
      </c>
      <c r="AO6" s="1076" t="s">
        <v>228</v>
      </c>
      <c r="AP6" s="1074" t="s">
        <v>229</v>
      </c>
      <c r="AQ6" s="1075" t="s">
        <v>230</v>
      </c>
      <c r="AR6" s="1075" t="s">
        <v>231</v>
      </c>
      <c r="AS6" s="1076" t="s">
        <v>232</v>
      </c>
      <c r="AT6" s="1074" t="s">
        <v>233</v>
      </c>
      <c r="AU6" s="1075" t="s">
        <v>235</v>
      </c>
      <c r="AV6" s="1075" t="s">
        <v>236</v>
      </c>
      <c r="AW6" s="1075" t="s">
        <v>237</v>
      </c>
      <c r="AX6" s="1076" t="s">
        <v>238</v>
      </c>
      <c r="AY6" s="1074" t="s">
        <v>239</v>
      </c>
      <c r="AZ6" s="1075" t="s">
        <v>241</v>
      </c>
      <c r="BA6" s="1075" t="s">
        <v>242</v>
      </c>
      <c r="BB6" s="1076" t="s">
        <v>243</v>
      </c>
      <c r="BC6" s="1074" t="s">
        <v>244</v>
      </c>
      <c r="BD6" s="1075" t="s">
        <v>246</v>
      </c>
      <c r="BE6" s="1075" t="s">
        <v>247</v>
      </c>
      <c r="BF6" s="1076" t="s">
        <v>248</v>
      </c>
      <c r="BG6" s="1077" t="s">
        <v>186</v>
      </c>
    </row>
    <row r="7" spans="1:59" s="1008" customFormat="1" x14ac:dyDescent="0.2">
      <c r="A7" s="1009" t="s">
        <v>310</v>
      </c>
      <c r="B7" s="1010"/>
      <c r="D7" s="1072"/>
      <c r="E7" s="1078"/>
      <c r="F7" s="1064"/>
      <c r="G7" s="1079"/>
      <c r="H7" s="1080"/>
      <c r="I7" s="1080"/>
      <c r="J7" s="1080"/>
      <c r="K7" s="1081"/>
      <c r="L7" s="1082"/>
      <c r="M7" s="1083"/>
      <c r="N7" s="1083"/>
      <c r="O7" s="1081"/>
      <c r="P7" s="1082"/>
      <c r="Q7" s="1083"/>
      <c r="R7" s="1083"/>
      <c r="S7" s="1083"/>
      <c r="T7" s="1083"/>
      <c r="U7" s="1083"/>
      <c r="V7" s="1083"/>
      <c r="W7" s="1083"/>
      <c r="X7" s="1081"/>
      <c r="Y7" s="1082"/>
      <c r="Z7" s="1083"/>
      <c r="AA7" s="1083"/>
      <c r="AB7" s="1081"/>
      <c r="AC7" s="1082"/>
      <c r="AD7" s="1083"/>
      <c r="AE7" s="1083"/>
      <c r="AF7" s="1081"/>
      <c r="AG7" s="1082"/>
      <c r="AH7" s="1083"/>
      <c r="AI7" s="1083"/>
      <c r="AJ7" s="1083"/>
      <c r="AK7" s="1081"/>
      <c r="AL7" s="1082"/>
      <c r="AM7" s="1083"/>
      <c r="AN7" s="1083"/>
      <c r="AO7" s="1081"/>
      <c r="AP7" s="1082"/>
      <c r="AQ7" s="1083"/>
      <c r="AR7" s="1083"/>
      <c r="AS7" s="1081"/>
      <c r="AT7" s="1082"/>
      <c r="AU7" s="1083"/>
      <c r="AV7" s="1083"/>
      <c r="AW7" s="1083"/>
      <c r="AX7" s="1081"/>
      <c r="AY7" s="1082"/>
      <c r="AZ7" s="1083"/>
      <c r="BA7" s="1083"/>
      <c r="BB7" s="1081"/>
      <c r="BC7" s="1082"/>
      <c r="BD7" s="1083"/>
      <c r="BE7" s="1084"/>
      <c r="BF7" s="1085"/>
      <c r="BG7" s="1086"/>
    </row>
    <row r="8" spans="1:59" s="1008" customFormat="1" x14ac:dyDescent="0.2">
      <c r="A8" s="1011" t="s">
        <v>687</v>
      </c>
      <c r="D8" s="1072"/>
      <c r="E8" s="1078"/>
      <c r="F8" s="1064"/>
      <c r="G8" s="1087"/>
      <c r="H8" s="1088"/>
      <c r="I8" s="1088"/>
      <c r="J8" s="1088"/>
      <c r="K8" s="1089"/>
      <c r="L8" s="1090"/>
      <c r="M8" s="1091"/>
      <c r="N8" s="1091"/>
      <c r="O8" s="1089"/>
      <c r="P8" s="1090"/>
      <c r="Q8" s="1091"/>
      <c r="R8" s="1091"/>
      <c r="S8" s="1091"/>
      <c r="T8" s="1091"/>
      <c r="U8" s="1091"/>
      <c r="V8" s="1091"/>
      <c r="W8" s="1091"/>
      <c r="X8" s="1089"/>
      <c r="Y8" s="1090"/>
      <c r="Z8" s="1091"/>
      <c r="AA8" s="1091"/>
      <c r="AB8" s="1089"/>
      <c r="AC8" s="1090"/>
      <c r="AD8" s="1091"/>
      <c r="AE8" s="1091"/>
      <c r="AF8" s="1089"/>
      <c r="AG8" s="1090"/>
      <c r="AH8" s="1091"/>
      <c r="AI8" s="1091"/>
      <c r="AJ8" s="1091"/>
      <c r="AK8" s="1089"/>
      <c r="AL8" s="1090"/>
      <c r="AM8" s="1091"/>
      <c r="AN8" s="1091"/>
      <c r="AO8" s="1089"/>
      <c r="AP8" s="1090"/>
      <c r="AQ8" s="1091"/>
      <c r="AR8" s="1091"/>
      <c r="AS8" s="1089"/>
      <c r="AT8" s="1090"/>
      <c r="AU8" s="1091"/>
      <c r="AV8" s="1091"/>
      <c r="AW8" s="1091"/>
      <c r="AX8" s="1089"/>
      <c r="AY8" s="1090"/>
      <c r="AZ8" s="1091"/>
      <c r="BA8" s="1091"/>
      <c r="BB8" s="1089"/>
      <c r="BC8" s="1090"/>
      <c r="BD8" s="1091"/>
      <c r="BE8" s="1084"/>
      <c r="BF8" s="1085"/>
      <c r="BG8" s="1086"/>
    </row>
    <row r="9" spans="1:59" s="1008" customFormat="1" x14ac:dyDescent="0.2">
      <c r="A9" s="287">
        <v>2</v>
      </c>
      <c r="B9" s="287"/>
      <c r="C9" s="1012" t="str">
        <f>_xlfn.XLOOKUP(A9,Códigos!$A$421:$A$483,Códigos!$B$421:$B$483,"Verificar",0)</f>
        <v>Pago de Salarios a:</v>
      </c>
      <c r="D9" s="1092">
        <f>SUMIF('EGRESOS DE CAJA'!$D$9:$D$5958,C9,'EGRESOS DE CAJA'!$G$9:$G$5958)</f>
        <v>57460000</v>
      </c>
      <c r="E9" s="1093">
        <f t="shared" ref="E9:E17" si="0">SUM(G9:BG9)</f>
        <v>0</v>
      </c>
      <c r="F9" s="1064"/>
      <c r="G9" s="1094"/>
      <c r="H9" s="1095"/>
      <c r="I9" s="1095"/>
      <c r="J9" s="1095"/>
      <c r="K9" s="1095"/>
      <c r="L9" s="1095"/>
      <c r="M9" s="1095"/>
      <c r="N9" s="1095"/>
      <c r="O9" s="1095"/>
      <c r="P9" s="1095"/>
      <c r="Q9" s="1095"/>
      <c r="R9" s="1095"/>
      <c r="S9" s="1095"/>
      <c r="T9" s="1095"/>
      <c r="U9" s="1095"/>
      <c r="V9" s="1095"/>
      <c r="W9" s="1095"/>
      <c r="X9" s="1095"/>
      <c r="Y9" s="1095"/>
      <c r="Z9" s="1095"/>
      <c r="AA9" s="1095"/>
      <c r="AB9" s="1095"/>
      <c r="AC9" s="1095"/>
      <c r="AD9" s="1095"/>
      <c r="AE9" s="1095"/>
      <c r="AF9" s="1095"/>
      <c r="AG9" s="1095"/>
      <c r="AH9" s="1095"/>
      <c r="AI9" s="1095"/>
      <c r="AJ9" s="1095"/>
      <c r="AK9" s="1095"/>
      <c r="AL9" s="1095"/>
      <c r="AM9" s="1095"/>
      <c r="AN9" s="1095"/>
      <c r="AO9" s="1095"/>
      <c r="AP9" s="1095"/>
      <c r="AQ9" s="1095"/>
      <c r="AR9" s="1095"/>
      <c r="AS9" s="1095"/>
      <c r="AT9" s="1095"/>
      <c r="AU9" s="1095"/>
      <c r="AV9" s="1095"/>
      <c r="AW9" s="1095"/>
      <c r="AX9" s="1095"/>
      <c r="AY9" s="1095"/>
      <c r="AZ9" s="1095"/>
      <c r="BA9" s="1095"/>
      <c r="BB9" s="1095"/>
      <c r="BC9" s="1095"/>
      <c r="BD9" s="1095"/>
      <c r="BE9" s="1095"/>
      <c r="BF9" s="1096"/>
      <c r="BG9" s="1095"/>
    </row>
    <row r="10" spans="1:59" s="1008" customFormat="1" x14ac:dyDescent="0.2">
      <c r="A10" s="1013">
        <v>3</v>
      </c>
      <c r="B10" s="1013"/>
      <c r="C10" s="1012" t="str">
        <f>_xlfn.XLOOKUP(A10,Códigos!$A$421:$A$483,Códigos!$B$421:$B$483,"Verificar",0)</f>
        <v>Pago de Prestaciones sociales a:</v>
      </c>
      <c r="D10" s="1092">
        <f>SUMIF('EGRESOS DE CAJA'!$D$9:$D$5958,C10,'EGRESOS DE CAJA'!$G$9:$G$5958)</f>
        <v>0</v>
      </c>
      <c r="E10" s="1093">
        <f t="shared" si="0"/>
        <v>0</v>
      </c>
      <c r="F10" s="1064"/>
      <c r="G10" s="1094"/>
      <c r="H10" s="1095"/>
      <c r="I10" s="1095"/>
      <c r="J10" s="1095"/>
      <c r="K10" s="1096"/>
      <c r="L10" s="1094"/>
      <c r="M10" s="1095"/>
      <c r="N10" s="1095"/>
      <c r="O10" s="1096"/>
      <c r="P10" s="1094"/>
      <c r="Q10" s="1095"/>
      <c r="R10" s="1095"/>
      <c r="S10" s="1095"/>
      <c r="T10" s="1095"/>
      <c r="U10" s="1095"/>
      <c r="V10" s="1095"/>
      <c r="W10" s="1095"/>
      <c r="X10" s="1096"/>
      <c r="Y10" s="1094"/>
      <c r="Z10" s="1095"/>
      <c r="AA10" s="1095"/>
      <c r="AB10" s="1096"/>
      <c r="AC10" s="1094"/>
      <c r="AD10" s="1095"/>
      <c r="AE10" s="1095"/>
      <c r="AF10" s="1096"/>
      <c r="AG10" s="1094"/>
      <c r="AH10" s="1095"/>
      <c r="AI10" s="1095"/>
      <c r="AJ10" s="1095"/>
      <c r="AK10" s="1096"/>
      <c r="AL10" s="1094"/>
      <c r="AM10" s="1095"/>
      <c r="AN10" s="1095"/>
      <c r="AO10" s="1096"/>
      <c r="AP10" s="1094"/>
      <c r="AQ10" s="1095"/>
      <c r="AR10" s="1095"/>
      <c r="AS10" s="1096"/>
      <c r="AT10" s="1094"/>
      <c r="AU10" s="1095"/>
      <c r="AV10" s="1095"/>
      <c r="AW10" s="1095"/>
      <c r="AX10" s="1096"/>
      <c r="AY10" s="1094"/>
      <c r="AZ10" s="1095"/>
      <c r="BA10" s="1095"/>
      <c r="BB10" s="1096"/>
      <c r="BC10" s="1094"/>
      <c r="BD10" s="1095"/>
      <c r="BE10" s="1095"/>
      <c r="BF10" s="1096"/>
      <c r="BG10" s="1097"/>
    </row>
    <row r="11" spans="1:59" s="1008" customFormat="1" x14ac:dyDescent="0.2">
      <c r="A11" s="1013">
        <v>4</v>
      </c>
      <c r="B11" s="1013"/>
      <c r="C11" s="1012" t="str">
        <f>_xlfn.XLOOKUP(A11,Códigos!$A$421:$A$483,Códigos!$B$421:$B$483,"Verificar",0)</f>
        <v>Pago de Bonificación a:</v>
      </c>
      <c r="D11" s="1092">
        <f>SUMIF('EGRESOS DE CAJA'!$D$9:$D$5958,C11,'EGRESOS DE CAJA'!$G$9:$G$5958)</f>
        <v>0</v>
      </c>
      <c r="E11" s="1093">
        <f t="shared" si="0"/>
        <v>0</v>
      </c>
      <c r="F11" s="1064"/>
      <c r="G11" s="1094"/>
      <c r="H11" s="1095"/>
      <c r="I11" s="1095"/>
      <c r="J11" s="1095"/>
      <c r="K11" s="1096"/>
      <c r="L11" s="1094"/>
      <c r="M11" s="1095"/>
      <c r="N11" s="1095"/>
      <c r="O11" s="1096"/>
      <c r="P11" s="1094"/>
      <c r="Q11" s="1095"/>
      <c r="R11" s="1095"/>
      <c r="S11" s="1095"/>
      <c r="T11" s="1095"/>
      <c r="U11" s="1095"/>
      <c r="V11" s="1095"/>
      <c r="W11" s="1095"/>
      <c r="X11" s="1096"/>
      <c r="Y11" s="1094"/>
      <c r="Z11" s="1095"/>
      <c r="AA11" s="1095"/>
      <c r="AB11" s="1096"/>
      <c r="AC11" s="1094"/>
      <c r="AD11" s="1095"/>
      <c r="AE11" s="1095"/>
      <c r="AF11" s="1096"/>
      <c r="AG11" s="1094"/>
      <c r="AH11" s="1095"/>
      <c r="AI11" s="1095"/>
      <c r="AJ11" s="1095"/>
      <c r="AK11" s="1096"/>
      <c r="AL11" s="1094"/>
      <c r="AM11" s="1095"/>
      <c r="AN11" s="1095"/>
      <c r="AO11" s="1096"/>
      <c r="AP11" s="1094"/>
      <c r="AQ11" s="1095"/>
      <c r="AR11" s="1095"/>
      <c r="AS11" s="1096"/>
      <c r="AT11" s="1094"/>
      <c r="AU11" s="1095"/>
      <c r="AV11" s="1095"/>
      <c r="AW11" s="1095"/>
      <c r="AX11" s="1096"/>
      <c r="AY11" s="1094"/>
      <c r="AZ11" s="1095"/>
      <c r="BA11" s="1095"/>
      <c r="BB11" s="1096"/>
      <c r="BC11" s="1094"/>
      <c r="BD11" s="1095"/>
      <c r="BE11" s="1095"/>
      <c r="BF11" s="1096"/>
      <c r="BG11" s="1097"/>
    </row>
    <row r="12" spans="1:59" s="1008" customFormat="1" x14ac:dyDescent="0.2">
      <c r="A12" s="1014">
        <v>7</v>
      </c>
      <c r="B12" s="287"/>
      <c r="C12" s="1012" t="str">
        <f>_xlfn.XLOOKUP(A12,Códigos!$A$421:$A$483,Códigos!$B$421:$B$483,"Verificar",0)</f>
        <v>Pagos de: -Seguridad Social</v>
      </c>
      <c r="D12" s="1092">
        <f>SUMIF('EGRESOS DE CAJA'!$D$9:$D$5958,C12,'EGRESOS DE CAJA'!$G$9:$G$5958)</f>
        <v>27296800</v>
      </c>
      <c r="E12" s="1093">
        <f t="shared" si="0"/>
        <v>0</v>
      </c>
      <c r="F12" s="1064"/>
      <c r="G12" s="1094"/>
      <c r="H12" s="1095"/>
      <c r="I12" s="1095"/>
      <c r="J12" s="1095"/>
      <c r="K12" s="1096"/>
      <c r="L12" s="1095"/>
      <c r="M12" s="1095"/>
      <c r="N12" s="1095"/>
      <c r="O12" s="1096"/>
      <c r="P12" s="1095"/>
      <c r="Q12" s="1095"/>
      <c r="R12" s="1095"/>
      <c r="S12" s="1096"/>
      <c r="T12" s="1095"/>
      <c r="U12" s="1095"/>
      <c r="V12" s="1095"/>
      <c r="W12" s="1096"/>
      <c r="X12" s="1096"/>
      <c r="Y12" s="1095"/>
      <c r="Z12" s="1095"/>
      <c r="AA12" s="1095"/>
      <c r="AB12" s="1096"/>
      <c r="AC12" s="1095"/>
      <c r="AD12" s="1095"/>
      <c r="AE12" s="1095"/>
      <c r="AF12" s="1096"/>
      <c r="AG12" s="1095"/>
      <c r="AH12" s="1095"/>
      <c r="AI12" s="1095"/>
      <c r="AJ12" s="1095"/>
      <c r="AK12" s="1096"/>
      <c r="AL12" s="1094"/>
      <c r="AM12" s="1095"/>
      <c r="AN12" s="1095"/>
      <c r="AO12" s="1096"/>
      <c r="AP12" s="1094"/>
      <c r="AQ12" s="1095"/>
      <c r="AR12" s="1095"/>
      <c r="AS12" s="1096"/>
      <c r="AT12" s="1094"/>
      <c r="AU12" s="1095"/>
      <c r="AV12" s="1095"/>
      <c r="AW12" s="1095"/>
      <c r="AX12" s="1096"/>
      <c r="AY12" s="1094"/>
      <c r="AZ12" s="1095"/>
      <c r="BA12" s="1095"/>
      <c r="BB12" s="1096"/>
      <c r="BC12" s="1094"/>
      <c r="BD12" s="1095"/>
      <c r="BE12" s="1095"/>
      <c r="BF12" s="1096"/>
      <c r="BG12" s="1094"/>
    </row>
    <row r="13" spans="1:59" s="1008" customFormat="1" x14ac:dyDescent="0.2">
      <c r="A13" s="287">
        <v>9</v>
      </c>
      <c r="B13" s="287"/>
      <c r="C13" s="1012" t="str">
        <f>_xlfn.XLOOKUP(A13,Códigos!$A$421:$A$483,Códigos!$B$421:$B$483,"Verificar",0)</f>
        <v>Pagos de: -Servicios públicos -OFICINA-</v>
      </c>
      <c r="D13" s="1092">
        <f>SUMIF('EGRESOS DE CAJA'!$D$9:$D$5958,C13,'EGRESOS DE CAJA'!$G$9:$G$5958)</f>
        <v>10779655</v>
      </c>
      <c r="E13" s="1093">
        <f t="shared" si="0"/>
        <v>0</v>
      </c>
      <c r="F13" s="1064"/>
      <c r="G13" s="1094"/>
      <c r="H13" s="1095"/>
      <c r="I13" s="1095"/>
      <c r="J13" s="1095"/>
      <c r="K13" s="1096"/>
      <c r="L13" s="1095"/>
      <c r="M13" s="1095"/>
      <c r="N13" s="1095"/>
      <c r="O13" s="1096"/>
      <c r="P13" s="1094"/>
      <c r="Q13" s="1095"/>
      <c r="R13" s="1095"/>
      <c r="S13" s="1095"/>
      <c r="T13" s="1094"/>
      <c r="U13" s="1095"/>
      <c r="V13" s="1095"/>
      <c r="W13" s="1095"/>
      <c r="X13" s="1096"/>
      <c r="Y13" s="1094"/>
      <c r="Z13" s="1095"/>
      <c r="AA13" s="1095"/>
      <c r="AB13" s="1096"/>
      <c r="AC13" s="1094"/>
      <c r="AD13" s="1095"/>
      <c r="AE13" s="1095"/>
      <c r="AF13" s="1096"/>
      <c r="AG13" s="1094"/>
      <c r="AH13" s="1095"/>
      <c r="AI13" s="1095"/>
      <c r="AJ13" s="1095"/>
      <c r="AK13" s="1096"/>
      <c r="AL13" s="1094"/>
      <c r="AM13" s="1095"/>
      <c r="AN13" s="1095"/>
      <c r="AO13" s="1096"/>
      <c r="AP13" s="1094"/>
      <c r="AQ13" s="1095"/>
      <c r="AR13" s="1095"/>
      <c r="AS13" s="1096"/>
      <c r="AT13" s="1094"/>
      <c r="AU13" s="1095"/>
      <c r="AV13" s="1095"/>
      <c r="AW13" s="1095"/>
      <c r="AX13" s="1096"/>
      <c r="AY13" s="1094"/>
      <c r="AZ13" s="1095"/>
      <c r="BA13" s="1095"/>
      <c r="BB13" s="1096"/>
      <c r="BC13" s="1094"/>
      <c r="BD13" s="1095"/>
      <c r="BE13" s="1095"/>
      <c r="BF13" s="1096"/>
      <c r="BG13" s="1097"/>
    </row>
    <row r="14" spans="1:59" s="1008" customFormat="1" x14ac:dyDescent="0.2">
      <c r="A14" s="287">
        <v>12</v>
      </c>
      <c r="B14" s="287"/>
      <c r="C14" s="1012" t="str">
        <f>_xlfn.XLOOKUP(A14,Códigos!$A$421:$A$483,Códigos!$B$421:$B$483,"Verificar",0)</f>
        <v>Pagos de: -Celulares</v>
      </c>
      <c r="D14" s="1092">
        <f>SUMIF('EGRESOS DE CAJA'!$D$9:$D$5958,C14,'EGRESOS DE CAJA'!$G$9:$G$5958)</f>
        <v>3595890</v>
      </c>
      <c r="E14" s="1093">
        <f>SUM(G14:BG14)</f>
        <v>0</v>
      </c>
      <c r="F14" s="1064"/>
      <c r="G14" s="1094"/>
      <c r="H14" s="1095"/>
      <c r="I14" s="1095"/>
      <c r="J14" s="1095"/>
      <c r="K14" s="1096"/>
      <c r="L14" s="1094"/>
      <c r="M14" s="1095"/>
      <c r="N14" s="1095"/>
      <c r="O14" s="1096"/>
      <c r="P14" s="1094"/>
      <c r="Q14" s="1095"/>
      <c r="R14" s="1095"/>
      <c r="S14" s="1095"/>
      <c r="T14" s="1095"/>
      <c r="U14" s="1094"/>
      <c r="V14" s="1095"/>
      <c r="W14" s="1095"/>
      <c r="X14" s="1096"/>
      <c r="Y14" s="1094"/>
      <c r="Z14" s="1094"/>
      <c r="AA14" s="1095"/>
      <c r="AB14" s="1095"/>
      <c r="AC14" s="1094"/>
      <c r="AD14" s="1094"/>
      <c r="AE14" s="1095"/>
      <c r="AF14" s="1095"/>
      <c r="AG14" s="1094"/>
      <c r="AH14" s="1095"/>
      <c r="AI14" s="1095"/>
      <c r="AJ14" s="1095"/>
      <c r="AK14" s="1096"/>
      <c r="AL14" s="1094"/>
      <c r="AM14" s="1095"/>
      <c r="AN14" s="1095"/>
      <c r="AO14" s="1096"/>
      <c r="AP14" s="1094"/>
      <c r="AQ14" s="1095"/>
      <c r="AR14" s="1095"/>
      <c r="AS14" s="1096"/>
      <c r="AT14" s="1094"/>
      <c r="AU14" s="1095"/>
      <c r="AV14" s="1095"/>
      <c r="AW14" s="1095"/>
      <c r="AX14" s="1096"/>
      <c r="AY14" s="1094"/>
      <c r="AZ14" s="1095"/>
      <c r="BA14" s="1095"/>
      <c r="BB14" s="1096"/>
      <c r="BC14" s="1094"/>
      <c r="BD14" s="1095"/>
      <c r="BE14" s="1095"/>
      <c r="BF14" s="1096"/>
      <c r="BG14" s="1097"/>
    </row>
    <row r="15" spans="1:59" s="1008" customFormat="1" x14ac:dyDescent="0.2">
      <c r="A15" s="287">
        <v>13</v>
      </c>
      <c r="B15" s="287"/>
      <c r="C15" s="1012" t="str">
        <f>_xlfn.XLOOKUP(A15,Códigos!$A$421:$A$483,Códigos!$B$421:$B$483,"Verificar",0)</f>
        <v>Pagos de: -Suscripciones</v>
      </c>
      <c r="D15" s="1092">
        <f>SUMIF('EGRESOS DE CAJA'!$D$9:$D$5958,C15,'EGRESOS DE CAJA'!$G$9:$G$5958)</f>
        <v>0</v>
      </c>
      <c r="E15" s="1093">
        <f>SUM(G15:BG15)</f>
        <v>0</v>
      </c>
      <c r="F15" s="1064"/>
      <c r="G15" s="1094"/>
      <c r="H15" s="1095"/>
      <c r="I15" s="1095"/>
      <c r="J15" s="1095"/>
      <c r="K15" s="1096"/>
      <c r="L15" s="1094"/>
      <c r="M15" s="1095"/>
      <c r="N15" s="1095"/>
      <c r="O15" s="1096"/>
      <c r="P15" s="1094"/>
      <c r="Q15" s="1095"/>
      <c r="R15" s="1095"/>
      <c r="S15" s="1095"/>
      <c r="T15" s="1095"/>
      <c r="U15" s="1095"/>
      <c r="V15" s="1095"/>
      <c r="W15" s="1095"/>
      <c r="X15" s="1096"/>
      <c r="Y15" s="1094"/>
      <c r="Z15" s="1095"/>
      <c r="AA15" s="1095"/>
      <c r="AB15" s="1096"/>
      <c r="AC15" s="1094"/>
      <c r="AD15" s="1095"/>
      <c r="AE15" s="1095"/>
      <c r="AF15" s="1096"/>
      <c r="AG15" s="1094"/>
      <c r="AH15" s="1095"/>
      <c r="AI15" s="1095"/>
      <c r="AJ15" s="1095"/>
      <c r="AK15" s="1096"/>
      <c r="AL15" s="1094"/>
      <c r="AM15" s="1095"/>
      <c r="AN15" s="1095"/>
      <c r="AO15" s="1096"/>
      <c r="AP15" s="1094"/>
      <c r="AQ15" s="1095"/>
      <c r="AR15" s="1095"/>
      <c r="AS15" s="1096"/>
      <c r="AT15" s="1094"/>
      <c r="AU15" s="1095"/>
      <c r="AV15" s="1095"/>
      <c r="AW15" s="1095"/>
      <c r="AX15" s="1096"/>
      <c r="AY15" s="1094"/>
      <c r="AZ15" s="1095"/>
      <c r="BA15" s="1095"/>
      <c r="BB15" s="1096"/>
      <c r="BC15" s="1094"/>
      <c r="BD15" s="1095"/>
      <c r="BE15" s="1095"/>
      <c r="BF15" s="1096"/>
      <c r="BG15" s="1097"/>
    </row>
    <row r="16" spans="1:59" s="1008" customFormat="1" x14ac:dyDescent="0.2">
      <c r="A16" s="1014">
        <v>15</v>
      </c>
      <c r="B16" s="287"/>
      <c r="C16" s="1012" t="str">
        <f>_xlfn.XLOOKUP(A16,Códigos!$A$421:$A$483,Códigos!$B$421:$B$483,"Verificar",0)</f>
        <v>Pagos de: -Mantenimiento de equipos y telefonía</v>
      </c>
      <c r="D16" s="1092">
        <f>SUMIF('EGRESOS DE CAJA'!$D$9:$D$5958,C16,'EGRESOS DE CAJA'!$G$9:$G$5958)</f>
        <v>0</v>
      </c>
      <c r="E16" s="1093">
        <f>SUM(G16:BG16)</f>
        <v>0</v>
      </c>
      <c r="F16" s="1064"/>
      <c r="G16" s="1094"/>
      <c r="H16" s="1095"/>
      <c r="I16" s="1095"/>
      <c r="J16" s="1095"/>
      <c r="K16" s="1098"/>
      <c r="L16" s="1099"/>
      <c r="M16" s="1100"/>
      <c r="N16" s="1100"/>
      <c r="O16" s="1098"/>
      <c r="P16" s="1099"/>
      <c r="Q16" s="1100"/>
      <c r="R16" s="1100"/>
      <c r="S16" s="1100"/>
      <c r="T16" s="1100"/>
      <c r="U16" s="1100"/>
      <c r="V16" s="1100"/>
      <c r="W16" s="1100"/>
      <c r="X16" s="1098"/>
      <c r="Y16" s="1099"/>
      <c r="Z16" s="1100"/>
      <c r="AA16" s="1100"/>
      <c r="AB16" s="1098"/>
      <c r="AC16" s="1099"/>
      <c r="AD16" s="1100"/>
      <c r="AE16" s="1100"/>
      <c r="AF16" s="1098"/>
      <c r="AG16" s="1099"/>
      <c r="AH16" s="1100"/>
      <c r="AI16" s="1100"/>
      <c r="AJ16" s="1100"/>
      <c r="AK16" s="1098"/>
      <c r="AL16" s="1099"/>
      <c r="AM16" s="1100"/>
      <c r="AN16" s="1100"/>
      <c r="AO16" s="1098"/>
      <c r="AP16" s="1099"/>
      <c r="AQ16" s="1100"/>
      <c r="AR16" s="1100"/>
      <c r="AS16" s="1098"/>
      <c r="AT16" s="1099"/>
      <c r="AU16" s="1100"/>
      <c r="AV16" s="1100"/>
      <c r="AW16" s="1100"/>
      <c r="AX16" s="1098"/>
      <c r="AY16" s="1099"/>
      <c r="AZ16" s="1100"/>
      <c r="BA16" s="1100"/>
      <c r="BB16" s="1098"/>
      <c r="BC16" s="1099"/>
      <c r="BD16" s="1100"/>
      <c r="BE16" s="1100"/>
      <c r="BF16" s="1098"/>
      <c r="BG16" s="1101"/>
    </row>
    <row r="17" spans="1:61" s="1008" customFormat="1" x14ac:dyDescent="0.2">
      <c r="A17" s="286"/>
      <c r="B17" s="287"/>
      <c r="C17" s="1012"/>
      <c r="D17" s="1092"/>
      <c r="E17" s="1093">
        <f t="shared" si="0"/>
        <v>0</v>
      </c>
      <c r="F17" s="1064"/>
      <c r="G17" s="1094"/>
      <c r="H17" s="1102"/>
      <c r="I17" s="1102"/>
      <c r="J17" s="1102"/>
      <c r="K17" s="1098"/>
      <c r="L17" s="1099"/>
      <c r="M17" s="1100"/>
      <c r="N17" s="1100"/>
      <c r="O17" s="1098"/>
      <c r="P17" s="1099"/>
      <c r="Q17" s="1100"/>
      <c r="R17" s="1100"/>
      <c r="S17" s="1100"/>
      <c r="T17" s="1100"/>
      <c r="U17" s="1100"/>
      <c r="V17" s="1100"/>
      <c r="W17" s="1100"/>
      <c r="X17" s="1098"/>
      <c r="Y17" s="1099"/>
      <c r="Z17" s="1100"/>
      <c r="AA17" s="1100"/>
      <c r="AB17" s="1098"/>
      <c r="AC17" s="1099"/>
      <c r="AD17" s="1100"/>
      <c r="AE17" s="1100"/>
      <c r="AF17" s="1098"/>
      <c r="AG17" s="1099"/>
      <c r="AH17" s="1100"/>
      <c r="AI17" s="1100"/>
      <c r="AJ17" s="1100"/>
      <c r="AK17" s="1098"/>
      <c r="AL17" s="1099"/>
      <c r="AM17" s="1100"/>
      <c r="AN17" s="1100"/>
      <c r="AO17" s="1098"/>
      <c r="AP17" s="1099"/>
      <c r="AQ17" s="1100"/>
      <c r="AR17" s="1100"/>
      <c r="AS17" s="1098"/>
      <c r="AT17" s="1099"/>
      <c r="AU17" s="1100"/>
      <c r="AV17" s="1100"/>
      <c r="AW17" s="1100"/>
      <c r="AX17" s="1098"/>
      <c r="AY17" s="1099"/>
      <c r="AZ17" s="1100"/>
      <c r="BA17" s="1100"/>
      <c r="BB17" s="1098"/>
      <c r="BC17" s="1099"/>
      <c r="BD17" s="1100"/>
      <c r="BE17" s="1100"/>
      <c r="BF17" s="1098"/>
      <c r="BG17" s="1101"/>
      <c r="BH17" s="1064"/>
      <c r="BI17" s="1072"/>
    </row>
    <row r="18" spans="1:61" s="1008" customFormat="1" x14ac:dyDescent="0.2">
      <c r="D18" s="1072"/>
      <c r="E18" s="1078"/>
      <c r="F18" s="1064"/>
      <c r="G18" s="1087"/>
      <c r="H18" s="1088"/>
      <c r="I18" s="1088"/>
      <c r="J18" s="1088"/>
      <c r="K18" s="1089"/>
      <c r="L18" s="1090"/>
      <c r="M18" s="1091"/>
      <c r="N18" s="1091"/>
      <c r="O18" s="1089"/>
      <c r="P18" s="1090"/>
      <c r="Q18" s="1091"/>
      <c r="R18" s="1091"/>
      <c r="S18" s="1091"/>
      <c r="T18" s="1091"/>
      <c r="U18" s="1091"/>
      <c r="V18" s="1091"/>
      <c r="W18" s="1091"/>
      <c r="X18" s="1089"/>
      <c r="Y18" s="1090"/>
      <c r="Z18" s="1091"/>
      <c r="AA18" s="1091"/>
      <c r="AB18" s="1089"/>
      <c r="AC18" s="1090"/>
      <c r="AD18" s="1091"/>
      <c r="AE18" s="1091"/>
      <c r="AF18" s="1089"/>
      <c r="AG18" s="1090"/>
      <c r="AH18" s="1091"/>
      <c r="AI18" s="1091"/>
      <c r="AJ18" s="1091"/>
      <c r="AK18" s="1089"/>
      <c r="AL18" s="1090"/>
      <c r="AM18" s="1091"/>
      <c r="AN18" s="1091"/>
      <c r="AO18" s="1089"/>
      <c r="AP18" s="1090"/>
      <c r="AQ18" s="1091"/>
      <c r="AR18" s="1091"/>
      <c r="AS18" s="1089"/>
      <c r="AT18" s="1090"/>
      <c r="AU18" s="1091"/>
      <c r="AV18" s="1091"/>
      <c r="AW18" s="1091"/>
      <c r="AX18" s="1089"/>
      <c r="AY18" s="1090"/>
      <c r="AZ18" s="1091"/>
      <c r="BA18" s="1091"/>
      <c r="BB18" s="1089"/>
      <c r="BC18" s="1090"/>
      <c r="BD18" s="1091"/>
      <c r="BE18" s="1091"/>
      <c r="BF18" s="1089"/>
      <c r="BG18" s="1103"/>
      <c r="BH18" s="1064"/>
      <c r="BI18" s="1072"/>
    </row>
    <row r="19" spans="1:61" s="1008" customFormat="1" x14ac:dyDescent="0.2">
      <c r="A19" s="1011" t="s">
        <v>688</v>
      </c>
      <c r="D19" s="1072"/>
      <c r="E19" s="1104"/>
      <c r="F19" s="1064"/>
      <c r="G19" s="1087"/>
      <c r="H19" s="1088"/>
      <c r="I19" s="1088"/>
      <c r="J19" s="1088"/>
      <c r="K19" s="1089"/>
      <c r="L19" s="1090"/>
      <c r="M19" s="1091"/>
      <c r="N19" s="1091"/>
      <c r="O19" s="1089"/>
      <c r="P19" s="1090"/>
      <c r="Q19" s="1091"/>
      <c r="R19" s="1091"/>
      <c r="S19" s="1091"/>
      <c r="T19" s="1091"/>
      <c r="U19" s="1091"/>
      <c r="V19" s="1091"/>
      <c r="W19" s="1091"/>
      <c r="X19" s="1089"/>
      <c r="Y19" s="1090"/>
      <c r="Z19" s="1091"/>
      <c r="AA19" s="1091"/>
      <c r="AB19" s="1089"/>
      <c r="AC19" s="1090"/>
      <c r="AD19" s="1091"/>
      <c r="AE19" s="1091"/>
      <c r="AF19" s="1089"/>
      <c r="AG19" s="1090"/>
      <c r="AH19" s="1091"/>
      <c r="AI19" s="1091"/>
      <c r="AJ19" s="1091"/>
      <c r="AK19" s="1089"/>
      <c r="AL19" s="1090"/>
      <c r="AM19" s="1091"/>
      <c r="AN19" s="1091"/>
      <c r="AO19" s="1089"/>
      <c r="AP19" s="1090"/>
      <c r="AQ19" s="1091"/>
      <c r="AR19" s="1091"/>
      <c r="AS19" s="1089"/>
      <c r="AT19" s="1090"/>
      <c r="AU19" s="1091"/>
      <c r="AV19" s="1091"/>
      <c r="AW19" s="1091"/>
      <c r="AX19" s="1089"/>
      <c r="AY19" s="1090"/>
      <c r="AZ19" s="1091"/>
      <c r="BA19" s="1091"/>
      <c r="BB19" s="1089"/>
      <c r="BC19" s="1090"/>
      <c r="BD19" s="1091"/>
      <c r="BE19" s="1091"/>
      <c r="BF19" s="1089"/>
      <c r="BG19" s="1103"/>
      <c r="BH19" s="1064"/>
      <c r="BI19" s="1072"/>
    </row>
    <row r="20" spans="1:61" s="1008" customFormat="1" x14ac:dyDescent="0.2">
      <c r="A20" s="287">
        <v>14</v>
      </c>
      <c r="B20" s="287"/>
      <c r="C20" s="1012" t="str">
        <f>_xlfn.XLOOKUP(A20,Códigos!$A$421:$A$483,Códigos!$B$421:$B$483,"Verificar",0)</f>
        <v>Pagos de: -Seminarios y capacitaciones</v>
      </c>
      <c r="D20" s="1092">
        <f>SUMIF('EGRESOS DE CAJA'!$D$9:$D$5958,C20,'EGRESOS DE CAJA'!$G$9:$G$5958)</f>
        <v>0</v>
      </c>
      <c r="E20" s="1093">
        <f>SUM(G20:BG20)</f>
        <v>0</v>
      </c>
      <c r="F20" s="1064"/>
      <c r="G20" s="1094"/>
      <c r="H20" s="1095"/>
      <c r="I20" s="1095"/>
      <c r="J20" s="1095"/>
      <c r="K20" s="1096"/>
      <c r="L20" s="1094"/>
      <c r="M20" s="1095"/>
      <c r="N20" s="1095"/>
      <c r="O20" s="1096"/>
      <c r="P20" s="1094"/>
      <c r="Q20" s="1095"/>
      <c r="R20" s="1095"/>
      <c r="S20" s="1095"/>
      <c r="T20" s="1095"/>
      <c r="U20" s="1095"/>
      <c r="V20" s="1095"/>
      <c r="W20" s="1095"/>
      <c r="X20" s="1096"/>
      <c r="Y20" s="1094"/>
      <c r="Z20" s="1095"/>
      <c r="AA20" s="1095"/>
      <c r="AB20" s="1096"/>
      <c r="AC20" s="1094"/>
      <c r="AD20" s="1095"/>
      <c r="AE20" s="1095"/>
      <c r="AF20" s="1096"/>
      <c r="AG20" s="1094"/>
      <c r="AH20" s="1095"/>
      <c r="AI20" s="1095"/>
      <c r="AJ20" s="1095"/>
      <c r="AK20" s="1096"/>
      <c r="AL20" s="1094"/>
      <c r="AM20" s="1095"/>
      <c r="AN20" s="1095"/>
      <c r="AO20" s="1096"/>
      <c r="AP20" s="1094"/>
      <c r="AQ20" s="1095"/>
      <c r="AR20" s="1095"/>
      <c r="AS20" s="1096"/>
      <c r="AT20" s="1094"/>
      <c r="AU20" s="1095"/>
      <c r="AV20" s="1095"/>
      <c r="AW20" s="1095"/>
      <c r="AX20" s="1096"/>
      <c r="AY20" s="1094"/>
      <c r="AZ20" s="1095"/>
      <c r="BA20" s="1095"/>
      <c r="BB20" s="1096"/>
      <c r="BC20" s="1094"/>
      <c r="BD20" s="1095"/>
      <c r="BE20" s="1095"/>
      <c r="BF20" s="1096"/>
      <c r="BG20" s="1097"/>
      <c r="BH20" s="1064"/>
      <c r="BI20" s="1072"/>
    </row>
    <row r="21" spans="1:61" s="1008" customFormat="1" x14ac:dyDescent="0.2">
      <c r="A21" s="1014">
        <v>16</v>
      </c>
      <c r="B21" s="287"/>
      <c r="C21" s="1012" t="str">
        <f>_xlfn.XLOOKUP(A21,Códigos!$A$421:$A$483,Códigos!$B$421:$B$483,"Verificar",0)</f>
        <v>Pagos de: -Aguinaldos y Propinas</v>
      </c>
      <c r="D21" s="1092">
        <f>SUMIF('EGRESOS DE CAJA'!$D$9:$D$5958,C21,'EGRESOS DE CAJA'!$G$9:$G$5958)</f>
        <v>0</v>
      </c>
      <c r="E21" s="1093">
        <f t="shared" ref="E21:E28" si="1">SUM(G21:BG21)</f>
        <v>0</v>
      </c>
      <c r="F21" s="1064"/>
      <c r="G21" s="1094"/>
      <c r="H21" s="1102"/>
      <c r="I21" s="1102"/>
      <c r="J21" s="1102"/>
      <c r="K21" s="1098"/>
      <c r="L21" s="1099"/>
      <c r="M21" s="1100"/>
      <c r="N21" s="1100"/>
      <c r="O21" s="1098"/>
      <c r="P21" s="1099"/>
      <c r="Q21" s="1100"/>
      <c r="R21" s="1100"/>
      <c r="S21" s="1100"/>
      <c r="T21" s="1100"/>
      <c r="U21" s="1100"/>
      <c r="V21" s="1100"/>
      <c r="W21" s="1100"/>
      <c r="X21" s="1098"/>
      <c r="Y21" s="1099"/>
      <c r="Z21" s="1100"/>
      <c r="AA21" s="1100"/>
      <c r="AB21" s="1098"/>
      <c r="AC21" s="1099"/>
      <c r="AD21" s="1100"/>
      <c r="AE21" s="1100"/>
      <c r="AF21" s="1098"/>
      <c r="AG21" s="1099"/>
      <c r="AH21" s="1100"/>
      <c r="AI21" s="1100"/>
      <c r="AJ21" s="1100"/>
      <c r="AK21" s="1098"/>
      <c r="AL21" s="1099"/>
      <c r="AM21" s="1100"/>
      <c r="AN21" s="1100"/>
      <c r="AO21" s="1098"/>
      <c r="AP21" s="1099"/>
      <c r="AQ21" s="1100"/>
      <c r="AR21" s="1100"/>
      <c r="AS21" s="1098"/>
      <c r="AT21" s="1099"/>
      <c r="AU21" s="1100"/>
      <c r="AV21" s="1100"/>
      <c r="AW21" s="1100"/>
      <c r="AX21" s="1098"/>
      <c r="AY21" s="1099"/>
      <c r="AZ21" s="1100"/>
      <c r="BA21" s="1100"/>
      <c r="BB21" s="1098"/>
      <c r="BC21" s="1099"/>
      <c r="BD21" s="1100"/>
      <c r="BE21" s="1100"/>
      <c r="BF21" s="1098"/>
      <c r="BG21" s="1101"/>
      <c r="BH21" s="1064"/>
      <c r="BI21" s="1072"/>
    </row>
    <row r="22" spans="1:61" s="1008" customFormat="1" x14ac:dyDescent="0.2">
      <c r="A22" s="287">
        <v>18</v>
      </c>
      <c r="B22" s="287"/>
      <c r="C22" s="1012" t="str">
        <f>_xlfn.XLOOKUP(A22,Códigos!$A$421:$A$483,Códigos!$B$421:$B$483,"Verificar",0)</f>
        <v>Pagos de: -Pasajes y transportes</v>
      </c>
      <c r="D22" s="1092">
        <f>SUMIF('EGRESOS DE CAJA'!$D$9:$D$5958,C22,'EGRESOS DE CAJA'!$G$9:$G$5958)</f>
        <v>80000</v>
      </c>
      <c r="E22" s="1093">
        <f t="shared" si="1"/>
        <v>0</v>
      </c>
      <c r="F22" s="1064"/>
      <c r="G22" s="1094"/>
      <c r="H22" s="1102"/>
      <c r="I22" s="1102"/>
      <c r="J22" s="1102"/>
      <c r="K22" s="1098"/>
      <c r="L22" s="1099"/>
      <c r="M22" s="1100"/>
      <c r="N22" s="1100"/>
      <c r="O22" s="1098"/>
      <c r="P22" s="1099"/>
      <c r="Q22" s="1100"/>
      <c r="R22" s="1100"/>
      <c r="S22" s="1100"/>
      <c r="T22" s="1100"/>
      <c r="U22" s="1100"/>
      <c r="V22" s="1100"/>
      <c r="W22" s="1100"/>
      <c r="X22" s="1098"/>
      <c r="Y22" s="1099"/>
      <c r="Z22" s="1100"/>
      <c r="AA22" s="1100"/>
      <c r="AB22" s="1098"/>
      <c r="AC22" s="1099"/>
      <c r="AD22" s="1100"/>
      <c r="AE22" s="1100"/>
      <c r="AF22" s="1098"/>
      <c r="AG22" s="1099"/>
      <c r="AH22" s="1100"/>
      <c r="AI22" s="1100"/>
      <c r="AJ22" s="1100"/>
      <c r="AK22" s="1098"/>
      <c r="AL22" s="1099"/>
      <c r="AM22" s="1100"/>
      <c r="AN22" s="1100"/>
      <c r="AO22" s="1098"/>
      <c r="AP22" s="1099"/>
      <c r="AQ22" s="1100"/>
      <c r="AR22" s="1100"/>
      <c r="AS22" s="1098"/>
      <c r="AT22" s="1099"/>
      <c r="AU22" s="1100"/>
      <c r="AV22" s="1100"/>
      <c r="AW22" s="1100"/>
      <c r="AX22" s="1098"/>
      <c r="AY22" s="1099"/>
      <c r="AZ22" s="1100"/>
      <c r="BA22" s="1100"/>
      <c r="BB22" s="1098"/>
      <c r="BC22" s="1099"/>
      <c r="BD22" s="1100"/>
      <c r="BE22" s="1100"/>
      <c r="BF22" s="1098"/>
      <c r="BG22" s="1101"/>
      <c r="BH22" s="1064"/>
      <c r="BI22" s="1072"/>
    </row>
    <row r="23" spans="1:61" s="1008" customFormat="1" x14ac:dyDescent="0.2">
      <c r="A23" s="287">
        <v>20</v>
      </c>
      <c r="B23" s="287"/>
      <c r="C23" s="1012" t="str">
        <f>_xlfn.XLOOKUP(A23,Códigos!$A$421:$A$483,Códigos!$B$421:$B$483,"Verificar",0)</f>
        <v>Pagos de: -Demás Gastos oficina</v>
      </c>
      <c r="D23" s="1092">
        <f>SUMIF('EGRESOS DE CAJA'!$D$9:$D$5958,C23,'EGRESOS DE CAJA'!$G$9:$G$5958)</f>
        <v>80000</v>
      </c>
      <c r="E23" s="1093">
        <f t="shared" si="1"/>
        <v>0</v>
      </c>
      <c r="F23" s="1064"/>
      <c r="G23" s="1094"/>
      <c r="H23" s="1102"/>
      <c r="I23" s="1102"/>
      <c r="J23" s="1102"/>
      <c r="K23" s="1098"/>
      <c r="L23" s="1099"/>
      <c r="M23" s="1100"/>
      <c r="N23" s="1100"/>
      <c r="O23" s="1098"/>
      <c r="P23" s="1099"/>
      <c r="Q23" s="1100"/>
      <c r="R23" s="1100"/>
      <c r="S23" s="1100"/>
      <c r="T23" s="1100"/>
      <c r="U23" s="1100"/>
      <c r="V23" s="1100"/>
      <c r="W23" s="1100"/>
      <c r="X23" s="1098"/>
      <c r="Y23" s="1099"/>
      <c r="Z23" s="1100"/>
      <c r="AA23" s="1100"/>
      <c r="AB23" s="1098"/>
      <c r="AC23" s="1099"/>
      <c r="AD23" s="1100"/>
      <c r="AE23" s="1100"/>
      <c r="AF23" s="1098"/>
      <c r="AG23" s="1099"/>
      <c r="AH23" s="1100"/>
      <c r="AI23" s="1100"/>
      <c r="AJ23" s="1100"/>
      <c r="AK23" s="1098"/>
      <c r="AL23" s="1099"/>
      <c r="AM23" s="1100"/>
      <c r="AN23" s="1100"/>
      <c r="AO23" s="1098"/>
      <c r="AP23" s="1099"/>
      <c r="AQ23" s="1100"/>
      <c r="AR23" s="1100"/>
      <c r="AS23" s="1098"/>
      <c r="AT23" s="1099"/>
      <c r="AU23" s="1100"/>
      <c r="AV23" s="1100"/>
      <c r="AW23" s="1100"/>
      <c r="AX23" s="1098"/>
      <c r="AY23" s="1099"/>
      <c r="AZ23" s="1100"/>
      <c r="BA23" s="1100"/>
      <c r="BB23" s="1098"/>
      <c r="BC23" s="1099"/>
      <c r="BD23" s="1100"/>
      <c r="BE23" s="1100"/>
      <c r="BF23" s="1098"/>
      <c r="BG23" s="1101"/>
      <c r="BH23" s="1064"/>
      <c r="BI23" s="1072"/>
    </row>
    <row r="24" spans="1:61" s="1008" customFormat="1" x14ac:dyDescent="0.2">
      <c r="A24" s="287">
        <v>22</v>
      </c>
      <c r="B24" s="287"/>
      <c r="C24" s="1012" t="str">
        <f>_xlfn.XLOOKUP(A24,Códigos!$A$421:$A$483,Códigos!$B$421:$B$483,"Verificar",0)</f>
        <v>Compra de: -Equipos, dotaciones y repuestos para oficina</v>
      </c>
      <c r="D24" s="1092">
        <f>SUMIF('EGRESOS DE CAJA'!$D$9:$D$5958,C24,'EGRESOS DE CAJA'!$G$9:$G$5958)</f>
        <v>8425299</v>
      </c>
      <c r="E24" s="1093">
        <f t="shared" si="1"/>
        <v>0</v>
      </c>
      <c r="F24" s="1064"/>
      <c r="G24" s="1094"/>
      <c r="H24" s="1102"/>
      <c r="I24" s="1102"/>
      <c r="J24" s="1102"/>
      <c r="K24" s="1098"/>
      <c r="L24" s="1099"/>
      <c r="M24" s="1100"/>
      <c r="N24" s="1100"/>
      <c r="O24" s="1098"/>
      <c r="P24" s="1099"/>
      <c r="Q24" s="1100"/>
      <c r="R24" s="1100"/>
      <c r="S24" s="1100"/>
      <c r="T24" s="1100"/>
      <c r="U24" s="1100"/>
      <c r="V24" s="1100"/>
      <c r="W24" s="1100"/>
      <c r="X24" s="1098"/>
      <c r="Y24" s="1099"/>
      <c r="Z24" s="1100"/>
      <c r="AA24" s="1100"/>
      <c r="AB24" s="1098"/>
      <c r="AC24" s="1099"/>
      <c r="AD24" s="1100"/>
      <c r="AE24" s="1100"/>
      <c r="AF24" s="1098"/>
      <c r="AG24" s="1099"/>
      <c r="AH24" s="1100"/>
      <c r="AI24" s="1100"/>
      <c r="AJ24" s="1100"/>
      <c r="AK24" s="1098"/>
      <c r="AL24" s="1099"/>
      <c r="AM24" s="1100"/>
      <c r="AN24" s="1100"/>
      <c r="AO24" s="1098"/>
      <c r="AP24" s="1099"/>
      <c r="AQ24" s="1100"/>
      <c r="AR24" s="1100"/>
      <c r="AS24" s="1098"/>
      <c r="AT24" s="1099"/>
      <c r="AU24" s="1100"/>
      <c r="AV24" s="1100"/>
      <c r="AW24" s="1100"/>
      <c r="AX24" s="1098"/>
      <c r="AY24" s="1099"/>
      <c r="AZ24" s="1100"/>
      <c r="BA24" s="1100"/>
      <c r="BB24" s="1098"/>
      <c r="BC24" s="1099"/>
      <c r="BD24" s="1100"/>
      <c r="BE24" s="1100"/>
      <c r="BF24" s="1098"/>
      <c r="BG24" s="1101"/>
      <c r="BH24" s="1064"/>
      <c r="BI24" s="1072"/>
    </row>
    <row r="25" spans="1:61" s="1008" customFormat="1" x14ac:dyDescent="0.2">
      <c r="A25" s="287">
        <v>23</v>
      </c>
      <c r="B25" s="287"/>
      <c r="C25" s="1012" t="str">
        <f>_xlfn.XLOOKUP(A25,Códigos!$A$421:$A$483,Códigos!$B$421:$B$483,"Verificar",0)</f>
        <v>Compra de: -Útiles de aseo</v>
      </c>
      <c r="D25" s="1092">
        <f>SUMIF('EGRESOS DE CAJA'!$D$9:$D$5958,C25,'EGRESOS DE CAJA'!$G$9:$G$5958)</f>
        <v>685000</v>
      </c>
      <c r="E25" s="1093">
        <f t="shared" si="1"/>
        <v>0</v>
      </c>
      <c r="F25" s="1064"/>
      <c r="G25" s="1094"/>
      <c r="H25" s="1102"/>
      <c r="I25" s="1102"/>
      <c r="J25" s="1102"/>
      <c r="K25" s="1098"/>
      <c r="L25" s="1099"/>
      <c r="M25" s="1100"/>
      <c r="N25" s="1100"/>
      <c r="O25" s="1098"/>
      <c r="P25" s="1099"/>
      <c r="Q25" s="1100"/>
      <c r="R25" s="1100"/>
      <c r="S25" s="1100"/>
      <c r="T25" s="1100"/>
      <c r="U25" s="1100"/>
      <c r="V25" s="1100"/>
      <c r="W25" s="1100"/>
      <c r="X25" s="1098"/>
      <c r="Y25" s="1099"/>
      <c r="Z25" s="1100"/>
      <c r="AA25" s="1100"/>
      <c r="AB25" s="1098"/>
      <c r="AC25" s="1099"/>
      <c r="AD25" s="1100"/>
      <c r="AE25" s="1100"/>
      <c r="AF25" s="1098"/>
      <c r="AG25" s="1099"/>
      <c r="AH25" s="1100"/>
      <c r="AI25" s="1100"/>
      <c r="AJ25" s="1100"/>
      <c r="AK25" s="1098"/>
      <c r="AL25" s="1099"/>
      <c r="AM25" s="1100"/>
      <c r="AN25" s="1100"/>
      <c r="AO25" s="1098"/>
      <c r="AP25" s="1099"/>
      <c r="AQ25" s="1100"/>
      <c r="AR25" s="1100"/>
      <c r="AS25" s="1098"/>
      <c r="AT25" s="1099"/>
      <c r="AU25" s="1100"/>
      <c r="AV25" s="1100"/>
      <c r="AW25" s="1100"/>
      <c r="AX25" s="1098"/>
      <c r="AY25" s="1099"/>
      <c r="AZ25" s="1100"/>
      <c r="BA25" s="1100"/>
      <c r="BB25" s="1098"/>
      <c r="BC25" s="1099"/>
      <c r="BD25" s="1100"/>
      <c r="BE25" s="1100"/>
      <c r="BF25" s="1098"/>
      <c r="BG25" s="1101"/>
      <c r="BH25" s="1064"/>
      <c r="BI25" s="1072"/>
    </row>
    <row r="26" spans="1:61" s="1008" customFormat="1" x14ac:dyDescent="0.2">
      <c r="A26" s="287">
        <v>24</v>
      </c>
      <c r="B26" s="287"/>
      <c r="C26" s="1012" t="str">
        <f>_xlfn.XLOOKUP(A26,Códigos!$A$421:$A$483,Códigos!$B$421:$B$483,"Verificar",0)</f>
        <v>Compra de: -Papelería</v>
      </c>
      <c r="D26" s="1092">
        <f>SUMIF('EGRESOS DE CAJA'!$D$9:$D$5958,C26,'EGRESOS DE CAJA'!$G$9:$G$5958)</f>
        <v>126000</v>
      </c>
      <c r="E26" s="1093">
        <f t="shared" si="1"/>
        <v>0</v>
      </c>
      <c r="F26" s="1064"/>
      <c r="G26" s="1094"/>
      <c r="H26" s="1102"/>
      <c r="I26" s="1102"/>
      <c r="J26" s="1102"/>
      <c r="K26" s="1098"/>
      <c r="L26" s="1099"/>
      <c r="M26" s="1100"/>
      <c r="N26" s="1100"/>
      <c r="O26" s="1098"/>
      <c r="P26" s="1099"/>
      <c r="Q26" s="1100"/>
      <c r="R26" s="1100"/>
      <c r="S26" s="1100"/>
      <c r="T26" s="1100"/>
      <c r="U26" s="1100"/>
      <c r="V26" s="1100"/>
      <c r="W26" s="1100"/>
      <c r="X26" s="1098"/>
      <c r="Y26" s="1099"/>
      <c r="Z26" s="1100"/>
      <c r="AA26" s="1100"/>
      <c r="AB26" s="1098"/>
      <c r="AC26" s="1099"/>
      <c r="AD26" s="1100"/>
      <c r="AE26" s="1100"/>
      <c r="AF26" s="1098"/>
      <c r="AG26" s="1099"/>
      <c r="AH26" s="1100"/>
      <c r="AI26" s="1100"/>
      <c r="AJ26" s="1100"/>
      <c r="AK26" s="1098"/>
      <c r="AL26" s="1099"/>
      <c r="AM26" s="1100"/>
      <c r="AN26" s="1100"/>
      <c r="AO26" s="1098"/>
      <c r="AP26" s="1099"/>
      <c r="AQ26" s="1100"/>
      <c r="AR26" s="1100"/>
      <c r="AS26" s="1098"/>
      <c r="AT26" s="1099"/>
      <c r="AU26" s="1100"/>
      <c r="AV26" s="1100"/>
      <c r="AW26" s="1100"/>
      <c r="AX26" s="1098"/>
      <c r="AY26" s="1099"/>
      <c r="AZ26" s="1100"/>
      <c r="BA26" s="1100"/>
      <c r="BB26" s="1098"/>
      <c r="BC26" s="1099"/>
      <c r="BD26" s="1100"/>
      <c r="BE26" s="1100"/>
      <c r="BF26" s="1098"/>
      <c r="BG26" s="1101"/>
      <c r="BH26" s="1064"/>
      <c r="BI26" s="1072">
        <f t="shared" ref="BI26:BI31" si="2">+D26-E26</f>
        <v>126000</v>
      </c>
    </row>
    <row r="27" spans="1:61" s="1008" customFormat="1" x14ac:dyDescent="0.2">
      <c r="A27" s="287">
        <v>25</v>
      </c>
      <c r="B27" s="287"/>
      <c r="C27" s="1012" t="str">
        <f>_xlfn.XLOOKUP(A27,Códigos!$A$421:$A$483,Códigos!$B$421:$B$483,"Verificar",0)</f>
        <v>Compra de: -Manuales, Libros y formularios</v>
      </c>
      <c r="D27" s="1092">
        <f>SUMIF('EGRESOS DE CAJA'!$D$9:$D$5958,C27,'EGRESOS DE CAJA'!$G$9:$G$5958)</f>
        <v>204400</v>
      </c>
      <c r="E27" s="1093">
        <f t="shared" si="1"/>
        <v>0</v>
      </c>
      <c r="F27" s="1064"/>
      <c r="G27" s="1094"/>
      <c r="H27" s="1102"/>
      <c r="I27" s="1102"/>
      <c r="J27" s="1102"/>
      <c r="K27" s="1098"/>
      <c r="L27" s="1099"/>
      <c r="M27" s="1102"/>
      <c r="N27" s="1100"/>
      <c r="O27" s="1098"/>
      <c r="P27" s="1099"/>
      <c r="Q27" s="1102"/>
      <c r="R27" s="1100"/>
      <c r="S27" s="1100"/>
      <c r="T27" s="1100"/>
      <c r="U27" s="1102"/>
      <c r="V27" s="1100"/>
      <c r="W27" s="1100"/>
      <c r="X27" s="1098"/>
      <c r="Y27" s="1099"/>
      <c r="Z27" s="1102"/>
      <c r="AA27" s="1100"/>
      <c r="AB27" s="1098"/>
      <c r="AC27" s="1099"/>
      <c r="AD27" s="1102"/>
      <c r="AE27" s="1102"/>
      <c r="AF27" s="1098"/>
      <c r="AG27" s="1099"/>
      <c r="AH27" s="1102"/>
      <c r="AI27" s="1100"/>
      <c r="AJ27" s="1100"/>
      <c r="AK27" s="1098"/>
      <c r="AL27" s="1099"/>
      <c r="AM27" s="1102"/>
      <c r="AN27" s="1100"/>
      <c r="AO27" s="1098"/>
      <c r="AP27" s="1099"/>
      <c r="AQ27" s="1102"/>
      <c r="AR27" s="1100"/>
      <c r="AS27" s="1098"/>
      <c r="AT27" s="1099"/>
      <c r="AU27" s="1102"/>
      <c r="AV27" s="1100"/>
      <c r="AW27" s="1100"/>
      <c r="AX27" s="1098"/>
      <c r="AY27" s="1099"/>
      <c r="AZ27" s="1102"/>
      <c r="BA27" s="1100"/>
      <c r="BB27" s="1098"/>
      <c r="BC27" s="1099"/>
      <c r="BD27" s="1102"/>
      <c r="BE27" s="1100"/>
      <c r="BF27" s="1098"/>
      <c r="BG27" s="1101"/>
      <c r="BH27" s="1064"/>
      <c r="BI27" s="1072">
        <f t="shared" si="2"/>
        <v>204400</v>
      </c>
    </row>
    <row r="28" spans="1:61" s="1008" customFormat="1" x14ac:dyDescent="0.2">
      <c r="A28" s="287">
        <v>26</v>
      </c>
      <c r="B28" s="287"/>
      <c r="C28" s="1012" t="str">
        <f>_xlfn.XLOOKUP(A28,Códigos!$A$421:$A$483,Códigos!$B$421:$B$483,"Verificar",0)</f>
        <v>Compra de: -Drogas y farmacia</v>
      </c>
      <c r="D28" s="1092">
        <f>SUMIF('EGRESOS DE CAJA'!$D$9:$D$5958,C28,'EGRESOS DE CAJA'!$G$9:$G$5958)</f>
        <v>0</v>
      </c>
      <c r="E28" s="1093">
        <f t="shared" si="1"/>
        <v>0</v>
      </c>
      <c r="F28" s="1064"/>
      <c r="G28" s="1094"/>
      <c r="H28" s="1102"/>
      <c r="I28" s="1102"/>
      <c r="J28" s="1102"/>
      <c r="K28" s="1098"/>
      <c r="L28" s="1099"/>
      <c r="M28" s="1100"/>
      <c r="N28" s="1100"/>
      <c r="O28" s="1098"/>
      <c r="P28" s="1099"/>
      <c r="Q28" s="1100"/>
      <c r="R28" s="1100"/>
      <c r="S28" s="1100"/>
      <c r="T28" s="1100"/>
      <c r="U28" s="1100"/>
      <c r="V28" s="1100"/>
      <c r="W28" s="1100"/>
      <c r="X28" s="1098"/>
      <c r="Y28" s="1099"/>
      <c r="Z28" s="1100"/>
      <c r="AA28" s="1100"/>
      <c r="AB28" s="1098"/>
      <c r="AC28" s="1099"/>
      <c r="AD28" s="1100"/>
      <c r="AE28" s="1100"/>
      <c r="AF28" s="1098"/>
      <c r="AG28" s="1099"/>
      <c r="AH28" s="1100"/>
      <c r="AI28" s="1100"/>
      <c r="AJ28" s="1100"/>
      <c r="AK28" s="1098"/>
      <c r="AL28" s="1099"/>
      <c r="AM28" s="1100"/>
      <c r="AN28" s="1100"/>
      <c r="AO28" s="1098"/>
      <c r="AP28" s="1099"/>
      <c r="AQ28" s="1100"/>
      <c r="AR28" s="1100"/>
      <c r="AS28" s="1098"/>
      <c r="AT28" s="1099"/>
      <c r="AU28" s="1100"/>
      <c r="AV28" s="1100"/>
      <c r="AW28" s="1100"/>
      <c r="AX28" s="1098"/>
      <c r="AY28" s="1099"/>
      <c r="AZ28" s="1100"/>
      <c r="BA28" s="1100"/>
      <c r="BB28" s="1098"/>
      <c r="BC28" s="1099"/>
      <c r="BD28" s="1100"/>
      <c r="BE28" s="1100"/>
      <c r="BF28" s="1098"/>
      <c r="BG28" s="1101"/>
      <c r="BH28" s="1064"/>
      <c r="BI28" s="1072">
        <f t="shared" si="2"/>
        <v>0</v>
      </c>
    </row>
    <row r="29" spans="1:61" s="1008" customFormat="1" x14ac:dyDescent="0.2">
      <c r="A29" s="287">
        <v>27</v>
      </c>
      <c r="B29" s="287"/>
      <c r="C29" s="1012" t="str">
        <f>_xlfn.XLOOKUP(A29,Códigos!$A$421:$A$483,Códigos!$B$421:$B$483,"Verificar",0)</f>
        <v>Compra de: -Restaurante y cafetería</v>
      </c>
      <c r="D29" s="1092">
        <f>SUMIF('EGRESOS DE CAJA'!$D$9:$D$5958,C29,'EGRESOS DE CAJA'!$G$9:$G$5958)</f>
        <v>5426000</v>
      </c>
      <c r="E29" s="1093">
        <f>SUM(G29:BG29)</f>
        <v>0</v>
      </c>
      <c r="F29" s="1064"/>
      <c r="G29" s="1094"/>
      <c r="H29" s="1102"/>
      <c r="I29" s="1102"/>
      <c r="J29" s="1102"/>
      <c r="K29" s="1098"/>
      <c r="L29" s="1099"/>
      <c r="M29" s="1100"/>
      <c r="N29" s="1100"/>
      <c r="O29" s="1098"/>
      <c r="P29" s="1099"/>
      <c r="Q29" s="1100"/>
      <c r="R29" s="1100"/>
      <c r="S29" s="1100"/>
      <c r="T29" s="1100"/>
      <c r="U29" s="1100"/>
      <c r="V29" s="1100"/>
      <c r="W29" s="1100"/>
      <c r="X29" s="1098"/>
      <c r="Y29" s="1099"/>
      <c r="Z29" s="1100"/>
      <c r="AA29" s="1100"/>
      <c r="AB29" s="1098"/>
      <c r="AC29" s="1099"/>
      <c r="AD29" s="1100"/>
      <c r="AE29" s="1100"/>
      <c r="AF29" s="1098"/>
      <c r="AG29" s="1099"/>
      <c r="AH29" s="1100"/>
      <c r="AI29" s="1100"/>
      <c r="AJ29" s="1100"/>
      <c r="AK29" s="1098"/>
      <c r="AL29" s="1099"/>
      <c r="AM29" s="1100"/>
      <c r="AN29" s="1100"/>
      <c r="AO29" s="1098"/>
      <c r="AP29" s="1099"/>
      <c r="AQ29" s="1100"/>
      <c r="AR29" s="1100"/>
      <c r="AS29" s="1098"/>
      <c r="AT29" s="1099"/>
      <c r="AU29" s="1100"/>
      <c r="AV29" s="1100"/>
      <c r="AW29" s="1100"/>
      <c r="AX29" s="1098"/>
      <c r="AY29" s="1099"/>
      <c r="AZ29" s="1100"/>
      <c r="BA29" s="1100"/>
      <c r="BB29" s="1098"/>
      <c r="BC29" s="1099"/>
      <c r="BD29" s="1100"/>
      <c r="BE29" s="1100"/>
      <c r="BF29" s="1098"/>
      <c r="BG29" s="1101"/>
      <c r="BH29" s="1064"/>
      <c r="BI29" s="1072">
        <f t="shared" si="2"/>
        <v>5426000</v>
      </c>
    </row>
    <row r="30" spans="1:61" s="1008" customFormat="1" x14ac:dyDescent="0.2">
      <c r="A30" s="1013">
        <v>17</v>
      </c>
      <c r="B30" s="1013"/>
      <c r="C30" s="1012" t="str">
        <f>_xlfn.XLOOKUP(A30,Códigos!$A$421:$A$483,Códigos!$B$421:$B$483,"Verificar",0)</f>
        <v>Pagos de: -Sanciones e intereses asumidos</v>
      </c>
      <c r="D30" s="1092">
        <f>SUMIF('EGRESOS DE CAJA'!$D$9:$D$5958,C30,'EGRESOS DE CAJA'!$G$9:$G$5958)</f>
        <v>0</v>
      </c>
      <c r="E30" s="1093">
        <f>SUM(G30:BG30)</f>
        <v>0</v>
      </c>
      <c r="F30" s="1064"/>
      <c r="G30" s="1094"/>
      <c r="H30" s="1102"/>
      <c r="I30" s="1102"/>
      <c r="J30" s="1102"/>
      <c r="K30" s="1098"/>
      <c r="L30" s="1099"/>
      <c r="M30" s="1100"/>
      <c r="N30" s="1100"/>
      <c r="O30" s="1098"/>
      <c r="P30" s="1099"/>
      <c r="Q30" s="1100"/>
      <c r="R30" s="1100"/>
      <c r="S30" s="1100"/>
      <c r="T30" s="1100"/>
      <c r="U30" s="1100"/>
      <c r="V30" s="1100"/>
      <c r="W30" s="1100"/>
      <c r="X30" s="1098"/>
      <c r="Y30" s="1099"/>
      <c r="Z30" s="1100"/>
      <c r="AA30" s="1100"/>
      <c r="AB30" s="1098"/>
      <c r="AC30" s="1099"/>
      <c r="AD30" s="1100"/>
      <c r="AE30" s="1100"/>
      <c r="AF30" s="1098"/>
      <c r="AG30" s="1099"/>
      <c r="AH30" s="1100"/>
      <c r="AI30" s="1100"/>
      <c r="AJ30" s="1100"/>
      <c r="AK30" s="1098"/>
      <c r="AL30" s="1099"/>
      <c r="AM30" s="1100"/>
      <c r="AN30" s="1100"/>
      <c r="AO30" s="1098"/>
      <c r="AP30" s="1099"/>
      <c r="AQ30" s="1100"/>
      <c r="AR30" s="1100"/>
      <c r="AS30" s="1098"/>
      <c r="AT30" s="1099"/>
      <c r="AU30" s="1100"/>
      <c r="AV30" s="1100"/>
      <c r="AW30" s="1100"/>
      <c r="AX30" s="1098"/>
      <c r="AY30" s="1099"/>
      <c r="AZ30" s="1100"/>
      <c r="BA30" s="1100"/>
      <c r="BB30" s="1098"/>
      <c r="BC30" s="1099"/>
      <c r="BD30" s="1100"/>
      <c r="BE30" s="1100"/>
      <c r="BF30" s="1098"/>
      <c r="BG30" s="1101"/>
      <c r="BH30" s="1064"/>
      <c r="BI30" s="1072">
        <f t="shared" si="2"/>
        <v>0</v>
      </c>
    </row>
    <row r="31" spans="1:61" s="1008" customFormat="1" x14ac:dyDescent="0.2">
      <c r="A31" s="287">
        <v>35</v>
      </c>
      <c r="B31" s="287"/>
      <c r="C31" s="1012" t="str">
        <f>_xlfn.XLOOKUP(A31,Códigos!$A$421:$A$483,Códigos!$B$421:$B$483,"Verificar",0)</f>
        <v>Impuestos, tasas y contribuciones -GTFF-</v>
      </c>
      <c r="D31" s="1092">
        <f>SUMIF('EGRESOS DE CAJA'!$D$9:$D$5958,C31,'EGRESOS DE CAJA'!$G$9:$G$5958)</f>
        <v>1257200</v>
      </c>
      <c r="E31" s="1093">
        <f>SUM(G31:BG31)</f>
        <v>0</v>
      </c>
      <c r="F31" s="1064"/>
      <c r="G31" s="1094"/>
      <c r="H31" s="1102"/>
      <c r="I31" s="1102"/>
      <c r="J31" s="1102"/>
      <c r="K31" s="1098"/>
      <c r="L31" s="1099"/>
      <c r="M31" s="1100"/>
      <c r="N31" s="1100"/>
      <c r="O31" s="1098"/>
      <c r="P31" s="1099"/>
      <c r="Q31" s="1100"/>
      <c r="R31" s="1100"/>
      <c r="S31" s="1100"/>
      <c r="T31" s="1100"/>
      <c r="U31" s="1100"/>
      <c r="V31" s="1100"/>
      <c r="W31" s="1100"/>
      <c r="X31" s="1098"/>
      <c r="Y31" s="1099"/>
      <c r="Z31" s="1100"/>
      <c r="AA31" s="1100"/>
      <c r="AB31" s="1098"/>
      <c r="AC31" s="1099"/>
      <c r="AD31" s="1100"/>
      <c r="AE31" s="1100"/>
      <c r="AF31" s="1098"/>
      <c r="AG31" s="1099"/>
      <c r="AH31" s="1100"/>
      <c r="AI31" s="1100"/>
      <c r="AJ31" s="1100"/>
      <c r="AK31" s="1098"/>
      <c r="AL31" s="1099"/>
      <c r="AM31" s="1100"/>
      <c r="AN31" s="1100"/>
      <c r="AO31" s="1098"/>
      <c r="AP31" s="1099"/>
      <c r="AQ31" s="1100"/>
      <c r="AR31" s="1100"/>
      <c r="AS31" s="1098"/>
      <c r="AT31" s="1099"/>
      <c r="AU31" s="1100"/>
      <c r="AV31" s="1100"/>
      <c r="AW31" s="1100"/>
      <c r="AX31" s="1098"/>
      <c r="AY31" s="1099"/>
      <c r="AZ31" s="1100"/>
      <c r="BA31" s="1100"/>
      <c r="BB31" s="1098"/>
      <c r="BC31" s="1099"/>
      <c r="BD31" s="1100"/>
      <c r="BE31" s="1100"/>
      <c r="BF31" s="1098"/>
      <c r="BG31" s="1101"/>
      <c r="BH31" s="1064"/>
      <c r="BI31" s="1072">
        <f t="shared" si="2"/>
        <v>1257200</v>
      </c>
    </row>
    <row r="32" spans="1:61" s="1008" customFormat="1" x14ac:dyDescent="0.2">
      <c r="A32" s="1219">
        <v>28</v>
      </c>
      <c r="B32" s="1219"/>
      <c r="C32" s="1012" t="str">
        <f>_xlfn.XLOOKUP(A32,Códigos!$A$421:$A$483,Códigos!$B$421:$B$483,"Verificar",0)</f>
        <v>Préstamos a:</v>
      </c>
      <c r="D32" s="1092">
        <f>SUMIF('EGRESOS DE CAJA'!$D$9:$D$5958,C32,'EGRESOS DE CAJA'!$G$9:$G$5958)</f>
        <v>41111900</v>
      </c>
      <c r="E32" s="1093">
        <f>SUM(G32:BG32)</f>
        <v>0</v>
      </c>
      <c r="F32" s="1064"/>
      <c r="G32" s="1094"/>
      <c r="H32" s="1220"/>
      <c r="I32" s="1220"/>
      <c r="J32" s="1220"/>
      <c r="K32" s="1098"/>
      <c r="L32" s="1099"/>
      <c r="M32" s="1221"/>
      <c r="N32" s="1221"/>
      <c r="O32" s="1098"/>
      <c r="P32" s="1099"/>
      <c r="Q32" s="1221"/>
      <c r="R32" s="1221"/>
      <c r="S32" s="1221"/>
      <c r="T32" s="1221"/>
      <c r="U32" s="1221"/>
      <c r="V32" s="1221"/>
      <c r="W32" s="1221"/>
      <c r="X32" s="1098"/>
      <c r="Y32" s="1099"/>
      <c r="Z32" s="1221"/>
      <c r="AA32" s="1221"/>
      <c r="AB32" s="1098"/>
      <c r="AC32" s="1099"/>
      <c r="AD32" s="1221"/>
      <c r="AE32" s="1221"/>
      <c r="AF32" s="1098"/>
      <c r="AG32" s="1099"/>
      <c r="AH32" s="1221"/>
      <c r="AI32" s="1221"/>
      <c r="AJ32" s="1221"/>
      <c r="AK32" s="1098"/>
      <c r="AL32" s="1099"/>
      <c r="AM32" s="1221"/>
      <c r="AN32" s="1221"/>
      <c r="AO32" s="1098"/>
      <c r="AP32" s="1099"/>
      <c r="AQ32" s="1221"/>
      <c r="AR32" s="1221"/>
      <c r="AS32" s="1098"/>
      <c r="AT32" s="1099"/>
      <c r="AU32" s="1221"/>
      <c r="AV32" s="1221"/>
      <c r="AW32" s="1221"/>
      <c r="AX32" s="1098"/>
      <c r="AY32" s="1099"/>
      <c r="AZ32" s="1221"/>
      <c r="BA32" s="1221"/>
      <c r="BB32" s="1098"/>
      <c r="BC32" s="1099"/>
      <c r="BD32" s="1221"/>
      <c r="BE32" s="1221"/>
      <c r="BF32" s="1098"/>
      <c r="BG32" s="1101"/>
      <c r="BH32" s="1064"/>
      <c r="BI32" s="1072"/>
    </row>
    <row r="37" spans="1:61" s="1008" customFormat="1" x14ac:dyDescent="0.2">
      <c r="A37" s="286"/>
      <c r="B37" s="287"/>
      <c r="C37" s="1012"/>
      <c r="D37" s="1092"/>
      <c r="E37" s="1093">
        <f>SUM(G37:BG37)</f>
        <v>0</v>
      </c>
      <c r="F37" s="1064"/>
      <c r="G37" s="1094"/>
      <c r="H37" s="1102"/>
      <c r="I37" s="1102"/>
      <c r="J37" s="1102"/>
      <c r="K37" s="1098"/>
      <c r="L37" s="1099"/>
      <c r="M37" s="1100"/>
      <c r="N37" s="1100"/>
      <c r="O37" s="1098"/>
      <c r="P37" s="1099"/>
      <c r="Q37" s="1100"/>
      <c r="R37" s="1100"/>
      <c r="S37" s="1100"/>
      <c r="T37" s="1100"/>
      <c r="U37" s="1100"/>
      <c r="V37" s="1100"/>
      <c r="W37" s="1100"/>
      <c r="X37" s="1098"/>
      <c r="Y37" s="1099"/>
      <c r="Z37" s="1100"/>
      <c r="AA37" s="1100"/>
      <c r="AB37" s="1098"/>
      <c r="AC37" s="1099"/>
      <c r="AD37" s="1100"/>
      <c r="AE37" s="1100"/>
      <c r="AF37" s="1098"/>
      <c r="AG37" s="1099"/>
      <c r="AH37" s="1100"/>
      <c r="AI37" s="1100"/>
      <c r="AJ37" s="1100"/>
      <c r="AK37" s="1098"/>
      <c r="AL37" s="1099"/>
      <c r="AM37" s="1100"/>
      <c r="AN37" s="1100"/>
      <c r="AO37" s="1098"/>
      <c r="AP37" s="1099"/>
      <c r="AQ37" s="1100"/>
      <c r="AR37" s="1100"/>
      <c r="AS37" s="1098"/>
      <c r="AT37" s="1099"/>
      <c r="AU37" s="1100"/>
      <c r="AV37" s="1100"/>
      <c r="AW37" s="1100"/>
      <c r="AX37" s="1098"/>
      <c r="AY37" s="1099"/>
      <c r="AZ37" s="1100"/>
      <c r="BA37" s="1100"/>
      <c r="BB37" s="1098"/>
      <c r="BC37" s="1099"/>
      <c r="BD37" s="1100"/>
      <c r="BE37" s="1100"/>
      <c r="BF37" s="1098"/>
      <c r="BG37" s="1101"/>
      <c r="BH37" s="1064"/>
      <c r="BI37" s="1072">
        <f t="shared" ref="BI37:BI39" si="3">+D37-E37</f>
        <v>0</v>
      </c>
    </row>
    <row r="38" spans="1:61" s="1008" customFormat="1" x14ac:dyDescent="0.2">
      <c r="D38" s="1072"/>
      <c r="E38" s="1078"/>
      <c r="F38" s="1064"/>
      <c r="G38" s="1087"/>
      <c r="H38" s="1088"/>
      <c r="I38" s="1088"/>
      <c r="J38" s="1088"/>
      <c r="K38" s="1089"/>
      <c r="L38" s="1090"/>
      <c r="M38" s="1091"/>
      <c r="N38" s="1091"/>
      <c r="O38" s="1089"/>
      <c r="P38" s="1090"/>
      <c r="Q38" s="1091"/>
      <c r="R38" s="1091"/>
      <c r="S38" s="1091"/>
      <c r="T38" s="1091"/>
      <c r="U38" s="1091"/>
      <c r="V38" s="1091"/>
      <c r="W38" s="1091"/>
      <c r="X38" s="1089"/>
      <c r="Y38" s="1090"/>
      <c r="Z38" s="1091"/>
      <c r="AA38" s="1091"/>
      <c r="AB38" s="1089"/>
      <c r="AC38" s="1090"/>
      <c r="AD38" s="1091"/>
      <c r="AE38" s="1091"/>
      <c r="AF38" s="1089"/>
      <c r="AG38" s="1090"/>
      <c r="AH38" s="1091"/>
      <c r="AI38" s="1091"/>
      <c r="AJ38" s="1091"/>
      <c r="AK38" s="1089"/>
      <c r="AL38" s="1090"/>
      <c r="AM38" s="1091"/>
      <c r="AN38" s="1091"/>
      <c r="AO38" s="1089"/>
      <c r="AP38" s="1090"/>
      <c r="AQ38" s="1091"/>
      <c r="AR38" s="1091"/>
      <c r="AS38" s="1089"/>
      <c r="AT38" s="1090"/>
      <c r="AU38" s="1091"/>
      <c r="AV38" s="1091"/>
      <c r="AW38" s="1091"/>
      <c r="AX38" s="1089"/>
      <c r="AY38" s="1090"/>
      <c r="AZ38" s="1091"/>
      <c r="BA38" s="1091"/>
      <c r="BB38" s="1089"/>
      <c r="BC38" s="1090"/>
      <c r="BD38" s="1091"/>
      <c r="BE38" s="1091"/>
      <c r="BF38" s="1089"/>
      <c r="BG38" s="1103"/>
      <c r="BH38" s="1064"/>
      <c r="BI38" s="1072">
        <f t="shared" si="3"/>
        <v>0</v>
      </c>
    </row>
    <row r="39" spans="1:61" s="1008" customFormat="1" ht="13.5" thickBot="1" x14ac:dyDescent="0.25">
      <c r="A39" s="1015" t="s">
        <v>311</v>
      </c>
      <c r="B39" s="1016"/>
      <c r="C39" s="1017"/>
      <c r="D39" s="1105">
        <f>SUM(D9:D38)</f>
        <v>156528144</v>
      </c>
      <c r="E39" s="1106">
        <f>SUM(E9:E38)</f>
        <v>0</v>
      </c>
      <c r="F39" s="1107"/>
      <c r="G39" s="1108">
        <f t="shared" ref="G39:AL39" si="4">SUM(G9:G38)</f>
        <v>0</v>
      </c>
      <c r="H39" s="1109">
        <f t="shared" si="4"/>
        <v>0</v>
      </c>
      <c r="I39" s="1109">
        <f t="shared" si="4"/>
        <v>0</v>
      </c>
      <c r="J39" s="1109">
        <f t="shared" si="4"/>
        <v>0</v>
      </c>
      <c r="K39" s="1110">
        <f t="shared" si="4"/>
        <v>0</v>
      </c>
      <c r="L39" s="1108">
        <f t="shared" si="4"/>
        <v>0</v>
      </c>
      <c r="M39" s="1109">
        <f t="shared" si="4"/>
        <v>0</v>
      </c>
      <c r="N39" s="1109">
        <f t="shared" si="4"/>
        <v>0</v>
      </c>
      <c r="O39" s="1110">
        <f t="shared" si="4"/>
        <v>0</v>
      </c>
      <c r="P39" s="1108">
        <f t="shared" si="4"/>
        <v>0</v>
      </c>
      <c r="Q39" s="1109">
        <f t="shared" si="4"/>
        <v>0</v>
      </c>
      <c r="R39" s="1109">
        <f t="shared" si="4"/>
        <v>0</v>
      </c>
      <c r="S39" s="1109">
        <f t="shared" si="4"/>
        <v>0</v>
      </c>
      <c r="T39" s="1109">
        <f t="shared" si="4"/>
        <v>0</v>
      </c>
      <c r="U39" s="1109">
        <f t="shared" si="4"/>
        <v>0</v>
      </c>
      <c r="V39" s="1109">
        <f t="shared" si="4"/>
        <v>0</v>
      </c>
      <c r="W39" s="1109">
        <f t="shared" si="4"/>
        <v>0</v>
      </c>
      <c r="X39" s="1110">
        <f t="shared" si="4"/>
        <v>0</v>
      </c>
      <c r="Y39" s="1108">
        <f t="shared" si="4"/>
        <v>0</v>
      </c>
      <c r="Z39" s="1109">
        <f t="shared" si="4"/>
        <v>0</v>
      </c>
      <c r="AA39" s="1109">
        <f t="shared" si="4"/>
        <v>0</v>
      </c>
      <c r="AB39" s="1110">
        <f t="shared" si="4"/>
        <v>0</v>
      </c>
      <c r="AC39" s="1108">
        <f t="shared" si="4"/>
        <v>0</v>
      </c>
      <c r="AD39" s="1109">
        <f t="shared" si="4"/>
        <v>0</v>
      </c>
      <c r="AE39" s="1109">
        <f t="shared" si="4"/>
        <v>0</v>
      </c>
      <c r="AF39" s="1110">
        <f t="shared" si="4"/>
        <v>0</v>
      </c>
      <c r="AG39" s="1108">
        <f t="shared" si="4"/>
        <v>0</v>
      </c>
      <c r="AH39" s="1109">
        <f t="shared" si="4"/>
        <v>0</v>
      </c>
      <c r="AI39" s="1109">
        <f t="shared" si="4"/>
        <v>0</v>
      </c>
      <c r="AJ39" s="1109">
        <f t="shared" si="4"/>
        <v>0</v>
      </c>
      <c r="AK39" s="1110">
        <f t="shared" si="4"/>
        <v>0</v>
      </c>
      <c r="AL39" s="1108">
        <f t="shared" si="4"/>
        <v>0</v>
      </c>
      <c r="AM39" s="1109">
        <f t="shared" ref="AM39:BG39" si="5">SUM(AM9:AM38)</f>
        <v>0</v>
      </c>
      <c r="AN39" s="1109">
        <f t="shared" si="5"/>
        <v>0</v>
      </c>
      <c r="AO39" s="1110">
        <f t="shared" si="5"/>
        <v>0</v>
      </c>
      <c r="AP39" s="1108">
        <f t="shared" si="5"/>
        <v>0</v>
      </c>
      <c r="AQ39" s="1109">
        <f t="shared" si="5"/>
        <v>0</v>
      </c>
      <c r="AR39" s="1109">
        <f t="shared" si="5"/>
        <v>0</v>
      </c>
      <c r="AS39" s="1110">
        <f t="shared" si="5"/>
        <v>0</v>
      </c>
      <c r="AT39" s="1108">
        <f t="shared" si="5"/>
        <v>0</v>
      </c>
      <c r="AU39" s="1109">
        <f t="shared" si="5"/>
        <v>0</v>
      </c>
      <c r="AV39" s="1109">
        <f t="shared" si="5"/>
        <v>0</v>
      </c>
      <c r="AW39" s="1109">
        <f t="shared" si="5"/>
        <v>0</v>
      </c>
      <c r="AX39" s="1110">
        <f t="shared" si="5"/>
        <v>0</v>
      </c>
      <c r="AY39" s="1108">
        <f t="shared" si="5"/>
        <v>0</v>
      </c>
      <c r="AZ39" s="1109">
        <f t="shared" si="5"/>
        <v>0</v>
      </c>
      <c r="BA39" s="1109">
        <f t="shared" si="5"/>
        <v>0</v>
      </c>
      <c r="BB39" s="1110">
        <f t="shared" si="5"/>
        <v>0</v>
      </c>
      <c r="BC39" s="1108">
        <f t="shared" si="5"/>
        <v>0</v>
      </c>
      <c r="BD39" s="1109">
        <f t="shared" si="5"/>
        <v>0</v>
      </c>
      <c r="BE39" s="1109">
        <f t="shared" si="5"/>
        <v>0</v>
      </c>
      <c r="BF39" s="1110">
        <f t="shared" si="5"/>
        <v>0</v>
      </c>
      <c r="BG39" s="1111">
        <f t="shared" si="5"/>
        <v>0</v>
      </c>
      <c r="BH39" s="1107"/>
      <c r="BI39" s="1072">
        <f t="shared" si="3"/>
        <v>156528144</v>
      </c>
    </row>
    <row r="40" spans="1:61" s="1008" customFormat="1" x14ac:dyDescent="0.2">
      <c r="A40" s="1018"/>
      <c r="B40" s="1018"/>
      <c r="C40" s="1018"/>
      <c r="D40" s="1112"/>
      <c r="E40" s="1113"/>
      <c r="F40" s="1112"/>
      <c r="G40" s="1114"/>
      <c r="H40" s="1114"/>
      <c r="I40" s="1114"/>
      <c r="J40" s="1114"/>
      <c r="K40" s="1115"/>
      <c r="L40" s="1115"/>
      <c r="M40" s="1115"/>
      <c r="N40" s="1115"/>
      <c r="O40" s="1115"/>
      <c r="P40" s="1115"/>
      <c r="Q40" s="1115"/>
      <c r="R40" s="1115"/>
      <c r="S40" s="1115"/>
      <c r="T40" s="1115"/>
      <c r="U40" s="1115"/>
      <c r="V40" s="1115"/>
      <c r="W40" s="1115"/>
      <c r="X40" s="1115"/>
      <c r="Y40" s="1115"/>
      <c r="Z40" s="1115"/>
      <c r="AA40" s="1115"/>
      <c r="AB40" s="1115"/>
      <c r="AC40" s="1115"/>
      <c r="AD40" s="1115"/>
      <c r="AE40" s="1115"/>
      <c r="AF40" s="1115"/>
      <c r="AG40" s="1115"/>
      <c r="AH40" s="1115"/>
      <c r="AI40" s="1115"/>
      <c r="AJ40" s="1115"/>
      <c r="AK40" s="1115"/>
      <c r="AL40" s="1115"/>
      <c r="AM40" s="1115"/>
      <c r="AN40" s="1115"/>
      <c r="AO40" s="1115"/>
      <c r="AP40" s="1115"/>
      <c r="AQ40" s="1115"/>
      <c r="AR40" s="1115"/>
      <c r="AS40" s="1115"/>
      <c r="AT40" s="1115"/>
      <c r="AU40" s="1115"/>
      <c r="AV40" s="1115"/>
      <c r="AW40" s="1115"/>
      <c r="AX40" s="1115"/>
      <c r="AY40" s="1115"/>
      <c r="AZ40" s="1115"/>
      <c r="BA40" s="1115"/>
      <c r="BB40" s="1115"/>
      <c r="BC40" s="1115"/>
      <c r="BD40" s="1115"/>
      <c r="BE40" s="1115"/>
      <c r="BF40" s="1115"/>
      <c r="BG40" s="1115"/>
      <c r="BH40" s="1112"/>
      <c r="BI40" s="1072"/>
    </row>
    <row r="41" spans="1:61" s="1008" customFormat="1" x14ac:dyDescent="0.2">
      <c r="A41" s="1009" t="s">
        <v>312</v>
      </c>
      <c r="B41" s="1010"/>
      <c r="D41" s="1072"/>
      <c r="E41" s="1078"/>
      <c r="F41" s="1064"/>
      <c r="G41" s="1088"/>
      <c r="H41" s="1088"/>
      <c r="I41" s="1088"/>
      <c r="J41" s="1088"/>
      <c r="K41" s="1091"/>
      <c r="L41" s="1091"/>
      <c r="M41" s="1091"/>
      <c r="N41" s="1091"/>
      <c r="O41" s="1091"/>
      <c r="P41" s="1091"/>
      <c r="Q41" s="1091"/>
      <c r="R41" s="1091"/>
      <c r="S41" s="1091"/>
      <c r="T41" s="1091"/>
      <c r="U41" s="1091"/>
      <c r="V41" s="1091"/>
      <c r="W41" s="1091"/>
      <c r="X41" s="1091"/>
      <c r="Y41" s="1091"/>
      <c r="Z41" s="1091"/>
      <c r="AA41" s="1091"/>
      <c r="AB41" s="1091"/>
      <c r="AC41" s="1091"/>
      <c r="AD41" s="1091"/>
      <c r="AE41" s="1091"/>
      <c r="AF41" s="1091"/>
      <c r="AG41" s="1091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1"/>
      <c r="AT41" s="1091"/>
      <c r="AU41" s="1091"/>
      <c r="AV41" s="1091"/>
      <c r="AW41" s="1091"/>
      <c r="AX41" s="1091"/>
      <c r="AY41" s="1091"/>
      <c r="AZ41" s="1091"/>
      <c r="BA41" s="1091"/>
      <c r="BB41" s="1091"/>
      <c r="BC41" s="1091"/>
      <c r="BD41" s="1091"/>
      <c r="BE41" s="1091"/>
      <c r="BF41" s="1091"/>
      <c r="BG41" s="1091"/>
      <c r="BH41" s="1064"/>
      <c r="BI41" s="1072"/>
    </row>
    <row r="42" spans="1:61" s="1008" customFormat="1" x14ac:dyDescent="0.2">
      <c r="D42" s="1072"/>
      <c r="E42" s="1078"/>
      <c r="F42" s="1064"/>
      <c r="G42" s="1088"/>
      <c r="H42" s="1088"/>
      <c r="I42" s="1088"/>
      <c r="J42" s="1088"/>
      <c r="K42" s="1091"/>
      <c r="L42" s="1091"/>
      <c r="M42" s="1091"/>
      <c r="N42" s="1091"/>
      <c r="O42" s="1091"/>
      <c r="P42" s="1091"/>
      <c r="Q42" s="1091"/>
      <c r="R42" s="1091"/>
      <c r="S42" s="1091"/>
      <c r="T42" s="1091"/>
      <c r="U42" s="1091"/>
      <c r="V42" s="1091"/>
      <c r="W42" s="1091"/>
      <c r="X42" s="1091"/>
      <c r="Y42" s="1091"/>
      <c r="Z42" s="1091"/>
      <c r="AA42" s="1091"/>
      <c r="AB42" s="1091"/>
      <c r="AC42" s="1091"/>
      <c r="AD42" s="1091"/>
      <c r="AE42" s="1091"/>
      <c r="AF42" s="1091"/>
      <c r="AG42" s="1091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1"/>
      <c r="AT42" s="1091"/>
      <c r="AU42" s="1091"/>
      <c r="AV42" s="1091"/>
      <c r="AW42" s="1091"/>
      <c r="AX42" s="1091"/>
      <c r="AY42" s="1091"/>
      <c r="AZ42" s="1091"/>
      <c r="BA42" s="1091"/>
      <c r="BB42" s="1091"/>
      <c r="BC42" s="1091"/>
      <c r="BD42" s="1091"/>
      <c r="BE42" s="1091"/>
      <c r="BF42" s="1091"/>
      <c r="BG42" s="1091"/>
      <c r="BH42" s="1064"/>
      <c r="BI42" s="1072"/>
    </row>
    <row r="43" spans="1:61" s="1008" customFormat="1" ht="13.5" thickBot="1" x14ac:dyDescent="0.25">
      <c r="A43" s="534" t="s">
        <v>689</v>
      </c>
      <c r="D43" s="1072"/>
      <c r="E43" s="1104"/>
      <c r="F43" s="1064"/>
      <c r="G43" s="1088"/>
      <c r="H43" s="1088"/>
      <c r="I43" s="1088"/>
      <c r="J43" s="1088"/>
      <c r="K43" s="1091"/>
      <c r="L43" s="1091"/>
      <c r="M43" s="1091"/>
      <c r="N43" s="1091"/>
      <c r="O43" s="1091"/>
      <c r="P43" s="1091"/>
      <c r="Q43" s="1091"/>
      <c r="R43" s="1091"/>
      <c r="S43" s="1091"/>
      <c r="T43" s="1091"/>
      <c r="U43" s="1091"/>
      <c r="V43" s="1091"/>
      <c r="W43" s="1091"/>
      <c r="X43" s="1091"/>
      <c r="Y43" s="1091"/>
      <c r="Z43" s="1091"/>
      <c r="AA43" s="1091"/>
      <c r="AB43" s="1091"/>
      <c r="AC43" s="1091"/>
      <c r="AD43" s="1091"/>
      <c r="AE43" s="1091"/>
      <c r="AF43" s="1091"/>
      <c r="AG43" s="1091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1"/>
      <c r="AT43" s="1091"/>
      <c r="AU43" s="1091"/>
      <c r="AV43" s="1091"/>
      <c r="AW43" s="1091"/>
      <c r="AX43" s="1091"/>
      <c r="AY43" s="1091"/>
      <c r="AZ43" s="1091"/>
      <c r="BA43" s="1091"/>
      <c r="BB43" s="1091"/>
      <c r="BC43" s="1091"/>
      <c r="BD43" s="1091"/>
      <c r="BE43" s="1091"/>
      <c r="BF43" s="1091"/>
      <c r="BG43" s="1091"/>
      <c r="BH43" s="1064"/>
      <c r="BI43" s="1072"/>
    </row>
    <row r="44" spans="1:61" s="1008" customFormat="1" x14ac:dyDescent="0.2">
      <c r="A44" s="1014">
        <v>8</v>
      </c>
      <c r="B44" s="287">
        <v>358</v>
      </c>
      <c r="C44" s="1019" t="str">
        <f>_xlfn.XLOOKUP(B44,Códigos!$A$11:$A$415,Códigos!$B$11:$B$415,"Verificar",0)</f>
        <v>NOMBRE 338</v>
      </c>
      <c r="D44" s="1092">
        <f>SUMIF('EGRESOS DE CAJA'!$E$9:$E$5958,C44,'EGRESOS DE CAJA'!$G$9:$G$5958)</f>
        <v>14740000</v>
      </c>
      <c r="E44" s="1093">
        <f>SUM(G44:BG44)</f>
        <v>19380000</v>
      </c>
      <c r="F44" s="1064"/>
      <c r="G44" s="1116"/>
      <c r="H44" s="1117">
        <v>380000</v>
      </c>
      <c r="I44" s="1117">
        <v>380000</v>
      </c>
      <c r="J44" s="1117">
        <v>380000</v>
      </c>
      <c r="K44" s="1117">
        <v>380000</v>
      </c>
      <c r="L44" s="1117">
        <v>380000</v>
      </c>
      <c r="M44" s="1117">
        <v>380000</v>
      </c>
      <c r="N44" s="1117">
        <v>380000</v>
      </c>
      <c r="O44" s="1117">
        <v>380000</v>
      </c>
      <c r="P44" s="1117">
        <v>380000</v>
      </c>
      <c r="Q44" s="1117">
        <v>380000</v>
      </c>
      <c r="R44" s="1117">
        <v>380000</v>
      </c>
      <c r="S44" s="1117">
        <v>380000</v>
      </c>
      <c r="T44" s="1117">
        <v>380000</v>
      </c>
      <c r="U44" s="1117">
        <v>380000</v>
      </c>
      <c r="V44" s="1117">
        <v>380000</v>
      </c>
      <c r="W44" s="1117">
        <v>380000</v>
      </c>
      <c r="X44" s="1117">
        <v>380000</v>
      </c>
      <c r="Y44" s="1117">
        <v>380000</v>
      </c>
      <c r="Z44" s="1117">
        <v>380000</v>
      </c>
      <c r="AA44" s="1117">
        <v>380000</v>
      </c>
      <c r="AB44" s="1117">
        <v>380000</v>
      </c>
      <c r="AC44" s="1117">
        <v>380000</v>
      </c>
      <c r="AD44" s="1117">
        <v>380000</v>
      </c>
      <c r="AE44" s="1117">
        <v>380000</v>
      </c>
      <c r="AF44" s="1117">
        <v>380000</v>
      </c>
      <c r="AG44" s="1117">
        <v>380000</v>
      </c>
      <c r="AH44" s="1117">
        <v>380000</v>
      </c>
      <c r="AI44" s="1117">
        <v>380000</v>
      </c>
      <c r="AJ44" s="1117">
        <v>380000</v>
      </c>
      <c r="AK44" s="1117">
        <v>380000</v>
      </c>
      <c r="AL44" s="1117">
        <v>380000</v>
      </c>
      <c r="AM44" s="1117">
        <v>380000</v>
      </c>
      <c r="AN44" s="1117">
        <v>380000</v>
      </c>
      <c r="AO44" s="1117">
        <v>380000</v>
      </c>
      <c r="AP44" s="1117">
        <v>380000</v>
      </c>
      <c r="AQ44" s="1117">
        <v>380000</v>
      </c>
      <c r="AR44" s="1117">
        <v>380000</v>
      </c>
      <c r="AS44" s="1117">
        <v>380000</v>
      </c>
      <c r="AT44" s="1117">
        <v>380000</v>
      </c>
      <c r="AU44" s="1117">
        <v>380000</v>
      </c>
      <c r="AV44" s="1117">
        <v>380000</v>
      </c>
      <c r="AW44" s="1117">
        <v>380000</v>
      </c>
      <c r="AX44" s="1117">
        <v>380000</v>
      </c>
      <c r="AY44" s="1117">
        <v>380000</v>
      </c>
      <c r="AZ44" s="1117">
        <v>380000</v>
      </c>
      <c r="BA44" s="1117">
        <v>380000</v>
      </c>
      <c r="BB44" s="1117">
        <v>380000</v>
      </c>
      <c r="BC44" s="1117">
        <v>380000</v>
      </c>
      <c r="BD44" s="1117">
        <v>380000</v>
      </c>
      <c r="BE44" s="1117">
        <v>380000</v>
      </c>
      <c r="BF44" s="1117">
        <v>380000</v>
      </c>
      <c r="BG44" s="1118"/>
      <c r="BH44" s="1064"/>
      <c r="BI44" s="1072"/>
    </row>
    <row r="45" spans="1:61" s="1008" customFormat="1" x14ac:dyDescent="0.2">
      <c r="A45" s="1014">
        <v>8</v>
      </c>
      <c r="B45" s="287">
        <v>357</v>
      </c>
      <c r="C45" s="1019" t="str">
        <f>_xlfn.XLOOKUP(B45,Códigos!$A$11:$A$415,Códigos!$B$11:$B$415,"Verificar",0)</f>
        <v>NOMBRE 107</v>
      </c>
      <c r="D45" s="1092">
        <f>SUMIF('EGRESOS DE CAJA'!$E$9:$E$5958,C45,'EGRESOS DE CAJA'!$G$9:$G$5958)</f>
        <v>9510000</v>
      </c>
      <c r="E45" s="1093">
        <f>SUM(G45:BG45)</f>
        <v>11220000</v>
      </c>
      <c r="F45" s="1064"/>
      <c r="G45" s="1094"/>
      <c r="H45" s="1102">
        <v>220000</v>
      </c>
      <c r="I45" s="1102">
        <v>220000</v>
      </c>
      <c r="J45" s="1102">
        <v>220000</v>
      </c>
      <c r="K45" s="1102">
        <v>220000</v>
      </c>
      <c r="L45" s="1102">
        <v>220000</v>
      </c>
      <c r="M45" s="1102">
        <v>220000</v>
      </c>
      <c r="N45" s="1102">
        <v>220000</v>
      </c>
      <c r="O45" s="1102">
        <v>220000</v>
      </c>
      <c r="P45" s="1102">
        <v>220000</v>
      </c>
      <c r="Q45" s="1102">
        <v>220000</v>
      </c>
      <c r="R45" s="1102">
        <v>220000</v>
      </c>
      <c r="S45" s="1102">
        <v>220000</v>
      </c>
      <c r="T45" s="1102">
        <v>220000</v>
      </c>
      <c r="U45" s="1102">
        <v>220000</v>
      </c>
      <c r="V45" s="1102">
        <v>220000</v>
      </c>
      <c r="W45" s="1102">
        <v>220000</v>
      </c>
      <c r="X45" s="1102">
        <v>220000</v>
      </c>
      <c r="Y45" s="1102">
        <v>220000</v>
      </c>
      <c r="Z45" s="1102">
        <v>220000</v>
      </c>
      <c r="AA45" s="1102">
        <v>220000</v>
      </c>
      <c r="AB45" s="1102">
        <v>220000</v>
      </c>
      <c r="AC45" s="1102">
        <v>220000</v>
      </c>
      <c r="AD45" s="1102">
        <v>220000</v>
      </c>
      <c r="AE45" s="1102">
        <v>220000</v>
      </c>
      <c r="AF45" s="1102">
        <v>220000</v>
      </c>
      <c r="AG45" s="1102">
        <v>220000</v>
      </c>
      <c r="AH45" s="1102">
        <v>220000</v>
      </c>
      <c r="AI45" s="1102">
        <v>220000</v>
      </c>
      <c r="AJ45" s="1102">
        <v>220000</v>
      </c>
      <c r="AK45" s="1102">
        <v>220000</v>
      </c>
      <c r="AL45" s="1102">
        <v>220000</v>
      </c>
      <c r="AM45" s="1102">
        <v>220000</v>
      </c>
      <c r="AN45" s="1102">
        <v>220000</v>
      </c>
      <c r="AO45" s="1102">
        <v>220000</v>
      </c>
      <c r="AP45" s="1102">
        <v>220000</v>
      </c>
      <c r="AQ45" s="1102">
        <v>220000</v>
      </c>
      <c r="AR45" s="1102">
        <v>220000</v>
      </c>
      <c r="AS45" s="1102">
        <v>220000</v>
      </c>
      <c r="AT45" s="1102">
        <v>220000</v>
      </c>
      <c r="AU45" s="1102">
        <v>220000</v>
      </c>
      <c r="AV45" s="1102">
        <v>220000</v>
      </c>
      <c r="AW45" s="1102">
        <v>220000</v>
      </c>
      <c r="AX45" s="1102">
        <v>220000</v>
      </c>
      <c r="AY45" s="1102">
        <v>220000</v>
      </c>
      <c r="AZ45" s="1102">
        <v>220000</v>
      </c>
      <c r="BA45" s="1102">
        <v>220000</v>
      </c>
      <c r="BB45" s="1102">
        <v>220000</v>
      </c>
      <c r="BC45" s="1102">
        <v>220000</v>
      </c>
      <c r="BD45" s="1102">
        <v>220000</v>
      </c>
      <c r="BE45" s="1102">
        <v>220000</v>
      </c>
      <c r="BF45" s="1102">
        <v>220000</v>
      </c>
      <c r="BG45" s="1097"/>
      <c r="BH45" s="1064"/>
      <c r="BI45" s="1072"/>
    </row>
    <row r="46" spans="1:61" s="1008" customFormat="1" x14ac:dyDescent="0.2">
      <c r="A46" s="1014">
        <v>8</v>
      </c>
      <c r="B46" s="287">
        <v>356</v>
      </c>
      <c r="C46" s="1019" t="str">
        <f>_xlfn.XLOOKUP(B46,Códigos!$A$11:$A$415,Códigos!$B$11:$B$415,"Verificar",0)</f>
        <v>NOMBRE 108</v>
      </c>
      <c r="D46" s="1092">
        <f>SUMIF('EGRESOS DE CAJA'!$E$9:$E$5958,C46,'EGRESOS DE CAJA'!$G$9:$G$5958)</f>
        <v>14193700</v>
      </c>
      <c r="E46" s="1093">
        <f>SUM(G46:BG46)</f>
        <v>11220000</v>
      </c>
      <c r="F46" s="1064"/>
      <c r="G46" s="1094"/>
      <c r="H46" s="1102">
        <v>220000</v>
      </c>
      <c r="I46" s="1102">
        <v>220000</v>
      </c>
      <c r="J46" s="1102">
        <v>220000</v>
      </c>
      <c r="K46" s="1102">
        <v>220000</v>
      </c>
      <c r="L46" s="1102">
        <v>220000</v>
      </c>
      <c r="M46" s="1102">
        <v>220000</v>
      </c>
      <c r="N46" s="1102">
        <v>220000</v>
      </c>
      <c r="O46" s="1102">
        <v>220000</v>
      </c>
      <c r="P46" s="1102">
        <v>220000</v>
      </c>
      <c r="Q46" s="1102">
        <v>220000</v>
      </c>
      <c r="R46" s="1102">
        <v>220000</v>
      </c>
      <c r="S46" s="1102">
        <v>220000</v>
      </c>
      <c r="T46" s="1102">
        <v>220000</v>
      </c>
      <c r="U46" s="1102">
        <v>220000</v>
      </c>
      <c r="V46" s="1102">
        <v>220000</v>
      </c>
      <c r="W46" s="1102">
        <v>220000</v>
      </c>
      <c r="X46" s="1102">
        <v>220000</v>
      </c>
      <c r="Y46" s="1102">
        <v>220000</v>
      </c>
      <c r="Z46" s="1102">
        <v>220000</v>
      </c>
      <c r="AA46" s="1102">
        <v>220000</v>
      </c>
      <c r="AB46" s="1102">
        <v>220000</v>
      </c>
      <c r="AC46" s="1102">
        <v>220000</v>
      </c>
      <c r="AD46" s="1102">
        <v>220000</v>
      </c>
      <c r="AE46" s="1102">
        <v>220000</v>
      </c>
      <c r="AF46" s="1102">
        <v>220000</v>
      </c>
      <c r="AG46" s="1102">
        <v>220000</v>
      </c>
      <c r="AH46" s="1102">
        <v>220000</v>
      </c>
      <c r="AI46" s="1102">
        <v>220000</v>
      </c>
      <c r="AJ46" s="1102">
        <v>220000</v>
      </c>
      <c r="AK46" s="1102">
        <v>220000</v>
      </c>
      <c r="AL46" s="1102">
        <v>220000</v>
      </c>
      <c r="AM46" s="1102">
        <v>220000</v>
      </c>
      <c r="AN46" s="1102">
        <v>220000</v>
      </c>
      <c r="AO46" s="1102">
        <v>220000</v>
      </c>
      <c r="AP46" s="1102">
        <v>220000</v>
      </c>
      <c r="AQ46" s="1102">
        <v>220000</v>
      </c>
      <c r="AR46" s="1102">
        <v>220000</v>
      </c>
      <c r="AS46" s="1102">
        <v>220000</v>
      </c>
      <c r="AT46" s="1102">
        <v>220000</v>
      </c>
      <c r="AU46" s="1102">
        <v>220000</v>
      </c>
      <c r="AV46" s="1102">
        <v>220000</v>
      </c>
      <c r="AW46" s="1102">
        <v>220000</v>
      </c>
      <c r="AX46" s="1102">
        <v>220000</v>
      </c>
      <c r="AY46" s="1102">
        <v>220000</v>
      </c>
      <c r="AZ46" s="1102">
        <v>220000</v>
      </c>
      <c r="BA46" s="1102">
        <v>220000</v>
      </c>
      <c r="BB46" s="1102">
        <v>220000</v>
      </c>
      <c r="BC46" s="1102">
        <v>220000</v>
      </c>
      <c r="BD46" s="1102">
        <v>220000</v>
      </c>
      <c r="BE46" s="1102">
        <v>220000</v>
      </c>
      <c r="BF46" s="1102">
        <v>220000</v>
      </c>
      <c r="BG46" s="1097"/>
      <c r="BH46" s="1064"/>
      <c r="BI46" s="1072"/>
    </row>
    <row r="47" spans="1:61" s="1008" customFormat="1" x14ac:dyDescent="0.2">
      <c r="A47" s="1014">
        <v>10</v>
      </c>
      <c r="B47" s="287"/>
      <c r="C47" s="1012" t="str">
        <f>_xlfn.XLOOKUP(A47,Códigos!$A$421:$A$483,Códigos!$B$421:$B$483,"Verificar",0)</f>
        <v>Pagos de: -Servicios públicos -NIÑAS-</v>
      </c>
      <c r="D47" s="1092">
        <f>SUMIF('EGRESOS DE CAJA'!$D$9:$D$5958,C47,'EGRESOS DE CAJA'!$G$9:$G$5958)</f>
        <v>816300</v>
      </c>
      <c r="E47" s="1093">
        <f>SUM(G47:BG47)</f>
        <v>0</v>
      </c>
      <c r="F47" s="1064"/>
      <c r="G47" s="1094"/>
      <c r="H47" s="1102"/>
      <c r="I47" s="1102"/>
      <c r="J47" s="1102"/>
      <c r="K47" s="1098"/>
      <c r="L47" s="1099"/>
      <c r="M47" s="1100"/>
      <c r="N47" s="1100"/>
      <c r="O47" s="1098"/>
      <c r="P47" s="1099"/>
      <c r="Q47" s="1100"/>
      <c r="R47" s="1100"/>
      <c r="S47" s="1098"/>
      <c r="T47" s="1099"/>
      <c r="U47" s="1100"/>
      <c r="V47" s="1100"/>
      <c r="W47" s="1100"/>
      <c r="X47" s="1098"/>
      <c r="Y47" s="1100"/>
      <c r="Z47" s="1100"/>
      <c r="AA47" s="1100"/>
      <c r="AB47" s="1098"/>
      <c r="AC47" s="1099"/>
      <c r="AD47" s="1100"/>
      <c r="AE47" s="1100"/>
      <c r="AF47" s="1098"/>
      <c r="AG47" s="1099"/>
      <c r="AH47" s="1100"/>
      <c r="AI47" s="1100"/>
      <c r="AJ47" s="1100"/>
      <c r="AK47" s="1098"/>
      <c r="AL47" s="1099"/>
      <c r="AM47" s="1100"/>
      <c r="AN47" s="1100"/>
      <c r="AO47" s="1098"/>
      <c r="AP47" s="1099"/>
      <c r="AQ47" s="1100"/>
      <c r="AR47" s="1100"/>
      <c r="AS47" s="1098"/>
      <c r="AT47" s="1099"/>
      <c r="AU47" s="1100"/>
      <c r="AV47" s="1100"/>
      <c r="AW47" s="1100"/>
      <c r="AX47" s="1098"/>
      <c r="AY47" s="1099"/>
      <c r="AZ47" s="1100"/>
      <c r="BA47" s="1100"/>
      <c r="BB47" s="1098"/>
      <c r="BC47" s="1099"/>
      <c r="BD47" s="1100"/>
      <c r="BE47" s="1100"/>
      <c r="BF47" s="1098"/>
      <c r="BG47" s="1101"/>
      <c r="BH47" s="1064"/>
      <c r="BI47" s="1072"/>
    </row>
    <row r="50" spans="1:5" s="1008" customFormat="1" x14ac:dyDescent="0.2">
      <c r="A50" s="534" t="str">
        <f>+A1</f>
        <v>LIBRO DIARIO OFICINA</v>
      </c>
      <c r="D50" s="1072"/>
      <c r="E50" s="1104"/>
    </row>
    <row r="51" spans="1:5" s="1008" customFormat="1" x14ac:dyDescent="0.2">
      <c r="A51" s="1014">
        <v>1</v>
      </c>
      <c r="B51" s="287"/>
      <c r="C51" s="1012" t="str">
        <f>_xlfn.XLOOKUP(A51,Códigos!$A$421:$A$483,Códigos!$B$421:$B$483,"Verificar",0)</f>
        <v>Gastos personales</v>
      </c>
      <c r="D51" s="1092">
        <f>SUMIF('EGRESOS DE CAJA'!$D$9:$D$5958,C51,'EGRESOS DE CAJA'!$G$9:$G$5958)</f>
        <v>193927304</v>
      </c>
      <c r="E51" s="1093">
        <f>SUM(G51:BG51)</f>
        <v>0</v>
      </c>
    </row>
    <row r="52" spans="1:5" s="1008" customFormat="1" x14ac:dyDescent="0.2">
      <c r="A52" s="1013"/>
      <c r="B52" s="1013"/>
      <c r="C52" s="1012"/>
      <c r="D52" s="1119"/>
      <c r="E52" s="1093">
        <f>SUM(G52:BG52)</f>
        <v>0</v>
      </c>
    </row>
    <row r="53" spans="1:5" s="1008" customFormat="1" x14ac:dyDescent="0.2">
      <c r="A53" s="1013"/>
      <c r="B53" s="1013"/>
      <c r="C53" s="1012"/>
      <c r="D53" s="1119"/>
      <c r="E53" s="1093">
        <f>SUM(G53:BG53)</f>
        <v>0</v>
      </c>
    </row>
    <row r="54" spans="1:5" s="1008" customFormat="1" x14ac:dyDescent="0.2">
      <c r="A54" s="1013"/>
      <c r="B54" s="1013"/>
      <c r="C54" s="1012"/>
      <c r="D54" s="1119"/>
      <c r="E54" s="1093">
        <f>SUM(G54:BG54)</f>
        <v>0</v>
      </c>
    </row>
    <row r="55" spans="1:5" s="1008" customFormat="1" x14ac:dyDescent="0.2">
      <c r="A55" s="1013"/>
      <c r="B55" s="1013"/>
      <c r="C55" s="1012"/>
      <c r="D55" s="1119"/>
      <c r="E55" s="1093">
        <f>SUM(G55:BG55)</f>
        <v>0</v>
      </c>
    </row>
    <row r="56" spans="1:5" s="1008" customFormat="1" x14ac:dyDescent="0.2">
      <c r="A56" s="1013"/>
      <c r="B56" s="1013"/>
      <c r="C56" s="1012"/>
      <c r="D56" s="1119"/>
      <c r="E56" s="1093">
        <f t="shared" ref="E56:E64" si="6">SUM(G56:BG56)</f>
        <v>0</v>
      </c>
    </row>
    <row r="57" spans="1:5" s="1008" customFormat="1" x14ac:dyDescent="0.2">
      <c r="A57" s="1013">
        <v>21</v>
      </c>
      <c r="B57" s="287">
        <v>284</v>
      </c>
      <c r="C57" s="1019" t="str">
        <f>_xlfn.XLOOKUP(B57,Códigos!$A$11:$A$415,Códigos!$B$11:$B$415,"Verificar",0)</f>
        <v>NOMBRE 103</v>
      </c>
      <c r="D57" s="1092">
        <f>SUMIF('EGRESOS DE CAJA'!$E$9:$E$5958,C57,'EGRESOS DE CAJA'!$G$9:$G$5958)</f>
        <v>0</v>
      </c>
      <c r="E57" s="1093">
        <f t="shared" si="6"/>
        <v>0</v>
      </c>
    </row>
    <row r="58" spans="1:5" s="1008" customFormat="1" x14ac:dyDescent="0.2">
      <c r="A58" s="1013"/>
      <c r="B58" s="1013"/>
      <c r="C58" s="1012"/>
      <c r="D58" s="1119"/>
      <c r="E58" s="1093">
        <f t="shared" si="6"/>
        <v>0</v>
      </c>
    </row>
    <row r="59" spans="1:5" s="1008" customFormat="1" x14ac:dyDescent="0.2">
      <c r="A59" s="1014">
        <v>11</v>
      </c>
      <c r="B59" s="287"/>
      <c r="C59" s="1012" t="str">
        <f>_xlfn.XLOOKUP(A59,Códigos!$A$421:$A$483,Códigos!$B$421:$B$483,"Verificar",0)</f>
        <v>Pagos de: -Servicios Administracion y otros Oficina</v>
      </c>
      <c r="D59" s="1092">
        <f>SUMIF('EGRESOS DE CAJA'!$D$9:$D$5958,C59,'EGRESOS DE CAJA'!$G$9:$G$5958)</f>
        <v>6596185</v>
      </c>
      <c r="E59" s="1093">
        <f t="shared" si="6"/>
        <v>0</v>
      </c>
    </row>
    <row r="60" spans="1:5" s="1008" customFormat="1" x14ac:dyDescent="0.2">
      <c r="A60" s="287">
        <v>19</v>
      </c>
      <c r="B60" s="287"/>
      <c r="C60" s="1012" t="str">
        <f>_xlfn.XLOOKUP(A60,Códigos!$A$421:$A$483,Códigos!$B$421:$B$483,"Verificar",0)</f>
        <v>Pagos de: -Gastos Barbosa</v>
      </c>
      <c r="D60" s="1092">
        <f>SUMIF('EGRESOS DE CAJA'!$D$9:$D$5958,C60,'EGRESOS DE CAJA'!$G$9:$G$5958)</f>
        <v>0</v>
      </c>
      <c r="E60" s="1093">
        <f t="shared" si="6"/>
        <v>0</v>
      </c>
    </row>
    <row r="61" spans="1:5" s="1008" customFormat="1" x14ac:dyDescent="0.2">
      <c r="A61" s="286"/>
      <c r="B61" s="287"/>
      <c r="C61" s="1012"/>
      <c r="D61" s="1092"/>
      <c r="E61" s="1093">
        <f t="shared" si="6"/>
        <v>0</v>
      </c>
    </row>
    <row r="62" spans="1:5" s="1008" customFormat="1" x14ac:dyDescent="0.2">
      <c r="A62" s="1020">
        <v>37</v>
      </c>
      <c r="B62" s="287"/>
      <c r="C62" s="1012" t="str">
        <f>_xlfn.XLOOKUP(A62,Códigos!$A$421:$A$483,Códigos!$B$421:$B$483,"Verificar",0)</f>
        <v>Gastos Barbosa</v>
      </c>
      <c r="D62" s="1092">
        <f>SUMIF('EGRESOS DE CAJA'!$D$9:$D$5958,C62,'EGRESOS DE CAJA'!$G$9:$G$5958)</f>
        <v>585000</v>
      </c>
      <c r="E62" s="1093">
        <f t="shared" si="6"/>
        <v>0</v>
      </c>
    </row>
    <row r="63" spans="1:5" s="1008" customFormat="1" x14ac:dyDescent="0.2">
      <c r="A63" s="1020"/>
      <c r="B63" s="287"/>
      <c r="C63" s="1012"/>
      <c r="D63" s="1092"/>
      <c r="E63" s="1093">
        <f t="shared" si="6"/>
        <v>0</v>
      </c>
    </row>
    <row r="64" spans="1:5" s="1008" customFormat="1" x14ac:dyDescent="0.2">
      <c r="A64" s="1020"/>
      <c r="B64" s="287"/>
      <c r="C64" s="1012"/>
      <c r="D64" s="1092"/>
      <c r="E64" s="1093">
        <f t="shared" si="6"/>
        <v>0</v>
      </c>
    </row>
    <row r="67" spans="1:61" s="1008" customFormat="1" x14ac:dyDescent="0.2">
      <c r="A67" s="1013"/>
      <c r="B67" s="287">
        <v>283</v>
      </c>
      <c r="C67" s="1019" t="str">
        <f>_xlfn.XLOOKUP(B67,Códigos!$A$11:$A$415,Códigos!$B$11:$B$415,"Verificar",0)</f>
        <v>NOMBRE 104</v>
      </c>
      <c r="D67" s="1092">
        <f>SUMIF('EGRESOS DE CAJA'!$E$9:$E$5958,C67,'EGRESOS DE CAJA'!$G$9:$G$5958)</f>
        <v>0</v>
      </c>
      <c r="E67" s="1093">
        <f>SUM(G67:BG67)</f>
        <v>0</v>
      </c>
      <c r="F67" s="1064"/>
      <c r="G67" s="1094"/>
      <c r="H67" s="1102"/>
      <c r="I67" s="1102"/>
      <c r="J67" s="1102"/>
      <c r="K67" s="1098"/>
      <c r="L67" s="1099"/>
      <c r="M67" s="1102"/>
      <c r="N67" s="1100"/>
      <c r="O67" s="1098"/>
      <c r="P67" s="1099"/>
      <c r="Q67" s="1102"/>
      <c r="R67" s="1102"/>
      <c r="S67" s="1098"/>
      <c r="T67" s="1099"/>
      <c r="U67" s="1102"/>
      <c r="V67" s="1102"/>
      <c r="W67" s="1100"/>
      <c r="X67" s="1098"/>
      <c r="Y67" s="1099"/>
      <c r="Z67" s="1102"/>
      <c r="AA67" s="1102"/>
      <c r="AB67" s="1098"/>
      <c r="AC67" s="1099"/>
      <c r="AD67" s="1102"/>
      <c r="AE67" s="1102"/>
      <c r="AF67" s="1098"/>
      <c r="AG67" s="1099"/>
      <c r="AH67" s="1102"/>
      <c r="AI67" s="1102"/>
      <c r="AJ67" s="1100"/>
      <c r="AK67" s="1098"/>
      <c r="AL67" s="1099"/>
      <c r="AM67" s="1102"/>
      <c r="AN67" s="1102"/>
      <c r="AO67" s="1098"/>
      <c r="AP67" s="1099"/>
      <c r="AQ67" s="1102"/>
      <c r="AR67" s="1102"/>
      <c r="AS67" s="1098"/>
      <c r="AT67" s="1099"/>
      <c r="AU67" s="1102"/>
      <c r="AV67" s="1102"/>
      <c r="AW67" s="1100"/>
      <c r="AX67" s="1098"/>
      <c r="AY67" s="1099"/>
      <c r="AZ67" s="1102"/>
      <c r="BA67" s="1102"/>
      <c r="BB67" s="1098"/>
      <c r="BC67" s="1099"/>
      <c r="BD67" s="1102"/>
      <c r="BE67" s="1102"/>
      <c r="BF67" s="1098"/>
      <c r="BG67" s="1097"/>
      <c r="BH67" s="1064"/>
      <c r="BI67" s="1072"/>
    </row>
    <row r="68" spans="1:61" s="1008" customFormat="1" x14ac:dyDescent="0.2">
      <c r="A68" s="1013">
        <v>21</v>
      </c>
      <c r="B68" s="287">
        <v>362</v>
      </c>
      <c r="C68" s="1019" t="str">
        <f>_xlfn.XLOOKUP(B68,Códigos!$A$11:$A$415,Códigos!$B$11:$B$415,"Verificar",0)</f>
        <v>NOMBRE 97</v>
      </c>
      <c r="D68" s="1092">
        <f>SUMIF('EGRESOS DE CAJA'!$E$9:$E$5958,C68,'EGRESOS DE CAJA'!$G$9:$G$5958)</f>
        <v>6000000</v>
      </c>
      <c r="E68" s="1093">
        <f>SUM(G68:BG68)</f>
        <v>0</v>
      </c>
      <c r="F68" s="1064"/>
      <c r="G68" s="1094"/>
      <c r="H68" s="1102"/>
      <c r="I68" s="1102"/>
      <c r="J68" s="1102"/>
      <c r="K68" s="1098"/>
      <c r="L68" s="1099"/>
      <c r="M68" s="1100"/>
      <c r="N68" s="1100"/>
      <c r="O68" s="1098"/>
      <c r="P68" s="1099"/>
      <c r="Q68" s="1100"/>
      <c r="R68" s="1100"/>
      <c r="S68" s="1098"/>
      <c r="T68" s="1099"/>
      <c r="U68" s="1100"/>
      <c r="V68" s="1100"/>
      <c r="W68" s="1100"/>
      <c r="X68" s="1098"/>
      <c r="Y68" s="1099"/>
      <c r="Z68" s="1100"/>
      <c r="AA68" s="1100"/>
      <c r="AB68" s="1098"/>
      <c r="AC68" s="1099"/>
      <c r="AD68" s="1100"/>
      <c r="AE68" s="1100"/>
      <c r="AF68" s="1098"/>
      <c r="AG68" s="1099"/>
      <c r="AH68" s="1100"/>
      <c r="AI68" s="1100"/>
      <c r="AJ68" s="1100"/>
      <c r="AK68" s="1098"/>
      <c r="AL68" s="1099"/>
      <c r="AM68" s="1100"/>
      <c r="AN68" s="1100"/>
      <c r="AO68" s="1098"/>
      <c r="AP68" s="1099"/>
      <c r="AQ68" s="1100"/>
      <c r="AR68" s="1100"/>
      <c r="AS68" s="1098"/>
      <c r="AT68" s="1099"/>
      <c r="AU68" s="1100"/>
      <c r="AV68" s="1100"/>
      <c r="AW68" s="1100"/>
      <c r="AX68" s="1098"/>
      <c r="AY68" s="1099"/>
      <c r="AZ68" s="1100"/>
      <c r="BA68" s="1100"/>
      <c r="BB68" s="1098"/>
      <c r="BC68" s="1099"/>
      <c r="BD68" s="1100"/>
      <c r="BE68" s="1100"/>
      <c r="BF68" s="1098"/>
      <c r="BG68" s="1101"/>
      <c r="BH68" s="1064"/>
      <c r="BI68" s="1072"/>
    </row>
    <row r="69" spans="1:61" s="1008" customFormat="1" x14ac:dyDescent="0.2">
      <c r="D69" s="1072"/>
      <c r="E69" s="1078"/>
      <c r="F69" s="1064"/>
      <c r="G69" s="1087"/>
      <c r="H69" s="1088"/>
      <c r="I69" s="1088"/>
      <c r="J69" s="1088"/>
      <c r="K69" s="1089"/>
      <c r="L69" s="1090"/>
      <c r="M69" s="1091"/>
      <c r="N69" s="1091"/>
      <c r="O69" s="1089"/>
      <c r="P69" s="1090"/>
      <c r="Q69" s="1091"/>
      <c r="R69" s="1091"/>
      <c r="S69" s="1089"/>
      <c r="T69" s="1090"/>
      <c r="U69" s="1091"/>
      <c r="V69" s="1091"/>
      <c r="W69" s="1091"/>
      <c r="X69" s="1089"/>
      <c r="Y69" s="1090"/>
      <c r="Z69" s="1091"/>
      <c r="AA69" s="1091"/>
      <c r="AB69" s="1089"/>
      <c r="AC69" s="1090"/>
      <c r="AD69" s="1091"/>
      <c r="AE69" s="1091"/>
      <c r="AF69" s="1089"/>
      <c r="AG69" s="1090"/>
      <c r="AH69" s="1091"/>
      <c r="AI69" s="1091"/>
      <c r="AJ69" s="1091"/>
      <c r="AK69" s="1089"/>
      <c r="AL69" s="1090"/>
      <c r="AM69" s="1091"/>
      <c r="AN69" s="1091"/>
      <c r="AO69" s="1089"/>
      <c r="AP69" s="1090"/>
      <c r="AQ69" s="1091"/>
      <c r="AR69" s="1091"/>
      <c r="AS69" s="1089"/>
      <c r="AT69" s="1090"/>
      <c r="AU69" s="1091"/>
      <c r="AV69" s="1091"/>
      <c r="AW69" s="1091"/>
      <c r="AX69" s="1089"/>
      <c r="AY69" s="1090"/>
      <c r="AZ69" s="1091"/>
      <c r="BA69" s="1091"/>
      <c r="BB69" s="1089"/>
      <c r="BC69" s="1090"/>
      <c r="BD69" s="1091"/>
      <c r="BE69" s="1091"/>
      <c r="BF69" s="1089"/>
      <c r="BG69" s="1103"/>
      <c r="BH69" s="1064"/>
      <c r="BI69" s="1072"/>
    </row>
    <row r="70" spans="1:61" s="1008" customFormat="1" x14ac:dyDescent="0.2">
      <c r="A70" s="1015" t="s">
        <v>313</v>
      </c>
      <c r="B70" s="1016"/>
      <c r="C70" s="1017"/>
      <c r="D70" s="1105">
        <f>SUM(D41:D69)</f>
        <v>246368489</v>
      </c>
      <c r="E70" s="1106">
        <f>SUM(E41:E69)</f>
        <v>41820000</v>
      </c>
      <c r="F70" s="1107"/>
      <c r="G70" s="1120">
        <f t="shared" ref="G70:AL70" si="7">SUM(G41:G69)</f>
        <v>0</v>
      </c>
      <c r="H70" s="1121">
        <f t="shared" si="7"/>
        <v>820000</v>
      </c>
      <c r="I70" s="1121">
        <f t="shared" si="7"/>
        <v>820000</v>
      </c>
      <c r="J70" s="1121">
        <f t="shared" si="7"/>
        <v>820000</v>
      </c>
      <c r="K70" s="1122">
        <f t="shared" si="7"/>
        <v>820000</v>
      </c>
      <c r="L70" s="1120">
        <f t="shared" si="7"/>
        <v>820000</v>
      </c>
      <c r="M70" s="1121">
        <f t="shared" si="7"/>
        <v>820000</v>
      </c>
      <c r="N70" s="1121">
        <f t="shared" si="7"/>
        <v>820000</v>
      </c>
      <c r="O70" s="1122">
        <f t="shared" si="7"/>
        <v>820000</v>
      </c>
      <c r="P70" s="1120">
        <f t="shared" si="7"/>
        <v>820000</v>
      </c>
      <c r="Q70" s="1121">
        <f t="shared" si="7"/>
        <v>820000</v>
      </c>
      <c r="R70" s="1121">
        <f t="shared" si="7"/>
        <v>820000</v>
      </c>
      <c r="S70" s="1122">
        <f t="shared" si="7"/>
        <v>820000</v>
      </c>
      <c r="T70" s="1120">
        <f t="shared" si="7"/>
        <v>820000</v>
      </c>
      <c r="U70" s="1121">
        <f t="shared" si="7"/>
        <v>820000</v>
      </c>
      <c r="V70" s="1121">
        <f t="shared" si="7"/>
        <v>820000</v>
      </c>
      <c r="W70" s="1121">
        <f t="shared" si="7"/>
        <v>820000</v>
      </c>
      <c r="X70" s="1122">
        <f t="shared" si="7"/>
        <v>820000</v>
      </c>
      <c r="Y70" s="1120">
        <f t="shared" si="7"/>
        <v>820000</v>
      </c>
      <c r="Z70" s="1121">
        <f t="shared" si="7"/>
        <v>820000</v>
      </c>
      <c r="AA70" s="1121">
        <f t="shared" si="7"/>
        <v>820000</v>
      </c>
      <c r="AB70" s="1122">
        <f t="shared" si="7"/>
        <v>820000</v>
      </c>
      <c r="AC70" s="1120">
        <f t="shared" si="7"/>
        <v>820000</v>
      </c>
      <c r="AD70" s="1121">
        <f t="shared" si="7"/>
        <v>820000</v>
      </c>
      <c r="AE70" s="1121">
        <f t="shared" si="7"/>
        <v>820000</v>
      </c>
      <c r="AF70" s="1122">
        <f t="shared" si="7"/>
        <v>820000</v>
      </c>
      <c r="AG70" s="1120">
        <f t="shared" si="7"/>
        <v>820000</v>
      </c>
      <c r="AH70" s="1121">
        <f t="shared" si="7"/>
        <v>820000</v>
      </c>
      <c r="AI70" s="1121">
        <f t="shared" si="7"/>
        <v>820000</v>
      </c>
      <c r="AJ70" s="1121">
        <f t="shared" si="7"/>
        <v>820000</v>
      </c>
      <c r="AK70" s="1122">
        <f t="shared" si="7"/>
        <v>820000</v>
      </c>
      <c r="AL70" s="1120">
        <f t="shared" si="7"/>
        <v>820000</v>
      </c>
      <c r="AM70" s="1121">
        <f t="shared" ref="AM70:BG70" si="8">SUM(AM41:AM69)</f>
        <v>820000</v>
      </c>
      <c r="AN70" s="1121">
        <f t="shared" si="8"/>
        <v>820000</v>
      </c>
      <c r="AO70" s="1122">
        <f t="shared" si="8"/>
        <v>820000</v>
      </c>
      <c r="AP70" s="1120">
        <f t="shared" si="8"/>
        <v>820000</v>
      </c>
      <c r="AQ70" s="1121">
        <f t="shared" si="8"/>
        <v>820000</v>
      </c>
      <c r="AR70" s="1121">
        <f t="shared" si="8"/>
        <v>820000</v>
      </c>
      <c r="AS70" s="1122">
        <f t="shared" si="8"/>
        <v>820000</v>
      </c>
      <c r="AT70" s="1120">
        <f t="shared" si="8"/>
        <v>820000</v>
      </c>
      <c r="AU70" s="1121">
        <f t="shared" si="8"/>
        <v>820000</v>
      </c>
      <c r="AV70" s="1121">
        <f t="shared" si="8"/>
        <v>820000</v>
      </c>
      <c r="AW70" s="1121">
        <f t="shared" si="8"/>
        <v>820000</v>
      </c>
      <c r="AX70" s="1122">
        <f t="shared" si="8"/>
        <v>820000</v>
      </c>
      <c r="AY70" s="1120">
        <f t="shared" si="8"/>
        <v>820000</v>
      </c>
      <c r="AZ70" s="1121">
        <f t="shared" si="8"/>
        <v>820000</v>
      </c>
      <c r="BA70" s="1121">
        <f t="shared" si="8"/>
        <v>820000</v>
      </c>
      <c r="BB70" s="1122">
        <f t="shared" si="8"/>
        <v>820000</v>
      </c>
      <c r="BC70" s="1120">
        <f t="shared" si="8"/>
        <v>820000</v>
      </c>
      <c r="BD70" s="1121">
        <f t="shared" si="8"/>
        <v>820000</v>
      </c>
      <c r="BE70" s="1121">
        <f t="shared" si="8"/>
        <v>820000</v>
      </c>
      <c r="BF70" s="1122">
        <f t="shared" si="8"/>
        <v>820000</v>
      </c>
      <c r="BG70" s="1123">
        <f t="shared" si="8"/>
        <v>0</v>
      </c>
      <c r="BH70" s="1107"/>
      <c r="BI70" s="1072">
        <f>+D70-E70</f>
        <v>204548489</v>
      </c>
    </row>
    <row r="71" spans="1:61" s="1008" customFormat="1" x14ac:dyDescent="0.2">
      <c r="D71" s="1124"/>
      <c r="E71" s="1078"/>
      <c r="F71" s="1064"/>
      <c r="G71" s="1087"/>
      <c r="H71" s="1088"/>
      <c r="I71" s="1088"/>
      <c r="J71" s="1088"/>
      <c r="K71" s="1089"/>
      <c r="L71" s="1090"/>
      <c r="M71" s="1091"/>
      <c r="N71" s="1091"/>
      <c r="O71" s="1089"/>
      <c r="P71" s="1090"/>
      <c r="Q71" s="1091"/>
      <c r="R71" s="1091"/>
      <c r="S71" s="1089"/>
      <c r="T71" s="1090"/>
      <c r="U71" s="1091"/>
      <c r="V71" s="1091"/>
      <c r="W71" s="1091"/>
      <c r="X71" s="1089"/>
      <c r="Y71" s="1090"/>
      <c r="Z71" s="1091"/>
      <c r="AA71" s="1091"/>
      <c r="AB71" s="1089"/>
      <c r="AC71" s="1090"/>
      <c r="AD71" s="1091"/>
      <c r="AE71" s="1091"/>
      <c r="AF71" s="1089"/>
      <c r="AG71" s="1090"/>
      <c r="AH71" s="1091"/>
      <c r="AI71" s="1091"/>
      <c r="AJ71" s="1091"/>
      <c r="AK71" s="1089"/>
      <c r="AL71" s="1090"/>
      <c r="AM71" s="1091"/>
      <c r="AN71" s="1091"/>
      <c r="AO71" s="1089"/>
      <c r="AP71" s="1090"/>
      <c r="AQ71" s="1091"/>
      <c r="AR71" s="1091"/>
      <c r="AS71" s="1089"/>
      <c r="AT71" s="1090"/>
      <c r="AU71" s="1091"/>
      <c r="AV71" s="1091"/>
      <c r="AW71" s="1091"/>
      <c r="AX71" s="1089"/>
      <c r="AY71" s="1090"/>
      <c r="AZ71" s="1091"/>
      <c r="BA71" s="1091"/>
      <c r="BB71" s="1089"/>
      <c r="BC71" s="1090"/>
      <c r="BD71" s="1091"/>
      <c r="BE71" s="1091"/>
      <c r="BF71" s="1089"/>
      <c r="BG71" s="1103"/>
      <c r="BH71" s="1064"/>
      <c r="BI71" s="1072"/>
    </row>
    <row r="72" spans="1:61" s="1008" customFormat="1" ht="13.5" thickBot="1" x14ac:dyDescent="0.25">
      <c r="A72" s="1015" t="s">
        <v>31</v>
      </c>
      <c r="B72" s="1016"/>
      <c r="C72" s="1017"/>
      <c r="D72" s="1105">
        <f>D39+D70</f>
        <v>402896633</v>
      </c>
      <c r="E72" s="1106">
        <f>E39+E70</f>
        <v>41820000</v>
      </c>
      <c r="F72" s="1125"/>
      <c r="G72" s="1126">
        <f t="shared" ref="G72:AL72" si="9">G39+G70</f>
        <v>0</v>
      </c>
      <c r="H72" s="1127">
        <f t="shared" si="9"/>
        <v>820000</v>
      </c>
      <c r="I72" s="1127">
        <f t="shared" si="9"/>
        <v>820000</v>
      </c>
      <c r="J72" s="1127">
        <f t="shared" si="9"/>
        <v>820000</v>
      </c>
      <c r="K72" s="1128">
        <f t="shared" si="9"/>
        <v>820000</v>
      </c>
      <c r="L72" s="1126">
        <f t="shared" si="9"/>
        <v>820000</v>
      </c>
      <c r="M72" s="1127">
        <f t="shared" si="9"/>
        <v>820000</v>
      </c>
      <c r="N72" s="1127">
        <f t="shared" si="9"/>
        <v>820000</v>
      </c>
      <c r="O72" s="1128">
        <f t="shared" si="9"/>
        <v>820000</v>
      </c>
      <c r="P72" s="1126">
        <f t="shared" si="9"/>
        <v>820000</v>
      </c>
      <c r="Q72" s="1127">
        <f t="shared" si="9"/>
        <v>820000</v>
      </c>
      <c r="R72" s="1127">
        <f t="shared" si="9"/>
        <v>820000</v>
      </c>
      <c r="S72" s="1128">
        <f t="shared" si="9"/>
        <v>820000</v>
      </c>
      <c r="T72" s="1126">
        <f t="shared" si="9"/>
        <v>820000</v>
      </c>
      <c r="U72" s="1127">
        <f t="shared" si="9"/>
        <v>820000</v>
      </c>
      <c r="V72" s="1127">
        <f t="shared" si="9"/>
        <v>820000</v>
      </c>
      <c r="W72" s="1127">
        <f t="shared" si="9"/>
        <v>820000</v>
      </c>
      <c r="X72" s="1128">
        <f t="shared" si="9"/>
        <v>820000</v>
      </c>
      <c r="Y72" s="1126">
        <f t="shared" si="9"/>
        <v>820000</v>
      </c>
      <c r="Z72" s="1127">
        <f t="shared" si="9"/>
        <v>820000</v>
      </c>
      <c r="AA72" s="1127">
        <f t="shared" si="9"/>
        <v>820000</v>
      </c>
      <c r="AB72" s="1128">
        <f t="shared" si="9"/>
        <v>820000</v>
      </c>
      <c r="AC72" s="1126">
        <f t="shared" si="9"/>
        <v>820000</v>
      </c>
      <c r="AD72" s="1127">
        <f t="shared" si="9"/>
        <v>820000</v>
      </c>
      <c r="AE72" s="1127">
        <f t="shared" si="9"/>
        <v>820000</v>
      </c>
      <c r="AF72" s="1128">
        <f t="shared" si="9"/>
        <v>820000</v>
      </c>
      <c r="AG72" s="1126">
        <f t="shared" si="9"/>
        <v>820000</v>
      </c>
      <c r="AH72" s="1127">
        <f t="shared" si="9"/>
        <v>820000</v>
      </c>
      <c r="AI72" s="1127">
        <f t="shared" si="9"/>
        <v>820000</v>
      </c>
      <c r="AJ72" s="1127">
        <f t="shared" si="9"/>
        <v>820000</v>
      </c>
      <c r="AK72" s="1128">
        <f t="shared" si="9"/>
        <v>820000</v>
      </c>
      <c r="AL72" s="1126">
        <f t="shared" si="9"/>
        <v>820000</v>
      </c>
      <c r="AM72" s="1127">
        <f t="shared" ref="AM72:BG72" si="10">AM39+AM70</f>
        <v>820000</v>
      </c>
      <c r="AN72" s="1127">
        <f t="shared" si="10"/>
        <v>820000</v>
      </c>
      <c r="AO72" s="1128">
        <f t="shared" si="10"/>
        <v>820000</v>
      </c>
      <c r="AP72" s="1126">
        <f t="shared" si="10"/>
        <v>820000</v>
      </c>
      <c r="AQ72" s="1127">
        <f t="shared" si="10"/>
        <v>820000</v>
      </c>
      <c r="AR72" s="1127">
        <f t="shared" si="10"/>
        <v>820000</v>
      </c>
      <c r="AS72" s="1128">
        <f t="shared" si="10"/>
        <v>820000</v>
      </c>
      <c r="AT72" s="1126">
        <f t="shared" si="10"/>
        <v>820000</v>
      </c>
      <c r="AU72" s="1127">
        <f t="shared" si="10"/>
        <v>820000</v>
      </c>
      <c r="AV72" s="1127">
        <f t="shared" si="10"/>
        <v>820000</v>
      </c>
      <c r="AW72" s="1127">
        <f t="shared" si="10"/>
        <v>820000</v>
      </c>
      <c r="AX72" s="1128">
        <f t="shared" si="10"/>
        <v>820000</v>
      </c>
      <c r="AY72" s="1126">
        <f t="shared" si="10"/>
        <v>820000</v>
      </c>
      <c r="AZ72" s="1127">
        <f t="shared" si="10"/>
        <v>820000</v>
      </c>
      <c r="BA72" s="1127">
        <f t="shared" si="10"/>
        <v>820000</v>
      </c>
      <c r="BB72" s="1128">
        <f t="shared" si="10"/>
        <v>820000</v>
      </c>
      <c r="BC72" s="1126">
        <f t="shared" si="10"/>
        <v>820000</v>
      </c>
      <c r="BD72" s="1127">
        <f t="shared" si="10"/>
        <v>820000</v>
      </c>
      <c r="BE72" s="1127">
        <f t="shared" si="10"/>
        <v>820000</v>
      </c>
      <c r="BF72" s="1128">
        <f t="shared" si="10"/>
        <v>820000</v>
      </c>
      <c r="BG72" s="1129">
        <f t="shared" si="10"/>
        <v>0</v>
      </c>
      <c r="BH72" s="1125"/>
      <c r="BI72" s="1072">
        <f>+D72-E72</f>
        <v>361076633</v>
      </c>
    </row>
    <row r="73" spans="1:61" s="1021" customFormat="1" x14ac:dyDescent="0.2">
      <c r="D73" s="1130"/>
      <c r="E73" s="1131"/>
      <c r="F73" s="1132"/>
      <c r="G73" s="1131"/>
      <c r="H73" s="1131"/>
      <c r="I73" s="1131"/>
      <c r="J73" s="1131" t="s">
        <v>703</v>
      </c>
      <c r="K73" s="1133">
        <f>SUM(G72:K72)</f>
        <v>3280000</v>
      </c>
      <c r="L73" s="1131"/>
      <c r="M73" s="1131"/>
      <c r="N73" s="1131" t="str">
        <f>+J73</f>
        <v>TOTAL MES</v>
      </c>
      <c r="O73" s="1133">
        <f>SUM(L72:O72)</f>
        <v>3280000</v>
      </c>
      <c r="P73" s="1131"/>
      <c r="Q73" s="1131"/>
      <c r="R73" s="1131" t="str">
        <f>+N73</f>
        <v>TOTAL MES</v>
      </c>
      <c r="S73" s="1133">
        <f>SUM(P72:S72)</f>
        <v>3280000</v>
      </c>
      <c r="T73" s="1131"/>
      <c r="U73" s="1131"/>
      <c r="V73" s="1131"/>
      <c r="W73" s="1131" t="str">
        <f>+R73</f>
        <v>TOTAL MES</v>
      </c>
      <c r="X73" s="1133">
        <f>SUM(T72:X72)</f>
        <v>4100000</v>
      </c>
      <c r="Y73" s="1131"/>
      <c r="Z73" s="1131"/>
      <c r="AA73" s="1131" t="str">
        <f>+W73</f>
        <v>TOTAL MES</v>
      </c>
      <c r="AB73" s="1133">
        <f>SUM(Y72:AB72)</f>
        <v>3280000</v>
      </c>
      <c r="AC73" s="1131"/>
      <c r="AD73" s="1131"/>
      <c r="AE73" s="1131" t="str">
        <f>+AA73</f>
        <v>TOTAL MES</v>
      </c>
      <c r="AF73" s="1133">
        <f>SUM(AC72:AF72)</f>
        <v>3280000</v>
      </c>
      <c r="AG73" s="1131"/>
      <c r="AH73" s="1131"/>
      <c r="AI73" s="1131"/>
      <c r="AJ73" s="1131" t="str">
        <f>+AE73</f>
        <v>TOTAL MES</v>
      </c>
      <c r="AK73" s="1133">
        <f>SUM(AG72:AK72)</f>
        <v>4100000</v>
      </c>
      <c r="AL73" s="1131"/>
      <c r="AM73" s="1131"/>
      <c r="AN73" s="1131" t="str">
        <f>+AJ73</f>
        <v>TOTAL MES</v>
      </c>
      <c r="AO73" s="1133">
        <f>SUM(AL72:AO72)</f>
        <v>3280000</v>
      </c>
      <c r="AP73" s="1131"/>
      <c r="AQ73" s="1131"/>
      <c r="AR73" s="1131" t="str">
        <f>+AN73</f>
        <v>TOTAL MES</v>
      </c>
      <c r="AS73" s="1133">
        <f>SUM(AP72:AS72)</f>
        <v>3280000</v>
      </c>
      <c r="AT73" s="1131"/>
      <c r="AU73" s="1131"/>
      <c r="AV73" s="1131"/>
      <c r="AW73" s="1131" t="str">
        <f>+AR73</f>
        <v>TOTAL MES</v>
      </c>
      <c r="AX73" s="1133">
        <f>SUM(AT72:AX72)</f>
        <v>4100000</v>
      </c>
      <c r="AY73" s="1131"/>
      <c r="AZ73" s="1131"/>
      <c r="BA73" s="1131" t="str">
        <f>+AW73</f>
        <v>TOTAL MES</v>
      </c>
      <c r="BB73" s="1133">
        <f>SUM(AY72:BB72)</f>
        <v>3280000</v>
      </c>
      <c r="BC73" s="1131"/>
      <c r="BD73" s="1131"/>
      <c r="BE73" s="1131" t="str">
        <f>+BA73</f>
        <v>TOTAL MES</v>
      </c>
      <c r="BF73" s="1133">
        <f>SUM(BC72:BF72)</f>
        <v>3280000</v>
      </c>
      <c r="BG73" s="1131">
        <f>+BG72</f>
        <v>0</v>
      </c>
      <c r="BH73" s="1132"/>
      <c r="BI73" s="1130"/>
    </row>
    <row r="74" spans="1:61" s="1024" customFormat="1" x14ac:dyDescent="0.2">
      <c r="A74" s="1022"/>
      <c r="B74" s="1022"/>
      <c r="C74" s="1023" t="s">
        <v>700</v>
      </c>
      <c r="D74" s="1134">
        <f>+D72/3</f>
        <v>134298877.66666666</v>
      </c>
      <c r="E74" s="1135">
        <f>+E72/3</f>
        <v>13940000</v>
      </c>
      <c r="F74" s="1136"/>
      <c r="G74" s="1137"/>
      <c r="H74" s="1137"/>
      <c r="I74" s="1137"/>
      <c r="J74" s="1138" t="s">
        <v>699</v>
      </c>
      <c r="K74" s="1139">
        <f>+K73/5</f>
        <v>656000</v>
      </c>
      <c r="L74" s="1137"/>
      <c r="M74" s="1137"/>
      <c r="N74" s="1140" t="str">
        <f>+J74</f>
        <v>Promedio SEMANAL</v>
      </c>
      <c r="O74" s="1139">
        <f>+O73/4</f>
        <v>820000</v>
      </c>
      <c r="P74" s="1137"/>
      <c r="Q74" s="1137"/>
      <c r="R74" s="1140" t="str">
        <f>+N74</f>
        <v>Promedio SEMANAL</v>
      </c>
      <c r="S74" s="1139">
        <f>+S73/4</f>
        <v>820000</v>
      </c>
      <c r="T74" s="1137"/>
      <c r="U74" s="1137"/>
      <c r="V74" s="1137"/>
      <c r="W74" s="1140" t="str">
        <f>+R74</f>
        <v>Promedio SEMANAL</v>
      </c>
      <c r="X74" s="1139">
        <f>+X73/5</f>
        <v>820000</v>
      </c>
      <c r="Y74" s="1137"/>
      <c r="Z74" s="1137"/>
      <c r="AA74" s="1140" t="str">
        <f>+W74</f>
        <v>Promedio SEMANAL</v>
      </c>
      <c r="AB74" s="1139">
        <f>+AB73/4</f>
        <v>820000</v>
      </c>
      <c r="AC74" s="1137"/>
      <c r="AD74" s="1137"/>
      <c r="AE74" s="1140" t="str">
        <f>+AA74</f>
        <v>Promedio SEMANAL</v>
      </c>
      <c r="AF74" s="1139">
        <f>+AF73/4</f>
        <v>820000</v>
      </c>
      <c r="AG74" s="1137"/>
      <c r="AH74" s="1137"/>
      <c r="AI74" s="1137"/>
      <c r="AJ74" s="1140" t="str">
        <f>+AE74</f>
        <v>Promedio SEMANAL</v>
      </c>
      <c r="AK74" s="1139">
        <f>+AK73/5</f>
        <v>820000</v>
      </c>
      <c r="AL74" s="1137"/>
      <c r="AM74" s="1137"/>
      <c r="AN74" s="1140" t="str">
        <f>+AJ74</f>
        <v>Promedio SEMANAL</v>
      </c>
      <c r="AO74" s="1139">
        <f>+AO73/4</f>
        <v>820000</v>
      </c>
      <c r="AP74" s="1137"/>
      <c r="AQ74" s="1137"/>
      <c r="AR74" s="1140" t="str">
        <f>+AN74</f>
        <v>Promedio SEMANAL</v>
      </c>
      <c r="AS74" s="1139">
        <f>+AS73/4</f>
        <v>820000</v>
      </c>
      <c r="AT74" s="1137"/>
      <c r="AU74" s="1137"/>
      <c r="AV74" s="1137"/>
      <c r="AW74" s="1140" t="str">
        <f>+AR74</f>
        <v>Promedio SEMANAL</v>
      </c>
      <c r="AX74" s="1139">
        <f>+AX73/5</f>
        <v>820000</v>
      </c>
      <c r="AY74" s="1137"/>
      <c r="AZ74" s="1137"/>
      <c r="BA74" s="1140" t="str">
        <f>+AW74</f>
        <v>Promedio SEMANAL</v>
      </c>
      <c r="BB74" s="1139">
        <f>+BB73/4</f>
        <v>820000</v>
      </c>
      <c r="BC74" s="1137"/>
      <c r="BD74" s="1137"/>
      <c r="BE74" s="1140" t="str">
        <f>+BA74</f>
        <v>Promedio SEMANAL</v>
      </c>
      <c r="BF74" s="1139">
        <f>+BF73/4</f>
        <v>820000</v>
      </c>
      <c r="BG74" s="1137"/>
      <c r="BH74" s="1136"/>
      <c r="BI74" s="1141"/>
    </row>
    <row r="75" spans="1:61" s="1024" customFormat="1" x14ac:dyDescent="0.2">
      <c r="A75" s="1022"/>
      <c r="B75" s="1022"/>
      <c r="C75" s="1023" t="s">
        <v>699</v>
      </c>
      <c r="D75" s="1134">
        <f>+D72/12</f>
        <v>33574719.416666664</v>
      </c>
      <c r="E75" s="1135">
        <f>+E72/12</f>
        <v>3485000</v>
      </c>
      <c r="F75" s="1136"/>
      <c r="G75" s="1142"/>
      <c r="H75" s="1143"/>
      <c r="I75" s="1143"/>
      <c r="J75" s="1144"/>
      <c r="K75" s="1143"/>
      <c r="L75" s="1143"/>
      <c r="M75" s="1143"/>
      <c r="N75" s="1144"/>
      <c r="O75" s="1143"/>
      <c r="P75" s="1143"/>
      <c r="Q75" s="1143"/>
      <c r="R75" s="1144"/>
      <c r="S75" s="1143"/>
      <c r="T75" s="1143"/>
      <c r="U75" s="1143"/>
      <c r="V75" s="1143"/>
      <c r="W75" s="1144"/>
      <c r="X75" s="1143"/>
      <c r="Y75" s="1143"/>
      <c r="Z75" s="1143"/>
      <c r="AA75" s="1144"/>
      <c r="AB75" s="1143"/>
      <c r="AC75" s="1143"/>
      <c r="AD75" s="1143"/>
      <c r="AE75" s="1144"/>
      <c r="AF75" s="1143"/>
      <c r="AG75" s="1143"/>
      <c r="AH75" s="1143"/>
      <c r="AI75" s="1143"/>
      <c r="AJ75" s="1144"/>
      <c r="AK75" s="1143"/>
      <c r="AL75" s="1143"/>
      <c r="AM75" s="1143"/>
      <c r="AN75" s="1144"/>
      <c r="AO75" s="1143"/>
      <c r="AP75" s="1143"/>
      <c r="AQ75" s="1143"/>
      <c r="AR75" s="1144"/>
      <c r="AS75" s="1143"/>
      <c r="AT75" s="1143"/>
      <c r="AU75" s="1143"/>
      <c r="AV75" s="1143"/>
      <c r="AW75" s="1144"/>
      <c r="AX75" s="1143"/>
      <c r="AY75" s="1143"/>
      <c r="AZ75" s="1143"/>
      <c r="BA75" s="1144"/>
      <c r="BB75" s="1143"/>
      <c r="BC75" s="1143"/>
      <c r="BD75" s="1143"/>
      <c r="BE75" s="1144"/>
      <c r="BF75" s="1143"/>
      <c r="BG75" s="1143"/>
      <c r="BH75" s="1143"/>
      <c r="BI75" s="1141"/>
    </row>
    <row r="76" spans="1:61" s="1024" customFormat="1" x14ac:dyDescent="0.2">
      <c r="A76" s="1025"/>
      <c r="B76" s="1025"/>
      <c r="C76" s="1026" t="s">
        <v>701</v>
      </c>
      <c r="D76" s="1145">
        <f>+D39/12</f>
        <v>13044012</v>
      </c>
      <c r="E76" s="1146"/>
      <c r="F76" s="1146"/>
      <c r="G76" s="1143"/>
      <c r="H76" s="1143"/>
      <c r="I76" s="1143"/>
      <c r="J76" s="1144"/>
      <c r="K76" s="1143"/>
      <c r="L76" s="1143"/>
      <c r="M76" s="1143"/>
      <c r="N76" s="1144"/>
      <c r="O76" s="1143"/>
      <c r="P76" s="1143"/>
      <c r="Q76" s="1143"/>
      <c r="R76" s="1144"/>
      <c r="S76" s="1143"/>
      <c r="T76" s="1143"/>
      <c r="U76" s="1143"/>
      <c r="V76" s="1143"/>
      <c r="W76" s="1144"/>
      <c r="X76" s="1143"/>
      <c r="Y76" s="1143"/>
      <c r="Z76" s="1143"/>
      <c r="AA76" s="1144"/>
      <c r="AB76" s="1143"/>
      <c r="AC76" s="1143"/>
      <c r="AD76" s="1143"/>
      <c r="AE76" s="1144"/>
      <c r="AF76" s="1143"/>
      <c r="AG76" s="1143"/>
      <c r="AH76" s="1143"/>
      <c r="AI76" s="1143"/>
      <c r="AJ76" s="1144"/>
      <c r="AK76" s="1143"/>
      <c r="AL76" s="1143"/>
      <c r="AM76" s="1143"/>
      <c r="AN76" s="1144"/>
      <c r="AO76" s="1143"/>
      <c r="AP76" s="1143"/>
      <c r="AQ76" s="1143"/>
      <c r="AR76" s="1144"/>
      <c r="AS76" s="1143"/>
      <c r="AT76" s="1143"/>
      <c r="AU76" s="1143"/>
      <c r="AV76" s="1143"/>
      <c r="AW76" s="1144"/>
      <c r="AX76" s="1143"/>
      <c r="AY76" s="1143"/>
      <c r="AZ76" s="1143"/>
      <c r="BA76" s="1144"/>
      <c r="BB76" s="1143"/>
      <c r="BC76" s="1143"/>
      <c r="BD76" s="1143"/>
      <c r="BE76" s="1144"/>
      <c r="BF76" s="1143"/>
      <c r="BG76" s="1143"/>
      <c r="BH76" s="1143"/>
      <c r="BI76" s="1141"/>
    </row>
    <row r="77" spans="1:61" s="1024" customFormat="1" x14ac:dyDescent="0.2">
      <c r="A77" s="1025"/>
      <c r="B77" s="1025"/>
      <c r="C77" s="1026" t="s">
        <v>702</v>
      </c>
      <c r="D77" s="1145">
        <f>+D70/12</f>
        <v>20530707.416666668</v>
      </c>
      <c r="E77" s="1146"/>
      <c r="F77" s="1146"/>
      <c r="G77" s="1143"/>
      <c r="H77" s="1143"/>
      <c r="I77" s="1143"/>
      <c r="J77" s="1144"/>
      <c r="K77" s="1143"/>
      <c r="L77" s="1143"/>
      <c r="M77" s="1143"/>
      <c r="N77" s="1144"/>
      <c r="O77" s="1143"/>
      <c r="P77" s="1143"/>
      <c r="Q77" s="1143"/>
      <c r="R77" s="1144"/>
      <c r="S77" s="1143"/>
      <c r="T77" s="1143"/>
      <c r="U77" s="1143"/>
      <c r="V77" s="1143"/>
      <c r="W77" s="1144"/>
      <c r="X77" s="1143"/>
      <c r="Y77" s="1143"/>
      <c r="Z77" s="1143"/>
      <c r="AA77" s="1144"/>
      <c r="AB77" s="1143"/>
      <c r="AC77" s="1143"/>
      <c r="AD77" s="1143"/>
      <c r="AE77" s="1144"/>
      <c r="AF77" s="1143"/>
      <c r="AG77" s="1143"/>
      <c r="AH77" s="1143"/>
      <c r="AI77" s="1143"/>
      <c r="AJ77" s="1144"/>
      <c r="AK77" s="1143"/>
      <c r="AL77" s="1143"/>
      <c r="AM77" s="1143"/>
      <c r="AN77" s="1144"/>
      <c r="AO77" s="1143"/>
      <c r="AP77" s="1143"/>
      <c r="AQ77" s="1143"/>
      <c r="AR77" s="1144"/>
      <c r="AS77" s="1143"/>
      <c r="AT77" s="1143"/>
      <c r="AU77" s="1143"/>
      <c r="AV77" s="1143"/>
      <c r="AW77" s="1144"/>
      <c r="AX77" s="1143"/>
      <c r="AY77" s="1143"/>
      <c r="AZ77" s="1143"/>
      <c r="BA77" s="1144"/>
      <c r="BB77" s="1143"/>
      <c r="BC77" s="1143"/>
      <c r="BD77" s="1143"/>
      <c r="BE77" s="1144"/>
      <c r="BF77" s="1143"/>
      <c r="BG77" s="1143"/>
      <c r="BH77" s="1143"/>
      <c r="BI77" s="1141"/>
    </row>
    <row r="78" spans="1:61" s="1008" customFormat="1" x14ac:dyDescent="0.2">
      <c r="A78" s="1027" t="s">
        <v>690</v>
      </c>
      <c r="D78" s="296">
        <f>+C3</f>
        <v>2025</v>
      </c>
      <c r="E78" s="1147"/>
      <c r="F78" s="1072"/>
      <c r="G78" s="1072"/>
      <c r="H78" s="1072"/>
      <c r="I78" s="1072"/>
      <c r="J78" s="1072"/>
      <c r="K78" s="1072"/>
      <c r="L78" s="1072"/>
      <c r="M78" s="1072"/>
      <c r="N78" s="1072"/>
      <c r="O78" s="1072"/>
      <c r="P78" s="1072"/>
      <c r="Q78" s="1072"/>
      <c r="R78" s="1072"/>
      <c r="S78" s="1072"/>
      <c r="T78" s="1072"/>
      <c r="U78" s="1072"/>
      <c r="V78" s="1072"/>
      <c r="W78" s="1072"/>
      <c r="X78" s="1072"/>
      <c r="Y78" s="1072"/>
      <c r="Z78" s="1072"/>
      <c r="AA78" s="1072"/>
      <c r="AB78" s="1072"/>
      <c r="AC78" s="1072"/>
      <c r="AD78" s="1072"/>
      <c r="AE78" s="1072"/>
      <c r="AF78" s="1072"/>
      <c r="AG78" s="1072">
        <f>+AG72+AH72</f>
        <v>1640000</v>
      </c>
      <c r="AH78" s="1072"/>
      <c r="AI78" s="1072"/>
      <c r="AJ78" s="1072"/>
      <c r="AK78" s="1072"/>
      <c r="AL78" s="1072"/>
      <c r="AM78" s="1072"/>
      <c r="AN78" s="1072"/>
      <c r="AO78" s="1072"/>
      <c r="AP78" s="1072"/>
      <c r="AQ78" s="1072"/>
      <c r="AR78" s="1072"/>
      <c r="AS78" s="1072"/>
      <c r="AT78" s="1072"/>
      <c r="AU78" s="1072"/>
      <c r="AV78" s="1072"/>
      <c r="AW78" s="1072"/>
      <c r="AX78" s="1072"/>
      <c r="AY78" s="1072"/>
      <c r="AZ78" s="1072"/>
      <c r="BA78" s="1072"/>
      <c r="BB78" s="1072"/>
      <c r="BC78" s="1072"/>
      <c r="BD78" s="1072"/>
      <c r="BE78" s="1072"/>
      <c r="BF78" s="1072"/>
      <c r="BG78" s="1072"/>
      <c r="BH78" s="1072"/>
      <c r="BI78" s="1072"/>
    </row>
    <row r="79" spans="1:61" s="1008" customFormat="1" x14ac:dyDescent="0.2">
      <c r="A79" s="1008" t="s">
        <v>694</v>
      </c>
      <c r="D79" s="1072">
        <f>+'EGRESOS DE CAJA'!H2</f>
        <v>633732083</v>
      </c>
      <c r="E79" s="1147"/>
      <c r="F79" s="1072"/>
      <c r="G79" s="1072"/>
      <c r="H79" s="1072">
        <v>245870500</v>
      </c>
      <c r="I79" s="1072">
        <f>+H79-D72</f>
        <v>-157026133</v>
      </c>
      <c r="J79" s="1072"/>
      <c r="K79" s="1072"/>
      <c r="L79" s="1072"/>
      <c r="M79" s="1072"/>
      <c r="N79" s="1072"/>
      <c r="O79" s="1072"/>
      <c r="P79" s="1072"/>
      <c r="Q79" s="1072"/>
      <c r="R79" s="1072"/>
      <c r="S79" s="1072"/>
      <c r="T79" s="1072"/>
      <c r="U79" s="1072"/>
      <c r="V79" s="1072"/>
      <c r="W79" s="1072"/>
      <c r="X79" s="1072"/>
      <c r="Y79" s="1072"/>
      <c r="Z79" s="1072"/>
      <c r="AA79" s="1072"/>
      <c r="AB79" s="1072"/>
      <c r="AC79" s="1072"/>
      <c r="AD79" s="1072"/>
      <c r="AE79" s="1072"/>
      <c r="AF79" s="1072"/>
      <c r="AG79" s="1072"/>
      <c r="AH79" s="1072"/>
      <c r="AI79" s="1072"/>
      <c r="AJ79" s="1072"/>
      <c r="AK79" s="1072"/>
      <c r="AL79" s="1072"/>
      <c r="AM79" s="1072"/>
      <c r="AN79" s="1072"/>
      <c r="AO79" s="1072"/>
      <c r="AP79" s="1072"/>
      <c r="AQ79" s="1072"/>
      <c r="AR79" s="1072"/>
      <c r="AS79" s="1072"/>
      <c r="AT79" s="1072"/>
      <c r="AU79" s="1072"/>
      <c r="AV79" s="1072"/>
      <c r="AW79" s="1072"/>
      <c r="AX79" s="1072"/>
      <c r="AY79" s="1072"/>
      <c r="AZ79" s="1072"/>
      <c r="BA79" s="1072"/>
      <c r="BB79" s="1072"/>
      <c r="BC79" s="1072"/>
      <c r="BD79" s="1072"/>
      <c r="BE79" s="1072"/>
      <c r="BF79" s="1072"/>
      <c r="BG79" s="1072"/>
      <c r="BH79" s="1072"/>
      <c r="BI79" s="1072"/>
    </row>
    <row r="80" spans="1:61" s="1008" customFormat="1" x14ac:dyDescent="0.2">
      <c r="A80" s="1008" t="s">
        <v>692</v>
      </c>
      <c r="D80" s="1072">
        <f>-D72</f>
        <v>-402896633</v>
      </c>
      <c r="E80" s="1147"/>
      <c r="F80" s="1072"/>
      <c r="G80" s="1072"/>
      <c r="H80" s="1072"/>
      <c r="I80" s="1072"/>
      <c r="J80" s="1072"/>
      <c r="K80" s="1072"/>
      <c r="L80" s="1072"/>
      <c r="M80" s="1072"/>
      <c r="N80" s="1072"/>
      <c r="O80" s="1072"/>
      <c r="P80" s="1072"/>
      <c r="Q80" s="1072"/>
      <c r="R80" s="1072"/>
      <c r="S80" s="1072"/>
      <c r="T80" s="1072"/>
      <c r="U80" s="1072"/>
      <c r="V80" s="1072"/>
      <c r="W80" s="1072"/>
      <c r="X80" s="1072"/>
      <c r="Y80" s="1072"/>
      <c r="Z80" s="1072"/>
      <c r="AA80" s="1072"/>
      <c r="AB80" s="1072"/>
      <c r="AC80" s="1072"/>
      <c r="AD80" s="1072"/>
      <c r="AE80" s="1072"/>
      <c r="AF80" s="1072"/>
      <c r="AG80" s="1072"/>
      <c r="AH80" s="1072"/>
      <c r="AI80" s="1072"/>
      <c r="AJ80" s="1072"/>
      <c r="AK80" s="1072"/>
      <c r="AL80" s="1072"/>
      <c r="AM80" s="1072"/>
      <c r="AN80" s="1072"/>
      <c r="AO80" s="1072"/>
      <c r="AP80" s="1072"/>
      <c r="AQ80" s="1072"/>
      <c r="AR80" s="1072"/>
      <c r="AS80" s="1072"/>
      <c r="AT80" s="1072"/>
      <c r="AU80" s="1072"/>
      <c r="AV80" s="1072"/>
      <c r="AW80" s="1072"/>
      <c r="AX80" s="1072"/>
      <c r="AY80" s="1072"/>
      <c r="AZ80" s="1072"/>
      <c r="BA80" s="1072"/>
      <c r="BB80" s="1072"/>
      <c r="BC80" s="1072"/>
      <c r="BD80" s="1072"/>
      <c r="BE80" s="1072"/>
      <c r="BF80" s="1072"/>
      <c r="BG80" s="1072"/>
      <c r="BH80" s="1072"/>
      <c r="BI80" s="1072"/>
    </row>
    <row r="81" spans="1:22" s="1029" customFormat="1" x14ac:dyDescent="0.2">
      <c r="A81" s="1029" t="s">
        <v>693</v>
      </c>
      <c r="D81" s="1148">
        <f>SUM(D79:D80)</f>
        <v>230835450</v>
      </c>
      <c r="E81" s="1148"/>
      <c r="F81" s="1148"/>
      <c r="G81" s="1148"/>
      <c r="H81" s="1148"/>
      <c r="I81" s="1148"/>
      <c r="J81" s="1148"/>
      <c r="K81" s="1148"/>
      <c r="L81" s="1148"/>
      <c r="M81" s="1148"/>
      <c r="N81" s="1148"/>
      <c r="O81" s="1148"/>
      <c r="P81" s="1148"/>
      <c r="Q81" s="1148"/>
      <c r="R81" s="1148"/>
      <c r="S81" s="1148"/>
      <c r="T81" s="1148"/>
      <c r="U81" s="1148"/>
      <c r="V81" s="1148"/>
    </row>
    <row r="82" spans="1:22" s="1008" customFormat="1" x14ac:dyDescent="0.2">
      <c r="D82" s="1072"/>
      <c r="E82" s="1147"/>
      <c r="F82" s="1072"/>
      <c r="G82" s="1072"/>
      <c r="H82" s="1072"/>
      <c r="I82" s="1072"/>
      <c r="J82" s="1072"/>
      <c r="K82" s="1072"/>
      <c r="L82" s="1072"/>
      <c r="M82" s="1072"/>
      <c r="N82" s="1072"/>
      <c r="O82" s="1072"/>
      <c r="P82" s="1072"/>
      <c r="Q82" s="1072"/>
      <c r="R82" s="1072"/>
      <c r="S82" s="1072"/>
      <c r="T82" s="1072"/>
      <c r="U82" s="1072"/>
      <c r="V82" s="1072"/>
    </row>
    <row r="83" spans="1:22" s="1008" customFormat="1" x14ac:dyDescent="0.2">
      <c r="A83" s="1008" t="s">
        <v>695</v>
      </c>
      <c r="D83" s="1072"/>
      <c r="E83" s="1147"/>
      <c r="F83" s="1072"/>
      <c r="G83" s="1072"/>
      <c r="H83" s="1072"/>
      <c r="I83" s="1072"/>
      <c r="J83" s="1072"/>
      <c r="K83" s="1072"/>
      <c r="L83" s="1072"/>
      <c r="M83" s="1072"/>
      <c r="N83" s="1072"/>
      <c r="O83" s="1072"/>
      <c r="P83" s="1072"/>
      <c r="Q83" s="1072"/>
      <c r="R83" s="1072"/>
      <c r="S83" s="1072"/>
      <c r="T83" s="1072"/>
      <c r="U83" s="1072" t="s">
        <v>788</v>
      </c>
      <c r="V83" s="1072">
        <f>165000*3</f>
        <v>495000</v>
      </c>
    </row>
    <row r="84" spans="1:22" s="1008" customFormat="1" x14ac:dyDescent="0.2">
      <c r="A84" s="1014">
        <v>5</v>
      </c>
      <c r="B84" s="287">
        <v>6</v>
      </c>
      <c r="C84" s="1222" t="str">
        <f>_xlfn.XLOOKUP(A84,Códigos!$A$421:$A$483,Códigos!$B$421:$B$483,"Verificar",0)</f>
        <v>Préstamos por Nómina a:</v>
      </c>
      <c r="D84" s="1092">
        <f>SUMIF('EGRESOS DE CAJA'!$D$9:$D$5958,C84,'EGRESOS DE CAJA'!$G$9:$G$5958)</f>
        <v>79803300</v>
      </c>
      <c r="E84" s="1147"/>
      <c r="F84" s="1072"/>
      <c r="G84" s="1072"/>
      <c r="H84" s="1072"/>
      <c r="I84" s="1072"/>
      <c r="J84" s="1072"/>
      <c r="K84" s="1072"/>
      <c r="L84" s="1072"/>
      <c r="M84" s="1072"/>
      <c r="N84" s="1072"/>
      <c r="O84" s="1072"/>
      <c r="P84" s="1072"/>
      <c r="Q84" s="1072"/>
      <c r="R84" s="1072"/>
      <c r="S84" s="1072"/>
      <c r="T84" s="1072"/>
      <c r="U84" s="1072" t="s">
        <v>789</v>
      </c>
      <c r="V84" s="1072">
        <f>(245561+43969+42870)*2</f>
        <v>664800</v>
      </c>
    </row>
    <row r="85" spans="1:22" s="1008" customFormat="1" ht="25.5" x14ac:dyDescent="0.2">
      <c r="A85" s="1014">
        <v>29</v>
      </c>
      <c r="B85" s="287"/>
      <c r="C85" s="1222" t="str">
        <f>_xlfn.XLOOKUP(A85,Códigos!$A$421:$A$483,Códigos!$B$421:$B$483,"Verificar",0)</f>
        <v>Egresos por Cuenta de Terceros -Pagos impuestos-</v>
      </c>
      <c r="D85" s="1092">
        <f>SUMIF('EGRESOS DE CAJA'!$D$9:$D$5958,C85,'EGRESOS DE CAJA'!$G$9:$G$5958)</f>
        <v>11346300</v>
      </c>
      <c r="E85" s="1147"/>
      <c r="F85" s="1072"/>
      <c r="G85" s="1072"/>
      <c r="H85" s="1072"/>
      <c r="I85" s="1072"/>
      <c r="J85" s="1072"/>
      <c r="K85" s="1072"/>
      <c r="L85" s="1072"/>
      <c r="M85" s="1072"/>
      <c r="N85" s="1072"/>
      <c r="O85" s="1072"/>
      <c r="P85" s="1072"/>
      <c r="Q85" s="1072"/>
      <c r="R85" s="1072"/>
      <c r="S85" s="1072"/>
      <c r="T85" s="1072"/>
      <c r="U85" s="1072" t="s">
        <v>790</v>
      </c>
      <c r="V85" s="1072">
        <f>1050000*2</f>
        <v>2100000</v>
      </c>
    </row>
    <row r="86" spans="1:22" s="1008" customFormat="1" ht="25.5" x14ac:dyDescent="0.2">
      <c r="A86" s="1014">
        <v>30</v>
      </c>
      <c r="B86" s="287"/>
      <c r="C86" s="1222" t="str">
        <f>_xlfn.XLOOKUP(A86,Códigos!$A$421:$A$483,Códigos!$B$421:$B$483,"Verificar",0)</f>
        <v>Egresos por Cuenta de Terceros -Seguridad social-</v>
      </c>
      <c r="D86" s="1092">
        <f>SUMIF('EGRESOS DE CAJA'!$D$9:$D$5958,C86,'EGRESOS DE CAJA'!$G$9:$G$5958)</f>
        <v>0</v>
      </c>
      <c r="E86" s="1147"/>
      <c r="F86" s="1072"/>
      <c r="G86" s="1072"/>
      <c r="H86" s="1072"/>
      <c r="I86" s="1072"/>
      <c r="J86" s="1072"/>
      <c r="K86" s="1072"/>
      <c r="L86" s="1072"/>
      <c r="M86" s="1072"/>
      <c r="N86" s="1072"/>
      <c r="O86" s="1072"/>
      <c r="P86" s="1072"/>
      <c r="Q86" s="1072"/>
      <c r="R86" s="1072"/>
      <c r="S86" s="1072"/>
      <c r="T86" s="1072"/>
      <c r="U86" s="1072" t="s">
        <v>791</v>
      </c>
      <c r="V86" s="1072">
        <f>158900*2</f>
        <v>317800</v>
      </c>
    </row>
    <row r="87" spans="1:22" s="1008" customFormat="1" ht="25.5" x14ac:dyDescent="0.2">
      <c r="A87" s="1014">
        <v>31</v>
      </c>
      <c r="B87" s="1013">
        <v>0</v>
      </c>
      <c r="C87" s="1222" t="str">
        <f>_xlfn.XLOOKUP(A87,Códigos!$A$421:$A$483,Códigos!$B$421:$B$483,"Verificar",0)</f>
        <v>Egresos por Cuenta de Terceros -Certificados y otros</v>
      </c>
      <c r="D87" s="1092">
        <f>SUMIF('EGRESOS DE CAJA'!$D$9:$D$5958,C87,'EGRESOS DE CAJA'!$G$9:$G$5958)</f>
        <v>0</v>
      </c>
      <c r="E87" s="1147"/>
      <c r="F87" s="1072"/>
      <c r="G87" s="1072"/>
      <c r="H87" s="1072"/>
      <c r="I87" s="1072"/>
      <c r="J87" s="1072"/>
      <c r="K87" s="1072"/>
      <c r="L87" s="1072"/>
      <c r="M87" s="1072"/>
      <c r="N87" s="1072"/>
      <c r="O87" s="1072"/>
      <c r="P87" s="1072"/>
      <c r="Q87" s="1072"/>
      <c r="R87" s="1072"/>
      <c r="S87" s="1072"/>
      <c r="T87" s="1072"/>
      <c r="U87" s="1072" t="s">
        <v>792</v>
      </c>
      <c r="V87" s="1072">
        <f>91608*2+500000</f>
        <v>683216</v>
      </c>
    </row>
    <row r="88" spans="1:22" s="1008" customFormat="1" ht="38.25" x14ac:dyDescent="0.2">
      <c r="A88" s="1013">
        <v>32</v>
      </c>
      <c r="B88" s="1013"/>
      <c r="C88" s="1222" t="str">
        <f>_xlfn.XLOOKUP(A88,Códigos!$A$421:$A$483,Códigos!$B$421:$B$483,"Verificar",0)</f>
        <v>Egresos por Cuenta de Terceros -Mantenimiento o compras de equipos y repuestos</v>
      </c>
      <c r="D88" s="1092">
        <f>SUMIF('EGRESOS DE CAJA'!$D$9:$D$5958,C88,'EGRESOS DE CAJA'!$G$9:$G$5958)</f>
        <v>0</v>
      </c>
      <c r="E88" s="1147"/>
      <c r="F88" s="1072"/>
      <c r="G88" s="1072"/>
      <c r="H88" s="1072"/>
      <c r="I88" s="1072"/>
      <c r="J88" s="1072"/>
      <c r="K88" s="1072"/>
      <c r="L88" s="1072"/>
      <c r="M88" s="1072"/>
      <c r="N88" s="1072"/>
      <c r="O88" s="1072"/>
      <c r="P88" s="1072"/>
      <c r="Q88" s="1072"/>
      <c r="R88" s="1072"/>
      <c r="S88" s="1072"/>
      <c r="T88" s="1072"/>
      <c r="U88" s="1072" t="s">
        <v>793</v>
      </c>
      <c r="V88" s="1072">
        <f>250000</f>
        <v>250000</v>
      </c>
    </row>
    <row r="89" spans="1:22" s="1008" customFormat="1" ht="25.5" x14ac:dyDescent="0.2">
      <c r="A89" s="1013">
        <v>33</v>
      </c>
      <c r="B89" s="1013"/>
      <c r="C89" s="1222" t="str">
        <f>_xlfn.XLOOKUP(A89,Códigos!$A$421:$A$483,Códigos!$B$421:$B$483,"Verificar",0)</f>
        <v>AJUSTE POR -Consignación - Traslado a Bancos</v>
      </c>
      <c r="D89" s="1092">
        <f>SUMIF('EGRESOS DE CAJA'!$D$9:$D$5958,C89,'EGRESOS DE CAJA'!$G$9:$G$5958)</f>
        <v>125181600</v>
      </c>
      <c r="E89" s="1147"/>
      <c r="F89" s="1072"/>
      <c r="G89" s="1072"/>
      <c r="H89" s="1072"/>
      <c r="I89" s="1072"/>
      <c r="J89" s="1072"/>
      <c r="K89" s="1072"/>
      <c r="L89" s="1072"/>
      <c r="M89" s="1072"/>
      <c r="N89" s="1072"/>
      <c r="O89" s="1072"/>
      <c r="P89" s="1072"/>
      <c r="Q89" s="1072"/>
      <c r="R89" s="1072"/>
      <c r="S89" s="1072"/>
      <c r="T89" s="1072"/>
      <c r="U89" s="1072" t="s">
        <v>794</v>
      </c>
      <c r="V89" s="1072">
        <f>550697+748413+668653</f>
        <v>1967763</v>
      </c>
    </row>
    <row r="90" spans="1:22" s="1008" customFormat="1" ht="25.5" x14ac:dyDescent="0.2">
      <c r="A90" s="1013">
        <v>34</v>
      </c>
      <c r="B90" s="1013"/>
      <c r="C90" s="1222" t="str">
        <f>_xlfn.XLOOKUP(A90,Códigos!$A$421:$A$483,Códigos!$B$421:$B$483,"Verificar",0)</f>
        <v>AJUSTE POR -Consignaciones pendientes de identificar</v>
      </c>
      <c r="D90" s="1092">
        <f>SUMIF('EGRESOS DE CAJA'!$D$9:$D$5958,C90,'EGRESOS DE CAJA'!$G$9:$G$5958)</f>
        <v>0</v>
      </c>
      <c r="E90" s="1147"/>
      <c r="F90" s="1072"/>
      <c r="G90" s="1072"/>
      <c r="H90" s="1072"/>
      <c r="I90" s="1072"/>
      <c r="J90" s="1072"/>
      <c r="K90" s="1072"/>
      <c r="L90" s="1072"/>
      <c r="M90" s="1072"/>
      <c r="N90" s="1072"/>
      <c r="O90" s="1072"/>
      <c r="P90" s="1072"/>
      <c r="Q90" s="1072"/>
      <c r="R90" s="1072"/>
      <c r="S90" s="1072"/>
      <c r="T90" s="1072"/>
      <c r="U90" s="1072"/>
      <c r="V90" s="1072"/>
    </row>
    <row r="91" spans="1:22" s="1008" customFormat="1" x14ac:dyDescent="0.2">
      <c r="A91" s="1219">
        <v>36</v>
      </c>
      <c r="B91" s="1219"/>
      <c r="C91" s="1222" t="str">
        <f>_xlfn.XLOOKUP(A91,Códigos!$A$421:$A$483,Códigos!$B$421:$B$483,"Verificar",0)</f>
        <v xml:space="preserve">Pago en efectivo </v>
      </c>
      <c r="D91" s="1092">
        <f>SUMIF('EGRESOS DE CAJA'!$D$9:$D$5958,C91,'EGRESOS DE CAJA'!$G$9:$G$5958)</f>
        <v>0</v>
      </c>
      <c r="E91" s="1147"/>
      <c r="F91" s="1072"/>
      <c r="G91" s="1072"/>
      <c r="H91" s="1072"/>
      <c r="I91" s="1072"/>
      <c r="J91" s="1072"/>
      <c r="K91" s="1072"/>
      <c r="L91" s="1072"/>
      <c r="M91" s="1072"/>
      <c r="N91" s="1072"/>
      <c r="O91" s="1072"/>
      <c r="P91" s="1072"/>
      <c r="Q91" s="1072"/>
      <c r="R91" s="1072"/>
      <c r="S91" s="1072"/>
      <c r="T91" s="1072"/>
      <c r="U91" s="1072"/>
      <c r="V91" s="1072"/>
    </row>
    <row r="92" spans="1:22" s="1008" customFormat="1" x14ac:dyDescent="0.2">
      <c r="A92" s="1219">
        <v>38</v>
      </c>
      <c r="B92" s="1219"/>
      <c r="C92" s="1222" t="str">
        <f>_xlfn.XLOOKUP(A92,Códigos!$A$421:$A$483,Códigos!$B$421:$B$483,"Verificar",0)</f>
        <v>Pagos de bonificaciones</v>
      </c>
      <c r="D92" s="1092">
        <f>SUMIF('EGRESOS DE CAJA'!$D$9:$D$5958,C92,'EGRESOS DE CAJA'!$G$9:$G$5958)</f>
        <v>0</v>
      </c>
      <c r="E92" s="1147"/>
      <c r="F92" s="1072"/>
      <c r="G92" s="1072"/>
      <c r="H92" s="1072"/>
      <c r="I92" s="1072"/>
      <c r="J92" s="1072"/>
      <c r="K92" s="1072"/>
      <c r="L92" s="1072"/>
      <c r="M92" s="1072"/>
      <c r="N92" s="1072"/>
      <c r="O92" s="1072"/>
      <c r="P92" s="1072"/>
      <c r="Q92" s="1072"/>
      <c r="R92" s="1072"/>
      <c r="S92" s="1072"/>
      <c r="T92" s="1072"/>
      <c r="U92" s="1072"/>
      <c r="V92" s="1072"/>
    </row>
    <row r="93" spans="1:22" s="1008" customFormat="1" x14ac:dyDescent="0.2">
      <c r="A93" s="1219">
        <v>39</v>
      </c>
      <c r="B93" s="1219"/>
      <c r="C93" s="1222" t="str">
        <f>_xlfn.XLOOKUP(A93,Códigos!$A$421:$A$483,Códigos!$B$421:$B$483,"Verificar",0)</f>
        <v>Pago intereses préstamo Juliana</v>
      </c>
      <c r="D93" s="1092">
        <f>SUMIF('EGRESOS DE CAJA'!$D$9:$D$5958,C93,'EGRESOS DE CAJA'!$G$9:$G$5958)</f>
        <v>3500000</v>
      </c>
      <c r="E93" s="1147"/>
      <c r="F93" s="1072"/>
      <c r="G93" s="1072"/>
      <c r="H93" s="1072"/>
      <c r="I93" s="1072"/>
      <c r="J93" s="1072"/>
      <c r="K93" s="1072"/>
      <c r="L93" s="1072"/>
      <c r="M93" s="1072"/>
      <c r="N93" s="1072"/>
      <c r="O93" s="1072"/>
      <c r="P93" s="1072"/>
      <c r="Q93" s="1072"/>
      <c r="R93" s="1072"/>
      <c r="S93" s="1072"/>
      <c r="T93" s="1072"/>
      <c r="U93" s="1072"/>
      <c r="V93" s="1072"/>
    </row>
    <row r="94" spans="1:22" s="1008" customFormat="1" ht="25.5" x14ac:dyDescent="0.2">
      <c r="A94" s="1219">
        <v>40</v>
      </c>
      <c r="B94" s="1219"/>
      <c r="C94" s="1222" t="str">
        <f>_xlfn.XLOOKUP(A94,Códigos!$A$421:$A$483,Códigos!$B$421:$B$483,"Verificar",0)</f>
        <v>Rembolso por retención en la fuente no descontadas</v>
      </c>
      <c r="D94" s="1092">
        <f>SUMIF('EGRESOS DE CAJA'!$D$9:$D$5958,C94,'EGRESOS DE CAJA'!$G$9:$G$5958)</f>
        <v>0</v>
      </c>
      <c r="E94" s="1147"/>
      <c r="F94" s="1072"/>
      <c r="G94" s="1072"/>
      <c r="H94" s="1072"/>
      <c r="I94" s="1072"/>
      <c r="J94" s="1072"/>
      <c r="K94" s="1072"/>
      <c r="L94" s="1072"/>
      <c r="M94" s="1072"/>
      <c r="N94" s="1072"/>
      <c r="O94" s="1072"/>
      <c r="P94" s="1072"/>
      <c r="Q94" s="1072"/>
      <c r="R94" s="1072"/>
      <c r="S94" s="1072"/>
      <c r="T94" s="1072"/>
      <c r="U94" s="1072"/>
      <c r="V94" s="1072"/>
    </row>
    <row r="97" spans="1:22" s="1008" customFormat="1" x14ac:dyDescent="0.2">
      <c r="A97" s="1219"/>
      <c r="B97" s="1219"/>
      <c r="C97" s="1019"/>
      <c r="D97" s="1092"/>
      <c r="E97" s="1147"/>
      <c r="F97" s="1072"/>
      <c r="G97" s="1072"/>
      <c r="H97" s="1072"/>
      <c r="I97" s="1072"/>
      <c r="J97" s="1072"/>
      <c r="K97" s="1072"/>
      <c r="L97" s="1072"/>
      <c r="M97" s="1072"/>
      <c r="N97" s="1072"/>
      <c r="O97" s="1072"/>
      <c r="P97" s="1072"/>
      <c r="Q97" s="1072"/>
      <c r="R97" s="1072"/>
      <c r="S97" s="1072"/>
      <c r="T97" s="1072"/>
      <c r="U97" s="1072" t="s">
        <v>795</v>
      </c>
      <c r="V97" s="1072">
        <f>350000*6</f>
        <v>2100000</v>
      </c>
    </row>
    <row r="98" spans="1:22" s="1028" customFormat="1" x14ac:dyDescent="0.2">
      <c r="A98" s="1028" t="s">
        <v>696</v>
      </c>
      <c r="D98" s="1147">
        <f>SUM(D84:D97)</f>
        <v>219831200</v>
      </c>
      <c r="E98" s="1147"/>
      <c r="F98" s="1147"/>
      <c r="G98" s="1147"/>
      <c r="H98" s="1147"/>
      <c r="I98" s="1147"/>
      <c r="J98" s="1147"/>
      <c r="K98" s="1147"/>
      <c r="L98" s="1147"/>
      <c r="M98" s="1147"/>
      <c r="N98" s="1147"/>
      <c r="O98" s="1147"/>
      <c r="P98" s="1147"/>
      <c r="Q98" s="1147"/>
      <c r="R98" s="1147"/>
      <c r="S98" s="1147"/>
      <c r="T98" s="1147"/>
      <c r="U98" s="1147" t="s">
        <v>796</v>
      </c>
      <c r="V98" s="1147">
        <f>200000*6</f>
        <v>1200000</v>
      </c>
    </row>
    <row r="99" spans="1:22" s="1008" customFormat="1" x14ac:dyDescent="0.2">
      <c r="A99" s="1008" t="s">
        <v>698</v>
      </c>
      <c r="D99" s="1072">
        <f>+D98-D81</f>
        <v>-11004250</v>
      </c>
      <c r="E99" s="1149"/>
      <c r="F99" s="1072"/>
      <c r="G99" s="1072"/>
      <c r="H99" s="1072"/>
      <c r="I99" s="1072"/>
      <c r="J99" s="1072"/>
      <c r="K99" s="1072"/>
      <c r="L99" s="1072"/>
      <c r="M99" s="1072"/>
      <c r="N99" s="1072"/>
      <c r="O99" s="1072"/>
      <c r="P99" s="1072"/>
      <c r="Q99" s="1072"/>
      <c r="R99" s="1072"/>
      <c r="S99" s="1072"/>
      <c r="T99" s="1072"/>
      <c r="U99" s="1072" t="s">
        <v>797</v>
      </c>
      <c r="V99" s="1072">
        <f>529500*4</f>
        <v>2118000</v>
      </c>
    </row>
    <row r="100" spans="1:22" s="1008" customFormat="1" x14ac:dyDescent="0.2">
      <c r="D100" s="1072"/>
      <c r="E100" s="1147"/>
      <c r="F100" s="1072"/>
      <c r="G100" s="1072"/>
      <c r="H100" s="1072"/>
      <c r="I100" s="1072"/>
      <c r="J100" s="1072"/>
      <c r="K100" s="1072"/>
      <c r="L100" s="1072"/>
      <c r="M100" s="1072"/>
      <c r="N100" s="1072"/>
      <c r="O100" s="1072"/>
      <c r="P100" s="1072"/>
      <c r="Q100" s="1072"/>
      <c r="R100" s="1072"/>
      <c r="S100" s="1072"/>
      <c r="T100" s="1072"/>
      <c r="U100" s="1072" t="s">
        <v>802</v>
      </c>
      <c r="V100" s="1072">
        <f>32990+65000+33000</f>
        <v>130990</v>
      </c>
    </row>
    <row r="101" spans="1:22" s="1008" customFormat="1" x14ac:dyDescent="0.2">
      <c r="D101" s="1072"/>
      <c r="E101" s="1147"/>
      <c r="F101" s="1072"/>
      <c r="G101" s="1072"/>
      <c r="H101" s="1072"/>
      <c r="I101" s="1072"/>
      <c r="J101" s="1072"/>
      <c r="K101" s="1072"/>
      <c r="L101" s="1072"/>
      <c r="M101" s="1072"/>
      <c r="N101" s="1072"/>
      <c r="O101" s="1072"/>
      <c r="P101" s="1072"/>
      <c r="Q101" s="1072"/>
      <c r="R101" s="1072"/>
      <c r="S101" s="1072"/>
      <c r="T101" s="1072"/>
      <c r="U101" s="1072" t="s">
        <v>798</v>
      </c>
      <c r="V101" s="1072">
        <f>317000*3</f>
        <v>951000</v>
      </c>
    </row>
    <row r="102" spans="1:22" s="1008" customFormat="1" x14ac:dyDescent="0.2">
      <c r="D102" s="1072"/>
      <c r="E102" s="1147"/>
      <c r="F102" s="1072"/>
      <c r="G102" s="1072"/>
      <c r="H102" s="1072"/>
      <c r="I102" s="1072"/>
      <c r="J102" s="1072"/>
      <c r="K102" s="1072"/>
      <c r="L102" s="1072"/>
      <c r="M102" s="1072"/>
      <c r="N102" s="1072"/>
      <c r="O102" s="1072"/>
      <c r="P102" s="1072"/>
      <c r="Q102" s="1072"/>
      <c r="R102" s="1072"/>
      <c r="S102" s="1072"/>
      <c r="T102" s="1072"/>
      <c r="U102" s="1072" t="s">
        <v>799</v>
      </c>
      <c r="V102" s="1072">
        <f>1097148+629351</f>
        <v>1726499</v>
      </c>
    </row>
    <row r="103" spans="1:22" s="1008" customFormat="1" x14ac:dyDescent="0.2">
      <c r="D103" s="1072"/>
      <c r="E103" s="1147"/>
      <c r="F103" s="1072"/>
      <c r="G103" s="1072"/>
      <c r="H103" s="1072"/>
      <c r="I103" s="1072"/>
      <c r="J103" s="1072"/>
      <c r="K103" s="1072"/>
      <c r="L103" s="1072"/>
      <c r="M103" s="1072"/>
      <c r="N103" s="1072"/>
      <c r="O103" s="1072"/>
      <c r="P103" s="1072"/>
      <c r="Q103" s="1072"/>
      <c r="R103" s="1072"/>
      <c r="S103" s="1072"/>
      <c r="T103" s="1072"/>
      <c r="U103" s="1072" t="s">
        <v>800</v>
      </c>
      <c r="V103" s="1072">
        <f>200000*3</f>
        <v>600000</v>
      </c>
    </row>
    <row r="104" spans="1:22" s="1008" customFormat="1" x14ac:dyDescent="0.2">
      <c r="D104" s="1072"/>
      <c r="E104" s="1147"/>
      <c r="F104" s="1072"/>
      <c r="G104" s="1072"/>
      <c r="H104" s="1072"/>
      <c r="I104" s="1072"/>
      <c r="J104" s="1072"/>
      <c r="K104" s="1072"/>
      <c r="L104" s="1072"/>
      <c r="M104" s="1072"/>
      <c r="N104" s="1072"/>
      <c r="O104" s="1072"/>
      <c r="P104" s="1072"/>
      <c r="Q104" s="1072"/>
      <c r="R104" s="1072"/>
      <c r="S104" s="1072"/>
      <c r="T104" s="1072"/>
      <c r="U104" s="1072" t="s">
        <v>801</v>
      </c>
      <c r="V104" s="1072">
        <v>100000</v>
      </c>
    </row>
    <row r="105" spans="1:22" s="1008" customFormat="1" x14ac:dyDescent="0.2">
      <c r="D105" s="1072"/>
      <c r="E105" s="1147"/>
      <c r="F105" s="1072"/>
      <c r="G105" s="1072"/>
      <c r="H105" s="1072"/>
      <c r="I105" s="1072"/>
      <c r="J105" s="1072"/>
      <c r="K105" s="1072"/>
      <c r="L105" s="1072"/>
      <c r="M105" s="1072"/>
      <c r="N105" s="1072"/>
      <c r="O105" s="1072"/>
      <c r="P105" s="1072"/>
      <c r="Q105" s="1072"/>
      <c r="R105" s="1072"/>
      <c r="S105" s="1072"/>
      <c r="T105" s="1072"/>
      <c r="U105" s="1072" t="s">
        <v>794</v>
      </c>
      <c r="V105" s="1072">
        <f>264000+380100+322100</f>
        <v>966200</v>
      </c>
    </row>
    <row r="106" spans="1:22" s="1008" customFormat="1" x14ac:dyDescent="0.2">
      <c r="D106" s="1072"/>
      <c r="E106" s="1147"/>
      <c r="F106" s="1072"/>
      <c r="G106" s="1072"/>
      <c r="H106" s="1072"/>
      <c r="I106" s="1072"/>
      <c r="J106" s="1072"/>
      <c r="K106" s="1072"/>
      <c r="L106" s="1072"/>
      <c r="M106" s="1072"/>
      <c r="N106" s="1072"/>
      <c r="O106" s="1072"/>
      <c r="P106" s="1072"/>
      <c r="Q106" s="1072"/>
      <c r="R106" s="1072"/>
      <c r="S106" s="1072"/>
      <c r="T106" s="1072"/>
      <c r="U106" s="1072" t="s">
        <v>803</v>
      </c>
      <c r="V106" s="1072">
        <v>500000</v>
      </c>
    </row>
    <row r="107" spans="1:22" s="1008" customFormat="1" x14ac:dyDescent="0.2">
      <c r="D107" s="1072"/>
      <c r="E107" s="1147"/>
      <c r="F107" s="1072"/>
      <c r="G107" s="1072"/>
      <c r="H107" s="1072"/>
      <c r="I107" s="1072"/>
      <c r="J107" s="1072"/>
      <c r="K107" s="1072"/>
      <c r="L107" s="1072"/>
      <c r="M107" s="1072"/>
      <c r="N107" s="1072"/>
      <c r="O107" s="1072"/>
      <c r="P107" s="1072"/>
      <c r="Q107" s="1072"/>
      <c r="R107" s="1072"/>
      <c r="S107" s="1072"/>
      <c r="T107" s="1072"/>
      <c r="U107" s="1072"/>
      <c r="V107" s="1072"/>
    </row>
    <row r="108" spans="1:22" s="1008" customFormat="1" x14ac:dyDescent="0.2">
      <c r="D108" s="1072"/>
      <c r="E108" s="1147"/>
      <c r="F108" s="1072"/>
      <c r="G108" s="1072"/>
      <c r="H108" s="1072"/>
      <c r="I108" s="1072"/>
      <c r="J108" s="1072"/>
      <c r="K108" s="1072"/>
      <c r="L108" s="1072"/>
      <c r="M108" s="1072"/>
      <c r="N108" s="1072"/>
      <c r="O108" s="1072"/>
      <c r="P108" s="1072"/>
      <c r="Q108" s="1072"/>
      <c r="R108" s="1072"/>
      <c r="S108" s="1072"/>
      <c r="T108" s="1072"/>
      <c r="U108" s="1072"/>
      <c r="V108" s="1072"/>
    </row>
    <row r="109" spans="1:22" s="1008" customFormat="1" x14ac:dyDescent="0.2">
      <c r="D109" s="1072"/>
      <c r="E109" s="1147"/>
      <c r="F109" s="1072"/>
      <c r="G109" s="1072"/>
      <c r="H109" s="1072"/>
      <c r="I109" s="1072"/>
      <c r="J109" s="1072"/>
      <c r="K109" s="1072"/>
      <c r="L109" s="1072"/>
      <c r="M109" s="1072"/>
      <c r="N109" s="1072"/>
      <c r="O109" s="1072"/>
      <c r="P109" s="1072"/>
      <c r="Q109" s="1072"/>
      <c r="R109" s="1072"/>
      <c r="S109" s="1072"/>
      <c r="T109" s="1072"/>
      <c r="U109" s="1072"/>
      <c r="V109" s="1072"/>
    </row>
    <row r="110" spans="1:22" s="1008" customFormat="1" x14ac:dyDescent="0.2">
      <c r="D110" s="1072"/>
      <c r="E110" s="1147"/>
      <c r="F110" s="1072"/>
      <c r="G110" s="1072"/>
      <c r="H110" s="1072"/>
      <c r="I110" s="1072"/>
      <c r="J110" s="1072"/>
      <c r="K110" s="1072"/>
      <c r="L110" s="1072"/>
      <c r="M110" s="1072"/>
      <c r="N110" s="1072"/>
      <c r="O110" s="1072"/>
      <c r="P110" s="1072"/>
      <c r="Q110" s="1072"/>
      <c r="R110" s="1072"/>
      <c r="S110" s="1072"/>
      <c r="T110" s="1072"/>
      <c r="U110" s="1072"/>
      <c r="V110" s="1072"/>
    </row>
    <row r="111" spans="1:22" s="1008" customFormat="1" x14ac:dyDescent="0.2">
      <c r="C111" s="1373" t="s">
        <v>291</v>
      </c>
      <c r="D111" s="1374"/>
      <c r="E111" s="1150"/>
      <c r="F111" s="1072"/>
      <c r="G111" s="1072"/>
      <c r="H111" s="1072"/>
      <c r="I111" s="1072"/>
      <c r="J111" s="1072"/>
      <c r="K111" s="1072"/>
      <c r="L111" s="1072"/>
      <c r="M111" s="1072"/>
      <c r="N111" s="1072"/>
      <c r="O111" s="1072"/>
      <c r="P111" s="1072"/>
      <c r="Q111" s="1072"/>
      <c r="R111" s="1072"/>
      <c r="S111" s="1072"/>
      <c r="T111" s="1072"/>
      <c r="U111" s="1072"/>
      <c r="V111" s="1072"/>
    </row>
    <row r="112" spans="1:22" s="1008" customFormat="1" x14ac:dyDescent="0.2">
      <c r="C112" s="1030" t="s">
        <v>292</v>
      </c>
      <c r="D112" s="1151">
        <f>+C3</f>
        <v>2025</v>
      </c>
      <c r="E112" s="1152"/>
      <c r="F112" s="1072"/>
      <c r="G112" s="1072"/>
      <c r="H112" s="1072"/>
      <c r="I112" s="1072"/>
      <c r="J112" s="1072"/>
      <c r="K112" s="1072"/>
      <c r="L112" s="1072"/>
      <c r="M112" s="1072"/>
      <c r="N112" s="1072"/>
      <c r="O112" s="1072"/>
      <c r="P112" s="1072"/>
      <c r="Q112" s="1072"/>
      <c r="R112" s="1072"/>
      <c r="S112" s="1072"/>
      <c r="T112" s="1072"/>
      <c r="U112" s="1072"/>
      <c r="V112" s="1072">
        <f>SUM(V83:V111)</f>
        <v>16871268</v>
      </c>
    </row>
    <row r="113" spans="3:4" s="1008" customFormat="1" x14ac:dyDescent="0.2">
      <c r="C113" s="1031" t="s">
        <v>293</v>
      </c>
      <c r="D113" s="1153">
        <v>100000</v>
      </c>
    </row>
    <row r="114" spans="3:4" s="1008" customFormat="1" x14ac:dyDescent="0.2">
      <c r="C114" s="1031" t="s">
        <v>294</v>
      </c>
      <c r="D114" s="1154">
        <v>30000</v>
      </c>
    </row>
    <row r="115" spans="3:4" s="1008" customFormat="1" x14ac:dyDescent="0.2">
      <c r="C115" s="1031" t="s">
        <v>295</v>
      </c>
      <c r="D115" s="1154">
        <v>30000</v>
      </c>
    </row>
    <row r="116" spans="3:4" s="1008" customFormat="1" x14ac:dyDescent="0.2">
      <c r="C116" s="1031" t="s">
        <v>296</v>
      </c>
      <c r="D116" s="1154">
        <v>30000</v>
      </c>
    </row>
    <row r="117" spans="3:4" s="1008" customFormat="1" x14ac:dyDescent="0.2">
      <c r="C117" s="1031" t="s">
        <v>807</v>
      </c>
      <c r="D117" s="1154">
        <f>+D116</f>
        <v>30000</v>
      </c>
    </row>
    <row r="118" spans="3:4" s="1008" customFormat="1" x14ac:dyDescent="0.2">
      <c r="C118" s="1031" t="s">
        <v>806</v>
      </c>
      <c r="D118" s="1154">
        <f>+D117</f>
        <v>30000</v>
      </c>
    </row>
    <row r="119" spans="3:4" s="1008" customFormat="1" x14ac:dyDescent="0.2">
      <c r="C119" s="1031"/>
      <c r="D119" s="1154"/>
    </row>
    <row r="120" spans="3:4" s="1008" customFormat="1" x14ac:dyDescent="0.2">
      <c r="C120" s="1031"/>
      <c r="D120" s="1154"/>
    </row>
    <row r="121" spans="3:4" s="1008" customFormat="1" x14ac:dyDescent="0.2">
      <c r="C121" s="1030" t="s">
        <v>298</v>
      </c>
      <c r="D121" s="1155">
        <f>SUM(D113:D120)</f>
        <v>250000</v>
      </c>
    </row>
    <row r="122" spans="3:4" s="1008" customFormat="1" x14ac:dyDescent="0.2">
      <c r="C122" s="1031"/>
      <c r="D122" s="1154"/>
    </row>
    <row r="123" spans="3:4" s="1008" customFormat="1" x14ac:dyDescent="0.2">
      <c r="C123" s="1030" t="s">
        <v>297</v>
      </c>
      <c r="D123" s="1154"/>
    </row>
    <row r="124" spans="3:4" s="1008" customFormat="1" x14ac:dyDescent="0.2">
      <c r="C124" s="1031" t="s">
        <v>816</v>
      </c>
      <c r="D124" s="1154">
        <v>30000</v>
      </c>
    </row>
    <row r="125" spans="3:4" s="1008" customFormat="1" x14ac:dyDescent="0.2">
      <c r="C125" s="1031" t="s">
        <v>817</v>
      </c>
      <c r="D125" s="1154">
        <f>+D124</f>
        <v>30000</v>
      </c>
    </row>
    <row r="126" spans="3:4" s="1008" customFormat="1" x14ac:dyDescent="0.2">
      <c r="C126" s="1031" t="s">
        <v>818</v>
      </c>
      <c r="D126" s="1154">
        <f>+D125</f>
        <v>30000</v>
      </c>
    </row>
    <row r="127" spans="3:4" s="1008" customFormat="1" x14ac:dyDescent="0.2">
      <c r="C127" s="1031" t="s">
        <v>819</v>
      </c>
      <c r="D127" s="1154">
        <f t="shared" ref="D127" si="11">+D126</f>
        <v>30000</v>
      </c>
    </row>
    <row r="128" spans="3:4" s="1008" customFormat="1" x14ac:dyDescent="0.2">
      <c r="C128" s="1030" t="s">
        <v>298</v>
      </c>
      <c r="D128" s="1155">
        <f>SUM(D124:D127)</f>
        <v>120000</v>
      </c>
    </row>
    <row r="130" spans="3:4" s="1008" customFormat="1" x14ac:dyDescent="0.2">
      <c r="C130" s="1030" t="s">
        <v>299</v>
      </c>
      <c r="D130" s="1154"/>
    </row>
    <row r="131" spans="3:4" s="1008" customFormat="1" x14ac:dyDescent="0.2">
      <c r="C131" s="1031" t="s">
        <v>808</v>
      </c>
      <c r="D131" s="1154"/>
    </row>
    <row r="132" spans="3:4" s="1008" customFormat="1" x14ac:dyDescent="0.2">
      <c r="C132" s="1031" t="s">
        <v>809</v>
      </c>
      <c r="D132" s="1154"/>
    </row>
    <row r="133" spans="3:4" s="1008" customFormat="1" x14ac:dyDescent="0.2">
      <c r="C133" s="1031" t="s">
        <v>810</v>
      </c>
      <c r="D133" s="1154"/>
    </row>
    <row r="134" spans="3:4" s="1008" customFormat="1" x14ac:dyDescent="0.2">
      <c r="C134" s="1031"/>
      <c r="D134" s="1154"/>
    </row>
    <row r="135" spans="3:4" s="1008" customFormat="1" x14ac:dyDescent="0.2">
      <c r="C135" s="1030" t="s">
        <v>102</v>
      </c>
      <c r="D135" s="1155">
        <f>SUM(D130:D134)</f>
        <v>0</v>
      </c>
    </row>
    <row r="153" spans="3:4" s="1008" customFormat="1" x14ac:dyDescent="0.2">
      <c r="C153" s="1030" t="s">
        <v>102</v>
      </c>
      <c r="D153" s="1155">
        <f>SUM(D138:D152)</f>
        <v>0</v>
      </c>
    </row>
    <row r="154" spans="3:4" s="1008" customFormat="1" x14ac:dyDescent="0.2">
      <c r="C154" s="1031"/>
      <c r="D154" s="1154"/>
    </row>
    <row r="155" spans="3:4" s="1008" customFormat="1" x14ac:dyDescent="0.2">
      <c r="C155" s="1032" t="s">
        <v>300</v>
      </c>
      <c r="D155" s="1156">
        <f>+D121+D128+D135+D153</f>
        <v>370000</v>
      </c>
    </row>
    <row r="161" spans="1:5" x14ac:dyDescent="0.2">
      <c r="B161" s="14" t="s">
        <v>820</v>
      </c>
    </row>
    <row r="162" spans="1:5" x14ac:dyDescent="0.2">
      <c r="C162" s="14">
        <v>604</v>
      </c>
      <c r="D162" s="134">
        <v>264000</v>
      </c>
    </row>
    <row r="163" spans="1:5" x14ac:dyDescent="0.2">
      <c r="C163" s="14">
        <v>605</v>
      </c>
      <c r="D163" s="134">
        <v>380100</v>
      </c>
    </row>
    <row r="164" spans="1:5" x14ac:dyDescent="0.2">
      <c r="C164" s="14">
        <v>608</v>
      </c>
      <c r="D164" s="134">
        <v>322100</v>
      </c>
    </row>
    <row r="165" spans="1:5" x14ac:dyDescent="0.2">
      <c r="D165" s="134">
        <f>SUM(D162:D164)</f>
        <v>966200</v>
      </c>
    </row>
    <row r="175" spans="1:5" x14ac:dyDescent="0.2">
      <c r="A175" s="1219">
        <v>1</v>
      </c>
      <c r="C175" s="832" t="s">
        <v>424</v>
      </c>
      <c r="D175" s="831">
        <v>1</v>
      </c>
      <c r="E175" s="832" t="s">
        <v>424</v>
      </c>
    </row>
    <row r="176" spans="1:5" ht="25.5" x14ac:dyDescent="0.2">
      <c r="A176" s="1219">
        <v>2</v>
      </c>
      <c r="C176" s="832" t="s">
        <v>458</v>
      </c>
      <c r="D176" s="831">
        <v>2</v>
      </c>
      <c r="E176" s="832" t="s">
        <v>458</v>
      </c>
    </row>
    <row r="177" spans="1:5" ht="38.25" x14ac:dyDescent="0.2">
      <c r="A177" s="1219">
        <v>3</v>
      </c>
      <c r="C177" s="832" t="s">
        <v>459</v>
      </c>
      <c r="D177" s="831">
        <v>3</v>
      </c>
      <c r="E177" s="832" t="s">
        <v>459</v>
      </c>
    </row>
    <row r="178" spans="1:5" ht="25.5" x14ac:dyDescent="0.2">
      <c r="A178" s="1219">
        <v>4</v>
      </c>
      <c r="C178" s="832" t="s">
        <v>427</v>
      </c>
      <c r="D178" s="831">
        <v>4</v>
      </c>
      <c r="E178" s="832" t="s">
        <v>427</v>
      </c>
    </row>
    <row r="179" spans="1:5" ht="25.5" x14ac:dyDescent="0.2">
      <c r="A179" s="1219">
        <v>5</v>
      </c>
      <c r="C179" s="832" t="s">
        <v>426</v>
      </c>
      <c r="D179" s="831">
        <v>5</v>
      </c>
      <c r="E179" s="832" t="s">
        <v>426</v>
      </c>
    </row>
    <row r="180" spans="1:5" ht="25.5" x14ac:dyDescent="0.2">
      <c r="C180" s="832" t="s">
        <v>426</v>
      </c>
      <c r="D180" s="831">
        <v>6</v>
      </c>
      <c r="E180" s="832" t="s">
        <v>426</v>
      </c>
    </row>
    <row r="181" spans="1:5" ht="25.5" x14ac:dyDescent="0.2">
      <c r="A181" s="1219">
        <v>7</v>
      </c>
      <c r="C181" s="832" t="s">
        <v>462</v>
      </c>
      <c r="D181" s="831">
        <v>7</v>
      </c>
      <c r="E181" s="832" t="s">
        <v>462</v>
      </c>
    </row>
    <row r="182" spans="1:5" ht="38.25" x14ac:dyDescent="0.2">
      <c r="A182" s="1219">
        <v>8</v>
      </c>
      <c r="C182" s="832" t="s">
        <v>463</v>
      </c>
      <c r="D182" s="831">
        <v>8</v>
      </c>
      <c r="E182" s="832" t="s">
        <v>463</v>
      </c>
    </row>
    <row r="183" spans="1:5" ht="38.25" x14ac:dyDescent="0.2">
      <c r="A183" s="1219">
        <v>9</v>
      </c>
      <c r="C183" s="832" t="s">
        <v>482</v>
      </c>
      <c r="D183" s="831">
        <v>9</v>
      </c>
      <c r="E183" s="832" t="s">
        <v>482</v>
      </c>
    </row>
    <row r="184" spans="1:5" ht="38.25" x14ac:dyDescent="0.2">
      <c r="A184" s="1219">
        <v>10</v>
      </c>
      <c r="C184" s="832" t="s">
        <v>483</v>
      </c>
      <c r="D184" s="831">
        <v>10</v>
      </c>
      <c r="E184" s="832" t="s">
        <v>483</v>
      </c>
    </row>
    <row r="185" spans="1:5" ht="38.25" x14ac:dyDescent="0.2">
      <c r="A185" s="1219">
        <v>11</v>
      </c>
      <c r="C185" s="832" t="s">
        <v>484</v>
      </c>
      <c r="D185" s="831">
        <v>11</v>
      </c>
      <c r="E185" s="832" t="s">
        <v>484</v>
      </c>
    </row>
    <row r="186" spans="1:5" ht="25.5" x14ac:dyDescent="0.2">
      <c r="A186" s="1219">
        <v>12</v>
      </c>
      <c r="C186" s="832" t="s">
        <v>464</v>
      </c>
      <c r="D186" s="831">
        <v>12</v>
      </c>
      <c r="E186" s="832" t="s">
        <v>464</v>
      </c>
    </row>
    <row r="187" spans="1:5" ht="25.5" x14ac:dyDescent="0.2">
      <c r="A187" s="1219">
        <v>13</v>
      </c>
      <c r="C187" s="832" t="s">
        <v>465</v>
      </c>
      <c r="D187" s="831">
        <v>13</v>
      </c>
      <c r="E187" s="832" t="s">
        <v>465</v>
      </c>
    </row>
    <row r="188" spans="1:5" ht="38.25" x14ac:dyDescent="0.2">
      <c r="A188" s="1219">
        <v>14</v>
      </c>
      <c r="C188" s="832" t="s">
        <v>466</v>
      </c>
      <c r="D188" s="831">
        <v>14</v>
      </c>
      <c r="E188" s="832" t="s">
        <v>466</v>
      </c>
    </row>
    <row r="189" spans="1:5" ht="51" x14ac:dyDescent="0.2">
      <c r="A189" s="1219">
        <v>15</v>
      </c>
      <c r="C189" s="832" t="s">
        <v>467</v>
      </c>
      <c r="D189" s="831">
        <v>15</v>
      </c>
      <c r="E189" s="832" t="s">
        <v>467</v>
      </c>
    </row>
    <row r="190" spans="1:5" ht="38.25" x14ac:dyDescent="0.2">
      <c r="A190" s="1219">
        <v>16</v>
      </c>
      <c r="C190" s="832" t="s">
        <v>468</v>
      </c>
      <c r="D190" s="831">
        <v>16</v>
      </c>
      <c r="E190" s="832" t="s">
        <v>468</v>
      </c>
    </row>
    <row r="191" spans="1:5" ht="51" x14ac:dyDescent="0.2">
      <c r="A191" s="1219">
        <v>17</v>
      </c>
      <c r="C191" s="832" t="s">
        <v>479</v>
      </c>
      <c r="D191" s="831">
        <v>17</v>
      </c>
      <c r="E191" s="832" t="s">
        <v>479</v>
      </c>
    </row>
    <row r="192" spans="1:5" ht="38.25" x14ac:dyDescent="0.2">
      <c r="A192" s="1219">
        <v>18</v>
      </c>
      <c r="C192" s="832" t="s">
        <v>461</v>
      </c>
      <c r="D192" s="831">
        <v>18</v>
      </c>
      <c r="E192" s="832" t="s">
        <v>461</v>
      </c>
    </row>
    <row r="193" spans="1:5" ht="25.5" x14ac:dyDescent="0.2">
      <c r="A193" s="1219">
        <v>19</v>
      </c>
      <c r="C193" s="832" t="s">
        <v>460</v>
      </c>
      <c r="D193" s="831">
        <v>19</v>
      </c>
      <c r="E193" s="832" t="s">
        <v>460</v>
      </c>
    </row>
    <row r="194" spans="1:5" ht="25.5" x14ac:dyDescent="0.2">
      <c r="A194" s="1219">
        <v>20</v>
      </c>
      <c r="C194" s="832" t="s">
        <v>487</v>
      </c>
      <c r="D194" s="831">
        <v>20</v>
      </c>
      <c r="E194" s="832" t="s">
        <v>487</v>
      </c>
    </row>
    <row r="195" spans="1:5" ht="38.25" x14ac:dyDescent="0.2">
      <c r="A195" s="1219">
        <v>21</v>
      </c>
      <c r="C195" s="832" t="s">
        <v>473</v>
      </c>
      <c r="D195" s="831">
        <v>21</v>
      </c>
      <c r="E195" s="832" t="s">
        <v>473</v>
      </c>
    </row>
    <row r="196" spans="1:5" ht="63.75" x14ac:dyDescent="0.2">
      <c r="A196" s="1219">
        <v>22</v>
      </c>
      <c r="C196" s="832" t="s">
        <v>469</v>
      </c>
      <c r="D196" s="831">
        <v>22</v>
      </c>
      <c r="E196" s="832" t="s">
        <v>469</v>
      </c>
    </row>
    <row r="197" spans="1:5" ht="25.5" x14ac:dyDescent="0.2">
      <c r="A197" s="1219">
        <v>23</v>
      </c>
      <c r="C197" s="832" t="s">
        <v>488</v>
      </c>
      <c r="D197" s="831">
        <v>23</v>
      </c>
      <c r="E197" s="832" t="s">
        <v>488</v>
      </c>
    </row>
    <row r="198" spans="1:5" ht="25.5" x14ac:dyDescent="0.2">
      <c r="A198" s="1219">
        <v>24</v>
      </c>
      <c r="C198" s="832" t="s">
        <v>480</v>
      </c>
      <c r="D198" s="831">
        <v>24</v>
      </c>
      <c r="E198" s="832" t="s">
        <v>480</v>
      </c>
    </row>
    <row r="199" spans="1:5" ht="38.25" x14ac:dyDescent="0.2">
      <c r="A199" s="1219">
        <v>25</v>
      </c>
      <c r="C199" s="832" t="s">
        <v>470</v>
      </c>
      <c r="D199" s="831">
        <v>25</v>
      </c>
      <c r="E199" s="832" t="s">
        <v>470</v>
      </c>
    </row>
    <row r="200" spans="1:5" ht="25.5" x14ac:dyDescent="0.2">
      <c r="A200" s="1219">
        <v>26</v>
      </c>
      <c r="C200" s="832" t="s">
        <v>471</v>
      </c>
      <c r="D200" s="831">
        <v>26</v>
      </c>
      <c r="E200" s="832" t="s">
        <v>471</v>
      </c>
    </row>
    <row r="201" spans="1:5" ht="38.25" x14ac:dyDescent="0.2">
      <c r="A201" s="1219">
        <v>27</v>
      </c>
      <c r="C201" s="832" t="s">
        <v>472</v>
      </c>
      <c r="D201" s="831">
        <v>27</v>
      </c>
      <c r="E201" s="832" t="s">
        <v>472</v>
      </c>
    </row>
    <row r="202" spans="1:5" x14ac:dyDescent="0.2">
      <c r="A202" s="1219">
        <v>28</v>
      </c>
      <c r="C202" s="832" t="s">
        <v>425</v>
      </c>
      <c r="D202" s="831">
        <v>28</v>
      </c>
      <c r="E202" s="832" t="s">
        <v>425</v>
      </c>
    </row>
    <row r="203" spans="1:5" ht="51" x14ac:dyDescent="0.2">
      <c r="A203" s="1219">
        <v>29</v>
      </c>
      <c r="C203" s="832" t="s">
        <v>491</v>
      </c>
      <c r="D203" s="831">
        <v>29</v>
      </c>
      <c r="E203" s="832" t="s">
        <v>491</v>
      </c>
    </row>
    <row r="204" spans="1:5" ht="51" x14ac:dyDescent="0.2">
      <c r="A204" s="1219">
        <v>30</v>
      </c>
      <c r="C204" s="832" t="s">
        <v>492</v>
      </c>
      <c r="D204" s="831">
        <v>30</v>
      </c>
      <c r="E204" s="832" t="s">
        <v>492</v>
      </c>
    </row>
    <row r="205" spans="1:5" ht="63.75" x14ac:dyDescent="0.2">
      <c r="A205" s="1219">
        <v>31</v>
      </c>
      <c r="C205" s="832" t="s">
        <v>428</v>
      </c>
      <c r="D205" s="831">
        <v>31</v>
      </c>
      <c r="E205" s="832" t="s">
        <v>428</v>
      </c>
    </row>
    <row r="206" spans="1:5" ht="89.25" x14ac:dyDescent="0.2">
      <c r="A206" s="1219">
        <v>32</v>
      </c>
      <c r="C206" s="832" t="s">
        <v>496</v>
      </c>
      <c r="D206" s="831">
        <v>32</v>
      </c>
      <c r="E206" s="832" t="s">
        <v>496</v>
      </c>
    </row>
    <row r="207" spans="1:5" ht="38.25" x14ac:dyDescent="0.2">
      <c r="A207" s="1219">
        <v>33</v>
      </c>
      <c r="C207" s="997" t="s">
        <v>778</v>
      </c>
      <c r="D207" s="1157">
        <v>33</v>
      </c>
      <c r="E207" s="997" t="s">
        <v>778</v>
      </c>
    </row>
    <row r="208" spans="1:5" ht="51" x14ac:dyDescent="0.2">
      <c r="A208" s="1219">
        <v>34</v>
      </c>
      <c r="C208" s="1186" t="s">
        <v>779</v>
      </c>
      <c r="D208" s="1157">
        <v>34</v>
      </c>
      <c r="E208" s="1186" t="s">
        <v>779</v>
      </c>
    </row>
    <row r="209" spans="1:5" ht="38.25" x14ac:dyDescent="0.2">
      <c r="A209" s="1219">
        <v>35</v>
      </c>
      <c r="C209" s="997" t="s">
        <v>686</v>
      </c>
      <c r="D209" s="1157">
        <v>35</v>
      </c>
      <c r="E209" s="997" t="s">
        <v>686</v>
      </c>
    </row>
    <row r="210" spans="1:5" x14ac:dyDescent="0.2">
      <c r="C210" s="997" t="s">
        <v>745</v>
      </c>
      <c r="D210" s="1157">
        <v>36</v>
      </c>
      <c r="E210" s="997" t="s">
        <v>745</v>
      </c>
    </row>
    <row r="211" spans="1:5" x14ac:dyDescent="0.2">
      <c r="A211" s="1034">
        <v>37</v>
      </c>
      <c r="C211" s="997" t="s">
        <v>316</v>
      </c>
      <c r="D211" s="1157">
        <v>37</v>
      </c>
      <c r="E211" s="997" t="s">
        <v>316</v>
      </c>
    </row>
    <row r="212" spans="1:5" ht="25.5" x14ac:dyDescent="0.2">
      <c r="A212" s="1219"/>
      <c r="C212" s="997" t="s">
        <v>757</v>
      </c>
      <c r="D212" s="1157">
        <v>38</v>
      </c>
      <c r="E212" s="997" t="s">
        <v>757</v>
      </c>
    </row>
    <row r="213" spans="1:5" ht="25.5" x14ac:dyDescent="0.2">
      <c r="A213" s="1014"/>
      <c r="C213" s="997" t="s">
        <v>783</v>
      </c>
      <c r="D213" s="1157">
        <v>39</v>
      </c>
      <c r="E213" s="997" t="s">
        <v>783</v>
      </c>
    </row>
    <row r="214" spans="1:5" ht="51" x14ac:dyDescent="0.2">
      <c r="A214" s="1014"/>
      <c r="C214" s="997" t="s">
        <v>785</v>
      </c>
      <c r="D214" s="1157">
        <v>40</v>
      </c>
      <c r="E214" s="997" t="s">
        <v>785</v>
      </c>
    </row>
    <row r="248" spans="1:1" x14ac:dyDescent="0.2">
      <c r="A248" s="1219">
        <v>1</v>
      </c>
    </row>
    <row r="249" spans="1:1" x14ac:dyDescent="0.2">
      <c r="A249" s="1219">
        <v>2</v>
      </c>
    </row>
    <row r="250" spans="1:1" x14ac:dyDescent="0.2">
      <c r="A250" s="1219">
        <v>3</v>
      </c>
    </row>
    <row r="251" spans="1:1" x14ac:dyDescent="0.2">
      <c r="A251" s="1219">
        <v>4</v>
      </c>
    </row>
    <row r="252" spans="1:1" x14ac:dyDescent="0.2">
      <c r="A252" s="1219">
        <v>5</v>
      </c>
    </row>
    <row r="253" spans="1:1" x14ac:dyDescent="0.2">
      <c r="A253" s="1219"/>
    </row>
    <row r="254" spans="1:1" x14ac:dyDescent="0.2">
      <c r="A254" s="1219">
        <v>7</v>
      </c>
    </row>
    <row r="255" spans="1:1" x14ac:dyDescent="0.2">
      <c r="A255" s="1219">
        <v>8</v>
      </c>
    </row>
    <row r="256" spans="1:1" x14ac:dyDescent="0.2">
      <c r="A256" s="1219">
        <v>9</v>
      </c>
    </row>
    <row r="257" spans="1:1" x14ac:dyDescent="0.2">
      <c r="A257" s="1219">
        <v>10</v>
      </c>
    </row>
    <row r="258" spans="1:1" x14ac:dyDescent="0.2">
      <c r="A258" s="1219">
        <v>11</v>
      </c>
    </row>
    <row r="259" spans="1:1" x14ac:dyDescent="0.2">
      <c r="A259" s="1219">
        <v>12</v>
      </c>
    </row>
    <row r="260" spans="1:1" x14ac:dyDescent="0.2">
      <c r="A260" s="1219">
        <v>13</v>
      </c>
    </row>
    <row r="261" spans="1:1" x14ac:dyDescent="0.2">
      <c r="A261" s="1219">
        <v>14</v>
      </c>
    </row>
    <row r="262" spans="1:1" x14ac:dyDescent="0.2">
      <c r="A262" s="1219">
        <v>15</v>
      </c>
    </row>
    <row r="263" spans="1:1" x14ac:dyDescent="0.2">
      <c r="A263" s="1219">
        <v>16</v>
      </c>
    </row>
    <row r="264" spans="1:1" x14ac:dyDescent="0.2">
      <c r="A264" s="1219">
        <v>17</v>
      </c>
    </row>
    <row r="265" spans="1:1" x14ac:dyDescent="0.2">
      <c r="A265" s="1219">
        <v>18</v>
      </c>
    </row>
    <row r="266" spans="1:1" x14ac:dyDescent="0.2">
      <c r="A266" s="1219">
        <v>19</v>
      </c>
    </row>
    <row r="267" spans="1:1" x14ac:dyDescent="0.2">
      <c r="A267" s="1219">
        <v>20</v>
      </c>
    </row>
    <row r="268" spans="1:1" x14ac:dyDescent="0.2">
      <c r="A268" s="1219">
        <v>21</v>
      </c>
    </row>
    <row r="269" spans="1:1" x14ac:dyDescent="0.2">
      <c r="A269" s="1219">
        <v>22</v>
      </c>
    </row>
    <row r="270" spans="1:1" x14ac:dyDescent="0.2">
      <c r="A270" s="1219">
        <v>23</v>
      </c>
    </row>
    <row r="271" spans="1:1" x14ac:dyDescent="0.2">
      <c r="A271" s="1219">
        <v>24</v>
      </c>
    </row>
    <row r="272" spans="1:1" x14ac:dyDescent="0.2">
      <c r="A272" s="1219">
        <v>25</v>
      </c>
    </row>
    <row r="273" spans="1:1" x14ac:dyDescent="0.2">
      <c r="A273" s="1219">
        <v>26</v>
      </c>
    </row>
    <row r="274" spans="1:1" x14ac:dyDescent="0.2">
      <c r="A274" s="1219">
        <v>27</v>
      </c>
    </row>
    <row r="275" spans="1:1" x14ac:dyDescent="0.2">
      <c r="A275" s="1219">
        <v>28</v>
      </c>
    </row>
    <row r="276" spans="1:1" x14ac:dyDescent="0.2">
      <c r="A276" s="1219">
        <v>28</v>
      </c>
    </row>
    <row r="277" spans="1:1" x14ac:dyDescent="0.2">
      <c r="A277" s="1219">
        <v>29</v>
      </c>
    </row>
    <row r="278" spans="1:1" x14ac:dyDescent="0.2">
      <c r="A278" s="1219">
        <v>30</v>
      </c>
    </row>
    <row r="279" spans="1:1" x14ac:dyDescent="0.2">
      <c r="A279" s="1219">
        <v>31</v>
      </c>
    </row>
    <row r="280" spans="1:1" x14ac:dyDescent="0.2">
      <c r="A280" s="1219">
        <v>32</v>
      </c>
    </row>
    <row r="281" spans="1:1" x14ac:dyDescent="0.2">
      <c r="A281" s="1219">
        <v>33</v>
      </c>
    </row>
    <row r="282" spans="1:1" x14ac:dyDescent="0.2">
      <c r="A282" s="1219">
        <v>34</v>
      </c>
    </row>
    <row r="283" spans="1:1" x14ac:dyDescent="0.2">
      <c r="A283" s="1219">
        <v>35</v>
      </c>
    </row>
    <row r="284" spans="1:1" x14ac:dyDescent="0.2">
      <c r="A284" s="1219">
        <v>36</v>
      </c>
    </row>
    <row r="285" spans="1:1" x14ac:dyDescent="0.2">
      <c r="A285" s="1034">
        <v>37</v>
      </c>
    </row>
    <row r="286" spans="1:1" x14ac:dyDescent="0.2">
      <c r="A286" s="1219">
        <v>38</v>
      </c>
    </row>
    <row r="287" spans="1:1" x14ac:dyDescent="0.2">
      <c r="A287" s="1219">
        <v>39</v>
      </c>
    </row>
    <row r="288" spans="1:1" x14ac:dyDescent="0.2">
      <c r="A288" s="1219">
        <v>40</v>
      </c>
    </row>
  </sheetData>
  <sortState xmlns:xlrd2="http://schemas.microsoft.com/office/spreadsheetml/2017/richdata2" ref="A248:A300">
    <sortCondition ref="A248:A300"/>
  </sortState>
  <mergeCells count="13">
    <mergeCell ref="C111:D111"/>
    <mergeCell ref="AL5:AO5"/>
    <mergeCell ref="AP5:AS5"/>
    <mergeCell ref="AT5:AX5"/>
    <mergeCell ref="AY5:BB5"/>
    <mergeCell ref="BC5:BF5"/>
    <mergeCell ref="G5:K5"/>
    <mergeCell ref="L5:O5"/>
    <mergeCell ref="P5:S5"/>
    <mergeCell ref="T5:X5"/>
    <mergeCell ref="Y5:AB5"/>
    <mergeCell ref="AC5:AF5"/>
    <mergeCell ref="AG5:AK5"/>
  </mergeCells>
  <printOptions horizontalCentered="1"/>
  <pageMargins left="0.15972222222222221" right="0.28333333333333333" top="0.39374999999999999" bottom="0.58333333333333337" header="0" footer="0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showGridLines="0" zoomScale="80" zoomScaleNormal="80" workbookViewId="0">
      <selection activeCell="A4" sqref="A4"/>
    </sheetView>
  </sheetViews>
  <sheetFormatPr baseColWidth="10" defaultColWidth="9.6640625" defaultRowHeight="12.75" x14ac:dyDescent="0.2"/>
  <cols>
    <col min="1" max="1" width="20.88671875" style="97" customWidth="1"/>
    <col min="2" max="2" width="5.6640625" style="51" bestFit="1" customWidth="1"/>
    <col min="3" max="3" width="38" style="51" bestFit="1" customWidth="1"/>
    <col min="4" max="4" width="11.5546875" style="51" customWidth="1"/>
    <col min="5" max="5" width="14.88671875" style="51" customWidth="1"/>
    <col min="6" max="6" width="1.6640625" style="51" customWidth="1"/>
    <col min="7" max="7" width="26.77734375" style="51" bestFit="1" customWidth="1"/>
    <col min="8" max="8" width="20.6640625" style="51" bestFit="1" customWidth="1"/>
    <col min="9" max="9" width="17.44140625" style="51" customWidth="1"/>
    <col min="10" max="10" width="20" style="51" customWidth="1"/>
    <col min="11" max="11" width="21.21875" style="51" customWidth="1"/>
    <col min="12" max="12" width="19.33203125" style="51" bestFit="1" customWidth="1"/>
    <col min="13" max="13" width="22.33203125" style="51" bestFit="1" customWidth="1"/>
    <col min="14" max="14" width="11" style="51" bestFit="1" customWidth="1"/>
    <col min="15" max="15" width="9.6640625" style="51"/>
    <col min="16" max="16" width="13.21875" style="51" bestFit="1" customWidth="1"/>
    <col min="17" max="17" width="12.109375" style="51" bestFit="1" customWidth="1"/>
    <col min="18" max="16384" width="9.6640625" style="51"/>
  </cols>
  <sheetData>
    <row r="1" spans="1:13" x14ac:dyDescent="0.2">
      <c r="A1" s="225" t="str">
        <f>+Códigos!$A$1</f>
        <v>LIBRO DIARIO OFICINA</v>
      </c>
    </row>
    <row r="2" spans="1:13" x14ac:dyDescent="0.2">
      <c r="A2" s="53" t="s">
        <v>276</v>
      </c>
      <c r="F2" s="54"/>
      <c r="G2" s="70"/>
      <c r="H2" s="70"/>
    </row>
    <row r="3" spans="1:13" x14ac:dyDescent="0.2">
      <c r="A3" s="53" t="s">
        <v>2060</v>
      </c>
      <c r="F3" s="54"/>
      <c r="G3" s="70" t="s">
        <v>290</v>
      </c>
      <c r="H3" s="70" t="str">
        <f>+A3</f>
        <v>EMPLEADO 1</v>
      </c>
    </row>
    <row r="4" spans="1:13" x14ac:dyDescent="0.2">
      <c r="A4" s="53" t="s">
        <v>680</v>
      </c>
      <c r="F4" s="54"/>
      <c r="G4" s="735" t="s">
        <v>23</v>
      </c>
      <c r="H4" s="735"/>
      <c r="I4" s="1040" t="s">
        <v>352</v>
      </c>
      <c r="J4" s="1041" t="s">
        <v>748</v>
      </c>
      <c r="K4" s="1041" t="s">
        <v>753</v>
      </c>
      <c r="L4" s="1226" t="s">
        <v>770</v>
      </c>
      <c r="M4" s="907" t="s">
        <v>822</v>
      </c>
    </row>
    <row r="5" spans="1:13" x14ac:dyDescent="0.2">
      <c r="A5" s="66" t="str">
        <f>+Códigos!$A$3</f>
        <v>AÑO:</v>
      </c>
      <c r="B5" s="772">
        <f>+Códigos!$B$3</f>
        <v>2025</v>
      </c>
      <c r="F5" s="54"/>
      <c r="G5" s="179" t="s">
        <v>346</v>
      </c>
      <c r="H5" s="179"/>
      <c r="I5" s="1042">
        <v>1</v>
      </c>
      <c r="J5" s="1043">
        <v>1</v>
      </c>
      <c r="K5" s="1043">
        <v>0.66669999999999996</v>
      </c>
      <c r="L5" s="1227">
        <v>0</v>
      </c>
      <c r="M5" s="908">
        <v>0</v>
      </c>
    </row>
    <row r="6" spans="1:13" x14ac:dyDescent="0.2">
      <c r="A6" s="764" t="s">
        <v>3</v>
      </c>
      <c r="B6" s="764" t="s">
        <v>277</v>
      </c>
      <c r="C6" s="764" t="s">
        <v>23</v>
      </c>
      <c r="D6" s="764" t="s">
        <v>101</v>
      </c>
      <c r="E6" s="764" t="s">
        <v>22</v>
      </c>
      <c r="F6" s="54"/>
      <c r="G6" s="179" t="s">
        <v>347</v>
      </c>
      <c r="H6" s="179"/>
      <c r="I6" s="203">
        <f>+H7*(100%+I5*0)</f>
        <v>3000000</v>
      </c>
      <c r="J6" s="1037">
        <f>+I7*(100%+J5)</f>
        <v>6000000</v>
      </c>
      <c r="K6" s="1037">
        <f>+J7*(100%+K5)</f>
        <v>10000200</v>
      </c>
      <c r="L6" s="1228">
        <f>+K7*(100%+L5)</f>
        <v>10000200</v>
      </c>
      <c r="M6" s="909">
        <f>+L7*(100%+M5)</f>
        <v>10000200</v>
      </c>
    </row>
    <row r="7" spans="1:13" x14ac:dyDescent="0.2">
      <c r="A7" s="99"/>
      <c r="B7" s="99"/>
      <c r="C7" s="736"/>
      <c r="D7" s="99"/>
      <c r="E7" s="99"/>
      <c r="F7" s="54"/>
      <c r="G7" s="186" t="s">
        <v>348</v>
      </c>
      <c r="H7" s="186">
        <v>3000000</v>
      </c>
      <c r="I7" s="1038">
        <f>+I6</f>
        <v>3000000</v>
      </c>
      <c r="J7" s="1039">
        <f>+J6</f>
        <v>6000000</v>
      </c>
      <c r="K7" s="1039">
        <f>+K6</f>
        <v>10000200</v>
      </c>
      <c r="L7" s="1229">
        <f>+L6</f>
        <v>10000200</v>
      </c>
      <c r="M7" s="910">
        <f>+M6</f>
        <v>10000200</v>
      </c>
    </row>
    <row r="8" spans="1:13" x14ac:dyDescent="0.2">
      <c r="A8" s="744" t="s">
        <v>249</v>
      </c>
      <c r="B8" s="745"/>
      <c r="C8" s="746"/>
      <c r="D8" s="745"/>
      <c r="E8" s="747">
        <v>0</v>
      </c>
      <c r="F8" s="54"/>
      <c r="G8" s="179" t="s">
        <v>304</v>
      </c>
      <c r="H8" s="179"/>
      <c r="I8" s="203">
        <v>0</v>
      </c>
      <c r="J8" s="1044">
        <v>0</v>
      </c>
      <c r="K8" s="1044">
        <v>0</v>
      </c>
      <c r="L8" s="1229">
        <v>0</v>
      </c>
      <c r="M8" s="910">
        <v>0</v>
      </c>
    </row>
    <row r="9" spans="1:13" x14ac:dyDescent="0.2">
      <c r="A9" s="748" t="s">
        <v>250</v>
      </c>
      <c r="B9" s="749"/>
      <c r="C9" s="750"/>
      <c r="D9" s="749"/>
      <c r="E9" s="751">
        <f>E30</f>
        <v>67737400</v>
      </c>
      <c r="F9" s="54"/>
      <c r="G9" s="186" t="s">
        <v>286</v>
      </c>
      <c r="H9" s="186" t="s">
        <v>286</v>
      </c>
      <c r="I9" s="203">
        <f>+I7+I8</f>
        <v>3000000</v>
      </c>
      <c r="J9" s="1044">
        <f>+J7+J8</f>
        <v>6000000</v>
      </c>
      <c r="K9" s="1044">
        <f>+K7+K8</f>
        <v>10000200</v>
      </c>
      <c r="L9" s="1229">
        <f>+L7+L8</f>
        <v>10000200</v>
      </c>
      <c r="M9" s="910">
        <f>+M7+M8</f>
        <v>10000200</v>
      </c>
    </row>
    <row r="10" spans="1:13" x14ac:dyDescent="0.2">
      <c r="A10" s="114"/>
      <c r="B10" s="114"/>
      <c r="C10" s="115"/>
      <c r="D10" s="54"/>
      <c r="E10" s="54"/>
      <c r="F10" s="54"/>
      <c r="G10" s="189"/>
      <c r="L10" s="51">
        <f>+L9-E30</f>
        <v>-57737200</v>
      </c>
    </row>
    <row r="11" spans="1:13" x14ac:dyDescent="0.2">
      <c r="F11" s="54"/>
      <c r="G11" s="189"/>
    </row>
    <row r="12" spans="1:13" x14ac:dyDescent="0.2">
      <c r="A12" s="96" t="s">
        <v>251</v>
      </c>
      <c r="F12" s="54"/>
      <c r="G12" s="66" t="s">
        <v>343</v>
      </c>
      <c r="H12" s="66" t="s">
        <v>343</v>
      </c>
      <c r="I12" s="913"/>
    </row>
    <row r="13" spans="1:13" x14ac:dyDescent="0.2">
      <c r="A13" s="408"/>
      <c r="F13" s="54"/>
      <c r="G13" s="179" t="s">
        <v>345</v>
      </c>
      <c r="H13" s="179"/>
      <c r="I13" s="913"/>
    </row>
    <row r="14" spans="1:13" x14ac:dyDescent="0.2">
      <c r="A14" s="664" t="s">
        <v>278</v>
      </c>
      <c r="B14" s="737">
        <v>6</v>
      </c>
      <c r="C14" s="651" t="str">
        <f>_xlfn.XLOOKUP(B14,Códigos!$A$421:$A$483,Códigos!$B$421:$B$483,"Verificar",0)</f>
        <v>Préstamos por Nómina a:</v>
      </c>
      <c r="D14" s="651">
        <f>SUMIF('EGRESOS DE CAJA'!$B$12:$B$5553,B14,'EGRESOS DE CAJA'!$G$12:$G$5553)</f>
        <v>67737400</v>
      </c>
      <c r="E14" s="651">
        <f>D14</f>
        <v>67737400</v>
      </c>
      <c r="F14" s="54"/>
      <c r="G14" s="179" t="s">
        <v>303</v>
      </c>
      <c r="H14" s="179"/>
    </row>
    <row r="15" spans="1:13" x14ac:dyDescent="0.2">
      <c r="B15" s="435"/>
      <c r="F15" s="54"/>
      <c r="G15" s="179" t="s">
        <v>305</v>
      </c>
      <c r="H15" s="179"/>
    </row>
    <row r="16" spans="1:13" x14ac:dyDescent="0.2">
      <c r="A16" s="739" t="s">
        <v>252</v>
      </c>
      <c r="B16" s="740"/>
      <c r="C16" s="740"/>
      <c r="D16" s="741"/>
      <c r="E16" s="742">
        <f>SUM(E14:E15)</f>
        <v>67737400</v>
      </c>
      <c r="F16" s="54"/>
      <c r="G16" s="179"/>
      <c r="H16" s="179"/>
    </row>
    <row r="18" spans="1:7" x14ac:dyDescent="0.2">
      <c r="A18" s="96" t="s">
        <v>253</v>
      </c>
      <c r="B18" s="53"/>
      <c r="F18" s="54"/>
      <c r="G18" s="202" t="s">
        <v>344</v>
      </c>
    </row>
    <row r="19" spans="1:7" x14ac:dyDescent="0.2">
      <c r="A19" s="53"/>
      <c r="B19" s="53"/>
      <c r="D19" s="252"/>
      <c r="E19" s="252"/>
      <c r="F19" s="54"/>
    </row>
    <row r="20" spans="1:7" x14ac:dyDescent="0.2">
      <c r="A20" s="664" t="s">
        <v>279</v>
      </c>
      <c r="B20" s="737" t="s">
        <v>14</v>
      </c>
      <c r="C20" s="738" t="str">
        <f>_xlfn.XLOOKUP(B20,Códigos!$A$489:$A$522,Códigos!$B$489:$B$522,"Verificar",0)</f>
        <v>Recibido por: -Abono a préstamos por Nómina de:</v>
      </c>
      <c r="D20" s="651">
        <f>SUMIF('INGRESOS A CAJA'!$B$11:$B$4478,B20,'INGRESOS A CAJA'!$F$11:$F$4478)</f>
        <v>0</v>
      </c>
      <c r="E20" s="651">
        <f>D20</f>
        <v>0</v>
      </c>
      <c r="F20" s="54"/>
    </row>
    <row r="21" spans="1:7" x14ac:dyDescent="0.2">
      <c r="B21" s="99"/>
      <c r="F21" s="54"/>
    </row>
    <row r="22" spans="1:7" x14ac:dyDescent="0.2">
      <c r="A22" s="739" t="s">
        <v>254</v>
      </c>
      <c r="B22" s="417"/>
      <c r="C22" s="740"/>
      <c r="D22" s="741"/>
      <c r="E22" s="742">
        <f>SUM(E20:E21)</f>
        <v>0</v>
      </c>
      <c r="F22" s="54"/>
      <c r="G22" s="189">
        <v>10000000</v>
      </c>
    </row>
    <row r="23" spans="1:7" x14ac:dyDescent="0.2">
      <c r="A23" s="408"/>
      <c r="B23" s="435"/>
      <c r="C23" s="53"/>
      <c r="D23" s="53"/>
      <c r="E23" s="53"/>
      <c r="F23" s="54"/>
      <c r="G23" s="51">
        <f>+E30</f>
        <v>67737400</v>
      </c>
    </row>
    <row r="24" spans="1:7" x14ac:dyDescent="0.2">
      <c r="A24" s="96" t="s">
        <v>255</v>
      </c>
      <c r="F24" s="54"/>
    </row>
    <row r="25" spans="1:7" x14ac:dyDescent="0.2">
      <c r="A25" s="96"/>
      <c r="F25" s="54"/>
      <c r="G25" s="51">
        <f>+G22-G23</f>
        <v>-57737400</v>
      </c>
    </row>
    <row r="26" spans="1:7" x14ac:dyDescent="0.2">
      <c r="A26" s="659" t="s">
        <v>256</v>
      </c>
      <c r="B26" s="398"/>
      <c r="C26" s="398"/>
      <c r="D26" s="661"/>
      <c r="E26" s="664">
        <f>E8</f>
        <v>0</v>
      </c>
      <c r="F26" s="54"/>
    </row>
    <row r="27" spans="1:7" x14ac:dyDescent="0.2">
      <c r="A27" s="659" t="s">
        <v>257</v>
      </c>
      <c r="B27" s="398"/>
      <c r="C27" s="398"/>
      <c r="D27" s="661"/>
      <c r="E27" s="664">
        <f>E16</f>
        <v>67737400</v>
      </c>
      <c r="F27" s="54"/>
    </row>
    <row r="28" spans="1:7" x14ac:dyDescent="0.2">
      <c r="A28" s="659" t="s">
        <v>258</v>
      </c>
      <c r="B28" s="398"/>
      <c r="C28" s="398"/>
      <c r="D28" s="661"/>
      <c r="E28" s="664">
        <f>E22</f>
        <v>0</v>
      </c>
      <c r="F28" s="54"/>
    </row>
    <row r="29" spans="1:7" x14ac:dyDescent="0.2">
      <c r="A29" s="51"/>
      <c r="F29" s="54"/>
    </row>
    <row r="30" spans="1:7" x14ac:dyDescent="0.2">
      <c r="A30" s="739" t="s">
        <v>280</v>
      </c>
      <c r="B30" s="740"/>
      <c r="C30" s="740"/>
      <c r="D30" s="741"/>
      <c r="E30" s="742">
        <f>E26+E27-E28</f>
        <v>67737400</v>
      </c>
      <c r="F30" s="300"/>
      <c r="G30" s="53"/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1"/>
  <sheetViews>
    <sheetView showGridLines="0" showOutlineSymbols="0" defaultGridColor="0" colorId="8" zoomScale="80" zoomScaleNormal="80" workbookViewId="0">
      <selection activeCell="A4" sqref="A4"/>
    </sheetView>
  </sheetViews>
  <sheetFormatPr baseColWidth="10" defaultColWidth="9.6640625" defaultRowHeight="12.75" x14ac:dyDescent="0.2"/>
  <cols>
    <col min="1" max="1" width="17.44140625" style="51" customWidth="1"/>
    <col min="2" max="2" width="5.6640625" style="51" bestFit="1" customWidth="1"/>
    <col min="3" max="3" width="38" style="51" bestFit="1" customWidth="1"/>
    <col min="4" max="4" width="10.5546875" style="51" bestFit="1" customWidth="1"/>
    <col min="5" max="5" width="13.21875" style="51" bestFit="1" customWidth="1"/>
    <col min="6" max="6" width="1.6640625" style="51" customWidth="1"/>
    <col min="7" max="7" width="29.44140625" style="189" bestFit="1" customWidth="1"/>
    <col min="8" max="8" width="18.88671875" style="51" hidden="1" customWidth="1"/>
    <col min="9" max="10" width="17.88671875" style="51" hidden="1" customWidth="1"/>
    <col min="11" max="11" width="19.44140625" style="51" hidden="1" customWidth="1"/>
    <col min="12" max="12" width="19.33203125" style="51" hidden="1" customWidth="1"/>
    <col min="13" max="13" width="22.21875" style="51" bestFit="1" customWidth="1"/>
    <col min="14" max="14" width="19" style="51" bestFit="1" customWidth="1"/>
    <col min="15" max="17" width="19.33203125" style="51" bestFit="1" customWidth="1"/>
    <col min="18" max="16384" width="9.6640625" style="51"/>
  </cols>
  <sheetData>
    <row r="1" spans="1:17" x14ac:dyDescent="0.2">
      <c r="A1" s="225" t="str">
        <f>+Códigos!$A$1</f>
        <v>LIBRO DIARIO OFICINA</v>
      </c>
    </row>
    <row r="2" spans="1:17" x14ac:dyDescent="0.2">
      <c r="A2" s="120" t="s">
        <v>276</v>
      </c>
      <c r="B2" s="111"/>
      <c r="C2" s="111"/>
      <c r="D2" s="111"/>
      <c r="E2" s="111"/>
      <c r="F2" s="54"/>
      <c r="G2" s="69"/>
      <c r="H2" s="69"/>
    </row>
    <row r="3" spans="1:17" x14ac:dyDescent="0.2">
      <c r="A3" s="53" t="s">
        <v>2061</v>
      </c>
      <c r="B3" s="111"/>
      <c r="C3" s="111"/>
      <c r="D3" s="111"/>
      <c r="E3" s="111"/>
      <c r="F3" s="54"/>
      <c r="G3" s="69" t="s">
        <v>290</v>
      </c>
      <c r="H3" s="69" t="str">
        <f>+A3</f>
        <v>EMPLEADO 2</v>
      </c>
    </row>
    <row r="4" spans="1:17" x14ac:dyDescent="0.2">
      <c r="A4" s="53" t="s">
        <v>680</v>
      </c>
      <c r="B4" s="111"/>
      <c r="C4" s="111"/>
      <c r="D4" s="111"/>
      <c r="E4" s="111"/>
      <c r="F4" s="54"/>
      <c r="G4" s="176" t="s">
        <v>23</v>
      </c>
      <c r="H4" s="176" t="s">
        <v>284</v>
      </c>
      <c r="I4" s="176" t="s">
        <v>285</v>
      </c>
      <c r="J4" s="177" t="s">
        <v>289</v>
      </c>
      <c r="K4" s="177" t="s">
        <v>302</v>
      </c>
      <c r="L4" s="177" t="s">
        <v>351</v>
      </c>
      <c r="M4" s="1045" t="s">
        <v>352</v>
      </c>
      <c r="N4" s="1046" t="s">
        <v>748</v>
      </c>
      <c r="O4" s="1230" t="s">
        <v>753</v>
      </c>
      <c r="P4" s="1230" t="s">
        <v>770</v>
      </c>
      <c r="Q4" s="911" t="s">
        <v>822</v>
      </c>
    </row>
    <row r="5" spans="1:17" x14ac:dyDescent="0.2">
      <c r="A5" s="66" t="str">
        <f>+Códigos!$A$3</f>
        <v>AÑO:</v>
      </c>
      <c r="B5" s="772">
        <f>+Códigos!$B$3</f>
        <v>2025</v>
      </c>
      <c r="C5" s="111"/>
      <c r="D5" s="111"/>
      <c r="E5" s="111"/>
      <c r="F5" s="54"/>
      <c r="G5" s="178" t="s">
        <v>346</v>
      </c>
      <c r="H5" s="178">
        <v>0</v>
      </c>
      <c r="I5" s="178">
        <v>6.25E-2</v>
      </c>
      <c r="J5" s="178">
        <v>7.0000000000000007E-2</v>
      </c>
      <c r="K5" s="178">
        <v>0.3</v>
      </c>
      <c r="L5" s="205">
        <v>0.35192830000000003</v>
      </c>
      <c r="M5" s="1047">
        <v>0.06</v>
      </c>
      <c r="N5" s="1048">
        <v>0</v>
      </c>
      <c r="O5" s="1231">
        <v>0</v>
      </c>
      <c r="P5" s="1231">
        <v>0</v>
      </c>
      <c r="Q5" s="912">
        <v>0</v>
      </c>
    </row>
    <row r="6" spans="1:17" x14ac:dyDescent="0.2">
      <c r="A6" s="764" t="s">
        <v>3</v>
      </c>
      <c r="B6" s="764" t="s">
        <v>277</v>
      </c>
      <c r="C6" s="764" t="s">
        <v>23</v>
      </c>
      <c r="D6" s="764" t="s">
        <v>101</v>
      </c>
      <c r="E6" s="764" t="s">
        <v>22</v>
      </c>
      <c r="F6" s="54"/>
      <c r="G6" s="175" t="s">
        <v>347</v>
      </c>
      <c r="H6" s="175"/>
      <c r="I6" s="175"/>
      <c r="J6" s="175">
        <f t="shared" ref="J6:Q6" si="0">+I7*(100%+J5)</f>
        <v>5403500</v>
      </c>
      <c r="K6" s="175">
        <f t="shared" si="0"/>
        <v>7026500</v>
      </c>
      <c r="L6" s="175">
        <f t="shared" si="0"/>
        <v>9500000.1641000006</v>
      </c>
      <c r="M6" s="987">
        <f t="shared" si="0"/>
        <v>10070000</v>
      </c>
      <c r="N6" s="1037">
        <f t="shared" si="0"/>
        <v>10070000</v>
      </c>
      <c r="O6" s="1228">
        <f t="shared" si="0"/>
        <v>10070000</v>
      </c>
      <c r="P6" s="1228">
        <f t="shared" si="0"/>
        <v>10070000</v>
      </c>
      <c r="Q6" s="909">
        <f t="shared" si="0"/>
        <v>10070000</v>
      </c>
    </row>
    <row r="7" spans="1:17" x14ac:dyDescent="0.2">
      <c r="A7" s="48"/>
      <c r="B7" s="48"/>
      <c r="C7" s="113"/>
      <c r="D7" s="48"/>
      <c r="E7" s="48"/>
      <c r="F7" s="54"/>
      <c r="G7" s="180" t="s">
        <v>348</v>
      </c>
      <c r="H7" s="180">
        <v>3005000</v>
      </c>
      <c r="I7" s="180">
        <v>5050000</v>
      </c>
      <c r="J7" s="180">
        <v>5405000</v>
      </c>
      <c r="K7" s="180">
        <f>5784000*0+ROUND(K6,-3)</f>
        <v>7027000</v>
      </c>
      <c r="L7" s="187">
        <f>+ROUND(L6,-3)</f>
        <v>9500000</v>
      </c>
      <c r="M7" s="1038">
        <f>+M6</f>
        <v>10070000</v>
      </c>
      <c r="N7" s="1039">
        <f>+N6</f>
        <v>10070000</v>
      </c>
      <c r="O7" s="1229">
        <f>+O6</f>
        <v>10070000</v>
      </c>
      <c r="P7" s="1229">
        <f>+P6</f>
        <v>10070000</v>
      </c>
      <c r="Q7" s="910">
        <f>+Q6</f>
        <v>10070000</v>
      </c>
    </row>
    <row r="8" spans="1:17" x14ac:dyDescent="0.2">
      <c r="A8" s="121" t="s">
        <v>249</v>
      </c>
      <c r="B8" s="121"/>
      <c r="C8" s="122"/>
      <c r="D8" s="121"/>
      <c r="E8" s="763">
        <v>53422684</v>
      </c>
      <c r="F8" s="54"/>
      <c r="G8" s="175" t="s">
        <v>304</v>
      </c>
      <c r="H8" s="175" t="s">
        <v>304</v>
      </c>
      <c r="I8" s="179"/>
      <c r="J8" s="181">
        <f>-J16</f>
        <v>-170666</v>
      </c>
      <c r="K8" s="181">
        <f>-K16</f>
        <v>-376000</v>
      </c>
      <c r="L8" s="181">
        <f t="shared" ref="L8:Q8" si="1">-L18</f>
        <v>-6010719</v>
      </c>
      <c r="M8" s="1038">
        <f t="shared" si="1"/>
        <v>-3550523</v>
      </c>
      <c r="N8" s="1039">
        <f t="shared" si="1"/>
        <v>0</v>
      </c>
      <c r="O8" s="1229">
        <f t="shared" si="1"/>
        <v>0</v>
      </c>
      <c r="P8" s="1229">
        <f t="shared" si="1"/>
        <v>0</v>
      </c>
      <c r="Q8" s="910">
        <f t="shared" si="1"/>
        <v>0</v>
      </c>
    </row>
    <row r="9" spans="1:17" x14ac:dyDescent="0.2">
      <c r="A9" s="124" t="s">
        <v>250</v>
      </c>
      <c r="B9" s="124"/>
      <c r="C9" s="125"/>
      <c r="D9" s="124"/>
      <c r="E9" s="124">
        <f>E31</f>
        <v>43100984</v>
      </c>
      <c r="F9" s="54"/>
      <c r="G9" s="180" t="s">
        <v>286</v>
      </c>
      <c r="H9" s="180" t="s">
        <v>286</v>
      </c>
      <c r="I9" s="186"/>
      <c r="J9" s="186">
        <f>+J7+J8</f>
        <v>5234334</v>
      </c>
      <c r="K9" s="186">
        <f>+K7+K8</f>
        <v>6651000</v>
      </c>
      <c r="L9" s="186">
        <f>SUM(L7:L8)</f>
        <v>3489281</v>
      </c>
      <c r="M9" s="1038">
        <f>+M7+M8</f>
        <v>6519477</v>
      </c>
      <c r="N9" s="1039">
        <f>+N7+N8</f>
        <v>10070000</v>
      </c>
      <c r="O9" s="1229">
        <f>+O7+O8</f>
        <v>10070000</v>
      </c>
      <c r="P9" s="1229">
        <f>+P7+P8</f>
        <v>10070000</v>
      </c>
      <c r="Q9" s="910">
        <f>+Q7+Q8</f>
        <v>10070000</v>
      </c>
    </row>
    <row r="10" spans="1:17" ht="5.0999999999999996" customHeight="1" x14ac:dyDescent="0.2">
      <c r="A10" s="114"/>
      <c r="B10" s="114"/>
      <c r="C10" s="115"/>
      <c r="D10" s="54"/>
      <c r="E10" s="54"/>
      <c r="F10" s="54"/>
      <c r="H10" s="1"/>
    </row>
    <row r="11" spans="1:17" x14ac:dyDescent="0.2">
      <c r="A11" s="112"/>
      <c r="B11" s="111"/>
      <c r="C11" s="111"/>
      <c r="D11" s="111"/>
      <c r="E11" s="111"/>
      <c r="F11" s="54"/>
      <c r="M11" s="1"/>
      <c r="N11" s="1"/>
      <c r="O11" s="1"/>
    </row>
    <row r="12" spans="1:17" x14ac:dyDescent="0.2">
      <c r="A12" s="96" t="s">
        <v>251</v>
      </c>
      <c r="B12" s="111"/>
      <c r="C12" s="111"/>
      <c r="D12" s="111"/>
      <c r="E12" s="111"/>
      <c r="F12" s="54"/>
      <c r="G12" s="65" t="s">
        <v>343</v>
      </c>
      <c r="M12" s="1"/>
      <c r="N12" s="1"/>
      <c r="O12" s="1"/>
    </row>
    <row r="13" spans="1:17" x14ac:dyDescent="0.2">
      <c r="A13" s="116"/>
      <c r="B13" s="111"/>
      <c r="C13" s="111"/>
      <c r="D13" s="111"/>
      <c r="E13" s="111"/>
      <c r="F13" s="54"/>
      <c r="G13" s="179" t="s">
        <v>345</v>
      </c>
      <c r="H13" s="175"/>
      <c r="I13" s="179"/>
      <c r="J13" s="179"/>
      <c r="K13" s="179"/>
      <c r="L13" s="208">
        <v>2311100</v>
      </c>
      <c r="M13" s="203">
        <v>1000000</v>
      </c>
      <c r="N13" s="1"/>
      <c r="O13" s="1"/>
    </row>
    <row r="14" spans="1:17" x14ac:dyDescent="0.2">
      <c r="A14" s="664" t="s">
        <v>278</v>
      </c>
      <c r="B14" s="737">
        <v>5</v>
      </c>
      <c r="C14" s="651" t="str">
        <f>_xlfn.XLOOKUP(B14,Códigos!$A$421:$A$483,Códigos!$B$421:$B$483,"Verificar",0)</f>
        <v>Préstamos por Nómina a:</v>
      </c>
      <c r="D14" s="651">
        <f>SUMIF('EGRESOS DE CAJA'!$B$11:$B$5553,B14,'EGRESOS DE CAJA'!$G$11:$G$5553)</f>
        <v>12065900</v>
      </c>
      <c r="E14" s="651">
        <f>D14</f>
        <v>12065900</v>
      </c>
      <c r="F14" s="54"/>
      <c r="G14" s="179" t="s">
        <v>287</v>
      </c>
      <c r="H14" s="175"/>
      <c r="I14" s="179">
        <v>690000</v>
      </c>
      <c r="J14" s="179">
        <v>738650</v>
      </c>
      <c r="K14" s="179">
        <v>790460</v>
      </c>
      <c r="L14" s="203">
        <v>854400</v>
      </c>
      <c r="M14" s="203"/>
      <c r="N14" s="1"/>
      <c r="O14" s="1"/>
    </row>
    <row r="15" spans="1:17" x14ac:dyDescent="0.2">
      <c r="A15" s="97"/>
      <c r="B15" s="435"/>
      <c r="F15" s="54"/>
      <c r="G15" s="179" t="s">
        <v>288</v>
      </c>
      <c r="H15" s="175"/>
      <c r="I15" s="179">
        <v>1833466</v>
      </c>
      <c r="J15" s="179">
        <v>1649094</v>
      </c>
      <c r="K15" s="179">
        <v>1782368</v>
      </c>
      <c r="L15" s="179">
        <v>1899919</v>
      </c>
      <c r="M15" s="179"/>
      <c r="N15" s="1"/>
      <c r="O15" s="1"/>
    </row>
    <row r="16" spans="1:17" x14ac:dyDescent="0.2">
      <c r="A16" s="752" t="s">
        <v>252</v>
      </c>
      <c r="B16" s="417"/>
      <c r="C16" s="753"/>
      <c r="D16" s="754"/>
      <c r="E16" s="742">
        <f>SUM(E14:E15)</f>
        <v>12065900</v>
      </c>
      <c r="F16" s="54"/>
      <c r="G16" s="179" t="s">
        <v>349</v>
      </c>
      <c r="H16" s="175"/>
      <c r="I16" s="179">
        <v>0</v>
      </c>
      <c r="J16" s="179">
        <v>170666</v>
      </c>
      <c r="K16" s="179">
        <v>376000</v>
      </c>
      <c r="L16" s="179">
        <v>945300</v>
      </c>
      <c r="M16" s="179">
        <v>2550523</v>
      </c>
      <c r="N16" s="1"/>
      <c r="O16" s="1"/>
    </row>
    <row r="18" spans="1:13" x14ac:dyDescent="0.2">
      <c r="A18" s="96" t="s">
        <v>253</v>
      </c>
      <c r="B18" s="435"/>
      <c r="C18" s="111"/>
      <c r="D18" s="111"/>
      <c r="E18" s="111"/>
      <c r="F18" s="54"/>
      <c r="G18" s="202" t="s">
        <v>344</v>
      </c>
      <c r="H18" s="175"/>
      <c r="I18" s="186">
        <f>SUM(I13:I17)</f>
        <v>2523466</v>
      </c>
      <c r="J18" s="186">
        <f>SUM(J13:J17)</f>
        <v>2558410</v>
      </c>
      <c r="K18" s="186">
        <f>SUM(K13:K17)</f>
        <v>2948828</v>
      </c>
      <c r="L18" s="186">
        <f>SUM(L13:L17)</f>
        <v>6010719</v>
      </c>
      <c r="M18" s="186">
        <f>SUM(M13:M17)</f>
        <v>3550523</v>
      </c>
    </row>
    <row r="19" spans="1:13" x14ac:dyDescent="0.2">
      <c r="A19" s="110"/>
      <c r="B19" s="53"/>
      <c r="C19" s="111"/>
      <c r="D19" s="111"/>
      <c r="E19" s="111"/>
      <c r="F19" s="54"/>
      <c r="K19" s="200" t="s">
        <v>342</v>
      </c>
      <c r="L19" s="201">
        <f>46222*49</f>
        <v>2264878</v>
      </c>
      <c r="M19" s="201"/>
    </row>
    <row r="20" spans="1:13" x14ac:dyDescent="0.2">
      <c r="A20" s="664" t="s">
        <v>279</v>
      </c>
      <c r="B20" s="737" t="s">
        <v>10</v>
      </c>
      <c r="C20" s="738" t="str">
        <f>_xlfn.XLOOKUP(B20,Códigos!$A$489:$A$522,Códigos!$B$489:$B$522,"Verificar",0)</f>
        <v>Recibido por: -Abono a préstamos por Nómina de:</v>
      </c>
      <c r="D20" s="651">
        <f>SUMIF('INGRESOS A CAJA'!$B$11:$B$4478,B20,'INGRESOS A CAJA'!$F$11:$F$4478)</f>
        <v>1744200</v>
      </c>
      <c r="E20" s="651">
        <f>D20</f>
        <v>1744200</v>
      </c>
      <c r="F20" s="54"/>
      <c r="H20" s="189"/>
      <c r="I20" s="189"/>
      <c r="J20" s="189"/>
      <c r="K20" s="189"/>
      <c r="L20" s="189"/>
      <c r="M20" s="1"/>
    </row>
    <row r="21" spans="1:13" x14ac:dyDescent="0.2">
      <c r="B21" s="737" t="s">
        <v>17</v>
      </c>
      <c r="C21" s="738" t="str">
        <f>_xlfn.XLOOKUP(B21,Códigos!$A$489:$A$522,Códigos!$B$489:$B$522,"Verificar",0)</f>
        <v>Recibido por : aguinaldos</v>
      </c>
      <c r="D21" s="651">
        <f>SUMIF('INGRESOS A CAJA'!$B$11:$B$4478,B21,'INGRESOS A CAJA'!$F$11:$F$4478)</f>
        <v>0</v>
      </c>
      <c r="E21" s="651">
        <f>D21</f>
        <v>0</v>
      </c>
      <c r="F21" s="54"/>
      <c r="H21" s="189"/>
      <c r="I21" s="189"/>
      <c r="J21" s="189"/>
      <c r="K21" s="189"/>
      <c r="L21" s="189"/>
      <c r="M21" s="1"/>
    </row>
    <row r="22" spans="1:13" x14ac:dyDescent="0.2">
      <c r="A22" s="97"/>
      <c r="B22" s="111"/>
      <c r="C22" s="111"/>
      <c r="F22" s="54"/>
      <c r="H22" s="189"/>
      <c r="I22" s="189"/>
      <c r="J22" s="189"/>
      <c r="K22" s="189"/>
      <c r="L22" s="189"/>
    </row>
    <row r="23" spans="1:13" x14ac:dyDescent="0.2">
      <c r="A23" s="755" t="s">
        <v>254</v>
      </c>
      <c r="B23" s="756"/>
      <c r="C23" s="398"/>
      <c r="D23" s="754"/>
      <c r="E23" s="742">
        <f>SUM(E20:E22)</f>
        <v>1744200</v>
      </c>
      <c r="F23" s="54"/>
      <c r="H23" s="189"/>
      <c r="I23" s="189"/>
      <c r="J23" s="189"/>
      <c r="K23" s="189"/>
      <c r="L23" s="189"/>
    </row>
    <row r="24" spans="1:13" x14ac:dyDescent="0.2">
      <c r="A24" s="116"/>
      <c r="B24" s="99"/>
      <c r="D24" s="110"/>
      <c r="E24" s="53"/>
      <c r="F24" s="54"/>
      <c r="H24" s="189"/>
      <c r="I24" s="189"/>
      <c r="J24" s="189"/>
      <c r="K24" s="189"/>
      <c r="L24" s="189"/>
    </row>
    <row r="25" spans="1:13" x14ac:dyDescent="0.2">
      <c r="A25" s="96" t="s">
        <v>255</v>
      </c>
      <c r="B25" s="99"/>
      <c r="D25" s="111"/>
      <c r="E25" s="111"/>
      <c r="F25" s="54"/>
      <c r="H25" s="189"/>
      <c r="I25" s="189"/>
      <c r="J25" s="189"/>
      <c r="K25" s="189"/>
      <c r="L25" s="189"/>
    </row>
    <row r="26" spans="1:13" x14ac:dyDescent="0.2">
      <c r="A26" s="53"/>
      <c r="B26" s="99"/>
      <c r="D26" s="111"/>
      <c r="E26" s="111"/>
      <c r="F26" s="54"/>
      <c r="H26" s="189"/>
      <c r="I26" s="189"/>
      <c r="J26" s="189"/>
      <c r="K26" s="189"/>
      <c r="L26" s="189"/>
    </row>
    <row r="27" spans="1:13" x14ac:dyDescent="0.2">
      <c r="A27" s="659" t="s">
        <v>256</v>
      </c>
      <c r="B27" s="756"/>
      <c r="C27" s="398"/>
      <c r="D27" s="758"/>
      <c r="E27" s="757">
        <f>+E8</f>
        <v>53422684</v>
      </c>
      <c r="F27" s="54"/>
      <c r="H27" s="189"/>
      <c r="I27" s="189"/>
      <c r="J27" s="189"/>
      <c r="K27" s="189"/>
      <c r="L27" s="189"/>
    </row>
    <row r="28" spans="1:13" x14ac:dyDescent="0.2">
      <c r="A28" s="659" t="s">
        <v>257</v>
      </c>
      <c r="B28" s="756"/>
      <c r="C28" s="398"/>
      <c r="D28" s="758"/>
      <c r="E28" s="757">
        <f>E16</f>
        <v>12065900</v>
      </c>
      <c r="F28" s="54"/>
      <c r="H28" s="189"/>
      <c r="I28" s="189"/>
      <c r="J28" s="189"/>
      <c r="K28" s="189"/>
      <c r="L28" s="189"/>
    </row>
    <row r="29" spans="1:13" x14ac:dyDescent="0.2">
      <c r="A29" s="759" t="s">
        <v>258</v>
      </c>
      <c r="B29" s="760"/>
      <c r="C29" s="761"/>
      <c r="D29" s="758"/>
      <c r="E29" s="757">
        <f>E23</f>
        <v>1744200</v>
      </c>
      <c r="F29" s="54"/>
      <c r="H29" s="189"/>
      <c r="I29" s="189"/>
      <c r="J29" s="189"/>
      <c r="K29" s="189"/>
      <c r="L29" s="189"/>
    </row>
    <row r="30" spans="1:13" x14ac:dyDescent="0.2">
      <c r="A30" s="111"/>
      <c r="B30" s="119"/>
      <c r="C30" s="118"/>
      <c r="D30" s="111"/>
      <c r="E30" s="111"/>
      <c r="F30" s="54"/>
      <c r="H30" s="189"/>
      <c r="I30" s="189"/>
      <c r="J30" s="189"/>
      <c r="K30" s="189"/>
      <c r="L30" s="189"/>
    </row>
    <row r="31" spans="1:13" x14ac:dyDescent="0.2">
      <c r="A31" s="752" t="s">
        <v>280</v>
      </c>
      <c r="B31" s="762"/>
      <c r="C31" s="762"/>
      <c r="D31" s="754"/>
      <c r="E31" s="742">
        <f>E27-E28+E29</f>
        <v>43100984</v>
      </c>
      <c r="F31" s="54"/>
      <c r="G31" s="733"/>
      <c r="H31" s="206"/>
      <c r="I31" s="189"/>
      <c r="J31" s="189"/>
      <c r="K31" s="189"/>
      <c r="L31" s="189"/>
    </row>
  </sheetData>
  <printOptions horizontalCentered="1"/>
  <pageMargins left="0.15972222222222221" right="0.28333333333333333" top="0.39374999999999999" bottom="0.58333333333333337" header="0" footer="0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S638"/>
  <sheetViews>
    <sheetView showGridLines="0" showOutlineSymbols="0" defaultGridColor="0" colorId="8" zoomScaleNormal="100" workbookViewId="0">
      <selection activeCell="A3" sqref="A3"/>
    </sheetView>
  </sheetViews>
  <sheetFormatPr baseColWidth="10" defaultColWidth="9.6640625" defaultRowHeight="12.75" x14ac:dyDescent="0.2"/>
  <cols>
    <col min="1" max="1" width="11.6640625" style="11" customWidth="1"/>
    <col min="2" max="2" width="37.6640625" style="47" customWidth="1"/>
    <col min="3" max="3" width="15.77734375" style="141" customWidth="1"/>
    <col min="4" max="5" width="15.77734375" style="47" customWidth="1"/>
    <col min="6" max="6" width="1.6640625" style="47" customWidth="1"/>
    <col min="7" max="7" width="24.109375" style="916" bestFit="1" customWidth="1"/>
    <col min="8" max="8" width="22" style="916" bestFit="1" customWidth="1"/>
    <col min="9" max="9" width="20.44140625" style="916" bestFit="1" customWidth="1"/>
    <col min="10" max="10" width="14.77734375" style="916" customWidth="1"/>
    <col min="11" max="11" width="12.109375" style="916" bestFit="1" customWidth="1"/>
    <col min="12" max="12" width="14" style="916" bestFit="1" customWidth="1"/>
    <col min="13" max="45" width="9.6640625" style="47"/>
    <col min="46" max="16384" width="9.6640625" style="11"/>
  </cols>
  <sheetData>
    <row r="1" spans="1:7" x14ac:dyDescent="0.2">
      <c r="A1" s="225" t="str">
        <f>+Códigos!$A$1</f>
        <v>LIBRO DIARIO OFICINA</v>
      </c>
      <c r="B1" s="129"/>
      <c r="C1" s="129"/>
      <c r="D1" s="129"/>
      <c r="E1" s="129"/>
      <c r="F1" s="130"/>
      <c r="G1" s="917"/>
    </row>
    <row r="2" spans="1:7" x14ac:dyDescent="0.2">
      <c r="A2" s="35" t="s">
        <v>2062</v>
      </c>
      <c r="B2" s="129"/>
      <c r="C2" s="129"/>
      <c r="D2" s="129"/>
      <c r="E2" s="129"/>
      <c r="F2" s="130"/>
      <c r="G2" s="917"/>
    </row>
    <row r="3" spans="1:7" x14ac:dyDescent="0.2">
      <c r="A3" s="66" t="str">
        <f>+Códigos!$A$3</f>
        <v>AÑO:</v>
      </c>
      <c r="B3" s="772">
        <f>+Códigos!$B$3</f>
        <v>2025</v>
      </c>
      <c r="C3" s="133"/>
      <c r="D3" s="132"/>
      <c r="E3" s="132"/>
      <c r="F3" s="130"/>
      <c r="G3" s="918"/>
    </row>
    <row r="4" spans="1:7" x14ac:dyDescent="0.2">
      <c r="A4" s="66"/>
      <c r="B4" s="772"/>
      <c r="C4" s="133"/>
      <c r="D4" s="132"/>
      <c r="E4" s="132"/>
      <c r="F4" s="130"/>
      <c r="G4" s="918"/>
    </row>
    <row r="5" spans="1:7" ht="26.25" customHeight="1" x14ac:dyDescent="0.2">
      <c r="A5" s="1375" t="s">
        <v>684</v>
      </c>
      <c r="B5" s="1375"/>
      <c r="C5" s="1375"/>
      <c r="D5" s="1375"/>
      <c r="E5" s="1375"/>
      <c r="F5" s="130"/>
      <c r="G5" s="920"/>
    </row>
    <row r="6" spans="1:7" s="152" customFormat="1" x14ac:dyDescent="0.2">
      <c r="A6" s="147" t="s">
        <v>249</v>
      </c>
      <c r="B6" s="148"/>
      <c r="C6" s="149"/>
      <c r="D6" s="148"/>
      <c r="E6" s="146">
        <v>42358530.978055984</v>
      </c>
      <c r="F6" s="150"/>
      <c r="G6" s="922">
        <v>42358530.978055984</v>
      </c>
    </row>
    <row r="7" spans="1:7" s="152" customFormat="1" x14ac:dyDescent="0.2">
      <c r="A7" s="109" t="s">
        <v>250</v>
      </c>
      <c r="B7" s="153"/>
      <c r="C7" s="154"/>
      <c r="D7" s="153"/>
      <c r="E7" s="153">
        <f>E636</f>
        <v>2559378.6780560459</v>
      </c>
      <c r="F7" s="150"/>
      <c r="G7" s="922"/>
    </row>
    <row r="8" spans="1:7" ht="5.0999999999999996" customHeight="1" x14ac:dyDescent="0.2">
      <c r="A8" s="9"/>
      <c r="B8" s="135"/>
      <c r="C8" s="136"/>
      <c r="D8" s="137"/>
      <c r="E8" s="137"/>
      <c r="F8" s="130"/>
    </row>
    <row r="9" spans="1:7" x14ac:dyDescent="0.2">
      <c r="A9" s="7"/>
      <c r="B9" s="132"/>
      <c r="C9" s="133"/>
      <c r="D9" s="132"/>
      <c r="E9" s="132"/>
      <c r="F9" s="130"/>
    </row>
    <row r="10" spans="1:7" x14ac:dyDescent="0.2">
      <c r="A10" s="108" t="s">
        <v>3</v>
      </c>
      <c r="B10" s="155" t="s">
        <v>23</v>
      </c>
      <c r="C10" s="156" t="s">
        <v>25</v>
      </c>
      <c r="D10" s="155" t="s">
        <v>20</v>
      </c>
      <c r="E10" s="155" t="s">
        <v>22</v>
      </c>
      <c r="F10" s="130"/>
    </row>
    <row r="11" spans="1:7" x14ac:dyDescent="0.2">
      <c r="A11" s="7"/>
      <c r="B11" s="132"/>
      <c r="C11" s="133"/>
      <c r="D11" s="132"/>
      <c r="E11" s="132"/>
      <c r="F11" s="130"/>
    </row>
    <row r="12" spans="1:7" x14ac:dyDescent="0.2">
      <c r="A12" s="12">
        <v>44935</v>
      </c>
      <c r="B12" s="138" t="s">
        <v>256</v>
      </c>
      <c r="C12" s="139">
        <v>0</v>
      </c>
      <c r="D12" s="138">
        <v>0</v>
      </c>
      <c r="E12" s="138">
        <f>+E6</f>
        <v>42358530.978055984</v>
      </c>
      <c r="F12" s="130"/>
    </row>
    <row r="13" spans="1:7" x14ac:dyDescent="0.2">
      <c r="A13" s="15"/>
      <c r="B13" s="134"/>
      <c r="C13" s="140"/>
      <c r="D13" s="134"/>
      <c r="E13" s="134"/>
      <c r="F13" s="130"/>
    </row>
    <row r="14" spans="1:7" x14ac:dyDescent="0.2">
      <c r="A14" s="211">
        <v>45659</v>
      </c>
      <c r="B14" s="191" t="s">
        <v>1050</v>
      </c>
      <c r="C14" s="868"/>
      <c r="D14" s="1338">
        <v>50000</v>
      </c>
      <c r="E14" s="134">
        <f>E12+C14-D14</f>
        <v>42308530.978055984</v>
      </c>
      <c r="F14" s="130"/>
    </row>
    <row r="15" spans="1:7" x14ac:dyDescent="0.2">
      <c r="A15" s="211">
        <v>45660</v>
      </c>
      <c r="B15" s="191" t="s">
        <v>1052</v>
      </c>
      <c r="C15" s="868"/>
      <c r="D15" s="1338">
        <v>500000</v>
      </c>
      <c r="E15" s="134">
        <f>E14+C15-D15</f>
        <v>41808530.978055984</v>
      </c>
      <c r="F15" s="130"/>
      <c r="G15" s="915"/>
    </row>
    <row r="16" spans="1:7" x14ac:dyDescent="0.2">
      <c r="A16" s="211">
        <v>45660</v>
      </c>
      <c r="B16" s="191" t="s">
        <v>1053</v>
      </c>
      <c r="C16" s="868"/>
      <c r="D16" s="1337">
        <v>1000000</v>
      </c>
      <c r="E16" s="134">
        <f t="shared" ref="E16:E79" si="0">E15+C16-D16</f>
        <v>40808530.978055984</v>
      </c>
      <c r="F16" s="130"/>
    </row>
    <row r="17" spans="1:5" x14ac:dyDescent="0.2">
      <c r="A17" s="211">
        <v>45666</v>
      </c>
      <c r="B17" s="191" t="s">
        <v>1054</v>
      </c>
      <c r="C17" s="868"/>
      <c r="D17" s="1337">
        <v>47490</v>
      </c>
      <c r="E17" s="134">
        <f t="shared" si="0"/>
        <v>40761040.978055984</v>
      </c>
    </row>
    <row r="18" spans="1:5" x14ac:dyDescent="0.2">
      <c r="A18" s="211">
        <v>45668</v>
      </c>
      <c r="B18" s="191" t="s">
        <v>1055</v>
      </c>
      <c r="C18" s="868"/>
      <c r="D18" s="1337">
        <v>10650</v>
      </c>
      <c r="E18" s="134">
        <f t="shared" si="0"/>
        <v>40750390.978055984</v>
      </c>
    </row>
    <row r="19" spans="1:5" x14ac:dyDescent="0.2">
      <c r="A19" s="211">
        <v>45670</v>
      </c>
      <c r="B19" s="191" t="s">
        <v>1056</v>
      </c>
      <c r="C19" s="868"/>
      <c r="D19" s="1337">
        <v>125822</v>
      </c>
      <c r="E19" s="134">
        <f t="shared" si="0"/>
        <v>40624568.978055984</v>
      </c>
    </row>
    <row r="20" spans="1:5" x14ac:dyDescent="0.2">
      <c r="A20" s="211">
        <v>45671</v>
      </c>
      <c r="B20" s="1053" t="s">
        <v>1057</v>
      </c>
      <c r="C20" s="868"/>
      <c r="D20" s="1337">
        <v>1030000</v>
      </c>
      <c r="E20" s="134">
        <f t="shared" si="0"/>
        <v>39594568.978055984</v>
      </c>
    </row>
    <row r="21" spans="1:5" x14ac:dyDescent="0.2">
      <c r="A21" s="211">
        <v>45671</v>
      </c>
      <c r="B21" s="191" t="s">
        <v>1051</v>
      </c>
      <c r="C21" s="868"/>
      <c r="D21" s="1338">
        <v>550000</v>
      </c>
      <c r="E21" s="134">
        <f t="shared" si="0"/>
        <v>39044568.978055984</v>
      </c>
    </row>
    <row r="22" spans="1:5" x14ac:dyDescent="0.2">
      <c r="A22" s="211">
        <v>45671</v>
      </c>
      <c r="B22" s="1053" t="s">
        <v>1058</v>
      </c>
      <c r="C22" s="868"/>
      <c r="D22" s="1337">
        <v>897800</v>
      </c>
      <c r="E22" s="134">
        <f t="shared" si="0"/>
        <v>38146768.978055984</v>
      </c>
    </row>
    <row r="23" spans="1:5" x14ac:dyDescent="0.2">
      <c r="A23" s="211">
        <v>45671</v>
      </c>
      <c r="B23" s="1053" t="s">
        <v>1059</v>
      </c>
      <c r="C23" s="868"/>
      <c r="D23" s="1337">
        <v>1000600</v>
      </c>
      <c r="E23" s="134">
        <f t="shared" si="0"/>
        <v>37146168.978055984</v>
      </c>
    </row>
    <row r="24" spans="1:5" x14ac:dyDescent="0.2">
      <c r="A24" s="211">
        <v>45671</v>
      </c>
      <c r="B24" s="1053" t="s">
        <v>1060</v>
      </c>
      <c r="C24" s="1338">
        <v>1351584</v>
      </c>
      <c r="D24" s="191"/>
      <c r="E24" s="134">
        <f t="shared" si="0"/>
        <v>38497752.978055984</v>
      </c>
    </row>
    <row r="25" spans="1:5" x14ac:dyDescent="0.2">
      <c r="A25" s="211">
        <v>45671</v>
      </c>
      <c r="B25" s="1053" t="s">
        <v>1065</v>
      </c>
      <c r="C25" s="868"/>
      <c r="D25" s="1337">
        <v>156951</v>
      </c>
      <c r="E25" s="134">
        <f t="shared" si="0"/>
        <v>38340801.978055984</v>
      </c>
    </row>
    <row r="26" spans="1:5" x14ac:dyDescent="0.2">
      <c r="A26" s="211">
        <v>45671</v>
      </c>
      <c r="B26" s="191" t="s">
        <v>1061</v>
      </c>
      <c r="C26" s="1338">
        <v>130000000</v>
      </c>
      <c r="D26" s="191"/>
      <c r="E26" s="134">
        <f t="shared" si="0"/>
        <v>168340801.97805598</v>
      </c>
    </row>
    <row r="27" spans="1:5" x14ac:dyDescent="0.2">
      <c r="A27" s="211">
        <v>45671</v>
      </c>
      <c r="B27" s="1053" t="s">
        <v>1075</v>
      </c>
      <c r="C27" s="1338">
        <v>10245900</v>
      </c>
      <c r="D27" s="191"/>
      <c r="E27" s="134">
        <f t="shared" si="0"/>
        <v>178586701.97805598</v>
      </c>
    </row>
    <row r="28" spans="1:5" x14ac:dyDescent="0.2">
      <c r="A28" s="211">
        <v>45671</v>
      </c>
      <c r="B28" s="1053" t="s">
        <v>1076</v>
      </c>
      <c r="C28" s="1338">
        <v>9103500</v>
      </c>
      <c r="D28" s="191"/>
      <c r="E28" s="134">
        <f t="shared" si="0"/>
        <v>187690201.97805598</v>
      </c>
    </row>
    <row r="29" spans="1:5" x14ac:dyDescent="0.2">
      <c r="A29" s="211">
        <v>45671</v>
      </c>
      <c r="B29" s="1053" t="s">
        <v>1068</v>
      </c>
      <c r="C29" s="868"/>
      <c r="D29" s="1337">
        <v>70000000</v>
      </c>
      <c r="E29" s="134">
        <f t="shared" si="0"/>
        <v>117690201.97805598</v>
      </c>
    </row>
    <row r="30" spans="1:5" x14ac:dyDescent="0.2">
      <c r="A30" s="211">
        <v>45673</v>
      </c>
      <c r="B30" s="1053" t="s">
        <v>1071</v>
      </c>
      <c r="C30" s="868"/>
      <c r="D30" s="1337">
        <v>336000</v>
      </c>
      <c r="E30" s="134">
        <f t="shared" si="0"/>
        <v>117354201.97805598</v>
      </c>
    </row>
    <row r="31" spans="1:5" x14ac:dyDescent="0.2">
      <c r="A31" s="211">
        <v>45673</v>
      </c>
      <c r="B31" s="191" t="s">
        <v>1072</v>
      </c>
      <c r="C31" s="868"/>
      <c r="D31" s="1338">
        <v>1026732</v>
      </c>
      <c r="E31" s="134">
        <f t="shared" si="0"/>
        <v>116327469.97805598</v>
      </c>
    </row>
    <row r="32" spans="1:5" x14ac:dyDescent="0.2">
      <c r="A32" s="211">
        <v>45674</v>
      </c>
      <c r="B32" s="1295" t="s">
        <v>1135</v>
      </c>
      <c r="C32" s="1338">
        <v>5000000</v>
      </c>
      <c r="D32" s="868"/>
      <c r="E32" s="134">
        <f t="shared" si="0"/>
        <v>121327469.97805598</v>
      </c>
    </row>
    <row r="33" spans="1:5" x14ac:dyDescent="0.2">
      <c r="A33" s="211">
        <v>45674</v>
      </c>
      <c r="B33" s="191" t="s">
        <v>1073</v>
      </c>
      <c r="C33" s="1338">
        <v>10260000</v>
      </c>
      <c r="D33" s="868"/>
      <c r="E33" s="134">
        <f t="shared" si="0"/>
        <v>131587469.97805598</v>
      </c>
    </row>
    <row r="34" spans="1:5" x14ac:dyDescent="0.2">
      <c r="A34" s="211">
        <v>45674</v>
      </c>
      <c r="B34" s="191" t="s">
        <v>1074</v>
      </c>
      <c r="C34" s="868"/>
      <c r="D34" s="1338">
        <v>10214000</v>
      </c>
      <c r="E34" s="134">
        <f t="shared" si="0"/>
        <v>121373469.97805598</v>
      </c>
    </row>
    <row r="35" spans="1:5" x14ac:dyDescent="0.2">
      <c r="A35" s="211">
        <v>45674</v>
      </c>
      <c r="B35" s="1053" t="s">
        <v>1068</v>
      </c>
      <c r="C35" s="868"/>
      <c r="D35" s="1338">
        <v>65000000</v>
      </c>
      <c r="E35" s="134">
        <f t="shared" si="0"/>
        <v>56373469.978055984</v>
      </c>
    </row>
    <row r="36" spans="1:5" x14ac:dyDescent="0.2">
      <c r="A36" s="211">
        <v>45674</v>
      </c>
      <c r="B36" s="1053" t="s">
        <v>1124</v>
      </c>
      <c r="C36" s="868"/>
      <c r="D36" s="1338">
        <v>196350</v>
      </c>
      <c r="E36" s="134">
        <f t="shared" si="0"/>
        <v>56177119.978055984</v>
      </c>
    </row>
    <row r="37" spans="1:5" x14ac:dyDescent="0.2">
      <c r="A37" s="211">
        <v>45674</v>
      </c>
      <c r="B37" s="191" t="s">
        <v>1125</v>
      </c>
      <c r="C37" s="1338">
        <v>11983300</v>
      </c>
      <c r="D37" s="868"/>
      <c r="E37" s="134">
        <f t="shared" si="0"/>
        <v>68160419.978055984</v>
      </c>
    </row>
    <row r="38" spans="1:5" x14ac:dyDescent="0.2">
      <c r="A38" s="211">
        <v>45677</v>
      </c>
      <c r="B38" s="1053" t="s">
        <v>1126</v>
      </c>
      <c r="C38" s="868"/>
      <c r="D38" s="1338">
        <v>9034.7199999999993</v>
      </c>
      <c r="E38" s="134">
        <f t="shared" si="0"/>
        <v>68151385.258055985</v>
      </c>
    </row>
    <row r="39" spans="1:5" x14ac:dyDescent="0.2">
      <c r="A39" s="211">
        <v>45677</v>
      </c>
      <c r="B39" s="191" t="s">
        <v>1128</v>
      </c>
      <c r="C39" s="868"/>
      <c r="D39" s="1338">
        <v>303850</v>
      </c>
      <c r="E39" s="134">
        <f t="shared" si="0"/>
        <v>67847535.258055985</v>
      </c>
    </row>
    <row r="40" spans="1:5" x14ac:dyDescent="0.2">
      <c r="A40" s="211">
        <v>45677</v>
      </c>
      <c r="B40" s="191" t="s">
        <v>1053</v>
      </c>
      <c r="C40" s="868"/>
      <c r="D40" s="1337">
        <v>1000000</v>
      </c>
      <c r="E40" s="134">
        <f t="shared" si="0"/>
        <v>66847535.258055985</v>
      </c>
    </row>
    <row r="41" spans="1:5" x14ac:dyDescent="0.2">
      <c r="A41" s="211">
        <v>45677</v>
      </c>
      <c r="B41" s="191" t="s">
        <v>1053</v>
      </c>
      <c r="C41" s="868"/>
      <c r="D41" s="1337">
        <v>1000000</v>
      </c>
      <c r="E41" s="134">
        <f t="shared" si="0"/>
        <v>65847535.258055985</v>
      </c>
    </row>
    <row r="42" spans="1:5" x14ac:dyDescent="0.2">
      <c r="A42" s="211">
        <v>45677</v>
      </c>
      <c r="B42" s="191" t="s">
        <v>1127</v>
      </c>
      <c r="C42" s="868"/>
      <c r="D42" s="1338">
        <v>242436</v>
      </c>
      <c r="E42" s="134">
        <f t="shared" si="0"/>
        <v>65605099.258055985</v>
      </c>
    </row>
    <row r="43" spans="1:5" x14ac:dyDescent="0.2">
      <c r="A43" s="211">
        <v>45678</v>
      </c>
      <c r="B43" s="191" t="s">
        <v>1129</v>
      </c>
      <c r="C43" s="1338">
        <v>1096000</v>
      </c>
      <c r="D43" s="191"/>
      <c r="E43" s="134">
        <f t="shared" si="0"/>
        <v>66701099.258055985</v>
      </c>
    </row>
    <row r="44" spans="1:5" x14ac:dyDescent="0.2">
      <c r="A44" s="211">
        <v>45678</v>
      </c>
      <c r="B44" s="1053" t="s">
        <v>1130</v>
      </c>
      <c r="C44" s="868"/>
      <c r="D44" s="1337">
        <v>1096000</v>
      </c>
      <c r="E44" s="134">
        <f t="shared" si="0"/>
        <v>65605099.258055985</v>
      </c>
    </row>
    <row r="45" spans="1:5" ht="10.5" customHeight="1" x14ac:dyDescent="0.2">
      <c r="A45" s="211">
        <v>45678</v>
      </c>
      <c r="B45" s="1053" t="s">
        <v>1126</v>
      </c>
      <c r="C45" s="868"/>
      <c r="D45" s="1337">
        <v>9124</v>
      </c>
      <c r="E45" s="134">
        <f t="shared" si="0"/>
        <v>65595975.258055985</v>
      </c>
    </row>
    <row r="46" spans="1:5" x14ac:dyDescent="0.2">
      <c r="A46" s="211">
        <v>45678</v>
      </c>
      <c r="B46" s="1053" t="s">
        <v>1131</v>
      </c>
      <c r="C46" s="868"/>
      <c r="D46" s="1337">
        <v>1185000</v>
      </c>
      <c r="E46" s="134">
        <f t="shared" si="0"/>
        <v>64410975.258055985</v>
      </c>
    </row>
    <row r="47" spans="1:5" x14ac:dyDescent="0.2">
      <c r="A47" s="211">
        <v>45681</v>
      </c>
      <c r="B47" s="1053" t="s">
        <v>1132</v>
      </c>
      <c r="C47" s="868"/>
      <c r="D47" s="1338">
        <v>100000</v>
      </c>
      <c r="E47" s="134">
        <f t="shared" si="0"/>
        <v>64310975.258055985</v>
      </c>
    </row>
    <row r="48" spans="1:5" x14ac:dyDescent="0.2">
      <c r="A48" s="211">
        <v>45681</v>
      </c>
      <c r="B48" s="191" t="s">
        <v>1133</v>
      </c>
      <c r="C48" s="868"/>
      <c r="D48" s="1338">
        <v>380000</v>
      </c>
      <c r="E48" s="134">
        <f t="shared" si="0"/>
        <v>63930975.258055985</v>
      </c>
    </row>
    <row r="49" spans="1:7" x14ac:dyDescent="0.2">
      <c r="A49" s="211">
        <v>45681</v>
      </c>
      <c r="B49" s="1053" t="s">
        <v>1134</v>
      </c>
      <c r="C49" s="868"/>
      <c r="D49" s="1338">
        <v>880000</v>
      </c>
      <c r="E49" s="134">
        <f t="shared" si="0"/>
        <v>63050975.258055985</v>
      </c>
      <c r="F49" s="130"/>
    </row>
    <row r="50" spans="1:7" x14ac:dyDescent="0.2">
      <c r="A50" s="211">
        <v>45681</v>
      </c>
      <c r="B50" s="1053" t="s">
        <v>1126</v>
      </c>
      <c r="C50" s="868"/>
      <c r="D50" s="1338">
        <v>167488</v>
      </c>
      <c r="E50" s="134">
        <f t="shared" si="0"/>
        <v>62883487.258055985</v>
      </c>
      <c r="F50" s="130"/>
      <c r="G50" s="868"/>
    </row>
    <row r="51" spans="1:7" x14ac:dyDescent="0.2">
      <c r="A51" s="211">
        <v>45681</v>
      </c>
      <c r="B51" s="191" t="s">
        <v>1136</v>
      </c>
      <c r="C51" s="868"/>
      <c r="D51" s="1338">
        <v>40512000</v>
      </c>
      <c r="E51" s="134">
        <f t="shared" si="0"/>
        <v>22371487.258055985</v>
      </c>
      <c r="F51" s="130"/>
      <c r="G51" s="868"/>
    </row>
    <row r="52" spans="1:7" x14ac:dyDescent="0.2">
      <c r="A52" s="211">
        <v>45685</v>
      </c>
      <c r="B52" s="191" t="s">
        <v>1137</v>
      </c>
      <c r="C52" s="868"/>
      <c r="D52" s="1338">
        <v>482177</v>
      </c>
      <c r="E52" s="134">
        <f t="shared" si="0"/>
        <v>21889310.258055985</v>
      </c>
      <c r="F52" s="130"/>
    </row>
    <row r="53" spans="1:7" x14ac:dyDescent="0.2">
      <c r="A53" s="211">
        <v>45686</v>
      </c>
      <c r="B53" s="191" t="s">
        <v>1050</v>
      </c>
      <c r="C53" s="868"/>
      <c r="D53" s="1338">
        <v>50000</v>
      </c>
      <c r="E53" s="134">
        <f t="shared" si="0"/>
        <v>21839310.258055985</v>
      </c>
      <c r="F53" s="130"/>
    </row>
    <row r="54" spans="1:7" x14ac:dyDescent="0.2">
      <c r="A54" s="211">
        <v>45686</v>
      </c>
      <c r="B54" s="1053" t="s">
        <v>1126</v>
      </c>
      <c r="C54" s="868"/>
      <c r="D54" s="1338">
        <f>1928.7+200</f>
        <v>2128.6999999999998</v>
      </c>
      <c r="E54" s="134">
        <f t="shared" si="0"/>
        <v>21837181.558055986</v>
      </c>
      <c r="F54" s="130"/>
      <c r="G54" s="211"/>
    </row>
    <row r="55" spans="1:7" x14ac:dyDescent="0.2">
      <c r="A55" s="211">
        <v>45688</v>
      </c>
      <c r="B55" s="1053" t="s">
        <v>1144</v>
      </c>
      <c r="C55" s="868"/>
      <c r="D55" s="1337">
        <v>830000</v>
      </c>
      <c r="E55" s="134">
        <f t="shared" si="0"/>
        <v>21007181.558055986</v>
      </c>
      <c r="F55" s="130"/>
    </row>
    <row r="56" spans="1:7" x14ac:dyDescent="0.2">
      <c r="A56" s="211">
        <v>45688</v>
      </c>
      <c r="B56" s="191" t="s">
        <v>1151</v>
      </c>
      <c r="C56" s="868"/>
      <c r="D56" s="1337">
        <v>41489</v>
      </c>
      <c r="E56" s="134">
        <f t="shared" si="0"/>
        <v>20965692.558055986</v>
      </c>
      <c r="F56" s="130"/>
      <c r="G56" s="191"/>
    </row>
    <row r="57" spans="1:7" x14ac:dyDescent="0.2">
      <c r="A57" s="211">
        <v>45688</v>
      </c>
      <c r="B57" s="191" t="s">
        <v>1152</v>
      </c>
      <c r="C57" s="868"/>
      <c r="D57" s="1337">
        <v>470000</v>
      </c>
      <c r="E57" s="134">
        <f t="shared" si="0"/>
        <v>20495692.558055986</v>
      </c>
      <c r="F57" s="130"/>
      <c r="G57" s="916">
        <f>+E57-20967640</f>
        <v>-471947.44194401428</v>
      </c>
    </row>
    <row r="58" spans="1:7" x14ac:dyDescent="0.2">
      <c r="A58" s="211">
        <v>45688</v>
      </c>
      <c r="B58" s="1053" t="s">
        <v>1126</v>
      </c>
      <c r="C58" s="868"/>
      <c r="D58" s="1338">
        <v>5365.95</v>
      </c>
      <c r="E58" s="134">
        <f t="shared" si="0"/>
        <v>20490326.608055986</v>
      </c>
      <c r="F58" s="130"/>
      <c r="G58" s="191"/>
    </row>
    <row r="59" spans="1:7" x14ac:dyDescent="0.2">
      <c r="A59" s="211">
        <v>45692</v>
      </c>
      <c r="B59" s="1053" t="s">
        <v>1058</v>
      </c>
      <c r="C59" s="868"/>
      <c r="D59" s="1337">
        <v>1392400</v>
      </c>
      <c r="E59" s="134">
        <f t="shared" si="0"/>
        <v>19097926.608055986</v>
      </c>
      <c r="F59" s="130"/>
      <c r="G59" s="191"/>
    </row>
    <row r="60" spans="1:7" x14ac:dyDescent="0.2">
      <c r="A60" s="211">
        <v>45692</v>
      </c>
      <c r="B60" s="1053" t="s">
        <v>1059</v>
      </c>
      <c r="C60" s="868"/>
      <c r="D60" s="1338">
        <v>940500</v>
      </c>
      <c r="E60" s="134">
        <f t="shared" si="0"/>
        <v>18157426.608055986</v>
      </c>
      <c r="F60" s="130"/>
    </row>
    <row r="61" spans="1:7" x14ac:dyDescent="0.2">
      <c r="A61" s="211">
        <v>45692</v>
      </c>
      <c r="B61" s="1053" t="s">
        <v>1132</v>
      </c>
      <c r="C61" s="868"/>
      <c r="D61" s="1338">
        <v>100000</v>
      </c>
      <c r="E61" s="134">
        <f t="shared" si="0"/>
        <v>18057426.608055986</v>
      </c>
      <c r="F61" s="130"/>
      <c r="G61" s="191"/>
    </row>
    <row r="62" spans="1:7" x14ac:dyDescent="0.2">
      <c r="A62" s="211">
        <v>45692</v>
      </c>
      <c r="B62" s="1053" t="s">
        <v>1153</v>
      </c>
      <c r="C62" s="868"/>
      <c r="D62" s="1338">
        <v>100000</v>
      </c>
      <c r="E62" s="134">
        <f t="shared" si="0"/>
        <v>17957426.608055986</v>
      </c>
      <c r="F62" s="130"/>
    </row>
    <row r="63" spans="1:7" x14ac:dyDescent="0.2">
      <c r="A63" s="211">
        <v>45692</v>
      </c>
      <c r="B63" s="906" t="s">
        <v>1154</v>
      </c>
      <c r="C63" s="868"/>
      <c r="D63" s="1338">
        <v>129900</v>
      </c>
      <c r="E63" s="134">
        <f t="shared" si="0"/>
        <v>17827526.608055986</v>
      </c>
      <c r="F63" s="130"/>
      <c r="G63" s="191"/>
    </row>
    <row r="64" spans="1:7" x14ac:dyDescent="0.2">
      <c r="A64" s="211">
        <v>45693</v>
      </c>
      <c r="B64" s="1053" t="s">
        <v>1159</v>
      </c>
      <c r="C64" s="868"/>
      <c r="D64" s="1338">
        <v>880000</v>
      </c>
      <c r="E64" s="134">
        <f t="shared" si="0"/>
        <v>16947526.608055986</v>
      </c>
      <c r="F64" s="130"/>
      <c r="G64" s="191"/>
    </row>
    <row r="65" spans="1:7" x14ac:dyDescent="0.2">
      <c r="A65" s="211">
        <v>45693</v>
      </c>
      <c r="B65" s="191" t="s">
        <v>1053</v>
      </c>
      <c r="C65" s="868"/>
      <c r="D65" s="1337">
        <v>1000000</v>
      </c>
      <c r="E65" s="134">
        <f t="shared" si="0"/>
        <v>15947526.608055986</v>
      </c>
      <c r="F65" s="130"/>
      <c r="G65" s="191"/>
    </row>
    <row r="66" spans="1:7" x14ac:dyDescent="0.2">
      <c r="A66" s="211">
        <v>45693</v>
      </c>
      <c r="B66" s="191" t="s">
        <v>1053</v>
      </c>
      <c r="C66" s="868"/>
      <c r="D66" s="1337">
        <v>1000000</v>
      </c>
      <c r="E66" s="134">
        <f t="shared" si="0"/>
        <v>14947526.608055986</v>
      </c>
      <c r="F66" s="130"/>
    </row>
    <row r="67" spans="1:7" x14ac:dyDescent="0.2">
      <c r="A67" s="211">
        <v>45693</v>
      </c>
      <c r="B67" s="1053" t="s">
        <v>1164</v>
      </c>
      <c r="C67" s="868"/>
      <c r="D67" s="1337">
        <v>1257184</v>
      </c>
      <c r="E67" s="134">
        <f t="shared" si="0"/>
        <v>13690342.608055986</v>
      </c>
      <c r="F67" s="130"/>
    </row>
    <row r="68" spans="1:7" x14ac:dyDescent="0.2">
      <c r="A68" s="211">
        <v>45695</v>
      </c>
      <c r="B68" s="191" t="s">
        <v>1053</v>
      </c>
      <c r="C68" s="868"/>
      <c r="D68" s="1337">
        <v>1000000</v>
      </c>
      <c r="E68" s="134">
        <f t="shared" si="0"/>
        <v>12690342.608055986</v>
      </c>
      <c r="F68" s="130"/>
      <c r="G68" s="211"/>
    </row>
    <row r="69" spans="1:7" x14ac:dyDescent="0.2">
      <c r="A69" s="211">
        <v>45695</v>
      </c>
      <c r="B69" s="191" t="s">
        <v>1053</v>
      </c>
      <c r="C69" s="868"/>
      <c r="D69" s="1337">
        <v>1000000</v>
      </c>
      <c r="E69" s="134">
        <f t="shared" si="0"/>
        <v>11690342.608055986</v>
      </c>
      <c r="F69" s="130"/>
    </row>
    <row r="70" spans="1:7" x14ac:dyDescent="0.2">
      <c r="A70" s="211">
        <v>45699</v>
      </c>
      <c r="B70" s="191" t="s">
        <v>1161</v>
      </c>
      <c r="C70" s="868"/>
      <c r="D70" s="1337">
        <v>53000</v>
      </c>
      <c r="E70" s="134">
        <f t="shared" si="0"/>
        <v>11637342.608055986</v>
      </c>
      <c r="F70" s="130"/>
      <c r="G70" s="191"/>
    </row>
    <row r="71" spans="1:7" x14ac:dyDescent="0.2">
      <c r="A71" s="211">
        <v>45699</v>
      </c>
      <c r="B71" s="1293" t="s">
        <v>1092</v>
      </c>
      <c r="C71" s="1338">
        <v>470000</v>
      </c>
      <c r="D71" s="868"/>
      <c r="E71" s="134">
        <f t="shared" si="0"/>
        <v>12107342.608055986</v>
      </c>
      <c r="F71" s="130"/>
    </row>
    <row r="72" spans="1:7" x14ac:dyDescent="0.2">
      <c r="A72" s="211">
        <v>45700</v>
      </c>
      <c r="B72" s="1053" t="s">
        <v>1165</v>
      </c>
      <c r="C72" s="1338">
        <v>1010024</v>
      </c>
      <c r="D72" s="868"/>
      <c r="E72" s="134">
        <f t="shared" si="0"/>
        <v>13117366.608055986</v>
      </c>
      <c r="F72" s="130"/>
    </row>
    <row r="73" spans="1:7" x14ac:dyDescent="0.2">
      <c r="A73" s="211">
        <v>45701</v>
      </c>
      <c r="B73" s="1053" t="s">
        <v>1166</v>
      </c>
      <c r="C73" s="868"/>
      <c r="D73" s="1337">
        <v>501000</v>
      </c>
      <c r="E73" s="134">
        <f t="shared" si="0"/>
        <v>12616366.608055986</v>
      </c>
      <c r="F73" s="130"/>
    </row>
    <row r="74" spans="1:7" x14ac:dyDescent="0.2">
      <c r="A74" s="211">
        <v>45701</v>
      </c>
      <c r="B74" s="1053" t="s">
        <v>1065</v>
      </c>
      <c r="C74" s="868"/>
      <c r="D74" s="1338">
        <v>174472</v>
      </c>
      <c r="E74" s="134">
        <f t="shared" si="0"/>
        <v>12441894.608055986</v>
      </c>
      <c r="F74" s="130"/>
    </row>
    <row r="75" spans="1:7" x14ac:dyDescent="0.2">
      <c r="A75" s="211">
        <v>45701</v>
      </c>
      <c r="B75" s="1053" t="s">
        <v>1167</v>
      </c>
      <c r="C75" s="868"/>
      <c r="D75" s="1338">
        <v>502000</v>
      </c>
      <c r="E75" s="134">
        <f t="shared" si="0"/>
        <v>11939894.608055986</v>
      </c>
      <c r="F75" s="130"/>
    </row>
    <row r="76" spans="1:7" x14ac:dyDescent="0.2">
      <c r="A76" s="211">
        <v>45701</v>
      </c>
      <c r="B76" s="191" t="s">
        <v>1056</v>
      </c>
      <c r="C76" s="868"/>
      <c r="D76" s="1338">
        <v>125464</v>
      </c>
      <c r="E76" s="134">
        <f t="shared" si="0"/>
        <v>11814430.608055986</v>
      </c>
      <c r="F76" s="130"/>
    </row>
    <row r="77" spans="1:7" x14ac:dyDescent="0.2">
      <c r="A77" s="211">
        <v>45701</v>
      </c>
      <c r="B77" s="1053" t="s">
        <v>1168</v>
      </c>
      <c r="C77" s="868"/>
      <c r="D77" s="1338">
        <v>880000</v>
      </c>
      <c r="E77" s="134">
        <f t="shared" si="0"/>
        <v>10934430.608055986</v>
      </c>
      <c r="F77" s="130"/>
      <c r="G77" s="916">
        <f>10895161-E77</f>
        <v>-39269.608055986464</v>
      </c>
    </row>
    <row r="78" spans="1:7" x14ac:dyDescent="0.2">
      <c r="A78" s="211">
        <v>45701</v>
      </c>
      <c r="B78" s="191" t="s">
        <v>1051</v>
      </c>
      <c r="C78" s="868"/>
      <c r="D78" s="1338">
        <v>550000</v>
      </c>
      <c r="E78" s="134">
        <f t="shared" si="0"/>
        <v>10384430.608055986</v>
      </c>
      <c r="F78" s="130"/>
    </row>
    <row r="79" spans="1:7" x14ac:dyDescent="0.2">
      <c r="A79" s="211">
        <v>45701</v>
      </c>
      <c r="B79" s="191" t="s">
        <v>1169</v>
      </c>
      <c r="C79" s="868"/>
      <c r="D79" s="1338">
        <v>4402220</v>
      </c>
      <c r="E79" s="134">
        <f t="shared" si="0"/>
        <v>5982210.6080559865</v>
      </c>
      <c r="F79" s="130"/>
    </row>
    <row r="80" spans="1:7" x14ac:dyDescent="0.2">
      <c r="A80" s="211">
        <v>45701</v>
      </c>
      <c r="B80" s="1053" t="s">
        <v>1126</v>
      </c>
      <c r="C80" s="868"/>
      <c r="D80" s="1338">
        <v>3892.66</v>
      </c>
      <c r="E80" s="134">
        <f t="shared" ref="E80:E143" si="1">E79+C80-D80</f>
        <v>5978317.9480559863</v>
      </c>
      <c r="F80" s="130"/>
    </row>
    <row r="81" spans="1:7" x14ac:dyDescent="0.2">
      <c r="A81" s="211">
        <v>45702</v>
      </c>
      <c r="B81" s="191" t="s">
        <v>1053</v>
      </c>
      <c r="C81" s="868"/>
      <c r="D81" s="1337">
        <v>1000000</v>
      </c>
      <c r="E81" s="134">
        <f t="shared" si="1"/>
        <v>4978317.9480559863</v>
      </c>
      <c r="F81" s="130"/>
    </row>
    <row r="82" spans="1:7" x14ac:dyDescent="0.2">
      <c r="A82" s="211">
        <v>45702</v>
      </c>
      <c r="B82" s="191" t="s">
        <v>1053</v>
      </c>
      <c r="C82" s="868"/>
      <c r="D82" s="1337">
        <v>1000000</v>
      </c>
      <c r="E82" s="134">
        <f t="shared" si="1"/>
        <v>3978317.9480559863</v>
      </c>
      <c r="F82" s="130"/>
    </row>
    <row r="83" spans="1:7" x14ac:dyDescent="0.2">
      <c r="A83" s="211">
        <v>45702</v>
      </c>
      <c r="B83" s="191" t="s">
        <v>1055</v>
      </c>
      <c r="C83" s="868"/>
      <c r="D83" s="1337">
        <v>10650</v>
      </c>
      <c r="E83" s="134">
        <f t="shared" si="1"/>
        <v>3967667.9480559863</v>
      </c>
      <c r="F83" s="130"/>
      <c r="G83" s="211"/>
    </row>
    <row r="84" spans="1:7" x14ac:dyDescent="0.2">
      <c r="A84" s="211">
        <v>45702</v>
      </c>
      <c r="B84" s="191" t="s">
        <v>1183</v>
      </c>
      <c r="C84" s="868"/>
      <c r="D84" s="1337">
        <v>404377</v>
      </c>
      <c r="E84" s="134">
        <f t="shared" si="1"/>
        <v>3563290.9480559863</v>
      </c>
      <c r="F84" s="130"/>
    </row>
    <row r="85" spans="1:7" x14ac:dyDescent="0.2">
      <c r="A85" s="211">
        <v>45705</v>
      </c>
      <c r="B85" s="191" t="s">
        <v>1072</v>
      </c>
      <c r="C85" s="868"/>
      <c r="D85" s="1338">
        <v>1026732</v>
      </c>
      <c r="E85" s="134">
        <f t="shared" si="1"/>
        <v>2536558.9480559863</v>
      </c>
      <c r="F85" s="130"/>
    </row>
    <row r="86" spans="1:7" x14ac:dyDescent="0.2">
      <c r="A86" s="211">
        <v>45705</v>
      </c>
      <c r="B86" s="1053" t="s">
        <v>1126</v>
      </c>
      <c r="C86" s="868"/>
      <c r="D86" s="1338">
        <v>4106.92</v>
      </c>
      <c r="E86" s="134">
        <f t="shared" si="1"/>
        <v>2532452.0280559864</v>
      </c>
      <c r="F86" s="130"/>
    </row>
    <row r="87" spans="1:7" x14ac:dyDescent="0.2">
      <c r="A87" s="211">
        <v>45705</v>
      </c>
      <c r="B87" s="1053" t="s">
        <v>1060</v>
      </c>
      <c r="C87" s="1338">
        <v>440107.2</v>
      </c>
      <c r="D87" s="868"/>
      <c r="E87" s="134">
        <f t="shared" si="1"/>
        <v>2972559.2280559866</v>
      </c>
      <c r="F87" s="130"/>
    </row>
    <row r="88" spans="1:7" x14ac:dyDescent="0.2">
      <c r="A88" s="211">
        <v>45705</v>
      </c>
      <c r="B88" s="191" t="s">
        <v>1061</v>
      </c>
      <c r="C88" s="1338">
        <v>65000000</v>
      </c>
      <c r="D88" s="868"/>
      <c r="E88" s="134">
        <f t="shared" si="1"/>
        <v>67972559.228055984</v>
      </c>
      <c r="F88" s="130"/>
    </row>
    <row r="89" spans="1:7" x14ac:dyDescent="0.2">
      <c r="A89" s="211">
        <v>45706</v>
      </c>
      <c r="B89" s="1053" t="s">
        <v>1184</v>
      </c>
      <c r="C89" s="868"/>
      <c r="D89" s="1338">
        <v>340000</v>
      </c>
      <c r="E89" s="134">
        <f t="shared" si="1"/>
        <v>67632559.228055984</v>
      </c>
      <c r="F89" s="130"/>
    </row>
    <row r="90" spans="1:7" x14ac:dyDescent="0.2">
      <c r="A90" s="211">
        <v>45706</v>
      </c>
      <c r="B90" s="1053" t="s">
        <v>1185</v>
      </c>
      <c r="C90" s="868"/>
      <c r="D90" s="1338">
        <v>350000</v>
      </c>
      <c r="E90" s="134">
        <f t="shared" si="1"/>
        <v>67282559.228055984</v>
      </c>
      <c r="F90" s="130"/>
    </row>
    <row r="91" spans="1:7" x14ac:dyDescent="0.2">
      <c r="A91" s="211">
        <v>45706</v>
      </c>
      <c r="B91" s="1053" t="s">
        <v>1186</v>
      </c>
      <c r="C91" s="868"/>
      <c r="D91" s="1338">
        <v>365000</v>
      </c>
      <c r="E91" s="134">
        <f t="shared" si="1"/>
        <v>66917559.228055984</v>
      </c>
      <c r="F91" s="130"/>
      <c r="G91" s="191">
        <f>+E91-66878403.84</f>
        <v>39155.388055980206</v>
      </c>
    </row>
    <row r="92" spans="1:7" x14ac:dyDescent="0.2">
      <c r="A92" s="211">
        <v>45706</v>
      </c>
      <c r="B92" s="1053" t="s">
        <v>1068</v>
      </c>
      <c r="C92" s="868"/>
      <c r="D92" s="1337">
        <v>10000000</v>
      </c>
      <c r="E92" s="134">
        <f t="shared" si="1"/>
        <v>56917559.228055984</v>
      </c>
      <c r="F92" s="130"/>
    </row>
    <row r="93" spans="1:7" x14ac:dyDescent="0.2">
      <c r="A93" s="211">
        <v>45706</v>
      </c>
      <c r="B93" s="1053" t="s">
        <v>1068</v>
      </c>
      <c r="C93" s="868"/>
      <c r="D93" s="1337">
        <v>40000000</v>
      </c>
      <c r="E93" s="134">
        <f t="shared" si="1"/>
        <v>16917559.228055984</v>
      </c>
      <c r="F93" s="130"/>
    </row>
    <row r="94" spans="1:7" x14ac:dyDescent="0.2">
      <c r="A94" s="211">
        <v>45706</v>
      </c>
      <c r="B94" s="1053" t="s">
        <v>1126</v>
      </c>
      <c r="C94" s="868"/>
      <c r="D94" s="1338">
        <v>4220</v>
      </c>
      <c r="E94" s="134">
        <f t="shared" si="1"/>
        <v>16913339.228055984</v>
      </c>
      <c r="F94" s="130"/>
    </row>
    <row r="95" spans="1:7" x14ac:dyDescent="0.2">
      <c r="A95" s="211">
        <v>45708</v>
      </c>
      <c r="B95" s="1053" t="s">
        <v>1191</v>
      </c>
      <c r="C95" s="868"/>
      <c r="D95" s="1338">
        <v>880000</v>
      </c>
      <c r="E95" s="134">
        <f t="shared" si="1"/>
        <v>16033339.228055984</v>
      </c>
      <c r="F95" s="130"/>
    </row>
    <row r="96" spans="1:7" x14ac:dyDescent="0.2">
      <c r="A96" s="211">
        <v>45708</v>
      </c>
      <c r="B96" s="191" t="s">
        <v>1050</v>
      </c>
      <c r="C96" s="868"/>
      <c r="D96" s="1338">
        <v>50000</v>
      </c>
      <c r="E96" s="134">
        <f t="shared" si="1"/>
        <v>15983339.228055984</v>
      </c>
      <c r="F96" s="130"/>
    </row>
    <row r="97" spans="1:5" x14ac:dyDescent="0.2">
      <c r="A97" s="211">
        <v>45708</v>
      </c>
      <c r="B97" s="191" t="s">
        <v>1192</v>
      </c>
      <c r="C97" s="868"/>
      <c r="D97" s="1338">
        <v>117568</v>
      </c>
      <c r="E97" s="134">
        <f t="shared" si="1"/>
        <v>15865771.228055984</v>
      </c>
    </row>
    <row r="98" spans="1:5" x14ac:dyDescent="0.2">
      <c r="A98" s="211">
        <v>45708</v>
      </c>
      <c r="B98" s="191" t="s">
        <v>1193</v>
      </c>
      <c r="C98" s="868"/>
      <c r="D98" s="1338">
        <v>2487899</v>
      </c>
      <c r="E98" s="134">
        <f t="shared" si="1"/>
        <v>13377872.228055984</v>
      </c>
    </row>
    <row r="99" spans="1:5" x14ac:dyDescent="0.2">
      <c r="A99" s="211">
        <v>45708</v>
      </c>
      <c r="B99" s="1053" t="s">
        <v>1126</v>
      </c>
      <c r="C99" s="868"/>
      <c r="D99" s="1338">
        <v>14141.86</v>
      </c>
      <c r="E99" s="134">
        <f t="shared" si="1"/>
        <v>13363730.368055984</v>
      </c>
    </row>
    <row r="100" spans="1:5" x14ac:dyDescent="0.2">
      <c r="A100" s="211">
        <v>45709</v>
      </c>
      <c r="B100" s="1053" t="s">
        <v>1126</v>
      </c>
      <c r="C100" s="868"/>
      <c r="D100" s="1337">
        <v>316</v>
      </c>
      <c r="E100" s="134">
        <f t="shared" si="1"/>
        <v>13363414.368055984</v>
      </c>
    </row>
    <row r="101" spans="1:5" x14ac:dyDescent="0.2">
      <c r="A101" s="211">
        <v>45709</v>
      </c>
      <c r="B101" s="1053" t="s">
        <v>1201</v>
      </c>
      <c r="C101" s="868"/>
      <c r="D101" s="1338">
        <v>79000</v>
      </c>
      <c r="E101" s="134">
        <f t="shared" si="1"/>
        <v>13284414.368055984</v>
      </c>
    </row>
    <row r="102" spans="1:5" x14ac:dyDescent="0.2">
      <c r="A102" s="211">
        <v>45712</v>
      </c>
      <c r="B102" s="191" t="s">
        <v>1202</v>
      </c>
      <c r="C102" s="1338">
        <v>8819200</v>
      </c>
      <c r="D102" s="868"/>
      <c r="E102" s="134">
        <f t="shared" si="1"/>
        <v>22103614.368055984</v>
      </c>
    </row>
    <row r="103" spans="1:5" x14ac:dyDescent="0.2">
      <c r="A103" s="211">
        <v>45713</v>
      </c>
      <c r="B103" s="1053" t="s">
        <v>1203</v>
      </c>
      <c r="C103" s="868"/>
      <c r="D103" s="1338">
        <v>380000</v>
      </c>
      <c r="E103" s="134">
        <f t="shared" si="1"/>
        <v>21723614.368055984</v>
      </c>
    </row>
    <row r="104" spans="1:5" x14ac:dyDescent="0.2">
      <c r="A104" s="211">
        <v>45713</v>
      </c>
      <c r="B104" s="1053" t="s">
        <v>1205</v>
      </c>
      <c r="C104" s="868"/>
      <c r="D104" s="1338">
        <v>1000000</v>
      </c>
      <c r="E104" s="134">
        <f t="shared" si="1"/>
        <v>20723614.368055984</v>
      </c>
    </row>
    <row r="105" spans="1:5" x14ac:dyDescent="0.2">
      <c r="A105" s="211">
        <v>45713</v>
      </c>
      <c r="B105" s="191" t="s">
        <v>1137</v>
      </c>
      <c r="C105" s="868"/>
      <c r="D105" s="1337">
        <v>341643</v>
      </c>
      <c r="E105" s="134">
        <f t="shared" si="1"/>
        <v>20381971.368055984</v>
      </c>
    </row>
    <row r="106" spans="1:5" x14ac:dyDescent="0.2">
      <c r="A106" s="211">
        <v>45713</v>
      </c>
      <c r="B106" s="1053" t="s">
        <v>1126</v>
      </c>
      <c r="C106" s="868"/>
      <c r="D106" s="1338">
        <v>6886.57</v>
      </c>
      <c r="E106" s="134">
        <f t="shared" si="1"/>
        <v>20375084.798055984</v>
      </c>
    </row>
    <row r="107" spans="1:5" x14ac:dyDescent="0.2">
      <c r="A107" s="211">
        <v>45714</v>
      </c>
      <c r="B107" s="191" t="s">
        <v>1209</v>
      </c>
      <c r="C107" s="868"/>
      <c r="D107" s="1338">
        <v>40800</v>
      </c>
      <c r="E107" s="134">
        <f t="shared" si="1"/>
        <v>20334284.798055984</v>
      </c>
    </row>
    <row r="108" spans="1:5" x14ac:dyDescent="0.2">
      <c r="A108" s="211">
        <v>45714</v>
      </c>
      <c r="B108" s="191" t="s">
        <v>1209</v>
      </c>
      <c r="C108" s="868"/>
      <c r="D108" s="1338">
        <v>113900</v>
      </c>
      <c r="E108" s="134">
        <f t="shared" si="1"/>
        <v>20220384.798055984</v>
      </c>
    </row>
    <row r="109" spans="1:5" x14ac:dyDescent="0.2">
      <c r="A109" s="211">
        <v>45714</v>
      </c>
      <c r="B109" s="1053" t="s">
        <v>1126</v>
      </c>
      <c r="C109" s="868"/>
      <c r="D109" s="1338">
        <v>618</v>
      </c>
      <c r="E109" s="134">
        <f t="shared" si="1"/>
        <v>20219766.798055984</v>
      </c>
    </row>
    <row r="110" spans="1:5" x14ac:dyDescent="0.2">
      <c r="A110" s="211">
        <v>45715</v>
      </c>
      <c r="B110" s="1053" t="s">
        <v>1210</v>
      </c>
      <c r="C110" s="868"/>
      <c r="D110" s="1338">
        <v>875000</v>
      </c>
      <c r="E110" s="134">
        <f t="shared" si="1"/>
        <v>19344766.798055984</v>
      </c>
    </row>
    <row r="111" spans="1:5" x14ac:dyDescent="0.2">
      <c r="A111" s="211">
        <v>45715</v>
      </c>
      <c r="B111" s="191" t="s">
        <v>1053</v>
      </c>
      <c r="C111" s="868"/>
      <c r="D111" s="1337">
        <v>1000000</v>
      </c>
      <c r="E111" s="134">
        <f t="shared" si="1"/>
        <v>18344766.798055984</v>
      </c>
    </row>
    <row r="112" spans="1:5" x14ac:dyDescent="0.2">
      <c r="A112" s="211">
        <v>45715</v>
      </c>
      <c r="B112" s="191" t="s">
        <v>1053</v>
      </c>
      <c r="C112" s="868"/>
      <c r="D112" s="1337">
        <v>1000000</v>
      </c>
      <c r="E112" s="134">
        <f t="shared" si="1"/>
        <v>17344766.798055984</v>
      </c>
    </row>
    <row r="113" spans="1:7" x14ac:dyDescent="0.2">
      <c r="A113" s="211">
        <v>45715</v>
      </c>
      <c r="B113" s="191" t="s">
        <v>1151</v>
      </c>
      <c r="C113" s="868"/>
      <c r="D113" s="1338">
        <v>53585</v>
      </c>
      <c r="E113" s="134">
        <f t="shared" si="1"/>
        <v>17291181.798055984</v>
      </c>
      <c r="F113" s="130"/>
    </row>
    <row r="114" spans="1:7" x14ac:dyDescent="0.2">
      <c r="A114" s="211">
        <v>45715</v>
      </c>
      <c r="B114" s="1053" t="s">
        <v>1126</v>
      </c>
      <c r="C114" s="868"/>
      <c r="D114" s="1338">
        <v>11714.34</v>
      </c>
      <c r="E114" s="134">
        <f t="shared" si="1"/>
        <v>17279467.458055984</v>
      </c>
      <c r="F114" s="130"/>
    </row>
    <row r="115" spans="1:7" x14ac:dyDescent="0.2">
      <c r="A115" s="211">
        <v>45716</v>
      </c>
      <c r="B115" s="191" t="s">
        <v>1214</v>
      </c>
      <c r="C115" s="868"/>
      <c r="D115" s="1338">
        <v>200000</v>
      </c>
      <c r="E115" s="134">
        <f t="shared" si="1"/>
        <v>17079467.458055984</v>
      </c>
      <c r="F115" s="130"/>
    </row>
    <row r="116" spans="1:7" x14ac:dyDescent="0.2">
      <c r="A116" s="211">
        <v>45719</v>
      </c>
      <c r="B116" s="1053" t="s">
        <v>1126</v>
      </c>
      <c r="C116" s="868"/>
      <c r="D116" s="1338">
        <v>800</v>
      </c>
      <c r="E116" s="134">
        <f t="shared" si="1"/>
        <v>17078667.458055984</v>
      </c>
      <c r="F116" s="130"/>
      <c r="G116" s="916">
        <f>+E116-17305815</f>
        <v>-227147.54194401577</v>
      </c>
    </row>
    <row r="117" spans="1:7" x14ac:dyDescent="0.2">
      <c r="A117" s="211">
        <v>45719</v>
      </c>
      <c r="B117" s="1053" t="s">
        <v>1215</v>
      </c>
      <c r="C117" s="868"/>
      <c r="D117" s="1337">
        <v>1185000</v>
      </c>
      <c r="E117" s="134">
        <f t="shared" si="1"/>
        <v>15893667.458055984</v>
      </c>
      <c r="F117" s="130"/>
    </row>
    <row r="118" spans="1:7" x14ac:dyDescent="0.2">
      <c r="A118" s="211">
        <v>45719</v>
      </c>
      <c r="B118" s="1053" t="s">
        <v>1132</v>
      </c>
      <c r="C118" s="868"/>
      <c r="D118" s="1338">
        <v>300000</v>
      </c>
      <c r="E118" s="134">
        <f t="shared" si="1"/>
        <v>15593667.458055984</v>
      </c>
      <c r="F118" s="130"/>
    </row>
    <row r="119" spans="1:7" x14ac:dyDescent="0.2">
      <c r="A119" s="211">
        <v>45719</v>
      </c>
      <c r="B119" s="1053" t="s">
        <v>1153</v>
      </c>
      <c r="C119" s="868"/>
      <c r="D119" s="1338">
        <v>100000</v>
      </c>
      <c r="E119" s="134">
        <f t="shared" si="1"/>
        <v>15493667.458055984</v>
      </c>
      <c r="F119" s="130"/>
    </row>
    <row r="120" spans="1:7" x14ac:dyDescent="0.2">
      <c r="A120" s="211">
        <v>45721</v>
      </c>
      <c r="B120" s="1053" t="s">
        <v>1058</v>
      </c>
      <c r="C120" s="868"/>
      <c r="D120" s="1337">
        <v>1392400</v>
      </c>
      <c r="E120" s="134">
        <f t="shared" si="1"/>
        <v>14101267.458055984</v>
      </c>
      <c r="F120" s="130"/>
      <c r="G120" s="916">
        <f>+E120-15454809</f>
        <v>-1353541.5419440158</v>
      </c>
    </row>
    <row r="121" spans="1:7" x14ac:dyDescent="0.2">
      <c r="A121" s="211">
        <v>45721</v>
      </c>
      <c r="B121" s="1053" t="s">
        <v>1059</v>
      </c>
      <c r="C121" s="868"/>
      <c r="D121" s="1338">
        <v>940500</v>
      </c>
      <c r="E121" s="134">
        <f t="shared" si="1"/>
        <v>13160767.458055984</v>
      </c>
      <c r="F121" s="130"/>
    </row>
    <row r="122" spans="1:7" x14ac:dyDescent="0.2">
      <c r="A122" s="211">
        <v>45721</v>
      </c>
      <c r="B122" s="906" t="s">
        <v>1274</v>
      </c>
      <c r="C122" s="868"/>
      <c r="D122" s="1338">
        <v>129900</v>
      </c>
      <c r="E122" s="134">
        <f t="shared" si="1"/>
        <v>13030867.458055984</v>
      </c>
      <c r="F122" s="130"/>
    </row>
    <row r="123" spans="1:7" x14ac:dyDescent="0.2">
      <c r="A123" s="211">
        <v>45721</v>
      </c>
      <c r="B123" s="191" t="s">
        <v>1226</v>
      </c>
      <c r="C123" s="868"/>
      <c r="D123" s="1338">
        <v>415000</v>
      </c>
      <c r="E123" s="134">
        <f t="shared" si="1"/>
        <v>12615867.458055984</v>
      </c>
      <c r="F123" s="130"/>
    </row>
    <row r="124" spans="1:7" x14ac:dyDescent="0.2">
      <c r="A124" s="211">
        <v>45722</v>
      </c>
      <c r="B124" s="1053" t="s">
        <v>1237</v>
      </c>
      <c r="C124" s="868"/>
      <c r="D124" s="1338">
        <v>880000</v>
      </c>
      <c r="E124" s="134">
        <f t="shared" si="1"/>
        <v>11735867.458055984</v>
      </c>
      <c r="F124" s="130"/>
    </row>
    <row r="125" spans="1:7" x14ac:dyDescent="0.2">
      <c r="A125" s="211">
        <v>45726</v>
      </c>
      <c r="B125" s="191" t="s">
        <v>1234</v>
      </c>
      <c r="C125" s="868"/>
      <c r="D125" s="1337">
        <v>46000</v>
      </c>
      <c r="E125" s="134">
        <f t="shared" si="1"/>
        <v>11689867.458055984</v>
      </c>
      <c r="F125" s="130"/>
    </row>
    <row r="126" spans="1:7" x14ac:dyDescent="0.2">
      <c r="A126" s="211">
        <v>45726</v>
      </c>
      <c r="B126" s="191" t="s">
        <v>1235</v>
      </c>
      <c r="C126" s="868"/>
      <c r="D126" s="1337">
        <v>125387</v>
      </c>
      <c r="E126" s="134">
        <f t="shared" si="1"/>
        <v>11564480.458055984</v>
      </c>
      <c r="F126" s="130"/>
    </row>
    <row r="127" spans="1:7" x14ac:dyDescent="0.2">
      <c r="A127" s="211">
        <v>45726</v>
      </c>
      <c r="B127" s="1053" t="s">
        <v>1236</v>
      </c>
      <c r="C127" s="1338">
        <v>350000</v>
      </c>
      <c r="D127" s="868"/>
      <c r="E127" s="134">
        <f t="shared" si="1"/>
        <v>11914480.458055984</v>
      </c>
      <c r="F127" s="130"/>
    </row>
    <row r="128" spans="1:7" x14ac:dyDescent="0.2">
      <c r="A128" s="211">
        <v>45728</v>
      </c>
      <c r="B128" s="191" t="s">
        <v>1053</v>
      </c>
      <c r="C128" s="868"/>
      <c r="D128" s="1337">
        <v>1000000</v>
      </c>
      <c r="E128" s="134">
        <f t="shared" si="1"/>
        <v>10914480.458055984</v>
      </c>
      <c r="F128" s="130"/>
    </row>
    <row r="129" spans="1:5" x14ac:dyDescent="0.2">
      <c r="A129" s="211">
        <v>45728</v>
      </c>
      <c r="B129" s="191" t="s">
        <v>1053</v>
      </c>
      <c r="C129" s="868"/>
      <c r="D129" s="1337">
        <v>1000000</v>
      </c>
      <c r="E129" s="134">
        <f t="shared" si="1"/>
        <v>9914480.4580559842</v>
      </c>
    </row>
    <row r="130" spans="1:5" x14ac:dyDescent="0.2">
      <c r="A130" s="211">
        <v>45728</v>
      </c>
      <c r="B130" s="191" t="s">
        <v>1051</v>
      </c>
      <c r="C130" s="868"/>
      <c r="D130" s="1338">
        <v>550000</v>
      </c>
      <c r="E130" s="134">
        <f t="shared" si="1"/>
        <v>9364480.4580559842</v>
      </c>
    </row>
    <row r="131" spans="1:5" x14ac:dyDescent="0.2">
      <c r="A131" s="211">
        <v>45728</v>
      </c>
      <c r="B131" s="191" t="s">
        <v>1050</v>
      </c>
      <c r="C131" s="868"/>
      <c r="D131" s="1338">
        <v>50000</v>
      </c>
      <c r="E131" s="134">
        <f t="shared" si="1"/>
        <v>9314480.4580559842</v>
      </c>
    </row>
    <row r="132" spans="1:5" x14ac:dyDescent="0.2">
      <c r="A132" s="211">
        <v>45729</v>
      </c>
      <c r="B132" s="1053" t="s">
        <v>1238</v>
      </c>
      <c r="C132" s="868"/>
      <c r="D132" s="1338">
        <v>880000</v>
      </c>
      <c r="E132" s="134">
        <f t="shared" si="1"/>
        <v>8434480.4580559842</v>
      </c>
    </row>
    <row r="133" spans="1:5" x14ac:dyDescent="0.2">
      <c r="A133" s="211">
        <v>45729</v>
      </c>
      <c r="B133" s="1053" t="s">
        <v>1065</v>
      </c>
      <c r="C133" s="868"/>
      <c r="D133" s="1338">
        <f>87700+66400</f>
        <v>154100</v>
      </c>
      <c r="E133" s="134">
        <f t="shared" si="1"/>
        <v>8280380.4580559842</v>
      </c>
    </row>
    <row r="134" spans="1:5" x14ac:dyDescent="0.2">
      <c r="A134" s="211">
        <v>45729</v>
      </c>
      <c r="B134" s="191" t="s">
        <v>1183</v>
      </c>
      <c r="C134" s="868"/>
      <c r="D134" s="1338">
        <v>136500</v>
      </c>
      <c r="E134" s="134">
        <f t="shared" si="1"/>
        <v>8143880.4580559842</v>
      </c>
    </row>
    <row r="135" spans="1:5" x14ac:dyDescent="0.2">
      <c r="A135" s="211">
        <v>45729</v>
      </c>
      <c r="B135" s="191" t="s">
        <v>1105</v>
      </c>
      <c r="C135" s="868"/>
      <c r="D135" s="1337">
        <v>112948</v>
      </c>
      <c r="E135" s="134">
        <f t="shared" si="1"/>
        <v>8030932.4580559842</v>
      </c>
    </row>
    <row r="136" spans="1:5" x14ac:dyDescent="0.2">
      <c r="A136" s="211">
        <v>45730</v>
      </c>
      <c r="B136" s="191" t="s">
        <v>1055</v>
      </c>
      <c r="C136" s="868"/>
      <c r="D136" s="1337">
        <v>10650</v>
      </c>
      <c r="E136" s="134">
        <f t="shared" si="1"/>
        <v>8020282.4580559842</v>
      </c>
    </row>
    <row r="137" spans="1:5" x14ac:dyDescent="0.2">
      <c r="A137" s="211">
        <v>45734</v>
      </c>
      <c r="B137" s="191" t="s">
        <v>1072</v>
      </c>
      <c r="C137" s="868"/>
      <c r="D137" s="1338">
        <v>1026732</v>
      </c>
      <c r="E137" s="134">
        <f t="shared" si="1"/>
        <v>6993550.4580559842</v>
      </c>
    </row>
    <row r="138" spans="1:5" x14ac:dyDescent="0.2">
      <c r="A138" s="211">
        <v>45734</v>
      </c>
      <c r="B138" s="191" t="s">
        <v>1151</v>
      </c>
      <c r="C138" s="868"/>
      <c r="D138" s="1338">
        <v>53721</v>
      </c>
      <c r="E138" s="134">
        <f t="shared" si="1"/>
        <v>6939829.4580559842</v>
      </c>
    </row>
    <row r="139" spans="1:5" x14ac:dyDescent="0.2">
      <c r="A139" s="211">
        <v>45734</v>
      </c>
      <c r="B139" s="1053" t="s">
        <v>1060</v>
      </c>
      <c r="C139" s="1338">
        <v>66230.399999999994</v>
      </c>
      <c r="D139" s="868"/>
      <c r="E139" s="134">
        <f t="shared" si="1"/>
        <v>7006059.8580559846</v>
      </c>
    </row>
    <row r="140" spans="1:5" x14ac:dyDescent="0.2">
      <c r="A140" s="211">
        <v>45734</v>
      </c>
      <c r="B140" s="191" t="s">
        <v>1061</v>
      </c>
      <c r="C140" s="1338">
        <v>10000000</v>
      </c>
      <c r="D140" s="191"/>
      <c r="E140" s="134">
        <f t="shared" si="1"/>
        <v>17006059.858055986</v>
      </c>
    </row>
    <row r="141" spans="1:5" x14ac:dyDescent="0.2">
      <c r="A141" s="211">
        <v>45734</v>
      </c>
      <c r="B141" s="191" t="s">
        <v>1053</v>
      </c>
      <c r="C141" s="868"/>
      <c r="D141" s="1337">
        <v>1000000</v>
      </c>
      <c r="E141" s="134">
        <f t="shared" si="1"/>
        <v>16006059.858055986</v>
      </c>
    </row>
    <row r="142" spans="1:5" x14ac:dyDescent="0.2">
      <c r="A142" s="211">
        <v>45734</v>
      </c>
      <c r="B142" s="191" t="s">
        <v>1053</v>
      </c>
      <c r="C142" s="868"/>
      <c r="D142" s="1337">
        <v>1000000</v>
      </c>
      <c r="E142" s="134">
        <f t="shared" si="1"/>
        <v>15006059.858055986</v>
      </c>
    </row>
    <row r="143" spans="1:5" x14ac:dyDescent="0.2">
      <c r="A143" s="211">
        <v>45735</v>
      </c>
      <c r="B143" s="1053" t="s">
        <v>1248</v>
      </c>
      <c r="C143" s="1294">
        <v>300000000</v>
      </c>
      <c r="D143" s="868"/>
      <c r="E143" s="134">
        <f t="shared" si="1"/>
        <v>315006059.85805601</v>
      </c>
    </row>
    <row r="144" spans="1:5" x14ac:dyDescent="0.2">
      <c r="A144" s="211">
        <v>45735</v>
      </c>
      <c r="B144" s="191" t="s">
        <v>1249</v>
      </c>
      <c r="C144" s="868"/>
      <c r="D144" s="1338">
        <v>680000</v>
      </c>
      <c r="E144" s="134">
        <f t="shared" ref="E144:E207" si="2">E143+C144-D144</f>
        <v>314326059.85805601</v>
      </c>
    </row>
    <row r="145" spans="1:5" x14ac:dyDescent="0.2">
      <c r="A145" s="211">
        <v>45735</v>
      </c>
      <c r="B145" s="191" t="s">
        <v>1250</v>
      </c>
      <c r="C145" s="868"/>
      <c r="D145" s="1338">
        <v>440000</v>
      </c>
      <c r="E145" s="134">
        <f t="shared" si="2"/>
        <v>313886059.85805601</v>
      </c>
    </row>
    <row r="146" spans="1:5" x14ac:dyDescent="0.2">
      <c r="A146" s="211">
        <v>45735</v>
      </c>
      <c r="B146" s="1053" t="s">
        <v>1251</v>
      </c>
      <c r="C146" s="868"/>
      <c r="D146" s="1338">
        <v>350000</v>
      </c>
      <c r="E146" s="134">
        <f t="shared" si="2"/>
        <v>313536059.85805601</v>
      </c>
    </row>
    <row r="147" spans="1:5" x14ac:dyDescent="0.2">
      <c r="A147" s="211">
        <v>45735</v>
      </c>
      <c r="B147" s="1053" t="s">
        <v>1253</v>
      </c>
      <c r="C147" s="1338">
        <v>7733009</v>
      </c>
      <c r="D147" s="191"/>
      <c r="E147" s="134">
        <f t="shared" si="2"/>
        <v>321269068.85805601</v>
      </c>
    </row>
    <row r="148" spans="1:5" x14ac:dyDescent="0.2">
      <c r="A148" s="211">
        <v>45736</v>
      </c>
      <c r="B148" s="1053" t="s">
        <v>1068</v>
      </c>
      <c r="C148" s="868"/>
      <c r="D148" s="1337">
        <v>250000000</v>
      </c>
      <c r="E148" s="134">
        <f t="shared" si="2"/>
        <v>71269068.858056009</v>
      </c>
    </row>
    <row r="149" spans="1:5" x14ac:dyDescent="0.2">
      <c r="A149" s="211">
        <v>45736</v>
      </c>
      <c r="B149" s="1053" t="s">
        <v>1259</v>
      </c>
      <c r="C149" s="868"/>
      <c r="D149" s="1338">
        <v>880000</v>
      </c>
      <c r="E149" s="134">
        <f t="shared" si="2"/>
        <v>70389068.858056009</v>
      </c>
    </row>
    <row r="150" spans="1:5" x14ac:dyDescent="0.2">
      <c r="A150" s="211">
        <v>45741</v>
      </c>
      <c r="B150" s="1053" t="s">
        <v>1126</v>
      </c>
      <c r="C150" s="868"/>
      <c r="D150" s="1338">
        <v>23220.43</v>
      </c>
      <c r="E150" s="134">
        <f t="shared" si="2"/>
        <v>70365848.428056002</v>
      </c>
    </row>
    <row r="151" spans="1:5" x14ac:dyDescent="0.2">
      <c r="A151" s="211">
        <v>45741</v>
      </c>
      <c r="B151" s="191" t="s">
        <v>1261</v>
      </c>
      <c r="C151" s="868"/>
      <c r="D151" s="1337">
        <v>5411100</v>
      </c>
      <c r="E151" s="134">
        <f t="shared" si="2"/>
        <v>64954748.428056002</v>
      </c>
    </row>
    <row r="152" spans="1:5" x14ac:dyDescent="0.2">
      <c r="A152" s="211">
        <v>45741</v>
      </c>
      <c r="B152" s="191" t="s">
        <v>1260</v>
      </c>
      <c r="C152" s="868"/>
      <c r="D152" s="1338">
        <v>2291100</v>
      </c>
      <c r="E152" s="134">
        <f t="shared" si="2"/>
        <v>62663648.428056002</v>
      </c>
    </row>
    <row r="153" spans="1:5" x14ac:dyDescent="0.2">
      <c r="A153" s="211">
        <v>45741</v>
      </c>
      <c r="B153" s="191" t="s">
        <v>1262</v>
      </c>
      <c r="C153" s="868"/>
      <c r="D153" s="1338">
        <v>694100</v>
      </c>
      <c r="E153" s="134">
        <f t="shared" si="2"/>
        <v>61969548.428056002</v>
      </c>
    </row>
    <row r="154" spans="1:5" x14ac:dyDescent="0.2">
      <c r="A154" s="211">
        <v>45742</v>
      </c>
      <c r="B154" s="1053" t="s">
        <v>1263</v>
      </c>
      <c r="C154" s="868"/>
      <c r="D154" s="1337">
        <v>880000</v>
      </c>
      <c r="E154" s="134">
        <f t="shared" si="2"/>
        <v>61089548.428056002</v>
      </c>
    </row>
    <row r="155" spans="1:5" x14ac:dyDescent="0.2">
      <c r="A155" s="211">
        <v>45742</v>
      </c>
      <c r="B155" s="191" t="s">
        <v>1267</v>
      </c>
      <c r="C155" s="868"/>
      <c r="D155" s="1337">
        <v>371667</v>
      </c>
      <c r="E155" s="134">
        <f t="shared" si="2"/>
        <v>60717881.428056002</v>
      </c>
    </row>
    <row r="156" spans="1:5" x14ac:dyDescent="0.2">
      <c r="A156" s="211">
        <v>45742</v>
      </c>
      <c r="B156" s="1053" t="s">
        <v>1126</v>
      </c>
      <c r="C156" s="868"/>
      <c r="D156" s="1337">
        <v>5006.66</v>
      </c>
      <c r="E156" s="134">
        <f t="shared" si="2"/>
        <v>60712874.768056005</v>
      </c>
    </row>
    <row r="157" spans="1:5" x14ac:dyDescent="0.2">
      <c r="A157" s="211">
        <v>45747</v>
      </c>
      <c r="B157" s="906" t="s">
        <v>1268</v>
      </c>
      <c r="C157" s="868"/>
      <c r="D157" s="1337">
        <v>1218000</v>
      </c>
      <c r="E157" s="134">
        <f t="shared" si="2"/>
        <v>59494874.768056005</v>
      </c>
    </row>
    <row r="158" spans="1:5" x14ac:dyDescent="0.2">
      <c r="A158" s="211">
        <v>45747</v>
      </c>
      <c r="B158" s="1053" t="s">
        <v>1276</v>
      </c>
      <c r="C158" s="868"/>
      <c r="D158" s="1337">
        <v>91000</v>
      </c>
      <c r="E158" s="134">
        <f t="shared" si="2"/>
        <v>59403874.768056005</v>
      </c>
    </row>
    <row r="159" spans="1:5" x14ac:dyDescent="0.2">
      <c r="A159" s="211">
        <v>45747</v>
      </c>
      <c r="B159" s="1053" t="s">
        <v>1272</v>
      </c>
      <c r="C159" s="1338">
        <v>450000</v>
      </c>
      <c r="D159" s="191"/>
      <c r="E159" s="134">
        <f t="shared" si="2"/>
        <v>59853874.768056005</v>
      </c>
    </row>
    <row r="160" spans="1:5" x14ac:dyDescent="0.2">
      <c r="A160" s="211">
        <v>45747</v>
      </c>
      <c r="B160" s="1053" t="s">
        <v>1126</v>
      </c>
      <c r="C160" s="868"/>
      <c r="D160" s="1337">
        <v>5236</v>
      </c>
      <c r="E160" s="134">
        <f t="shared" si="2"/>
        <v>59848638.768056005</v>
      </c>
    </row>
    <row r="161" spans="1:5" x14ac:dyDescent="0.2">
      <c r="A161" s="211">
        <v>45749</v>
      </c>
      <c r="B161" s="191" t="s">
        <v>1050</v>
      </c>
      <c r="C161" s="868"/>
      <c r="D161" s="1337">
        <v>50000</v>
      </c>
      <c r="E161" s="134">
        <f t="shared" si="2"/>
        <v>59798638.768056005</v>
      </c>
    </row>
    <row r="162" spans="1:5" x14ac:dyDescent="0.2">
      <c r="A162" s="211">
        <v>45750</v>
      </c>
      <c r="B162" s="1053" t="s">
        <v>1132</v>
      </c>
      <c r="C162" s="868"/>
      <c r="D162" s="1337">
        <v>100000</v>
      </c>
      <c r="E162" s="134">
        <f t="shared" si="2"/>
        <v>59698638.768056005</v>
      </c>
    </row>
    <row r="163" spans="1:5" x14ac:dyDescent="0.2">
      <c r="A163" s="211">
        <v>45750</v>
      </c>
      <c r="B163" s="1053" t="s">
        <v>1153</v>
      </c>
      <c r="C163" s="868"/>
      <c r="D163" s="1337">
        <v>100000</v>
      </c>
      <c r="E163" s="134">
        <f t="shared" si="2"/>
        <v>59598638.768056005</v>
      </c>
    </row>
    <row r="164" spans="1:5" x14ac:dyDescent="0.2">
      <c r="A164" s="211">
        <v>45750</v>
      </c>
      <c r="B164" s="191" t="s">
        <v>1273</v>
      </c>
      <c r="C164" s="868"/>
      <c r="D164" s="1337">
        <v>500000</v>
      </c>
      <c r="E164" s="134">
        <f t="shared" si="2"/>
        <v>59098638.768056005</v>
      </c>
    </row>
    <row r="165" spans="1:5" x14ac:dyDescent="0.2">
      <c r="A165" s="211">
        <v>45750</v>
      </c>
      <c r="B165" s="906" t="s">
        <v>1274</v>
      </c>
      <c r="C165" s="868"/>
      <c r="D165" s="1337">
        <v>129900</v>
      </c>
      <c r="E165" s="134">
        <f t="shared" si="2"/>
        <v>58968738.768056005</v>
      </c>
    </row>
    <row r="166" spans="1:5" x14ac:dyDescent="0.2">
      <c r="A166" s="211">
        <v>45750</v>
      </c>
      <c r="B166" s="191" t="s">
        <v>1275</v>
      </c>
      <c r="C166" s="868"/>
      <c r="D166" s="1337">
        <v>1590911</v>
      </c>
      <c r="E166" s="134">
        <f t="shared" si="2"/>
        <v>57377827.768056005</v>
      </c>
    </row>
    <row r="167" spans="1:5" x14ac:dyDescent="0.2">
      <c r="A167" s="211">
        <v>45750</v>
      </c>
      <c r="B167" s="1053" t="s">
        <v>1277</v>
      </c>
      <c r="C167" s="868"/>
      <c r="D167" s="1337">
        <v>990000</v>
      </c>
      <c r="E167" s="134">
        <f t="shared" si="2"/>
        <v>56387827.768056005</v>
      </c>
    </row>
    <row r="168" spans="1:5" x14ac:dyDescent="0.2">
      <c r="A168" s="211">
        <v>45750</v>
      </c>
      <c r="B168" s="1053" t="s">
        <v>1281</v>
      </c>
      <c r="C168" s="868"/>
      <c r="D168" s="1337">
        <v>1190000</v>
      </c>
      <c r="E168" s="134">
        <f t="shared" si="2"/>
        <v>55197827.768056005</v>
      </c>
    </row>
    <row r="169" spans="1:5" x14ac:dyDescent="0.2">
      <c r="A169" s="211">
        <v>45751</v>
      </c>
      <c r="B169" s="191" t="s">
        <v>1296</v>
      </c>
      <c r="C169" s="868"/>
      <c r="D169" s="1337">
        <v>800000</v>
      </c>
      <c r="E169" s="134">
        <f t="shared" si="2"/>
        <v>54397827.768056005</v>
      </c>
    </row>
    <row r="170" spans="1:5" x14ac:dyDescent="0.2">
      <c r="A170" s="211">
        <v>45751</v>
      </c>
      <c r="B170" s="191" t="s">
        <v>1297</v>
      </c>
      <c r="C170" s="868"/>
      <c r="D170" s="1337">
        <v>1036900</v>
      </c>
      <c r="E170" s="134">
        <f t="shared" si="2"/>
        <v>53360927.768056005</v>
      </c>
    </row>
    <row r="171" spans="1:5" x14ac:dyDescent="0.2">
      <c r="A171" s="211">
        <v>45751</v>
      </c>
      <c r="B171" s="1053" t="s">
        <v>1298</v>
      </c>
      <c r="C171" s="868"/>
      <c r="D171" s="1337">
        <v>410000</v>
      </c>
      <c r="E171" s="134">
        <f t="shared" si="2"/>
        <v>52950927.768056005</v>
      </c>
    </row>
    <row r="172" spans="1:5" x14ac:dyDescent="0.2">
      <c r="A172" s="211">
        <v>45754</v>
      </c>
      <c r="B172" s="1053" t="s">
        <v>1058</v>
      </c>
      <c r="C172" s="868"/>
      <c r="D172" s="1337">
        <v>1392400</v>
      </c>
      <c r="E172" s="134">
        <f t="shared" si="2"/>
        <v>51558527.768056005</v>
      </c>
    </row>
    <row r="173" spans="1:5" x14ac:dyDescent="0.2">
      <c r="A173" s="211">
        <v>45754</v>
      </c>
      <c r="B173" s="1053" t="s">
        <v>1059</v>
      </c>
      <c r="C173" s="868"/>
      <c r="D173" s="1338">
        <v>940500</v>
      </c>
      <c r="E173" s="134">
        <f t="shared" si="2"/>
        <v>50618027.768056005</v>
      </c>
    </row>
    <row r="174" spans="1:5" x14ac:dyDescent="0.2">
      <c r="A174" s="211">
        <v>45756</v>
      </c>
      <c r="B174" s="1053" t="s">
        <v>1299</v>
      </c>
      <c r="C174" s="868"/>
      <c r="D174" s="1337">
        <v>880000</v>
      </c>
      <c r="E174" s="134">
        <f t="shared" si="2"/>
        <v>49738027.768056005</v>
      </c>
    </row>
    <row r="175" spans="1:5" x14ac:dyDescent="0.2">
      <c r="A175" s="211">
        <v>45756</v>
      </c>
      <c r="B175" s="1053" t="s">
        <v>1300</v>
      </c>
      <c r="C175" s="868"/>
      <c r="D175" s="1338">
        <v>37000</v>
      </c>
      <c r="E175" s="134">
        <f t="shared" si="2"/>
        <v>49701027.768056005</v>
      </c>
    </row>
    <row r="176" spans="1:5" x14ac:dyDescent="0.2">
      <c r="A176" s="211">
        <v>45756</v>
      </c>
      <c r="B176" s="191" t="s">
        <v>1301</v>
      </c>
      <c r="C176" s="1338">
        <v>7000000</v>
      </c>
      <c r="D176" s="868"/>
      <c r="E176" s="134">
        <f t="shared" si="2"/>
        <v>56701027.768056005</v>
      </c>
    </row>
    <row r="177" spans="1:5" x14ac:dyDescent="0.2">
      <c r="A177" s="211">
        <v>45757</v>
      </c>
      <c r="B177" s="1053" t="s">
        <v>1302</v>
      </c>
      <c r="C177" s="868"/>
      <c r="D177" s="1338">
        <v>350000</v>
      </c>
      <c r="E177" s="134">
        <f t="shared" si="2"/>
        <v>56351027.768056005</v>
      </c>
    </row>
    <row r="178" spans="1:5" x14ac:dyDescent="0.2">
      <c r="A178" s="211">
        <v>45758</v>
      </c>
      <c r="B178" s="191" t="s">
        <v>1053</v>
      </c>
      <c r="C178" s="868"/>
      <c r="D178" s="1337">
        <v>1000000</v>
      </c>
      <c r="E178" s="134">
        <f t="shared" si="2"/>
        <v>55351027.768056005</v>
      </c>
    </row>
    <row r="179" spans="1:5" x14ac:dyDescent="0.2">
      <c r="A179" s="211">
        <v>45758</v>
      </c>
      <c r="B179" s="191" t="s">
        <v>1053</v>
      </c>
      <c r="C179" s="868"/>
      <c r="D179" s="1337">
        <v>1000000</v>
      </c>
      <c r="E179" s="134">
        <f t="shared" si="2"/>
        <v>54351027.768056005</v>
      </c>
    </row>
    <row r="180" spans="1:5" x14ac:dyDescent="0.2">
      <c r="A180" s="211">
        <v>45758</v>
      </c>
      <c r="B180" s="191" t="s">
        <v>1055</v>
      </c>
      <c r="C180" s="868"/>
      <c r="D180" s="1337">
        <v>10650</v>
      </c>
      <c r="E180" s="134">
        <f t="shared" si="2"/>
        <v>54340377.768056005</v>
      </c>
    </row>
    <row r="181" spans="1:5" x14ac:dyDescent="0.2">
      <c r="A181" s="211">
        <v>45761</v>
      </c>
      <c r="B181" s="191" t="s">
        <v>1087</v>
      </c>
      <c r="C181" s="1338">
        <v>350000</v>
      </c>
      <c r="D181" s="191"/>
      <c r="E181" s="134">
        <f t="shared" si="2"/>
        <v>54690377.768056005</v>
      </c>
    </row>
    <row r="182" spans="1:5" x14ac:dyDescent="0.2">
      <c r="A182" s="211">
        <v>45761</v>
      </c>
      <c r="B182" s="191" t="s">
        <v>1303</v>
      </c>
      <c r="C182" s="868"/>
      <c r="D182" s="1337">
        <v>2450000</v>
      </c>
      <c r="E182" s="134">
        <f t="shared" si="2"/>
        <v>52240377.768056005</v>
      </c>
    </row>
    <row r="183" spans="1:5" x14ac:dyDescent="0.2">
      <c r="A183" s="211">
        <v>45761</v>
      </c>
      <c r="B183" s="1053" t="s">
        <v>1065</v>
      </c>
      <c r="C183" s="868"/>
      <c r="D183" s="1337">
        <f>82308+66140</f>
        <v>148448</v>
      </c>
      <c r="E183" s="134">
        <f t="shared" si="2"/>
        <v>52091929.768056005</v>
      </c>
    </row>
    <row r="184" spans="1:5" x14ac:dyDescent="0.2">
      <c r="A184" s="211">
        <v>45761</v>
      </c>
      <c r="B184" s="191" t="s">
        <v>1183</v>
      </c>
      <c r="C184" s="868"/>
      <c r="D184" s="1337">
        <v>136495</v>
      </c>
      <c r="E184" s="134">
        <f t="shared" si="2"/>
        <v>51955434.768056005</v>
      </c>
    </row>
    <row r="185" spans="1:5" x14ac:dyDescent="0.2">
      <c r="A185" s="211">
        <v>45761</v>
      </c>
      <c r="B185" s="191" t="s">
        <v>1235</v>
      </c>
      <c r="C185" s="868"/>
      <c r="D185" s="1338">
        <v>125400</v>
      </c>
      <c r="E185" s="134">
        <f t="shared" si="2"/>
        <v>51830034.768056005</v>
      </c>
    </row>
    <row r="186" spans="1:5" x14ac:dyDescent="0.2">
      <c r="A186" s="211">
        <v>45761</v>
      </c>
      <c r="B186" s="191" t="s">
        <v>1306</v>
      </c>
      <c r="C186" s="868"/>
      <c r="D186" s="1338">
        <v>3260337</v>
      </c>
      <c r="E186" s="134">
        <f t="shared" si="2"/>
        <v>48569697.768056005</v>
      </c>
    </row>
    <row r="187" spans="1:5" x14ac:dyDescent="0.2">
      <c r="A187" s="211">
        <v>45761</v>
      </c>
      <c r="B187" s="1053" t="s">
        <v>1126</v>
      </c>
      <c r="C187" s="868"/>
      <c r="D187" s="1338">
        <v>4795.76</v>
      </c>
      <c r="E187" s="134">
        <f t="shared" si="2"/>
        <v>48564902.008056007</v>
      </c>
    </row>
    <row r="188" spans="1:5" x14ac:dyDescent="0.2">
      <c r="A188" s="211">
        <v>45762</v>
      </c>
      <c r="B188" s="1053" t="s">
        <v>1060</v>
      </c>
      <c r="C188" s="1338">
        <v>1487875.21</v>
      </c>
      <c r="D188" s="191"/>
      <c r="E188" s="134">
        <f t="shared" si="2"/>
        <v>50052777.218056008</v>
      </c>
    </row>
    <row r="189" spans="1:5" x14ac:dyDescent="0.2">
      <c r="A189" s="211">
        <v>45762</v>
      </c>
      <c r="B189" s="191" t="s">
        <v>1061</v>
      </c>
      <c r="C189" s="1338">
        <v>70000000</v>
      </c>
      <c r="D189" s="191"/>
      <c r="E189" s="134">
        <f t="shared" si="2"/>
        <v>120052777.21805601</v>
      </c>
    </row>
    <row r="190" spans="1:5" x14ac:dyDescent="0.2">
      <c r="A190" s="211">
        <v>45762</v>
      </c>
      <c r="B190" s="1053" t="s">
        <v>1068</v>
      </c>
      <c r="C190" s="868"/>
      <c r="D190" s="1338">
        <v>21500000</v>
      </c>
      <c r="E190" s="134">
        <f t="shared" si="2"/>
        <v>98552777.218056008</v>
      </c>
    </row>
    <row r="191" spans="1:5" x14ac:dyDescent="0.2">
      <c r="A191" s="211">
        <v>45762</v>
      </c>
      <c r="B191" s="1053" t="s">
        <v>1068</v>
      </c>
      <c r="C191" s="868"/>
      <c r="D191" s="1338">
        <v>20000000</v>
      </c>
      <c r="E191" s="134">
        <f t="shared" si="2"/>
        <v>78552777.218056008</v>
      </c>
    </row>
    <row r="192" spans="1:5" x14ac:dyDescent="0.2">
      <c r="A192" s="211">
        <v>45762</v>
      </c>
      <c r="B192" s="1053" t="s">
        <v>1068</v>
      </c>
      <c r="C192" s="868"/>
      <c r="D192" s="1338">
        <v>20000000</v>
      </c>
      <c r="E192" s="134">
        <f t="shared" si="2"/>
        <v>58552777.218056008</v>
      </c>
    </row>
    <row r="193" spans="1:5" x14ac:dyDescent="0.2">
      <c r="A193" s="211">
        <v>45763</v>
      </c>
      <c r="B193" s="191" t="s">
        <v>1072</v>
      </c>
      <c r="C193" s="868"/>
      <c r="D193" s="1338">
        <v>1026732</v>
      </c>
      <c r="E193" s="134">
        <f t="shared" si="2"/>
        <v>57526045.218056008</v>
      </c>
    </row>
    <row r="194" spans="1:5" x14ac:dyDescent="0.2">
      <c r="A194" s="211">
        <v>45763</v>
      </c>
      <c r="B194" s="191" t="s">
        <v>1053</v>
      </c>
      <c r="C194" s="868"/>
      <c r="D194" s="1337">
        <v>1000000</v>
      </c>
      <c r="E194" s="134">
        <f t="shared" si="2"/>
        <v>56526045.218056008</v>
      </c>
    </row>
    <row r="195" spans="1:5" x14ac:dyDescent="0.2">
      <c r="A195" s="211">
        <v>45763</v>
      </c>
      <c r="B195" s="191" t="s">
        <v>1053</v>
      </c>
      <c r="C195" s="868"/>
      <c r="D195" s="1337">
        <v>1000000</v>
      </c>
      <c r="E195" s="134">
        <f t="shared" si="2"/>
        <v>55526045.218056008</v>
      </c>
    </row>
    <row r="196" spans="1:5" x14ac:dyDescent="0.2">
      <c r="A196" s="211">
        <v>45763</v>
      </c>
      <c r="B196" s="1053" t="s">
        <v>1126</v>
      </c>
      <c r="C196" s="868"/>
      <c r="D196" s="1337">
        <v>15626.92</v>
      </c>
      <c r="E196" s="134">
        <f t="shared" si="2"/>
        <v>55510418.298056006</v>
      </c>
    </row>
    <row r="197" spans="1:5" x14ac:dyDescent="0.2">
      <c r="A197" s="211">
        <v>45763</v>
      </c>
      <c r="B197" s="1053" t="s">
        <v>1321</v>
      </c>
      <c r="C197" s="868"/>
      <c r="D197" s="1338">
        <v>880000</v>
      </c>
      <c r="E197" s="134">
        <f t="shared" si="2"/>
        <v>54630418.298056006</v>
      </c>
    </row>
    <row r="198" spans="1:5" x14ac:dyDescent="0.2">
      <c r="A198" s="211">
        <v>45767</v>
      </c>
      <c r="B198" s="191" t="s">
        <v>1061</v>
      </c>
      <c r="C198" s="1337">
        <v>250000000</v>
      </c>
      <c r="D198" s="191"/>
      <c r="E198" s="134">
        <f t="shared" si="2"/>
        <v>304630418.29805601</v>
      </c>
    </row>
    <row r="199" spans="1:5" x14ac:dyDescent="0.2">
      <c r="A199" s="211">
        <v>45767</v>
      </c>
      <c r="B199" s="1053" t="s">
        <v>1060</v>
      </c>
      <c r="C199" s="1338">
        <v>1692720</v>
      </c>
      <c r="D199" s="191"/>
      <c r="E199" s="134">
        <f t="shared" si="2"/>
        <v>306323138.29805601</v>
      </c>
    </row>
    <row r="200" spans="1:5" x14ac:dyDescent="0.2">
      <c r="A200" s="211">
        <v>45769</v>
      </c>
      <c r="B200" s="1053" t="s">
        <v>1322</v>
      </c>
      <c r="C200" s="868"/>
      <c r="D200" s="1337">
        <v>1083600</v>
      </c>
      <c r="E200" s="134">
        <f t="shared" si="2"/>
        <v>305239538.29805601</v>
      </c>
    </row>
    <row r="201" spans="1:5" x14ac:dyDescent="0.2">
      <c r="A201" s="211">
        <v>45769</v>
      </c>
      <c r="B201" s="1053" t="s">
        <v>1068</v>
      </c>
      <c r="C201" s="868"/>
      <c r="D201" s="1337">
        <v>110000000</v>
      </c>
      <c r="E201" s="134">
        <f t="shared" si="2"/>
        <v>195239538.29805601</v>
      </c>
    </row>
    <row r="202" spans="1:5" x14ac:dyDescent="0.2">
      <c r="A202" s="211">
        <v>45769</v>
      </c>
      <c r="B202" s="1053" t="s">
        <v>1126</v>
      </c>
      <c r="C202" s="868"/>
      <c r="D202" s="1337">
        <v>4334.3999999999996</v>
      </c>
      <c r="E202" s="134">
        <f t="shared" si="2"/>
        <v>195235203.898056</v>
      </c>
    </row>
    <row r="203" spans="1:5" x14ac:dyDescent="0.2">
      <c r="A203" s="211">
        <v>45770</v>
      </c>
      <c r="B203" s="1053" t="s">
        <v>1126</v>
      </c>
      <c r="C203" s="868"/>
      <c r="D203" s="1338">
        <v>11621.2</v>
      </c>
      <c r="E203" s="134">
        <f t="shared" si="2"/>
        <v>195223582.69805601</v>
      </c>
    </row>
    <row r="204" spans="1:5" x14ac:dyDescent="0.2">
      <c r="A204" s="211">
        <v>45770</v>
      </c>
      <c r="B204" s="906" t="s">
        <v>1323</v>
      </c>
      <c r="C204" s="868"/>
      <c r="D204" s="1338">
        <v>2516800</v>
      </c>
      <c r="E204" s="134">
        <f t="shared" si="2"/>
        <v>192706782.69805601</v>
      </c>
    </row>
    <row r="205" spans="1:5" x14ac:dyDescent="0.2">
      <c r="A205" s="211">
        <v>45770</v>
      </c>
      <c r="B205" s="906" t="s">
        <v>1324</v>
      </c>
      <c r="C205" s="868"/>
      <c r="D205" s="1338">
        <v>227100</v>
      </c>
      <c r="E205" s="134">
        <f t="shared" si="2"/>
        <v>192479682.69805601</v>
      </c>
    </row>
    <row r="206" spans="1:5" x14ac:dyDescent="0.2">
      <c r="A206" s="211">
        <v>45770</v>
      </c>
      <c r="B206" s="906" t="s">
        <v>1325</v>
      </c>
      <c r="C206" s="868"/>
      <c r="D206" s="1338">
        <v>161400</v>
      </c>
      <c r="E206" s="134">
        <f t="shared" si="2"/>
        <v>192318282.69805601</v>
      </c>
    </row>
    <row r="207" spans="1:5" x14ac:dyDescent="0.2">
      <c r="A207" s="211">
        <v>45771</v>
      </c>
      <c r="B207" s="1053" t="s">
        <v>1326</v>
      </c>
      <c r="C207" s="868"/>
      <c r="D207" s="1295">
        <v>21958429</v>
      </c>
      <c r="E207" s="134">
        <f t="shared" si="2"/>
        <v>170359853.69805601</v>
      </c>
    </row>
    <row r="208" spans="1:5" x14ac:dyDescent="0.2">
      <c r="A208" s="211">
        <v>45771</v>
      </c>
      <c r="B208" s="191" t="s">
        <v>1053</v>
      </c>
      <c r="C208" s="868"/>
      <c r="D208" s="1337">
        <v>1000000</v>
      </c>
      <c r="E208" s="134">
        <f t="shared" ref="E208:E271" si="3">E207+C208-D208</f>
        <v>169359853.69805601</v>
      </c>
    </row>
    <row r="209" spans="1:8" x14ac:dyDescent="0.2">
      <c r="A209" s="211">
        <v>45771</v>
      </c>
      <c r="B209" s="191" t="s">
        <v>1053</v>
      </c>
      <c r="C209" s="868"/>
      <c r="D209" s="1337">
        <v>1000000</v>
      </c>
      <c r="E209" s="134">
        <f t="shared" si="3"/>
        <v>168359853.69805601</v>
      </c>
    </row>
    <row r="210" spans="1:8" x14ac:dyDescent="0.2">
      <c r="A210" s="211">
        <v>45771</v>
      </c>
      <c r="B210" s="1053" t="s">
        <v>1126</v>
      </c>
      <c r="C210" s="868"/>
      <c r="D210" s="1338">
        <v>95833.71</v>
      </c>
      <c r="E210" s="134">
        <f t="shared" si="3"/>
        <v>168264019.988056</v>
      </c>
    </row>
    <row r="211" spans="1:8" x14ac:dyDescent="0.2">
      <c r="A211" s="211">
        <v>45772</v>
      </c>
      <c r="B211" s="191" t="s">
        <v>1327</v>
      </c>
      <c r="C211" s="868"/>
      <c r="D211" s="1337">
        <v>500000</v>
      </c>
      <c r="E211" s="134">
        <f t="shared" si="3"/>
        <v>167764019.988056</v>
      </c>
      <c r="F211" s="130"/>
    </row>
    <row r="212" spans="1:8" x14ac:dyDescent="0.2">
      <c r="A212" s="211">
        <v>45772</v>
      </c>
      <c r="B212" s="191" t="s">
        <v>1050</v>
      </c>
      <c r="C212" s="868"/>
      <c r="D212" s="1337">
        <v>50000</v>
      </c>
      <c r="E212" s="134">
        <f t="shared" si="3"/>
        <v>167714019.988056</v>
      </c>
      <c r="F212" s="130"/>
      <c r="H212" s="916">
        <f>+C143-D168-D171-D186-D207-D219-D220-D221-D222-D223</f>
        <v>117696472.83000001</v>
      </c>
    </row>
    <row r="213" spans="1:8" x14ac:dyDescent="0.2">
      <c r="A213" s="211">
        <v>45772</v>
      </c>
      <c r="B213" s="906" t="s">
        <v>1328</v>
      </c>
      <c r="C213" s="868"/>
      <c r="D213" s="1338">
        <v>47100</v>
      </c>
      <c r="E213" s="134">
        <f t="shared" si="3"/>
        <v>167666919.988056</v>
      </c>
      <c r="F213" s="130"/>
    </row>
    <row r="214" spans="1:8" x14ac:dyDescent="0.2">
      <c r="A214" s="211">
        <v>45772</v>
      </c>
      <c r="B214" s="1053" t="s">
        <v>1126</v>
      </c>
      <c r="C214" s="868"/>
      <c r="D214" s="1337">
        <v>2388.4</v>
      </c>
      <c r="E214" s="134">
        <f t="shared" si="3"/>
        <v>167664531.588056</v>
      </c>
      <c r="F214" s="130"/>
    </row>
    <row r="215" spans="1:8" x14ac:dyDescent="0.2">
      <c r="A215" s="211">
        <v>45775</v>
      </c>
      <c r="B215" s="191" t="s">
        <v>1226</v>
      </c>
      <c r="C215" s="868"/>
      <c r="D215" s="1337">
        <v>600000</v>
      </c>
      <c r="E215" s="134">
        <f t="shared" si="3"/>
        <v>167064531.588056</v>
      </c>
      <c r="F215" s="130"/>
    </row>
    <row r="216" spans="1:8" x14ac:dyDescent="0.2">
      <c r="A216" s="211">
        <v>45775</v>
      </c>
      <c r="B216" s="191" t="s">
        <v>1267</v>
      </c>
      <c r="C216" s="868"/>
      <c r="D216" s="1337">
        <v>738628</v>
      </c>
      <c r="E216" s="134">
        <f t="shared" si="3"/>
        <v>166325903.588056</v>
      </c>
      <c r="F216" s="130"/>
    </row>
    <row r="217" spans="1:8" x14ac:dyDescent="0.2">
      <c r="A217" s="211">
        <v>45775</v>
      </c>
      <c r="B217" s="906" t="s">
        <v>1331</v>
      </c>
      <c r="C217" s="868"/>
      <c r="D217" s="1337">
        <v>36720</v>
      </c>
      <c r="E217" s="134">
        <f t="shared" si="3"/>
        <v>166289183.588056</v>
      </c>
      <c r="F217" s="130"/>
    </row>
    <row r="218" spans="1:8" x14ac:dyDescent="0.2">
      <c r="A218" s="211">
        <v>45775</v>
      </c>
      <c r="B218" s="1053" t="s">
        <v>1126</v>
      </c>
      <c r="C218" s="868"/>
      <c r="D218" s="1337">
        <v>5501.39</v>
      </c>
      <c r="E218" s="134">
        <f t="shared" si="3"/>
        <v>166283682.19805601</v>
      </c>
      <c r="F218" s="130"/>
    </row>
    <row r="219" spans="1:8" x14ac:dyDescent="0.2">
      <c r="A219" s="211">
        <v>45777</v>
      </c>
      <c r="B219" s="191" t="s">
        <v>1338</v>
      </c>
      <c r="C219" s="868"/>
      <c r="D219" s="1338">
        <v>9716892</v>
      </c>
      <c r="E219" s="134">
        <f t="shared" si="3"/>
        <v>156566790.19805601</v>
      </c>
      <c r="F219" s="130"/>
      <c r="G219" s="916">
        <f>166250525.83-E219</f>
        <v>9683735.6319440007</v>
      </c>
    </row>
    <row r="220" spans="1:8" x14ac:dyDescent="0.2">
      <c r="A220" s="211">
        <v>45777</v>
      </c>
      <c r="B220" s="1053" t="s">
        <v>1126</v>
      </c>
      <c r="C220" s="868"/>
      <c r="D220" s="1338">
        <v>622967.17000000004</v>
      </c>
      <c r="E220" s="134">
        <f t="shared" si="3"/>
        <v>155943823.02805603</v>
      </c>
      <c r="F220" s="130"/>
    </row>
    <row r="221" spans="1:8" x14ac:dyDescent="0.2">
      <c r="A221" s="211">
        <v>45777</v>
      </c>
      <c r="B221" s="1293" t="s">
        <v>1339</v>
      </c>
      <c r="C221" s="868"/>
      <c r="D221" s="1338">
        <v>5000000</v>
      </c>
      <c r="E221" s="134">
        <f t="shared" si="3"/>
        <v>150943823.02805603</v>
      </c>
      <c r="F221" s="130"/>
    </row>
    <row r="222" spans="1:8" x14ac:dyDescent="0.2">
      <c r="A222" s="211">
        <v>45777</v>
      </c>
      <c r="B222" s="191" t="s">
        <v>1340</v>
      </c>
      <c r="C222" s="868"/>
      <c r="D222" s="1337">
        <v>140000000</v>
      </c>
      <c r="E222" s="134">
        <f t="shared" si="3"/>
        <v>10943823.028056026</v>
      </c>
      <c r="F222" s="130"/>
    </row>
    <row r="223" spans="1:8" x14ac:dyDescent="0.2">
      <c r="A223" s="211">
        <v>45777</v>
      </c>
      <c r="B223" s="191" t="s">
        <v>1341</v>
      </c>
      <c r="C223" s="868"/>
      <c r="D223" s="1337">
        <v>144902</v>
      </c>
      <c r="E223" s="134">
        <f t="shared" si="3"/>
        <v>10798921.028056026</v>
      </c>
      <c r="F223" s="130"/>
    </row>
    <row r="224" spans="1:8" x14ac:dyDescent="0.2">
      <c r="A224" s="211">
        <v>45777</v>
      </c>
      <c r="B224" s="1053" t="s">
        <v>1342</v>
      </c>
      <c r="C224" s="868"/>
      <c r="D224" s="1338">
        <v>880000</v>
      </c>
      <c r="E224" s="134">
        <f t="shared" si="3"/>
        <v>9918921.0280560255</v>
      </c>
      <c r="F224" s="130"/>
    </row>
    <row r="225" spans="1:7" ht="13.5" customHeight="1" x14ac:dyDescent="0.2">
      <c r="A225" s="211">
        <v>45779</v>
      </c>
      <c r="B225" s="1053" t="s">
        <v>1132</v>
      </c>
      <c r="C225" s="868"/>
      <c r="D225" s="1337">
        <v>100000</v>
      </c>
      <c r="E225" s="134">
        <f t="shared" si="3"/>
        <v>9818921.0280560255</v>
      </c>
      <c r="F225" s="130"/>
    </row>
    <row r="226" spans="1:7" x14ac:dyDescent="0.2">
      <c r="A226" s="211">
        <v>45779</v>
      </c>
      <c r="B226" s="1053" t="s">
        <v>1153</v>
      </c>
      <c r="C226" s="868"/>
      <c r="D226" s="1337">
        <v>100000</v>
      </c>
      <c r="E226" s="134">
        <f t="shared" si="3"/>
        <v>9718921.0280560255</v>
      </c>
      <c r="F226" s="130"/>
    </row>
    <row r="227" spans="1:7" x14ac:dyDescent="0.2">
      <c r="A227" s="211">
        <v>45779</v>
      </c>
      <c r="B227" s="191" t="s">
        <v>1053</v>
      </c>
      <c r="C227" s="868"/>
      <c r="D227" s="1337">
        <v>1000000</v>
      </c>
      <c r="E227" s="134">
        <f t="shared" si="3"/>
        <v>8718921.0280560255</v>
      </c>
      <c r="F227" s="130"/>
    </row>
    <row r="228" spans="1:7" x14ac:dyDescent="0.2">
      <c r="A228" s="211">
        <v>45779</v>
      </c>
      <c r="B228" s="191" t="s">
        <v>1053</v>
      </c>
      <c r="C228" s="868"/>
      <c r="D228" s="1337">
        <v>1000000</v>
      </c>
      <c r="E228" s="134">
        <f t="shared" si="3"/>
        <v>7718921.0280560255</v>
      </c>
      <c r="F228" s="130"/>
    </row>
    <row r="229" spans="1:7" x14ac:dyDescent="0.2">
      <c r="A229" s="211">
        <v>45782</v>
      </c>
      <c r="B229" s="1053" t="s">
        <v>1058</v>
      </c>
      <c r="C229" s="868"/>
      <c r="D229" s="1337">
        <v>1392400</v>
      </c>
      <c r="E229" s="134">
        <f t="shared" si="3"/>
        <v>6326521.0280560255</v>
      </c>
      <c r="F229" s="130"/>
    </row>
    <row r="230" spans="1:7" x14ac:dyDescent="0.2">
      <c r="A230" s="211">
        <v>45782</v>
      </c>
      <c r="B230" s="1053" t="s">
        <v>1059</v>
      </c>
      <c r="C230" s="868"/>
      <c r="D230" s="1338">
        <v>940500</v>
      </c>
      <c r="E230" s="134">
        <f t="shared" si="3"/>
        <v>5386021.0280560255</v>
      </c>
      <c r="F230" s="130"/>
    </row>
    <row r="231" spans="1:7" x14ac:dyDescent="0.2">
      <c r="A231" s="211">
        <v>45782</v>
      </c>
      <c r="B231" s="906" t="s">
        <v>1274</v>
      </c>
      <c r="C231" s="868"/>
      <c r="D231" s="1337">
        <v>139900</v>
      </c>
      <c r="E231" s="134">
        <f t="shared" si="3"/>
        <v>5246121.0280560255</v>
      </c>
      <c r="F231" s="130"/>
    </row>
    <row r="232" spans="1:7" x14ac:dyDescent="0.2">
      <c r="A232" s="211">
        <v>45783</v>
      </c>
      <c r="B232" s="191" t="s">
        <v>1360</v>
      </c>
      <c r="C232" s="868"/>
      <c r="D232" s="1338">
        <v>500000</v>
      </c>
      <c r="E232" s="134">
        <f t="shared" si="3"/>
        <v>4746121.0280560255</v>
      </c>
      <c r="F232" s="130"/>
    </row>
    <row r="233" spans="1:7" x14ac:dyDescent="0.2">
      <c r="A233" s="211">
        <v>45784</v>
      </c>
      <c r="B233" s="191" t="s">
        <v>1361</v>
      </c>
      <c r="C233" s="868"/>
      <c r="D233" s="1338">
        <v>500000</v>
      </c>
      <c r="E233" s="134">
        <f t="shared" si="3"/>
        <v>4246121.0280560255</v>
      </c>
      <c r="F233" s="130"/>
      <c r="G233" s="916">
        <f>4213264-E233</f>
        <v>-32857.028056025505</v>
      </c>
    </row>
    <row r="234" spans="1:7" x14ac:dyDescent="0.2">
      <c r="A234" s="211">
        <v>45784</v>
      </c>
      <c r="B234" s="191" t="s">
        <v>1374</v>
      </c>
      <c r="C234" s="868"/>
      <c r="D234" s="191">
        <v>1269000</v>
      </c>
      <c r="E234" s="134">
        <f t="shared" si="3"/>
        <v>2977121.0280560255</v>
      </c>
      <c r="F234" s="130"/>
    </row>
    <row r="235" spans="1:7" x14ac:dyDescent="0.2">
      <c r="A235" s="211">
        <v>45785</v>
      </c>
      <c r="B235" s="1053" t="s">
        <v>1375</v>
      </c>
      <c r="C235" s="1338">
        <v>350000</v>
      </c>
      <c r="D235" s="191"/>
      <c r="E235" s="134">
        <f t="shared" si="3"/>
        <v>3327121.0280560255</v>
      </c>
      <c r="F235" s="130"/>
    </row>
    <row r="236" spans="1:7" x14ac:dyDescent="0.2">
      <c r="A236" s="211">
        <v>45785</v>
      </c>
      <c r="B236" s="1053" t="s">
        <v>1376</v>
      </c>
      <c r="C236" s="868"/>
      <c r="D236" s="1337">
        <v>880000</v>
      </c>
      <c r="E236" s="134">
        <f t="shared" si="3"/>
        <v>2447121.0280560255</v>
      </c>
      <c r="F236" s="130"/>
    </row>
    <row r="237" spans="1:7" x14ac:dyDescent="0.2">
      <c r="A237" s="211">
        <v>45789</v>
      </c>
      <c r="B237" s="191" t="s">
        <v>1377</v>
      </c>
      <c r="C237" s="868"/>
      <c r="D237" s="191">
        <v>838002</v>
      </c>
      <c r="E237" s="134">
        <f t="shared" si="3"/>
        <v>1609119.0280560255</v>
      </c>
      <c r="F237" s="130"/>
      <c r="G237" s="916">
        <f>+E237-1576282</f>
        <v>32837.028056025505</v>
      </c>
    </row>
    <row r="238" spans="1:7" x14ac:dyDescent="0.2">
      <c r="A238" s="211">
        <v>45790</v>
      </c>
      <c r="B238" s="1053" t="s">
        <v>1378</v>
      </c>
      <c r="C238" s="868"/>
      <c r="D238" s="868">
        <v>1320000</v>
      </c>
      <c r="E238" s="134">
        <f t="shared" si="3"/>
        <v>289119.02805602551</v>
      </c>
      <c r="F238" s="130"/>
      <c r="G238" s="916">
        <f>+D238-D236</f>
        <v>440000</v>
      </c>
    </row>
    <row r="239" spans="1:7" x14ac:dyDescent="0.2">
      <c r="A239" s="211">
        <v>45790</v>
      </c>
      <c r="B239" s="1053" t="s">
        <v>1379</v>
      </c>
      <c r="C239" s="868">
        <v>838000</v>
      </c>
      <c r="D239" s="868"/>
      <c r="E239" s="134">
        <f t="shared" si="3"/>
        <v>1127119.0280560255</v>
      </c>
      <c r="F239" s="130"/>
    </row>
    <row r="240" spans="1:7" x14ac:dyDescent="0.2">
      <c r="A240" s="211">
        <v>45790</v>
      </c>
      <c r="B240" s="906" t="s">
        <v>1380</v>
      </c>
      <c r="C240" s="868"/>
      <c r="D240" s="868">
        <v>157546</v>
      </c>
      <c r="E240" s="134">
        <f t="shared" si="3"/>
        <v>969573.02805602551</v>
      </c>
      <c r="F240" s="130"/>
    </row>
    <row r="241" spans="1:6" x14ac:dyDescent="0.2">
      <c r="A241" s="211">
        <v>45790</v>
      </c>
      <c r="B241" s="191" t="s">
        <v>1381</v>
      </c>
      <c r="C241" s="1338">
        <v>1115000</v>
      </c>
      <c r="D241" s="868"/>
      <c r="E241" s="134">
        <f t="shared" si="3"/>
        <v>2084573.0280560255</v>
      </c>
      <c r="F241" s="130"/>
    </row>
    <row r="242" spans="1:6" x14ac:dyDescent="0.2">
      <c r="A242" s="211">
        <v>45791</v>
      </c>
      <c r="B242" s="191" t="s">
        <v>1381</v>
      </c>
      <c r="C242" s="868">
        <v>3000000</v>
      </c>
      <c r="D242" s="868"/>
      <c r="E242" s="134">
        <f t="shared" si="3"/>
        <v>5084573.0280560255</v>
      </c>
      <c r="F242" s="130"/>
    </row>
    <row r="243" spans="1:6" x14ac:dyDescent="0.2">
      <c r="A243" s="211">
        <v>45791</v>
      </c>
      <c r="B243" s="191" t="s">
        <v>1381</v>
      </c>
      <c r="C243" s="868">
        <v>3000000</v>
      </c>
      <c r="D243" s="868"/>
      <c r="E243" s="134">
        <f t="shared" si="3"/>
        <v>8084573.0280560255</v>
      </c>
    </row>
    <row r="244" spans="1:6" x14ac:dyDescent="0.2">
      <c r="A244" s="211">
        <v>45791</v>
      </c>
      <c r="B244" s="191" t="s">
        <v>1055</v>
      </c>
      <c r="C244" s="868"/>
      <c r="D244" s="191">
        <v>10650</v>
      </c>
      <c r="E244" s="134">
        <f t="shared" si="3"/>
        <v>8073923.0280560255</v>
      </c>
    </row>
    <row r="245" spans="1:6" x14ac:dyDescent="0.2">
      <c r="A245" s="211">
        <v>45791</v>
      </c>
      <c r="B245" s="191" t="s">
        <v>1381</v>
      </c>
      <c r="C245" s="868">
        <v>3000000</v>
      </c>
      <c r="D245" s="868"/>
      <c r="E245" s="134">
        <f t="shared" si="3"/>
        <v>11073923.028056026</v>
      </c>
    </row>
    <row r="246" spans="1:6" x14ac:dyDescent="0.2">
      <c r="A246" s="211">
        <v>45791</v>
      </c>
      <c r="B246" s="1297" t="s">
        <v>1087</v>
      </c>
      <c r="C246" s="868">
        <v>1200000</v>
      </c>
      <c r="D246" s="868"/>
      <c r="E246" s="134">
        <f t="shared" si="3"/>
        <v>12273923.028056026</v>
      </c>
    </row>
    <row r="247" spans="1:6" x14ac:dyDescent="0.2">
      <c r="A247" s="211">
        <v>45792</v>
      </c>
      <c r="B247" s="191" t="s">
        <v>1051</v>
      </c>
      <c r="C247" s="868"/>
      <c r="D247" s="868">
        <v>550000</v>
      </c>
      <c r="E247" s="134">
        <f t="shared" si="3"/>
        <v>11723923.028056026</v>
      </c>
    </row>
    <row r="248" spans="1:6" x14ac:dyDescent="0.2">
      <c r="A248" s="211">
        <v>45792</v>
      </c>
      <c r="B248" s="1053" t="s">
        <v>1060</v>
      </c>
      <c r="C248" s="868">
        <v>133939.20000000001</v>
      </c>
      <c r="D248" s="868"/>
      <c r="E248" s="134">
        <f t="shared" si="3"/>
        <v>11857862.228056025</v>
      </c>
    </row>
    <row r="249" spans="1:6" x14ac:dyDescent="0.2">
      <c r="A249" s="211">
        <v>45792</v>
      </c>
      <c r="B249" s="1053" t="s">
        <v>1382</v>
      </c>
      <c r="C249" s="868"/>
      <c r="D249" s="868">
        <v>136495</v>
      </c>
      <c r="E249" s="134">
        <f t="shared" si="3"/>
        <v>11721367.228056025</v>
      </c>
    </row>
    <row r="250" spans="1:6" x14ac:dyDescent="0.2">
      <c r="A250" s="211">
        <v>45792</v>
      </c>
      <c r="B250" s="191" t="s">
        <v>1050</v>
      </c>
      <c r="C250" s="868"/>
      <c r="D250" s="191">
        <v>50000</v>
      </c>
      <c r="E250" s="134">
        <f t="shared" si="3"/>
        <v>11671367.228056025</v>
      </c>
    </row>
    <row r="251" spans="1:6" x14ac:dyDescent="0.2">
      <c r="A251" s="211">
        <v>45792</v>
      </c>
      <c r="B251" s="191" t="s">
        <v>1061</v>
      </c>
      <c r="C251" s="868">
        <v>20000000</v>
      </c>
      <c r="D251" s="868"/>
      <c r="E251" s="134">
        <f t="shared" si="3"/>
        <v>31671367.228056025</v>
      </c>
    </row>
    <row r="252" spans="1:6" x14ac:dyDescent="0.2">
      <c r="A252" s="211">
        <v>45793</v>
      </c>
      <c r="B252" s="191" t="s">
        <v>1072</v>
      </c>
      <c r="C252" s="868"/>
      <c r="D252" s="868">
        <v>1026732</v>
      </c>
      <c r="E252" s="134">
        <f t="shared" si="3"/>
        <v>30644635.228056025</v>
      </c>
    </row>
    <row r="253" spans="1:6" x14ac:dyDescent="0.2">
      <c r="A253" s="211">
        <v>45793</v>
      </c>
      <c r="B253" s="1297" t="s">
        <v>1383</v>
      </c>
      <c r="C253" s="191">
        <v>283000</v>
      </c>
      <c r="D253" s="191"/>
      <c r="E253" s="134">
        <f t="shared" si="3"/>
        <v>30927635.228056025</v>
      </c>
    </row>
    <row r="254" spans="1:6" x14ac:dyDescent="0.2">
      <c r="A254" s="211">
        <v>45793</v>
      </c>
      <c r="B254" s="906" t="s">
        <v>1065</v>
      </c>
      <c r="C254" s="868"/>
      <c r="D254" s="868">
        <v>168167</v>
      </c>
      <c r="E254" s="134">
        <f t="shared" si="3"/>
        <v>30759468.228056025</v>
      </c>
    </row>
    <row r="255" spans="1:6" x14ac:dyDescent="0.2">
      <c r="A255" s="211">
        <v>45793</v>
      </c>
      <c r="B255" s="191" t="s">
        <v>1053</v>
      </c>
      <c r="C255" s="868"/>
      <c r="D255" s="191">
        <v>1000000</v>
      </c>
      <c r="E255" s="134">
        <f t="shared" si="3"/>
        <v>29759468.228056025</v>
      </c>
    </row>
    <row r="256" spans="1:6" x14ac:dyDescent="0.2">
      <c r="A256" s="211">
        <v>45793</v>
      </c>
      <c r="B256" s="191" t="s">
        <v>1053</v>
      </c>
      <c r="C256" s="868"/>
      <c r="D256" s="191">
        <v>1000000</v>
      </c>
      <c r="E256" s="134">
        <f t="shared" si="3"/>
        <v>28759468.228056025</v>
      </c>
    </row>
    <row r="257" spans="1:5" x14ac:dyDescent="0.2">
      <c r="A257" s="211">
        <v>45794</v>
      </c>
      <c r="B257" s="191" t="s">
        <v>1384</v>
      </c>
      <c r="C257" s="868"/>
      <c r="D257" s="868">
        <v>10153000</v>
      </c>
      <c r="E257" s="134">
        <f t="shared" si="3"/>
        <v>18606468.228056025</v>
      </c>
    </row>
    <row r="258" spans="1:5" x14ac:dyDescent="0.2">
      <c r="A258" s="211">
        <v>45794</v>
      </c>
      <c r="B258" s="1053" t="s">
        <v>1126</v>
      </c>
      <c r="C258" s="868"/>
      <c r="D258" s="868">
        <v>27209.56</v>
      </c>
      <c r="E258" s="134">
        <f t="shared" si="3"/>
        <v>18579258.668056026</v>
      </c>
    </row>
    <row r="259" spans="1:5" x14ac:dyDescent="0.2">
      <c r="A259" s="211">
        <v>45797</v>
      </c>
      <c r="B259" s="1053" t="s">
        <v>1281</v>
      </c>
      <c r="C259" s="868"/>
      <c r="D259" s="868">
        <v>649260</v>
      </c>
      <c r="E259" s="134">
        <f t="shared" si="3"/>
        <v>17929998.668056026</v>
      </c>
    </row>
    <row r="260" spans="1:5" x14ac:dyDescent="0.2">
      <c r="A260" s="211">
        <v>45797</v>
      </c>
      <c r="B260" s="1053" t="s">
        <v>1385</v>
      </c>
      <c r="C260" s="868"/>
      <c r="D260" s="868">
        <v>350000</v>
      </c>
      <c r="E260" s="134">
        <f t="shared" si="3"/>
        <v>17579998.668056026</v>
      </c>
    </row>
    <row r="261" spans="1:5" x14ac:dyDescent="0.2">
      <c r="A261" s="211">
        <v>45797</v>
      </c>
      <c r="B261" s="1053" t="s">
        <v>1126</v>
      </c>
      <c r="C261" s="868"/>
      <c r="D261" s="868">
        <v>3997.04</v>
      </c>
      <c r="E261" s="134">
        <f t="shared" si="3"/>
        <v>17576001.628056027</v>
      </c>
    </row>
    <row r="262" spans="1:5" x14ac:dyDescent="0.2">
      <c r="A262" s="211">
        <v>45799</v>
      </c>
      <c r="B262" s="1297" t="s">
        <v>1087</v>
      </c>
      <c r="C262" s="868">
        <v>2120000</v>
      </c>
      <c r="D262" s="191"/>
      <c r="E262" s="134">
        <f t="shared" si="3"/>
        <v>19696001.628056027</v>
      </c>
    </row>
    <row r="263" spans="1:5" x14ac:dyDescent="0.2">
      <c r="A263" s="211">
        <v>45799</v>
      </c>
      <c r="B263" s="1053" t="s">
        <v>1060</v>
      </c>
      <c r="C263" s="868">
        <v>744796.8</v>
      </c>
      <c r="D263" s="868"/>
      <c r="E263" s="134">
        <f t="shared" si="3"/>
        <v>20440798.428056028</v>
      </c>
    </row>
    <row r="264" spans="1:5" x14ac:dyDescent="0.2">
      <c r="A264" s="211">
        <v>45799</v>
      </c>
      <c r="B264" s="1297" t="s">
        <v>1087</v>
      </c>
      <c r="C264" s="868">
        <v>3355800</v>
      </c>
      <c r="D264" s="868"/>
      <c r="E264" s="134">
        <f t="shared" si="3"/>
        <v>23796598.428056028</v>
      </c>
    </row>
    <row r="265" spans="1:5" x14ac:dyDescent="0.2">
      <c r="A265" s="211">
        <v>45799</v>
      </c>
      <c r="B265" s="1053" t="s">
        <v>1391</v>
      </c>
      <c r="C265" s="868"/>
      <c r="D265" s="191">
        <v>880000</v>
      </c>
      <c r="E265" s="134">
        <f t="shared" si="3"/>
        <v>22916598.428056028</v>
      </c>
    </row>
    <row r="266" spans="1:5" x14ac:dyDescent="0.2">
      <c r="A266" s="211">
        <v>45799</v>
      </c>
      <c r="B266" s="191" t="s">
        <v>1061</v>
      </c>
      <c r="C266" s="868">
        <v>110000000</v>
      </c>
      <c r="D266" s="868"/>
      <c r="E266" s="134">
        <f t="shared" si="3"/>
        <v>132916598.42805603</v>
      </c>
    </row>
    <row r="267" spans="1:5" x14ac:dyDescent="0.2">
      <c r="A267" s="211">
        <v>45799</v>
      </c>
      <c r="B267" s="191" t="s">
        <v>1053</v>
      </c>
      <c r="C267" s="868"/>
      <c r="D267" s="191">
        <v>1000000</v>
      </c>
      <c r="E267" s="134">
        <f t="shared" si="3"/>
        <v>131916598.42805603</v>
      </c>
    </row>
    <row r="268" spans="1:5" x14ac:dyDescent="0.2">
      <c r="A268" s="211">
        <v>45799</v>
      </c>
      <c r="B268" s="191" t="s">
        <v>1053</v>
      </c>
      <c r="C268" s="868"/>
      <c r="D268" s="191">
        <v>1000000</v>
      </c>
      <c r="E268" s="134">
        <f t="shared" si="3"/>
        <v>130916598.42805603</v>
      </c>
    </row>
    <row r="269" spans="1:5" x14ac:dyDescent="0.2">
      <c r="A269" s="211">
        <v>45799</v>
      </c>
      <c r="B269" s="191" t="s">
        <v>1392</v>
      </c>
      <c r="C269" s="868"/>
      <c r="D269" s="868">
        <v>5091000</v>
      </c>
      <c r="E269" s="134">
        <f t="shared" si="3"/>
        <v>125825598.42805603</v>
      </c>
    </row>
    <row r="270" spans="1:5" x14ac:dyDescent="0.2">
      <c r="A270" s="211">
        <v>45799</v>
      </c>
      <c r="B270" s="1297" t="s">
        <v>1087</v>
      </c>
      <c r="C270" s="868">
        <v>3000000</v>
      </c>
      <c r="D270" s="868"/>
      <c r="E270" s="134">
        <f t="shared" si="3"/>
        <v>128825598.42805603</v>
      </c>
    </row>
    <row r="271" spans="1:5" x14ac:dyDescent="0.2">
      <c r="A271" s="211">
        <v>45799</v>
      </c>
      <c r="B271" s="1053" t="s">
        <v>1126</v>
      </c>
      <c r="C271" s="868"/>
      <c r="D271" s="868">
        <v>31884</v>
      </c>
      <c r="E271" s="134">
        <f t="shared" si="3"/>
        <v>128793714.42805603</v>
      </c>
    </row>
    <row r="272" spans="1:5" x14ac:dyDescent="0.2">
      <c r="A272" s="211">
        <v>45799</v>
      </c>
      <c r="B272" s="1297" t="s">
        <v>1087</v>
      </c>
      <c r="C272" s="868">
        <v>6700000</v>
      </c>
      <c r="D272" s="868"/>
      <c r="E272" s="134">
        <f t="shared" ref="E272:E346" si="4">E271+C272-D272</f>
        <v>135493714.42805603</v>
      </c>
    </row>
    <row r="273" spans="1:5" x14ac:dyDescent="0.2">
      <c r="A273" s="211">
        <v>45799</v>
      </c>
      <c r="B273" s="1297" t="s">
        <v>1087</v>
      </c>
      <c r="C273" s="868">
        <v>2891000</v>
      </c>
      <c r="D273" s="868"/>
      <c r="E273" s="134">
        <f t="shared" si="4"/>
        <v>138384714.42805603</v>
      </c>
    </row>
    <row r="274" spans="1:5" x14ac:dyDescent="0.2">
      <c r="A274" s="211">
        <v>45803</v>
      </c>
      <c r="B274" s="1053" t="s">
        <v>1126</v>
      </c>
      <c r="C274" s="868"/>
      <c r="D274" s="868">
        <v>439.6</v>
      </c>
      <c r="E274" s="134">
        <f t="shared" si="4"/>
        <v>138384274.82805604</v>
      </c>
    </row>
    <row r="275" spans="1:5" x14ac:dyDescent="0.2">
      <c r="A275" s="211">
        <v>45803</v>
      </c>
      <c r="B275" s="1053" t="s">
        <v>1393</v>
      </c>
      <c r="C275" s="868"/>
      <c r="D275" s="191">
        <v>109900</v>
      </c>
      <c r="E275" s="134">
        <f t="shared" si="4"/>
        <v>138274374.82805604</v>
      </c>
    </row>
    <row r="276" spans="1:5" x14ac:dyDescent="0.2">
      <c r="A276" s="211">
        <v>45805</v>
      </c>
      <c r="B276" s="191" t="s">
        <v>1053</v>
      </c>
      <c r="C276" s="868"/>
      <c r="D276" s="191">
        <v>1000000</v>
      </c>
      <c r="E276" s="134">
        <f t="shared" si="4"/>
        <v>137274374.82805604</v>
      </c>
    </row>
    <row r="277" spans="1:5" x14ac:dyDescent="0.2">
      <c r="A277" s="211">
        <v>45805</v>
      </c>
      <c r="B277" s="191" t="s">
        <v>1053</v>
      </c>
      <c r="C277" s="868"/>
      <c r="D277" s="191">
        <v>1000000</v>
      </c>
      <c r="E277" s="134">
        <f t="shared" si="4"/>
        <v>136274374.82805604</v>
      </c>
    </row>
    <row r="278" spans="1:5" x14ac:dyDescent="0.2">
      <c r="A278" s="211">
        <v>45805</v>
      </c>
      <c r="B278" s="1053" t="s">
        <v>1126</v>
      </c>
      <c r="C278" s="868"/>
      <c r="D278" s="868">
        <v>11920</v>
      </c>
      <c r="E278" s="134">
        <f t="shared" si="4"/>
        <v>136262454.82805604</v>
      </c>
    </row>
    <row r="279" spans="1:5" x14ac:dyDescent="0.2">
      <c r="A279" s="211">
        <v>45805</v>
      </c>
      <c r="B279" s="1053" t="s">
        <v>1401</v>
      </c>
      <c r="C279" s="868"/>
      <c r="D279" s="868">
        <v>980000</v>
      </c>
      <c r="E279" s="134">
        <f t="shared" si="4"/>
        <v>135282454.82805604</v>
      </c>
    </row>
    <row r="280" spans="1:5" x14ac:dyDescent="0.2">
      <c r="A280" s="211">
        <v>45806</v>
      </c>
      <c r="B280" s="191" t="s">
        <v>1402</v>
      </c>
      <c r="C280" s="868"/>
      <c r="D280" s="868">
        <v>499000</v>
      </c>
      <c r="E280" s="134">
        <f t="shared" si="4"/>
        <v>134783454.82805604</v>
      </c>
    </row>
    <row r="281" spans="1:5" x14ac:dyDescent="0.2">
      <c r="A281" s="211">
        <v>45806</v>
      </c>
      <c r="B281" s="191" t="s">
        <v>1403</v>
      </c>
      <c r="C281" s="868"/>
      <c r="D281" s="868">
        <v>700000</v>
      </c>
      <c r="E281" s="134">
        <f t="shared" si="4"/>
        <v>134083454.82805604</v>
      </c>
    </row>
    <row r="282" spans="1:5" x14ac:dyDescent="0.2">
      <c r="A282" s="211">
        <v>45806</v>
      </c>
      <c r="B282" s="1053" t="s">
        <v>1126</v>
      </c>
      <c r="C282" s="868"/>
      <c r="D282" s="868">
        <v>6702.88</v>
      </c>
      <c r="E282" s="134">
        <f t="shared" si="4"/>
        <v>134076751.94805604</v>
      </c>
    </row>
    <row r="283" spans="1:5" x14ac:dyDescent="0.2">
      <c r="A283" s="211">
        <v>45806</v>
      </c>
      <c r="B283" s="906" t="s">
        <v>1331</v>
      </c>
      <c r="C283" s="868"/>
      <c r="D283" s="191">
        <v>36720</v>
      </c>
      <c r="E283" s="134">
        <f t="shared" si="4"/>
        <v>134040031.94805604</v>
      </c>
    </row>
    <row r="284" spans="1:5" x14ac:dyDescent="0.2">
      <c r="A284" s="211">
        <v>45806</v>
      </c>
      <c r="B284" s="191" t="s">
        <v>1404</v>
      </c>
      <c r="C284" s="868"/>
      <c r="D284" s="868">
        <v>440000</v>
      </c>
      <c r="E284" s="134">
        <f t="shared" si="4"/>
        <v>133600031.94805604</v>
      </c>
    </row>
    <row r="285" spans="1:5" x14ac:dyDescent="0.2">
      <c r="A285" s="211">
        <v>45807</v>
      </c>
      <c r="B285" s="191" t="s">
        <v>1404</v>
      </c>
      <c r="C285" s="868"/>
      <c r="D285" s="1336">
        <v>220000</v>
      </c>
      <c r="E285" s="134">
        <f t="shared" si="4"/>
        <v>133380031.94805604</v>
      </c>
    </row>
    <row r="286" spans="1:5" x14ac:dyDescent="0.2">
      <c r="A286" s="211">
        <v>45807</v>
      </c>
      <c r="B286" s="191" t="s">
        <v>1151</v>
      </c>
      <c r="C286" s="868"/>
      <c r="D286" s="1297">
        <v>53958</v>
      </c>
      <c r="E286" s="134">
        <f t="shared" si="4"/>
        <v>133326073.94805604</v>
      </c>
    </row>
    <row r="287" spans="1:5" x14ac:dyDescent="0.2">
      <c r="A287" s="211">
        <v>45807</v>
      </c>
      <c r="B287" s="1053" t="s">
        <v>1126</v>
      </c>
      <c r="C287" s="868"/>
      <c r="D287" s="1297">
        <v>2615.83</v>
      </c>
      <c r="E287" s="134">
        <f t="shared" si="4"/>
        <v>133323458.11805604</v>
      </c>
    </row>
    <row r="288" spans="1:5" x14ac:dyDescent="0.2">
      <c r="A288" s="211">
        <v>45807</v>
      </c>
      <c r="B288" s="191" t="s">
        <v>1403</v>
      </c>
      <c r="C288" s="868"/>
      <c r="D288" s="1297">
        <v>380000</v>
      </c>
      <c r="E288" s="134">
        <f t="shared" si="4"/>
        <v>132943458.11805604</v>
      </c>
    </row>
    <row r="289" spans="1:7" x14ac:dyDescent="0.2">
      <c r="A289" s="211">
        <v>45811</v>
      </c>
      <c r="B289" s="1053" t="s">
        <v>1132</v>
      </c>
      <c r="C289" s="868"/>
      <c r="D289" s="1297">
        <v>200000</v>
      </c>
      <c r="E289" s="134">
        <f t="shared" si="4"/>
        <v>132743458.11805604</v>
      </c>
    </row>
    <row r="290" spans="1:7" x14ac:dyDescent="0.2">
      <c r="A290" s="211">
        <v>45811</v>
      </c>
      <c r="B290" s="191" t="s">
        <v>1050</v>
      </c>
      <c r="C290" s="868"/>
      <c r="D290" s="1297">
        <v>50000</v>
      </c>
      <c r="E290" s="134">
        <f t="shared" si="4"/>
        <v>132693458.11805604</v>
      </c>
    </row>
    <row r="291" spans="1:7" x14ac:dyDescent="0.2">
      <c r="A291" s="211">
        <v>45811</v>
      </c>
      <c r="B291" s="1053" t="s">
        <v>1153</v>
      </c>
      <c r="C291" s="868"/>
      <c r="D291" s="1297">
        <v>100000</v>
      </c>
      <c r="E291" s="134">
        <f t="shared" si="4"/>
        <v>132593458.11805604</v>
      </c>
    </row>
    <row r="292" spans="1:7" x14ac:dyDescent="0.2">
      <c r="A292" s="211">
        <v>45812</v>
      </c>
      <c r="B292" s="191" t="s">
        <v>1053</v>
      </c>
      <c r="C292" s="868"/>
      <c r="D292" s="1297">
        <v>1000000</v>
      </c>
      <c r="E292" s="134">
        <f t="shared" si="4"/>
        <v>131593458.11805604</v>
      </c>
      <c r="F292" s="130"/>
    </row>
    <row r="293" spans="1:7" x14ac:dyDescent="0.2">
      <c r="A293" s="211">
        <v>45812</v>
      </c>
      <c r="B293" s="191" t="s">
        <v>1053</v>
      </c>
      <c r="C293" s="868"/>
      <c r="D293" s="1297">
        <v>1000000</v>
      </c>
      <c r="E293" s="134">
        <f t="shared" si="4"/>
        <v>130593458.11805604</v>
      </c>
      <c r="F293" s="130"/>
      <c r="G293" s="916">
        <f>130563262-E293</f>
        <v>-30196.118056043983</v>
      </c>
    </row>
    <row r="294" spans="1:7" x14ac:dyDescent="0.2">
      <c r="A294" s="211">
        <v>45813</v>
      </c>
      <c r="B294" s="1053" t="s">
        <v>1415</v>
      </c>
      <c r="C294" s="868"/>
      <c r="D294" s="1336">
        <v>2400000</v>
      </c>
      <c r="E294" s="134">
        <f t="shared" si="4"/>
        <v>128193458.11805604</v>
      </c>
      <c r="F294" s="130"/>
    </row>
    <row r="295" spans="1:7" x14ac:dyDescent="0.2">
      <c r="A295" s="211">
        <v>45813</v>
      </c>
      <c r="B295" s="191" t="s">
        <v>1404</v>
      </c>
      <c r="C295" s="868"/>
      <c r="D295" s="1336">
        <v>220000</v>
      </c>
      <c r="E295" s="134">
        <f t="shared" si="4"/>
        <v>127973458.11805604</v>
      </c>
      <c r="F295" s="130"/>
    </row>
    <row r="296" spans="1:7" x14ac:dyDescent="0.2">
      <c r="A296" s="211">
        <v>45813</v>
      </c>
      <c r="B296" s="1053" t="s">
        <v>1058</v>
      </c>
      <c r="C296" s="868"/>
      <c r="D296" s="1337">
        <v>1392400</v>
      </c>
      <c r="E296" s="134">
        <f t="shared" si="4"/>
        <v>126581058.11805604</v>
      </c>
      <c r="F296" s="130"/>
    </row>
    <row r="297" spans="1:7" x14ac:dyDescent="0.2">
      <c r="A297" s="211">
        <v>45813</v>
      </c>
      <c r="B297" s="1053" t="s">
        <v>1059</v>
      </c>
      <c r="C297" s="868"/>
      <c r="D297" s="1338">
        <v>940500</v>
      </c>
      <c r="E297" s="134">
        <f t="shared" si="4"/>
        <v>125640558.11805604</v>
      </c>
      <c r="F297" s="130"/>
    </row>
    <row r="298" spans="1:7" x14ac:dyDescent="0.2">
      <c r="A298" s="211">
        <v>45813</v>
      </c>
      <c r="B298" s="906" t="s">
        <v>1274</v>
      </c>
      <c r="C298" s="868"/>
      <c r="D298" s="1337">
        <v>139900</v>
      </c>
      <c r="E298" s="134">
        <f t="shared" si="4"/>
        <v>125500658.11805604</v>
      </c>
      <c r="F298" s="130"/>
    </row>
    <row r="299" spans="1:7" x14ac:dyDescent="0.2">
      <c r="A299" s="211">
        <v>45813</v>
      </c>
      <c r="B299" s="191" t="s">
        <v>1403</v>
      </c>
      <c r="C299" s="868"/>
      <c r="D299" s="1297">
        <v>380000</v>
      </c>
      <c r="E299" s="134">
        <f t="shared" si="4"/>
        <v>125120658.11805604</v>
      </c>
      <c r="F299" s="130"/>
    </row>
    <row r="300" spans="1:7" x14ac:dyDescent="0.2">
      <c r="A300" s="211">
        <v>45814</v>
      </c>
      <c r="B300" s="191" t="s">
        <v>1135</v>
      </c>
      <c r="C300" s="1336">
        <v>4493600</v>
      </c>
      <c r="D300" s="868"/>
      <c r="E300" s="134">
        <f t="shared" si="4"/>
        <v>129614258.11805604</v>
      </c>
      <c r="F300" s="130"/>
    </row>
    <row r="301" spans="1:7" x14ac:dyDescent="0.2">
      <c r="A301" s="211">
        <v>45815</v>
      </c>
      <c r="B301" s="191" t="s">
        <v>1416</v>
      </c>
      <c r="C301" s="868"/>
      <c r="D301" s="191">
        <v>30000000</v>
      </c>
      <c r="E301" s="134">
        <f t="shared" si="4"/>
        <v>99614258.118056044</v>
      </c>
      <c r="F301" s="130"/>
    </row>
    <row r="302" spans="1:7" x14ac:dyDescent="0.2">
      <c r="A302" s="211">
        <v>45815</v>
      </c>
      <c r="B302" s="1053" t="s">
        <v>1126</v>
      </c>
      <c r="C302" s="868"/>
      <c r="D302" s="191">
        <v>81571.199999999997</v>
      </c>
      <c r="E302" s="134">
        <f t="shared" si="4"/>
        <v>99532686.918056041</v>
      </c>
      <c r="F302" s="130"/>
    </row>
    <row r="303" spans="1:7" x14ac:dyDescent="0.2">
      <c r="A303" s="211">
        <v>45816</v>
      </c>
      <c r="B303" s="191" t="s">
        <v>1416</v>
      </c>
      <c r="C303" s="868"/>
      <c r="D303" s="191">
        <v>30000000</v>
      </c>
      <c r="E303" s="134">
        <f t="shared" si="4"/>
        <v>69532686.918056041</v>
      </c>
      <c r="F303" s="130"/>
    </row>
    <row r="304" spans="1:7" x14ac:dyDescent="0.2">
      <c r="A304" s="211">
        <v>45816</v>
      </c>
      <c r="B304" s="1053" t="s">
        <v>1126</v>
      </c>
      <c r="C304" s="868"/>
      <c r="D304" s="191">
        <v>120000</v>
      </c>
      <c r="E304" s="134">
        <f t="shared" si="4"/>
        <v>69412686.918056041</v>
      </c>
      <c r="F304" s="130"/>
    </row>
    <row r="305" spans="1:6" x14ac:dyDescent="0.2">
      <c r="A305" s="211">
        <v>45817</v>
      </c>
      <c r="B305" s="191" t="s">
        <v>1416</v>
      </c>
      <c r="C305" s="868"/>
      <c r="D305" s="868">
        <v>5000000</v>
      </c>
      <c r="E305" s="134">
        <f t="shared" si="4"/>
        <v>64412686.918056041</v>
      </c>
      <c r="F305" s="130"/>
    </row>
    <row r="306" spans="1:6" x14ac:dyDescent="0.2">
      <c r="A306" s="211">
        <v>45817</v>
      </c>
      <c r="B306" s="191" t="s">
        <v>1429</v>
      </c>
      <c r="C306" s="1336">
        <v>350000</v>
      </c>
      <c r="D306" s="868"/>
      <c r="E306" s="134">
        <f t="shared" si="4"/>
        <v>64762686.918056041</v>
      </c>
      <c r="F306" s="130"/>
    </row>
    <row r="307" spans="1:6" x14ac:dyDescent="0.2">
      <c r="A307" s="211">
        <v>45817</v>
      </c>
      <c r="B307" s="1053" t="s">
        <v>1126</v>
      </c>
      <c r="C307" s="1336"/>
      <c r="D307" s="868">
        <f>20000+168</f>
        <v>20168</v>
      </c>
      <c r="E307" s="134">
        <f t="shared" si="4"/>
        <v>64742518.918056041</v>
      </c>
      <c r="F307" s="130"/>
    </row>
    <row r="308" spans="1:6" x14ac:dyDescent="0.2">
      <c r="A308" s="211">
        <v>45818</v>
      </c>
      <c r="B308" s="1293" t="s">
        <v>1614</v>
      </c>
      <c r="C308" s="1336"/>
      <c r="D308" s="1336">
        <v>42000</v>
      </c>
      <c r="E308" s="134">
        <f t="shared" si="4"/>
        <v>64700518.918056041</v>
      </c>
      <c r="F308" s="130"/>
    </row>
    <row r="309" spans="1:6" x14ac:dyDescent="0.2">
      <c r="A309" s="211">
        <v>45819</v>
      </c>
      <c r="B309" s="1053" t="s">
        <v>1430</v>
      </c>
      <c r="C309" s="868"/>
      <c r="D309" s="1336">
        <v>3000000</v>
      </c>
      <c r="E309" s="134">
        <f t="shared" si="4"/>
        <v>61700518.918056041</v>
      </c>
      <c r="F309" s="130"/>
    </row>
    <row r="310" spans="1:6" x14ac:dyDescent="0.2">
      <c r="A310" s="211">
        <v>45819</v>
      </c>
      <c r="B310" s="1053" t="s">
        <v>1126</v>
      </c>
      <c r="C310" s="868"/>
      <c r="D310" s="1336">
        <v>13400</v>
      </c>
      <c r="E310" s="134">
        <f t="shared" si="4"/>
        <v>61687118.918056041</v>
      </c>
      <c r="F310" s="130"/>
    </row>
    <row r="311" spans="1:6" x14ac:dyDescent="0.2">
      <c r="A311" s="211">
        <v>45819</v>
      </c>
      <c r="B311" s="1293" t="s">
        <v>1626</v>
      </c>
      <c r="C311" s="868"/>
      <c r="D311" s="1336">
        <v>350000</v>
      </c>
      <c r="E311" s="134">
        <f t="shared" si="4"/>
        <v>61337118.918056041</v>
      </c>
      <c r="F311" s="130"/>
    </row>
    <row r="312" spans="1:6" x14ac:dyDescent="0.2">
      <c r="A312" s="211">
        <v>45820</v>
      </c>
      <c r="B312" s="1053" t="s">
        <v>1431</v>
      </c>
      <c r="C312" s="868"/>
      <c r="D312" s="1297">
        <v>880000</v>
      </c>
      <c r="E312" s="134">
        <f t="shared" si="4"/>
        <v>60457118.918056041</v>
      </c>
      <c r="F312" s="130"/>
    </row>
    <row r="313" spans="1:6" x14ac:dyDescent="0.2">
      <c r="A313" s="211">
        <v>45820</v>
      </c>
      <c r="B313" s="191" t="s">
        <v>1051</v>
      </c>
      <c r="C313" s="868"/>
      <c r="D313" s="1336">
        <v>550000</v>
      </c>
      <c r="E313" s="134">
        <f t="shared" si="4"/>
        <v>59907118.918056041</v>
      </c>
      <c r="F313" s="130"/>
    </row>
    <row r="314" spans="1:6" x14ac:dyDescent="0.2">
      <c r="A314" s="211">
        <v>45820</v>
      </c>
      <c r="B314" s="1053" t="s">
        <v>1126</v>
      </c>
      <c r="C314" s="868"/>
      <c r="D314" s="1336">
        <v>5720</v>
      </c>
      <c r="E314" s="134">
        <f t="shared" si="4"/>
        <v>59901398.918056041</v>
      </c>
      <c r="F314" s="130"/>
    </row>
    <row r="315" spans="1:6" x14ac:dyDescent="0.2">
      <c r="A315" s="211">
        <v>45821</v>
      </c>
      <c r="B315" s="191" t="s">
        <v>1404</v>
      </c>
      <c r="C315" s="868"/>
      <c r="D315" s="1336">
        <v>220000</v>
      </c>
      <c r="E315" s="134">
        <f t="shared" si="4"/>
        <v>59681398.918056041</v>
      </c>
      <c r="F315" s="130"/>
    </row>
    <row r="316" spans="1:6" x14ac:dyDescent="0.2">
      <c r="A316" s="211">
        <v>45821</v>
      </c>
      <c r="B316" s="191" t="s">
        <v>1403</v>
      </c>
      <c r="C316" s="868"/>
      <c r="D316" s="1297">
        <v>380000</v>
      </c>
      <c r="E316" s="134">
        <f t="shared" si="4"/>
        <v>59301398.918056041</v>
      </c>
      <c r="F316" s="130"/>
    </row>
    <row r="317" spans="1:6" x14ac:dyDescent="0.2">
      <c r="A317" s="211">
        <v>45821</v>
      </c>
      <c r="B317" s="191" t="s">
        <v>1432</v>
      </c>
      <c r="C317" s="868"/>
      <c r="D317" s="1336">
        <v>200000</v>
      </c>
      <c r="E317" s="134">
        <f t="shared" si="4"/>
        <v>59101398.918056041</v>
      </c>
      <c r="F317" s="130"/>
    </row>
    <row r="318" spans="1:6" x14ac:dyDescent="0.2">
      <c r="A318" s="211">
        <v>45821</v>
      </c>
      <c r="B318" s="906" t="s">
        <v>1380</v>
      </c>
      <c r="C318" s="868"/>
      <c r="D318" s="1336">
        <v>156343</v>
      </c>
      <c r="E318" s="134">
        <f t="shared" si="4"/>
        <v>58945055.918056041</v>
      </c>
    </row>
    <row r="319" spans="1:6" x14ac:dyDescent="0.2">
      <c r="A319" s="211">
        <v>45821</v>
      </c>
      <c r="B319" s="1053" t="s">
        <v>1126</v>
      </c>
      <c r="C319" s="868"/>
      <c r="D319" s="1336">
        <v>11825.37</v>
      </c>
      <c r="E319" s="134">
        <f t="shared" si="4"/>
        <v>58933230.548056044</v>
      </c>
    </row>
    <row r="320" spans="1:6" x14ac:dyDescent="0.2">
      <c r="A320" s="211">
        <v>45821</v>
      </c>
      <c r="B320" s="191" t="s">
        <v>1053</v>
      </c>
      <c r="C320" s="868"/>
      <c r="D320" s="1297">
        <v>1000000</v>
      </c>
      <c r="E320" s="134">
        <f t="shared" si="4"/>
        <v>57933230.548056044</v>
      </c>
    </row>
    <row r="321" spans="1:7" x14ac:dyDescent="0.2">
      <c r="A321" s="211">
        <v>45821</v>
      </c>
      <c r="B321" s="191" t="s">
        <v>1053</v>
      </c>
      <c r="C321" s="868"/>
      <c r="D321" s="1297">
        <v>1000000</v>
      </c>
      <c r="E321" s="134">
        <f t="shared" si="4"/>
        <v>56933230.548056044</v>
      </c>
    </row>
    <row r="322" spans="1:7" x14ac:dyDescent="0.2">
      <c r="A322" s="211">
        <v>45822</v>
      </c>
      <c r="B322" s="1053" t="s">
        <v>1126</v>
      </c>
      <c r="C322" s="868"/>
      <c r="D322" s="1297">
        <v>42.6</v>
      </c>
      <c r="E322" s="134">
        <f t="shared" si="4"/>
        <v>56933187.948056042</v>
      </c>
    </row>
    <row r="323" spans="1:7" x14ac:dyDescent="0.2">
      <c r="A323" s="211">
        <v>45822</v>
      </c>
      <c r="B323" s="191" t="s">
        <v>1055</v>
      </c>
      <c r="C323" s="868"/>
      <c r="D323" s="1297">
        <v>10650</v>
      </c>
      <c r="E323" s="134">
        <f t="shared" si="4"/>
        <v>56922537.948056042</v>
      </c>
    </row>
    <row r="324" spans="1:7" x14ac:dyDescent="0.2">
      <c r="A324" s="211">
        <v>45823</v>
      </c>
      <c r="B324" s="1053" t="s">
        <v>1060</v>
      </c>
      <c r="C324" s="1336">
        <v>271814</v>
      </c>
      <c r="D324" s="868"/>
      <c r="E324" s="134">
        <f t="shared" si="4"/>
        <v>57194351.948056042</v>
      </c>
    </row>
    <row r="325" spans="1:7" x14ac:dyDescent="0.2">
      <c r="A325" s="211">
        <v>45823</v>
      </c>
      <c r="B325" s="191" t="s">
        <v>1061</v>
      </c>
      <c r="C325" s="1336">
        <v>20000000</v>
      </c>
      <c r="D325" s="868"/>
      <c r="E325" s="134">
        <f t="shared" si="4"/>
        <v>77194351.948056042</v>
      </c>
    </row>
    <row r="326" spans="1:7" x14ac:dyDescent="0.2">
      <c r="A326" s="211">
        <v>45824</v>
      </c>
      <c r="B326" s="906" t="s">
        <v>1065</v>
      </c>
      <c r="C326" s="868"/>
      <c r="D326" s="1336">
        <v>177347</v>
      </c>
      <c r="E326" s="134">
        <f t="shared" si="4"/>
        <v>77017004.948056042</v>
      </c>
    </row>
    <row r="327" spans="1:7" x14ac:dyDescent="0.2">
      <c r="A327" s="211">
        <v>45824</v>
      </c>
      <c r="B327" s="191" t="s">
        <v>1433</v>
      </c>
      <c r="C327" s="868"/>
      <c r="D327" s="1297">
        <v>136653</v>
      </c>
      <c r="E327" s="134">
        <f t="shared" si="4"/>
        <v>76880351.948056042</v>
      </c>
    </row>
    <row r="328" spans="1:7" x14ac:dyDescent="0.2">
      <c r="A328" s="211">
        <v>45824</v>
      </c>
      <c r="B328" s="191" t="s">
        <v>1072</v>
      </c>
      <c r="C328" s="868"/>
      <c r="D328" s="1336">
        <v>1026732</v>
      </c>
      <c r="E328" s="134">
        <f t="shared" si="4"/>
        <v>75853619.948056042</v>
      </c>
    </row>
    <row r="329" spans="1:7" x14ac:dyDescent="0.2">
      <c r="A329" s="211">
        <v>45824</v>
      </c>
      <c r="B329" s="1053" t="s">
        <v>1126</v>
      </c>
      <c r="C329" s="868"/>
      <c r="D329" s="1297">
        <v>5362.92</v>
      </c>
      <c r="E329" s="134">
        <f t="shared" si="4"/>
        <v>75848257.02805604</v>
      </c>
    </row>
    <row r="330" spans="1:7" x14ac:dyDescent="0.2">
      <c r="A330" s="211">
        <v>45825</v>
      </c>
      <c r="B330" s="1053" t="s">
        <v>1434</v>
      </c>
      <c r="C330" s="868"/>
      <c r="D330" s="1297">
        <v>226365</v>
      </c>
      <c r="E330" s="134">
        <f t="shared" si="4"/>
        <v>75621892.02805604</v>
      </c>
    </row>
    <row r="331" spans="1:7" x14ac:dyDescent="0.2">
      <c r="A331" s="211">
        <v>45825</v>
      </c>
      <c r="B331" s="1053" t="s">
        <v>1126</v>
      </c>
      <c r="C331" s="868"/>
      <c r="D331" s="1336">
        <f>905.46+8000</f>
        <v>8905.4599999999991</v>
      </c>
      <c r="E331" s="134">
        <f t="shared" si="4"/>
        <v>75612986.568056047</v>
      </c>
    </row>
    <row r="332" spans="1:7" x14ac:dyDescent="0.2">
      <c r="A332" s="211">
        <v>45826</v>
      </c>
      <c r="B332" s="191" t="s">
        <v>1053</v>
      </c>
      <c r="C332" s="868"/>
      <c r="D332" s="1297">
        <v>1000000</v>
      </c>
      <c r="E332" s="134">
        <f t="shared" si="4"/>
        <v>74612986.568056047</v>
      </c>
    </row>
    <row r="333" spans="1:7" x14ac:dyDescent="0.2">
      <c r="A333" s="211">
        <v>45826</v>
      </c>
      <c r="B333" s="191" t="s">
        <v>1053</v>
      </c>
      <c r="C333" s="868"/>
      <c r="D333" s="1297">
        <v>1000000</v>
      </c>
      <c r="E333" s="134">
        <f t="shared" si="4"/>
        <v>73612986.568056047</v>
      </c>
      <c r="G333" s="916">
        <f>+E333-73592362</f>
        <v>20624.568056046963</v>
      </c>
    </row>
    <row r="334" spans="1:7" x14ac:dyDescent="0.2">
      <c r="A334" s="211">
        <v>45827</v>
      </c>
      <c r="B334" s="191" t="s">
        <v>1087</v>
      </c>
      <c r="C334" s="1336">
        <v>1115000</v>
      </c>
      <c r="D334" s="1297"/>
      <c r="E334" s="134">
        <f t="shared" si="4"/>
        <v>74727986.568056047</v>
      </c>
    </row>
    <row r="335" spans="1:7" x14ac:dyDescent="0.2">
      <c r="A335" s="211">
        <v>45827</v>
      </c>
      <c r="B335" s="1053" t="s">
        <v>1440</v>
      </c>
      <c r="C335" s="868"/>
      <c r="D335" s="1297">
        <v>880000</v>
      </c>
      <c r="E335" s="134">
        <f t="shared" si="4"/>
        <v>73847986.568056047</v>
      </c>
    </row>
    <row r="336" spans="1:7" x14ac:dyDescent="0.2">
      <c r="A336" s="211">
        <v>45827</v>
      </c>
      <c r="B336" s="191" t="s">
        <v>1441</v>
      </c>
      <c r="C336" s="868"/>
      <c r="D336" s="1336">
        <v>1920454</v>
      </c>
      <c r="E336" s="134">
        <f t="shared" si="4"/>
        <v>71927532.568056047</v>
      </c>
    </row>
    <row r="337" spans="1:7" x14ac:dyDescent="0.2">
      <c r="A337" s="211">
        <v>45827</v>
      </c>
      <c r="B337" s="1053" t="s">
        <v>1126</v>
      </c>
      <c r="C337" s="868"/>
      <c r="D337" s="1336">
        <v>11201.81</v>
      </c>
      <c r="E337" s="134">
        <f t="shared" si="4"/>
        <v>71916330.758056045</v>
      </c>
    </row>
    <row r="338" spans="1:7" x14ac:dyDescent="0.2">
      <c r="A338" s="211">
        <v>45828</v>
      </c>
      <c r="B338" s="191" t="s">
        <v>1404</v>
      </c>
      <c r="C338" s="868"/>
      <c r="D338" s="1336">
        <v>220000</v>
      </c>
      <c r="E338" s="134">
        <f t="shared" si="4"/>
        <v>71696330.758056045</v>
      </c>
    </row>
    <row r="339" spans="1:7" x14ac:dyDescent="0.2">
      <c r="A339" s="211">
        <v>45828</v>
      </c>
      <c r="B339" s="191" t="s">
        <v>1403</v>
      </c>
      <c r="C339" s="868"/>
      <c r="D339" s="1297">
        <v>380000</v>
      </c>
      <c r="E339" s="134">
        <f t="shared" si="4"/>
        <v>71316330.758056045</v>
      </c>
    </row>
    <row r="340" spans="1:7" x14ac:dyDescent="0.2">
      <c r="A340" s="211">
        <v>45828</v>
      </c>
      <c r="B340" s="191" t="s">
        <v>1447</v>
      </c>
      <c r="C340" s="868"/>
      <c r="D340" s="1336">
        <v>19113000</v>
      </c>
      <c r="E340" s="134">
        <f t="shared" si="4"/>
        <v>52203330.758056045</v>
      </c>
    </row>
    <row r="341" spans="1:7" x14ac:dyDescent="0.2">
      <c r="A341" s="211">
        <v>45828</v>
      </c>
      <c r="B341" s="191" t="s">
        <v>1448</v>
      </c>
      <c r="C341" s="1336">
        <v>31971240</v>
      </c>
      <c r="D341" s="191"/>
      <c r="E341" s="134">
        <f t="shared" si="4"/>
        <v>84174570.758056045</v>
      </c>
    </row>
    <row r="342" spans="1:7" x14ac:dyDescent="0.2">
      <c r="A342" s="211">
        <v>45828</v>
      </c>
      <c r="B342" s="191" t="s">
        <v>1050</v>
      </c>
      <c r="C342" s="868"/>
      <c r="D342" s="1297">
        <v>50000</v>
      </c>
      <c r="E342" s="134">
        <f t="shared" si="4"/>
        <v>84124570.758056045</v>
      </c>
    </row>
    <row r="343" spans="1:7" x14ac:dyDescent="0.2">
      <c r="A343" s="211">
        <v>45828</v>
      </c>
      <c r="B343" s="1053" t="s">
        <v>1126</v>
      </c>
      <c r="C343" s="868"/>
      <c r="D343" s="1336">
        <v>79052</v>
      </c>
      <c r="E343" s="134">
        <f t="shared" si="4"/>
        <v>84045518.758056045</v>
      </c>
    </row>
    <row r="344" spans="1:7" x14ac:dyDescent="0.2">
      <c r="A344" s="211">
        <v>45832</v>
      </c>
      <c r="B344" s="1053" t="s">
        <v>1126</v>
      </c>
      <c r="C344" s="868"/>
      <c r="D344" s="1336">
        <v>36660</v>
      </c>
      <c r="E344" s="134">
        <f t="shared" si="4"/>
        <v>84008858.758056045</v>
      </c>
      <c r="G344" s="916">
        <f>+E344-83980718</f>
        <v>28140.758056044579</v>
      </c>
    </row>
    <row r="345" spans="1:7" x14ac:dyDescent="0.2">
      <c r="A345" s="211">
        <v>45832</v>
      </c>
      <c r="B345" s="191" t="s">
        <v>1449</v>
      </c>
      <c r="C345" s="191"/>
      <c r="D345" s="1297">
        <v>9165000</v>
      </c>
      <c r="E345" s="134">
        <f t="shared" si="4"/>
        <v>74843858.758056045</v>
      </c>
    </row>
    <row r="346" spans="1:7" x14ac:dyDescent="0.2">
      <c r="A346" s="211">
        <v>45835</v>
      </c>
      <c r="B346" s="191" t="s">
        <v>1403</v>
      </c>
      <c r="C346" s="868"/>
      <c r="D346" s="1297">
        <v>380000</v>
      </c>
      <c r="E346" s="134">
        <f t="shared" si="4"/>
        <v>74463858.758056045</v>
      </c>
    </row>
    <row r="347" spans="1:7" x14ac:dyDescent="0.2">
      <c r="A347" s="211">
        <v>45835</v>
      </c>
      <c r="B347" s="1053" t="s">
        <v>1126</v>
      </c>
      <c r="C347" s="868"/>
      <c r="D347" s="1336">
        <v>7248</v>
      </c>
      <c r="E347" s="134">
        <f t="shared" ref="E347:E411" si="5">E346+C347-D347</f>
        <v>74456610.758056045</v>
      </c>
    </row>
    <row r="348" spans="1:7" x14ac:dyDescent="0.2">
      <c r="A348" s="211">
        <v>45835</v>
      </c>
      <c r="B348" s="1053" t="s">
        <v>1450</v>
      </c>
      <c r="C348" s="868"/>
      <c r="D348" s="1336">
        <v>332152</v>
      </c>
      <c r="E348" s="134">
        <f t="shared" si="5"/>
        <v>74124458.758056045</v>
      </c>
    </row>
    <row r="349" spans="1:7" x14ac:dyDescent="0.2">
      <c r="A349" s="211">
        <v>45835</v>
      </c>
      <c r="B349" s="1053" t="s">
        <v>1068</v>
      </c>
      <c r="C349" s="868"/>
      <c r="D349" s="1336">
        <v>21000000</v>
      </c>
      <c r="E349" s="134">
        <f t="shared" si="5"/>
        <v>53124458.758056045</v>
      </c>
    </row>
    <row r="350" spans="1:7" x14ac:dyDescent="0.2">
      <c r="A350" s="211">
        <v>45835</v>
      </c>
      <c r="B350" s="191" t="s">
        <v>1404</v>
      </c>
      <c r="C350" s="868"/>
      <c r="D350" s="1336">
        <v>220000</v>
      </c>
      <c r="E350" s="134">
        <f t="shared" si="5"/>
        <v>52904458.758056045</v>
      </c>
    </row>
    <row r="351" spans="1:7" x14ac:dyDescent="0.2">
      <c r="A351" s="211">
        <v>45835</v>
      </c>
      <c r="B351" s="1053" t="s">
        <v>1451</v>
      </c>
      <c r="C351" s="868"/>
      <c r="D351" s="1297">
        <v>880000</v>
      </c>
      <c r="E351" s="134">
        <f t="shared" si="5"/>
        <v>52024458.758056045</v>
      </c>
    </row>
    <row r="352" spans="1:7" x14ac:dyDescent="0.2">
      <c r="A352" s="211">
        <v>45836</v>
      </c>
      <c r="B352" s="1053" t="s">
        <v>1126</v>
      </c>
      <c r="C352" s="868"/>
      <c r="D352" s="1297">
        <v>5254</v>
      </c>
      <c r="E352" s="134">
        <f t="shared" si="5"/>
        <v>52019204.758056045</v>
      </c>
    </row>
    <row r="353" spans="1:5" x14ac:dyDescent="0.2">
      <c r="A353" s="211">
        <v>45836</v>
      </c>
      <c r="B353" s="191" t="s">
        <v>1452</v>
      </c>
      <c r="C353" s="868"/>
      <c r="D353" s="1336">
        <v>600000</v>
      </c>
      <c r="E353" s="134">
        <f t="shared" si="5"/>
        <v>51419204.758056045</v>
      </c>
    </row>
    <row r="354" spans="1:5" x14ac:dyDescent="0.2">
      <c r="A354" s="211">
        <v>45836</v>
      </c>
      <c r="B354" s="1297" t="s">
        <v>1627</v>
      </c>
      <c r="C354" s="868"/>
      <c r="D354" s="1336">
        <v>713500</v>
      </c>
      <c r="E354" s="134">
        <f t="shared" si="5"/>
        <v>50705704.758056045</v>
      </c>
    </row>
    <row r="355" spans="1:5" x14ac:dyDescent="0.2">
      <c r="A355" s="211">
        <v>45839</v>
      </c>
      <c r="B355" s="191" t="s">
        <v>1453</v>
      </c>
      <c r="C355" s="1336">
        <v>12000000</v>
      </c>
      <c r="D355" s="868"/>
      <c r="E355" s="134">
        <f t="shared" si="5"/>
        <v>62705704.758056045</v>
      </c>
    </row>
    <row r="356" spans="1:5" x14ac:dyDescent="0.2">
      <c r="A356" s="211">
        <v>45839</v>
      </c>
      <c r="B356" s="1053" t="s">
        <v>1068</v>
      </c>
      <c r="C356" s="868"/>
      <c r="D356" s="1336">
        <v>12000000</v>
      </c>
      <c r="E356" s="134">
        <f t="shared" si="5"/>
        <v>50705704.758056045</v>
      </c>
    </row>
    <row r="357" spans="1:5" x14ac:dyDescent="0.2">
      <c r="A357" s="211">
        <v>45840</v>
      </c>
      <c r="B357" s="1053" t="s">
        <v>1450</v>
      </c>
      <c r="C357" s="868"/>
      <c r="D357" s="1297">
        <v>45900</v>
      </c>
      <c r="E357" s="134">
        <f t="shared" si="5"/>
        <v>50659804.758056045</v>
      </c>
    </row>
    <row r="358" spans="1:5" x14ac:dyDescent="0.2">
      <c r="A358" s="211">
        <v>45840</v>
      </c>
      <c r="B358" s="1053" t="s">
        <v>1058</v>
      </c>
      <c r="C358" s="868"/>
      <c r="D358" s="1297">
        <v>1392400</v>
      </c>
      <c r="E358" s="134">
        <f t="shared" si="5"/>
        <v>49267404.758056045</v>
      </c>
    </row>
    <row r="359" spans="1:5" x14ac:dyDescent="0.2">
      <c r="A359" s="211">
        <v>45840</v>
      </c>
      <c r="B359" s="1053" t="s">
        <v>1059</v>
      </c>
      <c r="C359" s="868"/>
      <c r="D359" s="1336">
        <v>940500</v>
      </c>
      <c r="E359" s="134">
        <f t="shared" si="5"/>
        <v>48326904.758056045</v>
      </c>
    </row>
    <row r="360" spans="1:5" x14ac:dyDescent="0.2">
      <c r="A360" s="211">
        <v>45840</v>
      </c>
      <c r="B360" s="191" t="s">
        <v>1454</v>
      </c>
      <c r="C360" s="868"/>
      <c r="D360" s="1336">
        <v>1269300</v>
      </c>
      <c r="E360" s="134">
        <f t="shared" si="5"/>
        <v>47057604.758056045</v>
      </c>
    </row>
    <row r="361" spans="1:5" x14ac:dyDescent="0.2">
      <c r="A361" s="211">
        <v>45840</v>
      </c>
      <c r="B361" s="1053" t="s">
        <v>1456</v>
      </c>
      <c r="C361" s="868"/>
      <c r="D361" s="1336">
        <v>1000000</v>
      </c>
      <c r="E361" s="134">
        <f t="shared" si="5"/>
        <v>46057604.758056045</v>
      </c>
    </row>
    <row r="362" spans="1:5" x14ac:dyDescent="0.2">
      <c r="A362" s="211">
        <v>45840</v>
      </c>
      <c r="B362" s="191" t="s">
        <v>1151</v>
      </c>
      <c r="C362" s="868"/>
      <c r="D362" s="1336">
        <v>59275</v>
      </c>
      <c r="E362" s="134">
        <f t="shared" si="5"/>
        <v>45998329.758056045</v>
      </c>
    </row>
    <row r="363" spans="1:5" x14ac:dyDescent="0.2">
      <c r="A363" s="211">
        <v>45840</v>
      </c>
      <c r="B363" s="1053" t="s">
        <v>1450</v>
      </c>
      <c r="C363" s="868"/>
      <c r="D363" s="1336">
        <v>139900</v>
      </c>
      <c r="E363" s="134">
        <f t="shared" si="5"/>
        <v>45858429.758056045</v>
      </c>
    </row>
    <row r="364" spans="1:5" x14ac:dyDescent="0.2">
      <c r="A364" s="211">
        <v>45842</v>
      </c>
      <c r="B364" s="191" t="s">
        <v>1449</v>
      </c>
      <c r="C364" s="868"/>
      <c r="D364" s="1336">
        <v>71000</v>
      </c>
      <c r="E364" s="134">
        <f t="shared" si="5"/>
        <v>45787429.758056045</v>
      </c>
    </row>
    <row r="365" spans="1:5" x14ac:dyDescent="0.2">
      <c r="A365" s="211">
        <v>45842</v>
      </c>
      <c r="B365" s="191" t="s">
        <v>1404</v>
      </c>
      <c r="C365" s="868"/>
      <c r="D365" s="1336">
        <v>220000</v>
      </c>
      <c r="E365" s="134">
        <f t="shared" si="5"/>
        <v>45567429.758056045</v>
      </c>
    </row>
    <row r="366" spans="1:5" x14ac:dyDescent="0.2">
      <c r="A366" s="211">
        <v>45842</v>
      </c>
      <c r="B366" s="191" t="s">
        <v>1403</v>
      </c>
      <c r="C366" s="868"/>
      <c r="D366" s="1297">
        <v>380000</v>
      </c>
      <c r="E366" s="134">
        <f t="shared" si="5"/>
        <v>45187429.758056045</v>
      </c>
    </row>
    <row r="367" spans="1:5" x14ac:dyDescent="0.2">
      <c r="A367" s="211">
        <v>45843</v>
      </c>
      <c r="B367" s="191" t="s">
        <v>1053</v>
      </c>
      <c r="C367" s="868"/>
      <c r="D367" s="1336">
        <v>1000000</v>
      </c>
      <c r="E367" s="134">
        <f t="shared" si="5"/>
        <v>44187429.758056045</v>
      </c>
    </row>
    <row r="368" spans="1:5" x14ac:dyDescent="0.2">
      <c r="A368" s="211">
        <v>45843</v>
      </c>
      <c r="B368" s="191" t="s">
        <v>1053</v>
      </c>
      <c r="C368" s="868"/>
      <c r="D368" s="1336">
        <v>500000</v>
      </c>
      <c r="E368" s="134">
        <f t="shared" si="5"/>
        <v>43687429.758056045</v>
      </c>
    </row>
    <row r="369" spans="1:5" x14ac:dyDescent="0.2">
      <c r="A369" s="211">
        <v>45845</v>
      </c>
      <c r="B369" s="191" t="s">
        <v>1457</v>
      </c>
      <c r="C369" s="868"/>
      <c r="D369" s="1297">
        <v>459999</v>
      </c>
      <c r="E369" s="134">
        <f t="shared" si="5"/>
        <v>43227430.758056045</v>
      </c>
    </row>
    <row r="370" spans="1:5" x14ac:dyDescent="0.2">
      <c r="A370" s="211">
        <v>45846</v>
      </c>
      <c r="B370" s="191" t="s">
        <v>1087</v>
      </c>
      <c r="C370" s="1297">
        <v>3000000</v>
      </c>
      <c r="D370" s="191"/>
      <c r="E370" s="134">
        <f t="shared" si="5"/>
        <v>46227430.758056045</v>
      </c>
    </row>
    <row r="371" spans="1:5" x14ac:dyDescent="0.2">
      <c r="A371" s="211">
        <v>45846</v>
      </c>
      <c r="B371" s="191" t="s">
        <v>1087</v>
      </c>
      <c r="C371" s="1297">
        <v>1500000</v>
      </c>
      <c r="D371" s="191"/>
      <c r="E371" s="134">
        <f t="shared" si="5"/>
        <v>47727430.758056045</v>
      </c>
    </row>
    <row r="372" spans="1:5" x14ac:dyDescent="0.2">
      <c r="A372" s="211">
        <v>45847</v>
      </c>
      <c r="B372" s="191" t="s">
        <v>1458</v>
      </c>
      <c r="C372" s="868"/>
      <c r="D372" s="1297">
        <v>831000</v>
      </c>
      <c r="E372" s="134">
        <f t="shared" si="5"/>
        <v>46896430.758056045</v>
      </c>
    </row>
    <row r="373" spans="1:5" x14ac:dyDescent="0.2">
      <c r="A373" s="211">
        <v>45847</v>
      </c>
      <c r="B373" s="191" t="s">
        <v>1459</v>
      </c>
      <c r="C373" s="868"/>
      <c r="D373" s="1336">
        <v>273790</v>
      </c>
      <c r="E373" s="134">
        <f t="shared" si="5"/>
        <v>46622640.758056045</v>
      </c>
    </row>
    <row r="374" spans="1:5" x14ac:dyDescent="0.2">
      <c r="A374" s="211">
        <v>45847</v>
      </c>
      <c r="B374" s="191" t="s">
        <v>1455</v>
      </c>
      <c r="C374" s="868"/>
      <c r="D374" s="1297">
        <v>400800</v>
      </c>
      <c r="E374" s="134">
        <f t="shared" si="5"/>
        <v>46221840.758056045</v>
      </c>
    </row>
    <row r="375" spans="1:5" x14ac:dyDescent="0.2">
      <c r="A375" s="211">
        <v>45848</v>
      </c>
      <c r="B375" s="191" t="s">
        <v>1053</v>
      </c>
      <c r="C375" s="868"/>
      <c r="D375" s="1336">
        <v>1000000</v>
      </c>
      <c r="E375" s="134">
        <f t="shared" si="5"/>
        <v>45221840.758056045</v>
      </c>
    </row>
    <row r="376" spans="1:5" x14ac:dyDescent="0.2">
      <c r="A376" s="211">
        <v>45848</v>
      </c>
      <c r="B376" s="191" t="s">
        <v>1053</v>
      </c>
      <c r="C376" s="868"/>
      <c r="D376" s="1336">
        <v>1000000</v>
      </c>
      <c r="E376" s="134">
        <f t="shared" si="5"/>
        <v>44221840.758056045</v>
      </c>
    </row>
    <row r="377" spans="1:5" x14ac:dyDescent="0.2">
      <c r="A377" s="211">
        <v>45848</v>
      </c>
      <c r="B377" s="1053" t="s">
        <v>1450</v>
      </c>
      <c r="C377" s="868"/>
      <c r="D377" s="1297">
        <v>136651</v>
      </c>
      <c r="E377" s="134">
        <f t="shared" si="5"/>
        <v>44085189.758056045</v>
      </c>
    </row>
    <row r="378" spans="1:5" x14ac:dyDescent="0.2">
      <c r="A378" s="211">
        <v>45848</v>
      </c>
      <c r="B378" s="1053" t="s">
        <v>1450</v>
      </c>
      <c r="C378" s="868"/>
      <c r="D378" s="1336">
        <v>156816</v>
      </c>
      <c r="E378" s="134">
        <f t="shared" si="5"/>
        <v>43928373.758056045</v>
      </c>
    </row>
    <row r="379" spans="1:5" x14ac:dyDescent="0.2">
      <c r="A379" s="211">
        <v>45848</v>
      </c>
      <c r="B379" s="191" t="s">
        <v>1458</v>
      </c>
      <c r="C379" s="868"/>
      <c r="D379" s="1336">
        <v>2325000</v>
      </c>
      <c r="E379" s="134">
        <f t="shared" si="5"/>
        <v>41603373.758056045</v>
      </c>
    </row>
    <row r="380" spans="1:5" x14ac:dyDescent="0.2">
      <c r="A380" s="211">
        <v>45848</v>
      </c>
      <c r="B380" s="191" t="s">
        <v>1458</v>
      </c>
      <c r="C380" s="868"/>
      <c r="D380" s="1336">
        <v>147000</v>
      </c>
      <c r="E380" s="134">
        <f t="shared" si="5"/>
        <v>41456373.758056045</v>
      </c>
    </row>
    <row r="381" spans="1:5" x14ac:dyDescent="0.2">
      <c r="A381" s="211">
        <v>45848</v>
      </c>
      <c r="B381" s="191" t="s">
        <v>1458</v>
      </c>
      <c r="C381" s="868"/>
      <c r="D381" s="1336">
        <v>1344000</v>
      </c>
      <c r="E381" s="134">
        <f t="shared" si="5"/>
        <v>40112373.758056045</v>
      </c>
    </row>
    <row r="382" spans="1:5" x14ac:dyDescent="0.2">
      <c r="A382" s="211">
        <v>45848</v>
      </c>
      <c r="B382" s="1053" t="s">
        <v>1460</v>
      </c>
      <c r="C382" s="868"/>
      <c r="D382" s="1336">
        <v>163512</v>
      </c>
      <c r="E382" s="134">
        <f t="shared" si="5"/>
        <v>39948861.758056045</v>
      </c>
    </row>
    <row r="383" spans="1:5" x14ac:dyDescent="0.2">
      <c r="A383" s="211">
        <v>45848</v>
      </c>
      <c r="B383" s="1053" t="s">
        <v>1126</v>
      </c>
      <c r="C383" s="868"/>
      <c r="D383" s="1336">
        <v>8113.44</v>
      </c>
      <c r="E383" s="134">
        <f t="shared" si="5"/>
        <v>39940748.318056047</v>
      </c>
    </row>
    <row r="384" spans="1:5" x14ac:dyDescent="0.2">
      <c r="A384" s="211">
        <v>45848</v>
      </c>
      <c r="B384" s="191" t="s">
        <v>1403</v>
      </c>
      <c r="C384" s="868"/>
      <c r="D384" s="1297">
        <v>380000</v>
      </c>
      <c r="E384" s="134">
        <f t="shared" si="5"/>
        <v>39560748.318056047</v>
      </c>
    </row>
    <row r="385" spans="1:5" x14ac:dyDescent="0.2">
      <c r="A385" s="211">
        <v>45848</v>
      </c>
      <c r="B385" s="191" t="s">
        <v>1449</v>
      </c>
      <c r="C385" s="868"/>
      <c r="D385" s="1336">
        <v>690800</v>
      </c>
      <c r="E385" s="134">
        <f t="shared" si="5"/>
        <v>38869948.318056047</v>
      </c>
    </row>
    <row r="386" spans="1:5" x14ac:dyDescent="0.2">
      <c r="A386" s="211">
        <v>45848</v>
      </c>
      <c r="B386" s="191" t="s">
        <v>1404</v>
      </c>
      <c r="C386" s="868"/>
      <c r="D386" s="1336">
        <v>220000</v>
      </c>
      <c r="E386" s="134">
        <f t="shared" si="5"/>
        <v>38649948.318056047</v>
      </c>
    </row>
    <row r="387" spans="1:5" x14ac:dyDescent="0.2">
      <c r="A387" s="211">
        <v>45848</v>
      </c>
      <c r="B387" s="1053" t="s">
        <v>1461</v>
      </c>
      <c r="C387" s="868"/>
      <c r="D387" s="1297">
        <v>880000</v>
      </c>
      <c r="E387" s="134">
        <f t="shared" si="5"/>
        <v>37769948.318056047</v>
      </c>
    </row>
    <row r="388" spans="1:5" x14ac:dyDescent="0.2">
      <c r="A388" s="211">
        <v>45848</v>
      </c>
      <c r="B388" s="191" t="s">
        <v>1383</v>
      </c>
      <c r="C388" s="868"/>
      <c r="D388" s="1336">
        <v>1960522</v>
      </c>
      <c r="E388" s="134">
        <f t="shared" si="5"/>
        <v>35809426.318056047</v>
      </c>
    </row>
    <row r="389" spans="1:5" x14ac:dyDescent="0.2">
      <c r="A389" s="211">
        <v>45848</v>
      </c>
      <c r="B389" s="1053" t="s">
        <v>1450</v>
      </c>
      <c r="C389" s="868"/>
      <c r="D389" s="1336">
        <v>70195</v>
      </c>
      <c r="E389" s="134">
        <f t="shared" si="5"/>
        <v>35739231.318056047</v>
      </c>
    </row>
    <row r="390" spans="1:5" x14ac:dyDescent="0.2">
      <c r="A390" s="211">
        <v>45849</v>
      </c>
      <c r="B390" s="1053" t="s">
        <v>1126</v>
      </c>
      <c r="C390" s="868"/>
      <c r="D390" s="1336">
        <v>2242.6</v>
      </c>
      <c r="E390" s="134">
        <f t="shared" si="5"/>
        <v>35736988.718056045</v>
      </c>
    </row>
    <row r="391" spans="1:5" x14ac:dyDescent="0.2">
      <c r="A391" s="211">
        <v>45849</v>
      </c>
      <c r="B391" s="191" t="s">
        <v>1055</v>
      </c>
      <c r="C391" s="868"/>
      <c r="D391" s="1297">
        <v>10650</v>
      </c>
      <c r="E391" s="134">
        <f t="shared" si="5"/>
        <v>35726338.718056045</v>
      </c>
    </row>
    <row r="392" spans="1:5" x14ac:dyDescent="0.2">
      <c r="A392" s="211">
        <v>45849</v>
      </c>
      <c r="B392" s="191" t="s">
        <v>1051</v>
      </c>
      <c r="C392" s="868"/>
      <c r="D392" s="1336">
        <v>550000</v>
      </c>
      <c r="E392" s="134">
        <f t="shared" si="5"/>
        <v>35176338.718056045</v>
      </c>
    </row>
    <row r="393" spans="1:5" x14ac:dyDescent="0.2">
      <c r="A393" s="211">
        <v>45853</v>
      </c>
      <c r="B393" s="191" t="s">
        <v>1050</v>
      </c>
      <c r="C393" s="868"/>
      <c r="D393" s="1297">
        <v>50000</v>
      </c>
      <c r="E393" s="134">
        <f t="shared" si="5"/>
        <v>35126338.718056045</v>
      </c>
    </row>
    <row r="394" spans="1:5" x14ac:dyDescent="0.2">
      <c r="A394" s="211">
        <v>45853</v>
      </c>
      <c r="B394" s="191" t="s">
        <v>1053</v>
      </c>
      <c r="C394" s="868"/>
      <c r="D394" s="1336">
        <v>300000</v>
      </c>
      <c r="E394" s="134">
        <f t="shared" si="5"/>
        <v>34826338.718056045</v>
      </c>
    </row>
    <row r="395" spans="1:5" x14ac:dyDescent="0.2">
      <c r="A395" s="211">
        <v>45853</v>
      </c>
      <c r="B395" s="191" t="s">
        <v>1462</v>
      </c>
      <c r="C395" s="868"/>
      <c r="D395" s="1336">
        <v>490000</v>
      </c>
      <c r="E395" s="134">
        <f t="shared" si="5"/>
        <v>34336338.718056045</v>
      </c>
    </row>
    <row r="396" spans="1:5" x14ac:dyDescent="0.2">
      <c r="A396" s="211">
        <v>45853</v>
      </c>
      <c r="B396" s="191" t="s">
        <v>1061</v>
      </c>
      <c r="C396" s="1336">
        <v>21500000</v>
      </c>
      <c r="D396" s="191"/>
      <c r="E396" s="134">
        <f t="shared" si="5"/>
        <v>55836338.718056045</v>
      </c>
    </row>
    <row r="397" spans="1:5" x14ac:dyDescent="0.2">
      <c r="A397" s="211">
        <v>45853</v>
      </c>
      <c r="B397" s="1053" t="s">
        <v>1060</v>
      </c>
      <c r="C397" s="1336">
        <v>451912.8</v>
      </c>
      <c r="D397" s="191"/>
      <c r="E397" s="134">
        <f t="shared" si="5"/>
        <v>56288251.518056042</v>
      </c>
    </row>
    <row r="398" spans="1:5" x14ac:dyDescent="0.2">
      <c r="A398" s="211">
        <v>45853</v>
      </c>
      <c r="B398" s="1053" t="s">
        <v>1126</v>
      </c>
      <c r="C398" s="868"/>
      <c r="D398" s="1336">
        <v>3360</v>
      </c>
      <c r="E398" s="134">
        <f t="shared" si="5"/>
        <v>56284891.518056042</v>
      </c>
    </row>
    <row r="399" spans="1:5" x14ac:dyDescent="0.2">
      <c r="A399" s="211">
        <v>45854</v>
      </c>
      <c r="B399" s="191" t="s">
        <v>1072</v>
      </c>
      <c r="C399" s="868"/>
      <c r="D399" s="1336">
        <v>1026732</v>
      </c>
      <c r="E399" s="134">
        <f t="shared" si="5"/>
        <v>55258159.518056042</v>
      </c>
    </row>
    <row r="400" spans="1:5" x14ac:dyDescent="0.2">
      <c r="A400" s="211">
        <v>45854</v>
      </c>
      <c r="B400" s="1053" t="s">
        <v>1126</v>
      </c>
      <c r="C400" s="868"/>
      <c r="D400" s="1336">
        <v>8106.92</v>
      </c>
      <c r="E400" s="134">
        <f t="shared" si="5"/>
        <v>55250052.598056041</v>
      </c>
    </row>
    <row r="401" spans="1:5" x14ac:dyDescent="0.2">
      <c r="A401" s="211">
        <v>45854</v>
      </c>
      <c r="B401" s="191" t="s">
        <v>1053</v>
      </c>
      <c r="C401" s="868"/>
      <c r="D401" s="1336">
        <v>1000000</v>
      </c>
      <c r="E401" s="134">
        <f t="shared" si="5"/>
        <v>54250052.598056041</v>
      </c>
    </row>
    <row r="402" spans="1:5" x14ac:dyDescent="0.2">
      <c r="A402" s="211">
        <v>45855</v>
      </c>
      <c r="B402" s="191" t="s">
        <v>1403</v>
      </c>
      <c r="C402" s="868"/>
      <c r="D402" s="1297">
        <v>380000</v>
      </c>
      <c r="E402" s="134">
        <f t="shared" si="5"/>
        <v>53870052.598056041</v>
      </c>
    </row>
    <row r="403" spans="1:5" x14ac:dyDescent="0.2">
      <c r="A403" s="211">
        <v>45855</v>
      </c>
      <c r="B403" s="191" t="s">
        <v>1463</v>
      </c>
      <c r="C403" s="868"/>
      <c r="D403" s="1297">
        <v>220000</v>
      </c>
      <c r="E403" s="134">
        <f t="shared" si="5"/>
        <v>53650052.598056041</v>
      </c>
    </row>
    <row r="404" spans="1:5" x14ac:dyDescent="0.2">
      <c r="A404" s="211">
        <v>45855</v>
      </c>
      <c r="B404" s="191" t="s">
        <v>1151</v>
      </c>
      <c r="C404" s="868"/>
      <c r="D404" s="1336">
        <v>59125</v>
      </c>
      <c r="E404" s="134">
        <f t="shared" si="5"/>
        <v>53590927.598056041</v>
      </c>
    </row>
    <row r="405" spans="1:5" x14ac:dyDescent="0.2">
      <c r="A405" s="211">
        <v>45855</v>
      </c>
      <c r="B405" s="191" t="s">
        <v>1464</v>
      </c>
      <c r="C405" s="868"/>
      <c r="D405" s="1336">
        <v>22000</v>
      </c>
      <c r="E405" s="134">
        <f t="shared" si="5"/>
        <v>53568927.598056041</v>
      </c>
    </row>
    <row r="406" spans="1:5" x14ac:dyDescent="0.2">
      <c r="A406" s="211">
        <v>45855</v>
      </c>
      <c r="B406" s="191" t="s">
        <v>1458</v>
      </c>
      <c r="C406" s="868"/>
      <c r="D406" s="1336">
        <v>48000</v>
      </c>
      <c r="E406" s="134">
        <f t="shared" si="5"/>
        <v>53520927.598056041</v>
      </c>
    </row>
    <row r="407" spans="1:5" x14ac:dyDescent="0.2">
      <c r="A407" s="211">
        <v>45855</v>
      </c>
      <c r="B407" s="1053" t="s">
        <v>1460</v>
      </c>
      <c r="C407" s="868"/>
      <c r="D407" s="1297">
        <v>463796</v>
      </c>
      <c r="E407" s="134">
        <f t="shared" si="5"/>
        <v>53057131.598056041</v>
      </c>
    </row>
    <row r="408" spans="1:5" x14ac:dyDescent="0.2">
      <c r="A408" s="211">
        <v>45855</v>
      </c>
      <c r="B408" s="1053" t="s">
        <v>1126</v>
      </c>
      <c r="C408" s="868"/>
      <c r="D408" s="1297">
        <v>9045.68</v>
      </c>
      <c r="E408" s="134">
        <f t="shared" si="5"/>
        <v>53048085.918056041</v>
      </c>
    </row>
    <row r="409" spans="1:5" x14ac:dyDescent="0.2">
      <c r="A409" s="211">
        <v>45855</v>
      </c>
      <c r="B409" s="191" t="s">
        <v>1465</v>
      </c>
      <c r="C409" s="868"/>
      <c r="D409" s="1297">
        <v>180000</v>
      </c>
      <c r="E409" s="134">
        <f t="shared" si="5"/>
        <v>52868085.918056041</v>
      </c>
    </row>
    <row r="410" spans="1:5" x14ac:dyDescent="0.2">
      <c r="A410" s="211">
        <v>45855</v>
      </c>
      <c r="B410" s="1053" t="s">
        <v>1466</v>
      </c>
      <c r="C410" s="868"/>
      <c r="D410" s="1297">
        <v>880000</v>
      </c>
      <c r="E410" s="134">
        <f t="shared" si="5"/>
        <v>51988085.918056041</v>
      </c>
    </row>
    <row r="411" spans="1:5" x14ac:dyDescent="0.2">
      <c r="A411" s="211">
        <v>45855</v>
      </c>
      <c r="B411" s="191" t="s">
        <v>1455</v>
      </c>
      <c r="C411" s="868"/>
      <c r="D411" s="1336">
        <v>8500</v>
      </c>
      <c r="E411" s="134">
        <f t="shared" si="5"/>
        <v>51979585.918056041</v>
      </c>
    </row>
    <row r="412" spans="1:5" x14ac:dyDescent="0.2">
      <c r="A412" s="211">
        <v>45856</v>
      </c>
      <c r="B412" s="1053" t="s">
        <v>1126</v>
      </c>
      <c r="C412" s="868"/>
      <c r="D412" s="1336">
        <v>2000</v>
      </c>
      <c r="E412" s="134">
        <f t="shared" ref="E412:E475" si="6">E411+C412-D412</f>
        <v>51977585.918056041</v>
      </c>
    </row>
    <row r="413" spans="1:5" x14ac:dyDescent="0.2">
      <c r="A413" s="211">
        <v>45856</v>
      </c>
      <c r="B413" s="191" t="s">
        <v>1053</v>
      </c>
      <c r="C413" s="868"/>
      <c r="D413" s="1336">
        <v>500000</v>
      </c>
      <c r="E413" s="134">
        <f t="shared" si="6"/>
        <v>51477585.918056041</v>
      </c>
    </row>
    <row r="414" spans="1:5" x14ac:dyDescent="0.2">
      <c r="A414" s="211">
        <v>45857</v>
      </c>
      <c r="B414" s="191" t="s">
        <v>1449</v>
      </c>
      <c r="C414" s="868"/>
      <c r="D414" s="1336">
        <v>1287000</v>
      </c>
      <c r="E414" s="134">
        <f t="shared" si="6"/>
        <v>50190585.918056041</v>
      </c>
    </row>
    <row r="415" spans="1:5" x14ac:dyDescent="0.2">
      <c r="A415" s="211">
        <v>45857</v>
      </c>
      <c r="B415" s="1053" t="s">
        <v>1126</v>
      </c>
      <c r="C415" s="868"/>
      <c r="D415" s="1336">
        <v>5148</v>
      </c>
      <c r="E415" s="134">
        <f t="shared" si="6"/>
        <v>50185437.918056041</v>
      </c>
    </row>
    <row r="416" spans="1:5" x14ac:dyDescent="0.2">
      <c r="A416" s="211">
        <v>45860</v>
      </c>
      <c r="B416" s="191" t="s">
        <v>1458</v>
      </c>
      <c r="C416" s="868"/>
      <c r="D416" s="1336">
        <v>55000</v>
      </c>
      <c r="E416" s="134">
        <f t="shared" si="6"/>
        <v>50130437.918056041</v>
      </c>
    </row>
    <row r="417" spans="1:5" x14ac:dyDescent="0.2">
      <c r="A417" s="211">
        <v>45860</v>
      </c>
      <c r="B417" s="191" t="s">
        <v>1458</v>
      </c>
      <c r="C417" s="868"/>
      <c r="D417" s="1297">
        <v>44000</v>
      </c>
      <c r="E417" s="134">
        <f t="shared" si="6"/>
        <v>50086437.918056041</v>
      </c>
    </row>
    <row r="418" spans="1:5" x14ac:dyDescent="0.2">
      <c r="A418" s="211">
        <v>45860</v>
      </c>
      <c r="B418" s="1053" t="s">
        <v>1126</v>
      </c>
      <c r="C418" s="868"/>
      <c r="D418" s="1336">
        <v>396</v>
      </c>
      <c r="E418" s="134">
        <f t="shared" si="6"/>
        <v>50086041.918056041</v>
      </c>
    </row>
    <row r="419" spans="1:5" x14ac:dyDescent="0.2">
      <c r="A419" s="211">
        <v>45861</v>
      </c>
      <c r="B419" s="191" t="s">
        <v>1467</v>
      </c>
      <c r="C419" s="868"/>
      <c r="D419" s="1336">
        <v>87600</v>
      </c>
      <c r="E419" s="134">
        <f t="shared" si="6"/>
        <v>49998441.918056041</v>
      </c>
    </row>
    <row r="420" spans="1:5" x14ac:dyDescent="0.2">
      <c r="A420" s="211">
        <v>45861</v>
      </c>
      <c r="B420" s="191" t="s">
        <v>1468</v>
      </c>
      <c r="C420" s="868"/>
      <c r="D420" s="1336">
        <v>4843400</v>
      </c>
      <c r="E420" s="134">
        <f t="shared" si="6"/>
        <v>45155041.918056041</v>
      </c>
    </row>
    <row r="421" spans="1:5" x14ac:dyDescent="0.2">
      <c r="A421" s="211">
        <v>45861</v>
      </c>
      <c r="B421" s="1053" t="s">
        <v>1126</v>
      </c>
      <c r="C421" s="868"/>
      <c r="D421" s="1336">
        <v>23244</v>
      </c>
      <c r="E421" s="134">
        <f t="shared" si="6"/>
        <v>45131797.918056041</v>
      </c>
    </row>
    <row r="422" spans="1:5" x14ac:dyDescent="0.2">
      <c r="A422" s="211">
        <v>45861</v>
      </c>
      <c r="B422" s="1053" t="s">
        <v>1469</v>
      </c>
      <c r="C422" s="868"/>
      <c r="D422" s="1297">
        <v>880000</v>
      </c>
      <c r="E422" s="134">
        <f t="shared" si="6"/>
        <v>44251797.918056041</v>
      </c>
    </row>
    <row r="423" spans="1:5" x14ac:dyDescent="0.2">
      <c r="A423" s="211">
        <v>45863</v>
      </c>
      <c r="B423" s="1053" t="s">
        <v>1126</v>
      </c>
      <c r="C423" s="868"/>
      <c r="D423" s="1336">
        <v>9273.7999999999993</v>
      </c>
      <c r="E423" s="134">
        <f t="shared" si="6"/>
        <v>44242524.118056044</v>
      </c>
    </row>
    <row r="424" spans="1:5" x14ac:dyDescent="0.2">
      <c r="A424" s="211">
        <v>45863</v>
      </c>
      <c r="B424" s="191" t="s">
        <v>1470</v>
      </c>
      <c r="C424" s="868"/>
      <c r="D424" s="1336">
        <v>418450</v>
      </c>
      <c r="E424" s="134">
        <f t="shared" si="6"/>
        <v>43824074.118056044</v>
      </c>
    </row>
    <row r="425" spans="1:5" x14ac:dyDescent="0.2">
      <c r="A425" s="211">
        <v>45863</v>
      </c>
      <c r="B425" s="191" t="s">
        <v>1053</v>
      </c>
      <c r="C425" s="868"/>
      <c r="D425" s="1336">
        <v>1000000</v>
      </c>
      <c r="E425" s="134">
        <f t="shared" si="6"/>
        <v>42824074.118056044</v>
      </c>
    </row>
    <row r="426" spans="1:5" x14ac:dyDescent="0.2">
      <c r="A426" s="211">
        <v>45863</v>
      </c>
      <c r="B426" s="191" t="s">
        <v>1403</v>
      </c>
      <c r="C426" s="868"/>
      <c r="D426" s="1297">
        <v>380000</v>
      </c>
      <c r="E426" s="134">
        <f t="shared" si="6"/>
        <v>42444074.118056044</v>
      </c>
    </row>
    <row r="427" spans="1:5" x14ac:dyDescent="0.2">
      <c r="A427" s="211">
        <v>45863</v>
      </c>
      <c r="B427" s="191" t="s">
        <v>1463</v>
      </c>
      <c r="C427" s="868"/>
      <c r="D427" s="1297">
        <v>220000</v>
      </c>
      <c r="E427" s="134">
        <f t="shared" si="6"/>
        <v>42224074.118056044</v>
      </c>
    </row>
    <row r="428" spans="1:5" x14ac:dyDescent="0.2">
      <c r="A428" s="211">
        <v>45863</v>
      </c>
      <c r="B428" s="1053" t="s">
        <v>1471</v>
      </c>
      <c r="C428" s="868"/>
      <c r="D428" s="1336">
        <v>300000</v>
      </c>
      <c r="E428" s="134">
        <f t="shared" si="6"/>
        <v>41924074.118056044</v>
      </c>
    </row>
    <row r="429" spans="1:5" x14ac:dyDescent="0.2">
      <c r="A429" s="211">
        <v>45867</v>
      </c>
      <c r="B429" s="191" t="s">
        <v>1053</v>
      </c>
      <c r="C429" s="868"/>
      <c r="D429" s="1336">
        <v>500000</v>
      </c>
      <c r="E429" s="134">
        <f t="shared" si="6"/>
        <v>41424074.118056044</v>
      </c>
    </row>
    <row r="430" spans="1:5" x14ac:dyDescent="0.2">
      <c r="A430" s="211">
        <v>45867</v>
      </c>
      <c r="B430" s="1053" t="s">
        <v>1126</v>
      </c>
      <c r="C430" s="868"/>
      <c r="D430" s="1336">
        <v>2000</v>
      </c>
      <c r="E430" s="134">
        <f t="shared" si="6"/>
        <v>41422074.118056044</v>
      </c>
    </row>
    <row r="431" spans="1:5" x14ac:dyDescent="0.2">
      <c r="A431" s="211">
        <v>45868</v>
      </c>
      <c r="B431" s="1053" t="s">
        <v>1472</v>
      </c>
      <c r="C431" s="868"/>
      <c r="D431" s="1336">
        <v>1030000</v>
      </c>
      <c r="E431" s="134">
        <f t="shared" si="6"/>
        <v>40392074.118056044</v>
      </c>
    </row>
    <row r="432" spans="1:5" x14ac:dyDescent="0.2">
      <c r="A432" s="211">
        <v>45868</v>
      </c>
      <c r="B432" s="1053" t="s">
        <v>1126</v>
      </c>
      <c r="C432" s="868"/>
      <c r="D432" s="1336">
        <v>4120</v>
      </c>
      <c r="E432" s="134">
        <f t="shared" si="6"/>
        <v>40387954.118056044</v>
      </c>
    </row>
    <row r="433" spans="1:5" x14ac:dyDescent="0.2">
      <c r="A433" s="211">
        <v>45870</v>
      </c>
      <c r="B433" s="191" t="s">
        <v>1473</v>
      </c>
      <c r="C433" s="868"/>
      <c r="D433" s="1336">
        <v>700000</v>
      </c>
      <c r="E433" s="134">
        <f t="shared" si="6"/>
        <v>39687954.118056044</v>
      </c>
    </row>
    <row r="434" spans="1:5" x14ac:dyDescent="0.2">
      <c r="A434" s="211">
        <v>45870</v>
      </c>
      <c r="B434" s="191" t="s">
        <v>1053</v>
      </c>
      <c r="C434" s="868"/>
      <c r="D434" s="1336">
        <v>1000000</v>
      </c>
      <c r="E434" s="134">
        <f t="shared" si="6"/>
        <v>38687954.118056044</v>
      </c>
    </row>
    <row r="435" spans="1:5" x14ac:dyDescent="0.2">
      <c r="A435" s="211">
        <v>45870</v>
      </c>
      <c r="B435" s="191" t="s">
        <v>1053</v>
      </c>
      <c r="C435" s="868"/>
      <c r="D435" s="1336">
        <v>1000000</v>
      </c>
      <c r="E435" s="134">
        <f t="shared" si="6"/>
        <v>37687954.118056044</v>
      </c>
    </row>
    <row r="436" spans="1:5" x14ac:dyDescent="0.2">
      <c r="A436" s="211">
        <v>45870</v>
      </c>
      <c r="B436" s="191" t="s">
        <v>1463</v>
      </c>
      <c r="C436" s="868"/>
      <c r="D436" s="1297">
        <v>220000</v>
      </c>
      <c r="E436" s="134">
        <f t="shared" si="6"/>
        <v>37467954.118056044</v>
      </c>
    </row>
    <row r="437" spans="1:5" x14ac:dyDescent="0.2">
      <c r="A437" s="211">
        <v>45871</v>
      </c>
      <c r="B437" s="191" t="s">
        <v>1575</v>
      </c>
      <c r="C437" s="1336">
        <v>1112000</v>
      </c>
      <c r="D437" s="868"/>
      <c r="E437" s="134">
        <f t="shared" si="6"/>
        <v>38579954.118056044</v>
      </c>
    </row>
    <row r="438" spans="1:5" x14ac:dyDescent="0.2">
      <c r="A438" s="211">
        <v>45873</v>
      </c>
      <c r="B438" s="191" t="s">
        <v>1050</v>
      </c>
      <c r="C438" s="868"/>
      <c r="D438" s="1297">
        <v>50000</v>
      </c>
      <c r="E438" s="134">
        <f t="shared" si="6"/>
        <v>38529954.118056044</v>
      </c>
    </row>
    <row r="439" spans="1:5" x14ac:dyDescent="0.2">
      <c r="A439" s="211">
        <v>45873</v>
      </c>
      <c r="B439" s="191" t="s">
        <v>1053</v>
      </c>
      <c r="C439" s="868"/>
      <c r="D439" s="1336">
        <v>300000</v>
      </c>
      <c r="E439" s="134">
        <f t="shared" si="6"/>
        <v>38229954.118056044</v>
      </c>
    </row>
    <row r="440" spans="1:5" x14ac:dyDescent="0.2">
      <c r="A440" s="211">
        <v>45873</v>
      </c>
      <c r="B440" s="191" t="s">
        <v>1449</v>
      </c>
      <c r="C440" s="868"/>
      <c r="D440" s="1297">
        <v>230000</v>
      </c>
      <c r="E440" s="134">
        <f t="shared" si="6"/>
        <v>37999954.118056044</v>
      </c>
    </row>
    <row r="441" spans="1:5" x14ac:dyDescent="0.2">
      <c r="A441" s="211">
        <v>45874</v>
      </c>
      <c r="B441" s="191" t="s">
        <v>1455</v>
      </c>
      <c r="C441" s="868"/>
      <c r="D441" s="1336">
        <v>76000</v>
      </c>
      <c r="E441" s="134">
        <f t="shared" si="6"/>
        <v>37923954.118056044</v>
      </c>
    </row>
    <row r="442" spans="1:5" x14ac:dyDescent="0.2">
      <c r="A442" s="211">
        <v>45874</v>
      </c>
      <c r="B442" s="1053" t="s">
        <v>1450</v>
      </c>
      <c r="C442" s="868"/>
      <c r="D442" s="1336">
        <v>46073</v>
      </c>
      <c r="E442" s="134">
        <f t="shared" si="6"/>
        <v>37877881.118056044</v>
      </c>
    </row>
    <row r="443" spans="1:5" x14ac:dyDescent="0.2">
      <c r="A443" s="211">
        <v>45876</v>
      </c>
      <c r="B443" s="191" t="s">
        <v>1053</v>
      </c>
      <c r="C443" s="868"/>
      <c r="D443" s="1336">
        <v>1000000</v>
      </c>
      <c r="E443" s="134">
        <f t="shared" si="6"/>
        <v>36877881.118056044</v>
      </c>
    </row>
    <row r="444" spans="1:5" x14ac:dyDescent="0.2">
      <c r="A444" s="211">
        <v>45876</v>
      </c>
      <c r="B444" s="191" t="s">
        <v>1053</v>
      </c>
      <c r="C444" s="868"/>
      <c r="D444" s="1336">
        <v>1000000</v>
      </c>
      <c r="E444" s="134">
        <f t="shared" si="6"/>
        <v>35877881.118056044</v>
      </c>
    </row>
    <row r="445" spans="1:5" x14ac:dyDescent="0.2">
      <c r="A445" s="211">
        <v>45877</v>
      </c>
      <c r="B445" s="191" t="s">
        <v>1474</v>
      </c>
      <c r="C445" s="868"/>
      <c r="D445" s="1336">
        <v>2000000</v>
      </c>
      <c r="E445" s="134">
        <f t="shared" si="6"/>
        <v>33877881.118056044</v>
      </c>
    </row>
    <row r="446" spans="1:5" x14ac:dyDescent="0.2">
      <c r="A446" s="211">
        <v>45877</v>
      </c>
      <c r="B446" s="1053" t="s">
        <v>1475</v>
      </c>
      <c r="C446" s="868"/>
      <c r="D446" s="1297">
        <v>880000</v>
      </c>
      <c r="E446" s="134">
        <f t="shared" si="6"/>
        <v>32997881.118056044</v>
      </c>
    </row>
    <row r="447" spans="1:5" x14ac:dyDescent="0.2">
      <c r="A447" s="211">
        <v>45877</v>
      </c>
      <c r="B447" s="191" t="s">
        <v>1463</v>
      </c>
      <c r="C447" s="868"/>
      <c r="D447" s="1297">
        <v>220000</v>
      </c>
      <c r="E447" s="134">
        <f t="shared" si="6"/>
        <v>32777881.118056044</v>
      </c>
    </row>
    <row r="448" spans="1:5" x14ac:dyDescent="0.2">
      <c r="A448" s="211">
        <v>45880</v>
      </c>
      <c r="B448" s="191" t="s">
        <v>1435</v>
      </c>
      <c r="C448" s="868"/>
      <c r="D448" s="1336">
        <v>112000</v>
      </c>
      <c r="E448" s="134">
        <f t="shared" si="6"/>
        <v>32665881.118056044</v>
      </c>
    </row>
    <row r="449" spans="1:5" x14ac:dyDescent="0.2">
      <c r="A449" s="211">
        <v>45880</v>
      </c>
      <c r="B449" s="191" t="s">
        <v>1578</v>
      </c>
      <c r="C449" s="868"/>
      <c r="D449" s="1336">
        <v>1112000</v>
      </c>
      <c r="E449" s="134">
        <f t="shared" si="6"/>
        <v>31553881.118056044</v>
      </c>
    </row>
    <row r="450" spans="1:5" x14ac:dyDescent="0.2">
      <c r="A450" s="211">
        <v>45880</v>
      </c>
      <c r="B450" s="1053" t="s">
        <v>1450</v>
      </c>
      <c r="C450" s="868"/>
      <c r="D450" s="1336">
        <v>139900</v>
      </c>
      <c r="E450" s="134">
        <f t="shared" si="6"/>
        <v>31413981.118056044</v>
      </c>
    </row>
    <row r="451" spans="1:5" x14ac:dyDescent="0.2">
      <c r="A451" s="211">
        <v>45880</v>
      </c>
      <c r="B451" s="1053" t="s">
        <v>1450</v>
      </c>
      <c r="C451" s="868"/>
      <c r="D451" s="1336">
        <v>163300</v>
      </c>
      <c r="E451" s="134">
        <f t="shared" si="6"/>
        <v>31250681.118056044</v>
      </c>
    </row>
    <row r="452" spans="1:5" x14ac:dyDescent="0.2">
      <c r="A452" s="211">
        <v>45880</v>
      </c>
      <c r="B452" s="1053" t="s">
        <v>1450</v>
      </c>
      <c r="C452" s="868"/>
      <c r="D452" s="1336">
        <v>97775</v>
      </c>
      <c r="E452" s="134">
        <f t="shared" si="6"/>
        <v>31152906.118056044</v>
      </c>
    </row>
    <row r="453" spans="1:5" x14ac:dyDescent="0.2">
      <c r="A453" s="211">
        <v>45882</v>
      </c>
      <c r="B453" s="191" t="s">
        <v>1051</v>
      </c>
      <c r="C453" s="868"/>
      <c r="D453" s="1336">
        <v>550000</v>
      </c>
      <c r="E453" s="134">
        <f t="shared" si="6"/>
        <v>30602906.118056044</v>
      </c>
    </row>
    <row r="454" spans="1:5" x14ac:dyDescent="0.2">
      <c r="A454" s="211">
        <v>45882</v>
      </c>
      <c r="B454" s="1053" t="s">
        <v>1460</v>
      </c>
      <c r="C454" s="868"/>
      <c r="D454" s="1336">
        <v>172199</v>
      </c>
      <c r="E454" s="134">
        <f t="shared" si="6"/>
        <v>30430707.118056044</v>
      </c>
    </row>
    <row r="455" spans="1:5" x14ac:dyDescent="0.2">
      <c r="A455" s="211">
        <v>45882</v>
      </c>
      <c r="B455" s="1053" t="s">
        <v>1058</v>
      </c>
      <c r="C455" s="868"/>
      <c r="D455" s="1297">
        <v>1392400</v>
      </c>
      <c r="E455" s="134">
        <f t="shared" si="6"/>
        <v>29038307.118056044</v>
      </c>
    </row>
    <row r="456" spans="1:5" x14ac:dyDescent="0.2">
      <c r="A456" s="211">
        <v>45882</v>
      </c>
      <c r="B456" s="1053" t="s">
        <v>1059</v>
      </c>
      <c r="C456" s="868"/>
      <c r="D456" s="1336">
        <v>940500</v>
      </c>
      <c r="E456" s="134">
        <f t="shared" si="6"/>
        <v>28097807.118056044</v>
      </c>
    </row>
    <row r="457" spans="1:5" x14ac:dyDescent="0.2">
      <c r="A457" s="211">
        <v>45883</v>
      </c>
      <c r="B457" s="191" t="s">
        <v>1055</v>
      </c>
      <c r="C457" s="868"/>
      <c r="D457" s="1297">
        <v>10650</v>
      </c>
      <c r="E457" s="134">
        <f t="shared" si="6"/>
        <v>28087157.118056044</v>
      </c>
    </row>
    <row r="458" spans="1:5" x14ac:dyDescent="0.2">
      <c r="A458" s="211">
        <v>45884</v>
      </c>
      <c r="B458" s="1053" t="s">
        <v>1126</v>
      </c>
      <c r="C458" s="868"/>
      <c r="D458" s="1336">
        <v>17851.18</v>
      </c>
      <c r="E458" s="134">
        <f t="shared" si="6"/>
        <v>28069305.938056044</v>
      </c>
    </row>
    <row r="459" spans="1:5" x14ac:dyDescent="0.2">
      <c r="A459" s="211">
        <v>45884</v>
      </c>
      <c r="B459" s="191" t="s">
        <v>1463</v>
      </c>
      <c r="C459" s="868"/>
      <c r="D459" s="1297">
        <v>220000</v>
      </c>
      <c r="E459" s="134">
        <f t="shared" si="6"/>
        <v>27849305.938056044</v>
      </c>
    </row>
    <row r="460" spans="1:5" x14ac:dyDescent="0.2">
      <c r="A460" s="211">
        <v>45884</v>
      </c>
      <c r="B460" s="191" t="s">
        <v>1403</v>
      </c>
      <c r="C460" s="868"/>
      <c r="D460" s="1297">
        <v>380000</v>
      </c>
      <c r="E460" s="134">
        <f t="shared" si="6"/>
        <v>27469305.938056044</v>
      </c>
    </row>
    <row r="461" spans="1:5" x14ac:dyDescent="0.2">
      <c r="A461" s="211">
        <v>45884</v>
      </c>
      <c r="B461" s="1053" t="s">
        <v>1539</v>
      </c>
      <c r="C461" s="868"/>
      <c r="D461" s="1297">
        <v>5880000</v>
      </c>
      <c r="E461" s="134">
        <f t="shared" si="6"/>
        <v>21589305.938056044</v>
      </c>
    </row>
    <row r="462" spans="1:5" x14ac:dyDescent="0.2">
      <c r="A462" s="211">
        <v>45884</v>
      </c>
      <c r="B462" s="191" t="s">
        <v>1053</v>
      </c>
      <c r="C462" s="868"/>
      <c r="D462" s="1336">
        <v>1000000</v>
      </c>
      <c r="E462" s="134">
        <f t="shared" si="6"/>
        <v>20589305.938056044</v>
      </c>
    </row>
    <row r="463" spans="1:5" x14ac:dyDescent="0.2">
      <c r="A463" s="211">
        <v>45884</v>
      </c>
      <c r="B463" s="191" t="s">
        <v>1053</v>
      </c>
      <c r="C463" s="868"/>
      <c r="D463" s="1336">
        <v>1000000</v>
      </c>
      <c r="E463" s="134">
        <f t="shared" si="6"/>
        <v>19589305.938056044</v>
      </c>
    </row>
    <row r="464" spans="1:5" x14ac:dyDescent="0.2">
      <c r="A464" s="211">
        <v>45886</v>
      </c>
      <c r="B464" s="191" t="s">
        <v>1061</v>
      </c>
      <c r="C464" s="1336">
        <v>40000000</v>
      </c>
      <c r="D464" s="868"/>
      <c r="E464" s="134">
        <f t="shared" si="6"/>
        <v>59589305.938056044</v>
      </c>
    </row>
    <row r="465" spans="1:5" x14ac:dyDescent="0.2">
      <c r="A465" s="211">
        <v>45886</v>
      </c>
      <c r="B465" s="1053" t="s">
        <v>1060</v>
      </c>
      <c r="C465" s="1336">
        <v>1681151.96</v>
      </c>
      <c r="D465" s="191"/>
      <c r="E465" s="134">
        <f t="shared" si="6"/>
        <v>61270457.898056045</v>
      </c>
    </row>
    <row r="466" spans="1:5" x14ac:dyDescent="0.2">
      <c r="A466" s="211">
        <v>45886</v>
      </c>
      <c r="B466" s="1053" t="s">
        <v>1126</v>
      </c>
      <c r="C466" s="868"/>
      <c r="D466" s="1336">
        <v>4106.92</v>
      </c>
      <c r="E466" s="134">
        <f t="shared" si="6"/>
        <v>61266350.978056043</v>
      </c>
    </row>
    <row r="467" spans="1:5" x14ac:dyDescent="0.2">
      <c r="A467" s="211">
        <v>45888</v>
      </c>
      <c r="B467" s="191" t="s">
        <v>1072</v>
      </c>
      <c r="C467" s="868"/>
      <c r="D467" s="1336">
        <v>1026732</v>
      </c>
      <c r="E467" s="134">
        <f t="shared" si="6"/>
        <v>60239618.978056043</v>
      </c>
    </row>
    <row r="468" spans="1:5" x14ac:dyDescent="0.2">
      <c r="A468" s="211">
        <v>45889</v>
      </c>
      <c r="B468" s="1053" t="s">
        <v>1126</v>
      </c>
      <c r="C468" s="868"/>
      <c r="D468" s="1336">
        <v>801.82</v>
      </c>
      <c r="E468" s="134">
        <f t="shared" si="6"/>
        <v>60238817.158056043</v>
      </c>
    </row>
    <row r="469" spans="1:5" x14ac:dyDescent="0.2">
      <c r="A469" s="211">
        <v>45889</v>
      </c>
      <c r="B469" s="1053" t="s">
        <v>1450</v>
      </c>
      <c r="C469" s="868"/>
      <c r="D469" s="1336">
        <v>63961</v>
      </c>
      <c r="E469" s="134">
        <f t="shared" si="6"/>
        <v>60174856.158056043</v>
      </c>
    </row>
    <row r="470" spans="1:5" x14ac:dyDescent="0.2">
      <c r="A470" s="211">
        <v>45889</v>
      </c>
      <c r="B470" s="1053" t="s">
        <v>1068</v>
      </c>
      <c r="C470" s="868"/>
      <c r="D470" s="1336">
        <v>40000000</v>
      </c>
      <c r="E470" s="134">
        <f t="shared" si="6"/>
        <v>20174856.158056043</v>
      </c>
    </row>
    <row r="471" spans="1:5" x14ac:dyDescent="0.2">
      <c r="A471" s="211">
        <v>45889</v>
      </c>
      <c r="B471" s="1053" t="s">
        <v>1450</v>
      </c>
      <c r="C471" s="868"/>
      <c r="D471" s="1336">
        <v>136495</v>
      </c>
      <c r="E471" s="134">
        <f t="shared" si="6"/>
        <v>20038361.158056043</v>
      </c>
    </row>
    <row r="472" spans="1:5" x14ac:dyDescent="0.2">
      <c r="A472" s="211">
        <v>45890</v>
      </c>
      <c r="B472" s="1053" t="s">
        <v>1126</v>
      </c>
      <c r="C472" s="868"/>
      <c r="D472" s="1336">
        <v>3520</v>
      </c>
      <c r="E472" s="134">
        <f t="shared" si="6"/>
        <v>20034841.158056043</v>
      </c>
    </row>
    <row r="473" spans="1:5" x14ac:dyDescent="0.2">
      <c r="A473" s="211">
        <v>45890</v>
      </c>
      <c r="B473" s="1053" t="s">
        <v>1540</v>
      </c>
      <c r="C473" s="868"/>
      <c r="D473" s="1297">
        <v>880000</v>
      </c>
      <c r="E473" s="134">
        <f t="shared" si="6"/>
        <v>19154841.158056043</v>
      </c>
    </row>
    <row r="474" spans="1:5" x14ac:dyDescent="0.2">
      <c r="A474" s="211">
        <v>45891</v>
      </c>
      <c r="B474" s="191" t="s">
        <v>1463</v>
      </c>
      <c r="C474" s="868"/>
      <c r="D474" s="1297">
        <v>220000</v>
      </c>
      <c r="E474" s="134">
        <f t="shared" si="6"/>
        <v>18934841.158056043</v>
      </c>
    </row>
    <row r="475" spans="1:5" x14ac:dyDescent="0.2">
      <c r="A475" s="211">
        <v>45891</v>
      </c>
      <c r="B475" s="191" t="s">
        <v>1403</v>
      </c>
      <c r="C475" s="868"/>
      <c r="D475" s="1297">
        <v>380000</v>
      </c>
      <c r="E475" s="134">
        <f t="shared" si="6"/>
        <v>18554841.158056043</v>
      </c>
    </row>
    <row r="476" spans="1:5" x14ac:dyDescent="0.2">
      <c r="A476" s="211">
        <v>45891</v>
      </c>
      <c r="B476" s="191" t="s">
        <v>1053</v>
      </c>
      <c r="C476" s="868"/>
      <c r="D476" s="1336">
        <v>1000000</v>
      </c>
      <c r="E476" s="134">
        <f t="shared" ref="E476:E539" si="7">E475+C476-D476</f>
        <v>17554841.158056043</v>
      </c>
    </row>
    <row r="477" spans="1:5" x14ac:dyDescent="0.2">
      <c r="A477" s="211">
        <v>45891</v>
      </c>
      <c r="B477" s="191" t="s">
        <v>1053</v>
      </c>
      <c r="C477" s="868"/>
      <c r="D477" s="1336">
        <v>1000000</v>
      </c>
      <c r="E477" s="134">
        <f t="shared" si="7"/>
        <v>16554841.158056043</v>
      </c>
    </row>
    <row r="478" spans="1:5" x14ac:dyDescent="0.2">
      <c r="A478" s="211">
        <v>45891</v>
      </c>
      <c r="B478" s="1053" t="s">
        <v>1126</v>
      </c>
      <c r="C478" s="868"/>
      <c r="D478" s="1336">
        <v>10400</v>
      </c>
      <c r="E478" s="134">
        <f t="shared" si="7"/>
        <v>16544441.158056043</v>
      </c>
    </row>
    <row r="479" spans="1:5" x14ac:dyDescent="0.2">
      <c r="A479" s="211">
        <v>45894</v>
      </c>
      <c r="B479" s="1053" t="s">
        <v>1126</v>
      </c>
      <c r="C479" s="868"/>
      <c r="D479" s="1336">
        <v>200</v>
      </c>
      <c r="E479" s="134">
        <f t="shared" si="7"/>
        <v>16544241.158056043</v>
      </c>
    </row>
    <row r="480" spans="1:5" x14ac:dyDescent="0.2">
      <c r="A480" s="211">
        <v>45894</v>
      </c>
      <c r="B480" s="191" t="s">
        <v>1050</v>
      </c>
      <c r="C480" s="868"/>
      <c r="D480" s="1297">
        <v>50000</v>
      </c>
      <c r="E480" s="134">
        <f t="shared" si="7"/>
        <v>16494241.158056043</v>
      </c>
    </row>
    <row r="481" spans="1:5" x14ac:dyDescent="0.2">
      <c r="A481" s="211">
        <v>45895</v>
      </c>
      <c r="B481" s="1053" t="s">
        <v>1460</v>
      </c>
      <c r="C481" s="868"/>
      <c r="D481" s="1336">
        <v>408850</v>
      </c>
      <c r="E481" s="134">
        <f t="shared" si="7"/>
        <v>16085391.158056043</v>
      </c>
    </row>
    <row r="482" spans="1:5" x14ac:dyDescent="0.2">
      <c r="A482" s="211">
        <v>45895</v>
      </c>
      <c r="B482" s="191" t="s">
        <v>1459</v>
      </c>
      <c r="C482" s="868"/>
      <c r="D482" s="1336">
        <v>129700</v>
      </c>
      <c r="E482" s="134">
        <f t="shared" si="7"/>
        <v>15955691.158056043</v>
      </c>
    </row>
    <row r="483" spans="1:5" x14ac:dyDescent="0.2">
      <c r="A483" s="211">
        <v>45895</v>
      </c>
      <c r="B483" s="1053" t="s">
        <v>1126</v>
      </c>
      <c r="C483" s="868"/>
      <c r="D483" s="1336">
        <v>7504.81</v>
      </c>
      <c r="E483" s="134">
        <f t="shared" si="7"/>
        <v>15948186.348056043</v>
      </c>
    </row>
    <row r="484" spans="1:5" x14ac:dyDescent="0.2">
      <c r="A484" s="211">
        <v>45895</v>
      </c>
      <c r="B484" s="1053" t="s">
        <v>1281</v>
      </c>
      <c r="C484" s="868"/>
      <c r="D484" s="1336">
        <v>1137653</v>
      </c>
      <c r="E484" s="134">
        <f t="shared" si="7"/>
        <v>14810533.348056043</v>
      </c>
    </row>
    <row r="485" spans="1:5" x14ac:dyDescent="0.2">
      <c r="A485" s="211">
        <v>45895</v>
      </c>
      <c r="B485" s="191" t="s">
        <v>1553</v>
      </c>
      <c r="C485" s="868"/>
      <c r="D485" s="1336">
        <v>200000</v>
      </c>
      <c r="E485" s="134">
        <f t="shared" si="7"/>
        <v>14610533.348056043</v>
      </c>
    </row>
    <row r="486" spans="1:5" x14ac:dyDescent="0.2">
      <c r="A486" s="211">
        <v>45896</v>
      </c>
      <c r="B486" s="1053" t="s">
        <v>1126</v>
      </c>
      <c r="C486" s="868"/>
      <c r="D486" s="1336">
        <v>29.2</v>
      </c>
      <c r="E486" s="134">
        <f t="shared" si="7"/>
        <v>14610504.148056043</v>
      </c>
    </row>
    <row r="487" spans="1:5" x14ac:dyDescent="0.2">
      <c r="A487" s="211">
        <v>45896</v>
      </c>
      <c r="B487" s="191" t="s">
        <v>1554</v>
      </c>
      <c r="C487" s="868"/>
      <c r="D487" s="1336">
        <v>1387</v>
      </c>
      <c r="E487" s="134">
        <f t="shared" si="7"/>
        <v>14609117.148056043</v>
      </c>
    </row>
    <row r="488" spans="1:5" x14ac:dyDescent="0.2">
      <c r="A488" s="211">
        <v>45896</v>
      </c>
      <c r="B488" s="191" t="s">
        <v>1557</v>
      </c>
      <c r="C488" s="868"/>
      <c r="D488" s="1336">
        <v>7300</v>
      </c>
      <c r="E488" s="134">
        <f t="shared" si="7"/>
        <v>14601817.148056043</v>
      </c>
    </row>
    <row r="489" spans="1:5" x14ac:dyDescent="0.2">
      <c r="A489" s="211">
        <v>45897</v>
      </c>
      <c r="B489" s="1053" t="s">
        <v>1555</v>
      </c>
      <c r="C489" s="868"/>
      <c r="D489" s="1336">
        <v>905000</v>
      </c>
      <c r="E489" s="134">
        <f t="shared" si="7"/>
        <v>13696817.148056043</v>
      </c>
    </row>
    <row r="490" spans="1:5" x14ac:dyDescent="0.2">
      <c r="A490" s="211">
        <v>45897</v>
      </c>
      <c r="B490" s="191" t="s">
        <v>1053</v>
      </c>
      <c r="C490" s="868"/>
      <c r="D490" s="1336">
        <v>1000000</v>
      </c>
      <c r="E490" s="134">
        <f t="shared" si="7"/>
        <v>12696817.148056043</v>
      </c>
    </row>
    <row r="491" spans="1:5" x14ac:dyDescent="0.2">
      <c r="A491" s="211">
        <v>45897</v>
      </c>
      <c r="B491" s="191" t="s">
        <v>1053</v>
      </c>
      <c r="C491" s="868"/>
      <c r="D491" s="1336">
        <v>1000000</v>
      </c>
      <c r="E491" s="134">
        <f t="shared" si="7"/>
        <v>11696817.148056043</v>
      </c>
    </row>
    <row r="492" spans="1:5" x14ac:dyDescent="0.2">
      <c r="A492" s="211">
        <v>45897</v>
      </c>
      <c r="B492" s="1053" t="s">
        <v>1126</v>
      </c>
      <c r="C492" s="868"/>
      <c r="D492" s="1336">
        <v>11620</v>
      </c>
      <c r="E492" s="134">
        <f t="shared" si="7"/>
        <v>11685197.148056043</v>
      </c>
    </row>
    <row r="493" spans="1:5" x14ac:dyDescent="0.2">
      <c r="A493" s="211">
        <v>45898</v>
      </c>
      <c r="B493" s="191" t="s">
        <v>1463</v>
      </c>
      <c r="C493" s="868"/>
      <c r="D493" s="1297">
        <v>220000</v>
      </c>
      <c r="E493" s="134">
        <f t="shared" si="7"/>
        <v>11465197.148056043</v>
      </c>
    </row>
    <row r="494" spans="1:5" x14ac:dyDescent="0.2">
      <c r="A494" s="211">
        <v>45898</v>
      </c>
      <c r="B494" s="191" t="s">
        <v>1403</v>
      </c>
      <c r="C494" s="868"/>
      <c r="D494" s="1297">
        <v>380000</v>
      </c>
      <c r="E494" s="134">
        <f t="shared" si="7"/>
        <v>11085197.148056043</v>
      </c>
    </row>
    <row r="495" spans="1:5" x14ac:dyDescent="0.2">
      <c r="A495" s="211">
        <v>45898</v>
      </c>
      <c r="B495" s="191" t="s">
        <v>1556</v>
      </c>
      <c r="C495" s="868"/>
      <c r="D495" s="1336">
        <v>473700</v>
      </c>
      <c r="E495" s="134">
        <f t="shared" si="7"/>
        <v>10611497.148056043</v>
      </c>
    </row>
    <row r="496" spans="1:5" x14ac:dyDescent="0.2">
      <c r="A496" s="211">
        <v>45898</v>
      </c>
      <c r="B496" s="1053" t="s">
        <v>1126</v>
      </c>
      <c r="C496" s="868"/>
      <c r="D496" s="1336">
        <v>4294.8</v>
      </c>
      <c r="E496" s="134">
        <f t="shared" si="7"/>
        <v>10607202.348056043</v>
      </c>
    </row>
    <row r="497" spans="1:5" x14ac:dyDescent="0.2">
      <c r="A497" s="211">
        <v>45901</v>
      </c>
      <c r="B497" s="1053" t="s">
        <v>1450</v>
      </c>
      <c r="C497" s="868"/>
      <c r="D497" s="1336">
        <v>46068</v>
      </c>
      <c r="E497" s="134">
        <f t="shared" si="7"/>
        <v>10561134.348056043</v>
      </c>
    </row>
    <row r="498" spans="1:5" x14ac:dyDescent="0.2">
      <c r="A498" s="211">
        <v>45902</v>
      </c>
      <c r="B498" s="1053" t="s">
        <v>1132</v>
      </c>
      <c r="C498" s="868"/>
      <c r="D498" s="1297">
        <v>200000</v>
      </c>
      <c r="E498" s="134">
        <f t="shared" si="7"/>
        <v>10361134.348056043</v>
      </c>
    </row>
    <row r="499" spans="1:5" x14ac:dyDescent="0.2">
      <c r="A499" s="211">
        <v>45902</v>
      </c>
      <c r="B499" s="1053" t="s">
        <v>1153</v>
      </c>
      <c r="C499" s="868"/>
      <c r="D499" s="1297">
        <v>100000</v>
      </c>
      <c r="E499" s="134">
        <f t="shared" si="7"/>
        <v>10261134.348056043</v>
      </c>
    </row>
    <row r="500" spans="1:5" x14ac:dyDescent="0.2">
      <c r="A500" s="211">
        <v>45903</v>
      </c>
      <c r="B500" s="1053" t="s">
        <v>1573</v>
      </c>
      <c r="C500" s="868"/>
      <c r="D500" s="1297">
        <v>880000</v>
      </c>
      <c r="E500" s="134">
        <f t="shared" si="7"/>
        <v>9381134.3480560426</v>
      </c>
    </row>
    <row r="501" spans="1:5" x14ac:dyDescent="0.2">
      <c r="A501" s="211">
        <v>45903</v>
      </c>
      <c r="B501" s="191" t="s">
        <v>1574</v>
      </c>
      <c r="C501" s="868"/>
      <c r="D501" s="1336">
        <v>450000</v>
      </c>
      <c r="E501" s="134">
        <f t="shared" si="7"/>
        <v>8931134.3480560426</v>
      </c>
    </row>
    <row r="502" spans="1:5" x14ac:dyDescent="0.2">
      <c r="A502" s="211">
        <v>45904</v>
      </c>
      <c r="B502" s="1053" t="s">
        <v>1058</v>
      </c>
      <c r="C502" s="868"/>
      <c r="D502" s="1297">
        <v>1392400</v>
      </c>
      <c r="E502" s="134">
        <f t="shared" si="7"/>
        <v>7538734.3480560426</v>
      </c>
    </row>
    <row r="503" spans="1:5" x14ac:dyDescent="0.2">
      <c r="A503" s="211">
        <v>45904</v>
      </c>
      <c r="B503" s="1053" t="s">
        <v>1059</v>
      </c>
      <c r="C503" s="868"/>
      <c r="D503" s="1336">
        <v>940500</v>
      </c>
      <c r="E503" s="134">
        <f t="shared" si="7"/>
        <v>6598234.3480560426</v>
      </c>
    </row>
    <row r="504" spans="1:5" x14ac:dyDescent="0.2">
      <c r="A504" s="211">
        <v>45905</v>
      </c>
      <c r="B504" s="1053" t="s">
        <v>1450</v>
      </c>
      <c r="C504" s="868"/>
      <c r="D504" s="1336">
        <v>275177</v>
      </c>
      <c r="E504" s="134">
        <f t="shared" si="7"/>
        <v>6323057.3480560426</v>
      </c>
    </row>
    <row r="505" spans="1:5" x14ac:dyDescent="0.2">
      <c r="A505" s="211">
        <v>45905</v>
      </c>
      <c r="B505" s="1053" t="s">
        <v>1450</v>
      </c>
      <c r="C505" s="868"/>
      <c r="D505" s="1336">
        <v>140728</v>
      </c>
      <c r="E505" s="134">
        <f t="shared" si="7"/>
        <v>6182329.3480560426</v>
      </c>
    </row>
    <row r="506" spans="1:5" x14ac:dyDescent="0.2">
      <c r="A506" s="211">
        <v>45905</v>
      </c>
      <c r="B506" s="1053" t="s">
        <v>1450</v>
      </c>
      <c r="C506" s="159"/>
      <c r="D506" s="1336">
        <v>99978</v>
      </c>
      <c r="E506" s="134">
        <f t="shared" si="7"/>
        <v>6082351.3480560426</v>
      </c>
    </row>
    <row r="507" spans="1:5" x14ac:dyDescent="0.2">
      <c r="A507" s="211">
        <v>45905</v>
      </c>
      <c r="B507" s="1053" t="s">
        <v>1450</v>
      </c>
      <c r="C507" s="159"/>
      <c r="D507" s="1336">
        <v>137263</v>
      </c>
      <c r="E507" s="134">
        <f t="shared" si="7"/>
        <v>5945088.3480560426</v>
      </c>
    </row>
    <row r="508" spans="1:5" x14ac:dyDescent="0.2">
      <c r="A508" s="157">
        <v>45907</v>
      </c>
      <c r="B508" s="191" t="s">
        <v>1575</v>
      </c>
      <c r="C508" s="1336">
        <v>1112000</v>
      </c>
      <c r="D508" s="159"/>
      <c r="E508" s="134">
        <f t="shared" si="7"/>
        <v>7057088.3480560426</v>
      </c>
    </row>
    <row r="509" spans="1:5" x14ac:dyDescent="0.2">
      <c r="A509" s="157">
        <v>45909</v>
      </c>
      <c r="B509" s="1053" t="s">
        <v>1576</v>
      </c>
      <c r="C509" s="159"/>
      <c r="D509" s="1297">
        <v>880000</v>
      </c>
      <c r="E509" s="134">
        <f t="shared" si="7"/>
        <v>6177088.3480560426</v>
      </c>
    </row>
    <row r="510" spans="1:5" x14ac:dyDescent="0.2">
      <c r="A510" s="157">
        <v>45910</v>
      </c>
      <c r="B510" s="160" t="s">
        <v>1577</v>
      </c>
      <c r="C510" s="159"/>
      <c r="D510" s="1297">
        <v>88600</v>
      </c>
      <c r="E510" s="134">
        <f t="shared" si="7"/>
        <v>6088488.3480560426</v>
      </c>
    </row>
    <row r="511" spans="1:5" x14ac:dyDescent="0.2">
      <c r="A511" s="157">
        <v>45910</v>
      </c>
      <c r="B511" s="980" t="s">
        <v>1065</v>
      </c>
      <c r="C511" s="159"/>
      <c r="D511" s="1297">
        <v>205523</v>
      </c>
      <c r="E511" s="134">
        <f t="shared" si="7"/>
        <v>5882965.3480560426</v>
      </c>
    </row>
    <row r="512" spans="1:5" x14ac:dyDescent="0.2">
      <c r="A512" s="157">
        <v>45910</v>
      </c>
      <c r="B512" s="191" t="s">
        <v>1050</v>
      </c>
      <c r="C512" s="868"/>
      <c r="D512" s="1297">
        <v>50000</v>
      </c>
      <c r="E512" s="134">
        <f t="shared" si="7"/>
        <v>5832965.3480560426</v>
      </c>
    </row>
    <row r="513" spans="1:5" x14ac:dyDescent="0.2">
      <c r="A513" s="157">
        <v>45911</v>
      </c>
      <c r="B513" s="191" t="s">
        <v>1578</v>
      </c>
      <c r="C513" s="868"/>
      <c r="D513" s="1336">
        <v>1112000</v>
      </c>
      <c r="E513" s="134">
        <f t="shared" si="7"/>
        <v>4720965.3480560426</v>
      </c>
    </row>
    <row r="514" spans="1:5" x14ac:dyDescent="0.2">
      <c r="A514" s="157">
        <v>45911</v>
      </c>
      <c r="B514" s="980" t="s">
        <v>1579</v>
      </c>
      <c r="C514" s="159"/>
      <c r="D514" s="1297">
        <v>4520000</v>
      </c>
      <c r="E514" s="134">
        <f t="shared" si="7"/>
        <v>200965.34805604257</v>
      </c>
    </row>
    <row r="515" spans="1:5" x14ac:dyDescent="0.2">
      <c r="A515" s="157">
        <v>45912</v>
      </c>
      <c r="B515" s="980" t="s">
        <v>1584</v>
      </c>
      <c r="C515" s="159"/>
      <c r="D515" s="1297">
        <v>5090000</v>
      </c>
      <c r="E515" s="134">
        <f t="shared" si="7"/>
        <v>-4889034.6519439574</v>
      </c>
    </row>
    <row r="516" spans="1:5" x14ac:dyDescent="0.2">
      <c r="A516" s="157">
        <v>45912</v>
      </c>
      <c r="B516" s="980" t="s">
        <v>1583</v>
      </c>
      <c r="C516" s="1336">
        <v>5110000</v>
      </c>
      <c r="D516" s="160"/>
      <c r="E516" s="134">
        <f t="shared" si="7"/>
        <v>220965.34805604257</v>
      </c>
    </row>
    <row r="517" spans="1:5" x14ac:dyDescent="0.2">
      <c r="A517" s="157">
        <v>45912</v>
      </c>
      <c r="B517" s="980" t="s">
        <v>1582</v>
      </c>
      <c r="C517" s="1336">
        <v>500000</v>
      </c>
      <c r="D517" s="160"/>
      <c r="E517" s="134">
        <f t="shared" si="7"/>
        <v>720965.34805604257</v>
      </c>
    </row>
    <row r="518" spans="1:5" x14ac:dyDescent="0.2">
      <c r="A518" s="157">
        <v>45912</v>
      </c>
      <c r="B518" s="191" t="s">
        <v>1463</v>
      </c>
      <c r="C518" s="159"/>
      <c r="D518" s="1297">
        <v>440000</v>
      </c>
      <c r="E518" s="134">
        <f t="shared" si="7"/>
        <v>280965.34805604257</v>
      </c>
    </row>
    <row r="519" spans="1:5" x14ac:dyDescent="0.2">
      <c r="A519" s="157">
        <v>45912</v>
      </c>
      <c r="B519" s="191" t="s">
        <v>1055</v>
      </c>
      <c r="C519" s="868"/>
      <c r="D519" s="1297">
        <v>10650</v>
      </c>
      <c r="E519" s="134">
        <f t="shared" si="7"/>
        <v>270315.34805604257</v>
      </c>
    </row>
    <row r="520" spans="1:5" x14ac:dyDescent="0.2">
      <c r="A520" s="157">
        <v>45915</v>
      </c>
      <c r="B520" s="1053" t="s">
        <v>1126</v>
      </c>
      <c r="C520" s="159"/>
      <c r="D520" s="1297">
        <v>46051.54</v>
      </c>
      <c r="E520" s="134">
        <f t="shared" si="7"/>
        <v>224263.80805604256</v>
      </c>
    </row>
    <row r="521" spans="1:5" x14ac:dyDescent="0.2">
      <c r="A521" s="157">
        <v>45915</v>
      </c>
      <c r="B521" s="980" t="s">
        <v>1581</v>
      </c>
      <c r="C521" s="1336">
        <v>11400000</v>
      </c>
      <c r="D521" s="160"/>
      <c r="E521" s="134">
        <f t="shared" si="7"/>
        <v>11624263.808056043</v>
      </c>
    </row>
    <row r="522" spans="1:5" x14ac:dyDescent="0.2">
      <c r="A522" s="157">
        <v>45915</v>
      </c>
      <c r="B522" s="191" t="s">
        <v>1051</v>
      </c>
      <c r="C522" s="159"/>
      <c r="D522" s="1297">
        <v>550000</v>
      </c>
      <c r="E522" s="134">
        <f t="shared" si="7"/>
        <v>11074263.808056043</v>
      </c>
    </row>
    <row r="523" spans="1:5" x14ac:dyDescent="0.2">
      <c r="A523" s="157">
        <v>45915</v>
      </c>
      <c r="B523" s="980" t="s">
        <v>1582</v>
      </c>
      <c r="C523" s="1336">
        <v>600000</v>
      </c>
      <c r="D523" s="191"/>
      <c r="E523" s="134">
        <f t="shared" si="7"/>
        <v>11674263.808056043</v>
      </c>
    </row>
    <row r="524" spans="1:5" x14ac:dyDescent="0.2">
      <c r="A524" s="157">
        <v>45915</v>
      </c>
      <c r="B524" s="980" t="s">
        <v>1585</v>
      </c>
      <c r="C524" s="159"/>
      <c r="D524" s="1297">
        <v>11334000</v>
      </c>
      <c r="E524" s="134">
        <f t="shared" si="7"/>
        <v>340263.80805604346</v>
      </c>
    </row>
    <row r="525" spans="1:5" x14ac:dyDescent="0.2">
      <c r="A525" s="157">
        <v>45916</v>
      </c>
      <c r="B525" s="191" t="s">
        <v>1072</v>
      </c>
      <c r="C525" s="159"/>
      <c r="D525" s="1297">
        <v>315910.67</v>
      </c>
      <c r="E525" s="134">
        <f t="shared" si="7"/>
        <v>24353.138056043477</v>
      </c>
    </row>
    <row r="526" spans="1:5" x14ac:dyDescent="0.2">
      <c r="A526" s="157">
        <v>45917</v>
      </c>
      <c r="B526" s="1053" t="s">
        <v>1060</v>
      </c>
      <c r="C526" s="1336">
        <v>375117.12</v>
      </c>
      <c r="D526" s="160"/>
      <c r="E526" s="134">
        <f t="shared" si="7"/>
        <v>399470.25805604347</v>
      </c>
    </row>
    <row r="527" spans="1:5" x14ac:dyDescent="0.2">
      <c r="A527" s="157">
        <v>45917</v>
      </c>
      <c r="B527" s="1053" t="s">
        <v>1586</v>
      </c>
      <c r="C527" s="159"/>
      <c r="D527" s="1297">
        <v>1300000</v>
      </c>
      <c r="E527" s="134">
        <f t="shared" si="7"/>
        <v>-900529.74194395659</v>
      </c>
    </row>
    <row r="528" spans="1:5" x14ac:dyDescent="0.2">
      <c r="A528" s="157">
        <v>45917</v>
      </c>
      <c r="B528" s="1053" t="s">
        <v>1126</v>
      </c>
      <c r="C528" s="159"/>
      <c r="D528" s="1297">
        <v>1263.6400000000001</v>
      </c>
      <c r="E528" s="134">
        <f t="shared" si="7"/>
        <v>-901793.3819439566</v>
      </c>
    </row>
    <row r="529" spans="1:5" x14ac:dyDescent="0.2">
      <c r="A529" s="157">
        <v>45917</v>
      </c>
      <c r="B529" s="191" t="s">
        <v>1072</v>
      </c>
      <c r="C529" s="159"/>
      <c r="D529" s="1297">
        <v>711000</v>
      </c>
      <c r="E529" s="134">
        <f t="shared" si="7"/>
        <v>-1612793.3819439565</v>
      </c>
    </row>
    <row r="530" spans="1:5" x14ac:dyDescent="0.2">
      <c r="A530" s="157">
        <v>45917</v>
      </c>
      <c r="B530" s="1053" t="s">
        <v>1126</v>
      </c>
      <c r="C530" s="159"/>
      <c r="D530" s="1297">
        <v>8044</v>
      </c>
      <c r="E530" s="134">
        <f t="shared" si="7"/>
        <v>-1620837.3819439565</v>
      </c>
    </row>
    <row r="531" spans="1:5" x14ac:dyDescent="0.2">
      <c r="A531" s="157">
        <v>45917</v>
      </c>
      <c r="B531" s="191" t="s">
        <v>1061</v>
      </c>
      <c r="C531" s="1336">
        <v>21000000</v>
      </c>
      <c r="D531" s="160"/>
      <c r="E531" s="134">
        <f t="shared" si="7"/>
        <v>19379162.618056044</v>
      </c>
    </row>
    <row r="532" spans="1:5" x14ac:dyDescent="0.2">
      <c r="A532" s="157">
        <v>45918</v>
      </c>
      <c r="B532" s="1053" t="s">
        <v>1126</v>
      </c>
      <c r="C532" s="159"/>
      <c r="D532" s="1297">
        <v>4414.72</v>
      </c>
      <c r="E532" s="134">
        <f t="shared" si="7"/>
        <v>19374747.898056045</v>
      </c>
    </row>
    <row r="533" spans="1:5" x14ac:dyDescent="0.2">
      <c r="A533" s="157">
        <v>45918</v>
      </c>
      <c r="B533" s="980" t="s">
        <v>1486</v>
      </c>
      <c r="C533" s="159"/>
      <c r="D533" s="1297">
        <v>129680</v>
      </c>
      <c r="E533" s="134">
        <f t="shared" si="7"/>
        <v>19245067.898056045</v>
      </c>
    </row>
    <row r="534" spans="1:5" x14ac:dyDescent="0.2">
      <c r="A534" s="157">
        <v>45918</v>
      </c>
      <c r="B534" s="980" t="s">
        <v>1613</v>
      </c>
      <c r="C534" s="159"/>
      <c r="D534" s="1297">
        <v>974000</v>
      </c>
      <c r="E534" s="134">
        <f t="shared" si="7"/>
        <v>18271067.898056045</v>
      </c>
    </row>
    <row r="535" spans="1:5" x14ac:dyDescent="0.2">
      <c r="A535" s="157">
        <v>45922</v>
      </c>
      <c r="B535" s="980" t="s">
        <v>1614</v>
      </c>
      <c r="C535" s="159"/>
      <c r="D535" s="1297">
        <v>5290000</v>
      </c>
      <c r="E535" s="134">
        <f t="shared" si="7"/>
        <v>12981067.898056045</v>
      </c>
    </row>
    <row r="536" spans="1:5" x14ac:dyDescent="0.2">
      <c r="A536" s="157">
        <v>45922</v>
      </c>
      <c r="B536" s="191" t="s">
        <v>1463</v>
      </c>
      <c r="C536" s="868"/>
      <c r="D536" s="1297">
        <v>220000</v>
      </c>
      <c r="E536" s="134">
        <f t="shared" si="7"/>
        <v>12761067.898056045</v>
      </c>
    </row>
    <row r="537" spans="1:5" x14ac:dyDescent="0.2">
      <c r="A537" s="157">
        <v>45922</v>
      </c>
      <c r="B537" s="1053" t="s">
        <v>1126</v>
      </c>
      <c r="C537" s="159"/>
      <c r="D537" s="1297">
        <v>22040</v>
      </c>
      <c r="E537" s="134">
        <f t="shared" si="7"/>
        <v>12739027.898056045</v>
      </c>
    </row>
    <row r="538" spans="1:5" x14ac:dyDescent="0.2">
      <c r="A538" s="157">
        <v>45923</v>
      </c>
      <c r="B538" s="980" t="s">
        <v>1497</v>
      </c>
      <c r="C538" s="159"/>
      <c r="D538" s="1297">
        <v>430152</v>
      </c>
      <c r="E538" s="134">
        <f t="shared" si="7"/>
        <v>12308875.898056045</v>
      </c>
    </row>
    <row r="539" spans="1:5" x14ac:dyDescent="0.2">
      <c r="A539" s="157">
        <v>45923</v>
      </c>
      <c r="B539" s="1053" t="s">
        <v>1126</v>
      </c>
      <c r="C539" s="159"/>
      <c r="D539" s="1297">
        <v>1720.6</v>
      </c>
      <c r="E539" s="134">
        <f t="shared" si="7"/>
        <v>12307155.298056046</v>
      </c>
    </row>
    <row r="540" spans="1:5" x14ac:dyDescent="0.2">
      <c r="A540" s="157">
        <v>45925</v>
      </c>
      <c r="B540" s="1053" t="s">
        <v>1615</v>
      </c>
      <c r="C540" s="159"/>
      <c r="D540" s="1297">
        <v>985000</v>
      </c>
      <c r="E540" s="134">
        <f t="shared" ref="E540:E603" si="8">E539+C540-D540</f>
        <v>11322155.298056046</v>
      </c>
    </row>
    <row r="541" spans="1:5" x14ac:dyDescent="0.2">
      <c r="A541" s="157">
        <v>45925</v>
      </c>
      <c r="B541" s="1053" t="s">
        <v>1450</v>
      </c>
      <c r="C541" s="159"/>
      <c r="D541" s="1297">
        <v>46002</v>
      </c>
      <c r="E541" s="134">
        <f t="shared" si="8"/>
        <v>11276153.298056046</v>
      </c>
    </row>
    <row r="542" spans="1:5" x14ac:dyDescent="0.2">
      <c r="A542" s="157">
        <v>45925</v>
      </c>
      <c r="B542" s="1053" t="s">
        <v>1126</v>
      </c>
      <c r="C542" s="159"/>
      <c r="D542" s="1297">
        <v>4124</v>
      </c>
      <c r="E542" s="134">
        <f t="shared" si="8"/>
        <v>11272029.298056046</v>
      </c>
    </row>
    <row r="543" spans="1:5" x14ac:dyDescent="0.2">
      <c r="A543" s="157">
        <v>45926</v>
      </c>
      <c r="B543" s="980" t="s">
        <v>1614</v>
      </c>
      <c r="C543" s="159"/>
      <c r="D543" s="1297">
        <v>6951000</v>
      </c>
      <c r="E543" s="134">
        <f t="shared" si="8"/>
        <v>4321029.2980560455</v>
      </c>
    </row>
    <row r="544" spans="1:5" x14ac:dyDescent="0.2">
      <c r="A544" s="157">
        <v>45926</v>
      </c>
      <c r="B544" s="1053" t="s">
        <v>1126</v>
      </c>
      <c r="C544" s="159"/>
      <c r="D544" s="1297">
        <v>28684</v>
      </c>
      <c r="E544" s="134">
        <f t="shared" si="8"/>
        <v>4292345.2980560455</v>
      </c>
    </row>
    <row r="545" spans="1:5" x14ac:dyDescent="0.2">
      <c r="A545" s="157">
        <v>45926</v>
      </c>
      <c r="B545" s="980" t="s">
        <v>1616</v>
      </c>
      <c r="C545" s="1297">
        <v>6980000</v>
      </c>
      <c r="D545" s="160"/>
      <c r="E545" s="134">
        <f t="shared" si="8"/>
        <v>11272345.298056046</v>
      </c>
    </row>
    <row r="546" spans="1:5" x14ac:dyDescent="0.2">
      <c r="A546" s="157">
        <v>45926</v>
      </c>
      <c r="B546" s="191" t="s">
        <v>1463</v>
      </c>
      <c r="C546" s="868"/>
      <c r="D546" s="1297">
        <v>220000</v>
      </c>
      <c r="E546" s="134">
        <f t="shared" si="8"/>
        <v>11052345.298056046</v>
      </c>
    </row>
    <row r="547" spans="1:5" x14ac:dyDescent="0.2">
      <c r="A547" s="157">
        <v>45930</v>
      </c>
      <c r="B547" s="191" t="s">
        <v>1053</v>
      </c>
      <c r="C547" s="868"/>
      <c r="D547" s="1336">
        <v>1000000</v>
      </c>
      <c r="E547" s="134">
        <f t="shared" si="8"/>
        <v>10052345.298056046</v>
      </c>
    </row>
    <row r="548" spans="1:5" x14ac:dyDescent="0.2">
      <c r="A548" s="157">
        <v>45930</v>
      </c>
      <c r="B548" s="191" t="s">
        <v>1053</v>
      </c>
      <c r="C548" s="868"/>
      <c r="D548" s="1336">
        <v>1000000</v>
      </c>
      <c r="E548" s="134">
        <f t="shared" si="8"/>
        <v>9052345.2980560455</v>
      </c>
    </row>
    <row r="549" spans="1:5" x14ac:dyDescent="0.2">
      <c r="A549" s="157">
        <v>45930</v>
      </c>
      <c r="B549" s="191" t="s">
        <v>1050</v>
      </c>
      <c r="C549" s="868"/>
      <c r="D549" s="1297">
        <v>50000</v>
      </c>
      <c r="E549" s="134">
        <f t="shared" si="8"/>
        <v>9002345.2980560455</v>
      </c>
    </row>
    <row r="550" spans="1:5" x14ac:dyDescent="0.2">
      <c r="A550" s="157">
        <v>45930</v>
      </c>
      <c r="B550" s="1053" t="s">
        <v>1126</v>
      </c>
      <c r="C550" s="140"/>
      <c r="D550" s="1297">
        <v>8200</v>
      </c>
      <c r="E550" s="134">
        <f t="shared" si="8"/>
        <v>8994145.2980560455</v>
      </c>
    </row>
    <row r="551" spans="1:5" x14ac:dyDescent="0.2">
      <c r="A551" s="15">
        <v>45932</v>
      </c>
      <c r="B551" s="1053" t="s">
        <v>1132</v>
      </c>
      <c r="C551" s="868"/>
      <c r="D551" s="191">
        <v>100000</v>
      </c>
      <c r="E551" s="134">
        <f t="shared" si="8"/>
        <v>8894145.2980560455</v>
      </c>
    </row>
    <row r="552" spans="1:5" x14ac:dyDescent="0.2">
      <c r="A552" s="15">
        <v>45932</v>
      </c>
      <c r="B552" s="1053" t="s">
        <v>1153</v>
      </c>
      <c r="C552" s="868"/>
      <c r="D552" s="191">
        <v>100000</v>
      </c>
      <c r="E552" s="134">
        <f t="shared" si="8"/>
        <v>8794145.2980560455</v>
      </c>
    </row>
    <row r="553" spans="1:5" x14ac:dyDescent="0.2">
      <c r="A553" s="15">
        <v>45932</v>
      </c>
      <c r="B553" s="183" t="s">
        <v>1617</v>
      </c>
      <c r="C553" s="140"/>
      <c r="D553" s="134">
        <v>139900</v>
      </c>
      <c r="E553" s="134">
        <f t="shared" si="8"/>
        <v>8654245.2980560455</v>
      </c>
    </row>
    <row r="554" spans="1:5" x14ac:dyDescent="0.2">
      <c r="A554" s="15">
        <v>45932</v>
      </c>
      <c r="B554" s="1053" t="s">
        <v>1618</v>
      </c>
      <c r="C554" s="140"/>
      <c r="D554" s="134">
        <v>880000</v>
      </c>
      <c r="E554" s="134">
        <f t="shared" si="8"/>
        <v>7774245.2980560455</v>
      </c>
    </row>
    <row r="555" spans="1:5" x14ac:dyDescent="0.2">
      <c r="A555" s="15">
        <v>45933</v>
      </c>
      <c r="B555" s="191" t="s">
        <v>1053</v>
      </c>
      <c r="C555" s="868"/>
      <c r="D555" s="868">
        <v>1000000</v>
      </c>
      <c r="E555" s="134">
        <f t="shared" si="8"/>
        <v>6774245.2980560455</v>
      </c>
    </row>
    <row r="556" spans="1:5" x14ac:dyDescent="0.2">
      <c r="A556" s="15">
        <v>45933</v>
      </c>
      <c r="B556" s="191" t="s">
        <v>1053</v>
      </c>
      <c r="C556" s="868"/>
      <c r="D556" s="868">
        <v>1000000</v>
      </c>
      <c r="E556" s="134">
        <f t="shared" si="8"/>
        <v>5774245.2980560455</v>
      </c>
    </row>
    <row r="557" spans="1:5" x14ac:dyDescent="0.2">
      <c r="A557" s="15">
        <v>45937</v>
      </c>
      <c r="B557" s="183" t="s">
        <v>1087</v>
      </c>
      <c r="C557" s="140">
        <v>1112000</v>
      </c>
      <c r="D557" s="134"/>
      <c r="E557" s="134">
        <f t="shared" si="8"/>
        <v>6886245.2980560455</v>
      </c>
    </row>
    <row r="558" spans="1:5" x14ac:dyDescent="0.2">
      <c r="A558" s="15">
        <v>45937</v>
      </c>
      <c r="B558" s="1053" t="s">
        <v>1058</v>
      </c>
      <c r="C558" s="868"/>
      <c r="D558" s="191">
        <v>1392400</v>
      </c>
      <c r="E558" s="134">
        <f t="shared" si="8"/>
        <v>5493845.2980560455</v>
      </c>
    </row>
    <row r="559" spans="1:5" x14ac:dyDescent="0.2">
      <c r="A559" s="15">
        <v>45937</v>
      </c>
      <c r="B559" s="1053" t="s">
        <v>1059</v>
      </c>
      <c r="C559" s="868"/>
      <c r="D559" s="868">
        <v>940500</v>
      </c>
      <c r="E559" s="134">
        <f t="shared" si="8"/>
        <v>4553345.2980560455</v>
      </c>
    </row>
    <row r="560" spans="1:5" x14ac:dyDescent="0.2">
      <c r="A560" s="15">
        <v>45938</v>
      </c>
      <c r="B560" s="183" t="s">
        <v>1062</v>
      </c>
      <c r="C560" s="140">
        <v>2500000</v>
      </c>
      <c r="D560" s="134"/>
      <c r="E560" s="134">
        <f t="shared" si="8"/>
        <v>7053345.2980560455</v>
      </c>
    </row>
    <row r="561" spans="1:8" x14ac:dyDescent="0.2">
      <c r="A561" s="15">
        <v>45939</v>
      </c>
      <c r="B561" s="183" t="s">
        <v>1062</v>
      </c>
      <c r="C561" s="140">
        <v>2500000</v>
      </c>
      <c r="D561" s="134"/>
      <c r="E561" s="134">
        <f t="shared" si="8"/>
        <v>9553345.2980560455</v>
      </c>
    </row>
    <row r="562" spans="1:8" x14ac:dyDescent="0.2">
      <c r="A562" s="15">
        <v>45939</v>
      </c>
      <c r="B562" s="1053" t="s">
        <v>1619</v>
      </c>
      <c r="C562" s="140"/>
      <c r="D562" s="134">
        <v>880000</v>
      </c>
      <c r="E562" s="134">
        <f t="shared" si="8"/>
        <v>8673345.2980560455</v>
      </c>
    </row>
    <row r="563" spans="1:8" x14ac:dyDescent="0.2">
      <c r="A563" s="15">
        <v>45939</v>
      </c>
      <c r="B563" s="1053" t="s">
        <v>1153</v>
      </c>
      <c r="C563" s="140"/>
      <c r="D563" s="134">
        <v>50000</v>
      </c>
      <c r="E563" s="134">
        <f t="shared" si="8"/>
        <v>8623345.2980560455</v>
      </c>
    </row>
    <row r="564" spans="1:8" x14ac:dyDescent="0.2">
      <c r="A564" s="15">
        <v>45939</v>
      </c>
      <c r="B564" s="191" t="s">
        <v>1463</v>
      </c>
      <c r="C564" s="868"/>
      <c r="D564" s="191">
        <v>220000</v>
      </c>
      <c r="E564" s="134">
        <f t="shared" si="8"/>
        <v>8403345.2980560455</v>
      </c>
    </row>
    <row r="565" spans="1:8" x14ac:dyDescent="0.2">
      <c r="A565" s="15">
        <v>45939</v>
      </c>
      <c r="B565" s="134" t="s">
        <v>1620</v>
      </c>
      <c r="C565" s="140"/>
      <c r="D565" s="134">
        <v>271520</v>
      </c>
      <c r="E565" s="134">
        <f t="shared" si="8"/>
        <v>8131825.2980560455</v>
      </c>
    </row>
    <row r="566" spans="1:8" x14ac:dyDescent="0.2">
      <c r="A566" s="15">
        <v>45939</v>
      </c>
      <c r="B566" s="1053" t="s">
        <v>1300</v>
      </c>
      <c r="C566" s="140"/>
      <c r="D566" s="134">
        <v>107000</v>
      </c>
      <c r="E566" s="134">
        <f t="shared" si="8"/>
        <v>8024825.2980560455</v>
      </c>
    </row>
    <row r="567" spans="1:8" x14ac:dyDescent="0.2">
      <c r="A567" s="15">
        <v>45939</v>
      </c>
      <c r="B567" s="134" t="s">
        <v>1624</v>
      </c>
      <c r="C567" s="140"/>
      <c r="D567" s="134">
        <v>5914000</v>
      </c>
      <c r="E567" s="134">
        <f t="shared" si="8"/>
        <v>2110825.2980560455</v>
      </c>
    </row>
    <row r="568" spans="1:8" x14ac:dyDescent="0.2">
      <c r="A568" s="15">
        <v>45910</v>
      </c>
      <c r="B568" s="183" t="s">
        <v>1062</v>
      </c>
      <c r="C568" s="140">
        <v>910000</v>
      </c>
      <c r="D568" s="134"/>
      <c r="E568" s="134">
        <f t="shared" si="8"/>
        <v>3020825.2980560455</v>
      </c>
    </row>
    <row r="569" spans="1:8" x14ac:dyDescent="0.2">
      <c r="A569" s="15">
        <v>45910</v>
      </c>
      <c r="B569" s="191" t="s">
        <v>1053</v>
      </c>
      <c r="C569" s="868"/>
      <c r="D569" s="868">
        <v>1000000</v>
      </c>
      <c r="E569" s="134">
        <f t="shared" si="8"/>
        <v>2020825.2980560455</v>
      </c>
    </row>
    <row r="570" spans="1:8" x14ac:dyDescent="0.2">
      <c r="A570" s="15">
        <v>45941</v>
      </c>
      <c r="B570" s="134" t="s">
        <v>1055</v>
      </c>
      <c r="C570" s="140"/>
      <c r="D570" s="134">
        <v>10650</v>
      </c>
      <c r="E570" s="134">
        <f t="shared" si="8"/>
        <v>2010175.2980560455</v>
      </c>
    </row>
    <row r="571" spans="1:8" x14ac:dyDescent="0.2">
      <c r="A571" s="15">
        <v>45944</v>
      </c>
      <c r="B571" s="134" t="s">
        <v>1625</v>
      </c>
      <c r="C571" s="140"/>
      <c r="D571" s="134">
        <v>99978</v>
      </c>
      <c r="E571" s="134">
        <f t="shared" si="8"/>
        <v>1910197.2980560455</v>
      </c>
      <c r="H571" s="916">
        <f>+E571-710000-1749701</f>
        <v>-549503.70194395445</v>
      </c>
    </row>
    <row r="572" spans="1:8" x14ac:dyDescent="0.2">
      <c r="A572" s="15">
        <v>45944</v>
      </c>
      <c r="B572" s="134" t="s">
        <v>1625</v>
      </c>
      <c r="C572" s="140"/>
      <c r="D572" s="134">
        <v>136495</v>
      </c>
      <c r="E572" s="134">
        <f t="shared" si="8"/>
        <v>1773702.2980560455</v>
      </c>
    </row>
    <row r="573" spans="1:8" x14ac:dyDescent="0.2">
      <c r="A573" s="15">
        <v>45946</v>
      </c>
      <c r="B573" s="191" t="s">
        <v>1072</v>
      </c>
      <c r="C573" s="140"/>
      <c r="D573" s="134">
        <v>865867.46</v>
      </c>
      <c r="E573" s="134">
        <f t="shared" si="8"/>
        <v>907834.83805604558</v>
      </c>
    </row>
    <row r="574" spans="1:8" x14ac:dyDescent="0.2">
      <c r="A574" s="15">
        <v>45946</v>
      </c>
      <c r="B574" s="980" t="s">
        <v>1497</v>
      </c>
      <c r="C574" s="140"/>
      <c r="D574" s="134">
        <v>174016</v>
      </c>
      <c r="E574" s="134">
        <f t="shared" si="8"/>
        <v>733818.83805604558</v>
      </c>
    </row>
    <row r="575" spans="1:8" x14ac:dyDescent="0.2">
      <c r="A575" s="15">
        <v>45948</v>
      </c>
      <c r="B575" s="980" t="s">
        <v>1582</v>
      </c>
      <c r="C575" s="140">
        <v>1500000</v>
      </c>
      <c r="D575" s="134"/>
      <c r="E575" s="134">
        <f t="shared" si="8"/>
        <v>2233818.8380560456</v>
      </c>
    </row>
    <row r="576" spans="1:8" x14ac:dyDescent="0.2">
      <c r="A576" s="15">
        <v>45948</v>
      </c>
      <c r="B576" s="191" t="s">
        <v>1463</v>
      </c>
      <c r="C576" s="868"/>
      <c r="D576" s="191">
        <v>220000</v>
      </c>
      <c r="E576" s="134">
        <f t="shared" si="8"/>
        <v>2013818.8380560456</v>
      </c>
    </row>
    <row r="577" spans="1:5" x14ac:dyDescent="0.2">
      <c r="A577" s="15">
        <v>45950</v>
      </c>
      <c r="B577" s="191" t="s">
        <v>1072</v>
      </c>
      <c r="C577" s="140"/>
      <c r="D577" s="134">
        <v>161312.17000000001</v>
      </c>
      <c r="E577" s="134">
        <f t="shared" si="8"/>
        <v>1852506.6680560457</v>
      </c>
    </row>
    <row r="578" spans="1:5" x14ac:dyDescent="0.2">
      <c r="A578" s="15">
        <v>45950</v>
      </c>
      <c r="B578" s="134" t="s">
        <v>1655</v>
      </c>
      <c r="C578" s="140"/>
      <c r="D578" s="134">
        <v>130000</v>
      </c>
      <c r="E578" s="134">
        <f t="shared" si="8"/>
        <v>1722506.6680560457</v>
      </c>
    </row>
    <row r="579" spans="1:5" x14ac:dyDescent="0.2">
      <c r="A579" s="15">
        <v>45951</v>
      </c>
      <c r="B579" s="1053" t="s">
        <v>1126</v>
      </c>
      <c r="C579" s="140"/>
      <c r="D579" s="134">
        <v>594.63</v>
      </c>
      <c r="E579" s="134">
        <f t="shared" si="8"/>
        <v>1721912.0380560458</v>
      </c>
    </row>
    <row r="580" spans="1:5" x14ac:dyDescent="0.2">
      <c r="A580" s="15">
        <v>45951</v>
      </c>
      <c r="B580" s="134" t="s">
        <v>1050</v>
      </c>
      <c r="C580" s="140"/>
      <c r="D580" s="134">
        <v>50000</v>
      </c>
      <c r="E580" s="134">
        <f t="shared" si="8"/>
        <v>1671912.0380560458</v>
      </c>
    </row>
    <row r="581" spans="1:5" x14ac:dyDescent="0.2">
      <c r="A581" s="15">
        <v>45951</v>
      </c>
      <c r="B581" s="134" t="s">
        <v>1656</v>
      </c>
      <c r="C581" s="140"/>
      <c r="D581" s="134">
        <v>603000</v>
      </c>
      <c r="E581" s="134">
        <f t="shared" si="8"/>
        <v>1068912.0380560458</v>
      </c>
    </row>
    <row r="582" spans="1:5" x14ac:dyDescent="0.2">
      <c r="A582" s="15">
        <v>45951</v>
      </c>
      <c r="B582" s="134" t="s">
        <v>1613</v>
      </c>
      <c r="C582" s="140"/>
      <c r="D582" s="134">
        <v>1082200</v>
      </c>
      <c r="E582" s="134">
        <f t="shared" si="8"/>
        <v>-13287.961943954229</v>
      </c>
    </row>
    <row r="583" spans="1:5" x14ac:dyDescent="0.2">
      <c r="A583" s="15">
        <v>45951</v>
      </c>
      <c r="B583" s="980" t="s">
        <v>1582</v>
      </c>
      <c r="C583" s="140">
        <v>2000000</v>
      </c>
      <c r="D583" s="134"/>
      <c r="E583" s="134">
        <f t="shared" si="8"/>
        <v>1986712.0380560458</v>
      </c>
    </row>
    <row r="584" spans="1:5" x14ac:dyDescent="0.2">
      <c r="A584" s="15">
        <v>45951</v>
      </c>
      <c r="B584" s="134" t="s">
        <v>1050</v>
      </c>
      <c r="C584" s="140"/>
      <c r="D584" s="134">
        <v>50000</v>
      </c>
      <c r="E584" s="134">
        <f t="shared" si="8"/>
        <v>1936712.0380560458</v>
      </c>
    </row>
    <row r="585" spans="1:5" x14ac:dyDescent="0.2">
      <c r="A585" s="15">
        <v>45952</v>
      </c>
      <c r="B585" s="1053" t="s">
        <v>1126</v>
      </c>
      <c r="C585" s="140"/>
      <c r="D585" s="134">
        <v>548</v>
      </c>
      <c r="E585" s="134">
        <f t="shared" si="8"/>
        <v>1936164.0380560458</v>
      </c>
    </row>
    <row r="586" spans="1:5" x14ac:dyDescent="0.2">
      <c r="A586" s="15">
        <v>45952</v>
      </c>
      <c r="B586" s="134" t="s">
        <v>1554</v>
      </c>
      <c r="C586" s="140"/>
      <c r="D586" s="134">
        <v>1387</v>
      </c>
      <c r="E586" s="134">
        <f t="shared" si="8"/>
        <v>1934777.0380560458</v>
      </c>
    </row>
    <row r="587" spans="1:5" x14ac:dyDescent="0.2">
      <c r="A587" s="15">
        <v>45952</v>
      </c>
      <c r="B587" s="134" t="s">
        <v>1486</v>
      </c>
      <c r="C587" s="140"/>
      <c r="D587" s="134">
        <v>129700</v>
      </c>
      <c r="E587" s="134">
        <f t="shared" si="8"/>
        <v>1805077.0380560458</v>
      </c>
    </row>
    <row r="588" spans="1:5" x14ac:dyDescent="0.2">
      <c r="A588" s="15">
        <v>45952</v>
      </c>
      <c r="B588" s="134" t="s">
        <v>1657</v>
      </c>
      <c r="C588" s="140"/>
      <c r="D588" s="134">
        <v>7300</v>
      </c>
      <c r="E588" s="134">
        <f t="shared" si="8"/>
        <v>1797777.0380560458</v>
      </c>
    </row>
    <row r="589" spans="1:5" x14ac:dyDescent="0.2">
      <c r="A589" s="15">
        <v>45953</v>
      </c>
      <c r="B589" s="191" t="s">
        <v>1051</v>
      </c>
      <c r="C589" s="159"/>
      <c r="D589" s="1297">
        <v>550000</v>
      </c>
      <c r="E589" s="134">
        <f t="shared" si="8"/>
        <v>1247777.0380560458</v>
      </c>
    </row>
    <row r="590" spans="1:5" x14ac:dyDescent="0.2">
      <c r="A590" s="15">
        <v>45953</v>
      </c>
      <c r="B590" s="980" t="s">
        <v>1497</v>
      </c>
      <c r="C590" s="140"/>
      <c r="D590" s="134">
        <v>464341</v>
      </c>
      <c r="E590" s="134">
        <f t="shared" si="8"/>
        <v>783436.03805604577</v>
      </c>
    </row>
    <row r="591" spans="1:5" x14ac:dyDescent="0.2">
      <c r="A591" s="15">
        <v>45953</v>
      </c>
      <c r="B591" s="1053" t="s">
        <v>1126</v>
      </c>
      <c r="C591" s="140"/>
      <c r="D591" s="134">
        <v>4057.36</v>
      </c>
      <c r="E591" s="134">
        <f t="shared" si="8"/>
        <v>779378.67805604578</v>
      </c>
    </row>
    <row r="592" spans="1:5" x14ac:dyDescent="0.2">
      <c r="A592" s="15">
        <v>45957</v>
      </c>
      <c r="B592" s="191" t="s">
        <v>1463</v>
      </c>
      <c r="C592" s="868"/>
      <c r="D592" s="191">
        <v>220000</v>
      </c>
      <c r="E592" s="134">
        <f t="shared" si="8"/>
        <v>559378.67805604578</v>
      </c>
    </row>
    <row r="593" spans="1:5" x14ac:dyDescent="0.2">
      <c r="A593" s="15">
        <v>45957</v>
      </c>
      <c r="B593" s="134" t="s">
        <v>1658</v>
      </c>
      <c r="C593" s="140"/>
      <c r="D593" s="134">
        <v>500000</v>
      </c>
      <c r="E593" s="134">
        <f t="shared" si="8"/>
        <v>59378.678056045785</v>
      </c>
    </row>
    <row r="594" spans="1:5" x14ac:dyDescent="0.2">
      <c r="A594" s="15">
        <v>45957</v>
      </c>
      <c r="B594" s="980" t="s">
        <v>1582</v>
      </c>
      <c r="C594" s="140">
        <v>2500000</v>
      </c>
      <c r="D594" s="134"/>
      <c r="E594" s="134">
        <f t="shared" si="8"/>
        <v>2559378.6780560459</v>
      </c>
    </row>
    <row r="595" spans="1:5" x14ac:dyDescent="0.2">
      <c r="A595" s="15"/>
      <c r="B595" s="134"/>
      <c r="C595" s="140"/>
      <c r="D595" s="134"/>
      <c r="E595" s="134">
        <f t="shared" si="8"/>
        <v>2559378.6780560459</v>
      </c>
    </row>
    <row r="596" spans="1:5" x14ac:dyDescent="0.2">
      <c r="A596" s="15"/>
      <c r="B596" s="134"/>
      <c r="C596" s="140"/>
      <c r="D596" s="134"/>
      <c r="E596" s="134">
        <f t="shared" si="8"/>
        <v>2559378.6780560459</v>
      </c>
    </row>
    <row r="597" spans="1:5" x14ac:dyDescent="0.2">
      <c r="A597" s="15"/>
      <c r="B597" s="134"/>
      <c r="C597" s="140"/>
      <c r="D597" s="134"/>
      <c r="E597" s="134">
        <f t="shared" si="8"/>
        <v>2559378.6780560459</v>
      </c>
    </row>
    <row r="598" spans="1:5" x14ac:dyDescent="0.2">
      <c r="A598" s="15"/>
      <c r="B598" s="134"/>
      <c r="C598" s="140"/>
      <c r="D598" s="134"/>
      <c r="E598" s="134">
        <f t="shared" si="8"/>
        <v>2559378.6780560459</v>
      </c>
    </row>
    <row r="599" spans="1:5" x14ac:dyDescent="0.2">
      <c r="A599" s="15"/>
      <c r="B599" s="134"/>
      <c r="C599" s="140"/>
      <c r="D599" s="134"/>
      <c r="E599" s="134">
        <f t="shared" si="8"/>
        <v>2559378.6780560459</v>
      </c>
    </row>
    <row r="600" spans="1:5" x14ac:dyDescent="0.2">
      <c r="A600" s="15"/>
      <c r="B600" s="134"/>
      <c r="C600" s="140"/>
      <c r="D600" s="134"/>
      <c r="E600" s="134">
        <f t="shared" si="8"/>
        <v>2559378.6780560459</v>
      </c>
    </row>
    <row r="601" spans="1:5" x14ac:dyDescent="0.2">
      <c r="A601" s="15"/>
      <c r="B601" s="134"/>
      <c r="C601" s="140"/>
      <c r="D601" s="134"/>
      <c r="E601" s="134">
        <f t="shared" si="8"/>
        <v>2559378.6780560459</v>
      </c>
    </row>
    <row r="602" spans="1:5" x14ac:dyDescent="0.2">
      <c r="A602" s="15"/>
      <c r="B602" s="134"/>
      <c r="C602" s="140"/>
      <c r="D602" s="134"/>
      <c r="E602" s="134">
        <f t="shared" si="8"/>
        <v>2559378.6780560459</v>
      </c>
    </row>
    <row r="603" spans="1:5" x14ac:dyDescent="0.2">
      <c r="A603" s="15"/>
      <c r="B603" s="134"/>
      <c r="C603" s="140"/>
      <c r="D603" s="134"/>
      <c r="E603" s="134">
        <f t="shared" si="8"/>
        <v>2559378.6780560459</v>
      </c>
    </row>
    <row r="604" spans="1:5" x14ac:dyDescent="0.2">
      <c r="A604" s="15"/>
      <c r="B604" s="134"/>
      <c r="C604" s="140"/>
      <c r="D604" s="134"/>
      <c r="E604" s="134">
        <f t="shared" ref="E604:E611" si="9">E603+C604-D604</f>
        <v>2559378.6780560459</v>
      </c>
    </row>
    <row r="605" spans="1:5" x14ac:dyDescent="0.2">
      <c r="A605" s="15"/>
      <c r="B605" s="134"/>
      <c r="C605" s="140"/>
      <c r="D605" s="134"/>
      <c r="E605" s="134">
        <f t="shared" si="9"/>
        <v>2559378.6780560459</v>
      </c>
    </row>
    <row r="606" spans="1:5" x14ac:dyDescent="0.2">
      <c r="A606" s="15"/>
      <c r="B606" s="134"/>
      <c r="C606" s="140"/>
      <c r="D606" s="134"/>
      <c r="E606" s="134">
        <f t="shared" si="9"/>
        <v>2559378.6780560459</v>
      </c>
    </row>
    <row r="607" spans="1:5" x14ac:dyDescent="0.2">
      <c r="A607" s="15"/>
      <c r="B607" s="134"/>
      <c r="C607" s="140"/>
      <c r="D607" s="134"/>
      <c r="E607" s="134">
        <f t="shared" si="9"/>
        <v>2559378.6780560459</v>
      </c>
    </row>
    <row r="608" spans="1:5" x14ac:dyDescent="0.2">
      <c r="A608" s="15"/>
      <c r="B608" s="134"/>
      <c r="C608" s="140"/>
      <c r="D608" s="134"/>
      <c r="E608" s="134">
        <f t="shared" si="9"/>
        <v>2559378.6780560459</v>
      </c>
    </row>
    <row r="609" spans="1:5" x14ac:dyDescent="0.2">
      <c r="A609" s="15"/>
      <c r="B609" s="134"/>
      <c r="C609" s="140"/>
      <c r="D609" s="134"/>
      <c r="E609" s="134">
        <f t="shared" si="9"/>
        <v>2559378.6780560459</v>
      </c>
    </row>
    <row r="610" spans="1:5" x14ac:dyDescent="0.2">
      <c r="A610" s="15"/>
      <c r="B610" s="134"/>
      <c r="C610" s="140"/>
      <c r="D610" s="134"/>
      <c r="E610" s="134">
        <f t="shared" si="9"/>
        <v>2559378.6780560459</v>
      </c>
    </row>
    <row r="611" spans="1:5" x14ac:dyDescent="0.2">
      <c r="A611" s="15"/>
      <c r="B611" s="134"/>
      <c r="C611" s="140"/>
      <c r="D611" s="134"/>
      <c r="E611" s="134">
        <f t="shared" si="9"/>
        <v>2559378.6780560459</v>
      </c>
    </row>
    <row r="612" spans="1:5" x14ac:dyDescent="0.2">
      <c r="A612" s="15"/>
      <c r="B612" s="134"/>
      <c r="C612" s="140"/>
      <c r="D612" s="134"/>
      <c r="E612" s="134">
        <f t="shared" ref="E612:E618" si="10">E611+C612-D612</f>
        <v>2559378.6780560459</v>
      </c>
    </row>
    <row r="613" spans="1:5" x14ac:dyDescent="0.2">
      <c r="A613" s="15"/>
      <c r="B613" s="134"/>
      <c r="C613" s="140"/>
      <c r="D613" s="134"/>
      <c r="E613" s="134">
        <f t="shared" si="10"/>
        <v>2559378.6780560459</v>
      </c>
    </row>
    <row r="614" spans="1:5" x14ac:dyDescent="0.2">
      <c r="A614" s="15"/>
      <c r="B614" s="134"/>
      <c r="C614" s="140"/>
      <c r="D614" s="134"/>
      <c r="E614" s="134">
        <f t="shared" si="10"/>
        <v>2559378.6780560459</v>
      </c>
    </row>
    <row r="615" spans="1:5" x14ac:dyDescent="0.2">
      <c r="A615" s="15"/>
      <c r="B615" s="134"/>
      <c r="C615" s="140"/>
      <c r="D615" s="134"/>
      <c r="E615" s="134">
        <f t="shared" si="10"/>
        <v>2559378.6780560459</v>
      </c>
    </row>
    <row r="616" spans="1:5" x14ac:dyDescent="0.2">
      <c r="A616" s="15"/>
      <c r="B616" s="134"/>
      <c r="C616" s="140"/>
      <c r="D616" s="134"/>
      <c r="E616" s="134">
        <f t="shared" si="10"/>
        <v>2559378.6780560459</v>
      </c>
    </row>
    <row r="617" spans="1:5" x14ac:dyDescent="0.2">
      <c r="A617" s="15"/>
      <c r="B617" s="134"/>
      <c r="C617" s="140"/>
      <c r="D617" s="134"/>
      <c r="E617" s="134">
        <f t="shared" si="10"/>
        <v>2559378.6780560459</v>
      </c>
    </row>
    <row r="618" spans="1:5" x14ac:dyDescent="0.2">
      <c r="A618" s="15"/>
      <c r="B618" s="134"/>
      <c r="C618" s="140"/>
      <c r="D618" s="134"/>
      <c r="E618" s="134">
        <f t="shared" si="10"/>
        <v>2559378.6780560459</v>
      </c>
    </row>
    <row r="619" spans="1:5" x14ac:dyDescent="0.2">
      <c r="A619" s="15"/>
      <c r="B619" s="134"/>
      <c r="C619" s="140"/>
      <c r="D619" s="134"/>
      <c r="E619" s="134">
        <f t="shared" ref="E619:E636" si="11">E618+C619-D619</f>
        <v>2559378.6780560459</v>
      </c>
    </row>
    <row r="620" spans="1:5" x14ac:dyDescent="0.2">
      <c r="A620" s="15"/>
      <c r="B620" s="134"/>
      <c r="C620" s="140"/>
      <c r="D620" s="134"/>
      <c r="E620" s="134">
        <f t="shared" si="11"/>
        <v>2559378.6780560459</v>
      </c>
    </row>
    <row r="621" spans="1:5" x14ac:dyDescent="0.2">
      <c r="A621" s="15"/>
      <c r="B621" s="134"/>
      <c r="C621" s="140"/>
      <c r="D621" s="134"/>
      <c r="E621" s="134">
        <f t="shared" si="11"/>
        <v>2559378.6780560459</v>
      </c>
    </row>
    <row r="622" spans="1:5" x14ac:dyDescent="0.2">
      <c r="A622" s="15"/>
      <c r="B622" s="134"/>
      <c r="C622" s="140"/>
      <c r="D622" s="134"/>
      <c r="E622" s="134">
        <f t="shared" si="11"/>
        <v>2559378.6780560459</v>
      </c>
    </row>
    <row r="623" spans="1:5" x14ac:dyDescent="0.2">
      <c r="A623" s="15"/>
      <c r="B623" s="134"/>
      <c r="C623" s="140"/>
      <c r="D623" s="134"/>
      <c r="E623" s="134">
        <f t="shared" si="11"/>
        <v>2559378.6780560459</v>
      </c>
    </row>
    <row r="624" spans="1:5" x14ac:dyDescent="0.2">
      <c r="A624" s="15"/>
      <c r="B624" s="134"/>
      <c r="C624" s="140"/>
      <c r="D624" s="134"/>
      <c r="E624" s="134">
        <f t="shared" si="11"/>
        <v>2559378.6780560459</v>
      </c>
    </row>
    <row r="625" spans="1:5" x14ac:dyDescent="0.2">
      <c r="A625" s="15"/>
      <c r="B625" s="134"/>
      <c r="C625" s="140"/>
      <c r="D625" s="134"/>
      <c r="E625" s="134">
        <f t="shared" si="11"/>
        <v>2559378.6780560459</v>
      </c>
    </row>
    <row r="626" spans="1:5" x14ac:dyDescent="0.2">
      <c r="A626" s="15"/>
      <c r="B626" s="134"/>
      <c r="C626" s="140"/>
      <c r="D626" s="134"/>
      <c r="E626" s="134">
        <f t="shared" si="11"/>
        <v>2559378.6780560459</v>
      </c>
    </row>
    <row r="627" spans="1:5" x14ac:dyDescent="0.2">
      <c r="A627" s="15"/>
      <c r="B627" s="134"/>
      <c r="C627" s="140"/>
      <c r="D627" s="134"/>
      <c r="E627" s="134">
        <f t="shared" si="11"/>
        <v>2559378.6780560459</v>
      </c>
    </row>
    <row r="628" spans="1:5" x14ac:dyDescent="0.2">
      <c r="A628" s="15"/>
      <c r="B628" s="134"/>
      <c r="C628" s="140"/>
      <c r="D628" s="134"/>
      <c r="E628" s="134">
        <f t="shared" si="11"/>
        <v>2559378.6780560459</v>
      </c>
    </row>
    <row r="629" spans="1:5" x14ac:dyDescent="0.2">
      <c r="A629" s="15"/>
      <c r="B629" s="134"/>
      <c r="C629" s="140"/>
      <c r="D629" s="134"/>
      <c r="E629" s="134">
        <f t="shared" si="11"/>
        <v>2559378.6780560459</v>
      </c>
    </row>
    <row r="630" spans="1:5" x14ac:dyDescent="0.2">
      <c r="A630" s="15"/>
      <c r="B630" s="134"/>
      <c r="C630" s="140"/>
      <c r="D630" s="134"/>
      <c r="E630" s="134">
        <f t="shared" si="11"/>
        <v>2559378.6780560459</v>
      </c>
    </row>
    <row r="631" spans="1:5" x14ac:dyDescent="0.2">
      <c r="A631" s="15"/>
      <c r="B631" s="134"/>
      <c r="C631" s="140"/>
      <c r="D631" s="134"/>
      <c r="E631" s="134">
        <f t="shared" si="11"/>
        <v>2559378.6780560459</v>
      </c>
    </row>
    <row r="632" spans="1:5" x14ac:dyDescent="0.2">
      <c r="A632" s="15"/>
      <c r="B632" s="134"/>
      <c r="C632" s="140"/>
      <c r="D632" s="134"/>
      <c r="E632" s="134">
        <f t="shared" si="11"/>
        <v>2559378.6780560459</v>
      </c>
    </row>
    <row r="633" spans="1:5" x14ac:dyDescent="0.2">
      <c r="A633" s="15"/>
      <c r="B633" s="134"/>
      <c r="C633" s="140"/>
      <c r="D633" s="134"/>
      <c r="E633" s="134">
        <f t="shared" si="11"/>
        <v>2559378.6780560459</v>
      </c>
    </row>
    <row r="634" spans="1:5" x14ac:dyDescent="0.2">
      <c r="A634" s="15"/>
      <c r="B634" s="134"/>
      <c r="C634" s="140"/>
      <c r="D634" s="134"/>
      <c r="E634" s="134">
        <f t="shared" si="11"/>
        <v>2559378.6780560459</v>
      </c>
    </row>
    <row r="635" spans="1:5" x14ac:dyDescent="0.2">
      <c r="A635" s="15"/>
      <c r="B635" s="134"/>
      <c r="C635" s="140"/>
      <c r="D635" s="134"/>
      <c r="E635" s="134">
        <f t="shared" si="11"/>
        <v>2559378.6780560459</v>
      </c>
    </row>
    <row r="636" spans="1:5" s="31" customFormat="1" x14ac:dyDescent="0.2">
      <c r="A636" s="981"/>
      <c r="B636" s="206" t="s">
        <v>265</v>
      </c>
      <c r="C636" s="982"/>
      <c r="D636" s="206"/>
      <c r="E636" s="206">
        <f t="shared" si="11"/>
        <v>2559378.6780560459</v>
      </c>
    </row>
    <row r="637" spans="1:5" x14ac:dyDescent="0.2">
      <c r="A637" s="21"/>
    </row>
    <row r="638" spans="1:5" x14ac:dyDescent="0.2">
      <c r="A638" s="43" t="s">
        <v>103</v>
      </c>
      <c r="B638" s="142"/>
      <c r="C638" s="143">
        <f>SUM(C12:C391)</f>
        <v>1140342639.8099999</v>
      </c>
      <c r="D638" s="142">
        <f>SUM(D12:D391)</f>
        <v>1146974832.0699997</v>
      </c>
      <c r="E638" s="142"/>
    </row>
  </sheetData>
  <mergeCells count="1">
    <mergeCell ref="A5:E5"/>
  </mergeCells>
  <printOptions horizontalCentered="1"/>
  <pageMargins left="0.15748031496062992" right="0.27559055118110237" top="0.39370078740157483" bottom="0.59055118110236227" header="0" footer="0"/>
  <pageSetup scale="9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10A6-E3A9-4CEC-ACE3-D207F8BA0E4E}">
  <dimension ref="A1:IV431"/>
  <sheetViews>
    <sheetView workbookViewId="0">
      <selection activeCell="A3" sqref="A3"/>
    </sheetView>
  </sheetViews>
  <sheetFormatPr baseColWidth="10" defaultColWidth="9.6640625" defaultRowHeight="12.75" x14ac:dyDescent="0.2"/>
  <cols>
    <col min="1" max="1" width="11.6640625" style="11" customWidth="1"/>
    <col min="2" max="2" width="37.6640625" style="47" customWidth="1"/>
    <col min="3" max="3" width="15.77734375" style="141" customWidth="1"/>
    <col min="4" max="5" width="15.77734375" style="47" customWidth="1"/>
    <col min="6" max="6" width="1.6640625" style="47" customWidth="1"/>
    <col min="7" max="7" width="24.109375" style="916" bestFit="1" customWidth="1"/>
    <col min="8" max="8" width="22" style="916" bestFit="1" customWidth="1"/>
    <col min="9" max="9" width="20.44140625" style="916" bestFit="1" customWidth="1"/>
    <col min="10" max="10" width="14.77734375" style="916" customWidth="1"/>
    <col min="11" max="11" width="12.109375" style="916" bestFit="1" customWidth="1"/>
    <col min="12" max="12" width="14" style="916" bestFit="1" customWidth="1"/>
    <col min="13" max="45" width="9.6640625" style="47"/>
    <col min="46" max="16384" width="9.6640625" style="11"/>
  </cols>
  <sheetData>
    <row r="1" spans="1:256" x14ac:dyDescent="0.2">
      <c r="A1" s="225" t="str">
        <f>+Códigos!$A$1</f>
        <v>LIBRO DIARIO OFICINA</v>
      </c>
      <c r="B1" s="129"/>
      <c r="C1" s="129"/>
      <c r="D1" s="129"/>
      <c r="E1" s="129"/>
      <c r="F1" s="130"/>
      <c r="G1" s="917"/>
      <c r="H1" s="918"/>
      <c r="I1" s="918"/>
      <c r="J1" s="918"/>
      <c r="K1" s="918"/>
      <c r="L1" s="918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x14ac:dyDescent="0.2">
      <c r="A2" s="35" t="s">
        <v>2063</v>
      </c>
      <c r="B2" s="129"/>
      <c r="C2" s="129"/>
      <c r="D2" s="129"/>
      <c r="E2" s="129"/>
      <c r="F2" s="130"/>
      <c r="G2" s="917"/>
      <c r="H2" s="918"/>
      <c r="I2" s="918"/>
      <c r="J2" s="918"/>
      <c r="K2" s="918"/>
      <c r="L2" s="918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pans="1:256" x14ac:dyDescent="0.2">
      <c r="A3" s="66" t="str">
        <f>+Códigos!$A$3</f>
        <v>AÑO:</v>
      </c>
      <c r="B3" s="772">
        <f>+Códigos!$B$3</f>
        <v>2025</v>
      </c>
      <c r="C3" s="133"/>
      <c r="D3" s="132"/>
      <c r="E3" s="132"/>
      <c r="F3" s="130"/>
      <c r="G3" s="918"/>
      <c r="H3" s="919"/>
      <c r="I3" s="919"/>
      <c r="J3" s="919"/>
      <c r="K3" s="919"/>
      <c r="L3" s="919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 x14ac:dyDescent="0.2">
      <c r="A4" s="66"/>
      <c r="B4" s="772"/>
      <c r="C4" s="133"/>
      <c r="D4" s="132"/>
      <c r="E4" s="132"/>
      <c r="F4" s="130"/>
      <c r="G4" s="918"/>
      <c r="H4" s="919"/>
      <c r="I4" s="919"/>
      <c r="J4" s="919"/>
      <c r="K4" s="919"/>
      <c r="L4" s="919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</row>
    <row r="5" spans="1:256" ht="26.25" customHeight="1" x14ac:dyDescent="0.2">
      <c r="A5" s="1375"/>
      <c r="B5" s="1375"/>
      <c r="C5" s="1375"/>
      <c r="D5" s="1375"/>
      <c r="E5" s="1375"/>
      <c r="F5" s="130"/>
      <c r="G5" s="920"/>
      <c r="H5" s="921"/>
      <c r="I5" s="919"/>
      <c r="J5" s="919"/>
      <c r="K5" s="919"/>
      <c r="L5" s="919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</row>
    <row r="6" spans="1:256" s="152" customFormat="1" x14ac:dyDescent="0.2">
      <c r="A6" s="147" t="s">
        <v>249</v>
      </c>
      <c r="B6" s="148"/>
      <c r="C6" s="149"/>
      <c r="D6" s="148"/>
      <c r="E6" s="146">
        <v>130000000</v>
      </c>
      <c r="F6" s="150"/>
      <c r="G6" s="922"/>
      <c r="H6" s="923"/>
      <c r="I6" s="191"/>
      <c r="J6" s="191"/>
      <c r="K6" s="924"/>
      <c r="L6" s="924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</row>
    <row r="7" spans="1:256" s="152" customFormat="1" x14ac:dyDescent="0.2">
      <c r="A7" s="109" t="s">
        <v>250</v>
      </c>
      <c r="B7" s="153"/>
      <c r="C7" s="154"/>
      <c r="D7" s="153"/>
      <c r="E7" s="153">
        <f>E420</f>
        <v>73500000</v>
      </c>
      <c r="F7" s="150"/>
      <c r="G7" s="922"/>
      <c r="H7" s="923"/>
      <c r="I7" s="924"/>
      <c r="J7" s="925"/>
      <c r="K7" s="924"/>
      <c r="L7" s="924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</row>
    <row r="8" spans="1:256" ht="5.0999999999999996" customHeight="1" x14ac:dyDescent="0.2">
      <c r="A8" s="9"/>
      <c r="B8" s="135"/>
      <c r="C8" s="136"/>
      <c r="D8" s="137"/>
      <c r="E8" s="137"/>
      <c r="F8" s="130"/>
      <c r="H8" s="919"/>
    </row>
    <row r="9" spans="1:256" x14ac:dyDescent="0.2">
      <c r="A9" s="7"/>
      <c r="B9" s="132"/>
      <c r="C9" s="133"/>
      <c r="D9" s="132"/>
      <c r="E9" s="132"/>
      <c r="F9" s="130"/>
    </row>
    <row r="10" spans="1:256" x14ac:dyDescent="0.2">
      <c r="A10" s="108" t="s">
        <v>3</v>
      </c>
      <c r="B10" s="155" t="s">
        <v>23</v>
      </c>
      <c r="C10" s="156" t="s">
        <v>25</v>
      </c>
      <c r="D10" s="155" t="s">
        <v>20</v>
      </c>
      <c r="E10" s="155" t="s">
        <v>22</v>
      </c>
      <c r="F10" s="130"/>
    </row>
    <row r="11" spans="1:256" x14ac:dyDescent="0.2">
      <c r="A11" s="7"/>
      <c r="B11" s="132"/>
      <c r="C11" s="133"/>
      <c r="D11" s="132"/>
      <c r="E11" s="132"/>
      <c r="F11" s="130"/>
    </row>
    <row r="12" spans="1:256" x14ac:dyDescent="0.2">
      <c r="A12" s="12">
        <v>44935</v>
      </c>
      <c r="B12" s="138" t="s">
        <v>256</v>
      </c>
      <c r="C12" s="139">
        <v>0</v>
      </c>
      <c r="D12" s="138">
        <v>0</v>
      </c>
      <c r="E12" s="138">
        <f>+E6</f>
        <v>130000000</v>
      </c>
      <c r="F12" s="130"/>
    </row>
    <row r="13" spans="1:256" x14ac:dyDescent="0.2">
      <c r="A13" s="15"/>
      <c r="B13" s="134"/>
      <c r="C13" s="140"/>
      <c r="D13" s="134"/>
      <c r="E13" s="134"/>
      <c r="F13" s="130"/>
    </row>
    <row r="14" spans="1:256" x14ac:dyDescent="0.2">
      <c r="A14" s="211">
        <v>45671</v>
      </c>
      <c r="B14" s="1053" t="s">
        <v>1060</v>
      </c>
      <c r="C14" s="868">
        <v>0</v>
      </c>
      <c r="D14" s="191"/>
      <c r="E14" s="134">
        <f>+E12-C14+D14</f>
        <v>130000000</v>
      </c>
      <c r="F14" s="130"/>
    </row>
    <row r="15" spans="1:256" x14ac:dyDescent="0.2">
      <c r="A15" s="211">
        <v>45671</v>
      </c>
      <c r="B15" s="191" t="s">
        <v>1061</v>
      </c>
      <c r="C15" s="868">
        <v>130000000</v>
      </c>
      <c r="D15" s="191"/>
      <c r="E15" s="134">
        <f>+E14-C15+D15</f>
        <v>0</v>
      </c>
      <c r="F15" s="130"/>
    </row>
    <row r="16" spans="1:256" x14ac:dyDescent="0.2">
      <c r="A16" s="211">
        <v>45671</v>
      </c>
      <c r="B16" s="1053" t="s">
        <v>1068</v>
      </c>
      <c r="C16" s="868"/>
      <c r="D16" s="191">
        <v>70000000</v>
      </c>
      <c r="E16" s="134">
        <f t="shared" ref="E16:E58" si="0">+E15-C16+D16</f>
        <v>70000000</v>
      </c>
      <c r="F16" s="130"/>
      <c r="G16" s="191"/>
    </row>
    <row r="17" spans="1:6" x14ac:dyDescent="0.2">
      <c r="A17" s="211">
        <v>45674</v>
      </c>
      <c r="B17" s="1053" t="s">
        <v>1068</v>
      </c>
      <c r="C17" s="868"/>
      <c r="D17" s="868">
        <v>65000000</v>
      </c>
      <c r="E17" s="134">
        <f t="shared" si="0"/>
        <v>135000000</v>
      </c>
      <c r="F17" s="130"/>
    </row>
    <row r="18" spans="1:6" x14ac:dyDescent="0.2">
      <c r="A18" s="211">
        <v>45705</v>
      </c>
      <c r="B18" s="1053" t="s">
        <v>1060</v>
      </c>
      <c r="C18" s="868">
        <v>0</v>
      </c>
      <c r="D18" s="868"/>
      <c r="E18" s="134">
        <f t="shared" si="0"/>
        <v>135000000</v>
      </c>
      <c r="F18" s="130"/>
    </row>
    <row r="19" spans="1:6" x14ac:dyDescent="0.2">
      <c r="A19" s="211">
        <v>45705</v>
      </c>
      <c r="B19" s="191" t="s">
        <v>1061</v>
      </c>
      <c r="C19" s="868">
        <v>65000000</v>
      </c>
      <c r="D19" s="868"/>
      <c r="E19" s="134">
        <f t="shared" si="0"/>
        <v>70000000</v>
      </c>
      <c r="F19" s="130"/>
    </row>
    <row r="20" spans="1:6" x14ac:dyDescent="0.2">
      <c r="A20" s="211">
        <v>45706</v>
      </c>
      <c r="B20" s="1053" t="s">
        <v>1068</v>
      </c>
      <c r="C20" s="868"/>
      <c r="D20" s="191">
        <v>10000000</v>
      </c>
      <c r="E20" s="134">
        <f t="shared" si="0"/>
        <v>80000000</v>
      </c>
      <c r="F20" s="130"/>
    </row>
    <row r="21" spans="1:6" x14ac:dyDescent="0.2">
      <c r="A21" s="211">
        <v>45706</v>
      </c>
      <c r="B21" s="1053" t="s">
        <v>1068</v>
      </c>
      <c r="C21" s="868"/>
      <c r="D21" s="191">
        <v>40000000</v>
      </c>
      <c r="E21" s="134">
        <f t="shared" si="0"/>
        <v>120000000</v>
      </c>
      <c r="F21" s="130"/>
    </row>
    <row r="22" spans="1:6" x14ac:dyDescent="0.2">
      <c r="A22" s="211">
        <v>45734</v>
      </c>
      <c r="B22" s="1053" t="s">
        <v>1060</v>
      </c>
      <c r="C22" s="868">
        <v>0</v>
      </c>
      <c r="D22" s="868"/>
      <c r="E22" s="134">
        <f t="shared" si="0"/>
        <v>120000000</v>
      </c>
      <c r="F22" s="130"/>
    </row>
    <row r="23" spans="1:6" x14ac:dyDescent="0.2">
      <c r="A23" s="211">
        <v>45734</v>
      </c>
      <c r="B23" s="191" t="s">
        <v>1061</v>
      </c>
      <c r="C23" s="868">
        <v>10000000</v>
      </c>
      <c r="D23" s="191"/>
      <c r="E23" s="134">
        <f t="shared" si="0"/>
        <v>110000000</v>
      </c>
      <c r="F23" s="130"/>
    </row>
    <row r="24" spans="1:6" x14ac:dyDescent="0.2">
      <c r="A24" s="211">
        <v>45736</v>
      </c>
      <c r="B24" s="1053" t="s">
        <v>1068</v>
      </c>
      <c r="C24" s="868"/>
      <c r="D24" s="191">
        <v>250000000</v>
      </c>
      <c r="E24" s="134">
        <f t="shared" si="0"/>
        <v>360000000</v>
      </c>
      <c r="F24" s="130"/>
    </row>
    <row r="25" spans="1:6" x14ac:dyDescent="0.2">
      <c r="A25" s="211">
        <v>45762</v>
      </c>
      <c r="B25" s="1053" t="s">
        <v>1060</v>
      </c>
      <c r="C25" s="868">
        <v>0</v>
      </c>
      <c r="D25" s="191"/>
      <c r="E25" s="134">
        <f t="shared" si="0"/>
        <v>360000000</v>
      </c>
      <c r="F25" s="130"/>
    </row>
    <row r="26" spans="1:6" x14ac:dyDescent="0.2">
      <c r="A26" s="211">
        <v>45762</v>
      </c>
      <c r="B26" s="191" t="s">
        <v>1061</v>
      </c>
      <c r="C26" s="868">
        <v>70000000</v>
      </c>
      <c r="D26" s="191"/>
      <c r="E26" s="134">
        <f t="shared" si="0"/>
        <v>290000000</v>
      </c>
      <c r="F26" s="130"/>
    </row>
    <row r="27" spans="1:6" x14ac:dyDescent="0.2">
      <c r="A27" s="211">
        <v>45762</v>
      </c>
      <c r="B27" s="1053" t="s">
        <v>1068</v>
      </c>
      <c r="C27" s="868"/>
      <c r="D27" s="868">
        <v>21500000</v>
      </c>
      <c r="E27" s="134">
        <f t="shared" si="0"/>
        <v>311500000</v>
      </c>
      <c r="F27" s="130"/>
    </row>
    <row r="28" spans="1:6" x14ac:dyDescent="0.2">
      <c r="A28" s="211">
        <v>45762</v>
      </c>
      <c r="B28" s="1053" t="s">
        <v>1068</v>
      </c>
      <c r="C28" s="868"/>
      <c r="D28" s="868">
        <v>20000000</v>
      </c>
      <c r="E28" s="134">
        <f t="shared" si="0"/>
        <v>331500000</v>
      </c>
      <c r="F28" s="130"/>
    </row>
    <row r="29" spans="1:6" x14ac:dyDescent="0.2">
      <c r="A29" s="211">
        <v>45762</v>
      </c>
      <c r="B29" s="1053" t="s">
        <v>1068</v>
      </c>
      <c r="C29" s="868"/>
      <c r="D29" s="868">
        <v>20000000</v>
      </c>
      <c r="E29" s="134">
        <f t="shared" si="0"/>
        <v>351500000</v>
      </c>
      <c r="F29" s="130"/>
    </row>
    <row r="30" spans="1:6" x14ac:dyDescent="0.2">
      <c r="A30" s="211">
        <v>45767</v>
      </c>
      <c r="B30" s="191" t="s">
        <v>1061</v>
      </c>
      <c r="C30" s="191">
        <v>250000000</v>
      </c>
      <c r="D30" s="191"/>
      <c r="E30" s="134">
        <f t="shared" si="0"/>
        <v>101500000</v>
      </c>
      <c r="F30" s="130"/>
    </row>
    <row r="31" spans="1:6" x14ac:dyDescent="0.2">
      <c r="A31" s="211">
        <v>45767</v>
      </c>
      <c r="B31" s="1053" t="s">
        <v>1060</v>
      </c>
      <c r="C31" s="868">
        <v>0</v>
      </c>
      <c r="D31" s="191"/>
      <c r="E31" s="134">
        <f t="shared" si="0"/>
        <v>101500000</v>
      </c>
      <c r="F31" s="130"/>
    </row>
    <row r="32" spans="1:6" x14ac:dyDescent="0.2">
      <c r="A32" s="211">
        <v>45769</v>
      </c>
      <c r="B32" s="1053" t="s">
        <v>1068</v>
      </c>
      <c r="C32" s="868"/>
      <c r="D32" s="191">
        <v>110000000</v>
      </c>
      <c r="E32" s="134">
        <f t="shared" si="0"/>
        <v>211500000</v>
      </c>
      <c r="F32" s="130"/>
    </row>
    <row r="33" spans="1:6" x14ac:dyDescent="0.2">
      <c r="A33" s="211">
        <v>45792</v>
      </c>
      <c r="B33" s="191" t="s">
        <v>1061</v>
      </c>
      <c r="C33" s="868">
        <v>20000000</v>
      </c>
      <c r="D33" s="868"/>
      <c r="E33" s="134">
        <f t="shared" si="0"/>
        <v>191500000</v>
      </c>
      <c r="F33" s="130"/>
    </row>
    <row r="34" spans="1:6" x14ac:dyDescent="0.2">
      <c r="A34" s="211">
        <v>45799</v>
      </c>
      <c r="B34" s="191" t="s">
        <v>1061</v>
      </c>
      <c r="C34" s="868">
        <v>110000000</v>
      </c>
      <c r="D34" s="868"/>
      <c r="E34" s="134">
        <f t="shared" si="0"/>
        <v>81500000</v>
      </c>
      <c r="F34" s="130"/>
    </row>
    <row r="35" spans="1:6" x14ac:dyDescent="0.2">
      <c r="A35" s="211">
        <v>45823</v>
      </c>
      <c r="B35" s="191" t="s">
        <v>1061</v>
      </c>
      <c r="C35" s="868">
        <v>20000000</v>
      </c>
      <c r="D35" s="868"/>
      <c r="E35" s="134">
        <f t="shared" si="0"/>
        <v>61500000</v>
      </c>
      <c r="F35" s="130"/>
    </row>
    <row r="36" spans="1:6" x14ac:dyDescent="0.2">
      <c r="A36" s="211">
        <v>45835</v>
      </c>
      <c r="B36" s="1053" t="s">
        <v>1068</v>
      </c>
      <c r="C36" s="868"/>
      <c r="D36" s="191">
        <v>21000000</v>
      </c>
      <c r="E36" s="134">
        <f t="shared" si="0"/>
        <v>82500000</v>
      </c>
      <c r="F36" s="130"/>
    </row>
    <row r="37" spans="1:6" x14ac:dyDescent="0.2">
      <c r="A37" s="211">
        <v>45839</v>
      </c>
      <c r="B37" s="1053" t="s">
        <v>1068</v>
      </c>
      <c r="C37" s="868"/>
      <c r="D37" s="191">
        <v>12000000</v>
      </c>
      <c r="E37" s="134">
        <f t="shared" si="0"/>
        <v>94500000</v>
      </c>
      <c r="F37" s="130"/>
    </row>
    <row r="38" spans="1:6" x14ac:dyDescent="0.2">
      <c r="A38" s="211">
        <v>45853</v>
      </c>
      <c r="B38" s="191" t="s">
        <v>1061</v>
      </c>
      <c r="C38" s="868">
        <v>21000000</v>
      </c>
      <c r="D38" s="191"/>
      <c r="E38" s="134">
        <f t="shared" si="0"/>
        <v>73500000</v>
      </c>
      <c r="F38" s="130"/>
    </row>
    <row r="39" spans="1:6" x14ac:dyDescent="0.2">
      <c r="A39" s="211"/>
      <c r="B39" s="191"/>
      <c r="C39" s="868"/>
      <c r="D39" s="191"/>
      <c r="E39" s="134">
        <f t="shared" si="0"/>
        <v>73500000</v>
      </c>
      <c r="F39" s="130"/>
    </row>
    <row r="40" spans="1:6" x14ac:dyDescent="0.2">
      <c r="A40" s="211"/>
      <c r="B40" s="1053"/>
      <c r="C40" s="868"/>
      <c r="D40" s="868"/>
      <c r="E40" s="134">
        <f t="shared" si="0"/>
        <v>73500000</v>
      </c>
      <c r="F40" s="130"/>
    </row>
    <row r="41" spans="1:6" x14ac:dyDescent="0.2">
      <c r="A41" s="211"/>
      <c r="B41" s="1053"/>
      <c r="C41" s="868"/>
      <c r="D41" s="868"/>
      <c r="E41" s="134">
        <f t="shared" si="0"/>
        <v>73500000</v>
      </c>
      <c r="F41" s="130"/>
    </row>
    <row r="42" spans="1:6" x14ac:dyDescent="0.2">
      <c r="A42" s="211"/>
      <c r="B42" s="191"/>
      <c r="C42" s="868"/>
      <c r="D42" s="868"/>
      <c r="E42" s="134">
        <f t="shared" si="0"/>
        <v>73500000</v>
      </c>
      <c r="F42" s="130"/>
    </row>
    <row r="43" spans="1:6" x14ac:dyDescent="0.2">
      <c r="A43" s="211"/>
      <c r="B43" s="191"/>
      <c r="C43" s="868"/>
      <c r="D43" s="868"/>
      <c r="E43" s="134">
        <f t="shared" si="0"/>
        <v>73500000</v>
      </c>
      <c r="F43" s="130"/>
    </row>
    <row r="44" spans="1:6" x14ac:dyDescent="0.2">
      <c r="A44" s="211"/>
      <c r="B44" s="191"/>
      <c r="C44" s="868"/>
      <c r="D44" s="868"/>
      <c r="E44" s="134">
        <f t="shared" si="0"/>
        <v>73500000</v>
      </c>
      <c r="F44" s="130"/>
    </row>
    <row r="45" spans="1:6" x14ac:dyDescent="0.2">
      <c r="A45" s="211"/>
      <c r="B45" s="191"/>
      <c r="C45" s="868"/>
      <c r="D45" s="868"/>
      <c r="E45" s="134">
        <f t="shared" si="0"/>
        <v>73500000</v>
      </c>
      <c r="F45" s="130"/>
    </row>
    <row r="46" spans="1:6" x14ac:dyDescent="0.2">
      <c r="A46" s="211"/>
      <c r="B46" s="906"/>
      <c r="C46" s="868"/>
      <c r="D46" s="868"/>
      <c r="E46" s="134">
        <f t="shared" si="0"/>
        <v>73500000</v>
      </c>
      <c r="F46" s="130"/>
    </row>
    <row r="47" spans="1:6" x14ac:dyDescent="0.2">
      <c r="A47" s="211"/>
      <c r="B47" s="191"/>
      <c r="C47" s="868"/>
      <c r="D47" s="868"/>
      <c r="E47" s="134">
        <f t="shared" si="0"/>
        <v>73500000</v>
      </c>
      <c r="F47" s="130"/>
    </row>
    <row r="48" spans="1:6" x14ac:dyDescent="0.2">
      <c r="A48" s="211"/>
      <c r="B48" s="191"/>
      <c r="C48" s="868"/>
      <c r="D48" s="868"/>
      <c r="E48" s="134">
        <f t="shared" si="0"/>
        <v>73500000</v>
      </c>
      <c r="F48" s="130"/>
    </row>
    <row r="49" spans="1:6" x14ac:dyDescent="0.2">
      <c r="A49" s="211"/>
      <c r="B49" s="906"/>
      <c r="C49" s="868"/>
      <c r="D49" s="868"/>
      <c r="E49" s="134">
        <f t="shared" si="0"/>
        <v>73500000</v>
      </c>
      <c r="F49" s="130"/>
    </row>
    <row r="50" spans="1:6" x14ac:dyDescent="0.2">
      <c r="A50" s="211"/>
      <c r="B50" s="1053"/>
      <c r="C50" s="868"/>
      <c r="D50" s="868"/>
      <c r="E50" s="134">
        <f t="shared" si="0"/>
        <v>73500000</v>
      </c>
      <c r="F50" s="130"/>
    </row>
    <row r="51" spans="1:6" x14ac:dyDescent="0.2">
      <c r="A51" s="211"/>
      <c r="B51" s="191"/>
      <c r="C51" s="868"/>
      <c r="D51" s="868"/>
      <c r="E51" s="134">
        <f t="shared" si="0"/>
        <v>73500000</v>
      </c>
      <c r="F51" s="130"/>
    </row>
    <row r="52" spans="1:6" x14ac:dyDescent="0.2">
      <c r="A52" s="211"/>
      <c r="B52" s="191"/>
      <c r="C52" s="868"/>
      <c r="D52" s="191"/>
      <c r="E52" s="134">
        <f t="shared" si="0"/>
        <v>73500000</v>
      </c>
      <c r="F52" s="130"/>
    </row>
    <row r="53" spans="1:6" x14ac:dyDescent="0.2">
      <c r="A53" s="211"/>
      <c r="B53" s="1053"/>
      <c r="C53" s="868"/>
      <c r="D53" s="191"/>
      <c r="E53" s="134">
        <f t="shared" si="0"/>
        <v>73500000</v>
      </c>
      <c r="F53" s="130"/>
    </row>
    <row r="54" spans="1:6" x14ac:dyDescent="0.2">
      <c r="A54" s="211"/>
      <c r="B54" s="191"/>
      <c r="C54" s="868"/>
      <c r="D54" s="868"/>
      <c r="E54" s="134">
        <f t="shared" si="0"/>
        <v>73500000</v>
      </c>
      <c r="F54" s="130"/>
    </row>
    <row r="55" spans="1:6" x14ac:dyDescent="0.2">
      <c r="A55" s="211"/>
      <c r="B55" s="191"/>
      <c r="C55" s="868"/>
      <c r="D55" s="191"/>
      <c r="E55" s="134">
        <f t="shared" si="0"/>
        <v>73500000</v>
      </c>
      <c r="F55" s="130"/>
    </row>
    <row r="56" spans="1:6" x14ac:dyDescent="0.2">
      <c r="A56" s="211"/>
      <c r="B56" s="1053"/>
      <c r="C56" s="868"/>
      <c r="D56" s="191"/>
      <c r="E56" s="134">
        <f t="shared" si="0"/>
        <v>73500000</v>
      </c>
      <c r="F56" s="130"/>
    </row>
    <row r="57" spans="1:6" x14ac:dyDescent="0.2">
      <c r="A57" s="211"/>
      <c r="B57" s="191"/>
      <c r="C57" s="868"/>
      <c r="D57" s="191"/>
      <c r="E57" s="134">
        <f t="shared" si="0"/>
        <v>73500000</v>
      </c>
      <c r="F57" s="130"/>
    </row>
    <row r="58" spans="1:6" x14ac:dyDescent="0.2">
      <c r="A58" s="211"/>
      <c r="B58" s="906"/>
      <c r="C58" s="868"/>
      <c r="D58" s="868"/>
      <c r="E58" s="134">
        <f t="shared" si="0"/>
        <v>73500000</v>
      </c>
      <c r="F58" s="130"/>
    </row>
    <row r="59" spans="1:6" x14ac:dyDescent="0.2">
      <c r="A59" s="211"/>
      <c r="B59" s="191"/>
      <c r="C59" s="868"/>
      <c r="D59" s="868"/>
      <c r="E59" s="134">
        <f t="shared" ref="E59:E75" si="1">E58+C59-D59</f>
        <v>73500000</v>
      </c>
      <c r="F59" s="130"/>
    </row>
    <row r="60" spans="1:6" x14ac:dyDescent="0.2">
      <c r="A60" s="211"/>
      <c r="B60" s="1053"/>
      <c r="C60" s="868"/>
      <c r="D60" s="868"/>
      <c r="E60" s="134">
        <f t="shared" si="1"/>
        <v>73500000</v>
      </c>
      <c r="F60" s="130"/>
    </row>
    <row r="61" spans="1:6" x14ac:dyDescent="0.2">
      <c r="A61" s="211"/>
      <c r="B61" s="191"/>
      <c r="C61" s="868"/>
      <c r="D61" s="868"/>
      <c r="E61" s="134">
        <f t="shared" si="1"/>
        <v>73500000</v>
      </c>
      <c r="F61" s="130"/>
    </row>
    <row r="62" spans="1:6" x14ac:dyDescent="0.2">
      <c r="A62" s="211"/>
      <c r="B62" s="191"/>
      <c r="C62" s="868"/>
      <c r="D62" s="191"/>
      <c r="E62" s="134">
        <f t="shared" si="1"/>
        <v>73500000</v>
      </c>
      <c r="F62" s="130"/>
    </row>
    <row r="63" spans="1:6" x14ac:dyDescent="0.2">
      <c r="A63" s="211"/>
      <c r="B63" s="191"/>
      <c r="C63" s="868"/>
      <c r="D63" s="868"/>
      <c r="E63" s="134">
        <f t="shared" si="1"/>
        <v>73500000</v>
      </c>
      <c r="F63" s="130"/>
    </row>
    <row r="64" spans="1:6" x14ac:dyDescent="0.2">
      <c r="A64" s="211"/>
      <c r="B64" s="191"/>
      <c r="C64" s="868"/>
      <c r="D64" s="191"/>
      <c r="E64" s="134">
        <f t="shared" si="1"/>
        <v>73500000</v>
      </c>
      <c r="F64" s="130"/>
    </row>
    <row r="65" spans="1:10" x14ac:dyDescent="0.2">
      <c r="A65" s="211"/>
      <c r="B65" s="1053"/>
      <c r="C65" s="868"/>
      <c r="D65" s="868"/>
      <c r="E65" s="134">
        <f t="shared" si="1"/>
        <v>73500000</v>
      </c>
      <c r="F65" s="130"/>
    </row>
    <row r="66" spans="1:10" x14ac:dyDescent="0.2">
      <c r="A66" s="211"/>
      <c r="B66" s="191"/>
      <c r="C66" s="868"/>
      <c r="D66" s="868"/>
      <c r="E66" s="134">
        <f t="shared" si="1"/>
        <v>73500000</v>
      </c>
      <c r="F66" s="130"/>
    </row>
    <row r="67" spans="1:10" x14ac:dyDescent="0.2">
      <c r="A67" s="211"/>
      <c r="B67" s="1053"/>
      <c r="C67" s="868"/>
      <c r="D67" s="868"/>
      <c r="E67" s="134">
        <f t="shared" si="1"/>
        <v>73500000</v>
      </c>
      <c r="F67" s="130"/>
    </row>
    <row r="68" spans="1:10" x14ac:dyDescent="0.2">
      <c r="A68" s="211"/>
      <c r="B68" s="906"/>
      <c r="C68" s="868"/>
      <c r="D68" s="868"/>
      <c r="E68" s="134">
        <f t="shared" si="1"/>
        <v>73500000</v>
      </c>
      <c r="F68" s="130"/>
    </row>
    <row r="69" spans="1:10" x14ac:dyDescent="0.2">
      <c r="A69" s="211"/>
      <c r="B69" s="1053"/>
      <c r="C69" s="868"/>
      <c r="D69" s="868"/>
      <c r="E69" s="134">
        <f t="shared" si="1"/>
        <v>73500000</v>
      </c>
      <c r="F69" s="130"/>
    </row>
    <row r="70" spans="1:10" x14ac:dyDescent="0.2">
      <c r="A70" s="211"/>
      <c r="B70" s="191"/>
      <c r="C70" s="868"/>
      <c r="D70" s="868"/>
      <c r="E70" s="134">
        <f t="shared" si="1"/>
        <v>73500000</v>
      </c>
      <c r="F70" s="130"/>
    </row>
    <row r="71" spans="1:10" x14ac:dyDescent="0.2">
      <c r="A71" s="211"/>
      <c r="B71" s="191"/>
      <c r="C71" s="868"/>
      <c r="D71" s="868"/>
      <c r="E71" s="134">
        <f t="shared" si="1"/>
        <v>73500000</v>
      </c>
      <c r="F71" s="130"/>
    </row>
    <row r="72" spans="1:10" x14ac:dyDescent="0.2">
      <c r="A72" s="211"/>
      <c r="B72" s="191"/>
      <c r="C72" s="868"/>
      <c r="D72" s="868"/>
      <c r="E72" s="134">
        <f t="shared" si="1"/>
        <v>73500000</v>
      </c>
      <c r="F72" s="130"/>
    </row>
    <row r="73" spans="1:10" x14ac:dyDescent="0.2">
      <c r="A73" s="211"/>
      <c r="B73" s="191"/>
      <c r="C73" s="868"/>
      <c r="D73" s="868"/>
      <c r="E73" s="134">
        <f t="shared" si="1"/>
        <v>73500000</v>
      </c>
      <c r="F73" s="130"/>
    </row>
    <row r="74" spans="1:10" x14ac:dyDescent="0.2">
      <c r="A74" s="211"/>
      <c r="B74" s="191"/>
      <c r="C74" s="868"/>
      <c r="D74" s="868"/>
      <c r="E74" s="134">
        <f t="shared" si="1"/>
        <v>73500000</v>
      </c>
      <c r="F74" s="130"/>
    </row>
    <row r="75" spans="1:10" x14ac:dyDescent="0.2">
      <c r="A75" s="211"/>
      <c r="B75" s="191"/>
      <c r="C75" s="868"/>
      <c r="D75" s="868"/>
      <c r="E75" s="134">
        <f t="shared" si="1"/>
        <v>73500000</v>
      </c>
      <c r="F75" s="130"/>
    </row>
    <row r="76" spans="1:10" x14ac:dyDescent="0.2">
      <c r="A76" s="211"/>
      <c r="B76" s="191"/>
      <c r="C76" s="868"/>
      <c r="D76" s="868"/>
      <c r="E76" s="134">
        <f t="shared" ref="E76:E139" si="2">E75+C76-D76</f>
        <v>73500000</v>
      </c>
      <c r="F76" s="130"/>
    </row>
    <row r="77" spans="1:10" x14ac:dyDescent="0.2">
      <c r="A77" s="211"/>
      <c r="B77" s="1053"/>
      <c r="C77" s="868"/>
      <c r="D77" s="191"/>
      <c r="E77" s="134">
        <f t="shared" si="2"/>
        <v>73500000</v>
      </c>
      <c r="F77" s="130"/>
    </row>
    <row r="78" spans="1:10" x14ac:dyDescent="0.2">
      <c r="A78" s="211"/>
      <c r="B78" s="1053"/>
      <c r="C78" s="868"/>
      <c r="D78" s="868"/>
      <c r="E78" s="134">
        <f t="shared" si="2"/>
        <v>73500000</v>
      </c>
      <c r="F78" s="130"/>
    </row>
    <row r="79" spans="1:10" ht="15.75" x14ac:dyDescent="0.2">
      <c r="A79" s="211"/>
      <c r="B79" s="191"/>
      <c r="C79" s="868"/>
      <c r="D79" s="868"/>
      <c r="E79" s="134">
        <f t="shared" si="2"/>
        <v>73500000</v>
      </c>
      <c r="F79" s="130"/>
      <c r="J79" s="1262"/>
    </row>
    <row r="80" spans="1:10" ht="15.75" x14ac:dyDescent="0.2">
      <c r="A80" s="211"/>
      <c r="B80" s="191"/>
      <c r="C80" s="868"/>
      <c r="D80" s="868"/>
      <c r="E80" s="134">
        <f t="shared" si="2"/>
        <v>73500000</v>
      </c>
      <c r="F80" s="130"/>
      <c r="J80" s="1262"/>
    </row>
    <row r="81" spans="1:10" ht="15.75" x14ac:dyDescent="0.2">
      <c r="A81" s="211"/>
      <c r="B81" s="191"/>
      <c r="C81" s="868"/>
      <c r="D81" s="868"/>
      <c r="E81" s="134">
        <f t="shared" si="2"/>
        <v>73500000</v>
      </c>
      <c r="F81" s="130"/>
      <c r="J81" s="1262"/>
    </row>
    <row r="82" spans="1:10" ht="15.75" x14ac:dyDescent="0.2">
      <c r="A82" s="211"/>
      <c r="B82" s="191"/>
      <c r="C82" s="868"/>
      <c r="D82" s="868"/>
      <c r="E82" s="134">
        <f t="shared" si="2"/>
        <v>73500000</v>
      </c>
      <c r="F82" s="130"/>
      <c r="J82" s="1262"/>
    </row>
    <row r="83" spans="1:10" ht="15.75" x14ac:dyDescent="0.2">
      <c r="A83" s="211"/>
      <c r="B83" s="191"/>
      <c r="C83" s="868"/>
      <c r="D83" s="868"/>
      <c r="E83" s="134">
        <f t="shared" si="2"/>
        <v>73500000</v>
      </c>
      <c r="F83" s="130"/>
      <c r="J83" s="1262"/>
    </row>
    <row r="84" spans="1:10" ht="15.75" x14ac:dyDescent="0.2">
      <c r="A84" s="211"/>
      <c r="B84" s="191"/>
      <c r="C84" s="868"/>
      <c r="D84" s="868"/>
      <c r="E84" s="134">
        <f t="shared" si="2"/>
        <v>73500000</v>
      </c>
      <c r="F84" s="130"/>
      <c r="J84" s="1262"/>
    </row>
    <row r="85" spans="1:10" ht="15.75" x14ac:dyDescent="0.2">
      <c r="A85" s="211"/>
      <c r="B85" s="1053"/>
      <c r="C85" s="868"/>
      <c r="D85" s="868"/>
      <c r="E85" s="134">
        <f t="shared" si="2"/>
        <v>73500000</v>
      </c>
      <c r="F85" s="130"/>
      <c r="J85" s="1262"/>
    </row>
    <row r="86" spans="1:10" ht="15.75" x14ac:dyDescent="0.2">
      <c r="A86" s="211"/>
      <c r="B86" s="191"/>
      <c r="C86" s="868"/>
      <c r="D86" s="868"/>
      <c r="E86" s="134">
        <f t="shared" si="2"/>
        <v>73500000</v>
      </c>
      <c r="F86" s="130"/>
      <c r="J86" s="1262"/>
    </row>
    <row r="87" spans="1:10" x14ac:dyDescent="0.2">
      <c r="A87" s="211"/>
      <c r="B87" s="191"/>
      <c r="C87" s="868"/>
      <c r="D87" s="868"/>
      <c r="E87" s="134">
        <f t="shared" si="2"/>
        <v>73500000</v>
      </c>
      <c r="F87" s="130"/>
    </row>
    <row r="88" spans="1:10" x14ac:dyDescent="0.2">
      <c r="A88" s="211"/>
      <c r="B88" s="906"/>
      <c r="C88" s="868"/>
      <c r="D88" s="191"/>
      <c r="E88" s="134">
        <f t="shared" si="2"/>
        <v>73500000</v>
      </c>
      <c r="F88" s="130"/>
    </row>
    <row r="89" spans="1:10" x14ac:dyDescent="0.2">
      <c r="A89" s="211"/>
      <c r="B89" s="191"/>
      <c r="C89" s="868"/>
      <c r="D89" s="191"/>
      <c r="E89" s="134">
        <f t="shared" si="2"/>
        <v>73500000</v>
      </c>
      <c r="F89" s="130"/>
    </row>
    <row r="90" spans="1:10" x14ac:dyDescent="0.2">
      <c r="A90" s="211"/>
      <c r="B90" s="191"/>
      <c r="C90" s="868"/>
      <c r="D90" s="191"/>
      <c r="E90" s="134">
        <f t="shared" si="2"/>
        <v>73500000</v>
      </c>
      <c r="F90" s="130"/>
    </row>
    <row r="91" spans="1:10" x14ac:dyDescent="0.2">
      <c r="A91" s="211"/>
      <c r="B91" s="1053"/>
      <c r="C91" s="868"/>
      <c r="D91" s="191"/>
      <c r="E91" s="134">
        <f t="shared" si="2"/>
        <v>73500000</v>
      </c>
      <c r="F91" s="130"/>
    </row>
    <row r="92" spans="1:10" x14ac:dyDescent="0.2">
      <c r="A92" s="211"/>
      <c r="B92" s="191"/>
      <c r="C92" s="868"/>
      <c r="D92" s="868"/>
      <c r="E92" s="134">
        <f t="shared" si="2"/>
        <v>73500000</v>
      </c>
      <c r="F92" s="130"/>
    </row>
    <row r="93" spans="1:10" x14ac:dyDescent="0.2">
      <c r="A93" s="211"/>
      <c r="B93" s="191"/>
      <c r="C93" s="868"/>
      <c r="D93" s="868"/>
      <c r="E93" s="134">
        <f t="shared" si="2"/>
        <v>73500000</v>
      </c>
      <c r="F93" s="130"/>
    </row>
    <row r="94" spans="1:10" x14ac:dyDescent="0.2">
      <c r="A94" s="211"/>
      <c r="B94" s="191"/>
      <c r="C94" s="868"/>
      <c r="D94" s="868"/>
      <c r="E94" s="134">
        <f t="shared" si="2"/>
        <v>73500000</v>
      </c>
      <c r="F94" s="130"/>
    </row>
    <row r="95" spans="1:10" x14ac:dyDescent="0.2">
      <c r="A95" s="211"/>
      <c r="B95" s="191"/>
      <c r="C95" s="868"/>
      <c r="D95" s="868"/>
      <c r="E95" s="134">
        <f t="shared" si="2"/>
        <v>73500000</v>
      </c>
      <c r="F95" s="130"/>
    </row>
    <row r="96" spans="1:10" x14ac:dyDescent="0.2">
      <c r="A96" s="211"/>
      <c r="B96" s="191"/>
      <c r="C96" s="868"/>
      <c r="D96" s="868"/>
      <c r="E96" s="134">
        <f t="shared" si="2"/>
        <v>73500000</v>
      </c>
      <c r="F96" s="130"/>
    </row>
    <row r="97" spans="1:6" x14ac:dyDescent="0.2">
      <c r="A97" s="211"/>
      <c r="B97" s="191"/>
      <c r="C97" s="868"/>
      <c r="D97" s="868"/>
      <c r="E97" s="134">
        <f t="shared" si="2"/>
        <v>73500000</v>
      </c>
      <c r="F97" s="130"/>
    </row>
    <row r="98" spans="1:6" x14ac:dyDescent="0.2">
      <c r="A98" s="211"/>
      <c r="B98" s="191"/>
      <c r="C98" s="868"/>
      <c r="D98" s="868"/>
      <c r="E98" s="134">
        <f t="shared" si="2"/>
        <v>73500000</v>
      </c>
      <c r="F98" s="130"/>
    </row>
    <row r="99" spans="1:6" x14ac:dyDescent="0.2">
      <c r="A99" s="211"/>
      <c r="B99" s="191"/>
      <c r="C99" s="868"/>
      <c r="D99" s="191"/>
      <c r="E99" s="134">
        <f t="shared" si="2"/>
        <v>73500000</v>
      </c>
      <c r="F99" s="130"/>
    </row>
    <row r="100" spans="1:6" x14ac:dyDescent="0.2">
      <c r="A100" s="211"/>
      <c r="B100" s="1053"/>
      <c r="C100" s="868"/>
      <c r="D100" s="191"/>
      <c r="E100" s="134">
        <f t="shared" si="2"/>
        <v>73500000</v>
      </c>
      <c r="F100" s="130"/>
    </row>
    <row r="101" spans="1:6" x14ac:dyDescent="0.2">
      <c r="A101" s="211"/>
      <c r="B101" s="191"/>
      <c r="C101" s="868"/>
      <c r="D101" s="868"/>
      <c r="E101" s="134">
        <f t="shared" si="2"/>
        <v>73500000</v>
      </c>
      <c r="F101" s="130"/>
    </row>
    <row r="102" spans="1:6" x14ac:dyDescent="0.2">
      <c r="A102" s="211"/>
      <c r="B102" s="191"/>
      <c r="C102" s="868"/>
      <c r="D102" s="868"/>
      <c r="E102" s="134">
        <f t="shared" si="2"/>
        <v>73500000</v>
      </c>
      <c r="F102" s="130"/>
    </row>
    <row r="103" spans="1:6" x14ac:dyDescent="0.2">
      <c r="A103" s="211"/>
      <c r="B103" s="191"/>
      <c r="C103" s="868"/>
      <c r="D103" s="868"/>
      <c r="E103" s="134">
        <f t="shared" si="2"/>
        <v>73500000</v>
      </c>
      <c r="F103" s="130"/>
    </row>
    <row r="104" spans="1:6" x14ac:dyDescent="0.2">
      <c r="A104" s="211"/>
      <c r="B104" s="1053"/>
      <c r="C104" s="868"/>
      <c r="D104" s="191"/>
      <c r="E104" s="134">
        <f t="shared" si="2"/>
        <v>73500000</v>
      </c>
      <c r="F104" s="130"/>
    </row>
    <row r="105" spans="1:6" x14ac:dyDescent="0.2">
      <c r="A105" s="211"/>
      <c r="B105" s="1053"/>
      <c r="C105" s="868"/>
      <c r="D105" s="191"/>
      <c r="E105" s="134">
        <f t="shared" si="2"/>
        <v>73500000</v>
      </c>
      <c r="F105" s="130"/>
    </row>
    <row r="106" spans="1:6" x14ac:dyDescent="0.2">
      <c r="A106" s="211"/>
      <c r="B106" s="191"/>
      <c r="C106" s="868"/>
      <c r="D106" s="868"/>
      <c r="E106" s="134">
        <f t="shared" si="2"/>
        <v>73500000</v>
      </c>
      <c r="F106" s="130"/>
    </row>
    <row r="107" spans="1:6" x14ac:dyDescent="0.2">
      <c r="A107" s="211"/>
      <c r="B107" s="191"/>
      <c r="C107" s="868"/>
      <c r="D107" s="868"/>
      <c r="E107" s="134">
        <f t="shared" si="2"/>
        <v>73500000</v>
      </c>
      <c r="F107" s="130"/>
    </row>
    <row r="108" spans="1:6" x14ac:dyDescent="0.2">
      <c r="A108" s="211"/>
      <c r="B108" s="191"/>
      <c r="C108" s="868"/>
      <c r="D108" s="868"/>
      <c r="E108" s="134">
        <f t="shared" si="2"/>
        <v>73500000</v>
      </c>
      <c r="F108" s="130"/>
    </row>
    <row r="109" spans="1:6" x14ac:dyDescent="0.2">
      <c r="A109" s="211"/>
      <c r="B109" s="191"/>
      <c r="C109" s="868"/>
      <c r="D109" s="868"/>
      <c r="E109" s="134">
        <f t="shared" si="2"/>
        <v>73500000</v>
      </c>
      <c r="F109" s="130"/>
    </row>
    <row r="110" spans="1:6" x14ac:dyDescent="0.2">
      <c r="A110" s="211"/>
      <c r="B110" s="191"/>
      <c r="C110" s="868"/>
      <c r="D110" s="191"/>
      <c r="E110" s="134">
        <f t="shared" si="2"/>
        <v>73500000</v>
      </c>
      <c r="F110" s="130"/>
    </row>
    <row r="111" spans="1:6" x14ac:dyDescent="0.2">
      <c r="A111" s="211"/>
      <c r="B111" s="191"/>
      <c r="C111" s="868"/>
      <c r="D111" s="191"/>
      <c r="E111" s="134">
        <f t="shared" si="2"/>
        <v>73500000</v>
      </c>
      <c r="F111" s="130"/>
    </row>
    <row r="112" spans="1:6" x14ac:dyDescent="0.2">
      <c r="A112" s="211"/>
      <c r="B112" s="191"/>
      <c r="C112" s="868"/>
      <c r="D112" s="868"/>
      <c r="E112" s="134">
        <f t="shared" si="2"/>
        <v>73500000</v>
      </c>
      <c r="F112" s="130"/>
    </row>
    <row r="113" spans="1:6" x14ac:dyDescent="0.2">
      <c r="A113" s="211"/>
      <c r="B113" s="191"/>
      <c r="C113" s="868"/>
      <c r="D113" s="868"/>
      <c r="E113" s="134">
        <f t="shared" si="2"/>
        <v>73500000</v>
      </c>
      <c r="F113" s="130"/>
    </row>
    <row r="114" spans="1:6" x14ac:dyDescent="0.2">
      <c r="A114" s="211"/>
      <c r="B114" s="191"/>
      <c r="C114" s="868"/>
      <c r="D114" s="868"/>
      <c r="E114" s="134">
        <f t="shared" si="2"/>
        <v>73500000</v>
      </c>
      <c r="F114" s="130"/>
    </row>
    <row r="115" spans="1:6" x14ac:dyDescent="0.2">
      <c r="A115" s="211"/>
      <c r="B115" s="191"/>
      <c r="C115" s="868"/>
      <c r="D115" s="191"/>
      <c r="E115" s="134">
        <f t="shared" si="2"/>
        <v>73500000</v>
      </c>
      <c r="F115" s="130"/>
    </row>
    <row r="116" spans="1:6" x14ac:dyDescent="0.2">
      <c r="A116" s="211"/>
      <c r="B116" s="191"/>
      <c r="C116" s="868"/>
      <c r="D116" s="868"/>
      <c r="E116" s="134">
        <f t="shared" si="2"/>
        <v>73500000</v>
      </c>
      <c r="F116" s="130"/>
    </row>
    <row r="117" spans="1:6" x14ac:dyDescent="0.2">
      <c r="A117" s="211"/>
      <c r="B117" s="191"/>
      <c r="C117" s="868"/>
      <c r="D117" s="191"/>
      <c r="E117" s="134">
        <f t="shared" si="2"/>
        <v>73500000</v>
      </c>
      <c r="F117" s="130"/>
    </row>
    <row r="118" spans="1:6" x14ac:dyDescent="0.2">
      <c r="A118" s="211"/>
      <c r="B118" s="1053"/>
      <c r="C118" s="868"/>
      <c r="D118" s="191"/>
      <c r="E118" s="134">
        <f t="shared" si="2"/>
        <v>73500000</v>
      </c>
      <c r="F118" s="130"/>
    </row>
    <row r="119" spans="1:6" x14ac:dyDescent="0.2">
      <c r="A119" s="211"/>
      <c r="B119" s="906"/>
      <c r="C119" s="868"/>
      <c r="D119" s="868"/>
      <c r="E119" s="134">
        <f t="shared" si="2"/>
        <v>73500000</v>
      </c>
      <c r="F119" s="130"/>
    </row>
    <row r="120" spans="1:6" x14ac:dyDescent="0.2">
      <c r="A120" s="211"/>
      <c r="B120" s="191"/>
      <c r="C120" s="868"/>
      <c r="D120" s="868"/>
      <c r="E120" s="134">
        <f t="shared" si="2"/>
        <v>73500000</v>
      </c>
      <c r="F120" s="130"/>
    </row>
    <row r="121" spans="1:6" x14ac:dyDescent="0.2">
      <c r="A121" s="211"/>
      <c r="B121" s="191"/>
      <c r="C121" s="868"/>
      <c r="D121" s="868"/>
      <c r="E121" s="134">
        <f t="shared" si="2"/>
        <v>73500000</v>
      </c>
      <c r="F121" s="130"/>
    </row>
    <row r="122" spans="1:6" x14ac:dyDescent="0.2">
      <c r="A122" s="211"/>
      <c r="B122" s="1053"/>
      <c r="C122" s="868"/>
      <c r="D122" s="191"/>
      <c r="E122" s="134">
        <f t="shared" si="2"/>
        <v>73500000</v>
      </c>
      <c r="F122" s="130"/>
    </row>
    <row r="123" spans="1:6" x14ac:dyDescent="0.2">
      <c r="A123" s="211"/>
      <c r="B123" s="191"/>
      <c r="C123" s="868"/>
      <c r="D123" s="868"/>
      <c r="E123" s="134">
        <f t="shared" si="2"/>
        <v>73500000</v>
      </c>
      <c r="F123" s="130"/>
    </row>
    <row r="124" spans="1:6" x14ac:dyDescent="0.2">
      <c r="A124" s="211"/>
      <c r="B124" s="191"/>
      <c r="C124" s="868"/>
      <c r="D124" s="868"/>
      <c r="E124" s="134">
        <f t="shared" si="2"/>
        <v>73500000</v>
      </c>
      <c r="F124" s="130"/>
    </row>
    <row r="125" spans="1:6" x14ac:dyDescent="0.2">
      <c r="A125" s="211"/>
      <c r="B125" s="191"/>
      <c r="C125" s="868"/>
      <c r="D125" s="868"/>
      <c r="E125" s="134">
        <f t="shared" si="2"/>
        <v>73500000</v>
      </c>
      <c r="F125" s="130"/>
    </row>
    <row r="126" spans="1:6" x14ac:dyDescent="0.2">
      <c r="A126" s="211"/>
      <c r="B126" s="191"/>
      <c r="C126" s="868"/>
      <c r="D126" s="868"/>
      <c r="E126" s="134">
        <f t="shared" si="2"/>
        <v>73500000</v>
      </c>
      <c r="F126" s="130"/>
    </row>
    <row r="127" spans="1:6" x14ac:dyDescent="0.2">
      <c r="A127" s="211"/>
      <c r="B127" s="191"/>
      <c r="C127" s="868"/>
      <c r="D127" s="191"/>
      <c r="E127" s="134">
        <f t="shared" si="2"/>
        <v>73500000</v>
      </c>
      <c r="F127" s="130"/>
    </row>
    <row r="128" spans="1:6" x14ac:dyDescent="0.2">
      <c r="A128" s="211"/>
      <c r="B128" s="191"/>
      <c r="C128" s="868"/>
      <c r="D128" s="868"/>
      <c r="E128" s="134">
        <f t="shared" si="2"/>
        <v>73500000</v>
      </c>
      <c r="F128" s="130"/>
    </row>
    <row r="129" spans="1:6" x14ac:dyDescent="0.2">
      <c r="A129" s="211"/>
      <c r="B129" s="191"/>
      <c r="C129" s="868"/>
      <c r="D129" s="868"/>
      <c r="E129" s="134">
        <f t="shared" si="2"/>
        <v>73500000</v>
      </c>
      <c r="F129" s="130"/>
    </row>
    <row r="130" spans="1:6" x14ac:dyDescent="0.2">
      <c r="A130" s="211"/>
      <c r="B130" s="191"/>
      <c r="C130" s="191"/>
      <c r="D130" s="191"/>
      <c r="E130" s="134">
        <f t="shared" si="2"/>
        <v>73500000</v>
      </c>
      <c r="F130" s="130"/>
    </row>
    <row r="131" spans="1:6" x14ac:dyDescent="0.2">
      <c r="A131" s="211"/>
      <c r="B131" s="191"/>
      <c r="C131" s="191"/>
      <c r="D131" s="191"/>
      <c r="E131" s="134">
        <f t="shared" si="2"/>
        <v>73500000</v>
      </c>
      <c r="F131" s="130"/>
    </row>
    <row r="132" spans="1:6" x14ac:dyDescent="0.2">
      <c r="A132" s="211"/>
      <c r="B132" s="191"/>
      <c r="C132" s="191"/>
      <c r="D132" s="191"/>
      <c r="E132" s="134">
        <f t="shared" si="2"/>
        <v>73500000</v>
      </c>
      <c r="F132" s="130"/>
    </row>
    <row r="133" spans="1:6" x14ac:dyDescent="0.2">
      <c r="A133" s="211"/>
      <c r="B133" s="191"/>
      <c r="C133" s="868"/>
      <c r="D133" s="868"/>
      <c r="E133" s="134">
        <f t="shared" si="2"/>
        <v>73500000</v>
      </c>
      <c r="F133" s="130"/>
    </row>
    <row r="134" spans="1:6" x14ac:dyDescent="0.2">
      <c r="A134" s="211"/>
      <c r="B134" s="1053"/>
      <c r="C134" s="868"/>
      <c r="D134" s="868"/>
      <c r="E134" s="134">
        <f t="shared" si="2"/>
        <v>73500000</v>
      </c>
      <c r="F134" s="130"/>
    </row>
    <row r="135" spans="1:6" x14ac:dyDescent="0.2">
      <c r="A135" s="211"/>
      <c r="B135" s="191"/>
      <c r="C135" s="868"/>
      <c r="D135" s="868"/>
      <c r="E135" s="134">
        <f t="shared" si="2"/>
        <v>73500000</v>
      </c>
      <c r="F135" s="130"/>
    </row>
    <row r="136" spans="1:6" x14ac:dyDescent="0.2">
      <c r="A136" s="211"/>
      <c r="B136" s="191"/>
      <c r="C136" s="868"/>
      <c r="D136" s="191"/>
      <c r="E136" s="134">
        <f t="shared" si="2"/>
        <v>73500000</v>
      </c>
      <c r="F136" s="130"/>
    </row>
    <row r="137" spans="1:6" x14ac:dyDescent="0.2">
      <c r="A137" s="211"/>
      <c r="B137" s="906"/>
      <c r="C137" s="868"/>
      <c r="D137" s="868"/>
      <c r="E137" s="134">
        <f t="shared" si="2"/>
        <v>73500000</v>
      </c>
      <c r="F137" s="130"/>
    </row>
    <row r="138" spans="1:6" x14ac:dyDescent="0.2">
      <c r="A138" s="211"/>
      <c r="B138" s="1053"/>
      <c r="C138" s="868"/>
      <c r="D138" s="191"/>
      <c r="E138" s="134">
        <f t="shared" si="2"/>
        <v>73500000</v>
      </c>
      <c r="F138" s="130"/>
    </row>
    <row r="139" spans="1:6" x14ac:dyDescent="0.2">
      <c r="A139" s="211"/>
      <c r="B139" s="191"/>
      <c r="C139" s="868"/>
      <c r="D139" s="868"/>
      <c r="E139" s="134">
        <f t="shared" si="2"/>
        <v>73500000</v>
      </c>
      <c r="F139" s="130"/>
    </row>
    <row r="140" spans="1:6" x14ac:dyDescent="0.2">
      <c r="A140" s="211"/>
      <c r="B140" s="191"/>
      <c r="C140" s="868"/>
      <c r="D140" s="868"/>
      <c r="E140" s="134">
        <f t="shared" ref="E140:E203" si="3">E139+C140-D140</f>
        <v>73500000</v>
      </c>
      <c r="F140" s="130"/>
    </row>
    <row r="141" spans="1:6" x14ac:dyDescent="0.2">
      <c r="A141" s="211"/>
      <c r="B141" s="191"/>
      <c r="C141" s="868"/>
      <c r="D141" s="868"/>
      <c r="E141" s="134">
        <f t="shared" si="3"/>
        <v>73500000</v>
      </c>
      <c r="F141" s="130"/>
    </row>
    <row r="142" spans="1:6" x14ac:dyDescent="0.2">
      <c r="A142" s="211"/>
      <c r="B142" s="191"/>
      <c r="C142" s="868"/>
      <c r="D142" s="191"/>
      <c r="E142" s="134">
        <f t="shared" si="3"/>
        <v>73500000</v>
      </c>
      <c r="F142" s="130"/>
    </row>
    <row r="143" spans="1:6" x14ac:dyDescent="0.2">
      <c r="A143" s="211"/>
      <c r="B143" s="191"/>
      <c r="C143" s="868"/>
      <c r="D143" s="191"/>
      <c r="E143" s="134">
        <f t="shared" si="3"/>
        <v>73500000</v>
      </c>
      <c r="F143" s="130"/>
    </row>
    <row r="144" spans="1:6" x14ac:dyDescent="0.2">
      <c r="A144" s="211"/>
      <c r="B144" s="191"/>
      <c r="C144" s="868"/>
      <c r="D144" s="868"/>
      <c r="E144" s="134">
        <f>E143+C144-D144</f>
        <v>73500000</v>
      </c>
      <c r="F144" s="130"/>
    </row>
    <row r="145" spans="1:6" x14ac:dyDescent="0.2">
      <c r="A145" s="211"/>
      <c r="B145" s="191"/>
      <c r="C145" s="868"/>
      <c r="D145" s="868"/>
      <c r="E145" s="134">
        <f t="shared" si="3"/>
        <v>73500000</v>
      </c>
      <c r="F145" s="130"/>
    </row>
    <row r="146" spans="1:6" x14ac:dyDescent="0.2">
      <c r="A146" s="211"/>
      <c r="B146" s="191"/>
      <c r="C146" s="868"/>
      <c r="D146" s="868"/>
      <c r="E146" s="134">
        <f t="shared" si="3"/>
        <v>73500000</v>
      </c>
      <c r="F146" s="130"/>
    </row>
    <row r="147" spans="1:6" x14ac:dyDescent="0.2">
      <c r="A147" s="211"/>
      <c r="B147" s="191"/>
      <c r="C147" s="868"/>
      <c r="D147" s="868"/>
      <c r="E147" s="134">
        <f t="shared" si="3"/>
        <v>73500000</v>
      </c>
      <c r="F147" s="130"/>
    </row>
    <row r="148" spans="1:6" x14ac:dyDescent="0.2">
      <c r="A148" s="211"/>
      <c r="B148" s="1053"/>
      <c r="C148" s="868"/>
      <c r="D148" s="868"/>
      <c r="E148" s="134">
        <f t="shared" si="3"/>
        <v>73500000</v>
      </c>
      <c r="F148" s="130"/>
    </row>
    <row r="149" spans="1:6" x14ac:dyDescent="0.2">
      <c r="A149" s="211"/>
      <c r="B149" s="191"/>
      <c r="C149" s="868"/>
      <c r="D149" s="868"/>
      <c r="E149" s="134">
        <f>E148+C149-D149</f>
        <v>73500000</v>
      </c>
      <c r="F149" s="130"/>
    </row>
    <row r="150" spans="1:6" x14ac:dyDescent="0.2">
      <c r="A150" s="211"/>
      <c r="B150" s="191"/>
      <c r="C150" s="868"/>
      <c r="D150" s="868"/>
      <c r="E150" s="134">
        <f t="shared" si="3"/>
        <v>73500000</v>
      </c>
      <c r="F150" s="130"/>
    </row>
    <row r="151" spans="1:6" x14ac:dyDescent="0.2">
      <c r="A151" s="211"/>
      <c r="B151" s="191"/>
      <c r="C151" s="868"/>
      <c r="D151" s="868"/>
      <c r="E151" s="134">
        <f t="shared" si="3"/>
        <v>73500000</v>
      </c>
      <c r="F151" s="130"/>
    </row>
    <row r="152" spans="1:6" x14ac:dyDescent="0.2">
      <c r="A152" s="211"/>
      <c r="B152" s="906"/>
      <c r="C152" s="868"/>
      <c r="D152" s="868"/>
      <c r="E152" s="134">
        <f t="shared" si="3"/>
        <v>73500000</v>
      </c>
      <c r="F152" s="130"/>
    </row>
    <row r="153" spans="1:6" x14ac:dyDescent="0.2">
      <c r="A153" s="211"/>
      <c r="B153" s="1053"/>
      <c r="C153" s="868"/>
      <c r="D153" s="868"/>
      <c r="E153" s="134">
        <f t="shared" si="3"/>
        <v>73500000</v>
      </c>
      <c r="F153" s="130"/>
    </row>
    <row r="154" spans="1:6" x14ac:dyDescent="0.2">
      <c r="A154" s="211"/>
      <c r="B154" s="191"/>
      <c r="C154" s="868"/>
      <c r="D154" s="191"/>
      <c r="E154" s="134">
        <f t="shared" si="3"/>
        <v>73500000</v>
      </c>
      <c r="F154" s="130"/>
    </row>
    <row r="155" spans="1:6" x14ac:dyDescent="0.2">
      <c r="A155" s="211"/>
      <c r="B155" s="191"/>
      <c r="C155" s="868"/>
      <c r="D155" s="191"/>
      <c r="E155" s="134">
        <f t="shared" si="3"/>
        <v>73500000</v>
      </c>
      <c r="F155" s="130"/>
    </row>
    <row r="156" spans="1:6" x14ac:dyDescent="0.2">
      <c r="A156" s="211"/>
      <c r="B156" s="191"/>
      <c r="C156" s="868"/>
      <c r="D156" s="191"/>
      <c r="E156" s="134">
        <f t="shared" si="3"/>
        <v>73500000</v>
      </c>
      <c r="F156" s="130"/>
    </row>
    <row r="157" spans="1:6" x14ac:dyDescent="0.2">
      <c r="A157" s="211"/>
      <c r="B157" s="191"/>
      <c r="C157" s="868"/>
      <c r="D157" s="191"/>
      <c r="E157" s="134">
        <f t="shared" si="3"/>
        <v>73500000</v>
      </c>
      <c r="F157" s="130"/>
    </row>
    <row r="158" spans="1:6" x14ac:dyDescent="0.2">
      <c r="A158" s="211"/>
      <c r="B158" s="191"/>
      <c r="C158" s="868"/>
      <c r="D158" s="868"/>
      <c r="E158" s="134">
        <f t="shared" si="3"/>
        <v>73500000</v>
      </c>
      <c r="F158" s="130"/>
    </row>
    <row r="159" spans="1:6" x14ac:dyDescent="0.2">
      <c r="A159" s="211"/>
      <c r="B159" s="191"/>
      <c r="C159" s="868"/>
      <c r="D159" s="191"/>
      <c r="E159" s="134">
        <f t="shared" si="3"/>
        <v>73500000</v>
      </c>
      <c r="F159" s="130"/>
    </row>
    <row r="160" spans="1:6" x14ac:dyDescent="0.2">
      <c r="A160" s="211"/>
      <c r="B160" s="1053"/>
      <c r="C160" s="868"/>
      <c r="D160" s="191"/>
      <c r="E160" s="134">
        <f t="shared" si="3"/>
        <v>73500000</v>
      </c>
      <c r="F160" s="130"/>
    </row>
    <row r="161" spans="1:6" x14ac:dyDescent="0.2">
      <c r="A161" s="211"/>
      <c r="B161" s="191"/>
      <c r="C161" s="868"/>
      <c r="D161" s="868"/>
      <c r="E161" s="134">
        <f t="shared" si="3"/>
        <v>73500000</v>
      </c>
      <c r="F161" s="130"/>
    </row>
    <row r="162" spans="1:6" x14ac:dyDescent="0.2">
      <c r="A162" s="211"/>
      <c r="B162" s="1053"/>
      <c r="C162" s="868"/>
      <c r="D162" s="191"/>
      <c r="E162" s="134">
        <f t="shared" si="3"/>
        <v>73500000</v>
      </c>
      <c r="F162" s="130"/>
    </row>
    <row r="163" spans="1:6" x14ac:dyDescent="0.2">
      <c r="A163" s="211"/>
      <c r="B163" s="191"/>
      <c r="C163" s="868"/>
      <c r="D163" s="868"/>
      <c r="E163" s="134">
        <f t="shared" si="3"/>
        <v>73500000</v>
      </c>
      <c r="F163" s="130"/>
    </row>
    <row r="164" spans="1:6" x14ac:dyDescent="0.2">
      <c r="A164" s="211"/>
      <c r="B164" s="191"/>
      <c r="C164" s="868"/>
      <c r="D164" s="868"/>
      <c r="E164" s="134">
        <f t="shared" si="3"/>
        <v>73500000</v>
      </c>
      <c r="F164" s="130"/>
    </row>
    <row r="165" spans="1:6" x14ac:dyDescent="0.2">
      <c r="A165" s="211"/>
      <c r="B165" s="191"/>
      <c r="C165" s="868"/>
      <c r="D165" s="868"/>
      <c r="E165" s="134">
        <f t="shared" si="3"/>
        <v>73500000</v>
      </c>
      <c r="F165" s="130"/>
    </row>
    <row r="166" spans="1:6" x14ac:dyDescent="0.2">
      <c r="A166" s="211"/>
      <c r="B166" s="191"/>
      <c r="C166" s="868"/>
      <c r="D166" s="868"/>
      <c r="E166" s="134">
        <f t="shared" si="3"/>
        <v>73500000</v>
      </c>
      <c r="F166" s="130"/>
    </row>
    <row r="167" spans="1:6" x14ac:dyDescent="0.2">
      <c r="A167" s="211"/>
      <c r="B167" s="1053"/>
      <c r="C167" s="868"/>
      <c r="D167" s="868"/>
      <c r="E167" s="134">
        <f t="shared" si="3"/>
        <v>73500000</v>
      </c>
      <c r="F167" s="130"/>
    </row>
    <row r="168" spans="1:6" x14ac:dyDescent="0.2">
      <c r="A168" s="211"/>
      <c r="B168" s="191"/>
      <c r="C168" s="868"/>
      <c r="D168" s="868"/>
      <c r="E168" s="134">
        <f t="shared" si="3"/>
        <v>73500000</v>
      </c>
      <c r="F168" s="130"/>
    </row>
    <row r="169" spans="1:6" x14ac:dyDescent="0.2">
      <c r="A169" s="211"/>
      <c r="B169" s="191"/>
      <c r="C169" s="868"/>
      <c r="D169" s="868"/>
      <c r="E169" s="134">
        <f t="shared" si="3"/>
        <v>73500000</v>
      </c>
      <c r="F169" s="130"/>
    </row>
    <row r="170" spans="1:6" x14ac:dyDescent="0.2">
      <c r="A170" s="211"/>
      <c r="B170" s="191"/>
      <c r="C170" s="868"/>
      <c r="D170" s="868"/>
      <c r="E170" s="134">
        <f t="shared" si="3"/>
        <v>73500000</v>
      </c>
      <c r="F170" s="130"/>
    </row>
    <row r="171" spans="1:6" x14ac:dyDescent="0.2">
      <c r="A171" s="211"/>
      <c r="B171" s="191"/>
      <c r="C171" s="868"/>
      <c r="D171" s="868"/>
      <c r="E171" s="134">
        <f t="shared" si="3"/>
        <v>73500000</v>
      </c>
      <c r="F171" s="130"/>
    </row>
    <row r="172" spans="1:6" x14ac:dyDescent="0.2">
      <c r="A172" s="211"/>
      <c r="B172" s="191"/>
      <c r="C172" s="868"/>
      <c r="D172" s="868"/>
      <c r="E172" s="134">
        <f t="shared" si="3"/>
        <v>73500000</v>
      </c>
      <c r="F172" s="130"/>
    </row>
    <row r="173" spans="1:6" x14ac:dyDescent="0.2">
      <c r="A173" s="211"/>
      <c r="B173" s="191"/>
      <c r="C173" s="868"/>
      <c r="D173" s="868"/>
      <c r="E173" s="134">
        <f t="shared" si="3"/>
        <v>73500000</v>
      </c>
      <c r="F173" s="130"/>
    </row>
    <row r="174" spans="1:6" x14ac:dyDescent="0.2">
      <c r="A174" s="211"/>
      <c r="B174" s="191"/>
      <c r="C174" s="868"/>
      <c r="D174" s="868"/>
      <c r="E174" s="134">
        <f t="shared" si="3"/>
        <v>73500000</v>
      </c>
      <c r="F174" s="130"/>
    </row>
    <row r="175" spans="1:6" x14ac:dyDescent="0.2">
      <c r="A175" s="211"/>
      <c r="B175" s="1053"/>
      <c r="C175" s="868"/>
      <c r="D175" s="868"/>
      <c r="E175" s="134">
        <f t="shared" si="3"/>
        <v>73500000</v>
      </c>
      <c r="F175" s="130"/>
    </row>
    <row r="176" spans="1:6" x14ac:dyDescent="0.2">
      <c r="A176" s="211"/>
      <c r="B176" s="191"/>
      <c r="C176" s="868"/>
      <c r="D176" s="868"/>
      <c r="E176" s="134">
        <f t="shared" si="3"/>
        <v>73500000</v>
      </c>
      <c r="F176" s="130"/>
    </row>
    <row r="177" spans="1:6" x14ac:dyDescent="0.2">
      <c r="A177" s="211"/>
      <c r="B177" s="191"/>
      <c r="C177" s="868"/>
      <c r="D177" s="868"/>
      <c r="E177" s="134">
        <f t="shared" si="3"/>
        <v>73500000</v>
      </c>
      <c r="F177" s="130"/>
    </row>
    <row r="178" spans="1:6" x14ac:dyDescent="0.2">
      <c r="A178" s="211"/>
      <c r="B178" s="191"/>
      <c r="C178" s="868"/>
      <c r="D178" s="868"/>
      <c r="E178" s="134">
        <f t="shared" si="3"/>
        <v>73500000</v>
      </c>
      <c r="F178" s="130"/>
    </row>
    <row r="179" spans="1:6" x14ac:dyDescent="0.2">
      <c r="A179" s="211"/>
      <c r="B179" s="191"/>
      <c r="C179" s="868"/>
      <c r="D179" s="868"/>
      <c r="E179" s="134">
        <f t="shared" si="3"/>
        <v>73500000</v>
      </c>
      <c r="F179" s="130"/>
    </row>
    <row r="180" spans="1:6" x14ac:dyDescent="0.2">
      <c r="A180" s="211"/>
      <c r="B180" s="191"/>
      <c r="C180" s="868"/>
      <c r="D180" s="868"/>
      <c r="E180" s="134">
        <f t="shared" si="3"/>
        <v>73500000</v>
      </c>
      <c r="F180" s="130"/>
    </row>
    <row r="181" spans="1:6" x14ac:dyDescent="0.2">
      <c r="A181" s="211"/>
      <c r="B181" s="191"/>
      <c r="C181" s="868"/>
      <c r="D181" s="191"/>
      <c r="E181" s="134">
        <f t="shared" si="3"/>
        <v>73500000</v>
      </c>
      <c r="F181" s="130"/>
    </row>
    <row r="182" spans="1:6" x14ac:dyDescent="0.2">
      <c r="A182" s="211"/>
      <c r="B182" s="191"/>
      <c r="C182" s="868"/>
      <c r="D182" s="191"/>
      <c r="E182" s="134">
        <f t="shared" si="3"/>
        <v>73500000</v>
      </c>
      <c r="F182" s="130"/>
    </row>
    <row r="183" spans="1:6" x14ac:dyDescent="0.2">
      <c r="A183" s="211"/>
      <c r="B183" s="906"/>
      <c r="C183" s="868"/>
      <c r="D183" s="868"/>
      <c r="E183" s="134">
        <f t="shared" si="3"/>
        <v>73500000</v>
      </c>
      <c r="F183" s="130"/>
    </row>
    <row r="184" spans="1:6" x14ac:dyDescent="0.2">
      <c r="A184" s="211"/>
      <c r="B184" s="1053"/>
      <c r="C184" s="868"/>
      <c r="D184" s="191"/>
      <c r="E184" s="134">
        <f t="shared" si="3"/>
        <v>73500000</v>
      </c>
      <c r="F184" s="130"/>
    </row>
    <row r="185" spans="1:6" x14ac:dyDescent="0.2">
      <c r="A185" s="211"/>
      <c r="B185" s="191"/>
      <c r="C185" s="868"/>
      <c r="D185" s="868"/>
      <c r="E185" s="134">
        <f t="shared" si="3"/>
        <v>73500000</v>
      </c>
      <c r="F185" s="130"/>
    </row>
    <row r="186" spans="1:6" x14ac:dyDescent="0.2">
      <c r="A186" s="211"/>
      <c r="B186" s="1053"/>
      <c r="C186" s="868"/>
      <c r="D186" s="868"/>
      <c r="E186" s="134">
        <f t="shared" si="3"/>
        <v>73500000</v>
      </c>
      <c r="F186" s="130"/>
    </row>
    <row r="187" spans="1:6" x14ac:dyDescent="0.2">
      <c r="A187" s="211"/>
      <c r="B187" s="191"/>
      <c r="C187" s="868"/>
      <c r="D187" s="868"/>
      <c r="E187" s="134">
        <f t="shared" si="3"/>
        <v>73500000</v>
      </c>
      <c r="F187" s="130"/>
    </row>
    <row r="188" spans="1:6" x14ac:dyDescent="0.2">
      <c r="A188" s="211"/>
      <c r="B188" s="191"/>
      <c r="C188" s="868"/>
      <c r="D188" s="191"/>
      <c r="E188" s="134">
        <f t="shared" si="3"/>
        <v>73500000</v>
      </c>
      <c r="F188" s="130"/>
    </row>
    <row r="189" spans="1:6" x14ac:dyDescent="0.2">
      <c r="A189" s="211"/>
      <c r="B189" s="191"/>
      <c r="C189" s="868"/>
      <c r="D189" s="868"/>
      <c r="E189" s="134">
        <f t="shared" si="3"/>
        <v>73500000</v>
      </c>
      <c r="F189" s="130"/>
    </row>
    <row r="190" spans="1:6" x14ac:dyDescent="0.2">
      <c r="A190" s="211"/>
      <c r="B190" s="191"/>
      <c r="C190" s="868"/>
      <c r="D190" s="868"/>
      <c r="E190" s="134">
        <f t="shared" si="3"/>
        <v>73500000</v>
      </c>
      <c r="F190" s="130"/>
    </row>
    <row r="191" spans="1:6" x14ac:dyDescent="0.2">
      <c r="A191" s="211"/>
      <c r="B191" s="191"/>
      <c r="C191" s="868"/>
      <c r="D191" s="868"/>
      <c r="E191" s="134">
        <f t="shared" si="3"/>
        <v>73500000</v>
      </c>
      <c r="F191" s="130"/>
    </row>
    <row r="192" spans="1:6" x14ac:dyDescent="0.2">
      <c r="A192" s="211"/>
      <c r="B192" s="191"/>
      <c r="C192" s="868"/>
      <c r="D192" s="191"/>
      <c r="E192" s="134">
        <f t="shared" si="3"/>
        <v>73500000</v>
      </c>
      <c r="F192" s="130"/>
    </row>
    <row r="193" spans="1:6" x14ac:dyDescent="0.2">
      <c r="A193" s="211"/>
      <c r="B193" s="191"/>
      <c r="C193" s="868"/>
      <c r="D193" s="191"/>
      <c r="E193" s="134">
        <f t="shared" si="3"/>
        <v>73500000</v>
      </c>
      <c r="F193" s="130"/>
    </row>
    <row r="194" spans="1:6" x14ac:dyDescent="0.2">
      <c r="A194" s="211"/>
      <c r="B194" s="191"/>
      <c r="C194" s="868"/>
      <c r="D194" s="191"/>
      <c r="E194" s="134">
        <f t="shared" si="3"/>
        <v>73500000</v>
      </c>
      <c r="F194" s="130"/>
    </row>
    <row r="195" spans="1:6" x14ac:dyDescent="0.2">
      <c r="A195" s="211"/>
      <c r="B195" s="191"/>
      <c r="C195" s="868"/>
      <c r="D195" s="191"/>
      <c r="E195" s="134">
        <f t="shared" si="3"/>
        <v>73500000</v>
      </c>
      <c r="F195" s="130"/>
    </row>
    <row r="196" spans="1:6" x14ac:dyDescent="0.2">
      <c r="A196" s="211"/>
      <c r="B196" s="191"/>
      <c r="C196" s="868"/>
      <c r="D196" s="868"/>
      <c r="E196" s="134">
        <f t="shared" si="3"/>
        <v>73500000</v>
      </c>
      <c r="F196" s="130"/>
    </row>
    <row r="197" spans="1:6" x14ac:dyDescent="0.2">
      <c r="A197" s="211"/>
      <c r="B197" s="191"/>
      <c r="C197" s="868"/>
      <c r="D197" s="868"/>
      <c r="E197" s="134">
        <f t="shared" si="3"/>
        <v>73500000</v>
      </c>
      <c r="F197" s="130"/>
    </row>
    <row r="198" spans="1:6" x14ac:dyDescent="0.2">
      <c r="A198" s="211"/>
      <c r="B198" s="191"/>
      <c r="C198" s="868"/>
      <c r="D198" s="868"/>
      <c r="E198" s="134">
        <f t="shared" si="3"/>
        <v>73500000</v>
      </c>
      <c r="F198" s="130"/>
    </row>
    <row r="199" spans="1:6" x14ac:dyDescent="0.2">
      <c r="A199" s="211"/>
      <c r="B199" s="191"/>
      <c r="C199" s="868"/>
      <c r="D199" s="868"/>
      <c r="E199" s="134">
        <f t="shared" si="3"/>
        <v>73500000</v>
      </c>
      <c r="F199" s="130"/>
    </row>
    <row r="200" spans="1:6" x14ac:dyDescent="0.2">
      <c r="A200" s="211"/>
      <c r="B200" s="191"/>
      <c r="C200" s="868"/>
      <c r="D200" s="868"/>
      <c r="E200" s="134">
        <f t="shared" si="3"/>
        <v>73500000</v>
      </c>
      <c r="F200" s="130"/>
    </row>
    <row r="201" spans="1:6" x14ac:dyDescent="0.2">
      <c r="A201" s="211"/>
      <c r="B201" s="1053"/>
      <c r="C201" s="868"/>
      <c r="D201" s="868"/>
      <c r="E201" s="134">
        <f t="shared" si="3"/>
        <v>73500000</v>
      </c>
      <c r="F201" s="130"/>
    </row>
    <row r="202" spans="1:6" x14ac:dyDescent="0.2">
      <c r="A202" s="211"/>
      <c r="B202" s="191"/>
      <c r="C202" s="868"/>
      <c r="D202" s="191"/>
      <c r="E202" s="134">
        <f t="shared" si="3"/>
        <v>73500000</v>
      </c>
      <c r="F202" s="130"/>
    </row>
    <row r="203" spans="1:6" x14ac:dyDescent="0.2">
      <c r="A203" s="211"/>
      <c r="B203" s="191"/>
      <c r="C203" s="868"/>
      <c r="D203" s="868"/>
      <c r="E203" s="134">
        <f t="shared" si="3"/>
        <v>73500000</v>
      </c>
      <c r="F203" s="130"/>
    </row>
    <row r="204" spans="1:6" x14ac:dyDescent="0.2">
      <c r="A204" s="211"/>
      <c r="B204" s="191"/>
      <c r="C204" s="868"/>
      <c r="D204" s="868"/>
      <c r="E204" s="134">
        <f t="shared" ref="E204:E267" si="4">E203+C204-D204</f>
        <v>73500000</v>
      </c>
      <c r="F204" s="130"/>
    </row>
    <row r="205" spans="1:6" x14ac:dyDescent="0.2">
      <c r="A205" s="211"/>
      <c r="B205" s="191"/>
      <c r="C205" s="868"/>
      <c r="D205" s="868"/>
      <c r="E205" s="134">
        <f t="shared" si="4"/>
        <v>73500000</v>
      </c>
      <c r="F205" s="130"/>
    </row>
    <row r="206" spans="1:6" x14ac:dyDescent="0.2">
      <c r="A206" s="211"/>
      <c r="B206" s="191"/>
      <c r="C206" s="868"/>
      <c r="D206" s="868"/>
      <c r="E206" s="134">
        <f t="shared" si="4"/>
        <v>73500000</v>
      </c>
      <c r="F206" s="130"/>
    </row>
    <row r="207" spans="1:6" x14ac:dyDescent="0.2">
      <c r="A207" s="211"/>
      <c r="B207" s="191"/>
      <c r="C207" s="868"/>
      <c r="D207" s="868"/>
      <c r="E207" s="134">
        <f t="shared" si="4"/>
        <v>73500000</v>
      </c>
      <c r="F207" s="130"/>
    </row>
    <row r="208" spans="1:6" x14ac:dyDescent="0.2">
      <c r="A208" s="211"/>
      <c r="B208" s="191"/>
      <c r="C208" s="868"/>
      <c r="D208" s="868"/>
      <c r="E208" s="134">
        <f t="shared" si="4"/>
        <v>73500000</v>
      </c>
      <c r="F208" s="130"/>
    </row>
    <row r="209" spans="1:6" x14ac:dyDescent="0.2">
      <c r="A209" s="211"/>
      <c r="B209" s="191"/>
      <c r="C209" s="868"/>
      <c r="D209" s="868"/>
      <c r="E209" s="134">
        <f t="shared" si="4"/>
        <v>73500000</v>
      </c>
      <c r="F209" s="130"/>
    </row>
    <row r="210" spans="1:6" x14ac:dyDescent="0.2">
      <c r="A210" s="211"/>
      <c r="B210" s="191"/>
      <c r="C210" s="868"/>
      <c r="D210" s="868"/>
      <c r="E210" s="134">
        <f t="shared" si="4"/>
        <v>73500000</v>
      </c>
      <c r="F210" s="130"/>
    </row>
    <row r="211" spans="1:6" x14ac:dyDescent="0.2">
      <c r="A211" s="211"/>
      <c r="B211" s="191"/>
      <c r="C211" s="868"/>
      <c r="D211" s="868"/>
      <c r="E211" s="134">
        <f t="shared" si="4"/>
        <v>73500000</v>
      </c>
      <c r="F211" s="130"/>
    </row>
    <row r="212" spans="1:6" x14ac:dyDescent="0.2">
      <c r="A212" s="211"/>
      <c r="B212" s="191"/>
      <c r="C212" s="868"/>
      <c r="D212" s="868"/>
      <c r="E212" s="134">
        <f t="shared" si="4"/>
        <v>73500000</v>
      </c>
      <c r="F212" s="130"/>
    </row>
    <row r="213" spans="1:6" x14ac:dyDescent="0.2">
      <c r="A213" s="211"/>
      <c r="B213" s="1053"/>
      <c r="C213" s="868"/>
      <c r="D213" s="868"/>
      <c r="E213" s="134">
        <f t="shared" si="4"/>
        <v>73500000</v>
      </c>
      <c r="F213" s="130"/>
    </row>
    <row r="214" spans="1:6" x14ac:dyDescent="0.2">
      <c r="A214" s="211"/>
      <c r="B214" s="191"/>
      <c r="C214" s="868"/>
      <c r="D214" s="868"/>
      <c r="E214" s="134">
        <f t="shared" si="4"/>
        <v>73500000</v>
      </c>
      <c r="F214" s="130"/>
    </row>
    <row r="215" spans="1:6" x14ac:dyDescent="0.2">
      <c r="A215" s="211"/>
      <c r="B215" s="191"/>
      <c r="C215" s="868"/>
      <c r="D215" s="868"/>
      <c r="E215" s="134">
        <f t="shared" si="4"/>
        <v>73500000</v>
      </c>
      <c r="F215" s="130"/>
    </row>
    <row r="216" spans="1:6" x14ac:dyDescent="0.2">
      <c r="A216" s="211"/>
      <c r="B216" s="191"/>
      <c r="C216" s="868"/>
      <c r="D216" s="868"/>
      <c r="E216" s="134">
        <f t="shared" si="4"/>
        <v>73500000</v>
      </c>
      <c r="F216" s="130"/>
    </row>
    <row r="217" spans="1:6" x14ac:dyDescent="0.2">
      <c r="A217" s="211"/>
      <c r="B217" s="191"/>
      <c r="C217" s="868"/>
      <c r="D217" s="868"/>
      <c r="E217" s="134">
        <f t="shared" si="4"/>
        <v>73500000</v>
      </c>
      <c r="F217" s="130"/>
    </row>
    <row r="218" spans="1:6" x14ac:dyDescent="0.2">
      <c r="A218" s="211"/>
      <c r="B218" s="191"/>
      <c r="C218" s="868"/>
      <c r="D218" s="868"/>
      <c r="E218" s="134">
        <f t="shared" si="4"/>
        <v>73500000</v>
      </c>
      <c r="F218" s="130"/>
    </row>
    <row r="219" spans="1:6" x14ac:dyDescent="0.2">
      <c r="A219" s="211"/>
      <c r="B219" s="191"/>
      <c r="C219" s="868"/>
      <c r="D219" s="868"/>
      <c r="E219" s="134">
        <f t="shared" si="4"/>
        <v>73500000</v>
      </c>
      <c r="F219" s="130"/>
    </row>
    <row r="220" spans="1:6" x14ac:dyDescent="0.2">
      <c r="A220" s="211"/>
      <c r="B220" s="191"/>
      <c r="C220" s="868"/>
      <c r="D220" s="868"/>
      <c r="E220" s="134">
        <f t="shared" si="4"/>
        <v>73500000</v>
      </c>
      <c r="F220" s="130"/>
    </row>
    <row r="221" spans="1:6" x14ac:dyDescent="0.2">
      <c r="A221" s="211"/>
      <c r="B221" s="191"/>
      <c r="C221" s="868"/>
      <c r="D221" s="868"/>
      <c r="E221" s="134">
        <f t="shared" si="4"/>
        <v>73500000</v>
      </c>
      <c r="F221" s="130"/>
    </row>
    <row r="222" spans="1:6" x14ac:dyDescent="0.2">
      <c r="A222" s="211"/>
      <c r="B222" s="191"/>
      <c r="C222" s="868"/>
      <c r="D222" s="868"/>
      <c r="E222" s="134">
        <f t="shared" si="4"/>
        <v>73500000</v>
      </c>
      <c r="F222" s="130"/>
    </row>
    <row r="223" spans="1:6" x14ac:dyDescent="0.2">
      <c r="A223" s="211"/>
      <c r="B223" s="191"/>
      <c r="C223" s="868"/>
      <c r="D223" s="868"/>
      <c r="E223" s="134">
        <f t="shared" si="4"/>
        <v>73500000</v>
      </c>
      <c r="F223" s="130"/>
    </row>
    <row r="224" spans="1:6" x14ac:dyDescent="0.2">
      <c r="A224" s="211"/>
      <c r="B224" s="191"/>
      <c r="C224" s="868"/>
      <c r="D224" s="868"/>
      <c r="E224" s="134">
        <f t="shared" si="4"/>
        <v>73500000</v>
      </c>
      <c r="F224" s="130"/>
    </row>
    <row r="225" spans="1:6" x14ac:dyDescent="0.2">
      <c r="A225" s="211"/>
      <c r="B225" s="1053"/>
      <c r="C225" s="868"/>
      <c r="D225" s="191"/>
      <c r="E225" s="134">
        <f t="shared" si="4"/>
        <v>73500000</v>
      </c>
      <c r="F225" s="130"/>
    </row>
    <row r="226" spans="1:6" x14ac:dyDescent="0.2">
      <c r="A226" s="211"/>
      <c r="B226" s="191"/>
      <c r="C226" s="868"/>
      <c r="D226" s="868"/>
      <c r="E226" s="134">
        <f t="shared" si="4"/>
        <v>73500000</v>
      </c>
      <c r="F226" s="130"/>
    </row>
    <row r="227" spans="1:6" x14ac:dyDescent="0.2">
      <c r="A227" s="211"/>
      <c r="B227" s="191"/>
      <c r="C227" s="868"/>
      <c r="D227" s="868"/>
      <c r="E227" s="134">
        <f t="shared" si="4"/>
        <v>73500000</v>
      </c>
      <c r="F227" s="130"/>
    </row>
    <row r="228" spans="1:6" x14ac:dyDescent="0.2">
      <c r="A228" s="211"/>
      <c r="B228" s="191"/>
      <c r="C228" s="868"/>
      <c r="D228" s="868"/>
      <c r="E228" s="134">
        <f t="shared" si="4"/>
        <v>73500000</v>
      </c>
      <c r="F228" s="130"/>
    </row>
    <row r="229" spans="1:6" x14ac:dyDescent="0.2">
      <c r="A229" s="211"/>
      <c r="B229" s="191"/>
      <c r="C229" s="868"/>
      <c r="D229" s="868"/>
      <c r="E229" s="134">
        <f t="shared" si="4"/>
        <v>73500000</v>
      </c>
      <c r="F229" s="130"/>
    </row>
    <row r="230" spans="1:6" x14ac:dyDescent="0.2">
      <c r="A230" s="211"/>
      <c r="B230" s="191"/>
      <c r="C230" s="868"/>
      <c r="D230" s="868"/>
      <c r="E230" s="134">
        <f t="shared" si="4"/>
        <v>73500000</v>
      </c>
      <c r="F230" s="130"/>
    </row>
    <row r="231" spans="1:6" x14ac:dyDescent="0.2">
      <c r="A231" s="211"/>
      <c r="B231" s="191"/>
      <c r="C231" s="868"/>
      <c r="D231" s="868"/>
      <c r="E231" s="134">
        <f t="shared" si="4"/>
        <v>73500000</v>
      </c>
      <c r="F231" s="130"/>
    </row>
    <row r="232" spans="1:6" x14ac:dyDescent="0.2">
      <c r="A232" s="211"/>
      <c r="B232" s="191"/>
      <c r="C232" s="868"/>
      <c r="D232" s="868"/>
      <c r="E232" s="134">
        <f t="shared" si="4"/>
        <v>73500000</v>
      </c>
      <c r="F232" s="130"/>
    </row>
    <row r="233" spans="1:6" x14ac:dyDescent="0.2">
      <c r="A233" s="211"/>
      <c r="B233" s="191"/>
      <c r="C233" s="868"/>
      <c r="D233" s="868"/>
      <c r="E233" s="134">
        <f t="shared" si="4"/>
        <v>73500000</v>
      </c>
      <c r="F233" s="130"/>
    </row>
    <row r="234" spans="1:6" x14ac:dyDescent="0.2">
      <c r="A234" s="211"/>
      <c r="B234" s="191"/>
      <c r="C234" s="868"/>
      <c r="D234" s="868"/>
      <c r="E234" s="134">
        <f t="shared" si="4"/>
        <v>73500000</v>
      </c>
      <c r="F234" s="130"/>
    </row>
    <row r="235" spans="1:6" x14ac:dyDescent="0.2">
      <c r="A235" s="211"/>
      <c r="B235" s="191"/>
      <c r="C235" s="868"/>
      <c r="D235" s="868"/>
      <c r="E235" s="134">
        <f t="shared" si="4"/>
        <v>73500000</v>
      </c>
      <c r="F235" s="130"/>
    </row>
    <row r="236" spans="1:6" x14ac:dyDescent="0.2">
      <c r="A236" s="211"/>
      <c r="B236" s="191"/>
      <c r="C236" s="868"/>
      <c r="D236" s="868"/>
      <c r="E236" s="134">
        <f t="shared" si="4"/>
        <v>73500000</v>
      </c>
      <c r="F236" s="130"/>
    </row>
    <row r="237" spans="1:6" x14ac:dyDescent="0.2">
      <c r="A237" s="211"/>
      <c r="B237" s="191"/>
      <c r="C237" s="868"/>
      <c r="D237" s="868"/>
      <c r="E237" s="134">
        <f t="shared" si="4"/>
        <v>73500000</v>
      </c>
      <c r="F237" s="130"/>
    </row>
    <row r="238" spans="1:6" x14ac:dyDescent="0.2">
      <c r="A238" s="211"/>
      <c r="B238" s="191"/>
      <c r="C238" s="868"/>
      <c r="D238" s="868"/>
      <c r="E238" s="134">
        <f t="shared" si="4"/>
        <v>73500000</v>
      </c>
      <c r="F238" s="130"/>
    </row>
    <row r="239" spans="1:6" x14ac:dyDescent="0.2">
      <c r="A239" s="211"/>
      <c r="B239" s="191"/>
      <c r="C239" s="868"/>
      <c r="D239" s="868"/>
      <c r="E239" s="134">
        <f t="shared" si="4"/>
        <v>73500000</v>
      </c>
      <c r="F239" s="130"/>
    </row>
    <row r="240" spans="1:6" x14ac:dyDescent="0.2">
      <c r="A240" s="211"/>
      <c r="B240" s="191"/>
      <c r="C240" s="868"/>
      <c r="D240" s="868"/>
      <c r="E240" s="134">
        <f t="shared" si="4"/>
        <v>73500000</v>
      </c>
      <c r="F240" s="130"/>
    </row>
    <row r="241" spans="1:6" x14ac:dyDescent="0.2">
      <c r="A241" s="211"/>
      <c r="B241" s="191"/>
      <c r="C241" s="868"/>
      <c r="D241" s="868"/>
      <c r="E241" s="134">
        <f t="shared" si="4"/>
        <v>73500000</v>
      </c>
      <c r="F241" s="130"/>
    </row>
    <row r="242" spans="1:6" x14ac:dyDescent="0.2">
      <c r="A242" s="211"/>
      <c r="B242" s="191"/>
      <c r="C242" s="868"/>
      <c r="D242" s="868"/>
      <c r="E242" s="134">
        <f t="shared" si="4"/>
        <v>73500000</v>
      </c>
      <c r="F242" s="130"/>
    </row>
    <row r="243" spans="1:6" x14ac:dyDescent="0.2">
      <c r="A243" s="211"/>
      <c r="B243" s="191"/>
      <c r="C243" s="868"/>
      <c r="D243" s="868"/>
      <c r="E243" s="134">
        <f t="shared" si="4"/>
        <v>73500000</v>
      </c>
      <c r="F243" s="130"/>
    </row>
    <row r="244" spans="1:6" x14ac:dyDescent="0.2">
      <c r="A244" s="211"/>
      <c r="B244" s="191"/>
      <c r="C244" s="868"/>
      <c r="D244" s="868"/>
      <c r="E244" s="134">
        <f t="shared" si="4"/>
        <v>73500000</v>
      </c>
      <c r="F244" s="130"/>
    </row>
    <row r="245" spans="1:6" x14ac:dyDescent="0.2">
      <c r="A245" s="211"/>
      <c r="B245" s="191"/>
      <c r="C245" s="868"/>
      <c r="D245" s="868"/>
      <c r="E245" s="134">
        <f t="shared" si="4"/>
        <v>73500000</v>
      </c>
      <c r="F245" s="130"/>
    </row>
    <row r="246" spans="1:6" x14ac:dyDescent="0.2">
      <c r="A246" s="211"/>
      <c r="B246" s="191"/>
      <c r="C246" s="868"/>
      <c r="D246" s="191"/>
      <c r="E246" s="134">
        <f t="shared" si="4"/>
        <v>73500000</v>
      </c>
      <c r="F246" s="130"/>
    </row>
    <row r="247" spans="1:6" x14ac:dyDescent="0.2">
      <c r="A247" s="211"/>
      <c r="B247" s="191"/>
      <c r="C247" s="868"/>
      <c r="D247" s="868"/>
      <c r="E247" s="134">
        <f t="shared" si="4"/>
        <v>73500000</v>
      </c>
      <c r="F247" s="130"/>
    </row>
    <row r="248" spans="1:6" x14ac:dyDescent="0.2">
      <c r="A248" s="211"/>
      <c r="B248" s="191"/>
      <c r="C248" s="868"/>
      <c r="D248" s="868"/>
      <c r="E248" s="134">
        <f t="shared" si="4"/>
        <v>73500000</v>
      </c>
      <c r="F248" s="130"/>
    </row>
    <row r="249" spans="1:6" x14ac:dyDescent="0.2">
      <c r="A249" s="211"/>
      <c r="B249" s="191"/>
      <c r="C249" s="868"/>
      <c r="D249" s="868"/>
      <c r="E249" s="134">
        <f t="shared" si="4"/>
        <v>73500000</v>
      </c>
      <c r="F249" s="130"/>
    </row>
    <row r="250" spans="1:6" x14ac:dyDescent="0.2">
      <c r="A250" s="211"/>
      <c r="B250" s="191"/>
      <c r="C250" s="868"/>
      <c r="D250" s="191"/>
      <c r="E250" s="134">
        <f t="shared" si="4"/>
        <v>73500000</v>
      </c>
      <c r="F250" s="130"/>
    </row>
    <row r="251" spans="1:6" x14ac:dyDescent="0.2">
      <c r="A251" s="211"/>
      <c r="B251" s="191"/>
      <c r="C251" s="868"/>
      <c r="D251" s="868"/>
      <c r="E251" s="134">
        <f t="shared" si="4"/>
        <v>73500000</v>
      </c>
      <c r="F251" s="130"/>
    </row>
    <row r="252" spans="1:6" x14ac:dyDescent="0.2">
      <c r="A252" s="211"/>
      <c r="B252" s="191"/>
      <c r="C252" s="868"/>
      <c r="D252" s="868"/>
      <c r="E252" s="134">
        <f t="shared" si="4"/>
        <v>73500000</v>
      </c>
      <c r="F252" s="130"/>
    </row>
    <row r="253" spans="1:6" x14ac:dyDescent="0.2">
      <c r="A253" s="211"/>
      <c r="B253" s="1053"/>
      <c r="C253" s="868"/>
      <c r="D253" s="868"/>
      <c r="E253" s="134">
        <f t="shared" si="4"/>
        <v>73500000</v>
      </c>
      <c r="F253" s="130"/>
    </row>
    <row r="254" spans="1:6" x14ac:dyDescent="0.2">
      <c r="A254" s="211"/>
      <c r="B254" s="191"/>
      <c r="C254" s="868"/>
      <c r="D254" s="868"/>
      <c r="E254" s="134">
        <f t="shared" si="4"/>
        <v>73500000</v>
      </c>
      <c r="F254" s="130"/>
    </row>
    <row r="255" spans="1:6" x14ac:dyDescent="0.2">
      <c r="A255" s="211"/>
      <c r="B255" s="191"/>
      <c r="C255" s="868"/>
      <c r="D255" s="868"/>
      <c r="E255" s="134">
        <f t="shared" si="4"/>
        <v>73500000</v>
      </c>
      <c r="F255" s="130"/>
    </row>
    <row r="256" spans="1:6" x14ac:dyDescent="0.2">
      <c r="A256" s="211"/>
      <c r="B256" s="191"/>
      <c r="C256" s="868"/>
      <c r="D256" s="868"/>
      <c r="E256" s="134">
        <f t="shared" si="4"/>
        <v>73500000</v>
      </c>
      <c r="F256" s="130"/>
    </row>
    <row r="257" spans="1:6" x14ac:dyDescent="0.2">
      <c r="A257" s="211"/>
      <c r="B257" s="191"/>
      <c r="C257" s="868"/>
      <c r="D257" s="868"/>
      <c r="E257" s="134">
        <f t="shared" si="4"/>
        <v>73500000</v>
      </c>
      <c r="F257" s="130"/>
    </row>
    <row r="258" spans="1:6" x14ac:dyDescent="0.2">
      <c r="A258" s="211"/>
      <c r="B258" s="191"/>
      <c r="C258" s="868"/>
      <c r="D258" s="868"/>
      <c r="E258" s="134">
        <f t="shared" si="4"/>
        <v>73500000</v>
      </c>
      <c r="F258" s="130"/>
    </row>
    <row r="259" spans="1:6" x14ac:dyDescent="0.2">
      <c r="A259" s="211"/>
      <c r="B259" s="191"/>
      <c r="C259" s="868"/>
      <c r="D259" s="868"/>
      <c r="E259" s="134">
        <f t="shared" si="4"/>
        <v>73500000</v>
      </c>
      <c r="F259" s="130"/>
    </row>
    <row r="260" spans="1:6" x14ac:dyDescent="0.2">
      <c r="A260" s="211"/>
      <c r="B260" s="191"/>
      <c r="C260" s="868"/>
      <c r="D260" s="868"/>
      <c r="E260" s="134">
        <f t="shared" si="4"/>
        <v>73500000</v>
      </c>
      <c r="F260" s="130"/>
    </row>
    <row r="261" spans="1:6" x14ac:dyDescent="0.2">
      <c r="A261" s="211"/>
      <c r="B261" s="191"/>
      <c r="C261" s="868"/>
      <c r="D261" s="868"/>
      <c r="E261" s="134">
        <f t="shared" si="4"/>
        <v>73500000</v>
      </c>
      <c r="F261" s="130"/>
    </row>
    <row r="262" spans="1:6" x14ac:dyDescent="0.2">
      <c r="A262" s="211"/>
      <c r="B262" s="191"/>
      <c r="C262" s="868"/>
      <c r="D262" s="868"/>
      <c r="E262" s="134">
        <f t="shared" si="4"/>
        <v>73500000</v>
      </c>
      <c r="F262" s="130"/>
    </row>
    <row r="263" spans="1:6" x14ac:dyDescent="0.2">
      <c r="A263" s="211"/>
      <c r="B263" s="906"/>
      <c r="C263" s="868"/>
      <c r="D263" s="868"/>
      <c r="E263" s="134">
        <f t="shared" si="4"/>
        <v>73500000</v>
      </c>
      <c r="F263" s="130"/>
    </row>
    <row r="264" spans="1:6" x14ac:dyDescent="0.2">
      <c r="A264" s="211"/>
      <c r="B264" s="906"/>
      <c r="C264" s="868"/>
      <c r="D264" s="868"/>
      <c r="E264" s="134">
        <f t="shared" si="4"/>
        <v>73500000</v>
      </c>
      <c r="F264" s="130"/>
    </row>
    <row r="265" spans="1:6" x14ac:dyDescent="0.2">
      <c r="A265" s="211"/>
      <c r="B265" s="191"/>
      <c r="C265" s="868"/>
      <c r="D265" s="868"/>
      <c r="E265" s="134">
        <f t="shared" si="4"/>
        <v>73500000</v>
      </c>
      <c r="F265" s="130"/>
    </row>
    <row r="266" spans="1:6" x14ac:dyDescent="0.2">
      <c r="A266" s="211"/>
      <c r="B266" s="191"/>
      <c r="C266" s="868"/>
      <c r="D266" s="868"/>
      <c r="E266" s="134">
        <f t="shared" si="4"/>
        <v>73500000</v>
      </c>
      <c r="F266" s="130"/>
    </row>
    <row r="267" spans="1:6" x14ac:dyDescent="0.2">
      <c r="A267" s="211"/>
      <c r="B267" s="191"/>
      <c r="C267" s="868"/>
      <c r="D267" s="868"/>
      <c r="E267" s="134">
        <f t="shared" si="4"/>
        <v>73500000</v>
      </c>
      <c r="F267" s="130"/>
    </row>
    <row r="268" spans="1:6" x14ac:dyDescent="0.2">
      <c r="A268" s="211"/>
      <c r="B268" s="191"/>
      <c r="C268" s="868"/>
      <c r="D268" s="868"/>
      <c r="E268" s="134">
        <f t="shared" ref="E268:E331" si="5">E267+C268-D268</f>
        <v>73500000</v>
      </c>
      <c r="F268" s="130"/>
    </row>
    <row r="269" spans="1:6" x14ac:dyDescent="0.2">
      <c r="A269" s="211"/>
      <c r="B269" s="191"/>
      <c r="C269" s="868"/>
      <c r="D269" s="868"/>
      <c r="E269" s="134">
        <f t="shared" si="5"/>
        <v>73500000</v>
      </c>
      <c r="F269" s="130"/>
    </row>
    <row r="270" spans="1:6" x14ac:dyDescent="0.2">
      <c r="A270" s="211"/>
      <c r="B270" s="191"/>
      <c r="C270" s="868"/>
      <c r="D270" s="868"/>
      <c r="E270" s="134">
        <f t="shared" si="5"/>
        <v>73500000</v>
      </c>
      <c r="F270" s="130"/>
    </row>
    <row r="271" spans="1:6" x14ac:dyDescent="0.2">
      <c r="A271" s="211"/>
      <c r="B271" s="191"/>
      <c r="C271" s="868"/>
      <c r="D271" s="868"/>
      <c r="E271" s="134">
        <f t="shared" si="5"/>
        <v>73500000</v>
      </c>
      <c r="F271" s="130"/>
    </row>
    <row r="272" spans="1:6" x14ac:dyDescent="0.2">
      <c r="A272" s="211"/>
      <c r="B272" s="191"/>
      <c r="C272" s="868"/>
      <c r="D272" s="868"/>
      <c r="E272" s="134">
        <f t="shared" si="5"/>
        <v>73500000</v>
      </c>
      <c r="F272" s="130"/>
    </row>
    <row r="273" spans="1:6" x14ac:dyDescent="0.2">
      <c r="A273" s="211"/>
      <c r="B273" s="191"/>
      <c r="C273" s="868"/>
      <c r="D273" s="868"/>
      <c r="E273" s="134">
        <f t="shared" si="5"/>
        <v>73500000</v>
      </c>
      <c r="F273" s="130"/>
    </row>
    <row r="274" spans="1:6" x14ac:dyDescent="0.2">
      <c r="A274" s="211"/>
      <c r="B274" s="191"/>
      <c r="C274" s="868"/>
      <c r="D274" s="868"/>
      <c r="E274" s="134">
        <f t="shared" si="5"/>
        <v>73500000</v>
      </c>
      <c r="F274" s="130"/>
    </row>
    <row r="275" spans="1:6" x14ac:dyDescent="0.2">
      <c r="A275" s="211"/>
      <c r="B275" s="191"/>
      <c r="C275" s="868"/>
      <c r="D275" s="868"/>
      <c r="E275" s="134">
        <f t="shared" si="5"/>
        <v>73500000</v>
      </c>
      <c r="F275" s="130"/>
    </row>
    <row r="276" spans="1:6" x14ac:dyDescent="0.2">
      <c r="A276" s="211"/>
      <c r="B276" s="191"/>
      <c r="C276" s="868"/>
      <c r="D276" s="868"/>
      <c r="E276" s="134">
        <f t="shared" si="5"/>
        <v>73500000</v>
      </c>
      <c r="F276" s="130"/>
    </row>
    <row r="277" spans="1:6" x14ac:dyDescent="0.2">
      <c r="A277" s="211"/>
      <c r="B277" s="191"/>
      <c r="C277" s="868"/>
      <c r="D277" s="868"/>
      <c r="E277" s="134">
        <f t="shared" si="5"/>
        <v>73500000</v>
      </c>
      <c r="F277" s="130"/>
    </row>
    <row r="278" spans="1:6" x14ac:dyDescent="0.2">
      <c r="A278" s="211"/>
      <c r="B278" s="191"/>
      <c r="C278" s="868"/>
      <c r="D278" s="868"/>
      <c r="E278" s="134">
        <f t="shared" si="5"/>
        <v>73500000</v>
      </c>
      <c r="F278" s="130"/>
    </row>
    <row r="279" spans="1:6" x14ac:dyDescent="0.2">
      <c r="A279" s="211"/>
      <c r="B279" s="191"/>
      <c r="C279" s="868"/>
      <c r="D279" s="868"/>
      <c r="E279" s="134">
        <f t="shared" si="5"/>
        <v>73500000</v>
      </c>
      <c r="F279" s="130"/>
    </row>
    <row r="280" spans="1:6" x14ac:dyDescent="0.2">
      <c r="A280" s="211"/>
      <c r="B280" s="191"/>
      <c r="C280" s="868"/>
      <c r="D280" s="868"/>
      <c r="E280" s="134">
        <f t="shared" si="5"/>
        <v>73500000</v>
      </c>
      <c r="F280" s="130"/>
    </row>
    <row r="281" spans="1:6" x14ac:dyDescent="0.2">
      <c r="A281" s="211"/>
      <c r="B281" s="191"/>
      <c r="C281" s="868"/>
      <c r="D281" s="868"/>
      <c r="E281" s="134">
        <f t="shared" si="5"/>
        <v>73500000</v>
      </c>
      <c r="F281" s="130"/>
    </row>
    <row r="282" spans="1:6" x14ac:dyDescent="0.2">
      <c r="A282" s="211"/>
      <c r="B282" s="191"/>
      <c r="C282" s="868"/>
      <c r="D282" s="868"/>
      <c r="E282" s="134">
        <f t="shared" si="5"/>
        <v>73500000</v>
      </c>
      <c r="F282" s="130"/>
    </row>
    <row r="283" spans="1:6" x14ac:dyDescent="0.2">
      <c r="A283" s="211"/>
      <c r="B283" s="191"/>
      <c r="C283" s="868"/>
      <c r="D283" s="868"/>
      <c r="E283" s="134">
        <f t="shared" si="5"/>
        <v>73500000</v>
      </c>
      <c r="F283" s="130"/>
    </row>
    <row r="284" spans="1:6" x14ac:dyDescent="0.2">
      <c r="A284" s="211"/>
      <c r="B284" s="191"/>
      <c r="C284" s="868"/>
      <c r="D284" s="868"/>
      <c r="E284" s="134">
        <f t="shared" si="5"/>
        <v>73500000</v>
      </c>
      <c r="F284" s="130"/>
    </row>
    <row r="285" spans="1:6" x14ac:dyDescent="0.2">
      <c r="A285" s="211"/>
      <c r="B285" s="191"/>
      <c r="C285" s="868"/>
      <c r="D285" s="868"/>
      <c r="E285" s="134">
        <f t="shared" si="5"/>
        <v>73500000</v>
      </c>
      <c r="F285" s="130"/>
    </row>
    <row r="286" spans="1:6" x14ac:dyDescent="0.2">
      <c r="A286" s="211"/>
      <c r="B286" s="191"/>
      <c r="C286" s="868"/>
      <c r="D286" s="868"/>
      <c r="E286" s="134">
        <f t="shared" si="5"/>
        <v>73500000</v>
      </c>
      <c r="F286" s="130"/>
    </row>
    <row r="287" spans="1:6" x14ac:dyDescent="0.2">
      <c r="A287" s="211"/>
      <c r="B287" s="191"/>
      <c r="C287" s="868"/>
      <c r="D287" s="868"/>
      <c r="E287" s="134">
        <f t="shared" si="5"/>
        <v>73500000</v>
      </c>
      <c r="F287" s="130"/>
    </row>
    <row r="288" spans="1:6" x14ac:dyDescent="0.2">
      <c r="A288" s="211"/>
      <c r="B288" s="191"/>
      <c r="C288" s="868"/>
      <c r="D288" s="868"/>
      <c r="E288" s="134">
        <f t="shared" si="5"/>
        <v>73500000</v>
      </c>
      <c r="F288" s="130"/>
    </row>
    <row r="289" spans="1:6" x14ac:dyDescent="0.2">
      <c r="A289" s="211"/>
      <c r="B289" s="191"/>
      <c r="C289" s="868"/>
      <c r="D289" s="868"/>
      <c r="E289" s="134">
        <f t="shared" si="5"/>
        <v>73500000</v>
      </c>
      <c r="F289" s="130"/>
    </row>
    <row r="290" spans="1:6" x14ac:dyDescent="0.2">
      <c r="A290" s="157"/>
      <c r="B290" s="160"/>
      <c r="C290" s="159"/>
      <c r="D290" s="159"/>
      <c r="E290" s="134">
        <f t="shared" si="5"/>
        <v>73500000</v>
      </c>
      <c r="F290" s="130"/>
    </row>
    <row r="291" spans="1:6" x14ac:dyDescent="0.2">
      <c r="A291" s="157"/>
      <c r="B291" s="160"/>
      <c r="C291" s="159"/>
      <c r="D291" s="159"/>
      <c r="E291" s="134">
        <f t="shared" si="5"/>
        <v>73500000</v>
      </c>
      <c r="F291" s="130"/>
    </row>
    <row r="292" spans="1:6" x14ac:dyDescent="0.2">
      <c r="A292" s="157"/>
      <c r="B292" s="160"/>
      <c r="C292" s="159"/>
      <c r="D292" s="159"/>
      <c r="E292" s="134">
        <f t="shared" si="5"/>
        <v>73500000</v>
      </c>
      <c r="F292" s="130"/>
    </row>
    <row r="293" spans="1:6" x14ac:dyDescent="0.2">
      <c r="A293" s="157"/>
      <c r="B293" s="160"/>
      <c r="C293" s="159"/>
      <c r="D293" s="160"/>
      <c r="E293" s="134">
        <f t="shared" si="5"/>
        <v>73500000</v>
      </c>
      <c r="F293" s="130"/>
    </row>
    <row r="294" spans="1:6" x14ac:dyDescent="0.2">
      <c r="A294" s="157"/>
      <c r="B294" s="160"/>
      <c r="C294" s="159"/>
      <c r="D294" s="160"/>
      <c r="E294" s="134">
        <f t="shared" si="5"/>
        <v>73500000</v>
      </c>
      <c r="F294" s="130"/>
    </row>
    <row r="295" spans="1:6" x14ac:dyDescent="0.2">
      <c r="A295" s="157"/>
      <c r="B295" s="980"/>
      <c r="C295" s="159"/>
      <c r="D295" s="160"/>
      <c r="E295" s="134">
        <f t="shared" si="5"/>
        <v>73500000</v>
      </c>
      <c r="F295" s="130"/>
    </row>
    <row r="296" spans="1:6" x14ac:dyDescent="0.2">
      <c r="A296" s="157"/>
      <c r="B296" s="980"/>
      <c r="C296" s="159"/>
      <c r="D296" s="160"/>
      <c r="E296" s="134">
        <f t="shared" si="5"/>
        <v>73500000</v>
      </c>
      <c r="F296" s="130"/>
    </row>
    <row r="297" spans="1:6" x14ac:dyDescent="0.2">
      <c r="A297" s="157"/>
      <c r="B297" s="980"/>
      <c r="C297" s="159"/>
      <c r="D297" s="160"/>
      <c r="E297" s="134">
        <f t="shared" si="5"/>
        <v>73500000</v>
      </c>
      <c r="F297" s="130"/>
    </row>
    <row r="298" spans="1:6" x14ac:dyDescent="0.2">
      <c r="A298" s="157"/>
      <c r="B298" s="980"/>
      <c r="C298" s="159"/>
      <c r="D298" s="160"/>
      <c r="E298" s="134">
        <f t="shared" si="5"/>
        <v>73500000</v>
      </c>
      <c r="F298" s="130"/>
    </row>
    <row r="299" spans="1:6" x14ac:dyDescent="0.2">
      <c r="A299" s="157"/>
      <c r="B299" s="980"/>
      <c r="C299" s="159"/>
      <c r="D299" s="160"/>
      <c r="E299" s="134">
        <f t="shared" si="5"/>
        <v>73500000</v>
      </c>
      <c r="F299" s="130"/>
    </row>
    <row r="300" spans="1:6" x14ac:dyDescent="0.2">
      <c r="A300" s="157"/>
      <c r="B300" s="980"/>
      <c r="C300" s="159"/>
      <c r="D300" s="160"/>
      <c r="E300" s="134">
        <f t="shared" si="5"/>
        <v>73500000</v>
      </c>
      <c r="F300" s="130"/>
    </row>
    <row r="301" spans="1:6" x14ac:dyDescent="0.2">
      <c r="A301" s="157"/>
      <c r="B301" s="980"/>
      <c r="C301" s="159"/>
      <c r="D301" s="160"/>
      <c r="E301" s="134">
        <f t="shared" si="5"/>
        <v>73500000</v>
      </c>
      <c r="F301" s="130"/>
    </row>
    <row r="302" spans="1:6" x14ac:dyDescent="0.2">
      <c r="A302" s="157"/>
      <c r="B302" s="980"/>
      <c r="C302" s="159"/>
      <c r="D302" s="160"/>
      <c r="E302" s="134">
        <f t="shared" si="5"/>
        <v>73500000</v>
      </c>
      <c r="F302" s="130"/>
    </row>
    <row r="303" spans="1:6" x14ac:dyDescent="0.2">
      <c r="A303" s="157"/>
      <c r="B303" s="980"/>
      <c r="C303" s="159"/>
      <c r="D303" s="160"/>
      <c r="E303" s="134">
        <f t="shared" si="5"/>
        <v>73500000</v>
      </c>
      <c r="F303" s="130"/>
    </row>
    <row r="304" spans="1:6" x14ac:dyDescent="0.2">
      <c r="A304" s="157"/>
      <c r="B304" s="980"/>
      <c r="C304" s="159"/>
      <c r="D304" s="160"/>
      <c r="E304" s="134">
        <f t="shared" si="5"/>
        <v>73500000</v>
      </c>
      <c r="F304" s="130"/>
    </row>
    <row r="305" spans="1:6" x14ac:dyDescent="0.2">
      <c r="A305" s="157"/>
      <c r="B305" s="980"/>
      <c r="C305" s="159"/>
      <c r="D305" s="160"/>
      <c r="E305" s="134">
        <f t="shared" si="5"/>
        <v>73500000</v>
      </c>
      <c r="F305" s="130"/>
    </row>
    <row r="306" spans="1:6" x14ac:dyDescent="0.2">
      <c r="A306" s="157"/>
      <c r="B306" s="980"/>
      <c r="C306" s="159"/>
      <c r="D306" s="160"/>
      <c r="E306" s="134">
        <f t="shared" si="5"/>
        <v>73500000</v>
      </c>
      <c r="F306" s="130"/>
    </row>
    <row r="307" spans="1:6" x14ac:dyDescent="0.2">
      <c r="A307" s="157"/>
      <c r="B307" s="980"/>
      <c r="C307" s="159"/>
      <c r="D307" s="160"/>
      <c r="E307" s="134">
        <f t="shared" si="5"/>
        <v>73500000</v>
      </c>
      <c r="F307" s="130"/>
    </row>
    <row r="308" spans="1:6" x14ac:dyDescent="0.2">
      <c r="A308" s="157"/>
      <c r="B308" s="980"/>
      <c r="C308" s="159"/>
      <c r="D308" s="160"/>
      <c r="E308" s="134">
        <f t="shared" si="5"/>
        <v>73500000</v>
      </c>
      <c r="F308" s="130"/>
    </row>
    <row r="309" spans="1:6" x14ac:dyDescent="0.2">
      <c r="A309" s="157"/>
      <c r="B309" s="980"/>
      <c r="C309" s="159"/>
      <c r="D309" s="160"/>
      <c r="E309" s="134">
        <f t="shared" si="5"/>
        <v>73500000</v>
      </c>
      <c r="F309" s="130"/>
    </row>
    <row r="310" spans="1:6" x14ac:dyDescent="0.2">
      <c r="A310" s="157"/>
      <c r="B310" s="980"/>
      <c r="C310" s="159"/>
      <c r="D310" s="160"/>
      <c r="E310" s="134">
        <f t="shared" si="5"/>
        <v>73500000</v>
      </c>
      <c r="F310" s="130"/>
    </row>
    <row r="311" spans="1:6" x14ac:dyDescent="0.2">
      <c r="A311" s="157"/>
      <c r="B311" s="980"/>
      <c r="C311" s="159"/>
      <c r="D311" s="160"/>
      <c r="E311" s="134">
        <f t="shared" si="5"/>
        <v>73500000</v>
      </c>
      <c r="F311" s="130"/>
    </row>
    <row r="312" spans="1:6" x14ac:dyDescent="0.2">
      <c r="A312" s="157"/>
      <c r="B312" s="980"/>
      <c r="C312" s="159"/>
      <c r="D312" s="160"/>
      <c r="E312" s="134">
        <f t="shared" si="5"/>
        <v>73500000</v>
      </c>
      <c r="F312" s="130"/>
    </row>
    <row r="313" spans="1:6" x14ac:dyDescent="0.2">
      <c r="A313" s="157"/>
      <c r="B313" s="980"/>
      <c r="C313" s="159"/>
      <c r="D313" s="160"/>
      <c r="E313" s="134">
        <f t="shared" si="5"/>
        <v>73500000</v>
      </c>
      <c r="F313" s="130"/>
    </row>
    <row r="314" spans="1:6" x14ac:dyDescent="0.2">
      <c r="A314" s="157"/>
      <c r="B314" s="980"/>
      <c r="C314" s="159"/>
      <c r="D314" s="160"/>
      <c r="E314" s="134">
        <f t="shared" si="5"/>
        <v>73500000</v>
      </c>
      <c r="F314" s="130"/>
    </row>
    <row r="315" spans="1:6" x14ac:dyDescent="0.2">
      <c r="A315" s="157"/>
      <c r="B315" s="980"/>
      <c r="C315" s="159"/>
      <c r="D315" s="160"/>
      <c r="E315" s="134">
        <f t="shared" si="5"/>
        <v>73500000</v>
      </c>
      <c r="F315" s="130"/>
    </row>
    <row r="316" spans="1:6" x14ac:dyDescent="0.2">
      <c r="A316" s="157"/>
      <c r="B316" s="980"/>
      <c r="C316" s="159"/>
      <c r="D316" s="160"/>
      <c r="E316" s="134">
        <f t="shared" si="5"/>
        <v>73500000</v>
      </c>
      <c r="F316" s="130"/>
    </row>
    <row r="317" spans="1:6" x14ac:dyDescent="0.2">
      <c r="A317" s="157"/>
      <c r="B317" s="980"/>
      <c r="C317" s="159"/>
      <c r="D317" s="160"/>
      <c r="E317" s="134">
        <f t="shared" si="5"/>
        <v>73500000</v>
      </c>
      <c r="F317" s="130"/>
    </row>
    <row r="318" spans="1:6" x14ac:dyDescent="0.2">
      <c r="A318" s="157"/>
      <c r="B318" s="980"/>
      <c r="C318" s="159"/>
      <c r="D318" s="160"/>
      <c r="E318" s="134">
        <f t="shared" si="5"/>
        <v>73500000</v>
      </c>
      <c r="F318" s="130"/>
    </row>
    <row r="319" spans="1:6" x14ac:dyDescent="0.2">
      <c r="A319" s="157"/>
      <c r="B319" s="980"/>
      <c r="C319" s="159"/>
      <c r="D319" s="160"/>
      <c r="E319" s="134">
        <f t="shared" si="5"/>
        <v>73500000</v>
      </c>
      <c r="F319" s="130"/>
    </row>
    <row r="320" spans="1:6" x14ac:dyDescent="0.2">
      <c r="A320" s="157"/>
      <c r="B320" s="980"/>
      <c r="C320" s="159"/>
      <c r="D320" s="160"/>
      <c r="E320" s="134">
        <f t="shared" si="5"/>
        <v>73500000</v>
      </c>
      <c r="F320" s="130"/>
    </row>
    <row r="321" spans="1:6" x14ac:dyDescent="0.2">
      <c r="A321" s="157"/>
      <c r="B321" s="980"/>
      <c r="C321" s="159"/>
      <c r="D321" s="160"/>
      <c r="E321" s="134">
        <f t="shared" si="5"/>
        <v>73500000</v>
      </c>
      <c r="F321" s="130"/>
    </row>
    <row r="322" spans="1:6" x14ac:dyDescent="0.2">
      <c r="A322" s="157"/>
      <c r="B322" s="980"/>
      <c r="C322" s="159"/>
      <c r="D322" s="160"/>
      <c r="E322" s="134">
        <f t="shared" si="5"/>
        <v>73500000</v>
      </c>
      <c r="F322" s="130"/>
    </row>
    <row r="323" spans="1:6" x14ac:dyDescent="0.2">
      <c r="A323" s="157"/>
      <c r="B323" s="980"/>
      <c r="C323" s="159"/>
      <c r="D323" s="160"/>
      <c r="E323" s="134">
        <f t="shared" si="5"/>
        <v>73500000</v>
      </c>
      <c r="F323" s="130"/>
    </row>
    <row r="324" spans="1:6" x14ac:dyDescent="0.2">
      <c r="A324" s="157"/>
      <c r="B324" s="980"/>
      <c r="C324" s="159"/>
      <c r="D324" s="160"/>
      <c r="E324" s="134">
        <f t="shared" si="5"/>
        <v>73500000</v>
      </c>
      <c r="F324" s="130"/>
    </row>
    <row r="325" spans="1:6" x14ac:dyDescent="0.2">
      <c r="A325" s="157"/>
      <c r="B325" s="980"/>
      <c r="C325" s="159"/>
      <c r="D325" s="160"/>
      <c r="E325" s="134">
        <f t="shared" si="5"/>
        <v>73500000</v>
      </c>
      <c r="F325" s="130"/>
    </row>
    <row r="326" spans="1:6" x14ac:dyDescent="0.2">
      <c r="A326" s="157"/>
      <c r="B326" s="980"/>
      <c r="C326" s="159"/>
      <c r="D326" s="160"/>
      <c r="E326" s="134">
        <f t="shared" si="5"/>
        <v>73500000</v>
      </c>
      <c r="F326" s="130"/>
    </row>
    <row r="327" spans="1:6" x14ac:dyDescent="0.2">
      <c r="A327" s="157"/>
      <c r="B327" s="980"/>
      <c r="C327" s="159"/>
      <c r="D327" s="160"/>
      <c r="E327" s="134">
        <f t="shared" si="5"/>
        <v>73500000</v>
      </c>
      <c r="F327" s="130"/>
    </row>
    <row r="328" spans="1:6" x14ac:dyDescent="0.2">
      <c r="A328" s="157"/>
      <c r="B328" s="980"/>
      <c r="C328" s="159"/>
      <c r="D328" s="160"/>
      <c r="E328" s="134">
        <f t="shared" si="5"/>
        <v>73500000</v>
      </c>
      <c r="F328" s="130"/>
    </row>
    <row r="329" spans="1:6" x14ac:dyDescent="0.2">
      <c r="A329" s="157"/>
      <c r="B329" s="980"/>
      <c r="C329" s="159"/>
      <c r="D329" s="160"/>
      <c r="E329" s="134">
        <f t="shared" si="5"/>
        <v>73500000</v>
      </c>
      <c r="F329" s="130"/>
    </row>
    <row r="330" spans="1:6" x14ac:dyDescent="0.2">
      <c r="A330" s="157"/>
      <c r="B330" s="980"/>
      <c r="C330" s="159"/>
      <c r="D330" s="160"/>
      <c r="E330" s="134">
        <f t="shared" si="5"/>
        <v>73500000</v>
      </c>
      <c r="F330" s="130"/>
    </row>
    <row r="331" spans="1:6" x14ac:dyDescent="0.2">
      <c r="A331" s="157"/>
      <c r="B331" s="980"/>
      <c r="C331" s="159"/>
      <c r="D331" s="160"/>
      <c r="E331" s="134">
        <f t="shared" si="5"/>
        <v>73500000</v>
      </c>
      <c r="F331" s="130"/>
    </row>
    <row r="332" spans="1:6" x14ac:dyDescent="0.2">
      <c r="A332" s="157"/>
      <c r="B332" s="980"/>
      <c r="C332" s="159"/>
      <c r="D332" s="160"/>
      <c r="E332" s="134">
        <f t="shared" ref="E332:E395" si="6">E331+C332-D332</f>
        <v>73500000</v>
      </c>
      <c r="F332" s="130"/>
    </row>
    <row r="333" spans="1:6" x14ac:dyDescent="0.2">
      <c r="A333" s="157"/>
      <c r="B333" s="980"/>
      <c r="C333" s="159"/>
      <c r="D333" s="160"/>
      <c r="E333" s="134">
        <f t="shared" si="6"/>
        <v>73500000</v>
      </c>
      <c r="F333" s="130"/>
    </row>
    <row r="334" spans="1:6" x14ac:dyDescent="0.2">
      <c r="A334" s="15"/>
      <c r="B334" s="183"/>
      <c r="C334" s="140"/>
      <c r="D334" s="134"/>
      <c r="E334" s="134">
        <f t="shared" si="6"/>
        <v>73500000</v>
      </c>
      <c r="F334" s="130"/>
    </row>
    <row r="335" spans="1:6" x14ac:dyDescent="0.2">
      <c r="A335" s="15"/>
      <c r="B335" s="183"/>
      <c r="C335" s="140"/>
      <c r="D335" s="134"/>
      <c r="E335" s="134">
        <f t="shared" si="6"/>
        <v>73500000</v>
      </c>
      <c r="F335" s="130"/>
    </row>
    <row r="336" spans="1:6" x14ac:dyDescent="0.2">
      <c r="A336" s="15"/>
      <c r="B336" s="183"/>
      <c r="C336" s="140"/>
      <c r="D336" s="134"/>
      <c r="E336" s="134">
        <f t="shared" si="6"/>
        <v>73500000</v>
      </c>
      <c r="F336" s="130"/>
    </row>
    <row r="337" spans="1:6" x14ac:dyDescent="0.2">
      <c r="A337" s="15"/>
      <c r="B337" s="183"/>
      <c r="C337" s="140"/>
      <c r="D337" s="134"/>
      <c r="E337" s="134">
        <f t="shared" si="6"/>
        <v>73500000</v>
      </c>
      <c r="F337" s="130"/>
    </row>
    <row r="338" spans="1:6" x14ac:dyDescent="0.2">
      <c r="A338" s="15"/>
      <c r="B338" s="183"/>
      <c r="C338" s="140"/>
      <c r="D338" s="134"/>
      <c r="E338" s="134">
        <f t="shared" si="6"/>
        <v>73500000</v>
      </c>
      <c r="F338" s="130"/>
    </row>
    <row r="339" spans="1:6" x14ac:dyDescent="0.2">
      <c r="A339" s="15"/>
      <c r="B339" s="183"/>
      <c r="C339" s="140"/>
      <c r="D339" s="134"/>
      <c r="E339" s="134">
        <f t="shared" si="6"/>
        <v>73500000</v>
      </c>
      <c r="F339" s="130"/>
    </row>
    <row r="340" spans="1:6" x14ac:dyDescent="0.2">
      <c r="A340" s="15"/>
      <c r="B340" s="183"/>
      <c r="C340" s="140"/>
      <c r="D340" s="134"/>
      <c r="E340" s="134">
        <f t="shared" si="6"/>
        <v>73500000</v>
      </c>
      <c r="F340" s="130"/>
    </row>
    <row r="341" spans="1:6" x14ac:dyDescent="0.2">
      <c r="A341" s="15"/>
      <c r="B341" s="183"/>
      <c r="C341" s="140"/>
      <c r="D341" s="134"/>
      <c r="E341" s="134">
        <f t="shared" si="6"/>
        <v>73500000</v>
      </c>
      <c r="F341" s="130"/>
    </row>
    <row r="342" spans="1:6" x14ac:dyDescent="0.2">
      <c r="A342" s="15"/>
      <c r="B342" s="183"/>
      <c r="C342" s="140"/>
      <c r="D342" s="134"/>
      <c r="E342" s="134">
        <f t="shared" si="6"/>
        <v>73500000</v>
      </c>
      <c r="F342" s="130"/>
    </row>
    <row r="343" spans="1:6" x14ac:dyDescent="0.2">
      <c r="A343" s="15"/>
      <c r="B343" s="183"/>
      <c r="C343" s="140"/>
      <c r="D343" s="134"/>
      <c r="E343" s="134">
        <f t="shared" si="6"/>
        <v>73500000</v>
      </c>
      <c r="F343" s="130"/>
    </row>
    <row r="344" spans="1:6" x14ac:dyDescent="0.2">
      <c r="A344" s="15"/>
      <c r="B344" s="183"/>
      <c r="C344" s="140"/>
      <c r="D344" s="134"/>
      <c r="E344" s="134">
        <f t="shared" si="6"/>
        <v>73500000</v>
      </c>
      <c r="F344" s="130"/>
    </row>
    <row r="345" spans="1:6" x14ac:dyDescent="0.2">
      <c r="A345" s="15"/>
      <c r="B345" s="183"/>
      <c r="C345" s="140"/>
      <c r="D345" s="134"/>
      <c r="E345" s="134">
        <f t="shared" si="6"/>
        <v>73500000</v>
      </c>
      <c r="F345" s="130"/>
    </row>
    <row r="346" spans="1:6" x14ac:dyDescent="0.2">
      <c r="A346" s="15"/>
      <c r="B346" s="183"/>
      <c r="C346" s="140"/>
      <c r="D346" s="134"/>
      <c r="E346" s="134">
        <f t="shared" si="6"/>
        <v>73500000</v>
      </c>
      <c r="F346" s="130"/>
    </row>
    <row r="347" spans="1:6" x14ac:dyDescent="0.2">
      <c r="A347" s="15"/>
      <c r="B347" s="183"/>
      <c r="C347" s="140"/>
      <c r="D347" s="134"/>
      <c r="E347" s="134">
        <f t="shared" si="6"/>
        <v>73500000</v>
      </c>
      <c r="F347" s="130"/>
    </row>
    <row r="348" spans="1:6" x14ac:dyDescent="0.2">
      <c r="A348" s="15"/>
      <c r="B348" s="183"/>
      <c r="C348" s="140"/>
      <c r="D348" s="134"/>
      <c r="E348" s="134">
        <f t="shared" si="6"/>
        <v>73500000</v>
      </c>
      <c r="F348" s="130"/>
    </row>
    <row r="349" spans="1:6" x14ac:dyDescent="0.2">
      <c r="A349" s="15"/>
      <c r="B349" s="134"/>
      <c r="C349" s="140"/>
      <c r="D349" s="134"/>
      <c r="E349" s="134">
        <f t="shared" si="6"/>
        <v>73500000</v>
      </c>
      <c r="F349" s="130"/>
    </row>
    <row r="350" spans="1:6" x14ac:dyDescent="0.2">
      <c r="A350" s="15"/>
      <c r="B350" s="134"/>
      <c r="C350" s="140"/>
      <c r="D350" s="134"/>
      <c r="E350" s="134">
        <f t="shared" si="6"/>
        <v>73500000</v>
      </c>
      <c r="F350" s="130"/>
    </row>
    <row r="351" spans="1:6" x14ac:dyDescent="0.2">
      <c r="A351" s="15"/>
      <c r="B351" s="134"/>
      <c r="C351" s="140"/>
      <c r="D351" s="134"/>
      <c r="E351" s="134">
        <f t="shared" si="6"/>
        <v>73500000</v>
      </c>
      <c r="F351" s="130"/>
    </row>
    <row r="352" spans="1:6" x14ac:dyDescent="0.2">
      <c r="A352" s="15"/>
      <c r="B352" s="134"/>
      <c r="C352" s="140"/>
      <c r="D352" s="134"/>
      <c r="E352" s="134">
        <f t="shared" si="6"/>
        <v>73500000</v>
      </c>
      <c r="F352" s="130"/>
    </row>
    <row r="353" spans="1:6" x14ac:dyDescent="0.2">
      <c r="A353" s="15"/>
      <c r="B353" s="134"/>
      <c r="C353" s="140"/>
      <c r="D353" s="134"/>
      <c r="E353" s="134">
        <f t="shared" si="6"/>
        <v>73500000</v>
      </c>
      <c r="F353" s="130"/>
    </row>
    <row r="354" spans="1:6" x14ac:dyDescent="0.2">
      <c r="A354" s="15"/>
      <c r="B354" s="134"/>
      <c r="C354" s="140"/>
      <c r="D354" s="134"/>
      <c r="E354" s="134">
        <f t="shared" si="6"/>
        <v>73500000</v>
      </c>
      <c r="F354" s="130"/>
    </row>
    <row r="355" spans="1:6" x14ac:dyDescent="0.2">
      <c r="A355" s="15"/>
      <c r="B355" s="134"/>
      <c r="C355" s="140"/>
      <c r="D355" s="134"/>
      <c r="E355" s="134">
        <f t="shared" si="6"/>
        <v>73500000</v>
      </c>
      <c r="F355" s="130"/>
    </row>
    <row r="356" spans="1:6" x14ac:dyDescent="0.2">
      <c r="A356" s="15"/>
      <c r="B356" s="134"/>
      <c r="C356" s="140"/>
      <c r="D356" s="134"/>
      <c r="E356" s="134">
        <f t="shared" si="6"/>
        <v>73500000</v>
      </c>
      <c r="F356" s="130"/>
    </row>
    <row r="357" spans="1:6" x14ac:dyDescent="0.2">
      <c r="A357" s="15"/>
      <c r="B357" s="134"/>
      <c r="C357" s="140"/>
      <c r="D357" s="134"/>
      <c r="E357" s="134">
        <f t="shared" si="6"/>
        <v>73500000</v>
      </c>
      <c r="F357" s="130"/>
    </row>
    <row r="358" spans="1:6" x14ac:dyDescent="0.2">
      <c r="A358" s="15"/>
      <c r="B358" s="134"/>
      <c r="C358" s="140"/>
      <c r="D358" s="134"/>
      <c r="E358" s="134">
        <f t="shared" si="6"/>
        <v>73500000</v>
      </c>
      <c r="F358" s="130"/>
    </row>
    <row r="359" spans="1:6" x14ac:dyDescent="0.2">
      <c r="A359" s="15"/>
      <c r="B359" s="134"/>
      <c r="C359" s="140"/>
      <c r="D359" s="134"/>
      <c r="E359" s="134">
        <f t="shared" si="6"/>
        <v>73500000</v>
      </c>
      <c r="F359" s="130"/>
    </row>
    <row r="360" spans="1:6" x14ac:dyDescent="0.2">
      <c r="A360" s="15"/>
      <c r="B360" s="134"/>
      <c r="C360" s="140"/>
      <c r="D360" s="134"/>
      <c r="E360" s="134">
        <f t="shared" si="6"/>
        <v>73500000</v>
      </c>
      <c r="F360" s="130"/>
    </row>
    <row r="361" spans="1:6" x14ac:dyDescent="0.2">
      <c r="A361" s="15"/>
      <c r="B361" s="134"/>
      <c r="C361" s="140"/>
      <c r="D361" s="134"/>
      <c r="E361" s="134">
        <f t="shared" si="6"/>
        <v>73500000</v>
      </c>
      <c r="F361" s="130"/>
    </row>
    <row r="362" spans="1:6" x14ac:dyDescent="0.2">
      <c r="A362" s="15"/>
      <c r="B362" s="134"/>
      <c r="C362" s="140"/>
      <c r="D362" s="134"/>
      <c r="E362" s="134">
        <f t="shared" si="6"/>
        <v>73500000</v>
      </c>
      <c r="F362" s="130"/>
    </row>
    <row r="363" spans="1:6" x14ac:dyDescent="0.2">
      <c r="A363" s="15"/>
      <c r="B363" s="134"/>
      <c r="C363" s="140"/>
      <c r="D363" s="134"/>
      <c r="E363" s="134">
        <f t="shared" si="6"/>
        <v>73500000</v>
      </c>
      <c r="F363" s="130"/>
    </row>
    <row r="364" spans="1:6" x14ac:dyDescent="0.2">
      <c r="A364" s="15"/>
      <c r="B364" s="134"/>
      <c r="C364" s="140"/>
      <c r="D364" s="134"/>
      <c r="E364" s="134">
        <f t="shared" si="6"/>
        <v>73500000</v>
      </c>
      <c r="F364" s="130"/>
    </row>
    <row r="365" spans="1:6" x14ac:dyDescent="0.2">
      <c r="A365" s="15"/>
      <c r="B365" s="134"/>
      <c r="C365" s="140"/>
      <c r="D365" s="134"/>
      <c r="E365" s="134">
        <f t="shared" si="6"/>
        <v>73500000</v>
      </c>
      <c r="F365" s="130"/>
    </row>
    <row r="366" spans="1:6" x14ac:dyDescent="0.2">
      <c r="A366" s="15"/>
      <c r="B366" s="134"/>
      <c r="C366" s="140"/>
      <c r="D366" s="134"/>
      <c r="E366" s="134">
        <f t="shared" si="6"/>
        <v>73500000</v>
      </c>
      <c r="F366" s="130"/>
    </row>
    <row r="367" spans="1:6" x14ac:dyDescent="0.2">
      <c r="A367" s="15"/>
      <c r="B367" s="134"/>
      <c r="C367" s="140"/>
      <c r="D367" s="134"/>
      <c r="E367" s="134">
        <f t="shared" si="6"/>
        <v>73500000</v>
      </c>
      <c r="F367" s="130"/>
    </row>
    <row r="368" spans="1:6" x14ac:dyDescent="0.2">
      <c r="A368" s="15"/>
      <c r="B368" s="134"/>
      <c r="C368" s="140"/>
      <c r="D368" s="134"/>
      <c r="E368" s="134">
        <f t="shared" si="6"/>
        <v>73500000</v>
      </c>
      <c r="F368" s="130"/>
    </row>
    <row r="369" spans="1:6" x14ac:dyDescent="0.2">
      <c r="A369" s="15"/>
      <c r="B369" s="134"/>
      <c r="C369" s="140"/>
      <c r="D369" s="134"/>
      <c r="E369" s="134">
        <f t="shared" si="6"/>
        <v>73500000</v>
      </c>
      <c r="F369" s="130"/>
    </row>
    <row r="370" spans="1:6" x14ac:dyDescent="0.2">
      <c r="A370" s="15"/>
      <c r="B370" s="134"/>
      <c r="C370" s="140"/>
      <c r="D370" s="134"/>
      <c r="E370" s="134">
        <f t="shared" si="6"/>
        <v>73500000</v>
      </c>
      <c r="F370" s="130"/>
    </row>
    <row r="371" spans="1:6" x14ac:dyDescent="0.2">
      <c r="A371" s="15"/>
      <c r="B371" s="134"/>
      <c r="C371" s="140"/>
      <c r="D371" s="134"/>
      <c r="E371" s="134">
        <f t="shared" si="6"/>
        <v>73500000</v>
      </c>
      <c r="F371" s="130"/>
    </row>
    <row r="372" spans="1:6" x14ac:dyDescent="0.2">
      <c r="A372" s="15"/>
      <c r="B372" s="134"/>
      <c r="C372" s="140"/>
      <c r="D372" s="134"/>
      <c r="E372" s="134">
        <f t="shared" si="6"/>
        <v>73500000</v>
      </c>
      <c r="F372" s="130"/>
    </row>
    <row r="373" spans="1:6" x14ac:dyDescent="0.2">
      <c r="A373" s="15"/>
      <c r="B373" s="134"/>
      <c r="C373" s="140"/>
      <c r="D373" s="134"/>
      <c r="E373" s="134">
        <f t="shared" si="6"/>
        <v>73500000</v>
      </c>
      <c r="F373" s="130"/>
    </row>
    <row r="374" spans="1:6" x14ac:dyDescent="0.2">
      <c r="A374" s="15"/>
      <c r="B374" s="134"/>
      <c r="C374" s="140"/>
      <c r="D374" s="134"/>
      <c r="E374" s="134">
        <f t="shared" si="6"/>
        <v>73500000</v>
      </c>
      <c r="F374" s="130"/>
    </row>
    <row r="375" spans="1:6" x14ac:dyDescent="0.2">
      <c r="A375" s="15"/>
      <c r="B375" s="134"/>
      <c r="C375" s="140"/>
      <c r="D375" s="134"/>
      <c r="E375" s="134">
        <f t="shared" si="6"/>
        <v>73500000</v>
      </c>
      <c r="F375" s="130"/>
    </row>
    <row r="376" spans="1:6" x14ac:dyDescent="0.2">
      <c r="A376" s="15"/>
      <c r="B376" s="134"/>
      <c r="C376" s="140"/>
      <c r="D376" s="134"/>
      <c r="E376" s="134">
        <f t="shared" si="6"/>
        <v>73500000</v>
      </c>
      <c r="F376" s="130"/>
    </row>
    <row r="377" spans="1:6" x14ac:dyDescent="0.2">
      <c r="A377" s="15"/>
      <c r="B377" s="134"/>
      <c r="C377" s="140"/>
      <c r="D377" s="134"/>
      <c r="E377" s="134">
        <f t="shared" si="6"/>
        <v>73500000</v>
      </c>
      <c r="F377" s="130"/>
    </row>
    <row r="378" spans="1:6" x14ac:dyDescent="0.2">
      <c r="A378" s="15"/>
      <c r="B378" s="134"/>
      <c r="C378" s="140"/>
      <c r="D378" s="134"/>
      <c r="E378" s="134">
        <f t="shared" si="6"/>
        <v>73500000</v>
      </c>
      <c r="F378" s="130"/>
    </row>
    <row r="379" spans="1:6" x14ac:dyDescent="0.2">
      <c r="A379" s="15"/>
      <c r="B379" s="134"/>
      <c r="C379" s="140"/>
      <c r="D379" s="134"/>
      <c r="E379" s="134">
        <f t="shared" si="6"/>
        <v>73500000</v>
      </c>
      <c r="F379" s="130"/>
    </row>
    <row r="380" spans="1:6" x14ac:dyDescent="0.2">
      <c r="A380" s="15"/>
      <c r="B380" s="134"/>
      <c r="C380" s="140"/>
      <c r="D380" s="134"/>
      <c r="E380" s="134">
        <f t="shared" si="6"/>
        <v>73500000</v>
      </c>
      <c r="F380" s="130"/>
    </row>
    <row r="381" spans="1:6" x14ac:dyDescent="0.2">
      <c r="A381" s="15"/>
      <c r="B381" s="134"/>
      <c r="C381" s="140"/>
      <c r="D381" s="134"/>
      <c r="E381" s="134">
        <f t="shared" si="6"/>
        <v>73500000</v>
      </c>
      <c r="F381" s="130"/>
    </row>
    <row r="382" spans="1:6" x14ac:dyDescent="0.2">
      <c r="A382" s="15"/>
      <c r="B382" s="134"/>
      <c r="C382" s="140"/>
      <c r="D382" s="134"/>
      <c r="E382" s="134">
        <f t="shared" si="6"/>
        <v>73500000</v>
      </c>
      <c r="F382" s="130"/>
    </row>
    <row r="383" spans="1:6" x14ac:dyDescent="0.2">
      <c r="A383" s="15"/>
      <c r="B383" s="134"/>
      <c r="C383" s="140"/>
      <c r="D383" s="134"/>
      <c r="E383" s="134">
        <f t="shared" si="6"/>
        <v>73500000</v>
      </c>
      <c r="F383" s="130"/>
    </row>
    <row r="384" spans="1:6" x14ac:dyDescent="0.2">
      <c r="A384" s="15"/>
      <c r="B384" s="134"/>
      <c r="C384" s="140"/>
      <c r="D384" s="134"/>
      <c r="E384" s="134">
        <f t="shared" si="6"/>
        <v>73500000</v>
      </c>
      <c r="F384" s="130"/>
    </row>
    <row r="385" spans="1:6" x14ac:dyDescent="0.2">
      <c r="A385" s="15"/>
      <c r="B385" s="134"/>
      <c r="C385" s="140"/>
      <c r="D385" s="134"/>
      <c r="E385" s="134">
        <f t="shared" si="6"/>
        <v>73500000</v>
      </c>
      <c r="F385" s="130"/>
    </row>
    <row r="386" spans="1:6" x14ac:dyDescent="0.2">
      <c r="A386" s="15"/>
      <c r="B386" s="134"/>
      <c r="C386" s="140"/>
      <c r="D386" s="134"/>
      <c r="E386" s="134">
        <f t="shared" si="6"/>
        <v>73500000</v>
      </c>
      <c r="F386" s="130"/>
    </row>
    <row r="387" spans="1:6" x14ac:dyDescent="0.2">
      <c r="A387" s="15"/>
      <c r="B387" s="134"/>
      <c r="C387" s="140"/>
      <c r="D387" s="134"/>
      <c r="E387" s="134">
        <f t="shared" si="6"/>
        <v>73500000</v>
      </c>
      <c r="F387" s="130"/>
    </row>
    <row r="388" spans="1:6" x14ac:dyDescent="0.2">
      <c r="A388" s="15"/>
      <c r="B388" s="134"/>
      <c r="C388" s="140"/>
      <c r="D388" s="134"/>
      <c r="E388" s="134">
        <f t="shared" si="6"/>
        <v>73500000</v>
      </c>
      <c r="F388" s="130"/>
    </row>
    <row r="389" spans="1:6" x14ac:dyDescent="0.2">
      <c r="A389" s="15"/>
      <c r="B389" s="134"/>
      <c r="C389" s="140"/>
      <c r="D389" s="134"/>
      <c r="E389" s="134">
        <f t="shared" si="6"/>
        <v>73500000</v>
      </c>
      <c r="F389" s="130"/>
    </row>
    <row r="390" spans="1:6" x14ac:dyDescent="0.2">
      <c r="A390" s="15"/>
      <c r="B390" s="134"/>
      <c r="C390" s="140"/>
      <c r="D390" s="134"/>
      <c r="E390" s="134">
        <f t="shared" si="6"/>
        <v>73500000</v>
      </c>
      <c r="F390" s="130"/>
    </row>
    <row r="391" spans="1:6" x14ac:dyDescent="0.2">
      <c r="A391" s="15"/>
      <c r="B391" s="134"/>
      <c r="C391" s="140"/>
      <c r="D391" s="134"/>
      <c r="E391" s="134">
        <f t="shared" si="6"/>
        <v>73500000</v>
      </c>
      <c r="F391" s="130"/>
    </row>
    <row r="392" spans="1:6" x14ac:dyDescent="0.2">
      <c r="A392" s="15"/>
      <c r="B392" s="134"/>
      <c r="C392" s="140"/>
      <c r="D392" s="134"/>
      <c r="E392" s="134">
        <f t="shared" si="6"/>
        <v>73500000</v>
      </c>
      <c r="F392" s="130"/>
    </row>
    <row r="393" spans="1:6" x14ac:dyDescent="0.2">
      <c r="A393" s="15"/>
      <c r="B393" s="134"/>
      <c r="C393" s="140"/>
      <c r="D393" s="134"/>
      <c r="E393" s="134">
        <f t="shared" si="6"/>
        <v>73500000</v>
      </c>
      <c r="F393" s="130"/>
    </row>
    <row r="394" spans="1:6" x14ac:dyDescent="0.2">
      <c r="A394" s="15"/>
      <c r="B394" s="134"/>
      <c r="C394" s="140"/>
      <c r="D394" s="134"/>
      <c r="E394" s="134">
        <f t="shared" si="6"/>
        <v>73500000</v>
      </c>
      <c r="F394" s="130"/>
    </row>
    <row r="395" spans="1:6" x14ac:dyDescent="0.2">
      <c r="A395" s="15"/>
      <c r="B395" s="134"/>
      <c r="C395" s="140"/>
      <c r="D395" s="134"/>
      <c r="E395" s="134">
        <f t="shared" si="6"/>
        <v>73500000</v>
      </c>
      <c r="F395" s="130"/>
    </row>
    <row r="396" spans="1:6" x14ac:dyDescent="0.2">
      <c r="A396" s="15"/>
      <c r="B396" s="134"/>
      <c r="C396" s="140"/>
      <c r="D396" s="134"/>
      <c r="E396" s="134">
        <f t="shared" ref="E396:E420" si="7">E395+C396-D396</f>
        <v>73500000</v>
      </c>
      <c r="F396" s="130"/>
    </row>
    <row r="397" spans="1:6" x14ac:dyDescent="0.2">
      <c r="A397" s="15"/>
      <c r="B397" s="134"/>
      <c r="C397" s="140"/>
      <c r="D397" s="134"/>
      <c r="E397" s="134">
        <f t="shared" si="7"/>
        <v>73500000</v>
      </c>
      <c r="F397" s="130"/>
    </row>
    <row r="398" spans="1:6" x14ac:dyDescent="0.2">
      <c r="A398" s="15"/>
      <c r="B398" s="134"/>
      <c r="C398" s="140"/>
      <c r="D398" s="134"/>
      <c r="E398" s="134">
        <f t="shared" si="7"/>
        <v>73500000</v>
      </c>
      <c r="F398" s="130"/>
    </row>
    <row r="399" spans="1:6" x14ac:dyDescent="0.2">
      <c r="A399" s="15"/>
      <c r="B399" s="134"/>
      <c r="C399" s="140"/>
      <c r="D399" s="134"/>
      <c r="E399" s="134">
        <f t="shared" si="7"/>
        <v>73500000</v>
      </c>
      <c r="F399" s="130"/>
    </row>
    <row r="400" spans="1:6" x14ac:dyDescent="0.2">
      <c r="A400" s="15"/>
      <c r="B400" s="134"/>
      <c r="C400" s="140"/>
      <c r="D400" s="134"/>
      <c r="E400" s="134">
        <f t="shared" si="7"/>
        <v>73500000</v>
      </c>
      <c r="F400" s="130"/>
    </row>
    <row r="401" spans="1:6" x14ac:dyDescent="0.2">
      <c r="A401" s="15"/>
      <c r="B401" s="134"/>
      <c r="C401" s="140"/>
      <c r="D401" s="134"/>
      <c r="E401" s="134">
        <f t="shared" si="7"/>
        <v>73500000</v>
      </c>
      <c r="F401" s="130"/>
    </row>
    <row r="402" spans="1:6" x14ac:dyDescent="0.2">
      <c r="A402" s="15"/>
      <c r="B402" s="134"/>
      <c r="C402" s="140"/>
      <c r="D402" s="134"/>
      <c r="E402" s="134">
        <f t="shared" si="7"/>
        <v>73500000</v>
      </c>
      <c r="F402" s="130"/>
    </row>
    <row r="403" spans="1:6" x14ac:dyDescent="0.2">
      <c r="A403" s="15"/>
      <c r="B403" s="134"/>
      <c r="C403" s="140"/>
      <c r="D403" s="134"/>
      <c r="E403" s="134">
        <f t="shared" si="7"/>
        <v>73500000</v>
      </c>
      <c r="F403" s="130"/>
    </row>
    <row r="404" spans="1:6" x14ac:dyDescent="0.2">
      <c r="A404" s="15"/>
      <c r="B404" s="134"/>
      <c r="C404" s="140"/>
      <c r="D404" s="134"/>
      <c r="E404" s="134">
        <f t="shared" si="7"/>
        <v>73500000</v>
      </c>
      <c r="F404" s="130"/>
    </row>
    <row r="405" spans="1:6" x14ac:dyDescent="0.2">
      <c r="A405" s="15"/>
      <c r="B405" s="134"/>
      <c r="C405" s="140"/>
      <c r="D405" s="134"/>
      <c r="E405" s="134">
        <f t="shared" si="7"/>
        <v>73500000</v>
      </c>
      <c r="F405" s="130"/>
    </row>
    <row r="406" spans="1:6" x14ac:dyDescent="0.2">
      <c r="A406" s="15"/>
      <c r="B406" s="134"/>
      <c r="C406" s="140"/>
      <c r="D406" s="134"/>
      <c r="E406" s="134">
        <f t="shared" si="7"/>
        <v>73500000</v>
      </c>
      <c r="F406" s="130"/>
    </row>
    <row r="407" spans="1:6" x14ac:dyDescent="0.2">
      <c r="A407" s="15"/>
      <c r="B407" s="134"/>
      <c r="C407" s="140"/>
      <c r="D407" s="134"/>
      <c r="E407" s="134">
        <f t="shared" si="7"/>
        <v>73500000</v>
      </c>
      <c r="F407" s="130"/>
    </row>
    <row r="408" spans="1:6" x14ac:dyDescent="0.2">
      <c r="A408" s="15"/>
      <c r="B408" s="134"/>
      <c r="C408" s="140"/>
      <c r="D408" s="134"/>
      <c r="E408" s="134">
        <f t="shared" si="7"/>
        <v>73500000</v>
      </c>
      <c r="F408" s="130"/>
    </row>
    <row r="409" spans="1:6" x14ac:dyDescent="0.2">
      <c r="A409" s="15"/>
      <c r="B409" s="134"/>
      <c r="C409" s="140"/>
      <c r="D409" s="134"/>
      <c r="E409" s="134">
        <f t="shared" si="7"/>
        <v>73500000</v>
      </c>
      <c r="F409" s="130"/>
    </row>
    <row r="410" spans="1:6" x14ac:dyDescent="0.2">
      <c r="A410" s="15"/>
      <c r="B410" s="134"/>
      <c r="C410" s="140"/>
      <c r="D410" s="134"/>
      <c r="E410" s="134">
        <f t="shared" si="7"/>
        <v>73500000</v>
      </c>
      <c r="F410" s="130"/>
    </row>
    <row r="411" spans="1:6" x14ac:dyDescent="0.2">
      <c r="A411" s="15"/>
      <c r="B411" s="134"/>
      <c r="C411" s="140"/>
      <c r="D411" s="134"/>
      <c r="E411" s="134">
        <f t="shared" si="7"/>
        <v>73500000</v>
      </c>
      <c r="F411" s="130"/>
    </row>
    <row r="412" spans="1:6" x14ac:dyDescent="0.2">
      <c r="A412" s="15"/>
      <c r="B412" s="134"/>
      <c r="C412" s="140"/>
      <c r="D412" s="134"/>
      <c r="E412" s="134">
        <f t="shared" si="7"/>
        <v>73500000</v>
      </c>
      <c r="F412" s="130"/>
    </row>
    <row r="413" spans="1:6" x14ac:dyDescent="0.2">
      <c r="A413" s="15"/>
      <c r="B413" s="134"/>
      <c r="C413" s="140"/>
      <c r="D413" s="134"/>
      <c r="E413" s="134">
        <f t="shared" si="7"/>
        <v>73500000</v>
      </c>
      <c r="F413" s="130"/>
    </row>
    <row r="414" spans="1:6" x14ac:dyDescent="0.2">
      <c r="A414" s="15"/>
      <c r="B414" s="134"/>
      <c r="C414" s="140"/>
      <c r="D414" s="134"/>
      <c r="E414" s="134">
        <f t="shared" si="7"/>
        <v>73500000</v>
      </c>
      <c r="F414" s="130"/>
    </row>
    <row r="415" spans="1:6" x14ac:dyDescent="0.2">
      <c r="A415" s="15"/>
      <c r="B415" s="134"/>
      <c r="C415" s="140"/>
      <c r="D415" s="134"/>
      <c r="E415" s="134">
        <f t="shared" si="7"/>
        <v>73500000</v>
      </c>
      <c r="F415" s="130"/>
    </row>
    <row r="416" spans="1:6" x14ac:dyDescent="0.2">
      <c r="A416" s="15"/>
      <c r="B416" s="134"/>
      <c r="C416" s="140"/>
      <c r="D416" s="134"/>
      <c r="E416" s="134">
        <f t="shared" si="7"/>
        <v>73500000</v>
      </c>
      <c r="F416" s="130"/>
    </row>
    <row r="417" spans="1:256" x14ac:dyDescent="0.2">
      <c r="A417" s="15"/>
      <c r="B417" s="134"/>
      <c r="C417" s="140"/>
      <c r="D417" s="134"/>
      <c r="E417" s="134">
        <f t="shared" si="7"/>
        <v>73500000</v>
      </c>
      <c r="F417" s="130"/>
    </row>
    <row r="418" spans="1:256" x14ac:dyDescent="0.2">
      <c r="A418" s="15"/>
      <c r="B418" s="134"/>
      <c r="C418" s="140"/>
      <c r="D418" s="134"/>
      <c r="E418" s="134">
        <f t="shared" si="7"/>
        <v>73500000</v>
      </c>
      <c r="F418" s="130"/>
    </row>
    <row r="419" spans="1:256" x14ac:dyDescent="0.2">
      <c r="A419" s="15"/>
      <c r="B419" s="134"/>
      <c r="C419" s="140"/>
      <c r="D419" s="134"/>
      <c r="E419" s="134">
        <f t="shared" si="7"/>
        <v>73500000</v>
      </c>
      <c r="F419" s="130"/>
    </row>
    <row r="420" spans="1:256" s="31" customFormat="1" x14ac:dyDescent="0.2">
      <c r="A420" s="981"/>
      <c r="B420" s="206" t="s">
        <v>265</v>
      </c>
      <c r="C420" s="982"/>
      <c r="D420" s="206"/>
      <c r="E420" s="206">
        <f t="shared" si="7"/>
        <v>73500000</v>
      </c>
      <c r="F420" s="983"/>
      <c r="G420" s="925"/>
      <c r="H420" s="925"/>
      <c r="I420" s="925"/>
      <c r="J420" s="925"/>
      <c r="K420" s="925"/>
      <c r="L420" s="925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  <c r="AA420" s="206"/>
      <c r="AB420" s="206"/>
      <c r="AC420" s="206"/>
      <c r="AD420" s="206"/>
      <c r="AE420" s="206"/>
      <c r="AF420" s="206"/>
      <c r="AG420" s="206"/>
      <c r="AH420" s="206"/>
      <c r="AI420" s="206"/>
      <c r="AJ420" s="206"/>
      <c r="AK420" s="206"/>
      <c r="AL420" s="206"/>
      <c r="AM420" s="206"/>
      <c r="AN420" s="206"/>
      <c r="AO420" s="206"/>
      <c r="AP420" s="206"/>
      <c r="AQ420" s="206"/>
      <c r="AR420" s="206"/>
      <c r="AS420" s="206"/>
    </row>
    <row r="421" spans="1:256" x14ac:dyDescent="0.2">
      <c r="A421" s="21"/>
      <c r="F421" s="130"/>
    </row>
    <row r="422" spans="1:256" x14ac:dyDescent="0.2">
      <c r="A422" s="43" t="s">
        <v>103</v>
      </c>
      <c r="B422" s="142"/>
      <c r="C422" s="143">
        <f>SUM(C12:C176)</f>
        <v>696000000</v>
      </c>
      <c r="D422" s="142">
        <f>SUM(D12:D176)</f>
        <v>639500000</v>
      </c>
      <c r="E422" s="142"/>
      <c r="F422" s="144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  <c r="AR422" s="142"/>
      <c r="AS422" s="142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40"/>
      <c r="DB422" s="40"/>
      <c r="DC422" s="40"/>
      <c r="DD422" s="40"/>
      <c r="DE422" s="40"/>
      <c r="DF422" s="40"/>
      <c r="DG422" s="40"/>
      <c r="DH422" s="40"/>
      <c r="DI422" s="40"/>
      <c r="DJ422" s="40"/>
      <c r="DK422" s="40"/>
      <c r="DL422" s="40"/>
      <c r="DM422" s="40"/>
      <c r="DN422" s="40"/>
      <c r="DO422" s="40"/>
      <c r="DP422" s="40"/>
      <c r="DQ422" s="40"/>
      <c r="DR422" s="40"/>
      <c r="DS422" s="40"/>
      <c r="DT422" s="40"/>
      <c r="DU422" s="40"/>
      <c r="DV422" s="40"/>
      <c r="DW422" s="40"/>
      <c r="DX422" s="40"/>
      <c r="DY422" s="40"/>
      <c r="DZ422" s="40"/>
      <c r="EA422" s="40"/>
      <c r="EB422" s="40"/>
      <c r="EC422" s="40"/>
      <c r="ED422" s="40"/>
      <c r="EE422" s="40"/>
      <c r="EF422" s="40"/>
      <c r="EG422" s="40"/>
      <c r="EH422" s="40"/>
      <c r="EI422" s="40"/>
      <c r="EJ422" s="40"/>
      <c r="EK422" s="40"/>
      <c r="EL422" s="40"/>
      <c r="EM422" s="40"/>
      <c r="EN422" s="40"/>
      <c r="EO422" s="40"/>
      <c r="EP422" s="40"/>
      <c r="EQ422" s="40"/>
      <c r="ER422" s="40"/>
      <c r="ES422" s="40"/>
      <c r="ET422" s="40"/>
      <c r="EU422" s="40"/>
      <c r="EV422" s="40"/>
      <c r="EW422" s="40"/>
      <c r="EX422" s="40"/>
      <c r="EY422" s="40"/>
      <c r="EZ422" s="40"/>
      <c r="FA422" s="40"/>
      <c r="FB422" s="40"/>
      <c r="FC422" s="40"/>
      <c r="FD422" s="40"/>
      <c r="FE422" s="40"/>
      <c r="FF422" s="40"/>
      <c r="FG422" s="40"/>
      <c r="FH422" s="40"/>
      <c r="FI422" s="40"/>
      <c r="FJ422" s="40"/>
      <c r="FK422" s="40"/>
      <c r="FL422" s="40"/>
      <c r="FM422" s="40"/>
      <c r="FN422" s="40"/>
      <c r="FO422" s="40"/>
      <c r="FP422" s="40"/>
      <c r="FQ422" s="40"/>
      <c r="FR422" s="40"/>
      <c r="FS422" s="40"/>
      <c r="FT422" s="40"/>
      <c r="FU422" s="40"/>
      <c r="FV422" s="40"/>
      <c r="FW422" s="40"/>
      <c r="FX422" s="40"/>
      <c r="FY422" s="40"/>
      <c r="FZ422" s="40"/>
      <c r="GA422" s="40"/>
      <c r="GB422" s="40"/>
      <c r="GC422" s="40"/>
      <c r="GD422" s="40"/>
      <c r="GE422" s="40"/>
      <c r="GF422" s="40"/>
      <c r="GG422" s="40"/>
      <c r="GH422" s="40"/>
      <c r="GI422" s="40"/>
      <c r="GJ422" s="40"/>
      <c r="GK422" s="40"/>
      <c r="GL422" s="40"/>
      <c r="GM422" s="40"/>
      <c r="GN422" s="40"/>
      <c r="GO422" s="40"/>
      <c r="GP422" s="40"/>
      <c r="GQ422" s="40"/>
      <c r="GR422" s="40"/>
      <c r="GS422" s="40"/>
      <c r="GT422" s="40"/>
      <c r="GU422" s="40"/>
      <c r="GV422" s="40"/>
      <c r="GW422" s="40"/>
      <c r="GX422" s="40"/>
      <c r="GY422" s="40"/>
      <c r="GZ422" s="40"/>
      <c r="HA422" s="40"/>
      <c r="HB422" s="40"/>
      <c r="HC422" s="40"/>
      <c r="HD422" s="40"/>
      <c r="HE422" s="40"/>
      <c r="HF422" s="40"/>
      <c r="HG422" s="40"/>
      <c r="HH422" s="40"/>
      <c r="HI422" s="40"/>
      <c r="HJ422" s="40"/>
      <c r="HK422" s="40"/>
      <c r="HL422" s="40"/>
      <c r="HM422" s="40"/>
      <c r="HN422" s="40"/>
      <c r="HO422" s="40"/>
      <c r="HP422" s="40"/>
      <c r="HQ422" s="40"/>
      <c r="HR422" s="40"/>
      <c r="HS422" s="40"/>
      <c r="HT422" s="40"/>
      <c r="HU422" s="40"/>
      <c r="HV422" s="40"/>
      <c r="HW422" s="40"/>
      <c r="HX422" s="40"/>
      <c r="HY422" s="40"/>
      <c r="HZ422" s="40"/>
      <c r="IA422" s="40"/>
      <c r="IB422" s="40"/>
      <c r="IC422" s="40"/>
      <c r="ID422" s="40"/>
      <c r="IE422" s="40"/>
      <c r="IF422" s="40"/>
      <c r="IG422" s="40"/>
      <c r="IH422" s="40"/>
      <c r="II422" s="40"/>
      <c r="IJ422" s="40"/>
      <c r="IK422" s="40"/>
      <c r="IL422" s="40"/>
      <c r="IM422" s="40"/>
      <c r="IN422" s="40"/>
      <c r="IO422" s="40"/>
      <c r="IP422" s="40"/>
      <c r="IQ422" s="40"/>
      <c r="IR422" s="40"/>
      <c r="IS422" s="40"/>
      <c r="IT422" s="40"/>
      <c r="IU422" s="40"/>
      <c r="IV422" s="40"/>
    </row>
    <row r="423" spans="1:256" x14ac:dyDescent="0.2">
      <c r="A423" s="21"/>
      <c r="F423" s="130"/>
    </row>
    <row r="424" spans="1:256" x14ac:dyDescent="0.2">
      <c r="A424" s="44"/>
      <c r="B424" s="130"/>
      <c r="C424" s="145"/>
      <c r="D424" s="130"/>
      <c r="E424" s="130"/>
      <c r="F424" s="130"/>
    </row>
    <row r="425" spans="1:256" x14ac:dyDescent="0.2">
      <c r="A425" s="21"/>
    </row>
    <row r="426" spans="1:256" x14ac:dyDescent="0.2">
      <c r="A426" s="21"/>
    </row>
    <row r="427" spans="1:256" x14ac:dyDescent="0.2">
      <c r="A427" s="21"/>
    </row>
    <row r="428" spans="1:256" x14ac:dyDescent="0.2">
      <c r="A428" s="21"/>
    </row>
    <row r="429" spans="1:256" x14ac:dyDescent="0.2">
      <c r="A429" s="21"/>
    </row>
    <row r="430" spans="1:256" x14ac:dyDescent="0.2">
      <c r="A430" s="21"/>
    </row>
    <row r="431" spans="1:256" x14ac:dyDescent="0.2">
      <c r="A431" s="21"/>
    </row>
  </sheetData>
  <mergeCells count="1">
    <mergeCell ref="A5:E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B384"/>
  <sheetViews>
    <sheetView showGridLines="0" zoomScale="80" zoomScaleNormal="80" workbookViewId="0">
      <pane ySplit="10" topLeftCell="A77" activePane="bottomLeft" state="frozen"/>
      <selection pane="bottomLeft" activeCell="A2" sqref="A2"/>
    </sheetView>
  </sheetViews>
  <sheetFormatPr baseColWidth="10" defaultColWidth="9.6640625" defaultRowHeight="12.75" x14ac:dyDescent="0.2"/>
  <cols>
    <col min="1" max="1" width="11.6640625" style="26" customWidth="1"/>
    <col min="2" max="2" width="45.77734375" style="134" customWidth="1"/>
    <col min="3" max="5" width="15.77734375" style="134" customWidth="1"/>
    <col min="6" max="6" width="1.6640625" style="134" customWidth="1"/>
    <col min="7" max="7" width="12.6640625" style="134" customWidth="1"/>
    <col min="8" max="8" width="13.77734375" style="134" bestFit="1" customWidth="1"/>
    <col min="9" max="210" width="9.6640625" style="134"/>
    <col min="211" max="16384" width="9.6640625" style="26"/>
  </cols>
  <sheetData>
    <row r="1" spans="1:5" x14ac:dyDescent="0.2">
      <c r="A1" s="199" t="s">
        <v>2061</v>
      </c>
      <c r="B1" s="129"/>
      <c r="C1" s="129"/>
      <c r="D1" s="129"/>
      <c r="E1" s="129"/>
    </row>
    <row r="2" spans="1:5" x14ac:dyDescent="0.2">
      <c r="A2" s="35" t="s">
        <v>2064</v>
      </c>
      <c r="B2" s="129"/>
      <c r="C2" s="129"/>
      <c r="D2" s="129"/>
      <c r="E2" s="129"/>
    </row>
    <row r="3" spans="1:5" x14ac:dyDescent="0.2">
      <c r="A3" s="66" t="str">
        <f>+Códigos!$A$3</f>
        <v>AÑO:</v>
      </c>
      <c r="B3" s="772">
        <f>+Códigos!$B$3</f>
        <v>2025</v>
      </c>
      <c r="C3" s="133"/>
      <c r="D3" s="132"/>
      <c r="E3" s="132"/>
    </row>
    <row r="4" spans="1:5" x14ac:dyDescent="0.2">
      <c r="A4" s="66"/>
      <c r="B4" s="772"/>
      <c r="C4" s="133"/>
      <c r="D4" s="132"/>
      <c r="E4" s="132"/>
    </row>
    <row r="5" spans="1:5" ht="26.25" customHeight="1" x14ac:dyDescent="0.2">
      <c r="A5" s="1375" t="s">
        <v>684</v>
      </c>
      <c r="B5" s="1375"/>
      <c r="C5" s="1375"/>
      <c r="D5" s="1375"/>
      <c r="E5" s="1375"/>
    </row>
    <row r="6" spans="1:5" x14ac:dyDescent="0.2">
      <c r="A6" s="147" t="s">
        <v>249</v>
      </c>
      <c r="B6" s="148"/>
      <c r="C6" s="149"/>
      <c r="D6" s="148"/>
      <c r="E6" s="148">
        <v>36604851.209999993</v>
      </c>
    </row>
    <row r="7" spans="1:5" x14ac:dyDescent="0.2">
      <c r="A7" s="109" t="s">
        <v>250</v>
      </c>
      <c r="B7" s="153"/>
      <c r="C7" s="154"/>
      <c r="D7" s="153"/>
      <c r="E7" s="153">
        <f>+E382</f>
        <v>3640821.0099999905</v>
      </c>
    </row>
    <row r="8" spans="1:5" ht="5.0999999999999996" customHeight="1" x14ac:dyDescent="0.2">
      <c r="A8" s="9"/>
      <c r="B8" s="135"/>
      <c r="C8" s="136"/>
      <c r="D8" s="137"/>
      <c r="E8" s="137"/>
    </row>
    <row r="9" spans="1:5" x14ac:dyDescent="0.2">
      <c r="A9" s="7"/>
      <c r="B9" s="132"/>
      <c r="C9" s="133"/>
      <c r="D9" s="132"/>
      <c r="E9" s="132"/>
    </row>
    <row r="10" spans="1:5" x14ac:dyDescent="0.2">
      <c r="A10" s="108" t="s">
        <v>3</v>
      </c>
      <c r="B10" s="155" t="s">
        <v>23</v>
      </c>
      <c r="C10" s="156" t="s">
        <v>25</v>
      </c>
      <c r="D10" s="155" t="s">
        <v>20</v>
      </c>
      <c r="E10" s="155" t="s">
        <v>22</v>
      </c>
    </row>
    <row r="11" spans="1:5" x14ac:dyDescent="0.2">
      <c r="A11" s="157"/>
      <c r="B11" s="158"/>
      <c r="C11" s="159"/>
      <c r="D11" s="160"/>
      <c r="E11" s="160"/>
    </row>
    <row r="12" spans="1:5" x14ac:dyDescent="0.2">
      <c r="A12" s="12">
        <v>44935</v>
      </c>
      <c r="B12" s="138" t="s">
        <v>256</v>
      </c>
      <c r="C12" s="139">
        <v>0</v>
      </c>
      <c r="D12" s="138">
        <v>0</v>
      </c>
      <c r="E12" s="138">
        <f>+E6</f>
        <v>36604851.209999993</v>
      </c>
    </row>
    <row r="13" spans="1:5" x14ac:dyDescent="0.2">
      <c r="A13" s="15"/>
      <c r="C13" s="140"/>
    </row>
    <row r="14" spans="1:5" x14ac:dyDescent="0.2">
      <c r="A14" s="211">
        <v>45660</v>
      </c>
      <c r="B14" s="191" t="s">
        <v>1062</v>
      </c>
      <c r="C14" s="868">
        <v>1800000</v>
      </c>
      <c r="D14" s="191"/>
      <c r="E14" s="134">
        <f>+E12+C14-D14</f>
        <v>38404851.209999993</v>
      </c>
    </row>
    <row r="15" spans="1:5" x14ac:dyDescent="0.2">
      <c r="A15" s="211">
        <v>45667</v>
      </c>
      <c r="B15" s="191" t="s">
        <v>1055</v>
      </c>
      <c r="C15" s="868"/>
      <c r="D15" s="191">
        <v>10650</v>
      </c>
      <c r="E15" s="134">
        <f>+E14+C15-D15</f>
        <v>38394201.209999993</v>
      </c>
    </row>
    <row r="16" spans="1:5" x14ac:dyDescent="0.2">
      <c r="A16" s="211">
        <v>45670</v>
      </c>
      <c r="B16" s="191" t="s">
        <v>1063</v>
      </c>
      <c r="C16" s="868">
        <v>336000</v>
      </c>
      <c r="D16" s="191"/>
      <c r="E16" s="134">
        <f t="shared" ref="E16:E64" si="0">+E15+C16-D16</f>
        <v>38730201.209999993</v>
      </c>
    </row>
    <row r="17" spans="1:5" x14ac:dyDescent="0.2">
      <c r="A17" s="211">
        <v>45671</v>
      </c>
      <c r="B17" s="191" t="s">
        <v>1064</v>
      </c>
      <c r="C17" s="868">
        <v>360800</v>
      </c>
      <c r="D17" s="868"/>
      <c r="E17" s="134">
        <f t="shared" si="0"/>
        <v>39091001.209999993</v>
      </c>
    </row>
    <row r="18" spans="1:5" x14ac:dyDescent="0.2">
      <c r="A18" s="211">
        <v>45671</v>
      </c>
      <c r="B18" s="191" t="s">
        <v>1068</v>
      </c>
      <c r="C18" s="868"/>
      <c r="D18" s="191">
        <v>35000000</v>
      </c>
      <c r="E18" s="134">
        <f t="shared" si="0"/>
        <v>4091001.2099999934</v>
      </c>
    </row>
    <row r="19" spans="1:5" x14ac:dyDescent="0.2">
      <c r="A19" s="211">
        <v>45671</v>
      </c>
      <c r="B19" s="191" t="s">
        <v>1077</v>
      </c>
      <c r="C19" s="868"/>
      <c r="D19" s="191">
        <v>20000</v>
      </c>
      <c r="E19" s="134">
        <f t="shared" si="0"/>
        <v>4071001.2099999934</v>
      </c>
    </row>
    <row r="20" spans="1:5" x14ac:dyDescent="0.2">
      <c r="A20" s="211">
        <v>45672</v>
      </c>
      <c r="B20" s="191" t="s">
        <v>1069</v>
      </c>
      <c r="C20" s="868"/>
      <c r="D20" s="191">
        <v>500000</v>
      </c>
      <c r="E20" s="134">
        <f t="shared" si="0"/>
        <v>3571001.2099999934</v>
      </c>
    </row>
    <row r="21" spans="1:5" x14ac:dyDescent="0.2">
      <c r="A21" s="211">
        <v>45672</v>
      </c>
      <c r="B21" s="191" t="s">
        <v>1070</v>
      </c>
      <c r="C21" s="868">
        <v>1160000</v>
      </c>
      <c r="D21" s="191"/>
      <c r="E21" s="134">
        <f t="shared" si="0"/>
        <v>4731001.2099999934</v>
      </c>
    </row>
    <row r="22" spans="1:5" x14ac:dyDescent="0.2">
      <c r="A22" s="211">
        <v>45672</v>
      </c>
      <c r="B22" s="191" t="s">
        <v>1038</v>
      </c>
      <c r="C22" s="868"/>
      <c r="D22" s="191">
        <v>1000000</v>
      </c>
      <c r="E22" s="134">
        <f t="shared" si="0"/>
        <v>3731001.2099999934</v>
      </c>
    </row>
    <row r="23" spans="1:5" x14ac:dyDescent="0.2">
      <c r="A23" s="211">
        <v>45672</v>
      </c>
      <c r="B23" s="191" t="s">
        <v>1038</v>
      </c>
      <c r="C23" s="868"/>
      <c r="D23" s="191">
        <v>1000000</v>
      </c>
      <c r="E23" s="134">
        <f t="shared" si="0"/>
        <v>2731001.2099999934</v>
      </c>
    </row>
    <row r="24" spans="1:5" x14ac:dyDescent="0.2">
      <c r="A24" s="211">
        <v>45681</v>
      </c>
      <c r="B24" s="191" t="s">
        <v>1038</v>
      </c>
      <c r="C24" s="868"/>
      <c r="D24" s="191">
        <v>1000000</v>
      </c>
      <c r="E24" s="134">
        <f t="shared" si="0"/>
        <v>1731001.2099999934</v>
      </c>
    </row>
    <row r="25" spans="1:5" x14ac:dyDescent="0.2">
      <c r="A25" s="211">
        <v>45681</v>
      </c>
      <c r="B25" s="191" t="s">
        <v>1038</v>
      </c>
      <c r="C25" s="868"/>
      <c r="D25" s="191">
        <v>1000000</v>
      </c>
      <c r="E25" s="134">
        <f t="shared" si="0"/>
        <v>731001.20999999344</v>
      </c>
    </row>
    <row r="26" spans="1:5" x14ac:dyDescent="0.2">
      <c r="A26" s="211">
        <v>45688</v>
      </c>
      <c r="B26" s="191" t="s">
        <v>1087</v>
      </c>
      <c r="C26" s="868">
        <v>100000</v>
      </c>
      <c r="D26" s="191"/>
      <c r="E26" s="134">
        <f t="shared" si="0"/>
        <v>831001.20999999344</v>
      </c>
    </row>
    <row r="27" spans="1:5" x14ac:dyDescent="0.2">
      <c r="A27" s="211">
        <v>45693</v>
      </c>
      <c r="B27" s="191" t="s">
        <v>1054</v>
      </c>
      <c r="C27" s="868"/>
      <c r="D27" s="191">
        <v>59700</v>
      </c>
      <c r="E27" s="134">
        <f t="shared" si="0"/>
        <v>771301.20999999344</v>
      </c>
    </row>
    <row r="28" spans="1:5" x14ac:dyDescent="0.2">
      <c r="A28" s="211">
        <v>45695</v>
      </c>
      <c r="B28" s="191" t="s">
        <v>1087</v>
      </c>
      <c r="C28" s="868">
        <v>350000</v>
      </c>
      <c r="D28" s="191"/>
      <c r="E28" s="134">
        <f t="shared" si="0"/>
        <v>1121301.2099999934</v>
      </c>
    </row>
    <row r="29" spans="1:5" x14ac:dyDescent="0.2">
      <c r="A29" s="211">
        <v>45701</v>
      </c>
      <c r="B29" s="191" t="s">
        <v>1087</v>
      </c>
      <c r="C29" s="868">
        <v>150000</v>
      </c>
      <c r="D29" s="191"/>
      <c r="E29" s="134">
        <f t="shared" si="0"/>
        <v>1271301.2099999934</v>
      </c>
    </row>
    <row r="30" spans="1:5" x14ac:dyDescent="0.2">
      <c r="A30" s="211">
        <v>45702</v>
      </c>
      <c r="B30" s="191" t="s">
        <v>1178</v>
      </c>
      <c r="C30" s="868">
        <v>320000</v>
      </c>
      <c r="D30" s="191"/>
      <c r="E30" s="134">
        <f t="shared" si="0"/>
        <v>1591301.2099999934</v>
      </c>
    </row>
    <row r="31" spans="1:5" x14ac:dyDescent="0.2">
      <c r="A31" s="211">
        <v>45702</v>
      </c>
      <c r="B31" s="191" t="s">
        <v>1179</v>
      </c>
      <c r="C31" s="868">
        <v>430000</v>
      </c>
      <c r="D31" s="191"/>
      <c r="E31" s="134">
        <f t="shared" si="0"/>
        <v>2021301.2099999934</v>
      </c>
    </row>
    <row r="32" spans="1:5" x14ac:dyDescent="0.2">
      <c r="A32" s="211">
        <v>45702</v>
      </c>
      <c r="B32" s="191" t="s">
        <v>1180</v>
      </c>
      <c r="C32" s="868">
        <v>620000</v>
      </c>
      <c r="D32" s="191"/>
      <c r="E32" s="134">
        <f t="shared" si="0"/>
        <v>2641301.2099999934</v>
      </c>
    </row>
    <row r="33" spans="1:5" x14ac:dyDescent="0.2">
      <c r="A33" s="211">
        <v>45702</v>
      </c>
      <c r="B33" s="191" t="s">
        <v>1055</v>
      </c>
      <c r="C33" s="868"/>
      <c r="D33" s="191">
        <v>10650</v>
      </c>
      <c r="E33" s="134">
        <f t="shared" si="0"/>
        <v>2630651.2099999934</v>
      </c>
    </row>
    <row r="34" spans="1:5" x14ac:dyDescent="0.2">
      <c r="A34" s="211">
        <v>45705</v>
      </c>
      <c r="B34" s="191" t="s">
        <v>1181</v>
      </c>
      <c r="C34" s="868">
        <v>330000</v>
      </c>
      <c r="D34" s="191"/>
      <c r="E34" s="134">
        <f t="shared" si="0"/>
        <v>2960651.2099999934</v>
      </c>
    </row>
    <row r="35" spans="1:5" x14ac:dyDescent="0.2">
      <c r="A35" s="211">
        <v>45708</v>
      </c>
      <c r="B35" s="191" t="s">
        <v>1227</v>
      </c>
      <c r="C35" s="868">
        <v>300000</v>
      </c>
      <c r="D35" s="191"/>
      <c r="E35" s="134">
        <f t="shared" si="0"/>
        <v>3260651.2099999934</v>
      </c>
    </row>
    <row r="36" spans="1:5" x14ac:dyDescent="0.2">
      <c r="A36" s="211">
        <v>45708</v>
      </c>
      <c r="B36" s="191" t="s">
        <v>1195</v>
      </c>
      <c r="C36" s="868">
        <v>1160000</v>
      </c>
      <c r="D36" s="191"/>
      <c r="E36" s="134">
        <f t="shared" si="0"/>
        <v>4420651.2099999934</v>
      </c>
    </row>
    <row r="37" spans="1:5" x14ac:dyDescent="0.2">
      <c r="A37" s="211">
        <v>45709</v>
      </c>
      <c r="B37" s="191" t="s">
        <v>1038</v>
      </c>
      <c r="C37" s="868"/>
      <c r="D37" s="191">
        <v>1000000</v>
      </c>
      <c r="E37" s="134">
        <f t="shared" si="0"/>
        <v>3420651.2099999934</v>
      </c>
    </row>
    <row r="38" spans="1:5" x14ac:dyDescent="0.2">
      <c r="A38" s="211">
        <v>45709</v>
      </c>
      <c r="B38" s="191" t="s">
        <v>1038</v>
      </c>
      <c r="C38" s="868"/>
      <c r="D38" s="191">
        <v>1000000</v>
      </c>
      <c r="E38" s="134">
        <f t="shared" si="0"/>
        <v>2420651.2099999934</v>
      </c>
    </row>
    <row r="39" spans="1:5" x14ac:dyDescent="0.2">
      <c r="A39" s="211">
        <v>45723</v>
      </c>
      <c r="B39" s="191" t="s">
        <v>1038</v>
      </c>
      <c r="C39" s="868"/>
      <c r="D39" s="191">
        <v>1000000</v>
      </c>
      <c r="E39" s="134">
        <f t="shared" si="0"/>
        <v>1420651.2099999934</v>
      </c>
    </row>
    <row r="40" spans="1:5" x14ac:dyDescent="0.2">
      <c r="A40" s="211">
        <v>45723</v>
      </c>
      <c r="B40" s="191" t="s">
        <v>1038</v>
      </c>
      <c r="C40" s="868"/>
      <c r="D40" s="191">
        <v>1000000</v>
      </c>
      <c r="E40" s="134">
        <f t="shared" si="0"/>
        <v>420651.20999999344</v>
      </c>
    </row>
    <row r="41" spans="1:5" x14ac:dyDescent="0.2">
      <c r="A41" s="211">
        <v>45730</v>
      </c>
      <c r="B41" s="191" t="s">
        <v>1244</v>
      </c>
      <c r="C41" s="868"/>
      <c r="D41" s="191">
        <v>20000</v>
      </c>
      <c r="E41" s="134">
        <f t="shared" si="0"/>
        <v>400651.20999999344</v>
      </c>
    </row>
    <row r="42" spans="1:5" x14ac:dyDescent="0.2">
      <c r="A42" s="211">
        <v>45734</v>
      </c>
      <c r="B42" s="191" t="s">
        <v>1243</v>
      </c>
      <c r="C42" s="868">
        <v>3355000</v>
      </c>
      <c r="D42" s="191"/>
      <c r="E42" s="134">
        <f t="shared" si="0"/>
        <v>3755651.2099999934</v>
      </c>
    </row>
    <row r="43" spans="1:5" x14ac:dyDescent="0.2">
      <c r="A43" s="211">
        <v>45735</v>
      </c>
      <c r="B43" s="191" t="s">
        <v>1243</v>
      </c>
      <c r="C43" s="868">
        <v>3080000</v>
      </c>
      <c r="D43" s="191"/>
      <c r="E43" s="134">
        <f t="shared" si="0"/>
        <v>6835651.2099999934</v>
      </c>
    </row>
    <row r="44" spans="1:5" x14ac:dyDescent="0.2">
      <c r="A44" s="211">
        <v>45735</v>
      </c>
      <c r="B44" s="191" t="s">
        <v>1243</v>
      </c>
      <c r="C44" s="868">
        <v>3355000</v>
      </c>
      <c r="D44" s="191"/>
      <c r="E44" s="134">
        <f t="shared" si="0"/>
        <v>10190651.209999993</v>
      </c>
    </row>
    <row r="45" spans="1:5" x14ac:dyDescent="0.2">
      <c r="A45" s="211">
        <v>45736</v>
      </c>
      <c r="B45" s="191" t="s">
        <v>1254</v>
      </c>
      <c r="C45" s="868"/>
      <c r="D45" s="191">
        <v>473700</v>
      </c>
      <c r="E45" s="134">
        <f t="shared" si="0"/>
        <v>9716951.2099999934</v>
      </c>
    </row>
    <row r="46" spans="1:5" x14ac:dyDescent="0.2">
      <c r="A46" s="211">
        <v>45741</v>
      </c>
      <c r="B46" s="191" t="s">
        <v>1038</v>
      </c>
      <c r="C46" s="868"/>
      <c r="D46" s="191">
        <v>1000000</v>
      </c>
      <c r="E46" s="134">
        <f t="shared" si="0"/>
        <v>8716951.2099999934</v>
      </c>
    </row>
    <row r="47" spans="1:5" x14ac:dyDescent="0.2">
      <c r="A47" s="211">
        <v>45741</v>
      </c>
      <c r="B47" s="191" t="s">
        <v>1038</v>
      </c>
      <c r="C47" s="868"/>
      <c r="D47" s="191">
        <v>1000000</v>
      </c>
      <c r="E47" s="134">
        <f t="shared" si="0"/>
        <v>7716951.2099999934</v>
      </c>
    </row>
    <row r="48" spans="1:5" x14ac:dyDescent="0.2">
      <c r="A48" s="211">
        <v>45751</v>
      </c>
      <c r="B48" s="191" t="s">
        <v>1038</v>
      </c>
      <c r="C48" s="868"/>
      <c r="D48" s="191">
        <v>1000000</v>
      </c>
      <c r="E48" s="134">
        <f t="shared" si="0"/>
        <v>6716951.2099999934</v>
      </c>
    </row>
    <row r="49" spans="1:5" x14ac:dyDescent="0.2">
      <c r="A49" s="211">
        <v>45751</v>
      </c>
      <c r="B49" s="191" t="s">
        <v>1038</v>
      </c>
      <c r="C49" s="868"/>
      <c r="D49" s="191">
        <v>1000000</v>
      </c>
      <c r="E49" s="134">
        <f t="shared" si="0"/>
        <v>5716951.2099999934</v>
      </c>
    </row>
    <row r="50" spans="1:5" x14ac:dyDescent="0.2">
      <c r="A50" s="211">
        <v>45754</v>
      </c>
      <c r="B50" s="191" t="s">
        <v>1038</v>
      </c>
      <c r="C50" s="868"/>
      <c r="D50" s="191">
        <v>1000000</v>
      </c>
      <c r="E50" s="134">
        <f t="shared" si="0"/>
        <v>4716951.2099999934</v>
      </c>
    </row>
    <row r="51" spans="1:5" x14ac:dyDescent="0.2">
      <c r="A51" s="211">
        <v>45754</v>
      </c>
      <c r="B51" s="191" t="s">
        <v>1038</v>
      </c>
      <c r="C51" s="868"/>
      <c r="D51" s="191">
        <v>1000000</v>
      </c>
      <c r="E51" s="134">
        <f t="shared" si="0"/>
        <v>3716951.2099999934</v>
      </c>
    </row>
    <row r="52" spans="1:5" x14ac:dyDescent="0.2">
      <c r="A52" s="211">
        <v>45758</v>
      </c>
      <c r="B52" s="191" t="s">
        <v>1055</v>
      </c>
      <c r="C52" s="868"/>
      <c r="D52" s="191">
        <v>10650</v>
      </c>
      <c r="E52" s="134">
        <f t="shared" si="0"/>
        <v>3706301.2099999934</v>
      </c>
    </row>
    <row r="53" spans="1:5" x14ac:dyDescent="0.2">
      <c r="A53" s="211">
        <v>45770</v>
      </c>
      <c r="B53" s="191" t="s">
        <v>1332</v>
      </c>
      <c r="C53" s="868">
        <v>400000</v>
      </c>
      <c r="D53" s="191"/>
      <c r="E53" s="134">
        <f t="shared" si="0"/>
        <v>4106301.2099999934</v>
      </c>
    </row>
    <row r="54" spans="1:5" x14ac:dyDescent="0.2">
      <c r="A54" s="211">
        <v>45770</v>
      </c>
      <c r="B54" s="191" t="s">
        <v>1333</v>
      </c>
      <c r="C54" s="868">
        <v>1045000</v>
      </c>
      <c r="D54" s="191"/>
      <c r="E54" s="134">
        <f t="shared" si="0"/>
        <v>5151301.2099999934</v>
      </c>
    </row>
    <row r="55" spans="1:5" x14ac:dyDescent="0.2">
      <c r="A55" s="211">
        <v>45770</v>
      </c>
      <c r="B55" s="191" t="s">
        <v>1335</v>
      </c>
      <c r="C55" s="868"/>
      <c r="D55" s="868">
        <v>600000</v>
      </c>
      <c r="E55" s="134">
        <f t="shared" si="0"/>
        <v>4551301.2099999934</v>
      </c>
    </row>
    <row r="56" spans="1:5" x14ac:dyDescent="0.2">
      <c r="A56" s="211">
        <v>45772</v>
      </c>
      <c r="B56" s="191" t="s">
        <v>1334</v>
      </c>
      <c r="C56" s="868">
        <v>1300000</v>
      </c>
      <c r="D56" s="868"/>
      <c r="E56" s="134">
        <f t="shared" si="0"/>
        <v>5851301.2099999934</v>
      </c>
    </row>
    <row r="57" spans="1:5" x14ac:dyDescent="0.2">
      <c r="A57" s="1055">
        <v>45783</v>
      </c>
      <c r="B57" s="191" t="s">
        <v>1362</v>
      </c>
      <c r="C57" s="868">
        <v>2000000</v>
      </c>
      <c r="D57" s="191"/>
      <c r="E57" s="134">
        <f t="shared" si="0"/>
        <v>7851301.2099999934</v>
      </c>
    </row>
    <row r="58" spans="1:5" x14ac:dyDescent="0.2">
      <c r="A58" s="1055">
        <v>45784</v>
      </c>
      <c r="B58" s="906" t="s">
        <v>1248</v>
      </c>
      <c r="C58" s="1054">
        <v>2409500</v>
      </c>
      <c r="D58" s="191"/>
      <c r="E58" s="134">
        <f t="shared" si="0"/>
        <v>10260801.209999993</v>
      </c>
    </row>
    <row r="59" spans="1:5" x14ac:dyDescent="0.2">
      <c r="A59" s="1055">
        <v>45785</v>
      </c>
      <c r="B59" s="191" t="s">
        <v>1038</v>
      </c>
      <c r="C59" s="868"/>
      <c r="D59" s="191">
        <v>1000000</v>
      </c>
      <c r="E59" s="134">
        <f t="shared" si="0"/>
        <v>9260801.2099999934</v>
      </c>
    </row>
    <row r="60" spans="1:5" x14ac:dyDescent="0.2">
      <c r="A60" s="1055">
        <v>45785</v>
      </c>
      <c r="B60" s="191" t="s">
        <v>1038</v>
      </c>
      <c r="C60" s="868"/>
      <c r="D60" s="191">
        <v>1000000</v>
      </c>
      <c r="E60" s="134">
        <f t="shared" si="0"/>
        <v>8260801.2099999934</v>
      </c>
    </row>
    <row r="61" spans="1:5" x14ac:dyDescent="0.2">
      <c r="A61" s="1055">
        <v>45790</v>
      </c>
      <c r="B61" s="1297" t="s">
        <v>1435</v>
      </c>
      <c r="C61" s="868"/>
      <c r="D61" s="191">
        <v>2230000</v>
      </c>
      <c r="E61" s="134">
        <f t="shared" si="0"/>
        <v>6030801.2099999934</v>
      </c>
    </row>
    <row r="62" spans="1:5" x14ac:dyDescent="0.2">
      <c r="A62" s="1055">
        <v>45791</v>
      </c>
      <c r="B62" s="191" t="s">
        <v>1055</v>
      </c>
      <c r="C62" s="868"/>
      <c r="D62" s="191">
        <v>10650</v>
      </c>
      <c r="E62" s="134">
        <f t="shared" si="0"/>
        <v>6020151.2099999934</v>
      </c>
    </row>
    <row r="63" spans="1:5" x14ac:dyDescent="0.2">
      <c r="A63" s="1055">
        <v>45792</v>
      </c>
      <c r="B63" s="191" t="s">
        <v>1436</v>
      </c>
      <c r="C63" s="868">
        <v>1016800</v>
      </c>
      <c r="D63" s="191"/>
      <c r="E63" s="134">
        <f t="shared" si="0"/>
        <v>7036951.2099999934</v>
      </c>
    </row>
    <row r="64" spans="1:5" x14ac:dyDescent="0.2">
      <c r="A64" s="1055">
        <v>45803</v>
      </c>
      <c r="B64" s="191" t="s">
        <v>1437</v>
      </c>
      <c r="C64" s="868">
        <v>109900</v>
      </c>
      <c r="D64" s="191"/>
      <c r="E64" s="134">
        <f t="shared" si="0"/>
        <v>7146851.2099999934</v>
      </c>
    </row>
    <row r="65" spans="1:5" x14ac:dyDescent="0.2">
      <c r="A65" s="211">
        <v>45822</v>
      </c>
      <c r="B65" s="191" t="s">
        <v>1061</v>
      </c>
      <c r="C65" s="868">
        <v>35000000</v>
      </c>
      <c r="D65" s="191"/>
      <c r="E65" s="134">
        <f t="shared" ref="E65:E85" si="1">+E64+C65-D65</f>
        <v>42146851.209999993</v>
      </c>
    </row>
    <row r="66" spans="1:5" x14ac:dyDescent="0.2">
      <c r="A66" s="211">
        <v>45822</v>
      </c>
      <c r="B66" s="1053" t="s">
        <v>1060</v>
      </c>
      <c r="C66" s="868">
        <v>1228348.8</v>
      </c>
      <c r="D66" s="191"/>
      <c r="E66" s="134">
        <f t="shared" si="1"/>
        <v>43375200.00999999</v>
      </c>
    </row>
    <row r="67" spans="1:5" x14ac:dyDescent="0.2">
      <c r="A67" s="211">
        <v>45822</v>
      </c>
      <c r="B67" s="191" t="s">
        <v>1055</v>
      </c>
      <c r="C67" s="868"/>
      <c r="D67" s="191">
        <v>10650</v>
      </c>
      <c r="E67" s="134">
        <f t="shared" si="1"/>
        <v>43364550.00999999</v>
      </c>
    </row>
    <row r="68" spans="1:5" x14ac:dyDescent="0.2">
      <c r="A68" s="211">
        <v>45824</v>
      </c>
      <c r="B68" s="191" t="s">
        <v>1438</v>
      </c>
      <c r="C68" s="191">
        <v>23000</v>
      </c>
      <c r="D68" s="191"/>
      <c r="E68" s="134">
        <f t="shared" si="1"/>
        <v>43387550.00999999</v>
      </c>
    </row>
    <row r="69" spans="1:5" x14ac:dyDescent="0.2">
      <c r="A69" s="211">
        <v>45828</v>
      </c>
      <c r="B69" s="1053" t="s">
        <v>1068</v>
      </c>
      <c r="C69" s="868"/>
      <c r="D69" s="191">
        <v>40000000</v>
      </c>
      <c r="E69" s="134">
        <f t="shared" si="1"/>
        <v>3387550.0099999905</v>
      </c>
    </row>
    <row r="70" spans="1:5" x14ac:dyDescent="0.2">
      <c r="A70" s="211">
        <v>45881</v>
      </c>
      <c r="B70" s="1297" t="s">
        <v>1087</v>
      </c>
      <c r="C70" s="868">
        <v>660000</v>
      </c>
      <c r="D70" s="191"/>
      <c r="E70" s="134">
        <f t="shared" si="1"/>
        <v>4047550.0099999905</v>
      </c>
    </row>
    <row r="71" spans="1:5" x14ac:dyDescent="0.2">
      <c r="A71" s="211">
        <v>45881</v>
      </c>
      <c r="B71" s="191" t="s">
        <v>1455</v>
      </c>
      <c r="C71" s="868"/>
      <c r="D71" s="191">
        <v>630000</v>
      </c>
      <c r="E71" s="134">
        <f t="shared" si="1"/>
        <v>3417550.0099999905</v>
      </c>
    </row>
    <row r="72" spans="1:5" x14ac:dyDescent="0.2">
      <c r="A72" s="211">
        <v>45882</v>
      </c>
      <c r="B72" s="191" t="s">
        <v>1561</v>
      </c>
      <c r="C72" s="868"/>
      <c r="D72" s="868">
        <v>326600</v>
      </c>
      <c r="E72" s="134">
        <f t="shared" si="1"/>
        <v>3090950.0099999905</v>
      </c>
    </row>
    <row r="73" spans="1:5" x14ac:dyDescent="0.2">
      <c r="A73" s="211">
        <v>45884</v>
      </c>
      <c r="B73" s="191" t="s">
        <v>1055</v>
      </c>
      <c r="C73" s="868"/>
      <c r="D73" s="191">
        <v>10650</v>
      </c>
      <c r="E73" s="134">
        <f t="shared" si="1"/>
        <v>3080300.0099999905</v>
      </c>
    </row>
    <row r="74" spans="1:5" x14ac:dyDescent="0.2">
      <c r="A74" s="211">
        <v>45898</v>
      </c>
      <c r="B74" s="191" t="s">
        <v>1552</v>
      </c>
      <c r="C74" s="868">
        <v>580000</v>
      </c>
      <c r="D74" s="191"/>
      <c r="E74" s="134">
        <f t="shared" si="1"/>
        <v>3660300.0099999905</v>
      </c>
    </row>
    <row r="75" spans="1:5" x14ac:dyDescent="0.2">
      <c r="A75" s="211">
        <v>45903</v>
      </c>
      <c r="B75" s="191" t="s">
        <v>1562</v>
      </c>
      <c r="C75" s="868">
        <v>330000</v>
      </c>
      <c r="D75" s="191"/>
      <c r="E75" s="134">
        <f t="shared" si="1"/>
        <v>3990300.0099999905</v>
      </c>
    </row>
    <row r="76" spans="1:5" x14ac:dyDescent="0.2">
      <c r="A76" s="211">
        <v>45903</v>
      </c>
      <c r="B76" s="1297" t="s">
        <v>1087</v>
      </c>
      <c r="C76" s="868">
        <v>250000</v>
      </c>
      <c r="D76" s="191"/>
      <c r="E76" s="134">
        <f t="shared" si="1"/>
        <v>4240300.0099999905</v>
      </c>
    </row>
    <row r="77" spans="1:5" x14ac:dyDescent="0.2">
      <c r="A77" s="211">
        <v>45912</v>
      </c>
      <c r="B77" s="191" t="s">
        <v>1599</v>
      </c>
      <c r="C77" s="868"/>
      <c r="D77" s="868">
        <v>500000</v>
      </c>
      <c r="E77" s="134">
        <f t="shared" si="1"/>
        <v>3740300.0099999905</v>
      </c>
    </row>
    <row r="78" spans="1:5" x14ac:dyDescent="0.2">
      <c r="A78" s="211">
        <v>45912</v>
      </c>
      <c r="B78" s="191" t="s">
        <v>1055</v>
      </c>
      <c r="C78" s="868"/>
      <c r="D78" s="191">
        <v>10650</v>
      </c>
      <c r="E78" s="134">
        <f t="shared" si="1"/>
        <v>3729650.0099999905</v>
      </c>
    </row>
    <row r="79" spans="1:5" x14ac:dyDescent="0.2">
      <c r="A79" s="211">
        <v>45912</v>
      </c>
      <c r="B79" s="191" t="s">
        <v>1600</v>
      </c>
      <c r="C79" s="868">
        <v>410000</v>
      </c>
      <c r="D79" s="191"/>
      <c r="E79" s="134">
        <f t="shared" si="1"/>
        <v>4139650.0099999905</v>
      </c>
    </row>
    <row r="80" spans="1:5" x14ac:dyDescent="0.2">
      <c r="A80" s="211">
        <v>45913</v>
      </c>
      <c r="B80" s="191" t="s">
        <v>1601</v>
      </c>
      <c r="C80" s="868">
        <v>250000</v>
      </c>
      <c r="D80" s="191"/>
      <c r="E80" s="134">
        <f t="shared" si="1"/>
        <v>4389650.0099999905</v>
      </c>
    </row>
    <row r="81" spans="1:7" x14ac:dyDescent="0.2">
      <c r="A81" s="211">
        <v>45915</v>
      </c>
      <c r="B81" s="191" t="s">
        <v>1599</v>
      </c>
      <c r="C81" s="868"/>
      <c r="D81" s="191">
        <v>600000</v>
      </c>
      <c r="E81" s="134">
        <f t="shared" si="1"/>
        <v>3789650.0099999905</v>
      </c>
    </row>
    <row r="82" spans="1:7" x14ac:dyDescent="0.2">
      <c r="A82" s="211">
        <v>45915</v>
      </c>
      <c r="B82" s="1053" t="s">
        <v>1450</v>
      </c>
      <c r="C82" s="868"/>
      <c r="D82" s="191">
        <v>64179</v>
      </c>
      <c r="E82" s="134">
        <f t="shared" si="1"/>
        <v>3725471.0099999905</v>
      </c>
    </row>
    <row r="83" spans="1:7" x14ac:dyDescent="0.2">
      <c r="A83" s="211">
        <v>45922</v>
      </c>
      <c r="B83" s="191" t="s">
        <v>1603</v>
      </c>
      <c r="C83" s="868">
        <v>160000</v>
      </c>
      <c r="D83" s="191"/>
      <c r="E83" s="134">
        <f t="shared" si="1"/>
        <v>3885471.0099999905</v>
      </c>
    </row>
    <row r="84" spans="1:7" x14ac:dyDescent="0.2">
      <c r="A84" s="211">
        <v>45926</v>
      </c>
      <c r="B84" s="191" t="s">
        <v>1602</v>
      </c>
      <c r="C84" s="868">
        <v>400000</v>
      </c>
      <c r="D84" s="191"/>
      <c r="E84" s="134">
        <f t="shared" si="1"/>
        <v>4285471.0099999905</v>
      </c>
    </row>
    <row r="85" spans="1:7" x14ac:dyDescent="0.2">
      <c r="A85" s="211">
        <v>45940</v>
      </c>
      <c r="B85" s="191" t="s">
        <v>1055</v>
      </c>
      <c r="C85" s="868"/>
      <c r="D85" s="191">
        <v>10650</v>
      </c>
      <c r="E85" s="134">
        <f t="shared" si="1"/>
        <v>4274821.0099999905</v>
      </c>
      <c r="G85" s="134">
        <f>+E85-3000000-1240636</f>
        <v>34185.009999990463</v>
      </c>
    </row>
    <row r="86" spans="1:7" x14ac:dyDescent="0.2">
      <c r="A86" s="211">
        <v>45945</v>
      </c>
      <c r="B86" s="191" t="s">
        <v>1659</v>
      </c>
      <c r="C86" s="868">
        <v>3000000</v>
      </c>
      <c r="D86" s="868"/>
      <c r="E86" s="134">
        <f t="shared" ref="E86:E149" si="2">+E85+C86-D86</f>
        <v>7274821.0099999905</v>
      </c>
    </row>
    <row r="87" spans="1:7" x14ac:dyDescent="0.2">
      <c r="A87" s="211">
        <v>45945</v>
      </c>
      <c r="B87" s="191" t="s">
        <v>1660</v>
      </c>
      <c r="C87" s="868">
        <v>450000</v>
      </c>
      <c r="D87" s="191"/>
      <c r="E87" s="134">
        <f t="shared" si="2"/>
        <v>7724821.0099999905</v>
      </c>
    </row>
    <row r="88" spans="1:7" x14ac:dyDescent="0.2">
      <c r="A88" s="211">
        <v>45946</v>
      </c>
      <c r="B88" s="191" t="s">
        <v>1661</v>
      </c>
      <c r="C88" s="868"/>
      <c r="D88" s="191">
        <v>1112000</v>
      </c>
      <c r="E88" s="134">
        <f t="shared" si="2"/>
        <v>6612821.0099999905</v>
      </c>
    </row>
    <row r="89" spans="1:7" x14ac:dyDescent="0.2">
      <c r="A89" s="211">
        <v>45946</v>
      </c>
      <c r="B89" s="191" t="s">
        <v>1662</v>
      </c>
      <c r="C89" s="868">
        <v>1870000</v>
      </c>
      <c r="D89" s="191"/>
      <c r="E89" s="134">
        <f t="shared" si="2"/>
        <v>8482821.0099999905</v>
      </c>
    </row>
    <row r="90" spans="1:7" x14ac:dyDescent="0.2">
      <c r="A90" s="211">
        <v>45946</v>
      </c>
      <c r="B90" s="191" t="s">
        <v>1663</v>
      </c>
      <c r="C90" s="868"/>
      <c r="D90" s="868">
        <v>1530000</v>
      </c>
      <c r="E90" s="134">
        <f t="shared" si="2"/>
        <v>6952821.0099999905</v>
      </c>
    </row>
    <row r="91" spans="1:7" x14ac:dyDescent="0.2">
      <c r="A91" s="211">
        <v>45947</v>
      </c>
      <c r="B91" s="191" t="s">
        <v>1038</v>
      </c>
      <c r="C91" s="868"/>
      <c r="D91" s="191">
        <v>1000000</v>
      </c>
      <c r="E91" s="134">
        <f t="shared" si="2"/>
        <v>5952821.0099999905</v>
      </c>
    </row>
    <row r="92" spans="1:7" x14ac:dyDescent="0.2">
      <c r="A92" s="211">
        <v>45947</v>
      </c>
      <c r="B92" s="191" t="s">
        <v>1664</v>
      </c>
      <c r="C92" s="868">
        <v>250000</v>
      </c>
      <c r="D92" s="191"/>
      <c r="E92" s="134">
        <f t="shared" si="2"/>
        <v>6202821.0099999905</v>
      </c>
    </row>
    <row r="93" spans="1:7" x14ac:dyDescent="0.2">
      <c r="A93" s="211">
        <v>45948</v>
      </c>
      <c r="B93" s="191" t="s">
        <v>1665</v>
      </c>
      <c r="C93" s="868">
        <v>580000</v>
      </c>
      <c r="D93" s="191"/>
      <c r="E93" s="134">
        <f t="shared" si="2"/>
        <v>6782821.0099999905</v>
      </c>
    </row>
    <row r="94" spans="1:7" x14ac:dyDescent="0.2">
      <c r="A94" s="211">
        <v>45948</v>
      </c>
      <c r="B94" s="191" t="s">
        <v>1599</v>
      </c>
      <c r="C94" s="868"/>
      <c r="D94" s="868">
        <v>1500000</v>
      </c>
      <c r="E94" s="134">
        <f t="shared" si="2"/>
        <v>5282821.0099999905</v>
      </c>
    </row>
    <row r="95" spans="1:7" x14ac:dyDescent="0.2">
      <c r="A95" s="211">
        <v>45950</v>
      </c>
      <c r="B95" s="191" t="s">
        <v>1666</v>
      </c>
      <c r="C95" s="868">
        <v>350000</v>
      </c>
      <c r="D95" s="191"/>
      <c r="E95" s="134">
        <f t="shared" si="2"/>
        <v>5632821.0099999905</v>
      </c>
    </row>
    <row r="96" spans="1:7" x14ac:dyDescent="0.2">
      <c r="A96" s="211">
        <v>45951</v>
      </c>
      <c r="B96" s="191" t="s">
        <v>1599</v>
      </c>
      <c r="C96" s="868"/>
      <c r="D96" s="191">
        <v>2000000</v>
      </c>
      <c r="E96" s="134">
        <f t="shared" si="2"/>
        <v>3632821.0099999905</v>
      </c>
    </row>
    <row r="97" spans="1:5" x14ac:dyDescent="0.2">
      <c r="A97" s="211">
        <v>45953</v>
      </c>
      <c r="B97" s="191" t="s">
        <v>1667</v>
      </c>
      <c r="C97" s="868">
        <v>400000</v>
      </c>
      <c r="D97" s="191"/>
      <c r="E97" s="134">
        <f t="shared" si="2"/>
        <v>4032821.0099999905</v>
      </c>
    </row>
    <row r="98" spans="1:5" x14ac:dyDescent="0.2">
      <c r="A98" s="211">
        <v>45953</v>
      </c>
      <c r="B98" s="191" t="s">
        <v>1668</v>
      </c>
      <c r="C98" s="868">
        <v>470000</v>
      </c>
      <c r="D98" s="868"/>
      <c r="E98" s="134">
        <f t="shared" si="2"/>
        <v>4502821.0099999905</v>
      </c>
    </row>
    <row r="99" spans="1:5" x14ac:dyDescent="0.2">
      <c r="A99" s="211">
        <v>45953</v>
      </c>
      <c r="B99" s="191" t="s">
        <v>1663</v>
      </c>
      <c r="C99" s="868"/>
      <c r="D99" s="191">
        <v>772000</v>
      </c>
      <c r="E99" s="134">
        <f t="shared" si="2"/>
        <v>3730821.0099999905</v>
      </c>
    </row>
    <row r="100" spans="1:5" x14ac:dyDescent="0.2">
      <c r="A100" s="211">
        <v>45955</v>
      </c>
      <c r="B100" s="191" t="s">
        <v>1669</v>
      </c>
      <c r="C100" s="868">
        <v>890000</v>
      </c>
      <c r="D100" s="191"/>
      <c r="E100" s="134">
        <f t="shared" si="2"/>
        <v>4620821.0099999905</v>
      </c>
    </row>
    <row r="101" spans="1:5" x14ac:dyDescent="0.2">
      <c r="A101" s="211">
        <v>45957</v>
      </c>
      <c r="B101" s="191" t="s">
        <v>1599</v>
      </c>
      <c r="C101" s="868"/>
      <c r="D101" s="191">
        <v>2500000</v>
      </c>
      <c r="E101" s="134">
        <f t="shared" si="2"/>
        <v>2120821.0099999905</v>
      </c>
    </row>
    <row r="102" spans="1:5" x14ac:dyDescent="0.2">
      <c r="A102" s="211">
        <v>45957</v>
      </c>
      <c r="B102" s="191" t="s">
        <v>1670</v>
      </c>
      <c r="C102" s="868">
        <v>430000</v>
      </c>
      <c r="D102" s="191"/>
      <c r="E102" s="134">
        <f t="shared" si="2"/>
        <v>2550821.0099999905</v>
      </c>
    </row>
    <row r="103" spans="1:5" x14ac:dyDescent="0.2">
      <c r="A103" s="211">
        <v>45958</v>
      </c>
      <c r="B103" s="191" t="s">
        <v>1678</v>
      </c>
      <c r="C103" s="868">
        <v>470000</v>
      </c>
      <c r="D103" s="868"/>
      <c r="E103" s="134">
        <f t="shared" si="2"/>
        <v>3020821.0099999905</v>
      </c>
    </row>
    <row r="104" spans="1:5" x14ac:dyDescent="0.2">
      <c r="A104" s="211">
        <v>45958</v>
      </c>
      <c r="B104" s="191" t="s">
        <v>1179</v>
      </c>
      <c r="C104" s="868">
        <v>450000</v>
      </c>
      <c r="D104" s="191"/>
      <c r="E104" s="134">
        <f t="shared" si="2"/>
        <v>3470821.0099999905</v>
      </c>
    </row>
    <row r="105" spans="1:5" x14ac:dyDescent="0.2">
      <c r="A105" s="211">
        <v>45958</v>
      </c>
      <c r="B105" s="191" t="s">
        <v>1679</v>
      </c>
      <c r="C105" s="868">
        <v>370000</v>
      </c>
      <c r="D105" s="191"/>
      <c r="E105" s="134">
        <f t="shared" si="2"/>
        <v>3840821.0099999905</v>
      </c>
    </row>
    <row r="106" spans="1:5" x14ac:dyDescent="0.2">
      <c r="A106" s="211">
        <v>45959</v>
      </c>
      <c r="B106" s="191" t="s">
        <v>1038</v>
      </c>
      <c r="C106" s="868"/>
      <c r="D106" s="191">
        <v>1000000</v>
      </c>
      <c r="E106" s="134">
        <f t="shared" si="2"/>
        <v>2840821.0099999905</v>
      </c>
    </row>
    <row r="107" spans="1:5" x14ac:dyDescent="0.2">
      <c r="A107" s="211">
        <v>45959</v>
      </c>
      <c r="B107" s="191" t="s">
        <v>1038</v>
      </c>
      <c r="C107" s="868"/>
      <c r="D107" s="191">
        <v>1000000</v>
      </c>
      <c r="E107" s="134">
        <f t="shared" si="2"/>
        <v>1840821.0099999905</v>
      </c>
    </row>
    <row r="108" spans="1:5" x14ac:dyDescent="0.2">
      <c r="A108" s="211">
        <v>45959</v>
      </c>
      <c r="B108" s="191" t="s">
        <v>1680</v>
      </c>
      <c r="C108" s="191">
        <v>400000</v>
      </c>
      <c r="D108" s="191"/>
      <c r="E108" s="134">
        <f t="shared" si="2"/>
        <v>2240821.0099999905</v>
      </c>
    </row>
    <row r="109" spans="1:5" x14ac:dyDescent="0.2">
      <c r="A109" s="211">
        <v>45959</v>
      </c>
      <c r="B109" s="191" t="s">
        <v>1681</v>
      </c>
      <c r="C109" s="191">
        <v>500000</v>
      </c>
      <c r="D109" s="191"/>
      <c r="E109" s="134">
        <f t="shared" si="2"/>
        <v>2740821.0099999905</v>
      </c>
    </row>
    <row r="110" spans="1:5" x14ac:dyDescent="0.2">
      <c r="A110" s="211">
        <v>45959</v>
      </c>
      <c r="B110" s="191" t="s">
        <v>1682</v>
      </c>
      <c r="C110" s="191">
        <v>900000</v>
      </c>
      <c r="D110" s="191"/>
      <c r="E110" s="134">
        <f t="shared" si="2"/>
        <v>3640821.0099999905</v>
      </c>
    </row>
    <row r="111" spans="1:5" x14ac:dyDescent="0.2">
      <c r="A111" s="211">
        <v>45959</v>
      </c>
      <c r="B111" s="191"/>
      <c r="C111" s="191"/>
      <c r="D111" s="191"/>
      <c r="E111" s="134">
        <f t="shared" si="2"/>
        <v>3640821.0099999905</v>
      </c>
    </row>
    <row r="112" spans="1:5" x14ac:dyDescent="0.2">
      <c r="A112" s="211">
        <v>45959</v>
      </c>
      <c r="B112" s="191"/>
      <c r="C112" s="191"/>
      <c r="D112" s="191"/>
      <c r="E112" s="134">
        <f t="shared" si="2"/>
        <v>3640821.0099999905</v>
      </c>
    </row>
    <row r="113" spans="1:5" x14ac:dyDescent="0.2">
      <c r="A113" s="211"/>
      <c r="B113" s="191"/>
      <c r="C113" s="191"/>
      <c r="D113" s="191"/>
      <c r="E113" s="134">
        <f t="shared" si="2"/>
        <v>3640821.0099999905</v>
      </c>
    </row>
    <row r="114" spans="1:5" x14ac:dyDescent="0.2">
      <c r="A114" s="211"/>
      <c r="B114" s="191"/>
      <c r="C114" s="868"/>
      <c r="D114" s="191"/>
      <c r="E114" s="134">
        <f t="shared" si="2"/>
        <v>3640821.0099999905</v>
      </c>
    </row>
    <row r="115" spans="1:5" x14ac:dyDescent="0.2">
      <c r="A115" s="211"/>
      <c r="B115" s="191"/>
      <c r="C115" s="868"/>
      <c r="D115" s="191"/>
      <c r="E115" s="134">
        <f t="shared" si="2"/>
        <v>3640821.0099999905</v>
      </c>
    </row>
    <row r="116" spans="1:5" x14ac:dyDescent="0.2">
      <c r="A116" s="211"/>
      <c r="B116" s="191"/>
      <c r="C116" s="868"/>
      <c r="D116" s="191"/>
      <c r="E116" s="134">
        <f t="shared" si="2"/>
        <v>3640821.0099999905</v>
      </c>
    </row>
    <row r="117" spans="1:5" x14ac:dyDescent="0.2">
      <c r="A117" s="211"/>
      <c r="B117" s="191"/>
      <c r="C117" s="868"/>
      <c r="D117" s="191"/>
      <c r="E117" s="134">
        <f t="shared" si="2"/>
        <v>3640821.0099999905</v>
      </c>
    </row>
    <row r="118" spans="1:5" x14ac:dyDescent="0.2">
      <c r="A118" s="211"/>
      <c r="B118" s="191"/>
      <c r="C118" s="868"/>
      <c r="D118" s="191"/>
      <c r="E118" s="134">
        <f t="shared" si="2"/>
        <v>3640821.0099999905</v>
      </c>
    </row>
    <row r="119" spans="1:5" x14ac:dyDescent="0.2">
      <c r="A119" s="211"/>
      <c r="B119" s="191"/>
      <c r="C119" s="868"/>
      <c r="D119" s="191"/>
      <c r="E119" s="134">
        <f t="shared" si="2"/>
        <v>3640821.0099999905</v>
      </c>
    </row>
    <row r="120" spans="1:5" x14ac:dyDescent="0.2">
      <c r="A120" s="211"/>
      <c r="B120" s="191"/>
      <c r="C120" s="868"/>
      <c r="D120" s="191"/>
      <c r="E120" s="134">
        <f t="shared" si="2"/>
        <v>3640821.0099999905</v>
      </c>
    </row>
    <row r="121" spans="1:5" x14ac:dyDescent="0.2">
      <c r="A121" s="211"/>
      <c r="B121" s="191"/>
      <c r="C121" s="868"/>
      <c r="D121" s="868"/>
      <c r="E121" s="134">
        <f t="shared" si="2"/>
        <v>3640821.0099999905</v>
      </c>
    </row>
    <row r="122" spans="1:5" x14ac:dyDescent="0.2">
      <c r="A122" s="211"/>
      <c r="B122" s="191"/>
      <c r="C122" s="868"/>
      <c r="D122" s="191"/>
      <c r="E122" s="134">
        <f t="shared" si="2"/>
        <v>3640821.0099999905</v>
      </c>
    </row>
    <row r="123" spans="1:5" x14ac:dyDescent="0.2">
      <c r="A123" s="211"/>
      <c r="B123" s="191"/>
      <c r="C123" s="868"/>
      <c r="D123" s="191"/>
      <c r="E123" s="134">
        <f t="shared" si="2"/>
        <v>3640821.0099999905</v>
      </c>
    </row>
    <row r="124" spans="1:5" x14ac:dyDescent="0.2">
      <c r="A124" s="211"/>
      <c r="B124" s="191"/>
      <c r="C124" s="868"/>
      <c r="D124" s="191"/>
      <c r="E124" s="134">
        <f t="shared" si="2"/>
        <v>3640821.0099999905</v>
      </c>
    </row>
    <row r="125" spans="1:5" x14ac:dyDescent="0.2">
      <c r="A125" s="211"/>
      <c r="B125" s="191"/>
      <c r="C125" s="868"/>
      <c r="D125" s="191"/>
      <c r="E125" s="134">
        <f t="shared" si="2"/>
        <v>3640821.0099999905</v>
      </c>
    </row>
    <row r="126" spans="1:5" x14ac:dyDescent="0.2">
      <c r="A126" s="211"/>
      <c r="B126" s="191"/>
      <c r="C126" s="868"/>
      <c r="D126" s="191"/>
      <c r="E126" s="134">
        <f t="shared" si="2"/>
        <v>3640821.0099999905</v>
      </c>
    </row>
    <row r="127" spans="1:5" x14ac:dyDescent="0.2">
      <c r="A127" s="211"/>
      <c r="B127" s="191"/>
      <c r="C127" s="868"/>
      <c r="D127" s="191"/>
      <c r="E127" s="134">
        <f t="shared" si="2"/>
        <v>3640821.0099999905</v>
      </c>
    </row>
    <row r="128" spans="1:5" x14ac:dyDescent="0.2">
      <c r="A128" s="211"/>
      <c r="B128" s="191"/>
      <c r="C128" s="868"/>
      <c r="D128" s="191"/>
      <c r="E128" s="134">
        <f t="shared" si="2"/>
        <v>3640821.0099999905</v>
      </c>
    </row>
    <row r="129" spans="1:5" x14ac:dyDescent="0.2">
      <c r="A129" s="211"/>
      <c r="B129" s="191"/>
      <c r="C129" s="868"/>
      <c r="D129" s="191"/>
      <c r="E129" s="134">
        <f t="shared" si="2"/>
        <v>3640821.0099999905</v>
      </c>
    </row>
    <row r="130" spans="1:5" x14ac:dyDescent="0.2">
      <c r="A130" s="211"/>
      <c r="B130" s="191"/>
      <c r="C130" s="868"/>
      <c r="D130" s="191"/>
      <c r="E130" s="134">
        <f t="shared" si="2"/>
        <v>3640821.0099999905</v>
      </c>
    </row>
    <row r="131" spans="1:5" x14ac:dyDescent="0.2">
      <c r="A131" s="211"/>
      <c r="B131" s="191"/>
      <c r="C131" s="868"/>
      <c r="D131" s="868"/>
      <c r="E131" s="134">
        <f t="shared" si="2"/>
        <v>3640821.0099999905</v>
      </c>
    </row>
    <row r="132" spans="1:5" x14ac:dyDescent="0.2">
      <c r="A132" s="211"/>
      <c r="B132" s="191"/>
      <c r="C132" s="868"/>
      <c r="D132" s="191"/>
      <c r="E132" s="134">
        <f t="shared" si="2"/>
        <v>3640821.0099999905</v>
      </c>
    </row>
    <row r="133" spans="1:5" x14ac:dyDescent="0.2">
      <c r="A133" s="211"/>
      <c r="B133" s="191"/>
      <c r="C133" s="868"/>
      <c r="D133" s="868"/>
      <c r="E133" s="134">
        <f t="shared" si="2"/>
        <v>3640821.0099999905</v>
      </c>
    </row>
    <row r="134" spans="1:5" x14ac:dyDescent="0.2">
      <c r="A134" s="211"/>
      <c r="B134" s="191"/>
      <c r="C134" s="868"/>
      <c r="D134" s="191"/>
      <c r="E134" s="134">
        <f t="shared" si="2"/>
        <v>3640821.0099999905</v>
      </c>
    </row>
    <row r="135" spans="1:5" x14ac:dyDescent="0.2">
      <c r="A135" s="211"/>
      <c r="B135" s="191"/>
      <c r="C135" s="868"/>
      <c r="D135" s="191"/>
      <c r="E135" s="134">
        <f t="shared" si="2"/>
        <v>3640821.0099999905</v>
      </c>
    </row>
    <row r="136" spans="1:5" x14ac:dyDescent="0.2">
      <c r="A136" s="211"/>
      <c r="B136" s="191"/>
      <c r="C136" s="868"/>
      <c r="D136" s="868"/>
      <c r="E136" s="134">
        <f t="shared" si="2"/>
        <v>3640821.0099999905</v>
      </c>
    </row>
    <row r="137" spans="1:5" x14ac:dyDescent="0.2">
      <c r="A137" s="211"/>
      <c r="B137" s="191"/>
      <c r="C137" s="868"/>
      <c r="D137" s="868"/>
      <c r="E137" s="134">
        <f t="shared" si="2"/>
        <v>3640821.0099999905</v>
      </c>
    </row>
    <row r="138" spans="1:5" x14ac:dyDescent="0.2">
      <c r="A138" s="211"/>
      <c r="B138" s="191"/>
      <c r="C138" s="868"/>
      <c r="D138" s="191"/>
      <c r="E138" s="134">
        <f t="shared" si="2"/>
        <v>3640821.0099999905</v>
      </c>
    </row>
    <row r="139" spans="1:5" x14ac:dyDescent="0.2">
      <c r="A139" s="211"/>
      <c r="B139" s="191"/>
      <c r="C139" s="868"/>
      <c r="D139" s="191"/>
      <c r="E139" s="134">
        <f t="shared" si="2"/>
        <v>3640821.0099999905</v>
      </c>
    </row>
    <row r="140" spans="1:5" x14ac:dyDescent="0.2">
      <c r="A140" s="211"/>
      <c r="B140" s="906"/>
      <c r="C140" s="868"/>
      <c r="D140" s="191"/>
      <c r="E140" s="134">
        <f t="shared" si="2"/>
        <v>3640821.0099999905</v>
      </c>
    </row>
    <row r="141" spans="1:5" x14ac:dyDescent="0.2">
      <c r="A141" s="211"/>
      <c r="B141" s="191"/>
      <c r="C141" s="868"/>
      <c r="D141" s="191"/>
      <c r="E141" s="134">
        <f t="shared" si="2"/>
        <v>3640821.0099999905</v>
      </c>
    </row>
    <row r="142" spans="1:5" x14ac:dyDescent="0.2">
      <c r="A142" s="211"/>
      <c r="B142" s="191"/>
      <c r="C142" s="868"/>
      <c r="D142" s="191"/>
      <c r="E142" s="134">
        <f t="shared" si="2"/>
        <v>3640821.0099999905</v>
      </c>
    </row>
    <row r="143" spans="1:5" x14ac:dyDescent="0.2">
      <c r="A143" s="211"/>
      <c r="B143" s="191"/>
      <c r="C143" s="868"/>
      <c r="D143" s="191"/>
      <c r="E143" s="134">
        <f t="shared" si="2"/>
        <v>3640821.0099999905</v>
      </c>
    </row>
    <row r="144" spans="1:5" x14ac:dyDescent="0.2">
      <c r="A144" s="211"/>
      <c r="B144" s="191"/>
      <c r="C144" s="868"/>
      <c r="D144" s="191"/>
      <c r="E144" s="134">
        <f t="shared" si="2"/>
        <v>3640821.0099999905</v>
      </c>
    </row>
    <row r="145" spans="1:5" x14ac:dyDescent="0.2">
      <c r="A145" s="211"/>
      <c r="B145" s="191"/>
      <c r="C145" s="868"/>
      <c r="D145" s="191"/>
      <c r="E145" s="134">
        <f t="shared" si="2"/>
        <v>3640821.0099999905</v>
      </c>
    </row>
    <row r="146" spans="1:5" x14ac:dyDescent="0.2">
      <c r="A146" s="211"/>
      <c r="B146" s="191"/>
      <c r="C146" s="868"/>
      <c r="D146" s="191"/>
      <c r="E146" s="134">
        <f t="shared" si="2"/>
        <v>3640821.0099999905</v>
      </c>
    </row>
    <row r="147" spans="1:5" x14ac:dyDescent="0.2">
      <c r="A147" s="211"/>
      <c r="B147" s="191"/>
      <c r="C147" s="868"/>
      <c r="D147" s="191"/>
      <c r="E147" s="134">
        <f t="shared" si="2"/>
        <v>3640821.0099999905</v>
      </c>
    </row>
    <row r="148" spans="1:5" x14ac:dyDescent="0.2">
      <c r="A148" s="211"/>
      <c r="B148" s="191"/>
      <c r="C148" s="868"/>
      <c r="D148" s="191"/>
      <c r="E148" s="134">
        <f t="shared" si="2"/>
        <v>3640821.0099999905</v>
      </c>
    </row>
    <row r="149" spans="1:5" x14ac:dyDescent="0.2">
      <c r="A149" s="211"/>
      <c r="B149" s="191"/>
      <c r="C149" s="868"/>
      <c r="D149" s="191"/>
      <c r="E149" s="134">
        <f t="shared" si="2"/>
        <v>3640821.0099999905</v>
      </c>
    </row>
    <row r="150" spans="1:5" x14ac:dyDescent="0.2">
      <c r="A150" s="211"/>
      <c r="B150" s="191"/>
      <c r="C150" s="868"/>
      <c r="D150" s="191"/>
      <c r="E150" s="134">
        <f t="shared" ref="E150:E214" si="3">+E149+C150-D150</f>
        <v>3640821.0099999905</v>
      </c>
    </row>
    <row r="151" spans="1:5" x14ac:dyDescent="0.2">
      <c r="A151" s="211"/>
      <c r="B151" s="191"/>
      <c r="C151" s="868"/>
      <c r="D151" s="191"/>
      <c r="E151" s="134">
        <f t="shared" si="3"/>
        <v>3640821.0099999905</v>
      </c>
    </row>
    <row r="152" spans="1:5" x14ac:dyDescent="0.2">
      <c r="A152" s="211"/>
      <c r="B152" s="191"/>
      <c r="C152" s="868"/>
      <c r="D152" s="191"/>
      <c r="E152" s="134">
        <f t="shared" si="3"/>
        <v>3640821.0099999905</v>
      </c>
    </row>
    <row r="153" spans="1:5" x14ac:dyDescent="0.2">
      <c r="A153" s="211"/>
      <c r="B153" s="191"/>
      <c r="C153" s="868"/>
      <c r="D153" s="191"/>
      <c r="E153" s="134">
        <f t="shared" si="3"/>
        <v>3640821.0099999905</v>
      </c>
    </row>
    <row r="154" spans="1:5" x14ac:dyDescent="0.2">
      <c r="A154" s="211"/>
      <c r="B154" s="191"/>
      <c r="C154" s="868"/>
      <c r="D154" s="191"/>
      <c r="E154" s="134">
        <f t="shared" si="3"/>
        <v>3640821.0099999905</v>
      </c>
    </row>
    <row r="155" spans="1:5" x14ac:dyDescent="0.2">
      <c r="A155" s="211"/>
      <c r="B155" s="191"/>
      <c r="C155" s="868"/>
      <c r="D155" s="191"/>
      <c r="E155" s="134">
        <f t="shared" si="3"/>
        <v>3640821.0099999905</v>
      </c>
    </row>
    <row r="156" spans="1:5" x14ac:dyDescent="0.2">
      <c r="A156" s="211"/>
      <c r="B156" s="191"/>
      <c r="C156" s="868"/>
      <c r="D156" s="191"/>
      <c r="E156" s="134">
        <f t="shared" si="3"/>
        <v>3640821.0099999905</v>
      </c>
    </row>
    <row r="157" spans="1:5" x14ac:dyDescent="0.2">
      <c r="A157" s="211"/>
      <c r="B157" s="191"/>
      <c r="C157" s="868"/>
      <c r="D157" s="191"/>
      <c r="E157" s="134">
        <f t="shared" si="3"/>
        <v>3640821.0099999905</v>
      </c>
    </row>
    <row r="158" spans="1:5" x14ac:dyDescent="0.2">
      <c r="A158" s="211"/>
      <c r="B158" s="191"/>
      <c r="C158" s="868"/>
      <c r="D158" s="191"/>
      <c r="E158" s="134">
        <f t="shared" si="3"/>
        <v>3640821.0099999905</v>
      </c>
    </row>
    <row r="159" spans="1:5" x14ac:dyDescent="0.2">
      <c r="A159" s="211"/>
      <c r="B159" s="191"/>
      <c r="C159" s="868"/>
      <c r="D159" s="191"/>
      <c r="E159" s="134">
        <f t="shared" si="3"/>
        <v>3640821.0099999905</v>
      </c>
    </row>
    <row r="160" spans="1:5" x14ac:dyDescent="0.2">
      <c r="A160" s="211"/>
      <c r="B160" s="191"/>
      <c r="C160" s="868"/>
      <c r="D160" s="191"/>
      <c r="E160" s="134">
        <f t="shared" si="3"/>
        <v>3640821.0099999905</v>
      </c>
    </row>
    <row r="161" spans="1:5" x14ac:dyDescent="0.2">
      <c r="A161" s="211"/>
      <c r="B161" s="191"/>
      <c r="C161" s="868"/>
      <c r="D161" s="191"/>
      <c r="E161" s="134">
        <f t="shared" si="3"/>
        <v>3640821.0099999905</v>
      </c>
    </row>
    <row r="162" spans="1:5" x14ac:dyDescent="0.2">
      <c r="A162" s="211"/>
      <c r="B162" s="191"/>
      <c r="C162" s="868"/>
      <c r="D162" s="191"/>
      <c r="E162" s="134">
        <f t="shared" si="3"/>
        <v>3640821.0099999905</v>
      </c>
    </row>
    <row r="163" spans="1:5" x14ac:dyDescent="0.2">
      <c r="A163" s="211"/>
      <c r="B163" s="191"/>
      <c r="C163" s="868"/>
      <c r="D163" s="191"/>
      <c r="E163" s="134">
        <f t="shared" si="3"/>
        <v>3640821.0099999905</v>
      </c>
    </row>
    <row r="164" spans="1:5" x14ac:dyDescent="0.2">
      <c r="A164" s="211"/>
      <c r="B164" s="191"/>
      <c r="C164" s="868"/>
      <c r="D164" s="191"/>
      <c r="E164" s="134">
        <f t="shared" si="3"/>
        <v>3640821.0099999905</v>
      </c>
    </row>
    <row r="165" spans="1:5" x14ac:dyDescent="0.2">
      <c r="A165" s="211"/>
      <c r="B165" s="191"/>
      <c r="C165" s="868"/>
      <c r="D165" s="191"/>
      <c r="E165" s="134">
        <f t="shared" si="3"/>
        <v>3640821.0099999905</v>
      </c>
    </row>
    <row r="166" spans="1:5" x14ac:dyDescent="0.2">
      <c r="A166" s="211"/>
      <c r="B166" s="191"/>
      <c r="C166" s="868"/>
      <c r="D166" s="868"/>
      <c r="E166" s="134">
        <f t="shared" si="3"/>
        <v>3640821.0099999905</v>
      </c>
    </row>
    <row r="167" spans="1:5" x14ac:dyDescent="0.2">
      <c r="A167" s="211"/>
      <c r="B167" s="191"/>
      <c r="C167" s="868"/>
      <c r="D167" s="191"/>
      <c r="E167" s="134">
        <f t="shared" si="3"/>
        <v>3640821.0099999905</v>
      </c>
    </row>
    <row r="168" spans="1:5" x14ac:dyDescent="0.2">
      <c r="A168" s="211"/>
      <c r="B168" s="191"/>
      <c r="C168" s="868"/>
      <c r="D168" s="191"/>
      <c r="E168" s="134">
        <f t="shared" si="3"/>
        <v>3640821.0099999905</v>
      </c>
    </row>
    <row r="169" spans="1:5" x14ac:dyDescent="0.2">
      <c r="A169" s="211"/>
      <c r="B169" s="191"/>
      <c r="C169" s="868"/>
      <c r="D169" s="191"/>
      <c r="E169" s="134">
        <f t="shared" si="3"/>
        <v>3640821.0099999905</v>
      </c>
    </row>
    <row r="170" spans="1:5" x14ac:dyDescent="0.2">
      <c r="A170" s="211"/>
      <c r="B170" s="191"/>
      <c r="C170" s="868"/>
      <c r="D170" s="191"/>
      <c r="E170" s="134">
        <f t="shared" si="3"/>
        <v>3640821.0099999905</v>
      </c>
    </row>
    <row r="171" spans="1:5" x14ac:dyDescent="0.2">
      <c r="A171" s="211"/>
      <c r="B171" s="191"/>
      <c r="C171" s="868"/>
      <c r="D171" s="191"/>
      <c r="E171" s="134">
        <f t="shared" si="3"/>
        <v>3640821.0099999905</v>
      </c>
    </row>
    <row r="172" spans="1:5" x14ac:dyDescent="0.2">
      <c r="A172" s="211"/>
      <c r="B172" s="191"/>
      <c r="C172" s="868"/>
      <c r="D172" s="191"/>
      <c r="E172" s="134">
        <f t="shared" si="3"/>
        <v>3640821.0099999905</v>
      </c>
    </row>
    <row r="173" spans="1:5" x14ac:dyDescent="0.2">
      <c r="A173" s="211"/>
      <c r="B173" s="191"/>
      <c r="C173" s="868"/>
      <c r="D173" s="191"/>
      <c r="E173" s="134">
        <f>+E172+C173-D173</f>
        <v>3640821.0099999905</v>
      </c>
    </row>
    <row r="174" spans="1:5" x14ac:dyDescent="0.2">
      <c r="A174" s="211"/>
      <c r="B174" s="191"/>
      <c r="C174" s="868"/>
      <c r="D174" s="191"/>
      <c r="E174" s="134">
        <f>+E173+C174-D174</f>
        <v>3640821.0099999905</v>
      </c>
    </row>
    <row r="175" spans="1:5" x14ac:dyDescent="0.2">
      <c r="A175" s="211"/>
      <c r="B175" s="191"/>
      <c r="C175" s="868"/>
      <c r="D175" s="191"/>
      <c r="E175" s="134">
        <f>+E174+C175-D175</f>
        <v>3640821.0099999905</v>
      </c>
    </row>
    <row r="176" spans="1:5" x14ac:dyDescent="0.2">
      <c r="A176" s="211"/>
      <c r="B176" s="191"/>
      <c r="C176" s="868"/>
      <c r="D176" s="191"/>
      <c r="E176" s="134">
        <f t="shared" si="3"/>
        <v>3640821.0099999905</v>
      </c>
    </row>
    <row r="177" spans="1:5" x14ac:dyDescent="0.2">
      <c r="A177" s="211"/>
      <c r="B177" s="191"/>
      <c r="C177" s="868"/>
      <c r="D177" s="868"/>
      <c r="E177" s="134">
        <f t="shared" si="3"/>
        <v>3640821.0099999905</v>
      </c>
    </row>
    <row r="178" spans="1:5" x14ac:dyDescent="0.2">
      <c r="A178" s="211"/>
      <c r="B178" s="191"/>
      <c r="C178" s="868"/>
      <c r="D178" s="191"/>
      <c r="E178" s="134">
        <f t="shared" si="3"/>
        <v>3640821.0099999905</v>
      </c>
    </row>
    <row r="179" spans="1:5" x14ac:dyDescent="0.2">
      <c r="A179" s="211"/>
      <c r="B179" s="191"/>
      <c r="C179" s="868"/>
      <c r="D179" s="191"/>
      <c r="E179" s="134">
        <f t="shared" si="3"/>
        <v>3640821.0099999905</v>
      </c>
    </row>
    <row r="180" spans="1:5" x14ac:dyDescent="0.2">
      <c r="A180" s="211"/>
      <c r="B180" s="191"/>
      <c r="C180" s="868"/>
      <c r="D180" s="191"/>
      <c r="E180" s="134">
        <f t="shared" si="3"/>
        <v>3640821.0099999905</v>
      </c>
    </row>
    <row r="181" spans="1:5" x14ac:dyDescent="0.2">
      <c r="A181" s="211"/>
      <c r="B181" s="191"/>
      <c r="C181" s="868"/>
      <c r="D181" s="191"/>
      <c r="E181" s="134">
        <f t="shared" si="3"/>
        <v>3640821.0099999905</v>
      </c>
    </row>
    <row r="182" spans="1:5" x14ac:dyDescent="0.2">
      <c r="A182" s="211"/>
      <c r="B182" s="191"/>
      <c r="C182" s="868"/>
      <c r="D182" s="191"/>
      <c r="E182" s="134">
        <f t="shared" si="3"/>
        <v>3640821.0099999905</v>
      </c>
    </row>
    <row r="183" spans="1:5" x14ac:dyDescent="0.2">
      <c r="A183" s="211"/>
      <c r="B183" s="191"/>
      <c r="C183" s="868"/>
      <c r="D183" s="191"/>
      <c r="E183" s="134">
        <f t="shared" si="3"/>
        <v>3640821.0099999905</v>
      </c>
    </row>
    <row r="184" spans="1:5" x14ac:dyDescent="0.2">
      <c r="A184" s="211"/>
      <c r="B184" s="191"/>
      <c r="C184" s="868"/>
      <c r="D184" s="191"/>
      <c r="E184" s="134">
        <f t="shared" si="3"/>
        <v>3640821.0099999905</v>
      </c>
    </row>
    <row r="185" spans="1:5" x14ac:dyDescent="0.2">
      <c r="A185" s="211"/>
      <c r="B185" s="191"/>
      <c r="C185" s="868"/>
      <c r="D185" s="191"/>
      <c r="E185" s="134">
        <f t="shared" si="3"/>
        <v>3640821.0099999905</v>
      </c>
    </row>
    <row r="186" spans="1:5" x14ac:dyDescent="0.2">
      <c r="A186" s="211"/>
      <c r="B186" s="191"/>
      <c r="C186" s="868"/>
      <c r="D186" s="191"/>
      <c r="E186" s="134">
        <f t="shared" si="3"/>
        <v>3640821.0099999905</v>
      </c>
    </row>
    <row r="187" spans="1:5" x14ac:dyDescent="0.2">
      <c r="A187" s="211"/>
      <c r="B187" s="191"/>
      <c r="C187" s="868"/>
      <c r="D187" s="191"/>
      <c r="E187" s="134">
        <f t="shared" si="3"/>
        <v>3640821.0099999905</v>
      </c>
    </row>
    <row r="188" spans="1:5" x14ac:dyDescent="0.2">
      <c r="A188" s="211"/>
      <c r="B188" s="191"/>
      <c r="C188" s="868"/>
      <c r="D188" s="191"/>
      <c r="E188" s="134">
        <f t="shared" si="3"/>
        <v>3640821.0099999905</v>
      </c>
    </row>
    <row r="189" spans="1:5" x14ac:dyDescent="0.2">
      <c r="A189" s="211"/>
      <c r="B189" s="191"/>
      <c r="C189" s="868"/>
      <c r="D189" s="191"/>
      <c r="E189" s="134">
        <f t="shared" si="3"/>
        <v>3640821.0099999905</v>
      </c>
    </row>
    <row r="190" spans="1:5" x14ac:dyDescent="0.2">
      <c r="A190" s="211"/>
      <c r="B190" s="191"/>
      <c r="C190" s="868"/>
      <c r="D190" s="868"/>
      <c r="E190" s="134">
        <f t="shared" si="3"/>
        <v>3640821.0099999905</v>
      </c>
    </row>
    <row r="191" spans="1:5" x14ac:dyDescent="0.2">
      <c r="A191" s="211"/>
      <c r="B191" s="191"/>
      <c r="C191" s="868"/>
      <c r="D191" s="191"/>
      <c r="E191" s="134">
        <f t="shared" si="3"/>
        <v>3640821.0099999905</v>
      </c>
    </row>
    <row r="192" spans="1:5" x14ac:dyDescent="0.2">
      <c r="A192" s="211"/>
      <c r="B192" s="191"/>
      <c r="C192" s="868"/>
      <c r="D192" s="191"/>
      <c r="E192" s="134">
        <f t="shared" si="3"/>
        <v>3640821.0099999905</v>
      </c>
    </row>
    <row r="193" spans="1:5" x14ac:dyDescent="0.2">
      <c r="A193" s="211"/>
      <c r="B193" s="191"/>
      <c r="C193" s="868"/>
      <c r="D193" s="191"/>
      <c r="E193" s="134">
        <f t="shared" si="3"/>
        <v>3640821.0099999905</v>
      </c>
    </row>
    <row r="194" spans="1:5" x14ac:dyDescent="0.2">
      <c r="A194" s="211"/>
      <c r="B194" s="906"/>
      <c r="C194" s="868"/>
      <c r="D194" s="868"/>
      <c r="E194" s="134">
        <f t="shared" si="3"/>
        <v>3640821.0099999905</v>
      </c>
    </row>
    <row r="195" spans="1:5" x14ac:dyDescent="0.2">
      <c r="A195" s="211"/>
      <c r="B195" s="191"/>
      <c r="C195" s="868"/>
      <c r="D195" s="191"/>
      <c r="E195" s="134">
        <f t="shared" si="3"/>
        <v>3640821.0099999905</v>
      </c>
    </row>
    <row r="196" spans="1:5" x14ac:dyDescent="0.2">
      <c r="A196" s="211"/>
      <c r="B196" s="191"/>
      <c r="C196" s="868"/>
      <c r="D196" s="191"/>
      <c r="E196" s="134">
        <f t="shared" si="3"/>
        <v>3640821.0099999905</v>
      </c>
    </row>
    <row r="197" spans="1:5" x14ac:dyDescent="0.2">
      <c r="A197" s="211"/>
      <c r="B197" s="191"/>
      <c r="C197" s="868"/>
      <c r="D197" s="191"/>
      <c r="E197" s="134">
        <f t="shared" si="3"/>
        <v>3640821.0099999905</v>
      </c>
    </row>
    <row r="198" spans="1:5" x14ac:dyDescent="0.2">
      <c r="A198" s="211"/>
      <c r="B198" s="906"/>
      <c r="C198" s="868"/>
      <c r="D198" s="191"/>
      <c r="E198" s="134">
        <f t="shared" si="3"/>
        <v>3640821.0099999905</v>
      </c>
    </row>
    <row r="199" spans="1:5" x14ac:dyDescent="0.2">
      <c r="A199" s="211"/>
      <c r="B199" s="906"/>
      <c r="C199" s="868"/>
      <c r="D199" s="191"/>
      <c r="E199" s="134">
        <f t="shared" si="3"/>
        <v>3640821.0099999905</v>
      </c>
    </row>
    <row r="200" spans="1:5" x14ac:dyDescent="0.2">
      <c r="A200" s="211"/>
      <c r="B200" s="906"/>
      <c r="C200" s="868"/>
      <c r="D200" s="191"/>
      <c r="E200" s="134">
        <f t="shared" si="3"/>
        <v>3640821.0099999905</v>
      </c>
    </row>
    <row r="201" spans="1:5" x14ac:dyDescent="0.2">
      <c r="A201" s="211"/>
      <c r="B201" s="191"/>
      <c r="C201" s="868"/>
      <c r="D201" s="868"/>
      <c r="E201" s="134">
        <f t="shared" si="3"/>
        <v>3640821.0099999905</v>
      </c>
    </row>
    <row r="202" spans="1:5" x14ac:dyDescent="0.2">
      <c r="A202" s="211"/>
      <c r="B202" s="906"/>
      <c r="C202" s="868"/>
      <c r="D202" s="868"/>
      <c r="E202" s="134">
        <f t="shared" si="3"/>
        <v>3640821.0099999905</v>
      </c>
    </row>
    <row r="203" spans="1:5" x14ac:dyDescent="0.2">
      <c r="A203" s="211"/>
      <c r="B203" s="906"/>
      <c r="C203" s="868"/>
      <c r="D203" s="191"/>
      <c r="E203" s="134">
        <f t="shared" si="3"/>
        <v>3640821.0099999905</v>
      </c>
    </row>
    <row r="204" spans="1:5" x14ac:dyDescent="0.2">
      <c r="A204" s="211"/>
      <c r="B204" s="906"/>
      <c r="C204" s="868"/>
      <c r="D204" s="868"/>
      <c r="E204" s="134">
        <f t="shared" si="3"/>
        <v>3640821.0099999905</v>
      </c>
    </row>
    <row r="205" spans="1:5" x14ac:dyDescent="0.2">
      <c r="A205" s="211"/>
      <c r="B205" s="906"/>
      <c r="C205" s="868"/>
      <c r="D205" s="868"/>
      <c r="E205" s="134">
        <f t="shared" si="3"/>
        <v>3640821.0099999905</v>
      </c>
    </row>
    <row r="206" spans="1:5" x14ac:dyDescent="0.2">
      <c r="A206" s="211"/>
      <c r="B206" s="906"/>
      <c r="C206" s="868"/>
      <c r="D206" s="868"/>
      <c r="E206" s="134">
        <f t="shared" si="3"/>
        <v>3640821.0099999905</v>
      </c>
    </row>
    <row r="207" spans="1:5" x14ac:dyDescent="0.2">
      <c r="A207" s="211"/>
      <c r="B207" s="191"/>
      <c r="C207" s="868"/>
      <c r="D207" s="868"/>
      <c r="E207" s="134">
        <f t="shared" si="3"/>
        <v>3640821.0099999905</v>
      </c>
    </row>
    <row r="208" spans="1:5" x14ac:dyDescent="0.2">
      <c r="A208" s="211"/>
      <c r="B208" s="191"/>
      <c r="C208" s="868"/>
      <c r="D208" s="191"/>
      <c r="E208" s="134">
        <f t="shared" si="3"/>
        <v>3640821.0099999905</v>
      </c>
    </row>
    <row r="209" spans="1:5" ht="10.5" customHeight="1" x14ac:dyDescent="0.2">
      <c r="A209" s="211"/>
      <c r="B209" s="191"/>
      <c r="C209" s="868"/>
      <c r="D209" s="191"/>
      <c r="E209" s="134">
        <f t="shared" si="3"/>
        <v>3640821.0099999905</v>
      </c>
    </row>
    <row r="210" spans="1:5" x14ac:dyDescent="0.2">
      <c r="A210" s="211"/>
      <c r="B210" s="906"/>
      <c r="C210" s="868"/>
      <c r="D210" s="191"/>
      <c r="E210" s="134">
        <f t="shared" si="3"/>
        <v>3640821.0099999905</v>
      </c>
    </row>
    <row r="211" spans="1:5" x14ac:dyDescent="0.2">
      <c r="A211" s="211"/>
      <c r="B211" s="906"/>
      <c r="C211" s="868"/>
      <c r="D211" s="868"/>
      <c r="E211" s="134">
        <f t="shared" si="3"/>
        <v>3640821.0099999905</v>
      </c>
    </row>
    <row r="212" spans="1:5" x14ac:dyDescent="0.2">
      <c r="A212" s="211"/>
      <c r="B212" s="191"/>
      <c r="C212" s="868"/>
      <c r="D212" s="191"/>
      <c r="E212" s="134">
        <f t="shared" si="3"/>
        <v>3640821.0099999905</v>
      </c>
    </row>
    <row r="213" spans="1:5" x14ac:dyDescent="0.2">
      <c r="A213" s="211"/>
      <c r="B213" s="1053"/>
      <c r="C213" s="868"/>
      <c r="D213" s="191"/>
      <c r="E213" s="134">
        <f t="shared" si="3"/>
        <v>3640821.0099999905</v>
      </c>
    </row>
    <row r="214" spans="1:5" x14ac:dyDescent="0.2">
      <c r="A214" s="211"/>
      <c r="B214" s="191"/>
      <c r="C214" s="868"/>
      <c r="D214" s="191"/>
      <c r="E214" s="134">
        <f t="shared" si="3"/>
        <v>3640821.0099999905</v>
      </c>
    </row>
    <row r="215" spans="1:5" x14ac:dyDescent="0.2">
      <c r="A215" s="211"/>
      <c r="B215" s="191"/>
      <c r="C215" s="868"/>
      <c r="D215" s="191"/>
      <c r="E215" s="134">
        <f t="shared" ref="E215:E278" si="4">+E214+C215-D215</f>
        <v>3640821.0099999905</v>
      </c>
    </row>
    <row r="216" spans="1:5" x14ac:dyDescent="0.2">
      <c r="A216" s="211"/>
      <c r="B216" s="191"/>
      <c r="C216" s="868"/>
      <c r="D216" s="191"/>
      <c r="E216" s="134">
        <f t="shared" si="4"/>
        <v>3640821.0099999905</v>
      </c>
    </row>
    <row r="217" spans="1:5" x14ac:dyDescent="0.2">
      <c r="A217" s="211"/>
      <c r="B217" s="191"/>
      <c r="C217" s="868"/>
      <c r="D217" s="191"/>
      <c r="E217" s="134">
        <f t="shared" si="4"/>
        <v>3640821.0099999905</v>
      </c>
    </row>
    <row r="218" spans="1:5" x14ac:dyDescent="0.2">
      <c r="A218" s="211"/>
      <c r="B218" s="191"/>
      <c r="C218" s="868"/>
      <c r="D218" s="191"/>
      <c r="E218" s="134">
        <f t="shared" si="4"/>
        <v>3640821.0099999905</v>
      </c>
    </row>
    <row r="219" spans="1:5" x14ac:dyDescent="0.2">
      <c r="A219" s="211"/>
      <c r="B219" s="191"/>
      <c r="C219" s="868"/>
      <c r="D219" s="191"/>
      <c r="E219" s="134">
        <f t="shared" si="4"/>
        <v>3640821.0099999905</v>
      </c>
    </row>
    <row r="220" spans="1:5" x14ac:dyDescent="0.2">
      <c r="A220" s="211"/>
      <c r="B220" s="191"/>
      <c r="C220" s="868"/>
      <c r="D220" s="191"/>
      <c r="E220" s="134">
        <f t="shared" si="4"/>
        <v>3640821.0099999905</v>
      </c>
    </row>
    <row r="221" spans="1:5" x14ac:dyDescent="0.2">
      <c r="A221" s="211"/>
      <c r="B221" s="191"/>
      <c r="C221" s="868"/>
      <c r="D221" s="191"/>
      <c r="E221" s="134">
        <f t="shared" si="4"/>
        <v>3640821.0099999905</v>
      </c>
    </row>
    <row r="222" spans="1:5" x14ac:dyDescent="0.2">
      <c r="A222" s="211"/>
      <c r="B222" s="191"/>
      <c r="C222" s="868"/>
      <c r="D222" s="868"/>
      <c r="E222" s="134">
        <f t="shared" si="4"/>
        <v>3640821.0099999905</v>
      </c>
    </row>
    <row r="223" spans="1:5" x14ac:dyDescent="0.2">
      <c r="A223" s="211"/>
      <c r="B223" s="191"/>
      <c r="C223" s="868"/>
      <c r="D223" s="191"/>
      <c r="E223" s="134">
        <f t="shared" si="4"/>
        <v>3640821.0099999905</v>
      </c>
    </row>
    <row r="224" spans="1:5" x14ac:dyDescent="0.2">
      <c r="A224" s="211"/>
      <c r="B224" s="191"/>
      <c r="C224" s="868"/>
      <c r="D224" s="191"/>
      <c r="E224" s="134">
        <f t="shared" si="4"/>
        <v>3640821.0099999905</v>
      </c>
    </row>
    <row r="225" spans="1:5" x14ac:dyDescent="0.2">
      <c r="A225" s="211"/>
      <c r="B225" s="191"/>
      <c r="C225" s="868"/>
      <c r="D225" s="191"/>
      <c r="E225" s="134">
        <f t="shared" si="4"/>
        <v>3640821.0099999905</v>
      </c>
    </row>
    <row r="226" spans="1:5" x14ac:dyDescent="0.2">
      <c r="A226" s="211"/>
      <c r="B226" s="191"/>
      <c r="C226" s="868"/>
      <c r="D226" s="191"/>
      <c r="E226" s="134">
        <f t="shared" si="4"/>
        <v>3640821.0099999905</v>
      </c>
    </row>
    <row r="227" spans="1:5" x14ac:dyDescent="0.2">
      <c r="A227" s="211"/>
      <c r="B227" s="191"/>
      <c r="C227" s="868"/>
      <c r="D227" s="191"/>
      <c r="E227" s="134">
        <f t="shared" si="4"/>
        <v>3640821.0099999905</v>
      </c>
    </row>
    <row r="228" spans="1:5" x14ac:dyDescent="0.2">
      <c r="A228" s="211"/>
      <c r="B228" s="191"/>
      <c r="C228" s="868"/>
      <c r="D228" s="191"/>
      <c r="E228" s="134">
        <f t="shared" si="4"/>
        <v>3640821.0099999905</v>
      </c>
    </row>
    <row r="229" spans="1:5" x14ac:dyDescent="0.2">
      <c r="A229" s="211"/>
      <c r="B229" s="191"/>
      <c r="C229" s="868"/>
      <c r="D229" s="191"/>
      <c r="E229" s="134">
        <f t="shared" si="4"/>
        <v>3640821.0099999905</v>
      </c>
    </row>
    <row r="230" spans="1:5" x14ac:dyDescent="0.2">
      <c r="A230" s="211"/>
      <c r="B230" s="191"/>
      <c r="C230" s="868"/>
      <c r="D230" s="191"/>
      <c r="E230" s="134">
        <f t="shared" si="4"/>
        <v>3640821.0099999905</v>
      </c>
    </row>
    <row r="231" spans="1:5" x14ac:dyDescent="0.2">
      <c r="A231" s="211"/>
      <c r="B231" s="906"/>
      <c r="C231" s="868"/>
      <c r="D231" s="191"/>
      <c r="E231" s="134">
        <f t="shared" si="4"/>
        <v>3640821.0099999905</v>
      </c>
    </row>
    <row r="232" spans="1:5" x14ac:dyDescent="0.2">
      <c r="A232" s="211"/>
      <c r="B232" s="191"/>
      <c r="C232" s="868"/>
      <c r="D232" s="191"/>
      <c r="E232" s="134">
        <f t="shared" si="4"/>
        <v>3640821.0099999905</v>
      </c>
    </row>
    <row r="233" spans="1:5" x14ac:dyDescent="0.2">
      <c r="A233" s="211"/>
      <c r="B233" s="191"/>
      <c r="C233" s="868"/>
      <c r="D233" s="191"/>
      <c r="E233" s="134">
        <f t="shared" si="4"/>
        <v>3640821.0099999905</v>
      </c>
    </row>
    <row r="234" spans="1:5" x14ac:dyDescent="0.2">
      <c r="A234" s="211"/>
      <c r="B234" s="191"/>
      <c r="C234" s="868"/>
      <c r="D234" s="191"/>
      <c r="E234" s="134">
        <f t="shared" si="4"/>
        <v>3640821.0099999905</v>
      </c>
    </row>
    <row r="235" spans="1:5" x14ac:dyDescent="0.2">
      <c r="A235" s="211"/>
      <c r="B235" s="191"/>
      <c r="C235" s="868"/>
      <c r="D235" s="191"/>
      <c r="E235" s="134">
        <f t="shared" si="4"/>
        <v>3640821.0099999905</v>
      </c>
    </row>
    <row r="236" spans="1:5" x14ac:dyDescent="0.2">
      <c r="A236" s="211"/>
      <c r="B236" s="191"/>
      <c r="C236" s="868"/>
      <c r="D236" s="191"/>
      <c r="E236" s="134">
        <f t="shared" si="4"/>
        <v>3640821.0099999905</v>
      </c>
    </row>
    <row r="237" spans="1:5" x14ac:dyDescent="0.2">
      <c r="A237" s="211"/>
      <c r="B237" s="191"/>
      <c r="C237" s="868"/>
      <c r="D237" s="191"/>
      <c r="E237" s="134">
        <f t="shared" si="4"/>
        <v>3640821.0099999905</v>
      </c>
    </row>
    <row r="238" spans="1:5" x14ac:dyDescent="0.2">
      <c r="A238" s="211"/>
      <c r="B238" s="191"/>
      <c r="C238" s="868"/>
      <c r="D238" s="868"/>
      <c r="E238" s="134">
        <f t="shared" si="4"/>
        <v>3640821.0099999905</v>
      </c>
    </row>
    <row r="239" spans="1:5" x14ac:dyDescent="0.2">
      <c r="A239" s="211"/>
      <c r="B239" s="191"/>
      <c r="C239" s="868"/>
      <c r="D239" s="868"/>
      <c r="E239" s="134">
        <f t="shared" si="4"/>
        <v>3640821.0099999905</v>
      </c>
    </row>
    <row r="240" spans="1:5" x14ac:dyDescent="0.2">
      <c r="A240" s="211"/>
      <c r="B240" s="191"/>
      <c r="C240" s="868"/>
      <c r="D240" s="191"/>
      <c r="E240" s="134">
        <f t="shared" si="4"/>
        <v>3640821.0099999905</v>
      </c>
    </row>
    <row r="241" spans="1:5" x14ac:dyDescent="0.2">
      <c r="A241" s="211"/>
      <c r="B241" s="191"/>
      <c r="C241" s="868"/>
      <c r="D241" s="191"/>
      <c r="E241" s="134">
        <f t="shared" si="4"/>
        <v>3640821.0099999905</v>
      </c>
    </row>
    <row r="242" spans="1:5" x14ac:dyDescent="0.2">
      <c r="A242" s="211"/>
      <c r="B242" s="191"/>
      <c r="C242" s="868"/>
      <c r="D242" s="191"/>
      <c r="E242" s="134">
        <f t="shared" si="4"/>
        <v>3640821.0099999905</v>
      </c>
    </row>
    <row r="243" spans="1:5" x14ac:dyDescent="0.2">
      <c r="A243" s="211"/>
      <c r="B243" s="191"/>
      <c r="C243" s="868"/>
      <c r="D243" s="191"/>
      <c r="E243" s="134">
        <f t="shared" si="4"/>
        <v>3640821.0099999905</v>
      </c>
    </row>
    <row r="244" spans="1:5" x14ac:dyDescent="0.2">
      <c r="A244" s="211"/>
      <c r="B244" s="191"/>
      <c r="C244" s="868"/>
      <c r="D244" s="191"/>
      <c r="E244" s="134">
        <f t="shared" si="4"/>
        <v>3640821.0099999905</v>
      </c>
    </row>
    <row r="245" spans="1:5" x14ac:dyDescent="0.2">
      <c r="A245" s="211"/>
      <c r="B245" s="191"/>
      <c r="C245" s="868"/>
      <c r="D245" s="191"/>
      <c r="E245" s="134">
        <f t="shared" si="4"/>
        <v>3640821.0099999905</v>
      </c>
    </row>
    <row r="246" spans="1:5" x14ac:dyDescent="0.2">
      <c r="A246" s="211"/>
      <c r="B246" s="191"/>
      <c r="C246" s="868"/>
      <c r="D246" s="191"/>
      <c r="E246" s="134">
        <f t="shared" si="4"/>
        <v>3640821.0099999905</v>
      </c>
    </row>
    <row r="247" spans="1:5" x14ac:dyDescent="0.2">
      <c r="A247" s="211"/>
      <c r="B247" s="191"/>
      <c r="C247" s="868"/>
      <c r="D247" s="191"/>
      <c r="E247" s="134">
        <f t="shared" si="4"/>
        <v>3640821.0099999905</v>
      </c>
    </row>
    <row r="248" spans="1:5" x14ac:dyDescent="0.2">
      <c r="A248" s="211"/>
      <c r="B248" s="191"/>
      <c r="C248" s="868"/>
      <c r="D248" s="191"/>
      <c r="E248" s="134">
        <f t="shared" si="4"/>
        <v>3640821.0099999905</v>
      </c>
    </row>
    <row r="249" spans="1:5" x14ac:dyDescent="0.2">
      <c r="A249" s="211"/>
      <c r="B249" s="191"/>
      <c r="C249" s="868"/>
      <c r="D249" s="191"/>
      <c r="E249" s="134">
        <f t="shared" si="4"/>
        <v>3640821.0099999905</v>
      </c>
    </row>
    <row r="250" spans="1:5" x14ac:dyDescent="0.2">
      <c r="A250" s="211"/>
      <c r="B250" s="191"/>
      <c r="C250" s="868"/>
      <c r="D250" s="191"/>
      <c r="E250" s="134">
        <f t="shared" si="4"/>
        <v>3640821.0099999905</v>
      </c>
    </row>
    <row r="251" spans="1:5" x14ac:dyDescent="0.2">
      <c r="A251" s="211"/>
      <c r="B251" s="191"/>
      <c r="C251" s="868"/>
      <c r="D251" s="191"/>
      <c r="E251" s="134">
        <f t="shared" si="4"/>
        <v>3640821.0099999905</v>
      </c>
    </row>
    <row r="252" spans="1:5" x14ac:dyDescent="0.2">
      <c r="A252" s="211"/>
      <c r="B252" s="1053"/>
      <c r="C252" s="868"/>
      <c r="D252" s="191"/>
      <c r="E252" s="134">
        <f t="shared" si="4"/>
        <v>3640821.0099999905</v>
      </c>
    </row>
    <row r="253" spans="1:5" x14ac:dyDescent="0.2">
      <c r="A253" s="211"/>
      <c r="B253" s="1053"/>
      <c r="C253" s="868"/>
      <c r="D253" s="191"/>
      <c r="E253" s="134">
        <f t="shared" si="4"/>
        <v>3640821.0099999905</v>
      </c>
    </row>
    <row r="254" spans="1:5" x14ac:dyDescent="0.2">
      <c r="A254" s="211"/>
      <c r="B254" s="191"/>
      <c r="C254" s="868"/>
      <c r="D254" s="191"/>
      <c r="E254" s="134">
        <f t="shared" si="4"/>
        <v>3640821.0099999905</v>
      </c>
    </row>
    <row r="255" spans="1:5" x14ac:dyDescent="0.2">
      <c r="A255" s="211"/>
      <c r="B255" s="191"/>
      <c r="C255" s="868"/>
      <c r="D255" s="191"/>
      <c r="E255" s="134">
        <f t="shared" si="4"/>
        <v>3640821.0099999905</v>
      </c>
    </row>
    <row r="256" spans="1:5" x14ac:dyDescent="0.2">
      <c r="A256" s="211"/>
      <c r="B256" s="191"/>
      <c r="C256" s="868"/>
      <c r="D256" s="191"/>
      <c r="E256" s="134">
        <f t="shared" si="4"/>
        <v>3640821.0099999905</v>
      </c>
    </row>
    <row r="257" spans="1:5" x14ac:dyDescent="0.2">
      <c r="A257" s="211"/>
      <c r="B257" s="906"/>
      <c r="C257" s="868"/>
      <c r="D257" s="191"/>
      <c r="E257" s="134">
        <f t="shared" si="4"/>
        <v>3640821.0099999905</v>
      </c>
    </row>
    <row r="258" spans="1:5" x14ac:dyDescent="0.2">
      <c r="A258" s="211"/>
      <c r="B258" s="191"/>
      <c r="C258" s="868"/>
      <c r="D258" s="191"/>
      <c r="E258" s="134">
        <f t="shared" si="4"/>
        <v>3640821.0099999905</v>
      </c>
    </row>
    <row r="259" spans="1:5" x14ac:dyDescent="0.2">
      <c r="A259" s="211"/>
      <c r="B259" s="906"/>
      <c r="C259" s="868"/>
      <c r="D259" s="191"/>
      <c r="E259" s="134">
        <f t="shared" si="4"/>
        <v>3640821.0099999905</v>
      </c>
    </row>
    <row r="260" spans="1:5" x14ac:dyDescent="0.2">
      <c r="A260" s="211"/>
      <c r="B260" s="191"/>
      <c r="C260" s="868"/>
      <c r="D260" s="868"/>
      <c r="E260" s="134">
        <f t="shared" si="4"/>
        <v>3640821.0099999905</v>
      </c>
    </row>
    <row r="261" spans="1:5" x14ac:dyDescent="0.2">
      <c r="A261" s="211"/>
      <c r="B261" s="906"/>
      <c r="C261" s="868"/>
      <c r="D261" s="191"/>
      <c r="E261" s="134">
        <f t="shared" si="4"/>
        <v>3640821.0099999905</v>
      </c>
    </row>
    <row r="262" spans="1:5" x14ac:dyDescent="0.2">
      <c r="A262" s="211"/>
      <c r="B262" s="906"/>
      <c r="C262" s="868"/>
      <c r="D262" s="191"/>
      <c r="E262" s="134">
        <f t="shared" si="4"/>
        <v>3640821.0099999905</v>
      </c>
    </row>
    <row r="263" spans="1:5" x14ac:dyDescent="0.2">
      <c r="A263" s="211"/>
      <c r="B263" s="906"/>
      <c r="C263" s="868"/>
      <c r="D263" s="191"/>
      <c r="E263" s="134">
        <f t="shared" si="4"/>
        <v>3640821.0099999905</v>
      </c>
    </row>
    <row r="264" spans="1:5" x14ac:dyDescent="0.2">
      <c r="A264" s="211"/>
      <c r="B264" s="906"/>
      <c r="C264" s="868"/>
      <c r="D264" s="191"/>
      <c r="E264" s="134">
        <f t="shared" si="4"/>
        <v>3640821.0099999905</v>
      </c>
    </row>
    <row r="265" spans="1:5" x14ac:dyDescent="0.2">
      <c r="A265" s="211"/>
      <c r="B265" s="906"/>
      <c r="C265" s="868"/>
      <c r="D265" s="191"/>
      <c r="E265" s="134">
        <f t="shared" si="4"/>
        <v>3640821.0099999905</v>
      </c>
    </row>
    <row r="266" spans="1:5" x14ac:dyDescent="0.2">
      <c r="A266" s="211"/>
      <c r="B266" s="906"/>
      <c r="C266" s="868"/>
      <c r="D266" s="191"/>
      <c r="E266" s="134">
        <f t="shared" si="4"/>
        <v>3640821.0099999905</v>
      </c>
    </row>
    <row r="267" spans="1:5" x14ac:dyDescent="0.2">
      <c r="A267" s="211"/>
      <c r="B267" s="906"/>
      <c r="C267" s="868"/>
      <c r="D267" s="191"/>
      <c r="E267" s="134">
        <f t="shared" si="4"/>
        <v>3640821.0099999905</v>
      </c>
    </row>
    <row r="268" spans="1:5" x14ac:dyDescent="0.2">
      <c r="A268" s="211"/>
      <c r="B268" s="906"/>
      <c r="C268" s="868"/>
      <c r="D268" s="191"/>
      <c r="E268" s="134">
        <f t="shared" si="4"/>
        <v>3640821.0099999905</v>
      </c>
    </row>
    <row r="269" spans="1:5" x14ac:dyDescent="0.2">
      <c r="A269" s="211"/>
      <c r="B269" s="906"/>
      <c r="C269" s="868"/>
      <c r="D269" s="191"/>
      <c r="E269" s="134">
        <f t="shared" si="4"/>
        <v>3640821.0099999905</v>
      </c>
    </row>
    <row r="270" spans="1:5" x14ac:dyDescent="0.2">
      <c r="A270" s="211"/>
      <c r="B270" s="191"/>
      <c r="C270" s="868"/>
      <c r="D270" s="191"/>
      <c r="E270" s="134">
        <f>+E269+C270-D270</f>
        <v>3640821.0099999905</v>
      </c>
    </row>
    <row r="271" spans="1:5" x14ac:dyDescent="0.2">
      <c r="A271" s="211"/>
      <c r="B271" s="906"/>
      <c r="C271" s="868"/>
      <c r="D271" s="191"/>
      <c r="E271" s="134">
        <f t="shared" si="4"/>
        <v>3640821.0099999905</v>
      </c>
    </row>
    <row r="272" spans="1:5" x14ac:dyDescent="0.2">
      <c r="A272" s="211"/>
      <c r="B272" s="191"/>
      <c r="C272" s="868"/>
      <c r="D272" s="868"/>
      <c r="E272" s="134">
        <f t="shared" si="4"/>
        <v>3640821.0099999905</v>
      </c>
    </row>
    <row r="273" spans="1:5" x14ac:dyDescent="0.2">
      <c r="A273" s="211"/>
      <c r="B273" s="191"/>
      <c r="C273" s="868"/>
      <c r="D273" s="868"/>
      <c r="E273" s="134">
        <f t="shared" si="4"/>
        <v>3640821.0099999905</v>
      </c>
    </row>
    <row r="274" spans="1:5" x14ac:dyDescent="0.2">
      <c r="A274" s="211"/>
      <c r="B274" s="191"/>
      <c r="C274" s="868"/>
      <c r="D274" s="191"/>
      <c r="E274" s="134">
        <f t="shared" si="4"/>
        <v>3640821.0099999905</v>
      </c>
    </row>
    <row r="275" spans="1:5" x14ac:dyDescent="0.2">
      <c r="A275" s="211"/>
      <c r="B275" s="191"/>
      <c r="C275" s="868"/>
      <c r="D275" s="868"/>
      <c r="E275" s="134">
        <f t="shared" si="4"/>
        <v>3640821.0099999905</v>
      </c>
    </row>
    <row r="276" spans="1:5" x14ac:dyDescent="0.2">
      <c r="A276" s="211"/>
      <c r="B276" s="191"/>
      <c r="C276" s="868"/>
      <c r="D276" s="868"/>
      <c r="E276" s="134">
        <f t="shared" si="4"/>
        <v>3640821.0099999905</v>
      </c>
    </row>
    <row r="277" spans="1:5" x14ac:dyDescent="0.2">
      <c r="A277" s="211"/>
      <c r="B277" s="191"/>
      <c r="C277" s="868"/>
      <c r="D277" s="191"/>
      <c r="E277" s="134">
        <f t="shared" si="4"/>
        <v>3640821.0099999905</v>
      </c>
    </row>
    <row r="278" spans="1:5" x14ac:dyDescent="0.2">
      <c r="A278" s="211"/>
      <c r="B278" s="191"/>
      <c r="C278" s="868"/>
      <c r="D278" s="191"/>
      <c r="E278" s="134">
        <f t="shared" si="4"/>
        <v>3640821.0099999905</v>
      </c>
    </row>
    <row r="279" spans="1:5" x14ac:dyDescent="0.2">
      <c r="A279" s="211"/>
      <c r="B279" s="191"/>
      <c r="C279" s="868"/>
      <c r="D279" s="191"/>
      <c r="E279" s="134">
        <f t="shared" ref="E279:E382" si="5">+E278+C279-D279</f>
        <v>3640821.0099999905</v>
      </c>
    </row>
    <row r="280" spans="1:5" x14ac:dyDescent="0.2">
      <c r="A280" s="211"/>
      <c r="B280" s="1053"/>
      <c r="C280" s="191"/>
      <c r="D280" s="191"/>
      <c r="E280" s="134">
        <f t="shared" si="5"/>
        <v>3640821.0099999905</v>
      </c>
    </row>
    <row r="281" spans="1:5" x14ac:dyDescent="0.2">
      <c r="A281" s="211"/>
      <c r="B281" s="191"/>
      <c r="C281" s="191"/>
      <c r="D281" s="191"/>
      <c r="E281" s="134">
        <f t="shared" si="5"/>
        <v>3640821.0099999905</v>
      </c>
    </row>
    <row r="282" spans="1:5" x14ac:dyDescent="0.2">
      <c r="A282" s="211"/>
      <c r="B282" s="191"/>
      <c r="C282" s="868"/>
      <c r="D282" s="191"/>
      <c r="E282" s="134">
        <f t="shared" si="5"/>
        <v>3640821.0099999905</v>
      </c>
    </row>
    <row r="283" spans="1:5" x14ac:dyDescent="0.2">
      <c r="A283" s="211"/>
      <c r="B283" s="191"/>
      <c r="C283" s="868"/>
      <c r="D283" s="191"/>
      <c r="E283" s="134">
        <f t="shared" si="5"/>
        <v>3640821.0099999905</v>
      </c>
    </row>
    <row r="284" spans="1:5" x14ac:dyDescent="0.2">
      <c r="A284" s="211"/>
      <c r="B284" s="191"/>
      <c r="C284" s="868"/>
      <c r="D284" s="191"/>
      <c r="E284" s="134">
        <f t="shared" si="5"/>
        <v>3640821.0099999905</v>
      </c>
    </row>
    <row r="285" spans="1:5" x14ac:dyDescent="0.2">
      <c r="A285" s="211"/>
      <c r="B285" s="191"/>
      <c r="C285" s="868"/>
      <c r="D285" s="868"/>
      <c r="E285" s="134">
        <f t="shared" si="5"/>
        <v>3640821.0099999905</v>
      </c>
    </row>
    <row r="286" spans="1:5" x14ac:dyDescent="0.2">
      <c r="A286" s="211"/>
      <c r="B286" s="906"/>
      <c r="C286" s="191"/>
      <c r="D286" s="191"/>
      <c r="E286" s="134">
        <f t="shared" si="5"/>
        <v>3640821.0099999905</v>
      </c>
    </row>
    <row r="287" spans="1:5" x14ac:dyDescent="0.2">
      <c r="A287" s="211"/>
      <c r="B287" s="906"/>
      <c r="C287" s="191"/>
      <c r="D287" s="191"/>
      <c r="E287" s="134">
        <f t="shared" si="5"/>
        <v>3640821.0099999905</v>
      </c>
    </row>
    <row r="288" spans="1:5" x14ac:dyDescent="0.2">
      <c r="A288" s="211"/>
      <c r="B288" s="906"/>
      <c r="C288" s="191"/>
      <c r="D288" s="191"/>
      <c r="E288" s="134">
        <f t="shared" si="5"/>
        <v>3640821.0099999905</v>
      </c>
    </row>
    <row r="289" spans="1:5" x14ac:dyDescent="0.2">
      <c r="A289" s="211"/>
      <c r="B289" s="191"/>
      <c r="C289" s="868"/>
      <c r="D289" s="191"/>
      <c r="E289" s="134">
        <f t="shared" si="5"/>
        <v>3640821.0099999905</v>
      </c>
    </row>
    <row r="290" spans="1:5" x14ac:dyDescent="0.2">
      <c r="A290" s="211"/>
      <c r="B290" s="191"/>
      <c r="C290" s="868"/>
      <c r="D290" s="191"/>
      <c r="E290" s="134">
        <f t="shared" si="5"/>
        <v>3640821.0099999905</v>
      </c>
    </row>
    <row r="291" spans="1:5" x14ac:dyDescent="0.2">
      <c r="A291" s="211"/>
      <c r="B291" s="191"/>
      <c r="C291" s="868"/>
      <c r="D291" s="191"/>
      <c r="E291" s="134">
        <f t="shared" si="5"/>
        <v>3640821.0099999905</v>
      </c>
    </row>
    <row r="292" spans="1:5" x14ac:dyDescent="0.2">
      <c r="A292" s="211"/>
      <c r="B292" s="191"/>
      <c r="C292" s="868"/>
      <c r="D292" s="191"/>
      <c r="E292" s="134">
        <f t="shared" si="5"/>
        <v>3640821.0099999905</v>
      </c>
    </row>
    <row r="293" spans="1:5" x14ac:dyDescent="0.2">
      <c r="A293" s="211"/>
      <c r="B293" s="191"/>
      <c r="C293" s="868"/>
      <c r="D293" s="191"/>
      <c r="E293" s="134">
        <f t="shared" si="5"/>
        <v>3640821.0099999905</v>
      </c>
    </row>
    <row r="294" spans="1:5" x14ac:dyDescent="0.2">
      <c r="A294" s="211"/>
      <c r="B294" s="191"/>
      <c r="C294" s="868"/>
      <c r="D294" s="191"/>
      <c r="E294" s="134">
        <f t="shared" si="5"/>
        <v>3640821.0099999905</v>
      </c>
    </row>
    <row r="295" spans="1:5" x14ac:dyDescent="0.2">
      <c r="A295" s="211"/>
      <c r="B295" s="906"/>
      <c r="C295" s="191"/>
      <c r="D295" s="191"/>
      <c r="E295" s="134">
        <f t="shared" si="5"/>
        <v>3640821.0099999905</v>
      </c>
    </row>
    <row r="296" spans="1:5" x14ac:dyDescent="0.2">
      <c r="A296" s="211"/>
      <c r="B296" s="906"/>
      <c r="C296" s="191"/>
      <c r="D296" s="191"/>
      <c r="E296" s="134">
        <f t="shared" si="5"/>
        <v>3640821.0099999905</v>
      </c>
    </row>
    <row r="297" spans="1:5" x14ac:dyDescent="0.2">
      <c r="A297" s="211"/>
      <c r="B297" s="906"/>
      <c r="C297" s="191"/>
      <c r="D297" s="191"/>
      <c r="E297" s="134">
        <f t="shared" si="5"/>
        <v>3640821.0099999905</v>
      </c>
    </row>
    <row r="298" spans="1:5" x14ac:dyDescent="0.2">
      <c r="A298" s="211"/>
      <c r="B298" s="906"/>
      <c r="C298" s="191"/>
      <c r="D298" s="191"/>
      <c r="E298" s="134">
        <f t="shared" si="5"/>
        <v>3640821.0099999905</v>
      </c>
    </row>
    <row r="299" spans="1:5" x14ac:dyDescent="0.2">
      <c r="A299" s="211"/>
      <c r="B299" s="906"/>
      <c r="C299" s="191"/>
      <c r="D299" s="191"/>
      <c r="E299" s="134">
        <f t="shared" si="5"/>
        <v>3640821.0099999905</v>
      </c>
    </row>
    <row r="300" spans="1:5" x14ac:dyDescent="0.2">
      <c r="A300" s="211"/>
      <c r="B300" s="191"/>
      <c r="C300" s="191"/>
      <c r="D300" s="191"/>
      <c r="E300" s="134">
        <f t="shared" si="5"/>
        <v>3640821.0099999905</v>
      </c>
    </row>
    <row r="301" spans="1:5" x14ac:dyDescent="0.2">
      <c r="A301" s="211"/>
      <c r="B301" s="191"/>
      <c r="C301" s="868"/>
      <c r="D301" s="191"/>
      <c r="E301" s="134">
        <f t="shared" si="5"/>
        <v>3640821.0099999905</v>
      </c>
    </row>
    <row r="302" spans="1:5" x14ac:dyDescent="0.2">
      <c r="A302" s="211"/>
      <c r="B302" s="191"/>
      <c r="C302" s="191"/>
      <c r="D302" s="191"/>
      <c r="E302" s="134">
        <f t="shared" si="5"/>
        <v>3640821.0099999905</v>
      </c>
    </row>
    <row r="303" spans="1:5" x14ac:dyDescent="0.2">
      <c r="A303" s="211"/>
      <c r="B303" s="191"/>
      <c r="C303" s="191"/>
      <c r="D303" s="191"/>
      <c r="E303" s="134">
        <f t="shared" si="5"/>
        <v>3640821.0099999905</v>
      </c>
    </row>
    <row r="304" spans="1:5" x14ac:dyDescent="0.2">
      <c r="A304" s="211"/>
      <c r="B304" s="191"/>
      <c r="C304" s="868"/>
      <c r="D304" s="868"/>
      <c r="E304" s="134">
        <f t="shared" si="5"/>
        <v>3640821.0099999905</v>
      </c>
    </row>
    <row r="305" spans="1:5" x14ac:dyDescent="0.2">
      <c r="A305" s="211"/>
      <c r="B305" s="191"/>
      <c r="C305" s="191"/>
      <c r="D305" s="191"/>
      <c r="E305" s="134">
        <f t="shared" si="5"/>
        <v>3640821.0099999905</v>
      </c>
    </row>
    <row r="306" spans="1:5" x14ac:dyDescent="0.2">
      <c r="A306" s="211"/>
      <c r="B306" s="191"/>
      <c r="C306" s="191"/>
      <c r="D306" s="191"/>
      <c r="E306" s="134">
        <f t="shared" si="5"/>
        <v>3640821.0099999905</v>
      </c>
    </row>
    <row r="307" spans="1:5" x14ac:dyDescent="0.2">
      <c r="A307" s="211"/>
      <c r="B307" s="191"/>
      <c r="C307" s="191"/>
      <c r="D307" s="191"/>
      <c r="E307" s="134">
        <f t="shared" si="5"/>
        <v>3640821.0099999905</v>
      </c>
    </row>
    <row r="308" spans="1:5" x14ac:dyDescent="0.2">
      <c r="A308" s="211"/>
      <c r="B308" s="191"/>
      <c r="C308" s="191"/>
      <c r="D308" s="191"/>
      <c r="E308" s="134">
        <f t="shared" si="5"/>
        <v>3640821.0099999905</v>
      </c>
    </row>
    <row r="309" spans="1:5" x14ac:dyDescent="0.2">
      <c r="A309" s="211"/>
      <c r="B309" s="191"/>
      <c r="C309" s="191"/>
      <c r="D309" s="191"/>
      <c r="E309" s="134">
        <f t="shared" si="5"/>
        <v>3640821.0099999905</v>
      </c>
    </row>
    <row r="310" spans="1:5" x14ac:dyDescent="0.2">
      <c r="A310" s="211"/>
      <c r="B310" s="191"/>
      <c r="C310" s="191"/>
      <c r="D310" s="191"/>
      <c r="E310" s="134">
        <f t="shared" si="5"/>
        <v>3640821.0099999905</v>
      </c>
    </row>
    <row r="311" spans="1:5" x14ac:dyDescent="0.2">
      <c r="A311" s="211"/>
      <c r="B311" s="191"/>
      <c r="C311" s="191"/>
      <c r="D311" s="191"/>
      <c r="E311" s="134">
        <f t="shared" si="5"/>
        <v>3640821.0099999905</v>
      </c>
    </row>
    <row r="312" spans="1:5" x14ac:dyDescent="0.2">
      <c r="A312" s="211"/>
      <c r="B312" s="191"/>
      <c r="C312" s="191"/>
      <c r="D312" s="191"/>
      <c r="E312" s="134">
        <f t="shared" si="5"/>
        <v>3640821.0099999905</v>
      </c>
    </row>
    <row r="313" spans="1:5" x14ac:dyDescent="0.2">
      <c r="A313" s="211"/>
      <c r="B313" s="191"/>
      <c r="C313" s="191"/>
      <c r="D313" s="191"/>
      <c r="E313" s="134">
        <f t="shared" si="5"/>
        <v>3640821.0099999905</v>
      </c>
    </row>
    <row r="314" spans="1:5" x14ac:dyDescent="0.2">
      <c r="A314" s="211"/>
      <c r="B314" s="191"/>
      <c r="C314" s="191"/>
      <c r="D314" s="191"/>
      <c r="E314" s="134">
        <f t="shared" si="5"/>
        <v>3640821.0099999905</v>
      </c>
    </row>
    <row r="315" spans="1:5" x14ac:dyDescent="0.2">
      <c r="A315" s="211"/>
      <c r="B315" s="191"/>
      <c r="C315" s="191"/>
      <c r="D315" s="191"/>
      <c r="E315" s="134">
        <f t="shared" si="5"/>
        <v>3640821.0099999905</v>
      </c>
    </row>
    <row r="316" spans="1:5" x14ac:dyDescent="0.2">
      <c r="A316" s="211"/>
      <c r="B316" s="191"/>
      <c r="C316" s="191"/>
      <c r="D316" s="191"/>
      <c r="E316" s="134">
        <f t="shared" si="5"/>
        <v>3640821.0099999905</v>
      </c>
    </row>
    <row r="317" spans="1:5" x14ac:dyDescent="0.2">
      <c r="A317" s="211"/>
      <c r="B317" s="191"/>
      <c r="C317" s="191"/>
      <c r="D317" s="191"/>
      <c r="E317" s="134">
        <f t="shared" si="5"/>
        <v>3640821.0099999905</v>
      </c>
    </row>
    <row r="318" spans="1:5" x14ac:dyDescent="0.2">
      <c r="A318" s="211"/>
      <c r="B318" s="191"/>
      <c r="C318" s="868"/>
      <c r="D318" s="191"/>
      <c r="E318" s="134">
        <f t="shared" si="5"/>
        <v>3640821.0099999905</v>
      </c>
    </row>
    <row r="319" spans="1:5" x14ac:dyDescent="0.2">
      <c r="A319" s="211"/>
      <c r="B319" s="191"/>
      <c r="C319" s="191"/>
      <c r="D319" s="191"/>
      <c r="E319" s="134">
        <f t="shared" si="5"/>
        <v>3640821.0099999905</v>
      </c>
    </row>
    <row r="320" spans="1:5" x14ac:dyDescent="0.2">
      <c r="A320" s="211"/>
      <c r="B320" s="1053"/>
      <c r="C320" s="191"/>
      <c r="D320" s="191"/>
      <c r="E320" s="134">
        <f t="shared" si="5"/>
        <v>3640821.0099999905</v>
      </c>
    </row>
    <row r="321" spans="1:5" x14ac:dyDescent="0.2">
      <c r="A321" s="211"/>
      <c r="B321" s="1053"/>
      <c r="C321" s="191"/>
      <c r="D321" s="191"/>
      <c r="E321" s="134">
        <f t="shared" si="5"/>
        <v>3640821.0099999905</v>
      </c>
    </row>
    <row r="322" spans="1:5" x14ac:dyDescent="0.2">
      <c r="A322" s="211"/>
      <c r="B322" s="191"/>
      <c r="C322" s="191"/>
      <c r="D322" s="191"/>
      <c r="E322" s="134">
        <f t="shared" si="5"/>
        <v>3640821.0099999905</v>
      </c>
    </row>
    <row r="323" spans="1:5" x14ac:dyDescent="0.2">
      <c r="A323" s="211"/>
      <c r="B323" s="191"/>
      <c r="C323" s="191"/>
      <c r="D323" s="191"/>
      <c r="E323" s="134">
        <f t="shared" si="5"/>
        <v>3640821.0099999905</v>
      </c>
    </row>
    <row r="324" spans="1:5" x14ac:dyDescent="0.2">
      <c r="A324" s="211"/>
      <c r="B324" s="191"/>
      <c r="C324" s="191"/>
      <c r="D324" s="191"/>
      <c r="E324" s="134">
        <f t="shared" si="5"/>
        <v>3640821.0099999905</v>
      </c>
    </row>
    <row r="325" spans="1:5" x14ac:dyDescent="0.2">
      <c r="A325" s="211"/>
      <c r="B325" s="191"/>
      <c r="C325" s="191"/>
      <c r="D325" s="191"/>
      <c r="E325" s="134">
        <f t="shared" si="5"/>
        <v>3640821.0099999905</v>
      </c>
    </row>
    <row r="326" spans="1:5" x14ac:dyDescent="0.2">
      <c r="A326" s="211"/>
      <c r="B326" s="191"/>
      <c r="C326" s="191"/>
      <c r="D326" s="191"/>
      <c r="E326" s="134">
        <f t="shared" si="5"/>
        <v>3640821.0099999905</v>
      </c>
    </row>
    <row r="327" spans="1:5" x14ac:dyDescent="0.2">
      <c r="A327" s="211"/>
      <c r="B327" s="191"/>
      <c r="C327" s="191"/>
      <c r="D327" s="191"/>
      <c r="E327" s="134">
        <f t="shared" si="5"/>
        <v>3640821.0099999905</v>
      </c>
    </row>
    <row r="328" spans="1:5" x14ac:dyDescent="0.2">
      <c r="A328" s="211"/>
      <c r="B328" s="191"/>
      <c r="C328" s="191"/>
      <c r="D328" s="191"/>
      <c r="E328" s="134">
        <f t="shared" si="5"/>
        <v>3640821.0099999905</v>
      </c>
    </row>
    <row r="329" spans="1:5" x14ac:dyDescent="0.2">
      <c r="A329" s="211"/>
      <c r="B329" s="191"/>
      <c r="C329" s="191"/>
      <c r="D329" s="191"/>
      <c r="E329" s="134">
        <f t="shared" si="5"/>
        <v>3640821.0099999905</v>
      </c>
    </row>
    <row r="330" spans="1:5" x14ac:dyDescent="0.2">
      <c r="A330" s="211"/>
      <c r="B330" s="191"/>
      <c r="C330" s="191"/>
      <c r="D330" s="191"/>
      <c r="E330" s="134">
        <f t="shared" si="5"/>
        <v>3640821.0099999905</v>
      </c>
    </row>
    <row r="331" spans="1:5" x14ac:dyDescent="0.2">
      <c r="A331" s="211"/>
      <c r="B331" s="191"/>
      <c r="C331" s="191"/>
      <c r="D331" s="191"/>
      <c r="E331" s="134">
        <f t="shared" si="5"/>
        <v>3640821.0099999905</v>
      </c>
    </row>
    <row r="332" spans="1:5" x14ac:dyDescent="0.2">
      <c r="A332" s="211"/>
      <c r="B332" s="191"/>
      <c r="C332" s="191"/>
      <c r="D332" s="191"/>
      <c r="E332" s="134">
        <f t="shared" si="5"/>
        <v>3640821.0099999905</v>
      </c>
    </row>
    <row r="333" spans="1:5" x14ac:dyDescent="0.2">
      <c r="A333" s="211"/>
      <c r="B333" s="191"/>
      <c r="C333" s="191"/>
      <c r="D333" s="191"/>
      <c r="E333" s="134">
        <f t="shared" si="5"/>
        <v>3640821.0099999905</v>
      </c>
    </row>
    <row r="334" spans="1:5" x14ac:dyDescent="0.2">
      <c r="A334" s="211"/>
      <c r="B334" s="191"/>
      <c r="C334" s="868"/>
      <c r="D334" s="191"/>
      <c r="E334" s="134">
        <f t="shared" si="5"/>
        <v>3640821.0099999905</v>
      </c>
    </row>
    <row r="335" spans="1:5" x14ac:dyDescent="0.2">
      <c r="A335" s="211"/>
      <c r="B335" s="191"/>
      <c r="C335" s="868"/>
      <c r="D335" s="191"/>
      <c r="E335" s="134">
        <f t="shared" si="5"/>
        <v>3640821.0099999905</v>
      </c>
    </row>
    <row r="336" spans="1:5" x14ac:dyDescent="0.2">
      <c r="A336" s="211"/>
      <c r="B336" s="191"/>
      <c r="C336" s="191"/>
      <c r="D336" s="191"/>
      <c r="E336" s="134">
        <f t="shared" si="5"/>
        <v>3640821.0099999905</v>
      </c>
    </row>
    <row r="337" spans="1:5" x14ac:dyDescent="0.2">
      <c r="A337" s="211"/>
      <c r="B337" s="191"/>
      <c r="C337" s="191"/>
      <c r="D337" s="191"/>
      <c r="E337" s="134">
        <f t="shared" si="5"/>
        <v>3640821.0099999905</v>
      </c>
    </row>
    <row r="338" spans="1:5" x14ac:dyDescent="0.2">
      <c r="A338" s="211"/>
      <c r="B338" s="191"/>
      <c r="C338" s="191"/>
      <c r="D338" s="191"/>
      <c r="E338" s="134">
        <f t="shared" si="5"/>
        <v>3640821.0099999905</v>
      </c>
    </row>
    <row r="339" spans="1:5" x14ac:dyDescent="0.2">
      <c r="A339" s="211"/>
      <c r="B339" s="191"/>
      <c r="C339" s="868"/>
      <c r="D339" s="191"/>
      <c r="E339" s="134">
        <f t="shared" si="5"/>
        <v>3640821.0099999905</v>
      </c>
    </row>
    <row r="340" spans="1:5" x14ac:dyDescent="0.2">
      <c r="A340" s="211"/>
      <c r="B340" s="191"/>
      <c r="C340" s="868"/>
      <c r="D340" s="191"/>
      <c r="E340" s="134">
        <f t="shared" si="5"/>
        <v>3640821.0099999905</v>
      </c>
    </row>
    <row r="341" spans="1:5" x14ac:dyDescent="0.2">
      <c r="A341" s="211"/>
      <c r="B341" s="191"/>
      <c r="C341" s="868"/>
      <c r="D341" s="191"/>
      <c r="E341" s="134">
        <f t="shared" si="5"/>
        <v>3640821.0099999905</v>
      </c>
    </row>
    <row r="342" spans="1:5" x14ac:dyDescent="0.2">
      <c r="A342" s="211"/>
      <c r="B342" s="191"/>
      <c r="C342" s="191"/>
      <c r="D342" s="191"/>
      <c r="E342" s="134">
        <f t="shared" si="5"/>
        <v>3640821.0099999905</v>
      </c>
    </row>
    <row r="343" spans="1:5" x14ac:dyDescent="0.2">
      <c r="A343" s="211"/>
      <c r="B343" s="191"/>
      <c r="C343" s="191"/>
      <c r="D343" s="191"/>
      <c r="E343" s="134">
        <f t="shared" si="5"/>
        <v>3640821.0099999905</v>
      </c>
    </row>
    <row r="344" spans="1:5" x14ac:dyDescent="0.2">
      <c r="A344" s="211"/>
      <c r="B344" s="191"/>
      <c r="C344" s="191"/>
      <c r="D344" s="191"/>
      <c r="E344" s="134">
        <f t="shared" si="5"/>
        <v>3640821.0099999905</v>
      </c>
    </row>
    <row r="345" spans="1:5" x14ac:dyDescent="0.2">
      <c r="A345" s="211"/>
      <c r="B345" s="191"/>
      <c r="C345" s="191"/>
      <c r="D345" s="191"/>
      <c r="E345" s="134">
        <f t="shared" si="5"/>
        <v>3640821.0099999905</v>
      </c>
    </row>
    <row r="346" spans="1:5" x14ac:dyDescent="0.2">
      <c r="A346" s="211"/>
      <c r="B346" s="191"/>
      <c r="C346" s="868"/>
      <c r="D346" s="191"/>
      <c r="E346" s="134">
        <f t="shared" si="5"/>
        <v>3640821.0099999905</v>
      </c>
    </row>
    <row r="347" spans="1:5" x14ac:dyDescent="0.2">
      <c r="A347" s="211"/>
      <c r="B347" s="191"/>
      <c r="C347" s="868"/>
      <c r="D347" s="191"/>
      <c r="E347" s="134">
        <f t="shared" si="5"/>
        <v>3640821.0099999905</v>
      </c>
    </row>
    <row r="348" spans="1:5" x14ac:dyDescent="0.2">
      <c r="A348" s="211"/>
      <c r="B348" s="191"/>
      <c r="C348" s="868"/>
      <c r="D348" s="191"/>
      <c r="E348" s="134">
        <f t="shared" si="5"/>
        <v>3640821.0099999905</v>
      </c>
    </row>
    <row r="349" spans="1:5" x14ac:dyDescent="0.2">
      <c r="A349" s="211"/>
      <c r="B349" s="191"/>
      <c r="C349" s="868"/>
      <c r="D349" s="191"/>
      <c r="E349" s="134">
        <f t="shared" si="5"/>
        <v>3640821.0099999905</v>
      </c>
    </row>
    <row r="350" spans="1:5" x14ac:dyDescent="0.2">
      <c r="A350" s="211"/>
      <c r="B350" s="191"/>
      <c r="C350" s="868"/>
      <c r="D350" s="191"/>
      <c r="E350" s="134">
        <f t="shared" si="5"/>
        <v>3640821.0099999905</v>
      </c>
    </row>
    <row r="351" spans="1:5" x14ac:dyDescent="0.2">
      <c r="A351" s="211"/>
      <c r="B351" s="191"/>
      <c r="C351" s="868"/>
      <c r="D351" s="191"/>
      <c r="E351" s="134">
        <f t="shared" si="5"/>
        <v>3640821.0099999905</v>
      </c>
    </row>
    <row r="352" spans="1:5" x14ac:dyDescent="0.2">
      <c r="A352" s="211"/>
      <c r="B352" s="191"/>
      <c r="C352" s="868"/>
      <c r="D352" s="191"/>
      <c r="E352" s="134">
        <f t="shared" si="5"/>
        <v>3640821.0099999905</v>
      </c>
    </row>
    <row r="353" spans="1:5" x14ac:dyDescent="0.2">
      <c r="A353" s="211"/>
      <c r="B353" s="191"/>
      <c r="C353" s="868"/>
      <c r="D353" s="191"/>
      <c r="E353" s="134">
        <f t="shared" si="5"/>
        <v>3640821.0099999905</v>
      </c>
    </row>
    <row r="354" spans="1:5" x14ac:dyDescent="0.2">
      <c r="A354" s="211"/>
      <c r="B354" s="191"/>
      <c r="C354" s="868"/>
      <c r="D354" s="191"/>
      <c r="E354" s="134">
        <f t="shared" si="5"/>
        <v>3640821.0099999905</v>
      </c>
    </row>
    <row r="355" spans="1:5" x14ac:dyDescent="0.2">
      <c r="A355" s="211"/>
      <c r="B355" s="191"/>
      <c r="C355" s="868"/>
      <c r="D355" s="191"/>
      <c r="E355" s="134">
        <f t="shared" si="5"/>
        <v>3640821.0099999905</v>
      </c>
    </row>
    <row r="356" spans="1:5" x14ac:dyDescent="0.2">
      <c r="A356" s="211"/>
      <c r="B356" s="191"/>
      <c r="C356" s="868"/>
      <c r="D356" s="191"/>
      <c r="E356" s="134">
        <f t="shared" si="5"/>
        <v>3640821.0099999905</v>
      </c>
    </row>
    <row r="357" spans="1:5" x14ac:dyDescent="0.2">
      <c r="A357" s="211"/>
      <c r="B357" s="191"/>
      <c r="C357" s="868"/>
      <c r="D357" s="191"/>
      <c r="E357" s="134">
        <f t="shared" si="5"/>
        <v>3640821.0099999905</v>
      </c>
    </row>
    <row r="358" spans="1:5" x14ac:dyDescent="0.2">
      <c r="A358" s="211"/>
      <c r="B358" s="191"/>
      <c r="C358" s="868"/>
      <c r="D358" s="191"/>
      <c r="E358" s="134">
        <f t="shared" si="5"/>
        <v>3640821.0099999905</v>
      </c>
    </row>
    <row r="359" spans="1:5" x14ac:dyDescent="0.2">
      <c r="A359" s="211"/>
      <c r="B359" s="191"/>
      <c r="C359" s="868"/>
      <c r="D359" s="191"/>
      <c r="E359" s="134">
        <f t="shared" si="5"/>
        <v>3640821.0099999905</v>
      </c>
    </row>
    <row r="360" spans="1:5" x14ac:dyDescent="0.2">
      <c r="A360" s="211"/>
      <c r="B360" s="191"/>
      <c r="C360" s="868"/>
      <c r="D360" s="191"/>
      <c r="E360" s="134">
        <f t="shared" si="5"/>
        <v>3640821.0099999905</v>
      </c>
    </row>
    <row r="361" spans="1:5" x14ac:dyDescent="0.2">
      <c r="A361" s="211"/>
      <c r="B361" s="191"/>
      <c r="C361" s="868"/>
      <c r="D361" s="191"/>
      <c r="E361" s="134">
        <f t="shared" si="5"/>
        <v>3640821.0099999905</v>
      </c>
    </row>
    <row r="362" spans="1:5" x14ac:dyDescent="0.2">
      <c r="A362" s="211"/>
      <c r="B362" s="191"/>
      <c r="C362" s="868"/>
      <c r="D362" s="191"/>
      <c r="E362" s="134">
        <f t="shared" si="5"/>
        <v>3640821.0099999905</v>
      </c>
    </row>
    <row r="363" spans="1:5" x14ac:dyDescent="0.2">
      <c r="A363" s="211"/>
      <c r="B363" s="191"/>
      <c r="C363" s="868"/>
      <c r="D363" s="868"/>
      <c r="E363" s="134">
        <f t="shared" si="5"/>
        <v>3640821.0099999905</v>
      </c>
    </row>
    <row r="364" spans="1:5" x14ac:dyDescent="0.2">
      <c r="A364" s="211"/>
      <c r="B364" s="191"/>
      <c r="C364" s="868"/>
      <c r="D364" s="191"/>
      <c r="E364" s="134">
        <f t="shared" si="5"/>
        <v>3640821.0099999905</v>
      </c>
    </row>
    <row r="365" spans="1:5" x14ac:dyDescent="0.2">
      <c r="A365" s="211"/>
      <c r="B365" s="191"/>
      <c r="C365" s="868"/>
      <c r="D365" s="191"/>
      <c r="E365" s="134">
        <f t="shared" si="5"/>
        <v>3640821.0099999905</v>
      </c>
    </row>
    <row r="366" spans="1:5" x14ac:dyDescent="0.2">
      <c r="A366" s="211"/>
      <c r="B366" s="191"/>
      <c r="C366" s="868"/>
      <c r="D366" s="191"/>
      <c r="E366" s="134">
        <f t="shared" si="5"/>
        <v>3640821.0099999905</v>
      </c>
    </row>
    <row r="367" spans="1:5" x14ac:dyDescent="0.2">
      <c r="A367" s="211"/>
      <c r="B367" s="191"/>
      <c r="C367" s="868"/>
      <c r="D367" s="191"/>
      <c r="E367" s="134">
        <f t="shared" si="5"/>
        <v>3640821.0099999905</v>
      </c>
    </row>
    <row r="368" spans="1:5" x14ac:dyDescent="0.2">
      <c r="A368" s="211"/>
      <c r="B368" s="191"/>
      <c r="C368" s="868"/>
      <c r="D368" s="191"/>
      <c r="E368" s="134">
        <f t="shared" si="5"/>
        <v>3640821.0099999905</v>
      </c>
    </row>
    <row r="369" spans="1:5" x14ac:dyDescent="0.2">
      <c r="A369" s="211"/>
      <c r="B369" s="191"/>
      <c r="C369" s="868"/>
      <c r="D369" s="191"/>
      <c r="E369" s="134">
        <f t="shared" si="5"/>
        <v>3640821.0099999905</v>
      </c>
    </row>
    <row r="370" spans="1:5" x14ac:dyDescent="0.2">
      <c r="A370" s="211"/>
      <c r="B370" s="191"/>
      <c r="C370" s="868"/>
      <c r="D370" s="191"/>
      <c r="E370" s="134">
        <f t="shared" si="5"/>
        <v>3640821.0099999905</v>
      </c>
    </row>
    <row r="371" spans="1:5" x14ac:dyDescent="0.2">
      <c r="A371" s="211"/>
      <c r="B371" s="191"/>
      <c r="C371" s="868"/>
      <c r="D371" s="191"/>
      <c r="E371" s="134">
        <f t="shared" si="5"/>
        <v>3640821.0099999905</v>
      </c>
    </row>
    <row r="372" spans="1:5" x14ac:dyDescent="0.2">
      <c r="A372" s="211"/>
      <c r="B372" s="191"/>
      <c r="C372" s="868"/>
      <c r="D372" s="191"/>
      <c r="E372" s="134">
        <f t="shared" si="5"/>
        <v>3640821.0099999905</v>
      </c>
    </row>
    <row r="373" spans="1:5" x14ac:dyDescent="0.2">
      <c r="A373" s="15"/>
      <c r="C373" s="140"/>
      <c r="E373" s="134">
        <f t="shared" si="5"/>
        <v>3640821.0099999905</v>
      </c>
    </row>
    <row r="374" spans="1:5" x14ac:dyDescent="0.2">
      <c r="A374" s="15"/>
      <c r="B374" s="160"/>
      <c r="C374" s="140"/>
      <c r="E374" s="134">
        <f t="shared" si="5"/>
        <v>3640821.0099999905</v>
      </c>
    </row>
    <row r="375" spans="1:5" x14ac:dyDescent="0.2">
      <c r="A375" s="15"/>
      <c r="B375" s="160"/>
      <c r="C375" s="140"/>
      <c r="E375" s="134">
        <f t="shared" si="5"/>
        <v>3640821.0099999905</v>
      </c>
    </row>
    <row r="376" spans="1:5" x14ac:dyDescent="0.2">
      <c r="A376" s="15"/>
      <c r="C376" s="140"/>
      <c r="E376" s="134">
        <f t="shared" si="5"/>
        <v>3640821.0099999905</v>
      </c>
    </row>
    <row r="377" spans="1:5" x14ac:dyDescent="0.2">
      <c r="A377" s="15"/>
      <c r="C377" s="140"/>
      <c r="E377" s="134">
        <f t="shared" si="5"/>
        <v>3640821.0099999905</v>
      </c>
    </row>
    <row r="378" spans="1:5" x14ac:dyDescent="0.2">
      <c r="A378" s="15"/>
      <c r="C378" s="140"/>
      <c r="E378" s="134">
        <f t="shared" si="5"/>
        <v>3640821.0099999905</v>
      </c>
    </row>
    <row r="379" spans="1:5" x14ac:dyDescent="0.2">
      <c r="A379" s="15"/>
      <c r="C379" s="140"/>
      <c r="E379" s="134">
        <f t="shared" si="5"/>
        <v>3640821.0099999905</v>
      </c>
    </row>
    <row r="380" spans="1:5" x14ac:dyDescent="0.2">
      <c r="A380" s="15"/>
      <c r="C380" s="140"/>
      <c r="E380" s="134">
        <f t="shared" si="5"/>
        <v>3640821.0099999905</v>
      </c>
    </row>
    <row r="381" spans="1:5" x14ac:dyDescent="0.2">
      <c r="A381" s="15"/>
      <c r="C381" s="140"/>
      <c r="E381" s="134">
        <f t="shared" si="5"/>
        <v>3640821.0099999905</v>
      </c>
    </row>
    <row r="382" spans="1:5" s="984" customFormat="1" x14ac:dyDescent="0.2">
      <c r="A382" s="981"/>
      <c r="B382" s="206" t="s">
        <v>265</v>
      </c>
      <c r="C382" s="982"/>
      <c r="D382" s="206"/>
      <c r="E382" s="134">
        <f t="shared" si="5"/>
        <v>3640821.0099999905</v>
      </c>
    </row>
    <row r="383" spans="1:5" x14ac:dyDescent="0.2">
      <c r="A383" s="21"/>
      <c r="B383" s="47"/>
      <c r="C383" s="141"/>
      <c r="D383" s="47"/>
      <c r="E383" s="47"/>
    </row>
    <row r="384" spans="1:5" x14ac:dyDescent="0.2">
      <c r="A384" s="43" t="s">
        <v>103</v>
      </c>
      <c r="B384" s="142"/>
      <c r="C384" s="143">
        <f>SUM(C12:C380)</f>
        <v>76559348.799999997</v>
      </c>
      <c r="D384" s="142">
        <f>SUM(D12:D380)</f>
        <v>109523379</v>
      </c>
      <c r="E384" s="142"/>
    </row>
  </sheetData>
  <autoFilter ref="C1:C417" xr:uid="{00000000-0001-0000-1200-000000000000}"/>
  <sortState xmlns:xlrd2="http://schemas.microsoft.com/office/spreadsheetml/2017/richdata2" ref="A207:D216">
    <sortCondition ref="A207:A216"/>
  </sortState>
  <mergeCells count="1">
    <mergeCell ref="A5:E5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B505"/>
  <sheetViews>
    <sheetView showGridLines="0" showOutlineSymbols="0" defaultGridColor="0" colorId="8" zoomScale="80" zoomScaleNormal="80" workbookViewId="0">
      <pane ySplit="10" topLeftCell="A11" activePane="bottomLeft" state="frozen"/>
      <selection pane="bottomLeft" activeCell="A3" sqref="A3"/>
    </sheetView>
  </sheetViews>
  <sheetFormatPr baseColWidth="10" defaultColWidth="9.6640625" defaultRowHeight="12.75" x14ac:dyDescent="0.2"/>
  <cols>
    <col min="1" max="1" width="11.6640625" style="26" customWidth="1"/>
    <col min="2" max="2" width="31.6640625" style="134" customWidth="1"/>
    <col min="3" max="4" width="15.6640625" style="134" customWidth="1"/>
    <col min="5" max="5" width="14.44140625" style="134" bestFit="1" customWidth="1"/>
    <col min="6" max="6" width="1.6640625" style="134" customWidth="1"/>
    <col min="7" max="7" width="12.6640625" style="134" customWidth="1"/>
    <col min="8" max="8" width="13" style="134" bestFit="1" customWidth="1"/>
    <col min="9" max="9" width="12" style="134" bestFit="1" customWidth="1"/>
    <col min="10" max="210" width="9.6640625" style="134"/>
    <col min="211" max="16384" width="9.6640625" style="26"/>
  </cols>
  <sheetData>
    <row r="1" spans="1:5" x14ac:dyDescent="0.2">
      <c r="A1" s="225" t="str">
        <f>+Códigos!$A$1</f>
        <v>LIBRO DIARIO OFICINA</v>
      </c>
      <c r="B1" s="129"/>
      <c r="C1" s="129"/>
      <c r="D1" s="129"/>
      <c r="E1" s="129"/>
    </row>
    <row r="2" spans="1:5" x14ac:dyDescent="0.2">
      <c r="A2" s="35" t="s">
        <v>2065</v>
      </c>
      <c r="B2" s="129"/>
      <c r="C2" s="129"/>
      <c r="D2" s="129"/>
      <c r="E2" s="129"/>
    </row>
    <row r="3" spans="1:5" x14ac:dyDescent="0.2">
      <c r="A3" s="66" t="str">
        <f>+Códigos!$A$3</f>
        <v>AÑO:</v>
      </c>
      <c r="B3" s="772">
        <f>+Códigos!$B$3</f>
        <v>2025</v>
      </c>
      <c r="C3" s="133"/>
      <c r="D3" s="132"/>
      <c r="E3" s="132"/>
    </row>
    <row r="4" spans="1:5" x14ac:dyDescent="0.2">
      <c r="A4" s="66"/>
      <c r="B4" s="772"/>
      <c r="C4" s="133"/>
      <c r="D4" s="132"/>
      <c r="E4" s="132"/>
    </row>
    <row r="5" spans="1:5" ht="26.25" customHeight="1" x14ac:dyDescent="0.2">
      <c r="A5" s="1375" t="s">
        <v>684</v>
      </c>
      <c r="B5" s="1375"/>
      <c r="C5" s="1375"/>
      <c r="D5" s="1375"/>
      <c r="E5" s="1375"/>
    </row>
    <row r="6" spans="1:5" x14ac:dyDescent="0.2">
      <c r="A6" s="147" t="s">
        <v>249</v>
      </c>
      <c r="B6" s="148"/>
      <c r="C6" s="149"/>
      <c r="D6" s="148"/>
      <c r="E6" s="148">
        <v>2956001</v>
      </c>
    </row>
    <row r="7" spans="1:5" x14ac:dyDescent="0.2">
      <c r="A7" s="109" t="s">
        <v>250</v>
      </c>
      <c r="B7" s="153"/>
      <c r="C7" s="154"/>
      <c r="D7" s="153"/>
      <c r="E7" s="153">
        <v>0</v>
      </c>
    </row>
    <row r="8" spans="1:5" ht="5.0999999999999996" customHeight="1" x14ac:dyDescent="0.2">
      <c r="A8" s="9"/>
      <c r="B8" s="135"/>
      <c r="C8" s="136"/>
      <c r="D8" s="137"/>
      <c r="E8" s="137"/>
    </row>
    <row r="9" spans="1:5" x14ac:dyDescent="0.2">
      <c r="A9" s="7"/>
      <c r="B9" s="132"/>
      <c r="C9" s="133"/>
      <c r="D9" s="132"/>
      <c r="E9" s="132"/>
    </row>
    <row r="10" spans="1:5" x14ac:dyDescent="0.2">
      <c r="A10" s="108" t="s">
        <v>3</v>
      </c>
      <c r="B10" s="155" t="s">
        <v>23</v>
      </c>
      <c r="C10" s="156" t="s">
        <v>25</v>
      </c>
      <c r="D10" s="155" t="s">
        <v>20</v>
      </c>
      <c r="E10" s="155" t="s">
        <v>22</v>
      </c>
    </row>
    <row r="11" spans="1:5" x14ac:dyDescent="0.2">
      <c r="A11" s="157"/>
      <c r="B11" s="158"/>
      <c r="C11" s="159"/>
      <c r="D11" s="160"/>
      <c r="E11" s="160"/>
    </row>
    <row r="12" spans="1:5" x14ac:dyDescent="0.2">
      <c r="A12" s="12">
        <v>44205</v>
      </c>
      <c r="B12" s="138" t="s">
        <v>256</v>
      </c>
      <c r="C12" s="139">
        <v>0</v>
      </c>
      <c r="D12" s="138">
        <v>0</v>
      </c>
      <c r="E12" s="138">
        <f>+E6</f>
        <v>2956001</v>
      </c>
    </row>
    <row r="13" spans="1:5" x14ac:dyDescent="0.2">
      <c r="A13" s="15"/>
      <c r="C13" s="140"/>
    </row>
    <row r="14" spans="1:5" x14ac:dyDescent="0.2">
      <c r="A14" s="15"/>
      <c r="C14" s="140"/>
      <c r="D14" s="140"/>
      <c r="E14" s="134">
        <f>+E12+C14-D14</f>
        <v>2956001</v>
      </c>
    </row>
    <row r="15" spans="1:5" x14ac:dyDescent="0.2">
      <c r="A15" s="15"/>
      <c r="C15" s="140"/>
      <c r="D15" s="140"/>
      <c r="E15" s="134">
        <f t="shared" ref="E15:E18" si="0">+E14+C15-D15</f>
        <v>2956001</v>
      </c>
    </row>
    <row r="16" spans="1:5" x14ac:dyDescent="0.2">
      <c r="A16" s="15"/>
      <c r="C16" s="140"/>
      <c r="D16" s="140"/>
      <c r="E16" s="134">
        <f t="shared" si="0"/>
        <v>2956001</v>
      </c>
    </row>
    <row r="17" spans="5:5" x14ac:dyDescent="0.2">
      <c r="E17" s="134">
        <f t="shared" si="0"/>
        <v>2956001</v>
      </c>
    </row>
    <row r="18" spans="5:5" x14ac:dyDescent="0.2">
      <c r="E18" s="134">
        <f t="shared" si="0"/>
        <v>2956001</v>
      </c>
    </row>
    <row r="19" spans="5:5" x14ac:dyDescent="0.2">
      <c r="E19" s="134">
        <f t="shared" ref="E19:E79" si="1">+E18+C19-D19</f>
        <v>2956001</v>
      </c>
    </row>
    <row r="20" spans="5:5" x14ac:dyDescent="0.2">
      <c r="E20" s="134">
        <f t="shared" si="1"/>
        <v>2956001</v>
      </c>
    </row>
    <row r="21" spans="5:5" x14ac:dyDescent="0.2">
      <c r="E21" s="134">
        <f t="shared" si="1"/>
        <v>2956001</v>
      </c>
    </row>
    <row r="22" spans="5:5" x14ac:dyDescent="0.2">
      <c r="E22" s="134">
        <f t="shared" si="1"/>
        <v>2956001</v>
      </c>
    </row>
    <row r="23" spans="5:5" x14ac:dyDescent="0.2">
      <c r="E23" s="134">
        <f t="shared" si="1"/>
        <v>2956001</v>
      </c>
    </row>
    <row r="24" spans="5:5" x14ac:dyDescent="0.2">
      <c r="E24" s="134">
        <f t="shared" si="1"/>
        <v>2956001</v>
      </c>
    </row>
    <row r="25" spans="5:5" x14ac:dyDescent="0.2">
      <c r="E25" s="134">
        <f t="shared" si="1"/>
        <v>2956001</v>
      </c>
    </row>
    <row r="26" spans="5:5" x14ac:dyDescent="0.2">
      <c r="E26" s="134">
        <f t="shared" si="1"/>
        <v>2956001</v>
      </c>
    </row>
    <row r="27" spans="5:5" x14ac:dyDescent="0.2">
      <c r="E27" s="134">
        <f t="shared" si="1"/>
        <v>2956001</v>
      </c>
    </row>
    <row r="28" spans="5:5" x14ac:dyDescent="0.2">
      <c r="E28" s="134">
        <f t="shared" si="1"/>
        <v>2956001</v>
      </c>
    </row>
    <row r="29" spans="5:5" x14ac:dyDescent="0.2">
      <c r="E29" s="134">
        <f t="shared" si="1"/>
        <v>2956001</v>
      </c>
    </row>
    <row r="30" spans="5:5" x14ac:dyDescent="0.2">
      <c r="E30" s="134">
        <f t="shared" si="1"/>
        <v>2956001</v>
      </c>
    </row>
    <row r="31" spans="5:5" x14ac:dyDescent="0.2">
      <c r="E31" s="134">
        <f t="shared" si="1"/>
        <v>2956001</v>
      </c>
    </row>
    <row r="32" spans="5:5" x14ac:dyDescent="0.2">
      <c r="E32" s="134">
        <f t="shared" si="1"/>
        <v>2956001</v>
      </c>
    </row>
    <row r="33" spans="5:5" x14ac:dyDescent="0.2">
      <c r="E33" s="134">
        <f t="shared" si="1"/>
        <v>2956001</v>
      </c>
    </row>
    <row r="34" spans="5:5" x14ac:dyDescent="0.2">
      <c r="E34" s="134">
        <f t="shared" si="1"/>
        <v>2956001</v>
      </c>
    </row>
    <row r="35" spans="5:5" x14ac:dyDescent="0.2">
      <c r="E35" s="134">
        <f t="shared" si="1"/>
        <v>2956001</v>
      </c>
    </row>
    <row r="36" spans="5:5" x14ac:dyDescent="0.2">
      <c r="E36" s="134">
        <f t="shared" si="1"/>
        <v>2956001</v>
      </c>
    </row>
    <row r="37" spans="5:5" x14ac:dyDescent="0.2">
      <c r="E37" s="134">
        <f t="shared" si="1"/>
        <v>2956001</v>
      </c>
    </row>
    <row r="38" spans="5:5" x14ac:dyDescent="0.2">
      <c r="E38" s="134">
        <f t="shared" si="1"/>
        <v>2956001</v>
      </c>
    </row>
    <row r="39" spans="5:5" x14ac:dyDescent="0.2">
      <c r="E39" s="134">
        <f t="shared" si="1"/>
        <v>2956001</v>
      </c>
    </row>
    <row r="40" spans="5:5" x14ac:dyDescent="0.2">
      <c r="E40" s="134">
        <f t="shared" si="1"/>
        <v>2956001</v>
      </c>
    </row>
    <row r="41" spans="5:5" x14ac:dyDescent="0.2">
      <c r="E41" s="134">
        <f t="shared" si="1"/>
        <v>2956001</v>
      </c>
    </row>
    <row r="42" spans="5:5" x14ac:dyDescent="0.2">
      <c r="E42" s="134">
        <f t="shared" si="1"/>
        <v>2956001</v>
      </c>
    </row>
    <row r="43" spans="5:5" x14ac:dyDescent="0.2">
      <c r="E43" s="134">
        <f t="shared" si="1"/>
        <v>2956001</v>
      </c>
    </row>
    <row r="44" spans="5:5" x14ac:dyDescent="0.2">
      <c r="E44" s="134">
        <f t="shared" si="1"/>
        <v>2956001</v>
      </c>
    </row>
    <row r="45" spans="5:5" x14ac:dyDescent="0.2">
      <c r="E45" s="134">
        <f t="shared" si="1"/>
        <v>2956001</v>
      </c>
    </row>
    <row r="46" spans="5:5" x14ac:dyDescent="0.2">
      <c r="E46" s="134">
        <f t="shared" si="1"/>
        <v>2956001</v>
      </c>
    </row>
    <row r="47" spans="5:5" x14ac:dyDescent="0.2">
      <c r="E47" s="134">
        <f t="shared" si="1"/>
        <v>2956001</v>
      </c>
    </row>
    <row r="48" spans="5:5" x14ac:dyDescent="0.2">
      <c r="E48" s="134">
        <f t="shared" si="1"/>
        <v>2956001</v>
      </c>
    </row>
    <row r="49" spans="5:5" x14ac:dyDescent="0.2">
      <c r="E49" s="134">
        <f t="shared" si="1"/>
        <v>2956001</v>
      </c>
    </row>
    <row r="50" spans="5:5" x14ac:dyDescent="0.2">
      <c r="E50" s="134">
        <f t="shared" si="1"/>
        <v>2956001</v>
      </c>
    </row>
    <row r="51" spans="5:5" x14ac:dyDescent="0.2">
      <c r="E51" s="134">
        <f t="shared" si="1"/>
        <v>2956001</v>
      </c>
    </row>
    <row r="52" spans="5:5" x14ac:dyDescent="0.2">
      <c r="E52" s="134">
        <f t="shared" si="1"/>
        <v>2956001</v>
      </c>
    </row>
    <row r="53" spans="5:5" x14ac:dyDescent="0.2">
      <c r="E53" s="134">
        <f t="shared" si="1"/>
        <v>2956001</v>
      </c>
    </row>
    <row r="54" spans="5:5" x14ac:dyDescent="0.2">
      <c r="E54" s="134">
        <f t="shared" si="1"/>
        <v>2956001</v>
      </c>
    </row>
    <row r="55" spans="5:5" x14ac:dyDescent="0.2">
      <c r="E55" s="134">
        <f t="shared" si="1"/>
        <v>2956001</v>
      </c>
    </row>
    <row r="56" spans="5:5" x14ac:dyDescent="0.2">
      <c r="E56" s="134">
        <f t="shared" si="1"/>
        <v>2956001</v>
      </c>
    </row>
    <row r="57" spans="5:5" x14ac:dyDescent="0.2">
      <c r="E57" s="134">
        <f t="shared" si="1"/>
        <v>2956001</v>
      </c>
    </row>
    <row r="58" spans="5:5" x14ac:dyDescent="0.2">
      <c r="E58" s="134">
        <f t="shared" si="1"/>
        <v>2956001</v>
      </c>
    </row>
    <row r="59" spans="5:5" x14ac:dyDescent="0.2">
      <c r="E59" s="134">
        <f t="shared" si="1"/>
        <v>2956001</v>
      </c>
    </row>
    <row r="60" spans="5:5" x14ac:dyDescent="0.2">
      <c r="E60" s="134">
        <f t="shared" si="1"/>
        <v>2956001</v>
      </c>
    </row>
    <row r="61" spans="5:5" x14ac:dyDescent="0.2">
      <c r="E61" s="134">
        <f t="shared" si="1"/>
        <v>2956001</v>
      </c>
    </row>
    <row r="62" spans="5:5" x14ac:dyDescent="0.2">
      <c r="E62" s="134">
        <f t="shared" si="1"/>
        <v>2956001</v>
      </c>
    </row>
    <row r="63" spans="5:5" x14ac:dyDescent="0.2">
      <c r="E63" s="134">
        <f t="shared" si="1"/>
        <v>2956001</v>
      </c>
    </row>
    <row r="64" spans="5:5" x14ac:dyDescent="0.2">
      <c r="E64" s="134">
        <f t="shared" si="1"/>
        <v>2956001</v>
      </c>
    </row>
    <row r="65" spans="5:5" x14ac:dyDescent="0.2">
      <c r="E65" s="134">
        <f t="shared" si="1"/>
        <v>2956001</v>
      </c>
    </row>
    <row r="66" spans="5:5" x14ac:dyDescent="0.2">
      <c r="E66" s="134">
        <f t="shared" si="1"/>
        <v>2956001</v>
      </c>
    </row>
    <row r="67" spans="5:5" x14ac:dyDescent="0.2">
      <c r="E67" s="134">
        <f t="shared" si="1"/>
        <v>2956001</v>
      </c>
    </row>
    <row r="68" spans="5:5" x14ac:dyDescent="0.2">
      <c r="E68" s="134">
        <f t="shared" si="1"/>
        <v>2956001</v>
      </c>
    </row>
    <row r="69" spans="5:5" x14ac:dyDescent="0.2">
      <c r="E69" s="134">
        <f t="shared" si="1"/>
        <v>2956001</v>
      </c>
    </row>
    <row r="70" spans="5:5" x14ac:dyDescent="0.2">
      <c r="E70" s="134">
        <f t="shared" si="1"/>
        <v>2956001</v>
      </c>
    </row>
    <row r="71" spans="5:5" x14ac:dyDescent="0.2">
      <c r="E71" s="134">
        <f t="shared" si="1"/>
        <v>2956001</v>
      </c>
    </row>
    <row r="72" spans="5:5" x14ac:dyDescent="0.2">
      <c r="E72" s="134">
        <f t="shared" si="1"/>
        <v>2956001</v>
      </c>
    </row>
    <row r="73" spans="5:5" x14ac:dyDescent="0.2">
      <c r="E73" s="134">
        <f t="shared" si="1"/>
        <v>2956001</v>
      </c>
    </row>
    <row r="74" spans="5:5" x14ac:dyDescent="0.2">
      <c r="E74" s="134">
        <f t="shared" si="1"/>
        <v>2956001</v>
      </c>
    </row>
    <row r="75" spans="5:5" x14ac:dyDescent="0.2">
      <c r="E75" s="134">
        <f t="shared" si="1"/>
        <v>2956001</v>
      </c>
    </row>
    <row r="76" spans="5:5" x14ac:dyDescent="0.2">
      <c r="E76" s="134">
        <f t="shared" si="1"/>
        <v>2956001</v>
      </c>
    </row>
    <row r="77" spans="5:5" x14ac:dyDescent="0.2">
      <c r="E77" s="134">
        <f t="shared" si="1"/>
        <v>2956001</v>
      </c>
    </row>
    <row r="78" spans="5:5" x14ac:dyDescent="0.2">
      <c r="E78" s="134">
        <f t="shared" si="1"/>
        <v>2956001</v>
      </c>
    </row>
    <row r="79" spans="5:5" x14ac:dyDescent="0.2">
      <c r="E79" s="134">
        <f t="shared" si="1"/>
        <v>2956001</v>
      </c>
    </row>
    <row r="80" spans="5:5" x14ac:dyDescent="0.2">
      <c r="E80" s="134">
        <f t="shared" ref="E80:E143" si="2">+E79+C80-D80</f>
        <v>2956001</v>
      </c>
    </row>
    <row r="81" spans="5:5" x14ac:dyDescent="0.2">
      <c r="E81" s="134">
        <f t="shared" si="2"/>
        <v>2956001</v>
      </c>
    </row>
    <row r="82" spans="5:5" x14ac:dyDescent="0.2">
      <c r="E82" s="134">
        <f t="shared" si="2"/>
        <v>2956001</v>
      </c>
    </row>
    <row r="83" spans="5:5" x14ac:dyDescent="0.2">
      <c r="E83" s="134">
        <f t="shared" si="2"/>
        <v>2956001</v>
      </c>
    </row>
    <row r="84" spans="5:5" x14ac:dyDescent="0.2">
      <c r="E84" s="134">
        <f t="shared" si="2"/>
        <v>2956001</v>
      </c>
    </row>
    <row r="85" spans="5:5" x14ac:dyDescent="0.2">
      <c r="E85" s="134">
        <f t="shared" si="2"/>
        <v>2956001</v>
      </c>
    </row>
    <row r="86" spans="5:5" x14ac:dyDescent="0.2">
      <c r="E86" s="134">
        <f t="shared" si="2"/>
        <v>2956001</v>
      </c>
    </row>
    <row r="87" spans="5:5" x14ac:dyDescent="0.2">
      <c r="E87" s="134">
        <f t="shared" si="2"/>
        <v>2956001</v>
      </c>
    </row>
    <row r="88" spans="5:5" x14ac:dyDescent="0.2">
      <c r="E88" s="134">
        <f t="shared" si="2"/>
        <v>2956001</v>
      </c>
    </row>
    <row r="89" spans="5:5" x14ac:dyDescent="0.2">
      <c r="E89" s="134">
        <f t="shared" si="2"/>
        <v>2956001</v>
      </c>
    </row>
    <row r="90" spans="5:5" x14ac:dyDescent="0.2">
      <c r="E90" s="134">
        <f t="shared" si="2"/>
        <v>2956001</v>
      </c>
    </row>
    <row r="91" spans="5:5" x14ac:dyDescent="0.2">
      <c r="E91" s="134">
        <f t="shared" si="2"/>
        <v>2956001</v>
      </c>
    </row>
    <row r="92" spans="5:5" x14ac:dyDescent="0.2">
      <c r="E92" s="134">
        <f t="shared" si="2"/>
        <v>2956001</v>
      </c>
    </row>
    <row r="93" spans="5:5" x14ac:dyDescent="0.2">
      <c r="E93" s="134">
        <f t="shared" si="2"/>
        <v>2956001</v>
      </c>
    </row>
    <row r="94" spans="5:5" x14ac:dyDescent="0.2">
      <c r="E94" s="134">
        <f t="shared" si="2"/>
        <v>2956001</v>
      </c>
    </row>
    <row r="95" spans="5:5" x14ac:dyDescent="0.2">
      <c r="E95" s="134">
        <f t="shared" si="2"/>
        <v>2956001</v>
      </c>
    </row>
    <row r="96" spans="5:5" x14ac:dyDescent="0.2">
      <c r="E96" s="134">
        <f t="shared" si="2"/>
        <v>2956001</v>
      </c>
    </row>
    <row r="97" spans="5:5" x14ac:dyDescent="0.2">
      <c r="E97" s="134">
        <f t="shared" si="2"/>
        <v>2956001</v>
      </c>
    </row>
    <row r="98" spans="5:5" x14ac:dyDescent="0.2">
      <c r="E98" s="134">
        <f t="shared" si="2"/>
        <v>2956001</v>
      </c>
    </row>
    <row r="99" spans="5:5" x14ac:dyDescent="0.2">
      <c r="E99" s="134">
        <f t="shared" si="2"/>
        <v>2956001</v>
      </c>
    </row>
    <row r="100" spans="5:5" x14ac:dyDescent="0.2">
      <c r="E100" s="134">
        <f t="shared" si="2"/>
        <v>2956001</v>
      </c>
    </row>
    <row r="101" spans="5:5" x14ac:dyDescent="0.2">
      <c r="E101" s="134">
        <f t="shared" si="2"/>
        <v>2956001</v>
      </c>
    </row>
    <row r="102" spans="5:5" x14ac:dyDescent="0.2">
      <c r="E102" s="134">
        <f t="shared" si="2"/>
        <v>2956001</v>
      </c>
    </row>
    <row r="103" spans="5:5" x14ac:dyDescent="0.2">
      <c r="E103" s="134">
        <f t="shared" si="2"/>
        <v>2956001</v>
      </c>
    </row>
    <row r="104" spans="5:5" x14ac:dyDescent="0.2">
      <c r="E104" s="134">
        <f t="shared" si="2"/>
        <v>2956001</v>
      </c>
    </row>
    <row r="105" spans="5:5" x14ac:dyDescent="0.2">
      <c r="E105" s="134">
        <f t="shared" si="2"/>
        <v>2956001</v>
      </c>
    </row>
    <row r="106" spans="5:5" x14ac:dyDescent="0.2">
      <c r="E106" s="134">
        <f t="shared" si="2"/>
        <v>2956001</v>
      </c>
    </row>
    <row r="107" spans="5:5" x14ac:dyDescent="0.2">
      <c r="E107" s="134">
        <f t="shared" si="2"/>
        <v>2956001</v>
      </c>
    </row>
    <row r="108" spans="5:5" x14ac:dyDescent="0.2">
      <c r="E108" s="134">
        <f t="shared" si="2"/>
        <v>2956001</v>
      </c>
    </row>
    <row r="109" spans="5:5" x14ac:dyDescent="0.2">
      <c r="E109" s="134">
        <f t="shared" si="2"/>
        <v>2956001</v>
      </c>
    </row>
    <row r="110" spans="5:5" x14ac:dyDescent="0.2">
      <c r="E110" s="134">
        <f t="shared" si="2"/>
        <v>2956001</v>
      </c>
    </row>
    <row r="111" spans="5:5" x14ac:dyDescent="0.2">
      <c r="E111" s="134">
        <f t="shared" si="2"/>
        <v>2956001</v>
      </c>
    </row>
    <row r="112" spans="5:5" x14ac:dyDescent="0.2">
      <c r="E112" s="134">
        <f t="shared" si="2"/>
        <v>2956001</v>
      </c>
    </row>
    <row r="113" spans="5:5" x14ac:dyDescent="0.2">
      <c r="E113" s="134">
        <f t="shared" si="2"/>
        <v>2956001</v>
      </c>
    </row>
    <row r="114" spans="5:5" x14ac:dyDescent="0.2">
      <c r="E114" s="134">
        <f t="shared" si="2"/>
        <v>2956001</v>
      </c>
    </row>
    <row r="115" spans="5:5" x14ac:dyDescent="0.2">
      <c r="E115" s="134">
        <f t="shared" si="2"/>
        <v>2956001</v>
      </c>
    </row>
    <row r="116" spans="5:5" x14ac:dyDescent="0.2">
      <c r="E116" s="134">
        <f t="shared" si="2"/>
        <v>2956001</v>
      </c>
    </row>
    <row r="117" spans="5:5" x14ac:dyDescent="0.2">
      <c r="E117" s="134">
        <f t="shared" si="2"/>
        <v>2956001</v>
      </c>
    </row>
    <row r="118" spans="5:5" x14ac:dyDescent="0.2">
      <c r="E118" s="134">
        <f t="shared" si="2"/>
        <v>2956001</v>
      </c>
    </row>
    <row r="119" spans="5:5" x14ac:dyDescent="0.2">
      <c r="E119" s="134">
        <f t="shared" si="2"/>
        <v>2956001</v>
      </c>
    </row>
    <row r="120" spans="5:5" x14ac:dyDescent="0.2">
      <c r="E120" s="134">
        <f t="shared" si="2"/>
        <v>2956001</v>
      </c>
    </row>
    <row r="121" spans="5:5" x14ac:dyDescent="0.2">
      <c r="E121" s="134">
        <f t="shared" si="2"/>
        <v>2956001</v>
      </c>
    </row>
    <row r="122" spans="5:5" x14ac:dyDescent="0.2">
      <c r="E122" s="134">
        <f t="shared" si="2"/>
        <v>2956001</v>
      </c>
    </row>
    <row r="123" spans="5:5" x14ac:dyDescent="0.2">
      <c r="E123" s="134">
        <f t="shared" si="2"/>
        <v>2956001</v>
      </c>
    </row>
    <row r="124" spans="5:5" x14ac:dyDescent="0.2">
      <c r="E124" s="134">
        <f t="shared" si="2"/>
        <v>2956001</v>
      </c>
    </row>
    <row r="125" spans="5:5" x14ac:dyDescent="0.2">
      <c r="E125" s="134">
        <f t="shared" si="2"/>
        <v>2956001</v>
      </c>
    </row>
    <row r="126" spans="5:5" x14ac:dyDescent="0.2">
      <c r="E126" s="134">
        <f t="shared" si="2"/>
        <v>2956001</v>
      </c>
    </row>
    <row r="127" spans="5:5" x14ac:dyDescent="0.2">
      <c r="E127" s="134">
        <f t="shared" si="2"/>
        <v>2956001</v>
      </c>
    </row>
    <row r="128" spans="5:5" x14ac:dyDescent="0.2">
      <c r="E128" s="134">
        <f t="shared" si="2"/>
        <v>2956001</v>
      </c>
    </row>
    <row r="129" spans="5:5" x14ac:dyDescent="0.2">
      <c r="E129" s="134">
        <f t="shared" si="2"/>
        <v>2956001</v>
      </c>
    </row>
    <row r="130" spans="5:5" x14ac:dyDescent="0.2">
      <c r="E130" s="134">
        <f t="shared" si="2"/>
        <v>2956001</v>
      </c>
    </row>
    <row r="131" spans="5:5" x14ac:dyDescent="0.2">
      <c r="E131" s="134">
        <f t="shared" si="2"/>
        <v>2956001</v>
      </c>
    </row>
    <row r="132" spans="5:5" x14ac:dyDescent="0.2">
      <c r="E132" s="134">
        <f t="shared" si="2"/>
        <v>2956001</v>
      </c>
    </row>
    <row r="133" spans="5:5" x14ac:dyDescent="0.2">
      <c r="E133" s="134">
        <f t="shared" si="2"/>
        <v>2956001</v>
      </c>
    </row>
    <row r="134" spans="5:5" x14ac:dyDescent="0.2">
      <c r="E134" s="134">
        <f t="shared" si="2"/>
        <v>2956001</v>
      </c>
    </row>
    <row r="135" spans="5:5" x14ac:dyDescent="0.2">
      <c r="E135" s="134">
        <f t="shared" si="2"/>
        <v>2956001</v>
      </c>
    </row>
    <row r="136" spans="5:5" x14ac:dyDescent="0.2">
      <c r="E136" s="134">
        <f t="shared" si="2"/>
        <v>2956001</v>
      </c>
    </row>
    <row r="137" spans="5:5" x14ac:dyDescent="0.2">
      <c r="E137" s="134">
        <f t="shared" si="2"/>
        <v>2956001</v>
      </c>
    </row>
    <row r="138" spans="5:5" x14ac:dyDescent="0.2">
      <c r="E138" s="134">
        <f t="shared" si="2"/>
        <v>2956001</v>
      </c>
    </row>
    <row r="139" spans="5:5" x14ac:dyDescent="0.2">
      <c r="E139" s="134">
        <f t="shared" si="2"/>
        <v>2956001</v>
      </c>
    </row>
    <row r="140" spans="5:5" x14ac:dyDescent="0.2">
      <c r="E140" s="134">
        <f t="shared" si="2"/>
        <v>2956001</v>
      </c>
    </row>
    <row r="141" spans="5:5" x14ac:dyDescent="0.2">
      <c r="E141" s="134">
        <f t="shared" si="2"/>
        <v>2956001</v>
      </c>
    </row>
    <row r="142" spans="5:5" x14ac:dyDescent="0.2">
      <c r="E142" s="134">
        <f t="shared" si="2"/>
        <v>2956001</v>
      </c>
    </row>
    <row r="143" spans="5:5" x14ac:dyDescent="0.2">
      <c r="E143" s="134">
        <f t="shared" si="2"/>
        <v>2956001</v>
      </c>
    </row>
    <row r="144" spans="5:5" x14ac:dyDescent="0.2">
      <c r="E144" s="134">
        <f t="shared" ref="E144:E207" si="3">+E143+C144-D144</f>
        <v>2956001</v>
      </c>
    </row>
    <row r="145" spans="5:5" x14ac:dyDescent="0.2">
      <c r="E145" s="134">
        <f t="shared" si="3"/>
        <v>2956001</v>
      </c>
    </row>
    <row r="146" spans="5:5" x14ac:dyDescent="0.2">
      <c r="E146" s="134">
        <f t="shared" si="3"/>
        <v>2956001</v>
      </c>
    </row>
    <row r="147" spans="5:5" x14ac:dyDescent="0.2">
      <c r="E147" s="134">
        <f t="shared" si="3"/>
        <v>2956001</v>
      </c>
    </row>
    <row r="148" spans="5:5" x14ac:dyDescent="0.2">
      <c r="E148" s="134">
        <f t="shared" si="3"/>
        <v>2956001</v>
      </c>
    </row>
    <row r="149" spans="5:5" x14ac:dyDescent="0.2">
      <c r="E149" s="134">
        <f t="shared" si="3"/>
        <v>2956001</v>
      </c>
    </row>
    <row r="150" spans="5:5" x14ac:dyDescent="0.2">
      <c r="E150" s="134">
        <f t="shared" si="3"/>
        <v>2956001</v>
      </c>
    </row>
    <row r="151" spans="5:5" x14ac:dyDescent="0.2">
      <c r="E151" s="134">
        <f t="shared" si="3"/>
        <v>2956001</v>
      </c>
    </row>
    <row r="152" spans="5:5" x14ac:dyDescent="0.2">
      <c r="E152" s="134">
        <f t="shared" si="3"/>
        <v>2956001</v>
      </c>
    </row>
    <row r="153" spans="5:5" x14ac:dyDescent="0.2">
      <c r="E153" s="134">
        <f t="shared" si="3"/>
        <v>2956001</v>
      </c>
    </row>
    <row r="154" spans="5:5" x14ac:dyDescent="0.2">
      <c r="E154" s="134">
        <f t="shared" si="3"/>
        <v>2956001</v>
      </c>
    </row>
    <row r="155" spans="5:5" x14ac:dyDescent="0.2">
      <c r="E155" s="134">
        <f t="shared" si="3"/>
        <v>2956001</v>
      </c>
    </row>
    <row r="156" spans="5:5" x14ac:dyDescent="0.2">
      <c r="E156" s="134">
        <f t="shared" si="3"/>
        <v>2956001</v>
      </c>
    </row>
    <row r="157" spans="5:5" x14ac:dyDescent="0.2">
      <c r="E157" s="134">
        <f t="shared" si="3"/>
        <v>2956001</v>
      </c>
    </row>
    <row r="158" spans="5:5" x14ac:dyDescent="0.2">
      <c r="E158" s="134">
        <f t="shared" si="3"/>
        <v>2956001</v>
      </c>
    </row>
    <row r="159" spans="5:5" x14ac:dyDescent="0.2">
      <c r="E159" s="134">
        <f t="shared" si="3"/>
        <v>2956001</v>
      </c>
    </row>
    <row r="160" spans="5:5" x14ac:dyDescent="0.2">
      <c r="E160" s="134">
        <f t="shared" si="3"/>
        <v>2956001</v>
      </c>
    </row>
    <row r="161" spans="5:5" x14ac:dyDescent="0.2">
      <c r="E161" s="134">
        <f t="shared" si="3"/>
        <v>2956001</v>
      </c>
    </row>
    <row r="162" spans="5:5" x14ac:dyDescent="0.2">
      <c r="E162" s="134">
        <f t="shared" si="3"/>
        <v>2956001</v>
      </c>
    </row>
    <row r="163" spans="5:5" x14ac:dyDescent="0.2">
      <c r="E163" s="134">
        <f t="shared" si="3"/>
        <v>2956001</v>
      </c>
    </row>
    <row r="164" spans="5:5" x14ac:dyDescent="0.2">
      <c r="E164" s="134">
        <f t="shared" si="3"/>
        <v>2956001</v>
      </c>
    </row>
    <row r="165" spans="5:5" x14ac:dyDescent="0.2">
      <c r="E165" s="134">
        <f t="shared" si="3"/>
        <v>2956001</v>
      </c>
    </row>
    <row r="166" spans="5:5" x14ac:dyDescent="0.2">
      <c r="E166" s="134">
        <f t="shared" si="3"/>
        <v>2956001</v>
      </c>
    </row>
    <row r="167" spans="5:5" x14ac:dyDescent="0.2">
      <c r="E167" s="134">
        <f t="shared" si="3"/>
        <v>2956001</v>
      </c>
    </row>
    <row r="168" spans="5:5" x14ac:dyDescent="0.2">
      <c r="E168" s="134">
        <f t="shared" si="3"/>
        <v>2956001</v>
      </c>
    </row>
    <row r="169" spans="5:5" x14ac:dyDescent="0.2">
      <c r="E169" s="134">
        <f t="shared" si="3"/>
        <v>2956001</v>
      </c>
    </row>
    <row r="170" spans="5:5" x14ac:dyDescent="0.2">
      <c r="E170" s="134">
        <f t="shared" si="3"/>
        <v>2956001</v>
      </c>
    </row>
    <row r="171" spans="5:5" x14ac:dyDescent="0.2">
      <c r="E171" s="134">
        <f t="shared" si="3"/>
        <v>2956001</v>
      </c>
    </row>
    <row r="172" spans="5:5" x14ac:dyDescent="0.2">
      <c r="E172" s="134">
        <f t="shared" si="3"/>
        <v>2956001</v>
      </c>
    </row>
    <row r="173" spans="5:5" x14ac:dyDescent="0.2">
      <c r="E173" s="134">
        <f t="shared" si="3"/>
        <v>2956001</v>
      </c>
    </row>
    <row r="174" spans="5:5" x14ac:dyDescent="0.2">
      <c r="E174" s="134">
        <f t="shared" si="3"/>
        <v>2956001</v>
      </c>
    </row>
    <row r="175" spans="5:5" x14ac:dyDescent="0.2">
      <c r="E175" s="134">
        <f t="shared" si="3"/>
        <v>2956001</v>
      </c>
    </row>
    <row r="176" spans="5:5" x14ac:dyDescent="0.2">
      <c r="E176" s="134">
        <f t="shared" si="3"/>
        <v>2956001</v>
      </c>
    </row>
    <row r="177" spans="5:5" x14ac:dyDescent="0.2">
      <c r="E177" s="134">
        <f t="shared" si="3"/>
        <v>2956001</v>
      </c>
    </row>
    <row r="178" spans="5:5" x14ac:dyDescent="0.2">
      <c r="E178" s="134">
        <f t="shared" si="3"/>
        <v>2956001</v>
      </c>
    </row>
    <row r="179" spans="5:5" x14ac:dyDescent="0.2">
      <c r="E179" s="134">
        <f t="shared" si="3"/>
        <v>2956001</v>
      </c>
    </row>
    <row r="180" spans="5:5" x14ac:dyDescent="0.2">
      <c r="E180" s="134">
        <f t="shared" si="3"/>
        <v>2956001</v>
      </c>
    </row>
    <row r="181" spans="5:5" x14ac:dyDescent="0.2">
      <c r="E181" s="134">
        <f t="shared" si="3"/>
        <v>2956001</v>
      </c>
    </row>
    <row r="182" spans="5:5" x14ac:dyDescent="0.2">
      <c r="E182" s="134">
        <f t="shared" si="3"/>
        <v>2956001</v>
      </c>
    </row>
    <row r="183" spans="5:5" x14ac:dyDescent="0.2">
      <c r="E183" s="134">
        <f t="shared" si="3"/>
        <v>2956001</v>
      </c>
    </row>
    <row r="184" spans="5:5" x14ac:dyDescent="0.2">
      <c r="E184" s="134">
        <f t="shared" si="3"/>
        <v>2956001</v>
      </c>
    </row>
    <row r="185" spans="5:5" x14ac:dyDescent="0.2">
      <c r="E185" s="134">
        <f t="shared" si="3"/>
        <v>2956001</v>
      </c>
    </row>
    <row r="186" spans="5:5" x14ac:dyDescent="0.2">
      <c r="E186" s="134">
        <f t="shared" si="3"/>
        <v>2956001</v>
      </c>
    </row>
    <row r="187" spans="5:5" x14ac:dyDescent="0.2">
      <c r="E187" s="134">
        <f t="shared" si="3"/>
        <v>2956001</v>
      </c>
    </row>
    <row r="188" spans="5:5" x14ac:dyDescent="0.2">
      <c r="E188" s="134">
        <f t="shared" si="3"/>
        <v>2956001</v>
      </c>
    </row>
    <row r="189" spans="5:5" x14ac:dyDescent="0.2">
      <c r="E189" s="134">
        <f t="shared" si="3"/>
        <v>2956001</v>
      </c>
    </row>
    <row r="190" spans="5:5" x14ac:dyDescent="0.2">
      <c r="E190" s="134">
        <f t="shared" si="3"/>
        <v>2956001</v>
      </c>
    </row>
    <row r="191" spans="5:5" x14ac:dyDescent="0.2">
      <c r="E191" s="134">
        <f t="shared" si="3"/>
        <v>2956001</v>
      </c>
    </row>
    <row r="192" spans="5:5" x14ac:dyDescent="0.2">
      <c r="E192" s="134">
        <f t="shared" si="3"/>
        <v>2956001</v>
      </c>
    </row>
    <row r="193" spans="5:5" x14ac:dyDescent="0.2">
      <c r="E193" s="134">
        <f t="shared" si="3"/>
        <v>2956001</v>
      </c>
    </row>
    <row r="194" spans="5:5" x14ac:dyDescent="0.2">
      <c r="E194" s="134">
        <f t="shared" si="3"/>
        <v>2956001</v>
      </c>
    </row>
    <row r="195" spans="5:5" x14ac:dyDescent="0.2">
      <c r="E195" s="134">
        <f t="shared" si="3"/>
        <v>2956001</v>
      </c>
    </row>
    <row r="196" spans="5:5" x14ac:dyDescent="0.2">
      <c r="E196" s="134">
        <f t="shared" si="3"/>
        <v>2956001</v>
      </c>
    </row>
    <row r="197" spans="5:5" x14ac:dyDescent="0.2">
      <c r="E197" s="134">
        <f t="shared" si="3"/>
        <v>2956001</v>
      </c>
    </row>
    <row r="198" spans="5:5" x14ac:dyDescent="0.2">
      <c r="E198" s="134">
        <f t="shared" si="3"/>
        <v>2956001</v>
      </c>
    </row>
    <row r="199" spans="5:5" x14ac:dyDescent="0.2">
      <c r="E199" s="134">
        <f t="shared" si="3"/>
        <v>2956001</v>
      </c>
    </row>
    <row r="200" spans="5:5" x14ac:dyDescent="0.2">
      <c r="E200" s="134">
        <f t="shared" si="3"/>
        <v>2956001</v>
      </c>
    </row>
    <row r="201" spans="5:5" x14ac:dyDescent="0.2">
      <c r="E201" s="134">
        <f t="shared" si="3"/>
        <v>2956001</v>
      </c>
    </row>
    <row r="202" spans="5:5" x14ac:dyDescent="0.2">
      <c r="E202" s="134">
        <f t="shared" si="3"/>
        <v>2956001</v>
      </c>
    </row>
    <row r="203" spans="5:5" x14ac:dyDescent="0.2">
      <c r="E203" s="134">
        <f t="shared" si="3"/>
        <v>2956001</v>
      </c>
    </row>
    <row r="204" spans="5:5" x14ac:dyDescent="0.2">
      <c r="E204" s="134">
        <f t="shared" si="3"/>
        <v>2956001</v>
      </c>
    </row>
    <row r="205" spans="5:5" x14ac:dyDescent="0.2">
      <c r="E205" s="134">
        <f t="shared" si="3"/>
        <v>2956001</v>
      </c>
    </row>
    <row r="206" spans="5:5" x14ac:dyDescent="0.2">
      <c r="E206" s="134">
        <f t="shared" si="3"/>
        <v>2956001</v>
      </c>
    </row>
    <row r="207" spans="5:5" x14ac:dyDescent="0.2">
      <c r="E207" s="134">
        <f t="shared" si="3"/>
        <v>2956001</v>
      </c>
    </row>
    <row r="208" spans="5:5" x14ac:dyDescent="0.2">
      <c r="E208" s="134">
        <f t="shared" ref="E208:E271" si="4">+E207+C208-D208</f>
        <v>2956001</v>
      </c>
    </row>
    <row r="209" spans="5:5" x14ac:dyDescent="0.2">
      <c r="E209" s="134">
        <f t="shared" si="4"/>
        <v>2956001</v>
      </c>
    </row>
    <row r="210" spans="5:5" x14ac:dyDescent="0.2">
      <c r="E210" s="134">
        <f t="shared" si="4"/>
        <v>2956001</v>
      </c>
    </row>
    <row r="211" spans="5:5" x14ac:dyDescent="0.2">
      <c r="E211" s="134">
        <f t="shared" si="4"/>
        <v>2956001</v>
      </c>
    </row>
    <row r="212" spans="5:5" x14ac:dyDescent="0.2">
      <c r="E212" s="134">
        <f t="shared" si="4"/>
        <v>2956001</v>
      </c>
    </row>
    <row r="213" spans="5:5" x14ac:dyDescent="0.2">
      <c r="E213" s="134">
        <f t="shared" si="4"/>
        <v>2956001</v>
      </c>
    </row>
    <row r="214" spans="5:5" x14ac:dyDescent="0.2">
      <c r="E214" s="134">
        <f t="shared" si="4"/>
        <v>2956001</v>
      </c>
    </row>
    <row r="215" spans="5:5" x14ac:dyDescent="0.2">
      <c r="E215" s="134">
        <f t="shared" si="4"/>
        <v>2956001</v>
      </c>
    </row>
    <row r="216" spans="5:5" x14ac:dyDescent="0.2">
      <c r="E216" s="134">
        <f t="shared" si="4"/>
        <v>2956001</v>
      </c>
    </row>
    <row r="217" spans="5:5" x14ac:dyDescent="0.2">
      <c r="E217" s="134">
        <f t="shared" si="4"/>
        <v>2956001</v>
      </c>
    </row>
    <row r="218" spans="5:5" x14ac:dyDescent="0.2">
      <c r="E218" s="134">
        <f t="shared" si="4"/>
        <v>2956001</v>
      </c>
    </row>
    <row r="219" spans="5:5" x14ac:dyDescent="0.2">
      <c r="E219" s="134">
        <f t="shared" si="4"/>
        <v>2956001</v>
      </c>
    </row>
    <row r="220" spans="5:5" x14ac:dyDescent="0.2">
      <c r="E220" s="134">
        <f t="shared" si="4"/>
        <v>2956001</v>
      </c>
    </row>
    <row r="221" spans="5:5" x14ac:dyDescent="0.2">
      <c r="E221" s="134">
        <f t="shared" si="4"/>
        <v>2956001</v>
      </c>
    </row>
    <row r="222" spans="5:5" x14ac:dyDescent="0.2">
      <c r="E222" s="134">
        <f t="shared" si="4"/>
        <v>2956001</v>
      </c>
    </row>
    <row r="223" spans="5:5" x14ac:dyDescent="0.2">
      <c r="E223" s="134">
        <f t="shared" si="4"/>
        <v>2956001</v>
      </c>
    </row>
    <row r="224" spans="5:5" x14ac:dyDescent="0.2">
      <c r="E224" s="134">
        <f t="shared" si="4"/>
        <v>2956001</v>
      </c>
    </row>
    <row r="225" spans="5:5" x14ac:dyDescent="0.2">
      <c r="E225" s="134">
        <f t="shared" si="4"/>
        <v>2956001</v>
      </c>
    </row>
    <row r="226" spans="5:5" x14ac:dyDescent="0.2">
      <c r="E226" s="134">
        <f t="shared" si="4"/>
        <v>2956001</v>
      </c>
    </row>
    <row r="227" spans="5:5" x14ac:dyDescent="0.2">
      <c r="E227" s="134">
        <f t="shared" si="4"/>
        <v>2956001</v>
      </c>
    </row>
    <row r="228" spans="5:5" x14ac:dyDescent="0.2">
      <c r="E228" s="134">
        <f t="shared" si="4"/>
        <v>2956001</v>
      </c>
    </row>
    <row r="229" spans="5:5" x14ac:dyDescent="0.2">
      <c r="E229" s="134">
        <f t="shared" si="4"/>
        <v>2956001</v>
      </c>
    </row>
    <row r="230" spans="5:5" x14ac:dyDescent="0.2">
      <c r="E230" s="134">
        <f t="shared" si="4"/>
        <v>2956001</v>
      </c>
    </row>
    <row r="231" spans="5:5" x14ac:dyDescent="0.2">
      <c r="E231" s="134">
        <f t="shared" si="4"/>
        <v>2956001</v>
      </c>
    </row>
    <row r="232" spans="5:5" x14ac:dyDescent="0.2">
      <c r="E232" s="134">
        <f t="shared" si="4"/>
        <v>2956001</v>
      </c>
    </row>
    <row r="233" spans="5:5" x14ac:dyDescent="0.2">
      <c r="E233" s="134">
        <f t="shared" si="4"/>
        <v>2956001</v>
      </c>
    </row>
    <row r="234" spans="5:5" x14ac:dyDescent="0.2">
      <c r="E234" s="134">
        <f t="shared" si="4"/>
        <v>2956001</v>
      </c>
    </row>
    <row r="235" spans="5:5" x14ac:dyDescent="0.2">
      <c r="E235" s="134">
        <f t="shared" si="4"/>
        <v>2956001</v>
      </c>
    </row>
    <row r="236" spans="5:5" x14ac:dyDescent="0.2">
      <c r="E236" s="134">
        <f t="shared" si="4"/>
        <v>2956001</v>
      </c>
    </row>
    <row r="237" spans="5:5" x14ac:dyDescent="0.2">
      <c r="E237" s="134">
        <f t="shared" si="4"/>
        <v>2956001</v>
      </c>
    </row>
    <row r="238" spans="5:5" x14ac:dyDescent="0.2">
      <c r="E238" s="134">
        <f t="shared" si="4"/>
        <v>2956001</v>
      </c>
    </row>
    <row r="239" spans="5:5" x14ac:dyDescent="0.2">
      <c r="E239" s="134">
        <f t="shared" si="4"/>
        <v>2956001</v>
      </c>
    </row>
    <row r="240" spans="5:5" x14ac:dyDescent="0.2">
      <c r="E240" s="134">
        <f t="shared" si="4"/>
        <v>2956001</v>
      </c>
    </row>
    <row r="241" spans="5:5" x14ac:dyDescent="0.2">
      <c r="E241" s="134">
        <f t="shared" si="4"/>
        <v>2956001</v>
      </c>
    </row>
    <row r="242" spans="5:5" x14ac:dyDescent="0.2">
      <c r="E242" s="134">
        <f t="shared" si="4"/>
        <v>2956001</v>
      </c>
    </row>
    <row r="243" spans="5:5" x14ac:dyDescent="0.2">
      <c r="E243" s="134">
        <f t="shared" si="4"/>
        <v>2956001</v>
      </c>
    </row>
    <row r="244" spans="5:5" x14ac:dyDescent="0.2">
      <c r="E244" s="134">
        <f t="shared" si="4"/>
        <v>2956001</v>
      </c>
    </row>
    <row r="245" spans="5:5" x14ac:dyDescent="0.2">
      <c r="E245" s="134">
        <f t="shared" si="4"/>
        <v>2956001</v>
      </c>
    </row>
    <row r="246" spans="5:5" x14ac:dyDescent="0.2">
      <c r="E246" s="134">
        <f t="shared" si="4"/>
        <v>2956001</v>
      </c>
    </row>
    <row r="247" spans="5:5" x14ac:dyDescent="0.2">
      <c r="E247" s="134">
        <f t="shared" si="4"/>
        <v>2956001</v>
      </c>
    </row>
    <row r="248" spans="5:5" x14ac:dyDescent="0.2">
      <c r="E248" s="134">
        <f t="shared" si="4"/>
        <v>2956001</v>
      </c>
    </row>
    <row r="249" spans="5:5" x14ac:dyDescent="0.2">
      <c r="E249" s="134">
        <f t="shared" si="4"/>
        <v>2956001</v>
      </c>
    </row>
    <row r="250" spans="5:5" x14ac:dyDescent="0.2">
      <c r="E250" s="134">
        <f t="shared" si="4"/>
        <v>2956001</v>
      </c>
    </row>
    <row r="251" spans="5:5" x14ac:dyDescent="0.2">
      <c r="E251" s="134">
        <f t="shared" si="4"/>
        <v>2956001</v>
      </c>
    </row>
    <row r="252" spans="5:5" x14ac:dyDescent="0.2">
      <c r="E252" s="134">
        <f t="shared" si="4"/>
        <v>2956001</v>
      </c>
    </row>
    <row r="253" spans="5:5" x14ac:dyDescent="0.2">
      <c r="E253" s="134">
        <f t="shared" si="4"/>
        <v>2956001</v>
      </c>
    </row>
    <row r="254" spans="5:5" x14ac:dyDescent="0.2">
      <c r="E254" s="134">
        <f t="shared" si="4"/>
        <v>2956001</v>
      </c>
    </row>
    <row r="255" spans="5:5" x14ac:dyDescent="0.2">
      <c r="E255" s="134">
        <f t="shared" si="4"/>
        <v>2956001</v>
      </c>
    </row>
    <row r="256" spans="5:5" x14ac:dyDescent="0.2">
      <c r="E256" s="134">
        <f t="shared" si="4"/>
        <v>2956001</v>
      </c>
    </row>
    <row r="257" spans="5:5" x14ac:dyDescent="0.2">
      <c r="E257" s="134">
        <f t="shared" si="4"/>
        <v>2956001</v>
      </c>
    </row>
    <row r="258" spans="5:5" x14ac:dyDescent="0.2">
      <c r="E258" s="134">
        <f t="shared" si="4"/>
        <v>2956001</v>
      </c>
    </row>
    <row r="259" spans="5:5" x14ac:dyDescent="0.2">
      <c r="E259" s="134">
        <f t="shared" si="4"/>
        <v>2956001</v>
      </c>
    </row>
    <row r="260" spans="5:5" x14ac:dyDescent="0.2">
      <c r="E260" s="134">
        <f t="shared" si="4"/>
        <v>2956001</v>
      </c>
    </row>
    <row r="261" spans="5:5" x14ac:dyDescent="0.2">
      <c r="E261" s="134">
        <f t="shared" si="4"/>
        <v>2956001</v>
      </c>
    </row>
    <row r="262" spans="5:5" x14ac:dyDescent="0.2">
      <c r="E262" s="134">
        <f t="shared" si="4"/>
        <v>2956001</v>
      </c>
    </row>
    <row r="263" spans="5:5" x14ac:dyDescent="0.2">
      <c r="E263" s="134">
        <f t="shared" si="4"/>
        <v>2956001</v>
      </c>
    </row>
    <row r="264" spans="5:5" x14ac:dyDescent="0.2">
      <c r="E264" s="134">
        <f t="shared" si="4"/>
        <v>2956001</v>
      </c>
    </row>
    <row r="265" spans="5:5" x14ac:dyDescent="0.2">
      <c r="E265" s="134">
        <f t="shared" si="4"/>
        <v>2956001</v>
      </c>
    </row>
    <row r="266" spans="5:5" x14ac:dyDescent="0.2">
      <c r="E266" s="134">
        <f t="shared" si="4"/>
        <v>2956001</v>
      </c>
    </row>
    <row r="267" spans="5:5" x14ac:dyDescent="0.2">
      <c r="E267" s="134">
        <f t="shared" si="4"/>
        <v>2956001</v>
      </c>
    </row>
    <row r="268" spans="5:5" x14ac:dyDescent="0.2">
      <c r="E268" s="134">
        <f t="shared" si="4"/>
        <v>2956001</v>
      </c>
    </row>
    <row r="269" spans="5:5" x14ac:dyDescent="0.2">
      <c r="E269" s="134">
        <f t="shared" si="4"/>
        <v>2956001</v>
      </c>
    </row>
    <row r="270" spans="5:5" x14ac:dyDescent="0.2">
      <c r="E270" s="134">
        <f t="shared" si="4"/>
        <v>2956001</v>
      </c>
    </row>
    <row r="271" spans="5:5" x14ac:dyDescent="0.2">
      <c r="E271" s="134">
        <f t="shared" si="4"/>
        <v>2956001</v>
      </c>
    </row>
    <row r="272" spans="5:5" x14ac:dyDescent="0.2">
      <c r="E272" s="134">
        <f t="shared" ref="E272:E335" si="5">+E271+C272-D272</f>
        <v>2956001</v>
      </c>
    </row>
    <row r="273" spans="5:5" x14ac:dyDescent="0.2">
      <c r="E273" s="134">
        <f t="shared" si="5"/>
        <v>2956001</v>
      </c>
    </row>
    <row r="274" spans="5:5" x14ac:dyDescent="0.2">
      <c r="E274" s="134">
        <f t="shared" si="5"/>
        <v>2956001</v>
      </c>
    </row>
    <row r="275" spans="5:5" x14ac:dyDescent="0.2">
      <c r="E275" s="134">
        <f t="shared" si="5"/>
        <v>2956001</v>
      </c>
    </row>
    <row r="276" spans="5:5" x14ac:dyDescent="0.2">
      <c r="E276" s="134">
        <f t="shared" si="5"/>
        <v>2956001</v>
      </c>
    </row>
    <row r="277" spans="5:5" x14ac:dyDescent="0.2">
      <c r="E277" s="134">
        <f t="shared" si="5"/>
        <v>2956001</v>
      </c>
    </row>
    <row r="278" spans="5:5" x14ac:dyDescent="0.2">
      <c r="E278" s="134">
        <f t="shared" si="5"/>
        <v>2956001</v>
      </c>
    </row>
    <row r="279" spans="5:5" x14ac:dyDescent="0.2">
      <c r="E279" s="134">
        <f t="shared" si="5"/>
        <v>2956001</v>
      </c>
    </row>
    <row r="280" spans="5:5" x14ac:dyDescent="0.2">
      <c r="E280" s="134">
        <f t="shared" si="5"/>
        <v>2956001</v>
      </c>
    </row>
    <row r="281" spans="5:5" x14ac:dyDescent="0.2">
      <c r="E281" s="134">
        <f t="shared" si="5"/>
        <v>2956001</v>
      </c>
    </row>
    <row r="282" spans="5:5" x14ac:dyDescent="0.2">
      <c r="E282" s="134">
        <f t="shared" si="5"/>
        <v>2956001</v>
      </c>
    </row>
    <row r="283" spans="5:5" x14ac:dyDescent="0.2">
      <c r="E283" s="134">
        <f t="shared" si="5"/>
        <v>2956001</v>
      </c>
    </row>
    <row r="284" spans="5:5" x14ac:dyDescent="0.2">
      <c r="E284" s="134">
        <f t="shared" si="5"/>
        <v>2956001</v>
      </c>
    </row>
    <row r="285" spans="5:5" x14ac:dyDescent="0.2">
      <c r="E285" s="134">
        <f t="shared" si="5"/>
        <v>2956001</v>
      </c>
    </row>
    <row r="286" spans="5:5" x14ac:dyDescent="0.2">
      <c r="E286" s="134">
        <f t="shared" si="5"/>
        <v>2956001</v>
      </c>
    </row>
    <row r="287" spans="5:5" x14ac:dyDescent="0.2">
      <c r="E287" s="134">
        <f t="shared" si="5"/>
        <v>2956001</v>
      </c>
    </row>
    <row r="288" spans="5:5" x14ac:dyDescent="0.2">
      <c r="E288" s="134">
        <f t="shared" si="5"/>
        <v>2956001</v>
      </c>
    </row>
    <row r="289" spans="5:5" x14ac:dyDescent="0.2">
      <c r="E289" s="134">
        <f t="shared" si="5"/>
        <v>2956001</v>
      </c>
    </row>
    <row r="290" spans="5:5" x14ac:dyDescent="0.2">
      <c r="E290" s="134">
        <f t="shared" si="5"/>
        <v>2956001</v>
      </c>
    </row>
    <row r="291" spans="5:5" x14ac:dyDescent="0.2">
      <c r="E291" s="134">
        <f t="shared" si="5"/>
        <v>2956001</v>
      </c>
    </row>
    <row r="292" spans="5:5" x14ac:dyDescent="0.2">
      <c r="E292" s="134">
        <f t="shared" si="5"/>
        <v>2956001</v>
      </c>
    </row>
    <row r="293" spans="5:5" x14ac:dyDescent="0.2">
      <c r="E293" s="134">
        <f t="shared" si="5"/>
        <v>2956001</v>
      </c>
    </row>
    <row r="294" spans="5:5" x14ac:dyDescent="0.2">
      <c r="E294" s="134">
        <f t="shared" si="5"/>
        <v>2956001</v>
      </c>
    </row>
    <row r="295" spans="5:5" x14ac:dyDescent="0.2">
      <c r="E295" s="134">
        <f t="shared" si="5"/>
        <v>2956001</v>
      </c>
    </row>
    <row r="296" spans="5:5" x14ac:dyDescent="0.2">
      <c r="E296" s="134">
        <f t="shared" si="5"/>
        <v>2956001</v>
      </c>
    </row>
    <row r="297" spans="5:5" x14ac:dyDescent="0.2">
      <c r="E297" s="134">
        <f t="shared" si="5"/>
        <v>2956001</v>
      </c>
    </row>
    <row r="298" spans="5:5" x14ac:dyDescent="0.2">
      <c r="E298" s="134">
        <f t="shared" si="5"/>
        <v>2956001</v>
      </c>
    </row>
    <row r="299" spans="5:5" x14ac:dyDescent="0.2">
      <c r="E299" s="134">
        <f t="shared" si="5"/>
        <v>2956001</v>
      </c>
    </row>
    <row r="300" spans="5:5" x14ac:dyDescent="0.2">
      <c r="E300" s="134">
        <f t="shared" si="5"/>
        <v>2956001</v>
      </c>
    </row>
    <row r="301" spans="5:5" x14ac:dyDescent="0.2">
      <c r="E301" s="134">
        <f t="shared" si="5"/>
        <v>2956001</v>
      </c>
    </row>
    <row r="302" spans="5:5" x14ac:dyDescent="0.2">
      <c r="E302" s="134">
        <f t="shared" si="5"/>
        <v>2956001</v>
      </c>
    </row>
    <row r="303" spans="5:5" x14ac:dyDescent="0.2">
      <c r="E303" s="134">
        <f t="shared" si="5"/>
        <v>2956001</v>
      </c>
    </row>
    <row r="304" spans="5:5" x14ac:dyDescent="0.2">
      <c r="E304" s="134">
        <f t="shared" si="5"/>
        <v>2956001</v>
      </c>
    </row>
    <row r="305" spans="5:5" x14ac:dyDescent="0.2">
      <c r="E305" s="134">
        <f t="shared" si="5"/>
        <v>2956001</v>
      </c>
    </row>
    <row r="306" spans="5:5" x14ac:dyDescent="0.2">
      <c r="E306" s="134">
        <f t="shared" si="5"/>
        <v>2956001</v>
      </c>
    </row>
    <row r="307" spans="5:5" x14ac:dyDescent="0.2">
      <c r="E307" s="134">
        <f t="shared" si="5"/>
        <v>2956001</v>
      </c>
    </row>
    <row r="308" spans="5:5" x14ac:dyDescent="0.2">
      <c r="E308" s="134">
        <f t="shared" si="5"/>
        <v>2956001</v>
      </c>
    </row>
    <row r="309" spans="5:5" x14ac:dyDescent="0.2">
      <c r="E309" s="134">
        <f t="shared" si="5"/>
        <v>2956001</v>
      </c>
    </row>
    <row r="310" spans="5:5" x14ac:dyDescent="0.2">
      <c r="E310" s="134">
        <f t="shared" si="5"/>
        <v>2956001</v>
      </c>
    </row>
    <row r="311" spans="5:5" x14ac:dyDescent="0.2">
      <c r="E311" s="134">
        <f t="shared" si="5"/>
        <v>2956001</v>
      </c>
    </row>
    <row r="312" spans="5:5" x14ac:dyDescent="0.2">
      <c r="E312" s="134">
        <f t="shared" si="5"/>
        <v>2956001</v>
      </c>
    </row>
    <row r="313" spans="5:5" x14ac:dyDescent="0.2">
      <c r="E313" s="134">
        <f t="shared" si="5"/>
        <v>2956001</v>
      </c>
    </row>
    <row r="314" spans="5:5" x14ac:dyDescent="0.2">
      <c r="E314" s="134">
        <f t="shared" si="5"/>
        <v>2956001</v>
      </c>
    </row>
    <row r="315" spans="5:5" x14ac:dyDescent="0.2">
      <c r="E315" s="134">
        <f t="shared" si="5"/>
        <v>2956001</v>
      </c>
    </row>
    <row r="316" spans="5:5" x14ac:dyDescent="0.2">
      <c r="E316" s="134">
        <f t="shared" si="5"/>
        <v>2956001</v>
      </c>
    </row>
    <row r="317" spans="5:5" x14ac:dyDescent="0.2">
      <c r="E317" s="134">
        <f t="shared" si="5"/>
        <v>2956001</v>
      </c>
    </row>
    <row r="318" spans="5:5" x14ac:dyDescent="0.2">
      <c r="E318" s="134">
        <f t="shared" si="5"/>
        <v>2956001</v>
      </c>
    </row>
    <row r="319" spans="5:5" x14ac:dyDescent="0.2">
      <c r="E319" s="134">
        <f t="shared" si="5"/>
        <v>2956001</v>
      </c>
    </row>
    <row r="320" spans="5:5" x14ac:dyDescent="0.2">
      <c r="E320" s="134">
        <f t="shared" si="5"/>
        <v>2956001</v>
      </c>
    </row>
    <row r="321" spans="5:5" x14ac:dyDescent="0.2">
      <c r="E321" s="134">
        <f t="shared" si="5"/>
        <v>2956001</v>
      </c>
    </row>
    <row r="322" spans="5:5" x14ac:dyDescent="0.2">
      <c r="E322" s="134">
        <f t="shared" si="5"/>
        <v>2956001</v>
      </c>
    </row>
    <row r="323" spans="5:5" x14ac:dyDescent="0.2">
      <c r="E323" s="134">
        <f t="shared" si="5"/>
        <v>2956001</v>
      </c>
    </row>
    <row r="324" spans="5:5" x14ac:dyDescent="0.2">
      <c r="E324" s="134">
        <f t="shared" si="5"/>
        <v>2956001</v>
      </c>
    </row>
    <row r="325" spans="5:5" x14ac:dyDescent="0.2">
      <c r="E325" s="134">
        <f t="shared" si="5"/>
        <v>2956001</v>
      </c>
    </row>
    <row r="326" spans="5:5" x14ac:dyDescent="0.2">
      <c r="E326" s="134">
        <f t="shared" si="5"/>
        <v>2956001</v>
      </c>
    </row>
    <row r="327" spans="5:5" x14ac:dyDescent="0.2">
      <c r="E327" s="134">
        <f t="shared" si="5"/>
        <v>2956001</v>
      </c>
    </row>
    <row r="328" spans="5:5" x14ac:dyDescent="0.2">
      <c r="E328" s="134">
        <f t="shared" si="5"/>
        <v>2956001</v>
      </c>
    </row>
    <row r="329" spans="5:5" x14ac:dyDescent="0.2">
      <c r="E329" s="134">
        <f t="shared" si="5"/>
        <v>2956001</v>
      </c>
    </row>
    <row r="330" spans="5:5" x14ac:dyDescent="0.2">
      <c r="E330" s="134">
        <f t="shared" si="5"/>
        <v>2956001</v>
      </c>
    </row>
    <row r="331" spans="5:5" x14ac:dyDescent="0.2">
      <c r="E331" s="134">
        <f t="shared" si="5"/>
        <v>2956001</v>
      </c>
    </row>
    <row r="332" spans="5:5" x14ac:dyDescent="0.2">
      <c r="E332" s="134">
        <f t="shared" si="5"/>
        <v>2956001</v>
      </c>
    </row>
    <row r="333" spans="5:5" x14ac:dyDescent="0.2">
      <c r="E333" s="134">
        <f t="shared" si="5"/>
        <v>2956001</v>
      </c>
    </row>
    <row r="334" spans="5:5" x14ac:dyDescent="0.2">
      <c r="E334" s="134">
        <f t="shared" si="5"/>
        <v>2956001</v>
      </c>
    </row>
    <row r="335" spans="5:5" x14ac:dyDescent="0.2">
      <c r="E335" s="134">
        <f t="shared" si="5"/>
        <v>2956001</v>
      </c>
    </row>
    <row r="336" spans="5:5" x14ac:dyDescent="0.2">
      <c r="E336" s="134">
        <f t="shared" ref="E336:E399" si="6">+E335+C336-D336</f>
        <v>2956001</v>
      </c>
    </row>
    <row r="337" spans="5:5" x14ac:dyDescent="0.2">
      <c r="E337" s="134">
        <f t="shared" si="6"/>
        <v>2956001</v>
      </c>
    </row>
    <row r="338" spans="5:5" x14ac:dyDescent="0.2">
      <c r="E338" s="134">
        <f t="shared" si="6"/>
        <v>2956001</v>
      </c>
    </row>
    <row r="339" spans="5:5" x14ac:dyDescent="0.2">
      <c r="E339" s="134">
        <f t="shared" si="6"/>
        <v>2956001</v>
      </c>
    </row>
    <row r="340" spans="5:5" x14ac:dyDescent="0.2">
      <c r="E340" s="134">
        <f t="shared" si="6"/>
        <v>2956001</v>
      </c>
    </row>
    <row r="341" spans="5:5" x14ac:dyDescent="0.2">
      <c r="E341" s="134">
        <f t="shared" si="6"/>
        <v>2956001</v>
      </c>
    </row>
    <row r="342" spans="5:5" x14ac:dyDescent="0.2">
      <c r="E342" s="134">
        <f t="shared" si="6"/>
        <v>2956001</v>
      </c>
    </row>
    <row r="343" spans="5:5" x14ac:dyDescent="0.2">
      <c r="E343" s="134">
        <f t="shared" si="6"/>
        <v>2956001</v>
      </c>
    </row>
    <row r="344" spans="5:5" x14ac:dyDescent="0.2">
      <c r="E344" s="134">
        <f t="shared" si="6"/>
        <v>2956001</v>
      </c>
    </row>
    <row r="345" spans="5:5" x14ac:dyDescent="0.2">
      <c r="E345" s="134">
        <f t="shared" si="6"/>
        <v>2956001</v>
      </c>
    </row>
    <row r="346" spans="5:5" x14ac:dyDescent="0.2">
      <c r="E346" s="134">
        <f t="shared" si="6"/>
        <v>2956001</v>
      </c>
    </row>
    <row r="347" spans="5:5" x14ac:dyDescent="0.2">
      <c r="E347" s="134">
        <f t="shared" si="6"/>
        <v>2956001</v>
      </c>
    </row>
    <row r="348" spans="5:5" x14ac:dyDescent="0.2">
      <c r="E348" s="134">
        <f t="shared" si="6"/>
        <v>2956001</v>
      </c>
    </row>
    <row r="349" spans="5:5" x14ac:dyDescent="0.2">
      <c r="E349" s="134">
        <f t="shared" si="6"/>
        <v>2956001</v>
      </c>
    </row>
    <row r="350" spans="5:5" x14ac:dyDescent="0.2">
      <c r="E350" s="134">
        <f t="shared" si="6"/>
        <v>2956001</v>
      </c>
    </row>
    <row r="351" spans="5:5" x14ac:dyDescent="0.2">
      <c r="E351" s="134">
        <f t="shared" si="6"/>
        <v>2956001</v>
      </c>
    </row>
    <row r="352" spans="5:5" x14ac:dyDescent="0.2">
      <c r="E352" s="134">
        <f t="shared" si="6"/>
        <v>2956001</v>
      </c>
    </row>
    <row r="353" spans="5:5" x14ac:dyDescent="0.2">
      <c r="E353" s="134">
        <f t="shared" si="6"/>
        <v>2956001</v>
      </c>
    </row>
    <row r="354" spans="5:5" x14ac:dyDescent="0.2">
      <c r="E354" s="134">
        <f t="shared" si="6"/>
        <v>2956001</v>
      </c>
    </row>
    <row r="355" spans="5:5" x14ac:dyDescent="0.2">
      <c r="E355" s="134">
        <f t="shared" si="6"/>
        <v>2956001</v>
      </c>
    </row>
    <row r="356" spans="5:5" x14ac:dyDescent="0.2">
      <c r="E356" s="134">
        <f t="shared" si="6"/>
        <v>2956001</v>
      </c>
    </row>
    <row r="357" spans="5:5" x14ac:dyDescent="0.2">
      <c r="E357" s="134">
        <f t="shared" si="6"/>
        <v>2956001</v>
      </c>
    </row>
    <row r="358" spans="5:5" x14ac:dyDescent="0.2">
      <c r="E358" s="134">
        <f t="shared" si="6"/>
        <v>2956001</v>
      </c>
    </row>
    <row r="359" spans="5:5" x14ac:dyDescent="0.2">
      <c r="E359" s="134">
        <f t="shared" si="6"/>
        <v>2956001</v>
      </c>
    </row>
    <row r="360" spans="5:5" x14ac:dyDescent="0.2">
      <c r="E360" s="134">
        <f t="shared" si="6"/>
        <v>2956001</v>
      </c>
    </row>
    <row r="361" spans="5:5" x14ac:dyDescent="0.2">
      <c r="E361" s="134">
        <f t="shared" si="6"/>
        <v>2956001</v>
      </c>
    </row>
    <row r="362" spans="5:5" x14ac:dyDescent="0.2">
      <c r="E362" s="134">
        <f t="shared" si="6"/>
        <v>2956001</v>
      </c>
    </row>
    <row r="363" spans="5:5" x14ac:dyDescent="0.2">
      <c r="E363" s="134">
        <f t="shared" si="6"/>
        <v>2956001</v>
      </c>
    </row>
    <row r="364" spans="5:5" x14ac:dyDescent="0.2">
      <c r="E364" s="134">
        <f t="shared" si="6"/>
        <v>2956001</v>
      </c>
    </row>
    <row r="365" spans="5:5" x14ac:dyDescent="0.2">
      <c r="E365" s="134">
        <f t="shared" si="6"/>
        <v>2956001</v>
      </c>
    </row>
    <row r="366" spans="5:5" x14ac:dyDescent="0.2">
      <c r="E366" s="134">
        <f t="shared" si="6"/>
        <v>2956001</v>
      </c>
    </row>
    <row r="367" spans="5:5" x14ac:dyDescent="0.2">
      <c r="E367" s="134">
        <f t="shared" si="6"/>
        <v>2956001</v>
      </c>
    </row>
    <row r="368" spans="5:5" x14ac:dyDescent="0.2">
      <c r="E368" s="134">
        <f t="shared" si="6"/>
        <v>2956001</v>
      </c>
    </row>
    <row r="369" spans="5:5" x14ac:dyDescent="0.2">
      <c r="E369" s="134">
        <f t="shared" si="6"/>
        <v>2956001</v>
      </c>
    </row>
    <row r="370" spans="5:5" x14ac:dyDescent="0.2">
      <c r="E370" s="134">
        <f t="shared" si="6"/>
        <v>2956001</v>
      </c>
    </row>
    <row r="371" spans="5:5" x14ac:dyDescent="0.2">
      <c r="E371" s="134">
        <f t="shared" si="6"/>
        <v>2956001</v>
      </c>
    </row>
    <row r="372" spans="5:5" x14ac:dyDescent="0.2">
      <c r="E372" s="134">
        <f t="shared" si="6"/>
        <v>2956001</v>
      </c>
    </row>
    <row r="373" spans="5:5" x14ac:dyDescent="0.2">
      <c r="E373" s="134">
        <f t="shared" si="6"/>
        <v>2956001</v>
      </c>
    </row>
    <row r="374" spans="5:5" x14ac:dyDescent="0.2">
      <c r="E374" s="134">
        <f t="shared" si="6"/>
        <v>2956001</v>
      </c>
    </row>
    <row r="375" spans="5:5" x14ac:dyDescent="0.2">
      <c r="E375" s="134">
        <f t="shared" si="6"/>
        <v>2956001</v>
      </c>
    </row>
    <row r="376" spans="5:5" x14ac:dyDescent="0.2">
      <c r="E376" s="134">
        <f t="shared" si="6"/>
        <v>2956001</v>
      </c>
    </row>
    <row r="377" spans="5:5" x14ac:dyDescent="0.2">
      <c r="E377" s="134">
        <f t="shared" si="6"/>
        <v>2956001</v>
      </c>
    </row>
    <row r="378" spans="5:5" x14ac:dyDescent="0.2">
      <c r="E378" s="134">
        <f t="shared" si="6"/>
        <v>2956001</v>
      </c>
    </row>
    <row r="379" spans="5:5" x14ac:dyDescent="0.2">
      <c r="E379" s="134">
        <f t="shared" si="6"/>
        <v>2956001</v>
      </c>
    </row>
    <row r="380" spans="5:5" x14ac:dyDescent="0.2">
      <c r="E380" s="134">
        <f t="shared" si="6"/>
        <v>2956001</v>
      </c>
    </row>
    <row r="381" spans="5:5" x14ac:dyDescent="0.2">
      <c r="E381" s="134">
        <f t="shared" si="6"/>
        <v>2956001</v>
      </c>
    </row>
    <row r="382" spans="5:5" x14ac:dyDescent="0.2">
      <c r="E382" s="134">
        <f t="shared" si="6"/>
        <v>2956001</v>
      </c>
    </row>
    <row r="383" spans="5:5" x14ac:dyDescent="0.2">
      <c r="E383" s="134">
        <f t="shared" si="6"/>
        <v>2956001</v>
      </c>
    </row>
    <row r="384" spans="5:5" x14ac:dyDescent="0.2">
      <c r="E384" s="134">
        <f t="shared" si="6"/>
        <v>2956001</v>
      </c>
    </row>
    <row r="385" spans="5:5" x14ac:dyDescent="0.2">
      <c r="E385" s="134">
        <f t="shared" si="6"/>
        <v>2956001</v>
      </c>
    </row>
    <row r="386" spans="5:5" x14ac:dyDescent="0.2">
      <c r="E386" s="134">
        <f t="shared" si="6"/>
        <v>2956001</v>
      </c>
    </row>
    <row r="387" spans="5:5" x14ac:dyDescent="0.2">
      <c r="E387" s="134">
        <f t="shared" si="6"/>
        <v>2956001</v>
      </c>
    </row>
    <row r="388" spans="5:5" x14ac:dyDescent="0.2">
      <c r="E388" s="134">
        <f t="shared" si="6"/>
        <v>2956001</v>
      </c>
    </row>
    <row r="389" spans="5:5" x14ac:dyDescent="0.2">
      <c r="E389" s="134">
        <f t="shared" si="6"/>
        <v>2956001</v>
      </c>
    </row>
    <row r="390" spans="5:5" x14ac:dyDescent="0.2">
      <c r="E390" s="134">
        <f t="shared" si="6"/>
        <v>2956001</v>
      </c>
    </row>
    <row r="391" spans="5:5" x14ac:dyDescent="0.2">
      <c r="E391" s="134">
        <f t="shared" si="6"/>
        <v>2956001</v>
      </c>
    </row>
    <row r="392" spans="5:5" x14ac:dyDescent="0.2">
      <c r="E392" s="134">
        <f t="shared" si="6"/>
        <v>2956001</v>
      </c>
    </row>
    <row r="393" spans="5:5" x14ac:dyDescent="0.2">
      <c r="E393" s="134">
        <f t="shared" si="6"/>
        <v>2956001</v>
      </c>
    </row>
    <row r="394" spans="5:5" x14ac:dyDescent="0.2">
      <c r="E394" s="134">
        <f t="shared" si="6"/>
        <v>2956001</v>
      </c>
    </row>
    <row r="395" spans="5:5" x14ac:dyDescent="0.2">
      <c r="E395" s="134">
        <f t="shared" si="6"/>
        <v>2956001</v>
      </c>
    </row>
    <row r="396" spans="5:5" x14ac:dyDescent="0.2">
      <c r="E396" s="134">
        <f t="shared" si="6"/>
        <v>2956001</v>
      </c>
    </row>
    <row r="397" spans="5:5" x14ac:dyDescent="0.2">
      <c r="E397" s="134">
        <f t="shared" si="6"/>
        <v>2956001</v>
      </c>
    </row>
    <row r="398" spans="5:5" x14ac:dyDescent="0.2">
      <c r="E398" s="134">
        <f t="shared" si="6"/>
        <v>2956001</v>
      </c>
    </row>
    <row r="399" spans="5:5" x14ac:dyDescent="0.2">
      <c r="E399" s="134">
        <f t="shared" si="6"/>
        <v>2956001</v>
      </c>
    </row>
    <row r="400" spans="5:5" x14ac:dyDescent="0.2">
      <c r="E400" s="134">
        <f t="shared" ref="E400:E463" si="7">+E399+C400-D400</f>
        <v>2956001</v>
      </c>
    </row>
    <row r="401" spans="5:5" x14ac:dyDescent="0.2">
      <c r="E401" s="134">
        <f t="shared" si="7"/>
        <v>2956001</v>
      </c>
    </row>
    <row r="402" spans="5:5" x14ac:dyDescent="0.2">
      <c r="E402" s="134">
        <f t="shared" si="7"/>
        <v>2956001</v>
      </c>
    </row>
    <row r="403" spans="5:5" x14ac:dyDescent="0.2">
      <c r="E403" s="134">
        <f t="shared" si="7"/>
        <v>2956001</v>
      </c>
    </row>
    <row r="404" spans="5:5" x14ac:dyDescent="0.2">
      <c r="E404" s="134">
        <f t="shared" si="7"/>
        <v>2956001</v>
      </c>
    </row>
    <row r="405" spans="5:5" x14ac:dyDescent="0.2">
      <c r="E405" s="134">
        <f t="shared" si="7"/>
        <v>2956001</v>
      </c>
    </row>
    <row r="406" spans="5:5" x14ac:dyDescent="0.2">
      <c r="E406" s="134">
        <f t="shared" si="7"/>
        <v>2956001</v>
      </c>
    </row>
    <row r="407" spans="5:5" x14ac:dyDescent="0.2">
      <c r="E407" s="134">
        <f t="shared" si="7"/>
        <v>2956001</v>
      </c>
    </row>
    <row r="408" spans="5:5" x14ac:dyDescent="0.2">
      <c r="E408" s="134">
        <f t="shared" si="7"/>
        <v>2956001</v>
      </c>
    </row>
    <row r="409" spans="5:5" x14ac:dyDescent="0.2">
      <c r="E409" s="134">
        <f t="shared" si="7"/>
        <v>2956001</v>
      </c>
    </row>
    <row r="410" spans="5:5" x14ac:dyDescent="0.2">
      <c r="E410" s="134">
        <f t="shared" si="7"/>
        <v>2956001</v>
      </c>
    </row>
    <row r="411" spans="5:5" x14ac:dyDescent="0.2">
      <c r="E411" s="134">
        <f t="shared" si="7"/>
        <v>2956001</v>
      </c>
    </row>
    <row r="412" spans="5:5" x14ac:dyDescent="0.2">
      <c r="E412" s="134">
        <f t="shared" si="7"/>
        <v>2956001</v>
      </c>
    </row>
    <row r="413" spans="5:5" x14ac:dyDescent="0.2">
      <c r="E413" s="134">
        <f t="shared" si="7"/>
        <v>2956001</v>
      </c>
    </row>
    <row r="414" spans="5:5" x14ac:dyDescent="0.2">
      <c r="E414" s="134">
        <f t="shared" si="7"/>
        <v>2956001</v>
      </c>
    </row>
    <row r="415" spans="5:5" x14ac:dyDescent="0.2">
      <c r="E415" s="134">
        <f t="shared" si="7"/>
        <v>2956001</v>
      </c>
    </row>
    <row r="416" spans="5:5" x14ac:dyDescent="0.2">
      <c r="E416" s="134">
        <f t="shared" si="7"/>
        <v>2956001</v>
      </c>
    </row>
    <row r="417" spans="5:5" x14ac:dyDescent="0.2">
      <c r="E417" s="134">
        <f t="shared" si="7"/>
        <v>2956001</v>
      </c>
    </row>
    <row r="418" spans="5:5" x14ac:dyDescent="0.2">
      <c r="E418" s="134">
        <f t="shared" si="7"/>
        <v>2956001</v>
      </c>
    </row>
    <row r="419" spans="5:5" x14ac:dyDescent="0.2">
      <c r="E419" s="134">
        <f t="shared" si="7"/>
        <v>2956001</v>
      </c>
    </row>
    <row r="420" spans="5:5" x14ac:dyDescent="0.2">
      <c r="E420" s="134">
        <f t="shared" si="7"/>
        <v>2956001</v>
      </c>
    </row>
    <row r="421" spans="5:5" x14ac:dyDescent="0.2">
      <c r="E421" s="134">
        <f t="shared" si="7"/>
        <v>2956001</v>
      </c>
    </row>
    <row r="422" spans="5:5" x14ac:dyDescent="0.2">
      <c r="E422" s="134">
        <f t="shared" si="7"/>
        <v>2956001</v>
      </c>
    </row>
    <row r="423" spans="5:5" x14ac:dyDescent="0.2">
      <c r="E423" s="134">
        <f t="shared" si="7"/>
        <v>2956001</v>
      </c>
    </row>
    <row r="424" spans="5:5" x14ac:dyDescent="0.2">
      <c r="E424" s="134">
        <f t="shared" si="7"/>
        <v>2956001</v>
      </c>
    </row>
    <row r="425" spans="5:5" x14ac:dyDescent="0.2">
      <c r="E425" s="134">
        <f t="shared" si="7"/>
        <v>2956001</v>
      </c>
    </row>
    <row r="426" spans="5:5" x14ac:dyDescent="0.2">
      <c r="E426" s="134">
        <f t="shared" si="7"/>
        <v>2956001</v>
      </c>
    </row>
    <row r="427" spans="5:5" x14ac:dyDescent="0.2">
      <c r="E427" s="134">
        <f t="shared" si="7"/>
        <v>2956001</v>
      </c>
    </row>
    <row r="428" spans="5:5" x14ac:dyDescent="0.2">
      <c r="E428" s="134">
        <f t="shared" si="7"/>
        <v>2956001</v>
      </c>
    </row>
    <row r="429" spans="5:5" x14ac:dyDescent="0.2">
      <c r="E429" s="134">
        <f t="shared" si="7"/>
        <v>2956001</v>
      </c>
    </row>
    <row r="430" spans="5:5" x14ac:dyDescent="0.2">
      <c r="E430" s="134">
        <f t="shared" si="7"/>
        <v>2956001</v>
      </c>
    </row>
    <row r="431" spans="5:5" x14ac:dyDescent="0.2">
      <c r="E431" s="134">
        <f t="shared" si="7"/>
        <v>2956001</v>
      </c>
    </row>
    <row r="432" spans="5:5" x14ac:dyDescent="0.2">
      <c r="E432" s="134">
        <f t="shared" si="7"/>
        <v>2956001</v>
      </c>
    </row>
    <row r="433" spans="5:5" x14ac:dyDescent="0.2">
      <c r="E433" s="134">
        <f t="shared" si="7"/>
        <v>2956001</v>
      </c>
    </row>
    <row r="434" spans="5:5" x14ac:dyDescent="0.2">
      <c r="E434" s="134">
        <f t="shared" si="7"/>
        <v>2956001</v>
      </c>
    </row>
    <row r="435" spans="5:5" x14ac:dyDescent="0.2">
      <c r="E435" s="134">
        <f t="shared" si="7"/>
        <v>2956001</v>
      </c>
    </row>
    <row r="436" spans="5:5" x14ac:dyDescent="0.2">
      <c r="E436" s="134">
        <f t="shared" si="7"/>
        <v>2956001</v>
      </c>
    </row>
    <row r="437" spans="5:5" x14ac:dyDescent="0.2">
      <c r="E437" s="134">
        <f t="shared" si="7"/>
        <v>2956001</v>
      </c>
    </row>
    <row r="438" spans="5:5" x14ac:dyDescent="0.2">
      <c r="E438" s="134">
        <f t="shared" si="7"/>
        <v>2956001</v>
      </c>
    </row>
    <row r="439" spans="5:5" x14ac:dyDescent="0.2">
      <c r="E439" s="134">
        <f t="shared" si="7"/>
        <v>2956001</v>
      </c>
    </row>
    <row r="440" spans="5:5" x14ac:dyDescent="0.2">
      <c r="E440" s="134">
        <f t="shared" si="7"/>
        <v>2956001</v>
      </c>
    </row>
    <row r="441" spans="5:5" x14ac:dyDescent="0.2">
      <c r="E441" s="134">
        <f t="shared" si="7"/>
        <v>2956001</v>
      </c>
    </row>
    <row r="442" spans="5:5" x14ac:dyDescent="0.2">
      <c r="E442" s="134">
        <f t="shared" si="7"/>
        <v>2956001</v>
      </c>
    </row>
    <row r="443" spans="5:5" x14ac:dyDescent="0.2">
      <c r="E443" s="134">
        <f t="shared" si="7"/>
        <v>2956001</v>
      </c>
    </row>
    <row r="444" spans="5:5" x14ac:dyDescent="0.2">
      <c r="E444" s="134">
        <f t="shared" si="7"/>
        <v>2956001</v>
      </c>
    </row>
    <row r="445" spans="5:5" x14ac:dyDescent="0.2">
      <c r="E445" s="134">
        <f t="shared" si="7"/>
        <v>2956001</v>
      </c>
    </row>
    <row r="446" spans="5:5" x14ac:dyDescent="0.2">
      <c r="E446" s="134">
        <f t="shared" si="7"/>
        <v>2956001</v>
      </c>
    </row>
    <row r="447" spans="5:5" x14ac:dyDescent="0.2">
      <c r="E447" s="134">
        <f t="shared" si="7"/>
        <v>2956001</v>
      </c>
    </row>
    <row r="448" spans="5:5" x14ac:dyDescent="0.2">
      <c r="E448" s="134">
        <f t="shared" si="7"/>
        <v>2956001</v>
      </c>
    </row>
    <row r="449" spans="5:5" x14ac:dyDescent="0.2">
      <c r="E449" s="134">
        <f t="shared" si="7"/>
        <v>2956001</v>
      </c>
    </row>
    <row r="450" spans="5:5" x14ac:dyDescent="0.2">
      <c r="E450" s="134">
        <f t="shared" si="7"/>
        <v>2956001</v>
      </c>
    </row>
    <row r="451" spans="5:5" x14ac:dyDescent="0.2">
      <c r="E451" s="134">
        <f t="shared" si="7"/>
        <v>2956001</v>
      </c>
    </row>
    <row r="452" spans="5:5" x14ac:dyDescent="0.2">
      <c r="E452" s="134">
        <f t="shared" si="7"/>
        <v>2956001</v>
      </c>
    </row>
    <row r="453" spans="5:5" x14ac:dyDescent="0.2">
      <c r="E453" s="134">
        <f t="shared" si="7"/>
        <v>2956001</v>
      </c>
    </row>
    <row r="454" spans="5:5" x14ac:dyDescent="0.2">
      <c r="E454" s="134">
        <f t="shared" si="7"/>
        <v>2956001</v>
      </c>
    </row>
    <row r="455" spans="5:5" x14ac:dyDescent="0.2">
      <c r="E455" s="134">
        <f t="shared" si="7"/>
        <v>2956001</v>
      </c>
    </row>
    <row r="456" spans="5:5" x14ac:dyDescent="0.2">
      <c r="E456" s="134">
        <f t="shared" si="7"/>
        <v>2956001</v>
      </c>
    </row>
    <row r="457" spans="5:5" x14ac:dyDescent="0.2">
      <c r="E457" s="134">
        <f t="shared" si="7"/>
        <v>2956001</v>
      </c>
    </row>
    <row r="458" spans="5:5" x14ac:dyDescent="0.2">
      <c r="E458" s="134">
        <f t="shared" si="7"/>
        <v>2956001</v>
      </c>
    </row>
    <row r="459" spans="5:5" x14ac:dyDescent="0.2">
      <c r="E459" s="134">
        <f t="shared" si="7"/>
        <v>2956001</v>
      </c>
    </row>
    <row r="460" spans="5:5" x14ac:dyDescent="0.2">
      <c r="E460" s="134">
        <f t="shared" si="7"/>
        <v>2956001</v>
      </c>
    </row>
    <row r="461" spans="5:5" x14ac:dyDescent="0.2">
      <c r="E461" s="134">
        <f t="shared" si="7"/>
        <v>2956001</v>
      </c>
    </row>
    <row r="462" spans="5:5" x14ac:dyDescent="0.2">
      <c r="E462" s="134">
        <f t="shared" si="7"/>
        <v>2956001</v>
      </c>
    </row>
    <row r="463" spans="5:5" x14ac:dyDescent="0.2">
      <c r="E463" s="134">
        <f t="shared" si="7"/>
        <v>2956001</v>
      </c>
    </row>
    <row r="464" spans="5:5" x14ac:dyDescent="0.2">
      <c r="E464" s="134">
        <f t="shared" ref="E464:E503" si="8">+E463+C464-D464</f>
        <v>2956001</v>
      </c>
    </row>
    <row r="465" spans="5:5" x14ac:dyDescent="0.2">
      <c r="E465" s="134">
        <f t="shared" si="8"/>
        <v>2956001</v>
      </c>
    </row>
    <row r="466" spans="5:5" x14ac:dyDescent="0.2">
      <c r="E466" s="134">
        <f t="shared" si="8"/>
        <v>2956001</v>
      </c>
    </row>
    <row r="467" spans="5:5" x14ac:dyDescent="0.2">
      <c r="E467" s="134">
        <f t="shared" si="8"/>
        <v>2956001</v>
      </c>
    </row>
    <row r="468" spans="5:5" x14ac:dyDescent="0.2">
      <c r="E468" s="134">
        <f t="shared" si="8"/>
        <v>2956001</v>
      </c>
    </row>
    <row r="469" spans="5:5" x14ac:dyDescent="0.2">
      <c r="E469" s="134">
        <f t="shared" si="8"/>
        <v>2956001</v>
      </c>
    </row>
    <row r="470" spans="5:5" x14ac:dyDescent="0.2">
      <c r="E470" s="134">
        <f t="shared" si="8"/>
        <v>2956001</v>
      </c>
    </row>
    <row r="471" spans="5:5" x14ac:dyDescent="0.2">
      <c r="E471" s="134">
        <f t="shared" si="8"/>
        <v>2956001</v>
      </c>
    </row>
    <row r="472" spans="5:5" x14ac:dyDescent="0.2">
      <c r="E472" s="134">
        <f t="shared" si="8"/>
        <v>2956001</v>
      </c>
    </row>
    <row r="473" spans="5:5" x14ac:dyDescent="0.2">
      <c r="E473" s="134">
        <f t="shared" si="8"/>
        <v>2956001</v>
      </c>
    </row>
    <row r="474" spans="5:5" x14ac:dyDescent="0.2">
      <c r="E474" s="134">
        <f t="shared" si="8"/>
        <v>2956001</v>
      </c>
    </row>
    <row r="475" spans="5:5" x14ac:dyDescent="0.2">
      <c r="E475" s="134">
        <f t="shared" si="8"/>
        <v>2956001</v>
      </c>
    </row>
    <row r="476" spans="5:5" x14ac:dyDescent="0.2">
      <c r="E476" s="134">
        <f t="shared" si="8"/>
        <v>2956001</v>
      </c>
    </row>
    <row r="477" spans="5:5" x14ac:dyDescent="0.2">
      <c r="E477" s="134">
        <f t="shared" si="8"/>
        <v>2956001</v>
      </c>
    </row>
    <row r="478" spans="5:5" x14ac:dyDescent="0.2">
      <c r="E478" s="134">
        <f t="shared" si="8"/>
        <v>2956001</v>
      </c>
    </row>
    <row r="479" spans="5:5" x14ac:dyDescent="0.2">
      <c r="E479" s="134">
        <f t="shared" si="8"/>
        <v>2956001</v>
      </c>
    </row>
    <row r="480" spans="5:5" x14ac:dyDescent="0.2">
      <c r="E480" s="134">
        <f t="shared" si="8"/>
        <v>2956001</v>
      </c>
    </row>
    <row r="481" spans="5:5" x14ac:dyDescent="0.2">
      <c r="E481" s="134">
        <f t="shared" si="8"/>
        <v>2956001</v>
      </c>
    </row>
    <row r="482" spans="5:5" x14ac:dyDescent="0.2">
      <c r="E482" s="134">
        <f t="shared" si="8"/>
        <v>2956001</v>
      </c>
    </row>
    <row r="483" spans="5:5" x14ac:dyDescent="0.2">
      <c r="E483" s="134">
        <f t="shared" si="8"/>
        <v>2956001</v>
      </c>
    </row>
    <row r="484" spans="5:5" x14ac:dyDescent="0.2">
      <c r="E484" s="134">
        <f t="shared" si="8"/>
        <v>2956001</v>
      </c>
    </row>
    <row r="485" spans="5:5" x14ac:dyDescent="0.2">
      <c r="E485" s="134">
        <f t="shared" si="8"/>
        <v>2956001</v>
      </c>
    </row>
    <row r="486" spans="5:5" x14ac:dyDescent="0.2">
      <c r="E486" s="134">
        <f t="shared" si="8"/>
        <v>2956001</v>
      </c>
    </row>
    <row r="487" spans="5:5" x14ac:dyDescent="0.2">
      <c r="E487" s="134">
        <f t="shared" si="8"/>
        <v>2956001</v>
      </c>
    </row>
    <row r="488" spans="5:5" x14ac:dyDescent="0.2">
      <c r="E488" s="134">
        <f t="shared" si="8"/>
        <v>2956001</v>
      </c>
    </row>
    <row r="489" spans="5:5" x14ac:dyDescent="0.2">
      <c r="E489" s="134">
        <f t="shared" si="8"/>
        <v>2956001</v>
      </c>
    </row>
    <row r="490" spans="5:5" x14ac:dyDescent="0.2">
      <c r="E490" s="134">
        <f t="shared" si="8"/>
        <v>2956001</v>
      </c>
    </row>
    <row r="491" spans="5:5" x14ac:dyDescent="0.2">
      <c r="E491" s="134">
        <f t="shared" si="8"/>
        <v>2956001</v>
      </c>
    </row>
    <row r="492" spans="5:5" x14ac:dyDescent="0.2">
      <c r="E492" s="134">
        <f t="shared" si="8"/>
        <v>2956001</v>
      </c>
    </row>
    <row r="493" spans="5:5" x14ac:dyDescent="0.2">
      <c r="E493" s="134">
        <f t="shared" si="8"/>
        <v>2956001</v>
      </c>
    </row>
    <row r="494" spans="5:5" x14ac:dyDescent="0.2">
      <c r="E494" s="134">
        <f t="shared" si="8"/>
        <v>2956001</v>
      </c>
    </row>
    <row r="495" spans="5:5" x14ac:dyDescent="0.2">
      <c r="E495" s="134">
        <f t="shared" si="8"/>
        <v>2956001</v>
      </c>
    </row>
    <row r="496" spans="5:5" x14ac:dyDescent="0.2">
      <c r="E496" s="134">
        <f t="shared" si="8"/>
        <v>2956001</v>
      </c>
    </row>
    <row r="497" spans="1:5" x14ac:dyDescent="0.2">
      <c r="A497" s="15"/>
      <c r="C497" s="140"/>
      <c r="E497" s="134">
        <f t="shared" si="8"/>
        <v>2956001</v>
      </c>
    </row>
    <row r="498" spans="1:5" x14ac:dyDescent="0.2">
      <c r="A498" s="15"/>
      <c r="C498" s="140"/>
      <c r="E498" s="134">
        <f t="shared" si="8"/>
        <v>2956001</v>
      </c>
    </row>
    <row r="499" spans="1:5" x14ac:dyDescent="0.2">
      <c r="A499" s="15"/>
      <c r="C499" s="140"/>
      <c r="E499" s="134">
        <f t="shared" si="8"/>
        <v>2956001</v>
      </c>
    </row>
    <row r="500" spans="1:5" x14ac:dyDescent="0.2">
      <c r="A500" s="15"/>
      <c r="C500" s="140"/>
      <c r="E500" s="134">
        <f t="shared" si="8"/>
        <v>2956001</v>
      </c>
    </row>
    <row r="501" spans="1:5" x14ac:dyDescent="0.2">
      <c r="A501" s="15"/>
      <c r="C501" s="140"/>
      <c r="E501" s="134">
        <f t="shared" si="8"/>
        <v>2956001</v>
      </c>
    </row>
    <row r="502" spans="1:5" x14ac:dyDescent="0.2">
      <c r="A502" s="15"/>
      <c r="C502" s="140"/>
      <c r="E502" s="134">
        <f t="shared" si="8"/>
        <v>2956001</v>
      </c>
    </row>
    <row r="503" spans="1:5" s="984" customFormat="1" x14ac:dyDescent="0.2">
      <c r="A503" s="981"/>
      <c r="B503" s="206" t="s">
        <v>265</v>
      </c>
      <c r="C503" s="982"/>
      <c r="D503" s="206"/>
      <c r="E503" s="206">
        <f t="shared" si="8"/>
        <v>2956001</v>
      </c>
    </row>
    <row r="504" spans="1:5" x14ac:dyDescent="0.2">
      <c r="A504" s="21"/>
      <c r="B504" s="47"/>
      <c r="C504" s="141"/>
      <c r="D504" s="47"/>
      <c r="E504" s="47"/>
    </row>
    <row r="505" spans="1:5" x14ac:dyDescent="0.2">
      <c r="A505" s="43" t="s">
        <v>103</v>
      </c>
      <c r="B505" s="142"/>
      <c r="C505" s="143">
        <f>SUM(C12:C278)</f>
        <v>0</v>
      </c>
      <c r="D505" s="142">
        <f>SUM(D12:D278)</f>
        <v>0</v>
      </c>
      <c r="E505" s="142"/>
    </row>
  </sheetData>
  <mergeCells count="1">
    <mergeCell ref="A5:E5"/>
  </mergeCells>
  <printOptions horizontalCentered="1"/>
  <pageMargins left="0.15972222222222221" right="0.28333333333333333" top="0.39374999999999999" bottom="0.58333333333333337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7</vt:i4>
      </vt:variant>
    </vt:vector>
  </HeadingPairs>
  <TitlesOfParts>
    <vt:vector size="27" baseType="lpstr">
      <vt:lpstr>Estado de Resultados</vt:lpstr>
      <vt:lpstr>Revisión-Pruebas-Ejercicios</vt:lpstr>
      <vt:lpstr>Códigos</vt:lpstr>
      <vt:lpstr>Hoja1</vt:lpstr>
      <vt:lpstr>INGRESOS A CAJA</vt:lpstr>
      <vt:lpstr>EGRESOS DE CAJA</vt:lpstr>
      <vt:lpstr>ACUM CAJADIARIO</vt:lpstr>
      <vt:lpstr>FACTURACIÓN</vt:lpstr>
      <vt:lpstr>PASIVOS GTFF</vt:lpstr>
      <vt:lpstr>COMITÉ CARTERA</vt:lpstr>
      <vt:lpstr>CARTERA del año</vt:lpstr>
      <vt:lpstr>CARTERA años anteriores</vt:lpstr>
      <vt:lpstr>CARTERA de la OFICINA</vt:lpstr>
      <vt:lpstr>PRESUPUESTOS</vt:lpstr>
      <vt:lpstr>EMPLEADO 1</vt:lpstr>
      <vt:lpstr>EMPLEADO 2</vt:lpstr>
      <vt:lpstr>BANCO</vt:lpstr>
      <vt:lpstr>INVESRIONES</vt:lpstr>
      <vt:lpstr>BANCO 2</vt:lpstr>
      <vt:lpstr>BANCO 3</vt:lpstr>
      <vt:lpstr>BANCO!Área_de_impresión</vt:lpstr>
      <vt:lpstr>'BANCO 2'!Área_de_impresión</vt:lpstr>
      <vt:lpstr>'CARTERA años anteriores'!Área_de_impresión</vt:lpstr>
      <vt:lpstr>Códigos!Área_de_impresión</vt:lpstr>
      <vt:lpstr>'COMITÉ CARTERA'!Área_de_impresión</vt:lpstr>
      <vt:lpstr>'INGRESOS A CAJA'!Área_de_impresión</vt:lpstr>
      <vt:lpstr>'COMITÉ CARTERA'!Títulos_a_imprimir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GERMÁN FERNÁNDEZ</cp:lastModifiedBy>
  <cp:lastPrinted>2025-08-11T16:21:56Z</cp:lastPrinted>
  <dcterms:created xsi:type="dcterms:W3CDTF">2016-10-13T20:28:06Z</dcterms:created>
  <dcterms:modified xsi:type="dcterms:W3CDTF">2025-10-29T18:34:07Z</dcterms:modified>
</cp:coreProperties>
</file>