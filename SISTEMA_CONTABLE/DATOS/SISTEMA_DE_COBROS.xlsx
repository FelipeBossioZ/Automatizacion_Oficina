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2c321e74832d52/OFICINA/FELIPE/Oficina Felipe/Varios/Scripcitos/"/>
    </mc:Choice>
  </mc:AlternateContent>
  <xr:revisionPtr revIDLastSave="79" documentId="8_{98076C2E-FBEE-470A-8B6D-8368D810A250}" xr6:coauthVersionLast="47" xr6:coauthVersionMax="47" xr10:uidLastSave="{0FA93DE6-0F45-41D2-A7A8-15AC10BAEF42}"/>
  <bookViews>
    <workbookView xWindow="-120" yWindow="-120" windowWidth="38640" windowHeight="21120" tabRatio="939" activeTab="2" xr2:uid="{00000000-000D-0000-FFFF-FFFF00000000}"/>
  </bookViews>
  <sheets>
    <sheet name="Grupos Familiares" sheetId="2" r:id="rId1"/>
    <sheet name="Facturas" sheetId="4" r:id="rId2"/>
    <sheet name="Cuentas de Cobro" sheetId="5" r:id="rId3"/>
    <sheet name="Consolidado Cobros" sheetId="1" r:id="rId4"/>
    <sheet name="Otras Asesorías y Préstamos" sheetId="6" r:id="rId5"/>
    <sheet name="Facturas año anterior" sheetId="12" r:id="rId6"/>
    <sheet name="C de C año anterior" sheetId="11" r:id="rId7"/>
    <sheet name="Asesorías AG anterior" sheetId="16" r:id="rId8"/>
    <sheet name="Códigos" sheetId="10" r:id="rId9"/>
    <sheet name="TABLA RetFte" sheetId="15" r:id="rId10"/>
  </sheets>
  <definedNames>
    <definedName name="_xlnm._FilterDatabase" localSheetId="4" hidden="1">'Otras Asesorías y Préstamos'!$A$1:$AB$238</definedName>
    <definedName name="_Toc464338185" localSheetId="9">'TABLA RetFte'!$A$16</definedName>
    <definedName name="_xlnm.Print_Area" localSheetId="3">'Consolidado Cobros'!$A$9:$N$268</definedName>
    <definedName name="_xlnm.Print_Area" localSheetId="2">'Cuentas de Cobro'!$A$8:$D$211</definedName>
    <definedName name="_xlnm.Print_Area" localSheetId="1">Facturas!$A$53:$S$80</definedName>
    <definedName name="_xlnm.Print_Area" localSheetId="0">'Grupos Familiares'!$A$8:$J$507</definedName>
    <definedName name="_xlnm.Print_Area">'Grupos Familiares'!$A$8:$I$85</definedName>
    <definedName name="_xlnm.Print_Titles" localSheetId="3">'Consolidado Cobros'!$2:$8</definedName>
    <definedName name="_xlnm.Print_Titles" localSheetId="2">'Cuentas de Cobro'!$2:$4</definedName>
    <definedName name="_xlnm.Print_Titles" localSheetId="1">Facturas!$2:$7</definedName>
    <definedName name="_xlnm.Print_Titles" localSheetId="0">'Grupos Familiares'!$2:$7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4" i="6" l="1"/>
  <c r="AV14" i="6"/>
  <c r="AU14" i="6"/>
  <c r="AT14" i="6"/>
  <c r="AS14" i="6"/>
  <c r="AR14" i="6"/>
  <c r="AQ14" i="6"/>
  <c r="AP14" i="6"/>
  <c r="AO14" i="6"/>
  <c r="AM14" i="6"/>
  <c r="AL14" i="6"/>
  <c r="AK14" i="6"/>
  <c r="AJ14" i="6"/>
  <c r="AI14" i="6"/>
  <c r="AH14" i="6"/>
  <c r="AG14" i="6"/>
  <c r="L14" i="6" s="1"/>
  <c r="AF14" i="6"/>
  <c r="AE14" i="6"/>
  <c r="AD14" i="6"/>
  <c r="D14" i="6"/>
  <c r="E14" i="6" s="1"/>
  <c r="C14" i="6"/>
  <c r="V14" i="6"/>
  <c r="P14" i="6"/>
  <c r="R14" i="6" s="1"/>
  <c r="G14" i="6"/>
  <c r="A14" i="6"/>
  <c r="X17" i="4"/>
  <c r="Z17" i="4"/>
  <c r="AB17" i="4"/>
  <c r="AD17" i="4"/>
  <c r="AF17" i="4"/>
  <c r="AH17" i="4"/>
  <c r="AJ17" i="4"/>
  <c r="AK17" i="4"/>
  <c r="AL17" i="4"/>
  <c r="AL20" i="4"/>
  <c r="AK20" i="4"/>
  <c r="AL19" i="4"/>
  <c r="AK19" i="4"/>
  <c r="AL18" i="4"/>
  <c r="AK18" i="4"/>
  <c r="AL16" i="4"/>
  <c r="Q16" i="4" s="1"/>
  <c r="AL15" i="4"/>
  <c r="Q15" i="4" s="1"/>
  <c r="AL14" i="4"/>
  <c r="Q14" i="4" s="1"/>
  <c r="D16" i="4"/>
  <c r="E16" i="4" s="1"/>
  <c r="D15" i="4"/>
  <c r="E15" i="4" s="1"/>
  <c r="D14" i="4"/>
  <c r="E14" i="4" s="1"/>
  <c r="C16" i="4"/>
  <c r="C15" i="4"/>
  <c r="C14" i="4"/>
  <c r="AJ16" i="4"/>
  <c r="AH16" i="4"/>
  <c r="AF16" i="4"/>
  <c r="AD16" i="4"/>
  <c r="AB16" i="4"/>
  <c r="Z16" i="4"/>
  <c r="X16" i="4"/>
  <c r="AJ15" i="4"/>
  <c r="AH15" i="4"/>
  <c r="AF15" i="4"/>
  <c r="AD15" i="4"/>
  <c r="AB15" i="4"/>
  <c r="Z15" i="4"/>
  <c r="X15" i="4"/>
  <c r="AJ14" i="4"/>
  <c r="AH14" i="4"/>
  <c r="AF14" i="4"/>
  <c r="AD14" i="4"/>
  <c r="AB14" i="4"/>
  <c r="Z14" i="4"/>
  <c r="X14" i="4"/>
  <c r="J14" i="6" l="1"/>
  <c r="H14" i="6"/>
  <c r="F14" i="6" s="1"/>
  <c r="AK16" i="4" s="1"/>
  <c r="R118" i="6" l="1"/>
  <c r="R117" i="6"/>
  <c r="A4" i="5" l="1"/>
  <c r="A4" i="4"/>
  <c r="A367" i="2"/>
  <c r="A368" i="2" s="1"/>
  <c r="AW238" i="6" l="1"/>
  <c r="AV238" i="6"/>
  <c r="AU238" i="6"/>
  <c r="AT238" i="6"/>
  <c r="AS238" i="6"/>
  <c r="AR238" i="6"/>
  <c r="AQ238" i="6"/>
  <c r="AP238" i="6"/>
  <c r="AO238" i="6"/>
  <c r="AM238" i="6"/>
  <c r="AL238" i="6"/>
  <c r="AK238" i="6"/>
  <c r="AJ238" i="6"/>
  <c r="AI238" i="6"/>
  <c r="AH238" i="6"/>
  <c r="AG238" i="6"/>
  <c r="AF238" i="6"/>
  <c r="AE238" i="6"/>
  <c r="AD238" i="6"/>
  <c r="AW237" i="6"/>
  <c r="AV237" i="6"/>
  <c r="AU237" i="6"/>
  <c r="AT237" i="6"/>
  <c r="AS237" i="6"/>
  <c r="AR237" i="6"/>
  <c r="AQ237" i="6"/>
  <c r="AP237" i="6"/>
  <c r="AO237" i="6"/>
  <c r="AM237" i="6"/>
  <c r="AL237" i="6"/>
  <c r="AK237" i="6"/>
  <c r="AJ237" i="6"/>
  <c r="AI237" i="6"/>
  <c r="AH237" i="6"/>
  <c r="AG237" i="6"/>
  <c r="AF237" i="6"/>
  <c r="AE237" i="6"/>
  <c r="AD237" i="6"/>
  <c r="AW236" i="6"/>
  <c r="AV236" i="6"/>
  <c r="AU236" i="6"/>
  <c r="AT236" i="6"/>
  <c r="AS236" i="6"/>
  <c r="AR236" i="6"/>
  <c r="AQ236" i="6"/>
  <c r="AP236" i="6"/>
  <c r="AO236" i="6"/>
  <c r="AM236" i="6"/>
  <c r="AL236" i="6"/>
  <c r="AK236" i="6"/>
  <c r="AJ236" i="6"/>
  <c r="AI236" i="6"/>
  <c r="AH236" i="6"/>
  <c r="AG236" i="6"/>
  <c r="AF236" i="6"/>
  <c r="AE236" i="6"/>
  <c r="AD236" i="6"/>
  <c r="AW235" i="6"/>
  <c r="AV235" i="6"/>
  <c r="AU235" i="6"/>
  <c r="AT235" i="6"/>
  <c r="AS235" i="6"/>
  <c r="AR235" i="6"/>
  <c r="AQ235" i="6"/>
  <c r="AP235" i="6"/>
  <c r="AO235" i="6"/>
  <c r="AM235" i="6"/>
  <c r="AL235" i="6"/>
  <c r="AK235" i="6"/>
  <c r="AJ235" i="6"/>
  <c r="AI235" i="6"/>
  <c r="AH235" i="6"/>
  <c r="AG235" i="6"/>
  <c r="AF235" i="6"/>
  <c r="AE235" i="6"/>
  <c r="AD235" i="6"/>
  <c r="AW118" i="6"/>
  <c r="AV118" i="6"/>
  <c r="AU118" i="6"/>
  <c r="AT118" i="6"/>
  <c r="AS118" i="6"/>
  <c r="AR118" i="6"/>
  <c r="AQ118" i="6"/>
  <c r="AP118" i="6"/>
  <c r="AO118" i="6"/>
  <c r="AM118" i="6"/>
  <c r="AL118" i="6"/>
  <c r="AK118" i="6"/>
  <c r="AJ118" i="6"/>
  <c r="AI118" i="6"/>
  <c r="AH118" i="6"/>
  <c r="AG118" i="6"/>
  <c r="AF118" i="6"/>
  <c r="AE118" i="6"/>
  <c r="AD118" i="6"/>
  <c r="AW117" i="6"/>
  <c r="AV117" i="6"/>
  <c r="AU117" i="6"/>
  <c r="AT117" i="6"/>
  <c r="AS117" i="6"/>
  <c r="AR117" i="6"/>
  <c r="AQ117" i="6"/>
  <c r="AP117" i="6"/>
  <c r="AO117" i="6"/>
  <c r="AM117" i="6"/>
  <c r="AL117" i="6"/>
  <c r="AK117" i="6"/>
  <c r="AJ117" i="6"/>
  <c r="AI117" i="6"/>
  <c r="AH117" i="6"/>
  <c r="AG117" i="6"/>
  <c r="AF117" i="6"/>
  <c r="AE117" i="6"/>
  <c r="AD117" i="6"/>
  <c r="AW13" i="6"/>
  <c r="AV13" i="6"/>
  <c r="AU13" i="6"/>
  <c r="AT13" i="6"/>
  <c r="AS13" i="6"/>
  <c r="AR13" i="6"/>
  <c r="AQ13" i="6"/>
  <c r="AP13" i="6"/>
  <c r="AO13" i="6"/>
  <c r="AM13" i="6"/>
  <c r="AL13" i="6"/>
  <c r="AK13" i="6"/>
  <c r="AJ13" i="6"/>
  <c r="AI13" i="6"/>
  <c r="AH13" i="6"/>
  <c r="AG13" i="6"/>
  <c r="AF13" i="6"/>
  <c r="AE13" i="6"/>
  <c r="AD13" i="6"/>
  <c r="AW12" i="6"/>
  <c r="AV12" i="6"/>
  <c r="AU12" i="6"/>
  <c r="AT12" i="6"/>
  <c r="AS12" i="6"/>
  <c r="AR12" i="6"/>
  <c r="AQ12" i="6"/>
  <c r="AP12" i="6"/>
  <c r="AO12" i="6"/>
  <c r="AM12" i="6"/>
  <c r="AL12" i="6"/>
  <c r="AK12" i="6"/>
  <c r="AJ12" i="6"/>
  <c r="AI12" i="6"/>
  <c r="AH12" i="6"/>
  <c r="AG12" i="6"/>
  <c r="AF12" i="6"/>
  <c r="AE12" i="6"/>
  <c r="AD12" i="6"/>
  <c r="AW11" i="6"/>
  <c r="AV11" i="6"/>
  <c r="AU11" i="6"/>
  <c r="AT11" i="6"/>
  <c r="AS11" i="6"/>
  <c r="AR11" i="6"/>
  <c r="AQ11" i="6"/>
  <c r="AP11" i="6"/>
  <c r="AO11" i="6"/>
  <c r="AM11" i="6"/>
  <c r="AL11" i="6"/>
  <c r="AK11" i="6"/>
  <c r="AJ11" i="6"/>
  <c r="AI11" i="6"/>
  <c r="AH11" i="6"/>
  <c r="AG11" i="6"/>
  <c r="AF11" i="6"/>
  <c r="AE11" i="6"/>
  <c r="AD11" i="6"/>
  <c r="AW10" i="6"/>
  <c r="AV10" i="6"/>
  <c r="AU10" i="6"/>
  <c r="AT10" i="6"/>
  <c r="AS10" i="6"/>
  <c r="AR10" i="6"/>
  <c r="AQ10" i="6"/>
  <c r="AP10" i="6"/>
  <c r="AO10" i="6"/>
  <c r="AM10" i="6"/>
  <c r="AL10" i="6"/>
  <c r="AK10" i="6"/>
  <c r="AJ10" i="6"/>
  <c r="AI10" i="6"/>
  <c r="AH10" i="6"/>
  <c r="AG10" i="6"/>
  <c r="AF10" i="6"/>
  <c r="AE10" i="6"/>
  <c r="AD10" i="6"/>
  <c r="AW9" i="6"/>
  <c r="AV9" i="6"/>
  <c r="AU9" i="6"/>
  <c r="AT9" i="6"/>
  <c r="AS9" i="6"/>
  <c r="AR9" i="6"/>
  <c r="AQ9" i="6"/>
  <c r="AP9" i="6"/>
  <c r="AO9" i="6"/>
  <c r="AM9" i="6"/>
  <c r="AL9" i="6"/>
  <c r="AK9" i="6"/>
  <c r="AJ9" i="6"/>
  <c r="AI9" i="6"/>
  <c r="AH9" i="6"/>
  <c r="AG9" i="6"/>
  <c r="AF9" i="6"/>
  <c r="AE9" i="6"/>
  <c r="AD9" i="6"/>
  <c r="AW8" i="6"/>
  <c r="AV8" i="6"/>
  <c r="AU8" i="6"/>
  <c r="AT8" i="6"/>
  <c r="AS8" i="6"/>
  <c r="AR8" i="6"/>
  <c r="AQ8" i="6"/>
  <c r="AP8" i="6"/>
  <c r="AO8" i="6"/>
  <c r="AM8" i="6"/>
  <c r="AL8" i="6"/>
  <c r="AK8" i="6"/>
  <c r="AJ8" i="6"/>
  <c r="AI8" i="6"/>
  <c r="AH8" i="6"/>
  <c r="AG8" i="6"/>
  <c r="AF8" i="6"/>
  <c r="AE8" i="6"/>
  <c r="AD8" i="6"/>
  <c r="AW7" i="6"/>
  <c r="AV7" i="6"/>
  <c r="AU7" i="6"/>
  <c r="AT7" i="6"/>
  <c r="AS7" i="6"/>
  <c r="AR7" i="6"/>
  <c r="AQ7" i="6"/>
  <c r="AP7" i="6"/>
  <c r="AO7" i="6"/>
  <c r="AM7" i="6"/>
  <c r="AL7" i="6"/>
  <c r="AK7" i="6"/>
  <c r="AJ7" i="6"/>
  <c r="AI7" i="6"/>
  <c r="AH7" i="6"/>
  <c r="AG7" i="6"/>
  <c r="AF7" i="6"/>
  <c r="AD7" i="6"/>
  <c r="AE7" i="6"/>
  <c r="D222" i="5" l="1"/>
  <c r="Q186" i="5"/>
  <c r="Q185" i="5"/>
  <c r="Q184" i="5"/>
  <c r="Q183" i="5"/>
  <c r="Q182" i="5"/>
  <c r="Q181" i="5"/>
  <c r="Q180" i="5"/>
  <c r="Q179" i="5"/>
  <c r="Q178" i="5"/>
  <c r="V77" i="4"/>
  <c r="V76" i="4"/>
  <c r="V75" i="4"/>
  <c r="V46" i="4"/>
  <c r="V45" i="4"/>
  <c r="V44" i="4"/>
  <c r="V43" i="4"/>
  <c r="V42" i="4"/>
  <c r="V41" i="4"/>
  <c r="V40" i="4"/>
  <c r="V39" i="4"/>
  <c r="V38" i="4"/>
  <c r="A3" i="10" l="1"/>
  <c r="A379" i="10"/>
  <c r="A380" i="10" s="1"/>
  <c r="A381" i="10" s="1"/>
  <c r="A382" i="10" s="1"/>
  <c r="A383" i="10" s="1"/>
  <c r="A384" i="10" s="1"/>
  <c r="A385" i="10" s="1"/>
  <c r="A386" i="10" s="1"/>
  <c r="A387" i="10" s="1"/>
  <c r="A388" i="10" s="1"/>
  <c r="C7" i="6" l="1"/>
  <c r="AV240" i="6" l="1"/>
  <c r="AT240" i="6"/>
  <c r="AR240" i="6"/>
  <c r="AQ240" i="6"/>
  <c r="AP240" i="6"/>
  <c r="AN240" i="6"/>
  <c r="AM240" i="6"/>
  <c r="AK240" i="6"/>
  <c r="AI240" i="6"/>
  <c r="AG240" i="6"/>
  <c r="AE240" i="6"/>
  <c r="I10" i="4" l="1"/>
  <c r="D13" i="6" l="1"/>
  <c r="D12" i="6"/>
  <c r="D11" i="6"/>
  <c r="D10" i="6"/>
  <c r="D9" i="6"/>
  <c r="D8" i="6"/>
  <c r="D7" i="6"/>
  <c r="D9" i="5"/>
  <c r="AH34" i="4"/>
  <c r="AF34" i="4"/>
  <c r="AD34" i="4"/>
  <c r="AB34" i="4"/>
  <c r="Z34" i="4"/>
  <c r="D224" i="5" l="1"/>
  <c r="D221" i="5" l="1"/>
  <c r="E13" i="6" l="1"/>
  <c r="E12" i="6"/>
  <c r="E11" i="6"/>
  <c r="E10" i="6"/>
  <c r="E9" i="6"/>
  <c r="E8" i="6"/>
  <c r="AL34" i="4"/>
  <c r="V13" i="6"/>
  <c r="G13" i="6" s="1"/>
  <c r="P13" i="6"/>
  <c r="R13" i="6" s="1"/>
  <c r="C13" i="6"/>
  <c r="V12" i="6"/>
  <c r="G12" i="6" s="1"/>
  <c r="P12" i="6"/>
  <c r="R12" i="6" s="1"/>
  <c r="C12" i="6"/>
  <c r="V11" i="6"/>
  <c r="G11" i="6" s="1"/>
  <c r="C11" i="6"/>
  <c r="V10" i="6"/>
  <c r="G10" i="6" s="1"/>
  <c r="P10" i="6"/>
  <c r="R10" i="6" s="1"/>
  <c r="C10" i="6"/>
  <c r="V9" i="6"/>
  <c r="G9" i="6" s="1"/>
  <c r="P9" i="6"/>
  <c r="C9" i="6"/>
  <c r="V8" i="6"/>
  <c r="G8" i="6" s="1"/>
  <c r="P8" i="6"/>
  <c r="C8" i="6"/>
  <c r="AL46" i="4" l="1"/>
  <c r="AK46" i="4"/>
  <c r="AJ46" i="4"/>
  <c r="AH46" i="4"/>
  <c r="AF46" i="4"/>
  <c r="AD46" i="4"/>
  <c r="AB46" i="4"/>
  <c r="Z46" i="4"/>
  <c r="X46" i="4"/>
  <c r="AL45" i="4"/>
  <c r="AK45" i="4"/>
  <c r="AJ45" i="4"/>
  <c r="AH45" i="4"/>
  <c r="AF45" i="4"/>
  <c r="AD45" i="4"/>
  <c r="AB45" i="4"/>
  <c r="Z45" i="4"/>
  <c r="X45" i="4"/>
  <c r="AL44" i="4"/>
  <c r="AK44" i="4"/>
  <c r="AJ44" i="4"/>
  <c r="AH44" i="4"/>
  <c r="AF44" i="4"/>
  <c r="AD44" i="4"/>
  <c r="AB44" i="4"/>
  <c r="Z44" i="4"/>
  <c r="X44" i="4"/>
  <c r="AL43" i="4"/>
  <c r="AK43" i="4"/>
  <c r="AJ43" i="4"/>
  <c r="AH43" i="4"/>
  <c r="AF43" i="4"/>
  <c r="AD43" i="4"/>
  <c r="AB43" i="4"/>
  <c r="Z43" i="4"/>
  <c r="X43" i="4"/>
  <c r="AL42" i="4"/>
  <c r="AK42" i="4"/>
  <c r="AJ42" i="4"/>
  <c r="AH42" i="4"/>
  <c r="AF42" i="4"/>
  <c r="AD42" i="4"/>
  <c r="AB42" i="4"/>
  <c r="Z42" i="4"/>
  <c r="X42" i="4"/>
  <c r="AL41" i="4"/>
  <c r="AK41" i="4"/>
  <c r="AJ41" i="4"/>
  <c r="AH41" i="4"/>
  <c r="AF41" i="4"/>
  <c r="AD41" i="4"/>
  <c r="AB41" i="4"/>
  <c r="Z41" i="4"/>
  <c r="X41" i="4"/>
  <c r="AL40" i="4"/>
  <c r="AK40" i="4"/>
  <c r="AJ40" i="4"/>
  <c r="AH40" i="4"/>
  <c r="AF40" i="4"/>
  <c r="AD40" i="4"/>
  <c r="AB40" i="4"/>
  <c r="Z40" i="4"/>
  <c r="X40" i="4"/>
  <c r="AL39" i="4"/>
  <c r="AK39" i="4"/>
  <c r="AJ39" i="4"/>
  <c r="AH39" i="4"/>
  <c r="AF39" i="4"/>
  <c r="AD39" i="4"/>
  <c r="AB39" i="4"/>
  <c r="Z39" i="4"/>
  <c r="X39" i="4"/>
  <c r="AL38" i="4"/>
  <c r="AK38" i="4"/>
  <c r="AJ38" i="4"/>
  <c r="AH38" i="4"/>
  <c r="AF38" i="4"/>
  <c r="AD38" i="4"/>
  <c r="AB38" i="4"/>
  <c r="Z38" i="4"/>
  <c r="X38" i="4"/>
  <c r="AJ37" i="4"/>
  <c r="AH37" i="4"/>
  <c r="AF37" i="4"/>
  <c r="AD37" i="4"/>
  <c r="AB37" i="4"/>
  <c r="Z37" i="4"/>
  <c r="X37" i="4"/>
  <c r="AJ36" i="4"/>
  <c r="AH36" i="4"/>
  <c r="AF36" i="4"/>
  <c r="AD36" i="4"/>
  <c r="AB36" i="4"/>
  <c r="Z36" i="4"/>
  <c r="X36" i="4"/>
  <c r="AJ35" i="4"/>
  <c r="AH35" i="4"/>
  <c r="AF35" i="4"/>
  <c r="AD35" i="4"/>
  <c r="AB35" i="4"/>
  <c r="Z35" i="4"/>
  <c r="X35" i="4"/>
  <c r="AJ33" i="4"/>
  <c r="AH33" i="4"/>
  <c r="AF33" i="4"/>
  <c r="AD33" i="4"/>
  <c r="AB33" i="4"/>
  <c r="Z33" i="4"/>
  <c r="X33" i="4"/>
  <c r="AJ32" i="4"/>
  <c r="AH32" i="4"/>
  <c r="AF32" i="4"/>
  <c r="AD32" i="4"/>
  <c r="AB32" i="4"/>
  <c r="Z32" i="4"/>
  <c r="X32" i="4"/>
  <c r="AJ31" i="4"/>
  <c r="AH31" i="4"/>
  <c r="AF31" i="4"/>
  <c r="AD31" i="4"/>
  <c r="AB31" i="4"/>
  <c r="Z31" i="4"/>
  <c r="X31" i="4"/>
  <c r="AH30" i="4"/>
  <c r="AF30" i="4"/>
  <c r="AD30" i="4"/>
  <c r="AB30" i="4"/>
  <c r="Z30" i="4"/>
  <c r="X30" i="4"/>
  <c r="AJ29" i="4"/>
  <c r="AF29" i="4"/>
  <c r="AD29" i="4"/>
  <c r="AB29" i="4"/>
  <c r="X29" i="4"/>
  <c r="AJ28" i="4"/>
  <c r="AH28" i="4"/>
  <c r="AF28" i="4"/>
  <c r="AD28" i="4"/>
  <c r="AB28" i="4"/>
  <c r="Z28" i="4"/>
  <c r="X28" i="4"/>
  <c r="AJ27" i="4"/>
  <c r="AH27" i="4"/>
  <c r="AF27" i="4"/>
  <c r="AD27" i="4"/>
  <c r="AB27" i="4"/>
  <c r="Z27" i="4"/>
  <c r="X27" i="4"/>
  <c r="AJ26" i="4"/>
  <c r="AH26" i="4"/>
  <c r="AF26" i="4"/>
  <c r="AD26" i="4"/>
  <c r="AB26" i="4"/>
  <c r="Z26" i="4"/>
  <c r="X26" i="4"/>
  <c r="AH25" i="4"/>
  <c r="AF25" i="4"/>
  <c r="AD25" i="4"/>
  <c r="AB25" i="4"/>
  <c r="Z25" i="4"/>
  <c r="X25" i="4"/>
  <c r="AJ24" i="4"/>
  <c r="AH24" i="4"/>
  <c r="AF24" i="4"/>
  <c r="AD24" i="4"/>
  <c r="AB24" i="4"/>
  <c r="Z24" i="4"/>
  <c r="X24" i="4"/>
  <c r="AH23" i="4"/>
  <c r="AF23" i="4"/>
  <c r="AD23" i="4"/>
  <c r="AB23" i="4"/>
  <c r="Z23" i="4"/>
  <c r="X23" i="4"/>
  <c r="AH22" i="4"/>
  <c r="AF22" i="4"/>
  <c r="AD22" i="4"/>
  <c r="AB22" i="4"/>
  <c r="Z22" i="4"/>
  <c r="X22" i="4"/>
  <c r="AH21" i="4"/>
  <c r="AF21" i="4"/>
  <c r="AD21" i="4"/>
  <c r="AB21" i="4"/>
  <c r="Z21" i="4"/>
  <c r="X21" i="4"/>
  <c r="AJ20" i="4"/>
  <c r="AH20" i="4"/>
  <c r="AF20" i="4"/>
  <c r="AD20" i="4"/>
  <c r="AB20" i="4"/>
  <c r="Z20" i="4"/>
  <c r="X20" i="4"/>
  <c r="AJ19" i="4"/>
  <c r="AH19" i="4"/>
  <c r="AF19" i="4"/>
  <c r="AD19" i="4"/>
  <c r="AB19" i="4"/>
  <c r="Z19" i="4"/>
  <c r="X19" i="4"/>
  <c r="AH18" i="4"/>
  <c r="AF18" i="4"/>
  <c r="AD18" i="4"/>
  <c r="AB18" i="4"/>
  <c r="Z18" i="4"/>
  <c r="X18" i="4"/>
  <c r="AJ13" i="4"/>
  <c r="AH13" i="4"/>
  <c r="AF13" i="4"/>
  <c r="AD13" i="4"/>
  <c r="AB13" i="4"/>
  <c r="Z13" i="4"/>
  <c r="X13" i="4"/>
  <c r="AJ12" i="4"/>
  <c r="AH12" i="4"/>
  <c r="AF12" i="4"/>
  <c r="AD12" i="4"/>
  <c r="AB12" i="4"/>
  <c r="AJ11" i="4"/>
  <c r="AH11" i="4"/>
  <c r="AF11" i="4"/>
  <c r="AD11" i="4"/>
  <c r="AB11" i="4"/>
  <c r="Z11" i="4"/>
  <c r="X11" i="4"/>
  <c r="AH10" i="4"/>
  <c r="AF10" i="4"/>
  <c r="AD10" i="4"/>
  <c r="AB10" i="4"/>
  <c r="X10" i="4"/>
  <c r="AG210" i="5"/>
  <c r="AF210" i="5"/>
  <c r="AE210" i="5"/>
  <c r="AC210" i="5"/>
  <c r="AA210" i="5"/>
  <c r="Y210" i="5"/>
  <c r="W210" i="5"/>
  <c r="U210" i="5"/>
  <c r="S210" i="5"/>
  <c r="Q210" i="5"/>
  <c r="AG209" i="5"/>
  <c r="AF209" i="5"/>
  <c r="AE209" i="5"/>
  <c r="AC209" i="5"/>
  <c r="AA209" i="5"/>
  <c r="Y209" i="5"/>
  <c r="W209" i="5"/>
  <c r="U209" i="5"/>
  <c r="S209" i="5"/>
  <c r="Q209" i="5"/>
  <c r="AG208" i="5"/>
  <c r="AF208" i="5"/>
  <c r="AE208" i="5"/>
  <c r="AC208" i="5"/>
  <c r="AA208" i="5"/>
  <c r="Y208" i="5"/>
  <c r="W208" i="5"/>
  <c r="U208" i="5"/>
  <c r="S208" i="5"/>
  <c r="Q208" i="5"/>
  <c r="AG186" i="5"/>
  <c r="AF186" i="5"/>
  <c r="AE186" i="5"/>
  <c r="AC186" i="5"/>
  <c r="AA186" i="5"/>
  <c r="Y186" i="5"/>
  <c r="W186" i="5"/>
  <c r="U186" i="5"/>
  <c r="S186" i="5"/>
  <c r="AG185" i="5"/>
  <c r="AF185" i="5"/>
  <c r="AE185" i="5"/>
  <c r="AC185" i="5"/>
  <c r="AA185" i="5"/>
  <c r="Y185" i="5"/>
  <c r="W185" i="5"/>
  <c r="U185" i="5"/>
  <c r="S185" i="5"/>
  <c r="AG184" i="5"/>
  <c r="AF184" i="5"/>
  <c r="AE184" i="5"/>
  <c r="AC184" i="5"/>
  <c r="AA184" i="5"/>
  <c r="Y184" i="5"/>
  <c r="W184" i="5"/>
  <c r="U184" i="5"/>
  <c r="S184" i="5"/>
  <c r="AG183" i="5"/>
  <c r="AF183" i="5"/>
  <c r="AE183" i="5"/>
  <c r="AC183" i="5"/>
  <c r="AA183" i="5"/>
  <c r="Y183" i="5"/>
  <c r="W183" i="5"/>
  <c r="U183" i="5"/>
  <c r="S183" i="5"/>
  <c r="AG182" i="5"/>
  <c r="AF182" i="5"/>
  <c r="AE182" i="5"/>
  <c r="AC182" i="5"/>
  <c r="AA182" i="5"/>
  <c r="Y182" i="5"/>
  <c r="W182" i="5"/>
  <c r="U182" i="5"/>
  <c r="S182" i="5"/>
  <c r="AG181" i="5"/>
  <c r="AF181" i="5"/>
  <c r="AE181" i="5"/>
  <c r="AC181" i="5"/>
  <c r="AA181" i="5"/>
  <c r="Y181" i="5"/>
  <c r="W181" i="5"/>
  <c r="U181" i="5"/>
  <c r="S181" i="5"/>
  <c r="AG180" i="5"/>
  <c r="AF180" i="5"/>
  <c r="AE180" i="5"/>
  <c r="AC180" i="5"/>
  <c r="AA180" i="5"/>
  <c r="Y180" i="5"/>
  <c r="W180" i="5"/>
  <c r="U180" i="5"/>
  <c r="S180" i="5"/>
  <c r="AG179" i="5"/>
  <c r="AF179" i="5"/>
  <c r="AE179" i="5"/>
  <c r="AC179" i="5"/>
  <c r="AA179" i="5"/>
  <c r="Y179" i="5"/>
  <c r="W179" i="5"/>
  <c r="U179" i="5"/>
  <c r="S179" i="5"/>
  <c r="AE178" i="5"/>
  <c r="AC178" i="5"/>
  <c r="AA178" i="5"/>
  <c r="Y178" i="5"/>
  <c r="W178" i="5"/>
  <c r="U178" i="5"/>
  <c r="S178" i="5"/>
  <c r="AE16" i="5"/>
  <c r="AC16" i="5"/>
  <c r="AA16" i="5"/>
  <c r="Y16" i="5"/>
  <c r="W16" i="5"/>
  <c r="U16" i="5"/>
  <c r="S16" i="5"/>
  <c r="AE15" i="5"/>
  <c r="AC15" i="5"/>
  <c r="AA15" i="5"/>
  <c r="Y15" i="5"/>
  <c r="W15" i="5"/>
  <c r="U15" i="5"/>
  <c r="S15" i="5"/>
  <c r="AE14" i="5"/>
  <c r="AC14" i="5"/>
  <c r="AA14" i="5"/>
  <c r="Y14" i="5"/>
  <c r="W14" i="5"/>
  <c r="U14" i="5"/>
  <c r="AE13" i="5"/>
  <c r="AC13" i="5"/>
  <c r="AA13" i="5"/>
  <c r="Y13" i="5"/>
  <c r="W13" i="5"/>
  <c r="U13" i="5"/>
  <c r="S13" i="5"/>
  <c r="AE12" i="5"/>
  <c r="AC12" i="5"/>
  <c r="AA12" i="5"/>
  <c r="Y12" i="5"/>
  <c r="W12" i="5"/>
  <c r="U12" i="5"/>
  <c r="S12" i="5"/>
  <c r="AE11" i="5"/>
  <c r="AC11" i="5"/>
  <c r="AA11" i="5"/>
  <c r="Y11" i="5"/>
  <c r="W11" i="5"/>
  <c r="U11" i="5"/>
  <c r="S11" i="5"/>
  <c r="AE10" i="5"/>
  <c r="AC10" i="5"/>
  <c r="AA10" i="5"/>
  <c r="Y10" i="5"/>
  <c r="W10" i="5"/>
  <c r="U10" i="5"/>
  <c r="S10" i="5"/>
  <c r="D9" i="4"/>
  <c r="C9" i="4"/>
  <c r="A1" i="5"/>
  <c r="A1" i="1"/>
  <c r="A2" i="5"/>
  <c r="A2" i="4"/>
  <c r="U9" i="5"/>
  <c r="W9" i="5"/>
  <c r="Y9" i="5"/>
  <c r="AA9" i="5"/>
  <c r="AC9" i="5"/>
  <c r="AE9" i="5"/>
  <c r="S9" i="5"/>
  <c r="AM39" i="4" l="1"/>
  <c r="AH208" i="5"/>
  <c r="AM42" i="4"/>
  <c r="AM43" i="4"/>
  <c r="AM38" i="4"/>
  <c r="AH186" i="5"/>
  <c r="AH183" i="5"/>
  <c r="AM45" i="4"/>
  <c r="AM44" i="4"/>
  <c r="AH179" i="5"/>
  <c r="AH181" i="5"/>
  <c r="AH210" i="5"/>
  <c r="AM40" i="4"/>
  <c r="AH182" i="5"/>
  <c r="AH185" i="5"/>
  <c r="AH180" i="5"/>
  <c r="AH184" i="5"/>
  <c r="AH209" i="5"/>
  <c r="AM41" i="4"/>
  <c r="AM46" i="4"/>
  <c r="C215" i="5"/>
  <c r="D16" i="5"/>
  <c r="D15" i="5"/>
  <c r="D14" i="5"/>
  <c r="D13" i="5"/>
  <c r="D12" i="5"/>
  <c r="D11" i="5"/>
  <c r="D10" i="5"/>
  <c r="D13" i="4"/>
  <c r="D12" i="4"/>
  <c r="D11" i="4"/>
  <c r="D10" i="4"/>
  <c r="D17" i="1"/>
  <c r="D16" i="1"/>
  <c r="D15" i="1"/>
  <c r="D14" i="1"/>
  <c r="D13" i="1"/>
  <c r="D12" i="1"/>
  <c r="D11" i="1"/>
  <c r="D10" i="1"/>
  <c r="E10" i="1"/>
  <c r="O49" i="2"/>
  <c r="O45" i="2"/>
  <c r="O26" i="2"/>
  <c r="O22" i="2"/>
  <c r="O12" i="2"/>
  <c r="P238" i="6"/>
  <c r="P237" i="6"/>
  <c r="P236" i="6"/>
  <c r="P235" i="6"/>
  <c r="E13" i="4" l="1"/>
  <c r="C13" i="4"/>
  <c r="E12" i="4"/>
  <c r="C12" i="4"/>
  <c r="E11" i="4"/>
  <c r="C11" i="4"/>
  <c r="E10" i="4"/>
  <c r="C10" i="4"/>
  <c r="AJ9" i="4"/>
  <c r="AH9" i="4"/>
  <c r="AF9" i="4"/>
  <c r="AD9" i="4"/>
  <c r="AB9" i="4"/>
  <c r="Z9" i="4"/>
  <c r="X9" i="4"/>
  <c r="E9" i="4"/>
  <c r="A10" i="4"/>
  <c r="A11" i="4" s="1"/>
  <c r="A12" i="4" s="1"/>
  <c r="A13" i="4" s="1"/>
  <c r="E15" i="5"/>
  <c r="C15" i="5"/>
  <c r="A14" i="4" l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C51" i="4" s="1"/>
  <c r="A151" i="2" l="1"/>
  <c r="A155" i="2"/>
  <c r="L7" i="2" l="1"/>
  <c r="A546" i="2"/>
  <c r="B10" i="15"/>
  <c r="L437" i="2" l="1"/>
  <c r="M437" i="2" s="1"/>
  <c r="O437" i="2" l="1"/>
  <c r="P437" i="2"/>
  <c r="A28" i="15"/>
  <c r="A27" i="15"/>
  <c r="A26" i="15"/>
  <c r="A25" i="15"/>
  <c r="A24" i="15"/>
  <c r="A23" i="15"/>
  <c r="AL28" i="4" l="1"/>
  <c r="Q28" i="4" s="1"/>
  <c r="Z213" i="5" l="1"/>
  <c r="AD49" i="4" l="1"/>
  <c r="P7" i="6"/>
  <c r="AL77" i="4" l="1"/>
  <c r="AK77" i="4"/>
  <c r="AJ77" i="4"/>
  <c r="AH77" i="4"/>
  <c r="AF77" i="4"/>
  <c r="Z77" i="4"/>
  <c r="X77" i="4"/>
  <c r="AL76" i="4"/>
  <c r="AK76" i="4"/>
  <c r="AJ76" i="4"/>
  <c r="AH76" i="4"/>
  <c r="AF76" i="4"/>
  <c r="Z76" i="4"/>
  <c r="X76" i="4"/>
  <c r="AL75" i="4"/>
  <c r="AK75" i="4"/>
  <c r="AJ75" i="4"/>
  <c r="AH75" i="4"/>
  <c r="AF75" i="4"/>
  <c r="Z75" i="4"/>
  <c r="X75" i="4"/>
  <c r="E7" i="6"/>
  <c r="E16" i="5"/>
  <c r="C16" i="5"/>
  <c r="E14" i="5"/>
  <c r="C14" i="5"/>
  <c r="E13" i="5"/>
  <c r="C13" i="5"/>
  <c r="E12" i="5"/>
  <c r="C12" i="5"/>
  <c r="E11" i="5"/>
  <c r="C11" i="5"/>
  <c r="E10" i="5"/>
  <c r="C10" i="5"/>
  <c r="E9" i="5"/>
  <c r="C9" i="5"/>
  <c r="V7" i="6"/>
  <c r="AM76" i="4" l="1"/>
  <c r="AM75" i="4"/>
  <c r="AM77" i="4"/>
  <c r="AG9" i="5"/>
  <c r="G7" i="6"/>
  <c r="A8" i="6" l="1"/>
  <c r="A9" i="6" s="1"/>
  <c r="A10" i="6" s="1"/>
  <c r="A11" i="6" s="1"/>
  <c r="A12" i="6" s="1"/>
  <c r="A13" i="6" s="1"/>
  <c r="AG10" i="5"/>
  <c r="AG11" i="5"/>
  <c r="AG12" i="5"/>
  <c r="AG13" i="5"/>
  <c r="AG14" i="5"/>
  <c r="AG15" i="5"/>
  <c r="AG16" i="5"/>
  <c r="AL9" i="4"/>
  <c r="Q9" i="4" s="1"/>
  <c r="AL33" i="4"/>
  <c r="Q33" i="4" s="1"/>
  <c r="AG178" i="5"/>
  <c r="V235" i="6"/>
  <c r="V236" i="6"/>
  <c r="V237" i="6"/>
  <c r="V238" i="6"/>
  <c r="N240" i="6"/>
  <c r="Q240" i="6"/>
  <c r="U240" i="6"/>
  <c r="X240" i="6"/>
  <c r="Z240" i="6"/>
  <c r="AB240" i="6"/>
  <c r="L5" i="1"/>
  <c r="AL21" i="4" l="1"/>
  <c r="Q21" i="4" s="1"/>
  <c r="AL25" i="4"/>
  <c r="Q25" i="4" s="1"/>
  <c r="AL12" i="4"/>
  <c r="Q12" i="4" s="1"/>
  <c r="AL32" i="4"/>
  <c r="Q32" i="4" s="1"/>
  <c r="AL35" i="4"/>
  <c r="Q35" i="4" s="1"/>
  <c r="AL30" i="4"/>
  <c r="Q30" i="4" s="1"/>
  <c r="AL11" i="4"/>
  <c r="Q11" i="4" s="1"/>
  <c r="AL37" i="4"/>
  <c r="Q37" i="4" s="1"/>
  <c r="AL31" i="4"/>
  <c r="Q31" i="4" s="1"/>
  <c r="AL23" i="4"/>
  <c r="Q23" i="4" s="1"/>
  <c r="Q20" i="4"/>
  <c r="AL36" i="4"/>
  <c r="Q36" i="4" s="1"/>
  <c r="AL24" i="4"/>
  <c r="Q24" i="4" s="1"/>
  <c r="AL29" i="4"/>
  <c r="Q29" i="4" s="1"/>
  <c r="Q18" i="4"/>
  <c r="AL13" i="4"/>
  <c r="Q13" i="4" s="1"/>
  <c r="AL10" i="4"/>
  <c r="Q10" i="4" s="1"/>
  <c r="AL22" i="4"/>
  <c r="Q22" i="4" s="1"/>
  <c r="AL27" i="4"/>
  <c r="Q27" i="4" s="1"/>
  <c r="AL26" i="4"/>
  <c r="Q26" i="4" s="1"/>
  <c r="Q19" i="4"/>
  <c r="V240" i="6"/>
  <c r="A497" i="2" l="1"/>
  <c r="E17" i="1"/>
  <c r="E16" i="1"/>
  <c r="E15" i="1"/>
  <c r="E14" i="1"/>
  <c r="E13" i="1"/>
  <c r="E12" i="1"/>
  <c r="E11" i="1"/>
  <c r="F5" i="1" l="1"/>
  <c r="V5" i="4" l="1"/>
  <c r="V17" i="4" s="1"/>
  <c r="AM17" i="4" s="1"/>
  <c r="V16" i="4" l="1"/>
  <c r="AM16" i="4" s="1"/>
  <c r="F16" i="4" s="1"/>
  <c r="V15" i="4"/>
  <c r="V14" i="4"/>
  <c r="V30" i="4"/>
  <c r="V13" i="4"/>
  <c r="V22" i="4"/>
  <c r="AJ22" i="4" s="1"/>
  <c r="V21" i="4"/>
  <c r="V34" i="4"/>
  <c r="AJ34" i="4" s="1"/>
  <c r="V33" i="4"/>
  <c r="V32" i="4"/>
  <c r="V29" i="4"/>
  <c r="V20" i="4"/>
  <c r="AM20" i="4" s="1"/>
  <c r="V18" i="4"/>
  <c r="V28" i="4"/>
  <c r="V12" i="4"/>
  <c r="V26" i="4"/>
  <c r="V9" i="4"/>
  <c r="V23" i="4"/>
  <c r="V35" i="4"/>
  <c r="V27" i="4"/>
  <c r="V11" i="4"/>
  <c r="V10" i="4"/>
  <c r="V25" i="4"/>
  <c r="V24" i="4"/>
  <c r="V37" i="4"/>
  <c r="V36" i="4"/>
  <c r="V19" i="4"/>
  <c r="AM19" i="4" s="1"/>
  <c r="V31" i="4"/>
  <c r="C82" i="4"/>
  <c r="AQ4" i="4"/>
  <c r="S3" i="4"/>
  <c r="AP4" i="4"/>
  <c r="Q3" i="4"/>
  <c r="M3" i="5" s="1"/>
  <c r="F17" i="1"/>
  <c r="H11" i="1"/>
  <c r="AJ18" i="4" l="1"/>
  <c r="AM18" i="4"/>
  <c r="I16" i="4"/>
  <c r="H17" i="1" s="1"/>
  <c r="G16" i="4"/>
  <c r="J16" i="4"/>
  <c r="I17" i="1" s="1"/>
  <c r="D82" i="4"/>
  <c r="D219" i="5" s="1"/>
  <c r="AB49" i="4"/>
  <c r="K16" i="4" l="1"/>
  <c r="J17" i="1" s="1"/>
  <c r="G17" i="1"/>
  <c r="AB80" i="4"/>
  <c r="AB82" i="4" s="1"/>
  <c r="AD80" i="4"/>
  <c r="AD82" i="4" s="1"/>
  <c r="N3" i="5" l="1"/>
  <c r="B5" i="2" l="1"/>
  <c r="A418" i="2" l="1"/>
  <c r="A319" i="2"/>
  <c r="A320" i="2" s="1"/>
  <c r="A419" i="2" l="1"/>
  <c r="J4" i="6" l="1"/>
  <c r="J7" i="6" l="1"/>
  <c r="J13" i="6"/>
  <c r="J11" i="6"/>
  <c r="L8" i="6"/>
  <c r="J8" i="6"/>
  <c r="L11" i="6"/>
  <c r="L13" i="6"/>
  <c r="L10" i="6"/>
  <c r="J10" i="6"/>
  <c r="L9" i="6"/>
  <c r="L12" i="6"/>
  <c r="J9" i="6"/>
  <c r="J12" i="6"/>
  <c r="L7" i="6"/>
  <c r="AW240" i="6"/>
  <c r="L4" i="6"/>
  <c r="P4" i="6"/>
  <c r="R4" i="6"/>
  <c r="U4" i="6"/>
  <c r="P11" i="6" l="1"/>
  <c r="R11" i="6" s="1"/>
  <c r="AL240" i="6"/>
  <c r="H7" i="6"/>
  <c r="AU240" i="6" s="1"/>
  <c r="H8" i="6"/>
  <c r="H12" i="6"/>
  <c r="H13" i="6"/>
  <c r="H11" i="6"/>
  <c r="H9" i="6"/>
  <c r="H10" i="6"/>
  <c r="AF178" i="5"/>
  <c r="J240" i="6"/>
  <c r="L240" i="6"/>
  <c r="AK35" i="4" l="1"/>
  <c r="F12" i="6"/>
  <c r="AK14" i="4" s="1"/>
  <c r="AM14" i="4" s="1"/>
  <c r="F14" i="4" s="1"/>
  <c r="F8" i="6"/>
  <c r="AK28" i="4"/>
  <c r="F13" i="6"/>
  <c r="AK15" i="4" s="1"/>
  <c r="AM15" i="4" s="1"/>
  <c r="F15" i="4" s="1"/>
  <c r="F11" i="6"/>
  <c r="F10" i="6"/>
  <c r="F9" i="6"/>
  <c r="F7" i="6"/>
  <c r="AS240" i="6" s="1"/>
  <c r="AK36" i="4"/>
  <c r="AK37" i="4"/>
  <c r="AK23" i="4"/>
  <c r="AK30" i="4"/>
  <c r="P240" i="6"/>
  <c r="I15" i="4" l="1"/>
  <c r="G15" i="4"/>
  <c r="J15" i="4" s="1"/>
  <c r="K15" i="4"/>
  <c r="G14" i="4"/>
  <c r="G15" i="1" s="1"/>
  <c r="I14" i="4"/>
  <c r="J14" i="4"/>
  <c r="I15" i="1" s="1"/>
  <c r="F15" i="1"/>
  <c r="AK11" i="4"/>
  <c r="AK13" i="4"/>
  <c r="AK27" i="4"/>
  <c r="AK22" i="4"/>
  <c r="AK12" i="4"/>
  <c r="AF15" i="5"/>
  <c r="AK24" i="4"/>
  <c r="AK32" i="4"/>
  <c r="AF16" i="5"/>
  <c r="AK34" i="4"/>
  <c r="AK29" i="4"/>
  <c r="AF11" i="5"/>
  <c r="AF10" i="5"/>
  <c r="AF14" i="5"/>
  <c r="AK9" i="4"/>
  <c r="AF13" i="5"/>
  <c r="AK21" i="4"/>
  <c r="AF12" i="5"/>
  <c r="AK31" i="4"/>
  <c r="AK26" i="4"/>
  <c r="AK33" i="4"/>
  <c r="AF9" i="5"/>
  <c r="R240" i="6"/>
  <c r="K14" i="4" l="1"/>
  <c r="J15" i="1" s="1"/>
  <c r="H15" i="1"/>
  <c r="AK25" i="4"/>
  <c r="AK10" i="4"/>
  <c r="F240" i="6" l="1"/>
  <c r="AG213" i="5" l="1"/>
  <c r="AG189" i="5"/>
  <c r="AG215" i="5" l="1"/>
  <c r="Q5" i="5" l="1"/>
  <c r="A472" i="2"/>
  <c r="A473" i="2" s="1"/>
  <c r="AL80" i="4"/>
  <c r="AL49" i="4"/>
  <c r="Q9" i="5" l="1"/>
  <c r="Q15" i="5"/>
  <c r="Q14" i="5"/>
  <c r="Q13" i="5"/>
  <c r="Q12" i="5"/>
  <c r="AH12" i="5" s="1"/>
  <c r="F12" i="5" s="1"/>
  <c r="Q16" i="5"/>
  <c r="Q11" i="5"/>
  <c r="Q10" i="5"/>
  <c r="AH178" i="5"/>
  <c r="F178" i="5" s="1"/>
  <c r="F180" i="5"/>
  <c r="F179" i="5"/>
  <c r="F185" i="5"/>
  <c r="F181" i="5"/>
  <c r="F184" i="5"/>
  <c r="F183" i="5"/>
  <c r="F186" i="5"/>
  <c r="F182" i="5"/>
  <c r="AL82" i="4"/>
  <c r="F16" i="1" l="1"/>
  <c r="G16" i="1" l="1"/>
  <c r="I16" i="1" l="1"/>
  <c r="AF213" i="5"/>
  <c r="AD213" i="5"/>
  <c r="AB213" i="5"/>
  <c r="T213" i="5"/>
  <c r="R213" i="5"/>
  <c r="P213" i="5"/>
  <c r="A10" i="5" l="1"/>
  <c r="A11" i="5" s="1"/>
  <c r="A12" i="5" s="1"/>
  <c r="A13" i="5" s="1"/>
  <c r="A14" i="5" s="1"/>
  <c r="A15" i="5" s="1"/>
  <c r="A16" i="5" s="1"/>
  <c r="A504" i="2" l="1"/>
  <c r="A505" i="2" s="1"/>
  <c r="A506" i="2" s="1"/>
  <c r="A490" i="2"/>
  <c r="A474" i="2"/>
  <c r="A475" i="2" s="1"/>
  <c r="A476" i="2" s="1"/>
  <c r="A477" i="2" s="1"/>
  <c r="A478" i="2" s="1"/>
  <c r="A479" i="2" s="1"/>
  <c r="A480" i="2" s="1"/>
  <c r="A481" i="2" s="1"/>
  <c r="A482" i="2" s="1"/>
  <c r="A483" i="2" s="1"/>
  <c r="D217" i="5" l="1"/>
  <c r="C191" i="5"/>
  <c r="D215" i="5" s="1"/>
  <c r="A243" i="6"/>
  <c r="A244" i="6" s="1"/>
  <c r="AA213" i="5" l="1"/>
  <c r="AC213" i="5"/>
  <c r="AE213" i="5"/>
  <c r="A465" i="2" l="1"/>
  <c r="A359" i="2"/>
  <c r="A360" i="2" s="1"/>
  <c r="A458" i="2" l="1"/>
  <c r="A451" i="2"/>
  <c r="AF189" i="5" l="1"/>
  <c r="U5" i="5"/>
  <c r="AK49" i="4"/>
  <c r="AF215" i="5" l="1"/>
  <c r="AA189" i="5"/>
  <c r="AA215" i="5" s="1"/>
  <c r="AC189" i="5"/>
  <c r="AC215" i="5" s="1"/>
  <c r="Z5" i="4"/>
  <c r="Z12" i="4" s="1"/>
  <c r="L12" i="2" l="1"/>
  <c r="M12" i="2" s="1"/>
  <c r="S213" i="5"/>
  <c r="P12" i="2" l="1"/>
  <c r="M82" i="4" l="1"/>
  <c r="AF49" i="4" l="1"/>
  <c r="D220" i="5" l="1"/>
  <c r="D223" i="5"/>
  <c r="D225" i="5" s="1"/>
  <c r="D226" i="5" l="1"/>
  <c r="L70" i="2" l="1"/>
  <c r="M70" i="2" s="1"/>
  <c r="P70" i="2" s="1"/>
  <c r="O70" i="2" l="1"/>
  <c r="A54" i="2"/>
  <c r="A55" i="2" s="1"/>
  <c r="A56" i="2" s="1"/>
  <c r="A345" i="2"/>
  <c r="A444" i="2"/>
  <c r="A433" i="2"/>
  <c r="A426" i="2"/>
  <c r="A411" i="2"/>
  <c r="A404" i="2"/>
  <c r="A397" i="2"/>
  <c r="A389" i="2"/>
  <c r="A390" i="2" s="1"/>
  <c r="A382" i="2"/>
  <c r="A375" i="2"/>
  <c r="A352" i="2"/>
  <c r="A341" i="2"/>
  <c r="A334" i="2"/>
  <c r="A216" i="2"/>
  <c r="A327" i="2"/>
  <c r="A11" i="1"/>
  <c r="A16" i="2"/>
  <c r="A25" i="2"/>
  <c r="A29" i="2" s="1"/>
  <c r="A30" i="2" s="1"/>
  <c r="A38" i="2"/>
  <c r="A43" i="2"/>
  <c r="A44" i="2" s="1"/>
  <c r="A48" i="2" s="1"/>
  <c r="A60" i="2"/>
  <c r="A78" i="2"/>
  <c r="A79" i="2" s="1"/>
  <c r="A80" i="2" s="1"/>
  <c r="A81" i="2" s="1"/>
  <c r="A82" i="2" s="1"/>
  <c r="A101" i="2"/>
  <c r="A102" i="2" s="1"/>
  <c r="A111" i="2"/>
  <c r="A112" i="2" s="1"/>
  <c r="A117" i="2" s="1"/>
  <c r="A126" i="2"/>
  <c r="A127" i="2" s="1"/>
  <c r="A128" i="2" s="1"/>
  <c r="A129" i="2" s="1"/>
  <c r="A130" i="2" s="1"/>
  <c r="A142" i="2"/>
  <c r="A143" i="2" s="1"/>
  <c r="A144" i="2" s="1"/>
  <c r="A166" i="2"/>
  <c r="A175" i="2"/>
  <c r="A176" i="2" s="1"/>
  <c r="A177" i="2" s="1"/>
  <c r="A178" i="2" s="1"/>
  <c r="A188" i="2"/>
  <c r="A189" i="2" s="1"/>
  <c r="A190" i="2" s="1"/>
  <c r="A197" i="2"/>
  <c r="A198" i="2" s="1"/>
  <c r="A199" i="2" s="1"/>
  <c r="A206" i="2"/>
  <c r="A207" i="2" s="1"/>
  <c r="A223" i="2"/>
  <c r="A224" i="2" s="1"/>
  <c r="A225" i="2" s="1"/>
  <c r="A226" i="2" s="1"/>
  <c r="A233" i="2"/>
  <c r="A242" i="2"/>
  <c r="A243" i="2" s="1"/>
  <c r="A244" i="2" s="1"/>
  <c r="A245" i="2" s="1"/>
  <c r="A252" i="2"/>
  <c r="A253" i="2" s="1"/>
  <c r="A254" i="2" s="1"/>
  <c r="A255" i="2" s="1"/>
  <c r="A256" i="2" s="1"/>
  <c r="A267" i="2"/>
  <c r="A268" i="2" s="1"/>
  <c r="A269" i="2" s="1"/>
  <c r="A273" i="2"/>
  <c r="A274" i="2" s="1"/>
  <c r="A289" i="2"/>
  <c r="A290" i="2" s="1"/>
  <c r="A297" i="2"/>
  <c r="A301" i="2"/>
  <c r="A310" i="2"/>
  <c r="A311" i="2" s="1"/>
  <c r="A312" i="2" s="1"/>
  <c r="A12" i="1" l="1"/>
  <c r="A13" i="1" s="1"/>
  <c r="A14" i="1" s="1"/>
  <c r="A15" i="1" s="1"/>
  <c r="A16" i="1" s="1"/>
  <c r="A17" i="1" s="1"/>
  <c r="A434" i="2"/>
  <c r="A435" i="2" s="1"/>
  <c r="A436" i="2" s="1"/>
  <c r="A208" i="2"/>
  <c r="A209" i="2" s="1"/>
  <c r="A152" i="2"/>
  <c r="A156" i="2" s="1"/>
  <c r="A157" i="2" s="1"/>
  <c r="A133" i="2"/>
  <c r="A61" i="2"/>
  <c r="A62" i="2" s="1"/>
  <c r="A63" i="2" s="1"/>
  <c r="A64" i="2" s="1"/>
  <c r="A69" i="2" s="1"/>
  <c r="A73" i="2" s="1"/>
  <c r="B9" i="15" l="1"/>
  <c r="B11" i="15" s="1"/>
  <c r="E22" i="15" l="1"/>
  <c r="H22" i="15"/>
  <c r="E27" i="15"/>
  <c r="E26" i="15"/>
  <c r="E28" i="15"/>
  <c r="E24" i="15"/>
  <c r="E23" i="15"/>
  <c r="E25" i="15"/>
  <c r="E17" i="15" l="1"/>
  <c r="B13" i="15" s="1"/>
  <c r="AK80" i="4"/>
  <c r="AK82" i="4" s="1"/>
  <c r="AJ80" i="4"/>
  <c r="X80" i="4"/>
  <c r="H16" i="1" l="1"/>
  <c r="J16" i="1" l="1"/>
  <c r="A3" i="1" l="1"/>
  <c r="A3" i="6"/>
  <c r="T4" i="5"/>
  <c r="Y4" i="4"/>
  <c r="AJ25" i="4" l="1"/>
  <c r="AM25" i="4" s="1"/>
  <c r="AM26" i="4"/>
  <c r="AM22" i="4"/>
  <c r="AM35" i="4"/>
  <c r="AM27" i="4"/>
  <c r="AM36" i="4"/>
  <c r="AM9" i="4"/>
  <c r="F9" i="4" s="1"/>
  <c r="F10" i="1" s="1"/>
  <c r="AM28" i="4"/>
  <c r="AM33" i="4"/>
  <c r="AM32" i="4"/>
  <c r="AM11" i="4"/>
  <c r="F11" i="4" s="1"/>
  <c r="F12" i="1" s="1"/>
  <c r="AH80" i="4"/>
  <c r="AJ30" i="4"/>
  <c r="AM30" i="4" s="1"/>
  <c r="AM24" i="4"/>
  <c r="AM13" i="4"/>
  <c r="F13" i="4" s="1"/>
  <c r="F14" i="1" s="1"/>
  <c r="X34" i="4"/>
  <c r="AM34" i="4" s="1"/>
  <c r="AJ23" i="4"/>
  <c r="AM23" i="4" s="1"/>
  <c r="AM37" i="4"/>
  <c r="X12" i="4"/>
  <c r="AM12" i="4" s="1"/>
  <c r="F12" i="4" s="1"/>
  <c r="F13" i="1" s="1"/>
  <c r="AJ10" i="4"/>
  <c r="AM31" i="4"/>
  <c r="AJ21" i="4"/>
  <c r="L434" i="2" l="1"/>
  <c r="Z10" i="4"/>
  <c r="AM10" i="4" s="1"/>
  <c r="F10" i="4" s="1"/>
  <c r="F11" i="1" s="1"/>
  <c r="I9" i="4"/>
  <c r="H10" i="1" s="1"/>
  <c r="G9" i="4"/>
  <c r="G10" i="1" s="1"/>
  <c r="V80" i="4"/>
  <c r="V49" i="4"/>
  <c r="AM21" i="4"/>
  <c r="L88" i="2"/>
  <c r="M88" i="2" s="1"/>
  <c r="G13" i="4"/>
  <c r="G14" i="1" s="1"/>
  <c r="I13" i="4"/>
  <c r="H14" i="1" s="1"/>
  <c r="X49" i="4"/>
  <c r="X82" i="4" s="1"/>
  <c r="G12" i="4"/>
  <c r="I12" i="4"/>
  <c r="H13" i="1" s="1"/>
  <c r="Z29" i="4"/>
  <c r="AH29" i="4"/>
  <c r="AH49" i="4" s="1"/>
  <c r="AH82" i="4" s="1"/>
  <c r="AJ49" i="4"/>
  <c r="AJ82" i="4" s="1"/>
  <c r="I11" i="4"/>
  <c r="H12" i="1" s="1"/>
  <c r="G11" i="4"/>
  <c r="G12" i="1" s="1"/>
  <c r="J12" i="4" l="1"/>
  <c r="I13" i="1" s="1"/>
  <c r="G13" i="1"/>
  <c r="K9" i="4"/>
  <c r="J10" i="1" s="1"/>
  <c r="J9" i="4"/>
  <c r="I10" i="1" s="1"/>
  <c r="M434" i="2"/>
  <c r="O434" i="2" s="1"/>
  <c r="J13" i="4"/>
  <c r="I14" i="1" s="1"/>
  <c r="L17" i="2"/>
  <c r="M17" i="2" s="1"/>
  <c r="K11" i="4"/>
  <c r="J12" i="1" s="1"/>
  <c r="L49" i="2"/>
  <c r="M49" i="2" s="1"/>
  <c r="P49" i="2" s="1"/>
  <c r="L22" i="2"/>
  <c r="M22" i="2" s="1"/>
  <c r="P22" i="2" s="1"/>
  <c r="V82" i="4"/>
  <c r="L435" i="2"/>
  <c r="M435" i="2" s="1"/>
  <c r="P88" i="2"/>
  <c r="O88" i="2"/>
  <c r="L102" i="2"/>
  <c r="M102" i="2" s="1"/>
  <c r="L436" i="2"/>
  <c r="M436" i="2" s="1"/>
  <c r="AM29" i="4"/>
  <c r="L101" i="2"/>
  <c r="M101" i="2" s="1"/>
  <c r="J11" i="4"/>
  <c r="I12" i="1" s="1"/>
  <c r="G10" i="4"/>
  <c r="L100" i="2"/>
  <c r="M100" i="2" s="1"/>
  <c r="Z80" i="4"/>
  <c r="K12" i="4"/>
  <c r="J13" i="1" s="1"/>
  <c r="Z49" i="4"/>
  <c r="K13" i="4"/>
  <c r="J14" i="1" s="1"/>
  <c r="AF80" i="4"/>
  <c r="AF82" i="4" s="1"/>
  <c r="L13" i="1" l="1"/>
  <c r="N13" i="1" s="1"/>
  <c r="K10" i="4"/>
  <c r="J11" i="1" s="1"/>
  <c r="G11" i="1"/>
  <c r="L57" i="2"/>
  <c r="M57" i="2" s="1"/>
  <c r="L39" i="2"/>
  <c r="M39" i="2" s="1"/>
  <c r="O39" i="2" s="1"/>
  <c r="L77" i="2"/>
  <c r="M77" i="2" s="1"/>
  <c r="L81" i="2"/>
  <c r="M81" i="2" s="1"/>
  <c r="L65" i="2"/>
  <c r="M65" i="2" s="1"/>
  <c r="P434" i="2"/>
  <c r="J10" i="4"/>
  <c r="I11" i="1" s="1"/>
  <c r="AM49" i="4"/>
  <c r="Z82" i="4"/>
  <c r="AM80" i="4"/>
  <c r="L78" i="2"/>
  <c r="O101" i="2"/>
  <c r="P101" i="2"/>
  <c r="P102" i="2"/>
  <c r="O102" i="2"/>
  <c r="P436" i="2"/>
  <c r="O436" i="2"/>
  <c r="O435" i="2"/>
  <c r="P435" i="2"/>
  <c r="O17" i="2"/>
  <c r="P17" i="2"/>
  <c r="F80" i="4"/>
  <c r="L74" i="2"/>
  <c r="M74" i="2" s="1"/>
  <c r="L432" i="2"/>
  <c r="M432" i="2" s="1"/>
  <c r="L145" i="2"/>
  <c r="M145" i="2" s="1"/>
  <c r="L26" i="2"/>
  <c r="M26" i="2" s="1"/>
  <c r="P26" i="2" s="1"/>
  <c r="O100" i="2"/>
  <c r="P100" i="2"/>
  <c r="L189" i="2"/>
  <c r="M189" i="2" s="1"/>
  <c r="L80" i="2"/>
  <c r="M80" i="2" s="1"/>
  <c r="L82" i="2"/>
  <c r="M82" i="2" s="1"/>
  <c r="L45" i="2"/>
  <c r="M45" i="2" s="1"/>
  <c r="P45" i="2" s="1"/>
  <c r="F49" i="4"/>
  <c r="L188" i="2"/>
  <c r="M188" i="2" s="1"/>
  <c r="L545" i="2" l="1"/>
  <c r="M545" i="2" s="1"/>
  <c r="P545" i="2" s="1"/>
  <c r="P39" i="2"/>
  <c r="F219" i="5"/>
  <c r="L113" i="2"/>
  <c r="M113" i="2" s="1"/>
  <c r="O113" i="2" s="1"/>
  <c r="L83" i="2"/>
  <c r="L91" i="2" s="1"/>
  <c r="AM82" i="4"/>
  <c r="F82" i="4"/>
  <c r="M78" i="2"/>
  <c r="O78" i="2" s="1"/>
  <c r="Q103" i="2"/>
  <c r="Q104" i="2" s="1"/>
  <c r="P77" i="2"/>
  <c r="O77" i="2"/>
  <c r="P65" i="2"/>
  <c r="O65" i="2"/>
  <c r="O57" i="2"/>
  <c r="P57" i="2"/>
  <c r="P145" i="2"/>
  <c r="O145" i="2"/>
  <c r="P188" i="2"/>
  <c r="O188" i="2"/>
  <c r="P189" i="2"/>
  <c r="O189" i="2"/>
  <c r="O81" i="2"/>
  <c r="P81" i="2"/>
  <c r="O82" i="2"/>
  <c r="P82" i="2"/>
  <c r="O432" i="2"/>
  <c r="P432" i="2"/>
  <c r="L433" i="2"/>
  <c r="M433" i="2" s="1"/>
  <c r="I80" i="4"/>
  <c r="G49" i="4"/>
  <c r="I49" i="4"/>
  <c r="G80" i="4"/>
  <c r="P80" i="2"/>
  <c r="O80" i="2"/>
  <c r="P74" i="2"/>
  <c r="O74" i="2"/>
  <c r="O545" i="2" l="1"/>
  <c r="P113" i="2"/>
  <c r="L31" i="2"/>
  <c r="M31" i="2" s="1"/>
  <c r="P31" i="2" s="1"/>
  <c r="J80" i="4"/>
  <c r="P78" i="2"/>
  <c r="I82" i="4"/>
  <c r="P433" i="2"/>
  <c r="O433" i="2"/>
  <c r="M83" i="2"/>
  <c r="M91" i="2" s="1"/>
  <c r="L438" i="2"/>
  <c r="M438" i="2" s="1"/>
  <c r="K80" i="4"/>
  <c r="G82" i="4"/>
  <c r="J49" i="4"/>
  <c r="O83" i="2"/>
  <c r="K49" i="4"/>
  <c r="L412" i="2"/>
  <c r="M412" i="2" s="1"/>
  <c r="C5" i="2" l="1"/>
  <c r="E5" i="2"/>
  <c r="D5" i="2"/>
  <c r="O31" i="2"/>
  <c r="K82" i="4"/>
  <c r="O412" i="2"/>
  <c r="P412" i="2"/>
  <c r="P438" i="2"/>
  <c r="O438" i="2"/>
  <c r="J82" i="4"/>
  <c r="F5" i="2" l="1"/>
  <c r="G5" i="2" l="1"/>
  <c r="AH10" i="5"/>
  <c r="F10" i="5" s="1"/>
  <c r="AH16" i="5"/>
  <c r="F16" i="5" s="1"/>
  <c r="L17" i="1" s="1"/>
  <c r="N17" i="1" s="1"/>
  <c r="AH13" i="5"/>
  <c r="F13" i="5" s="1"/>
  <c r="L14" i="1" s="1"/>
  <c r="N14" i="1" s="1"/>
  <c r="AH11" i="5"/>
  <c r="F11" i="5" s="1"/>
  <c r="L12" i="1" s="1"/>
  <c r="N12" i="1" s="1"/>
  <c r="S14" i="5"/>
  <c r="AH9" i="5"/>
  <c r="F9" i="5" s="1"/>
  <c r="L10" i="1" s="1"/>
  <c r="AH15" i="5"/>
  <c r="F15" i="5" s="1"/>
  <c r="L16" i="1" s="1"/>
  <c r="N16" i="1" l="1"/>
  <c r="U189" i="5"/>
  <c r="L11" i="1"/>
  <c r="N11" i="1" s="1"/>
  <c r="AH14" i="5"/>
  <c r="F14" i="5" s="1"/>
  <c r="L15" i="1" s="1"/>
  <c r="Q189" i="5"/>
  <c r="Q213" i="5"/>
  <c r="N10" i="1"/>
  <c r="U213" i="5" l="1"/>
  <c r="Q215" i="5"/>
  <c r="U215" i="5"/>
  <c r="AE189" i="5"/>
  <c r="AE215" i="5" s="1"/>
  <c r="N15" i="1"/>
  <c r="S189" i="5"/>
  <c r="S215" i="5" s="1"/>
  <c r="F189" i="5" l="1"/>
  <c r="AH213" i="5"/>
  <c r="AH189" i="5"/>
  <c r="AH215" i="5" l="1"/>
  <c r="I189" i="5"/>
  <c r="F213" i="5"/>
  <c r="F217" i="5" s="1"/>
  <c r="F220" i="5" l="1"/>
  <c r="F215" i="5"/>
  <c r="H5" i="2" l="1"/>
  <c r="I5" i="2" l="1"/>
</calcChain>
</file>

<file path=xl/sharedStrings.xml><?xml version="1.0" encoding="utf-8"?>
<sst xmlns="http://schemas.openxmlformats.org/spreadsheetml/2006/main" count="781" uniqueCount="285">
  <si>
    <t>PERSONAS  NATURALES Y PERSONAS JURÍDICAS</t>
  </si>
  <si>
    <t>PERSONAS  NATURALES</t>
  </si>
  <si>
    <t>No.</t>
  </si>
  <si>
    <t>PERSONAS JURÍDICAS</t>
  </si>
  <si>
    <t>BETANCUR RESTREPO SARA LUISA</t>
  </si>
  <si>
    <t>CARVAJAL ARIAS AMBROSIO</t>
  </si>
  <si>
    <t>FERNÁNDEZ DE POSADA MIRYAM ALICIA</t>
  </si>
  <si>
    <t>MALAGÓN ROJAS MARTHA ISABEL</t>
  </si>
  <si>
    <t>TOTAL</t>
  </si>
  <si>
    <t>OBSERVACIONES</t>
  </si>
  <si>
    <t>GRUPOS FAMILIARES</t>
  </si>
  <si>
    <t>FAMILIA RESTREPO POSADA</t>
  </si>
  <si>
    <t>SUB TOTAL</t>
  </si>
  <si>
    <t>SUB TOTAL PERSONAS JURÍDICAS</t>
  </si>
  <si>
    <t>TOTAL ACUMULADO FAMILIA RESTREPO POSADA</t>
  </si>
  <si>
    <t>DR. ESTEBAN ECHAVARRÍA</t>
  </si>
  <si>
    <t>FAMILIA ECHAVARRÍA</t>
  </si>
  <si>
    <t>JAVIER RÍOS</t>
  </si>
  <si>
    <t>CARLI FLURY</t>
  </si>
  <si>
    <t>TOTAL ACUMULADO FAMILIA FLURY VALENCIA</t>
  </si>
  <si>
    <t>LUÍS H. VILLEGAS LONDOÑO</t>
  </si>
  <si>
    <t>SERGIO CÁRDENAS GUTIÉRREZ</t>
  </si>
  <si>
    <t>FAMILIA LUÍS ALBERTO VÉLEZ POSADA</t>
  </si>
  <si>
    <t>FAMILIA MARÍA MERCEDES PELÁEZ VALDÉS</t>
  </si>
  <si>
    <t>FAMILIA RODRIGO ARBELÁEZ RESTREPO</t>
  </si>
  <si>
    <t>FAMILIA URIBE</t>
  </si>
  <si>
    <t>FAMILIA CARLOS COCK LONDOÑO</t>
  </si>
  <si>
    <t>FAMILIA GUTIÉRREZ VALLEJO</t>
  </si>
  <si>
    <t>FAMILIA ORTEGA MADRID</t>
  </si>
  <si>
    <t>FAMILIA OCHOA VELÁSQUEZ</t>
  </si>
  <si>
    <t>FAMILIA GONZÁLEZ LEMOS</t>
  </si>
  <si>
    <t>FAMILIA SALDARRIAGA RESTREPO</t>
  </si>
  <si>
    <t>FAMILIA CORREA JARAMILLO</t>
  </si>
  <si>
    <t>FAMILIA SALDARRIAGA GONZÁLEZ</t>
  </si>
  <si>
    <t>TOTAL ACUMULADO FAMILIA SALDARRIAGA GONZÁLEZ</t>
  </si>
  <si>
    <t>FAMILIA DOÑA ALICIA ARANGO</t>
  </si>
  <si>
    <t>GRAN TOTAL</t>
  </si>
  <si>
    <t>ARRENDAMIENTOS EL CAMPESTRE S A S</t>
  </si>
  <si>
    <t>NORMA SEPÚLVEDA</t>
  </si>
  <si>
    <t>Dr. JORGE CUERVO SIERRA</t>
  </si>
  <si>
    <t>ALICIA JARAMILLO URIBE</t>
  </si>
  <si>
    <t>Dr. EUDORO GONZÁLEZ</t>
  </si>
  <si>
    <t>Dr. GERMÁN DUQUE ECHEVERRÍ</t>
  </si>
  <si>
    <t>MÓNICA ELEJALDE</t>
  </si>
  <si>
    <t>JAIRO MARULANDA</t>
  </si>
  <si>
    <t>GUILLERMO VÁSQUEZ SALAZAR</t>
  </si>
  <si>
    <t>Dr. OSCAR LONDOÑO ÁNGEL</t>
  </si>
  <si>
    <t>JUAN AICARDO MONSALVE</t>
  </si>
  <si>
    <t>Dr. FEDERICO ERNESTO PEÑA S.</t>
  </si>
  <si>
    <t>JOSÉ MIGUEL SANDOVAL N.</t>
  </si>
  <si>
    <t>FAMILIA VÉLEZ GARCÉS</t>
  </si>
  <si>
    <t>FAMILIA Don GONZALO VILLA</t>
  </si>
  <si>
    <t>NO</t>
  </si>
  <si>
    <t>RUIZ GONZÁLEZ ÁLVARO HUMBERTO</t>
  </si>
  <si>
    <t>DAVID STEPHEN FERNÁNDEZ MC CANN</t>
  </si>
  <si>
    <t>TOTAL ACUMULADO FAMILIA RÍOS CORREA</t>
  </si>
  <si>
    <t>I V A</t>
  </si>
  <si>
    <t>FACTURA No.</t>
  </si>
  <si>
    <t>APELLIDOS Y NOMBRES o RAZÓN SOCIAL</t>
  </si>
  <si>
    <t>NIT No.</t>
  </si>
  <si>
    <t>VALOR DECLARACIÓN RENTA</t>
  </si>
  <si>
    <t>VALOR MEDIOS MAGNÉTICOS</t>
  </si>
  <si>
    <t>VALOR DECLARACIÓN ACTIVOS EN EL EXTERIOR</t>
  </si>
  <si>
    <t>VALOR OTRAS ASESORÍAS</t>
  </si>
  <si>
    <t>SI o  NO</t>
  </si>
  <si>
    <t>TOTAL PRESUPUESTADO</t>
  </si>
  <si>
    <t>ESTADO DEL COBRO</t>
  </si>
  <si>
    <t>FECHA</t>
  </si>
  <si>
    <t>TOTAL PERSONAS NATURALES</t>
  </si>
  <si>
    <t>TOTAL PERSONAS JURÍDICAS</t>
  </si>
  <si>
    <t>ACUMULADO CLIENTES</t>
  </si>
  <si>
    <t>CUENTA DE COBRO No.</t>
  </si>
  <si>
    <t>FAMILIA GAVIRIA GUTIÉRREZ</t>
  </si>
  <si>
    <t>VALOR FACTURA</t>
  </si>
  <si>
    <t>VALOR CUENTA DE COBRO</t>
  </si>
  <si>
    <t>TOTAL ACUMULADO FAMILIA GUTIÉRREZ VALLEJO</t>
  </si>
  <si>
    <t>TOTAL ACUMULADO FAMILIA GONZÁLEZ LEMOS</t>
  </si>
  <si>
    <t>TOTAL ACUMULADO FAMILIA VÉLEZ POSADA</t>
  </si>
  <si>
    <t>TOTAL ACUMULADO FAMILIA GAVIRIA GUTIÉRREZ</t>
  </si>
  <si>
    <t>TOTAL ACUMULADO DR ESTEBAN</t>
  </si>
  <si>
    <t>RESTREPO FERNÁNDEZ JUAN CARLOS</t>
  </si>
  <si>
    <t>FERNÁNDEZ RESTREPO TULIO IVÁN</t>
  </si>
  <si>
    <t>SI</t>
  </si>
  <si>
    <t>DIEZ GILDARDO ANTONIO</t>
  </si>
  <si>
    <t>LONDOÑO DE LÓPEZ ÁNGELA MARÍA</t>
  </si>
  <si>
    <t>FAMILIA CONSUELO HERRERA TAMAYO</t>
  </si>
  <si>
    <t>D. V.</t>
  </si>
  <si>
    <t>LINABI SAS</t>
  </si>
  <si>
    <t>VALOR DECLARACIÓN I AL P</t>
  </si>
  <si>
    <t>PARA CALCULAR EL VALOR A COBRAR POR EL PRESENTE AÑO</t>
  </si>
  <si>
    <t>PERSONAS NATURALES Y PERSONAS JURÍDICAS</t>
  </si>
  <si>
    <t>GERMÁN TULIO FERNÁNDEZ FERNÁNDEZ</t>
  </si>
  <si>
    <t>APELLIDOS Y NOMBRES</t>
  </si>
  <si>
    <t>ACUMULADO ASESORÍAS AÑO</t>
  </si>
  <si>
    <t>REGISTRO DE ASESORÍAS</t>
  </si>
  <si>
    <t>ESTADOS FROS</t>
  </si>
  <si>
    <t>CANT</t>
  </si>
  <si>
    <t>DEVOLUCIÓN IMPUESTOS</t>
  </si>
  <si>
    <r>
      <t xml:space="preserve">VALOR FORMATO  2516 </t>
    </r>
    <r>
      <rPr>
        <b/>
        <sz val="8"/>
        <color rgb="FF00B0F0"/>
        <rFont val="Verdana"/>
        <family val="2"/>
      </rPr>
      <t>TRANSMITIR</t>
    </r>
  </si>
  <si>
    <t>DECLARACIÓN IVA</t>
  </si>
  <si>
    <t>DECLARACIÓN RET FTE</t>
  </si>
  <si>
    <t>PRÉSTAMOS</t>
  </si>
  <si>
    <t>VALOR CUENTA DE COBRO -POR PRÉSTAMOS-</t>
  </si>
  <si>
    <t>TOTALES</t>
  </si>
  <si>
    <t>PRÉSTAMOS -PAGOS OFICINA</t>
  </si>
  <si>
    <t>PRÉSTAMOS -SEG SOC</t>
  </si>
  <si>
    <t>PRÉSTAMOS -CERTIFICADOS</t>
  </si>
  <si>
    <t>TOTAL PRÉSTAMOS</t>
  </si>
  <si>
    <t>OTRAS ASESORÍAS</t>
  </si>
  <si>
    <t>Otras Asesorías: OBSERVACIONES</t>
  </si>
  <si>
    <t>BASE DE DATOS Y CÓDIGOS</t>
  </si>
  <si>
    <t>CÓDIGO</t>
  </si>
  <si>
    <t>OK/</t>
  </si>
  <si>
    <t>RETENCIÓN EN LA FUENTE</t>
  </si>
  <si>
    <t>VALOR FACTURA antes de RTE FTE</t>
  </si>
  <si>
    <r>
      <t xml:space="preserve">VALOR FACTURA </t>
    </r>
    <r>
      <rPr>
        <b/>
        <sz val="8"/>
        <color rgb="FF0000FF"/>
        <rFont val="Verdana"/>
        <family val="2"/>
      </rPr>
      <t>antes de RTE FTE</t>
    </r>
  </si>
  <si>
    <t>VALOR TOTAL NETO DE LA FACTURA</t>
  </si>
  <si>
    <t>SI/NO</t>
  </si>
  <si>
    <t>FACTURACIÓN ELECTRÓNICA</t>
  </si>
  <si>
    <r>
      <t xml:space="preserve">VALOR FORMATO  2516 </t>
    </r>
    <r>
      <rPr>
        <b/>
        <sz val="8"/>
        <color rgb="FF7030A0"/>
        <rFont val="Verdana"/>
        <family val="2"/>
      </rPr>
      <t>CONSERVAR</t>
    </r>
  </si>
  <si>
    <t>PROCESO CONTABLE</t>
  </si>
  <si>
    <t>ALZATE GIRALDO BEATRIZ EUGENIA</t>
  </si>
  <si>
    <t>AGENTE RETENEDOR</t>
  </si>
  <si>
    <t>N</t>
  </si>
  <si>
    <t>S</t>
  </si>
  <si>
    <t>ENVIADA</t>
  </si>
  <si>
    <t>FECHA ENVIO</t>
  </si>
  <si>
    <t>FECHA DE PAGO</t>
  </si>
  <si>
    <t>OBSERVACIONES-1</t>
  </si>
  <si>
    <t>OBSERVACIONES-2</t>
  </si>
  <si>
    <t>MEDIO DE PAGO</t>
  </si>
  <si>
    <t>ACUMULADO C de C</t>
  </si>
  <si>
    <t>ACUMULADO Fras</t>
  </si>
  <si>
    <t>FACTURAS y C de C</t>
  </si>
  <si>
    <r>
      <t xml:space="preserve">VALOR DECLARACIÓN I AL P </t>
    </r>
    <r>
      <rPr>
        <b/>
        <sz val="8"/>
        <rFont val="Verdana"/>
        <family val="2"/>
      </rPr>
      <t>2023</t>
    </r>
  </si>
  <si>
    <t>Pnas Nat</t>
  </si>
  <si>
    <t>Pnas Jcas</t>
  </si>
  <si>
    <t>VALORES CUENTAS DE COBRO 2023</t>
  </si>
  <si>
    <t>PRESUPUESTO DE COBROS -FACTURAS-</t>
  </si>
  <si>
    <t>APELLIDOS Y NOMBRES o RAZÓN SOCIAL o CONCEPTO DEL CÓDIGO</t>
  </si>
  <si>
    <t>PRÉSTAMOS por CERTIFICADOS</t>
  </si>
  <si>
    <t>PRÉSTAMOS por PAGOS OFICINA</t>
  </si>
  <si>
    <t>ASESORÍAS</t>
  </si>
  <si>
    <t>VALOR ASESORÍAS</t>
  </si>
  <si>
    <t>VALOR PRÉSTAMOS</t>
  </si>
  <si>
    <t>PRÉSTAMOS por PAGOS SEG SOC</t>
  </si>
  <si>
    <t>RELACIÓN COBRO A CLIENTES -CONSOLIDADO-</t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</si>
  <si>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Ruiz González Álvaro H.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</si>
  <si>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San Antonio de la Almería</t>
    </r>
  </si>
  <si>
    <t>Mínima Mvto</t>
  </si>
  <si>
    <t>Mínima 1° Vez</t>
  </si>
  <si>
    <t>Mínima 1° Vez -Año anterior-</t>
  </si>
  <si>
    <t>Mínima Mvto -año anterior-</t>
  </si>
  <si>
    <t>Vr Incrementado</t>
  </si>
  <si>
    <t>EXÓGENA MPIO MEDELLÍN</t>
  </si>
  <si>
    <t>REG ÚNICO de BENEFICIARIOS</t>
  </si>
  <si>
    <t xml:space="preserve"> </t>
  </si>
  <si>
    <t>NO ELABORADAS o NO COBROS</t>
  </si>
  <si>
    <t>Diferencia</t>
  </si>
  <si>
    <t>U V T</t>
  </si>
  <si>
    <t>UVT 2023</t>
  </si>
  <si>
    <t>UVT año gravable</t>
  </si>
  <si>
    <t>RANGOS EN UVT</t>
  </si>
  <si>
    <t>TARIFA MARGINAL</t>
  </si>
  <si>
    <t>UVT a</t>
  </si>
  <si>
    <t>IMPUESTO</t>
  </si>
  <si>
    <t>DESDE</t>
  </si>
  <si>
    <t>HASTA</t>
  </si>
  <si>
    <t>ADICIONAR</t>
  </si>
  <si>
    <t>RENTA</t>
  </si>
  <si>
    <t>UVT 2022</t>
  </si>
  <si>
    <t>LIQUIDACIÓN DE RETENCIONES EN LA FUENTE</t>
  </si>
  <si>
    <r>
      <t>ARTÍCULO 383. Tarifa. La retención en la fuente aplicable a los pagos gravables</t>
    </r>
    <r>
      <rPr>
        <sz val="10"/>
        <rFont val="Verdana"/>
        <family val="2"/>
      </rPr>
      <t xml:space="preserve"> efectuados por las personas naturales o jurídicas, las sociedades de hecho, las comunidades organizadas y las sucesiones ilíquidas, originados en la relación laboral, o legal y reglamentaria, y los pagos recibidos por concepto de pensiones de jubilación, invalidez, vejez, de sobrevivientes y sobre riesgos laborales, será la que resulte de aplicar a dichos pagos la siguiente tabla de retención en la fuente:</t>
    </r>
  </si>
  <si>
    <r>
      <rPr>
        <b/>
        <sz val="10"/>
        <color rgb="FFFF0000"/>
        <rFont val="Verdana"/>
        <family val="2"/>
      </rPr>
      <t>Artículo 1.2.4.1.17. Retención en la fuente para las cédulas de rentas de trabajo y de pensiones.</t>
    </r>
    <r>
      <rPr>
        <sz val="10"/>
        <color rgb="FFFF0000"/>
        <rFont val="Verdana"/>
        <family val="2"/>
      </rPr>
      <t xml:space="preserve"> </t>
    </r>
    <r>
      <rPr>
        <sz val="10"/>
        <rFont val="Verdana"/>
        <family val="2"/>
      </rPr>
      <t xml:space="preserve">Conforme lo establece el artículo 383 del Estatuto Tributario, la retención en la fuente aplicable por las personas naturales o jurídicas, las sociedades de hecho, las comunidades organizadas y las sucesiones ilíquidas, a las personas naturales cuyos ingresos provengan de la cédula de rentas de trabajo y la cédula </t>
    </r>
  </si>
  <si>
    <t>(Base gravable en UVT menos 95 UVT) x 19%</t>
  </si>
  <si>
    <t>(Base gravable en UVT menos 150 UVT) x 28% + 10 UVT</t>
  </si>
  <si>
    <t>(Base gravable en UVT menos 360 UVT*) x 33% + 69 UVT*</t>
  </si>
  <si>
    <t>(Base gravable en UVT menos 640 UVT*) x 35% + 162 UVT*</t>
  </si>
  <si>
    <t>(Base gravable en UVT menos 945 UVT*) x 37% + 268 UVT*</t>
  </si>
  <si>
    <t>(Base gravable en UVT menos 2.300 UVT*) x 39% + 770 UVT*</t>
  </si>
  <si>
    <t>NO GRUPOS FAMILIARES</t>
  </si>
  <si>
    <t>TOTAL -NO GRUPOS FAMILIARES-</t>
  </si>
  <si>
    <t>SEGURIDAD SOCIAL</t>
  </si>
  <si>
    <t>Ingreso Base RetFte</t>
  </si>
  <si>
    <t>Vr Ingreso Base RetFte EN UVT</t>
  </si>
  <si>
    <t>Ingreso Base Retención en la Fuente</t>
  </si>
  <si>
    <t>Ingreso Base Retención en la Fuente en UVT</t>
  </si>
  <si>
    <t>RETENCIONES EN LA FUENTE</t>
  </si>
  <si>
    <t>TOTAL DOÑA SILVIA ELENA</t>
  </si>
  <si>
    <t>VoBo ELABORAR Fra.</t>
  </si>
  <si>
    <t>TOTAL ACUMULADO FAMILIA SERGIO CÁRDENAS GUTIÉRREZ</t>
  </si>
  <si>
    <t>IPC 2023</t>
  </si>
  <si>
    <t>AÑO  GRAVABLE 2023</t>
  </si>
  <si>
    <t>IPC</t>
  </si>
  <si>
    <t>RETENCIÓN FUENTE -Honorarios-</t>
  </si>
  <si>
    <r>
      <t>VALORES A FACTURAR -</t>
    </r>
    <r>
      <rPr>
        <b/>
        <sz val="10"/>
        <color rgb="FFFF0000"/>
        <rFont val="Verdana"/>
        <family val="2"/>
      </rPr>
      <t>PRESENTE AÑO-</t>
    </r>
  </si>
  <si>
    <r>
      <rPr>
        <b/>
        <sz val="8"/>
        <color rgb="FF0000FF"/>
        <rFont val="Verdana"/>
        <family val="2"/>
      </rPr>
      <t>VALOR A PAGAR</t>
    </r>
    <r>
      <rPr>
        <b/>
        <sz val="8"/>
        <rFont val="Verdana"/>
        <family val="2"/>
      </rPr>
      <t xml:space="preserve"> </t>
    </r>
    <r>
      <rPr>
        <b/>
        <sz val="8"/>
        <color rgb="FFFF0000"/>
        <rFont val="Verdana"/>
        <family val="2"/>
      </rPr>
      <t xml:space="preserve">NETO </t>
    </r>
    <r>
      <rPr>
        <b/>
        <sz val="8"/>
        <rFont val="Verdana"/>
        <family val="2"/>
      </rPr>
      <t>DE LA FACTURA</t>
    </r>
  </si>
  <si>
    <r>
      <rPr>
        <b/>
        <sz val="8"/>
        <color rgb="FFFF0000"/>
        <rFont val="Verdana"/>
        <family val="2"/>
      </rPr>
      <t>VALOR BRUTO</t>
    </r>
    <r>
      <rPr>
        <b/>
        <sz val="8"/>
        <rFont val="Verdana"/>
        <family val="2"/>
      </rPr>
      <t xml:space="preserve"> A ELABORAR LA FACTURA</t>
    </r>
  </si>
  <si>
    <r>
      <rPr>
        <b/>
        <sz val="8"/>
        <color rgb="FFFF0000"/>
        <rFont val="Verdana"/>
        <family val="2"/>
      </rPr>
      <t>VALOR A ELABORAR</t>
    </r>
    <r>
      <rPr>
        <b/>
        <sz val="8"/>
        <rFont val="Verdana"/>
        <family val="2"/>
      </rPr>
      <t xml:space="preserve"> LA CUENTA DE COBRO</t>
    </r>
  </si>
  <si>
    <t>VALOR TOTAL A PAGAR FACTURAS  Y CUENTAS DE COBRO</t>
  </si>
  <si>
    <r>
      <rPr>
        <b/>
        <sz val="12"/>
        <rFont val="Verdana"/>
        <family val="2"/>
      </rPr>
      <t>COBROS</t>
    </r>
    <r>
      <rPr>
        <b/>
        <sz val="12"/>
        <color rgb="FFFF0000"/>
        <rFont val="Verdana"/>
        <family val="2"/>
      </rPr>
      <t xml:space="preserve"> AÑO GRAVABLE ANTERIOR</t>
    </r>
  </si>
  <si>
    <t>TOTAL ASESORÍAS AÑO</t>
  </si>
  <si>
    <t>TOTAL ACUMULADO PRÉSTAMOS</t>
  </si>
  <si>
    <t>24-035</t>
  </si>
  <si>
    <t>24-041</t>
  </si>
  <si>
    <t>24-042</t>
  </si>
  <si>
    <t>WhatsApp</t>
  </si>
  <si>
    <t>Correo</t>
  </si>
  <si>
    <t>Transferencia</t>
  </si>
  <si>
    <t>Consignación</t>
  </si>
  <si>
    <t>Físico</t>
  </si>
  <si>
    <t>Efectivo</t>
  </si>
  <si>
    <t>Tener en cuenta a finales de NOV</t>
  </si>
  <si>
    <t>FACTURAS Y CUENTAS DE COBRO</t>
  </si>
  <si>
    <r>
      <rPr>
        <b/>
        <sz val="8"/>
        <rFont val="Verdana"/>
        <family val="2"/>
      </rPr>
      <t>VALOR A ELABORAR</t>
    </r>
    <r>
      <rPr>
        <b/>
        <sz val="8"/>
        <color rgb="FF00B050"/>
        <rFont val="Verdana"/>
        <family val="2"/>
      </rPr>
      <t xml:space="preserve"> LA CUENTA DE COBRO</t>
    </r>
  </si>
  <si>
    <t>24-135</t>
  </si>
  <si>
    <t>24-127</t>
  </si>
  <si>
    <t>24-100</t>
  </si>
  <si>
    <t>24-075</t>
  </si>
  <si>
    <t>VALOR NETO TOTAL FRAS + C DE C</t>
  </si>
  <si>
    <t>Revisar</t>
  </si>
  <si>
    <t>OJO PAGO POR 356MIL REVISAR QUIÉN?</t>
  </si>
  <si>
    <t>MEDIO</t>
  </si>
  <si>
    <t>ESTADO</t>
  </si>
  <si>
    <t>PENDIENTE</t>
  </si>
  <si>
    <t>GTFF141</t>
  </si>
  <si>
    <t>GTFF143</t>
  </si>
  <si>
    <t>Anexos y toca llamar</t>
  </si>
  <si>
    <t>REVISORIA FISCAL 2019</t>
  </si>
  <si>
    <t>REVISORIA FISCAL 2020</t>
  </si>
  <si>
    <t>REVISORIA FISCAL 2021</t>
  </si>
  <si>
    <t>REVISORIA FISCAL 2022</t>
  </si>
  <si>
    <t>REVISORIA FISCAL 2023</t>
  </si>
  <si>
    <t>REVISORIA FISCAL 2024</t>
  </si>
  <si>
    <t>GFTT150</t>
  </si>
  <si>
    <t>ojo truly</t>
  </si>
  <si>
    <t>VALORES A FACTURAR -PRESENTE AÑO-</t>
  </si>
  <si>
    <t>PRESUPUESTOS DE COBRO -AÑO GRAVABLE 2022-</t>
  </si>
  <si>
    <t>VALOR BRUTO A ELABORAR LA FACTURA</t>
  </si>
  <si>
    <t>VALOR A PAGAR NETO DE LA FACTURA</t>
  </si>
  <si>
    <t>VALOR DECLARACIÓN I AL P 2023</t>
  </si>
  <si>
    <t>VALOR FORMATO  2516 CONSERVAR</t>
  </si>
  <si>
    <t>VALOR FORMATO  2516 TRANSMITIR</t>
  </si>
  <si>
    <t>Fra con -Ruiz González Álvaro H.</t>
  </si>
  <si>
    <t>NO RETENCIÓN</t>
  </si>
  <si>
    <t>Fra con -San Antonio de la Almería</t>
  </si>
  <si>
    <t>Fra con -Javier Ríos e Hijos</t>
  </si>
  <si>
    <t>Fra con -Truly Nolen</t>
  </si>
  <si>
    <t>VALOR A ELABORAR LA CUENTA DE COBRO</t>
  </si>
  <si>
    <t>COBROS AÑO GRAVABLE ANTERIOR</t>
  </si>
  <si>
    <t>IPC 2024</t>
  </si>
  <si>
    <t>AÑO  GRAVABLE 2024</t>
  </si>
  <si>
    <t>PRESUPUESTOS DE COBRO:</t>
  </si>
  <si>
    <t>TOTAL Cobrado -Sin IVA ni Ret Fte</t>
  </si>
  <si>
    <t>RETIRADOS EN 2025</t>
  </si>
  <si>
    <t>UVT 2025</t>
  </si>
  <si>
    <t>PRESUPUESTO DE COBROS</t>
  </si>
  <si>
    <t>CUENTAS DE COBRO</t>
  </si>
  <si>
    <t>REGISTRO DE OTRAS ASESORÍAS</t>
  </si>
  <si>
    <t>si</t>
  </si>
  <si>
    <t>CONSIGNACIÓN</t>
  </si>
  <si>
    <t>Falta elaborar cuenta de cobro</t>
  </si>
  <si>
    <t>Se puede elaborar y enviar</t>
  </si>
  <si>
    <t>25-007</t>
  </si>
  <si>
    <t>25-009</t>
  </si>
  <si>
    <t>25-008</t>
  </si>
  <si>
    <t>25-047</t>
  </si>
  <si>
    <t>25-050</t>
  </si>
  <si>
    <t>25-118</t>
  </si>
  <si>
    <t>25-119</t>
  </si>
  <si>
    <t>25-120</t>
  </si>
  <si>
    <t>NOMBRE 1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</si>
  <si>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</si>
  <si>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</si>
  <si>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</si>
  <si>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</si>
  <si>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</si>
  <si>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</si>
  <si>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</si>
  <si>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</si>
  <si>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</si>
  <si>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 2</t>
  </si>
  <si>
    <t>NOMBRE 3</t>
  </si>
  <si>
    <t>NOMBRE 4</t>
  </si>
  <si>
    <t>NOMBRE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</si>
</sst>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_(&quot;$&quot;\ * #,##0.00_);_(&quot;$&quot;\ * \(#,##0.00\);_(&quot;$&quot;\ * &quot;-&quot;??_);_(@_)"/>
    <numFmt numFmtId="167" formatCode="&quot;$&quot;#,##0_);\(&quot;$&quot;#,##0\)"/>
    <numFmt numFmtId="168" formatCode="&quot;$&quot;#,##0.00_);\(&quot;$&quot;#,##0.00\)"/>
    <numFmt numFmtId="169" formatCode="[$-C0A]d\-mmm\-yyyy;@"/>
  </numFmts>
  <fonts count="98" x14ac:knownFonts="1">
    <font>
      <sz val="12"/>
      <name val="Arial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Verdana"/>
      <family val="2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8"/>
      <color indexed="10"/>
      <name val="Verdana"/>
      <family val="2"/>
    </font>
    <font>
      <b/>
      <sz val="8"/>
      <color indexed="8"/>
      <name val="Verdana"/>
      <family val="2"/>
    </font>
    <font>
      <b/>
      <sz val="8"/>
      <color indexed="12"/>
      <name val="Verdana"/>
      <family val="2"/>
    </font>
    <font>
      <b/>
      <sz val="8"/>
      <color indexed="14"/>
      <name val="Verdana"/>
      <family val="2"/>
    </font>
    <font>
      <sz val="10"/>
      <color indexed="10"/>
      <name val="Verdana"/>
      <family val="2"/>
    </font>
    <font>
      <sz val="8"/>
      <color indexed="8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0"/>
      <color indexed="12"/>
      <name val="Verdana"/>
      <family val="2"/>
    </font>
    <font>
      <sz val="10"/>
      <color indexed="17"/>
      <name val="Verdana"/>
      <family val="2"/>
    </font>
    <font>
      <sz val="10"/>
      <color indexed="12"/>
      <name val="Verdana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i/>
      <sz val="10"/>
      <color indexed="10"/>
      <name val="Verdana"/>
      <family val="2"/>
    </font>
    <font>
      <i/>
      <sz val="10"/>
      <color indexed="8"/>
      <name val="Verdana"/>
      <family val="2"/>
    </font>
    <font>
      <b/>
      <sz val="10"/>
      <color indexed="12"/>
      <name val="Verdana"/>
      <family val="2"/>
    </font>
    <font>
      <sz val="10"/>
      <color indexed="16"/>
      <name val="Verdana"/>
      <family val="2"/>
    </font>
    <font>
      <sz val="10"/>
      <color indexed="8"/>
      <name val="Verdana"/>
      <family val="2"/>
    </font>
    <font>
      <b/>
      <sz val="10"/>
      <color indexed="16"/>
      <name val="Verdana"/>
      <family val="2"/>
    </font>
    <font>
      <sz val="10"/>
      <color indexed="12"/>
      <name val="Verdana"/>
      <family val="2"/>
    </font>
    <font>
      <b/>
      <sz val="10"/>
      <color indexed="14"/>
      <name val="Verdana"/>
      <family val="2"/>
    </font>
    <font>
      <sz val="10"/>
      <color rgb="FFFF0000"/>
      <name val="Verdana"/>
      <family val="2"/>
    </font>
    <font>
      <sz val="8"/>
      <color theme="1"/>
      <name val="Verdana"/>
      <family val="2"/>
    </font>
    <font>
      <b/>
      <sz val="8"/>
      <color rgb="FF00B050"/>
      <name val="Verdana"/>
      <family val="2"/>
    </font>
    <font>
      <b/>
      <sz val="8"/>
      <color rgb="FF0000FF"/>
      <name val="Verdana"/>
      <family val="2"/>
    </font>
    <font>
      <sz val="10"/>
      <color rgb="FF008000"/>
      <name val="Verdana"/>
      <family val="2"/>
    </font>
    <font>
      <sz val="10"/>
      <color rgb="FFFF00FF"/>
      <name val="Verdana"/>
      <family val="2"/>
    </font>
    <font>
      <b/>
      <sz val="10"/>
      <color rgb="FF00B050"/>
      <name val="Verdana"/>
      <family val="2"/>
    </font>
    <font>
      <b/>
      <sz val="10"/>
      <color rgb="FFFF6600"/>
      <name val="Verdana"/>
      <family val="2"/>
    </font>
    <font>
      <sz val="10"/>
      <color rgb="FF0000FF"/>
      <name val="Verdana"/>
      <family val="2"/>
    </font>
    <font>
      <b/>
      <sz val="10"/>
      <color rgb="FF0000FF"/>
      <name val="Verdana"/>
      <family val="2"/>
    </font>
    <font>
      <sz val="10"/>
      <color rgb="FF00B050"/>
      <name val="Verdana"/>
      <family val="2"/>
    </font>
    <font>
      <b/>
      <sz val="10"/>
      <color rgb="FFC00000"/>
      <name val="Verdana"/>
      <family val="2"/>
    </font>
    <font>
      <sz val="10"/>
      <color rgb="FFC00000"/>
      <name val="Verdana"/>
      <family val="2"/>
    </font>
    <font>
      <sz val="10"/>
      <color rgb="FFFF6600"/>
      <name val="Verdana"/>
      <family val="2"/>
    </font>
    <font>
      <b/>
      <sz val="10"/>
      <color rgb="FFFF00FF"/>
      <name val="Verdana"/>
      <family val="2"/>
    </font>
    <font>
      <b/>
      <sz val="10"/>
      <color rgb="FF008000"/>
      <name val="Verdana"/>
      <family val="2"/>
    </font>
    <font>
      <b/>
      <sz val="8"/>
      <color rgb="FFC00000"/>
      <name val="Verdana"/>
      <family val="2"/>
    </font>
    <font>
      <b/>
      <sz val="8"/>
      <color rgb="FFFF6600"/>
      <name val="Verdana"/>
      <family val="2"/>
    </font>
    <font>
      <b/>
      <sz val="8"/>
      <color rgb="FFFF00FF"/>
      <name val="Verdana"/>
      <family val="2"/>
    </font>
    <font>
      <b/>
      <sz val="12"/>
      <color rgb="FF0000FF"/>
      <name val="Verdana"/>
      <family val="2"/>
    </font>
    <font>
      <b/>
      <sz val="12"/>
      <color indexed="10"/>
      <name val="Verdana"/>
      <family val="2"/>
    </font>
    <font>
      <b/>
      <sz val="12"/>
      <color indexed="8"/>
      <name val="Verdana"/>
      <family val="2"/>
    </font>
    <font>
      <b/>
      <sz val="8"/>
      <color rgb="FF800000"/>
      <name val="Verdana"/>
      <family val="2"/>
    </font>
    <font>
      <sz val="10"/>
      <color rgb="FF800000"/>
      <name val="Verdana"/>
      <family val="2"/>
    </font>
    <font>
      <b/>
      <sz val="12"/>
      <name val="Verdana"/>
      <family val="2"/>
    </font>
    <font>
      <b/>
      <sz val="10"/>
      <color rgb="FFFFFF00"/>
      <name val="Verdana"/>
      <family val="2"/>
    </font>
    <font>
      <b/>
      <sz val="10"/>
      <color rgb="FFFF0000"/>
      <name val="Verdana"/>
      <family val="2"/>
    </font>
    <font>
      <b/>
      <sz val="8"/>
      <color rgb="FFFF0000"/>
      <name val="Verdana"/>
      <family val="2"/>
    </font>
    <font>
      <sz val="10"/>
      <color rgb="FFFFFF00"/>
      <name val="Verdana"/>
      <family val="2"/>
    </font>
    <font>
      <sz val="8"/>
      <color rgb="FFFF0000"/>
      <name val="Verdana"/>
      <family val="2"/>
    </font>
    <font>
      <sz val="12"/>
      <name val="Arial"/>
      <family val="2"/>
    </font>
    <font>
      <b/>
      <i/>
      <sz val="10"/>
      <color rgb="FF0000FF"/>
      <name val="Verdana"/>
      <family val="2"/>
    </font>
    <font>
      <b/>
      <sz val="8"/>
      <color theme="1"/>
      <name val="Verdana"/>
      <family val="2"/>
    </font>
    <font>
      <b/>
      <sz val="12"/>
      <color rgb="FF00B050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b/>
      <sz val="8"/>
      <color rgb="FF00B0F0"/>
      <name val="Verdana"/>
      <family val="2"/>
    </font>
    <font>
      <b/>
      <sz val="8"/>
      <color rgb="FF7030A0"/>
      <name val="Verdana"/>
      <family val="2"/>
    </font>
    <font>
      <b/>
      <sz val="10"/>
      <color theme="1"/>
      <name val="Verdana"/>
      <family val="2"/>
    </font>
    <font>
      <sz val="8"/>
      <color rgb="FF0000FF"/>
      <name val="Verdana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rgb="FFFF0000"/>
      <name val="Verdana"/>
      <family val="2"/>
    </font>
    <font>
      <i/>
      <sz val="10"/>
      <color indexed="14"/>
      <name val="Verdana"/>
      <family val="2"/>
    </font>
    <font>
      <sz val="10"/>
      <color indexed="14"/>
      <name val="Verdana"/>
      <family val="2"/>
    </font>
    <font>
      <b/>
      <sz val="10"/>
      <color indexed="17"/>
      <name val="Verdana"/>
      <family val="2"/>
    </font>
    <font>
      <i/>
      <sz val="10"/>
      <name val="Verdana"/>
      <family val="2"/>
    </font>
    <font>
      <i/>
      <sz val="10"/>
      <color rgb="FFFF0000"/>
      <name val="Verdana"/>
      <family val="2"/>
    </font>
    <font>
      <sz val="10"/>
      <color rgb="FFFF0000"/>
      <name val="Arial"/>
      <family val="2"/>
    </font>
    <font>
      <b/>
      <sz val="10"/>
      <color rgb="FF00478E"/>
      <name val="Verdana"/>
      <family val="2"/>
    </font>
    <font>
      <b/>
      <i/>
      <sz val="10"/>
      <color indexed="10"/>
      <name val="Verdana"/>
      <family val="2"/>
    </font>
    <font>
      <sz val="8"/>
      <name val="Arial"/>
      <family val="2"/>
    </font>
    <font>
      <b/>
      <sz val="10"/>
      <color rgb="FF7030A0"/>
      <name val="Verdana"/>
      <family val="2"/>
    </font>
    <font>
      <sz val="10"/>
      <color rgb="FF7030A0"/>
      <name val="Verdana"/>
      <family val="2"/>
    </font>
    <font>
      <sz val="10"/>
      <color theme="9" tint="-0.249977111117893"/>
      <name val="Verdana"/>
      <family val="2"/>
    </font>
    <font>
      <b/>
      <sz val="8"/>
      <color theme="9" tint="-0.249977111117893"/>
      <name val="Verdana"/>
      <family val="2"/>
    </font>
    <font>
      <b/>
      <sz val="10"/>
      <color theme="9" tint="-0.249977111117893"/>
      <name val="Verdana"/>
      <family val="2"/>
    </font>
    <font>
      <i/>
      <sz val="12"/>
      <color rgb="FF0000FF"/>
      <name val="Verdana"/>
      <family val="2"/>
    </font>
    <font>
      <i/>
      <sz val="12"/>
      <color indexed="10"/>
      <name val="Verdana"/>
      <family val="2"/>
    </font>
    <font>
      <b/>
      <i/>
      <sz val="10"/>
      <color rgb="FFFF0000"/>
      <name val="Verdana"/>
      <family val="2"/>
    </font>
    <font>
      <b/>
      <sz val="10"/>
      <color rgb="FF00FFCC"/>
      <name val="Verdana"/>
      <family val="2"/>
    </font>
    <font>
      <sz val="10"/>
      <color rgb="FF00FFCC"/>
      <name val="Verdana"/>
      <family val="2"/>
    </font>
    <font>
      <sz val="8"/>
      <name val="Arial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99"/>
        <bgColor indexed="64"/>
      </patternFill>
    </fill>
  </fills>
  <borders count="1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indexed="64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medium">
        <color rgb="FF0000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65" fillId="0" borderId="0" applyFont="0" applyFill="0" applyBorder="0" applyAlignment="0" applyProtection="0"/>
    <xf numFmtId="166" fontId="75" fillId="0" borderId="0" applyFont="0" applyFill="0" applyBorder="0" applyAlignment="0" applyProtection="0"/>
  </cellStyleXfs>
  <cellXfs count="1533">
    <xf numFmtId="0" fontId="0" fillId="0" borderId="0" xfId="0"/>
    <xf numFmtId="3" fontId="9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8" fillId="4" borderId="0" xfId="0" applyNumberFormat="1" applyFont="1" applyFill="1" applyAlignment="1">
      <alignment vertical="center"/>
    </xf>
    <xf numFmtId="3" fontId="19" fillId="0" borderId="0" xfId="0" applyNumberFormat="1" applyFont="1" applyAlignment="1">
      <alignment vertical="center"/>
    </xf>
    <xf numFmtId="37" fontId="9" fillId="2" borderId="0" xfId="0" applyNumberFormat="1" applyFont="1" applyFill="1" applyAlignment="1">
      <alignment horizontal="centerContinuous" vertical="center"/>
    </xf>
    <xf numFmtId="37" fontId="18" fillId="4" borderId="0" xfId="0" applyNumberFormat="1" applyFont="1" applyFill="1" applyAlignment="1">
      <alignment vertical="center"/>
    </xf>
    <xf numFmtId="37" fontId="18" fillId="4" borderId="0" xfId="0" applyNumberFormat="1" applyFont="1" applyFill="1" applyAlignment="1">
      <alignment horizontal="centerContinuous" vertical="center"/>
    </xf>
    <xf numFmtId="37" fontId="8" fillId="0" borderId="0" xfId="0" applyNumberFormat="1" applyFont="1" applyAlignment="1">
      <alignment vertical="center"/>
    </xf>
    <xf numFmtId="3" fontId="20" fillId="0" borderId="7" xfId="0" applyNumberFormat="1" applyFont="1" applyBorder="1" applyAlignment="1">
      <alignment vertical="center"/>
    </xf>
    <xf numFmtId="3" fontId="21" fillId="0" borderId="7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3" fontId="21" fillId="0" borderId="8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18" fillId="0" borderId="7" xfId="0" applyNumberFormat="1" applyFont="1" applyBorder="1" applyAlignment="1">
      <alignment vertical="center"/>
    </xf>
    <xf numFmtId="3" fontId="18" fillId="0" borderId="0" xfId="0" applyNumberFormat="1" applyFont="1" applyAlignment="1">
      <alignment vertical="center"/>
    </xf>
    <xf numFmtId="37" fontId="8" fillId="2" borderId="0" xfId="0" applyNumberFormat="1" applyFont="1" applyFill="1" applyAlignment="1">
      <alignment vertical="center"/>
    </xf>
    <xf numFmtId="3" fontId="24" fillId="0" borderId="0" xfId="0" quotePrefix="1" applyNumberFormat="1" applyFont="1" applyAlignment="1">
      <alignment vertical="center"/>
    </xf>
    <xf numFmtId="3" fontId="26" fillId="4" borderId="0" xfId="0" applyNumberFormat="1" applyFont="1" applyFill="1" applyAlignment="1">
      <alignment horizontal="centerContinuous" vertical="center"/>
    </xf>
    <xf numFmtId="3" fontId="2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Continuous" vertical="center"/>
    </xf>
    <xf numFmtId="3" fontId="26" fillId="2" borderId="0" xfId="0" applyNumberFormat="1" applyFont="1" applyFill="1" applyAlignment="1">
      <alignment vertical="center"/>
    </xf>
    <xf numFmtId="37" fontId="39" fillId="2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Continuous" vertical="center"/>
    </xf>
    <xf numFmtId="3" fontId="31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3" fontId="26" fillId="4" borderId="0" xfId="0" applyNumberFormat="1" applyFont="1" applyFill="1" applyAlignment="1">
      <alignment vertical="center"/>
    </xf>
    <xf numFmtId="3" fontId="31" fillId="4" borderId="0" xfId="0" applyNumberFormat="1" applyFont="1" applyFill="1" applyAlignment="1">
      <alignment vertical="center"/>
    </xf>
    <xf numFmtId="3" fontId="25" fillId="4" borderId="0" xfId="0" applyNumberFormat="1" applyFont="1" applyFill="1" applyAlignment="1">
      <alignment vertical="center"/>
    </xf>
    <xf numFmtId="0" fontId="29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vertical="center"/>
    </xf>
    <xf numFmtId="0" fontId="42" fillId="4" borderId="0" xfId="0" applyFont="1" applyFill="1" applyAlignment="1">
      <alignment horizontal="center" vertical="center"/>
    </xf>
    <xf numFmtId="37" fontId="39" fillId="4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vertical="center"/>
    </xf>
    <xf numFmtId="3" fontId="42" fillId="0" borderId="0" xfId="0" applyNumberFormat="1" applyFont="1" applyAlignment="1">
      <alignment horizontal="center" vertical="center"/>
    </xf>
    <xf numFmtId="37" fontId="39" fillId="0" borderId="0" xfId="0" applyNumberFormat="1" applyFont="1" applyAlignment="1">
      <alignment horizontal="center" vertical="center"/>
    </xf>
    <xf numFmtId="15" fontId="31" fillId="2" borderId="0" xfId="0" applyNumberFormat="1" applyFont="1" applyFill="1" applyAlignment="1">
      <alignment horizontal="centerContinuous" vertical="center"/>
    </xf>
    <xf numFmtId="3" fontId="33" fillId="0" borderId="0" xfId="0" applyNumberFormat="1" applyFont="1" applyAlignment="1">
      <alignment vertical="center"/>
    </xf>
    <xf numFmtId="37" fontId="41" fillId="2" borderId="0" xfId="0" applyNumberFormat="1" applyFont="1" applyFill="1" applyAlignment="1">
      <alignment horizontal="center" vertical="center"/>
    </xf>
    <xf numFmtId="37" fontId="42" fillId="2" borderId="0" xfId="0" applyNumberFormat="1" applyFont="1" applyFill="1" applyAlignment="1">
      <alignment horizontal="center" vertical="center"/>
    </xf>
    <xf numFmtId="37" fontId="30" fillId="2" borderId="0" xfId="0" applyNumberFormat="1" applyFont="1" applyFill="1" applyAlignment="1">
      <alignment vertical="center"/>
    </xf>
    <xf numFmtId="37" fontId="40" fillId="2" borderId="0" xfId="0" applyNumberFormat="1" applyFont="1" applyFill="1" applyAlignment="1">
      <alignment horizontal="center" vertical="center"/>
    </xf>
    <xf numFmtId="3" fontId="33" fillId="2" borderId="0" xfId="0" applyNumberFormat="1" applyFont="1" applyFill="1" applyAlignment="1">
      <alignment vertical="center"/>
    </xf>
    <xf numFmtId="3" fontId="41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vertical="center"/>
    </xf>
    <xf numFmtId="3" fontId="21" fillId="0" borderId="4" xfId="0" applyNumberFormat="1" applyFont="1" applyBorder="1" applyAlignment="1">
      <alignment vertical="center"/>
    </xf>
    <xf numFmtId="3" fontId="21" fillId="0" borderId="11" xfId="0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37" fontId="9" fillId="0" borderId="2" xfId="0" applyNumberFormat="1" applyFont="1" applyBorder="1" applyAlignment="1">
      <alignment horizontal="center" vertical="center"/>
    </xf>
    <xf numFmtId="37" fontId="9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vertical="center"/>
    </xf>
    <xf numFmtId="3" fontId="19" fillId="2" borderId="0" xfId="0" applyNumberFormat="1" applyFont="1" applyFill="1" applyAlignment="1">
      <alignment vertical="center"/>
    </xf>
    <xf numFmtId="3" fontId="19" fillId="4" borderId="0" xfId="0" applyNumberFormat="1" applyFont="1" applyFill="1" applyAlignment="1">
      <alignment horizontal="centerContinuous" vertical="center"/>
    </xf>
    <xf numFmtId="3" fontId="19" fillId="4" borderId="0" xfId="0" applyNumberFormat="1" applyFont="1" applyFill="1" applyAlignment="1">
      <alignment horizontal="center" vertical="center"/>
    </xf>
    <xf numFmtId="37" fontId="18" fillId="0" borderId="0" xfId="0" applyNumberFormat="1" applyFont="1" applyAlignment="1">
      <alignment vertical="center"/>
    </xf>
    <xf numFmtId="37" fontId="19" fillId="4" borderId="0" xfId="0" applyNumberFormat="1" applyFont="1" applyFill="1" applyAlignment="1">
      <alignment vertical="center"/>
    </xf>
    <xf numFmtId="37" fontId="9" fillId="4" borderId="0" xfId="0" applyNumberFormat="1" applyFont="1" applyFill="1" applyAlignment="1">
      <alignment vertical="center"/>
    </xf>
    <xf numFmtId="37" fontId="15" fillId="4" borderId="0" xfId="0" applyNumberFormat="1" applyFont="1" applyFill="1" applyAlignment="1">
      <alignment vertical="center"/>
    </xf>
    <xf numFmtId="37" fontId="21" fillId="4" borderId="0" xfId="0" applyNumberFormat="1" applyFont="1" applyFill="1" applyAlignment="1">
      <alignment vertical="center"/>
    </xf>
    <xf numFmtId="37" fontId="9" fillId="2" borderId="0" xfId="0" applyNumberFormat="1" applyFont="1" applyFill="1" applyAlignment="1">
      <alignment vertical="center"/>
    </xf>
    <xf numFmtId="37" fontId="23" fillId="2" borderId="0" xfId="0" applyNumberFormat="1" applyFont="1" applyFill="1" applyAlignment="1">
      <alignment vertical="center"/>
    </xf>
    <xf numFmtId="37" fontId="15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horizontal="center" vertical="center"/>
    </xf>
    <xf numFmtId="37" fontId="18" fillId="2" borderId="0" xfId="0" applyNumberFormat="1" applyFont="1" applyFill="1" applyAlignment="1">
      <alignment vertical="center"/>
    </xf>
    <xf numFmtId="37" fontId="18" fillId="0" borderId="0" xfId="0" applyNumberFormat="1" applyFont="1"/>
    <xf numFmtId="37" fontId="24" fillId="0" borderId="0" xfId="0" quotePrefix="1" applyNumberFormat="1" applyFont="1" applyAlignment="1">
      <alignment vertical="center"/>
    </xf>
    <xf numFmtId="37" fontId="24" fillId="0" borderId="0" xfId="0" quotePrefix="1" applyNumberFormat="1" applyFont="1" applyAlignment="1">
      <alignment horizontal="center" vertical="center"/>
    </xf>
    <xf numFmtId="37" fontId="24" fillId="0" borderId="0" xfId="0" applyNumberFormat="1" applyFont="1" applyAlignment="1">
      <alignment vertical="center"/>
    </xf>
    <xf numFmtId="37" fontId="24" fillId="0" borderId="0" xfId="0" applyNumberFormat="1" applyFont="1" applyAlignment="1">
      <alignment horizontal="center" vertical="center"/>
    </xf>
    <xf numFmtId="37" fontId="18" fillId="4" borderId="0" xfId="0" applyNumberFormat="1" applyFont="1" applyFill="1" applyAlignment="1">
      <alignment horizontal="center" vertical="center"/>
    </xf>
    <xf numFmtId="37" fontId="9" fillId="0" borderId="0" xfId="0" applyNumberFormat="1" applyFont="1" applyAlignment="1">
      <alignment horizontal="centerContinuous" vertical="center"/>
    </xf>
    <xf numFmtId="37" fontId="9" fillId="2" borderId="0" xfId="0" applyNumberFormat="1" applyFont="1" applyFill="1" applyAlignment="1">
      <alignment horizontal="center" vertical="center"/>
    </xf>
    <xf numFmtId="37" fontId="44" fillId="2" borderId="0" xfId="0" applyNumberFormat="1" applyFont="1" applyFill="1" applyAlignment="1">
      <alignment horizontal="center" vertical="center"/>
    </xf>
    <xf numFmtId="37" fontId="44" fillId="2" borderId="0" xfId="0" applyNumberFormat="1" applyFont="1" applyFill="1" applyAlignment="1">
      <alignment vertical="center"/>
    </xf>
    <xf numFmtId="37" fontId="41" fillId="2" borderId="0" xfId="0" applyNumberFormat="1" applyFont="1" applyFill="1" applyAlignment="1">
      <alignment vertical="center"/>
    </xf>
    <xf numFmtId="37" fontId="46" fillId="2" borderId="0" xfId="0" applyNumberFormat="1" applyFont="1" applyFill="1" applyAlignment="1">
      <alignment horizontal="center" vertical="center"/>
    </xf>
    <xf numFmtId="37" fontId="46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vertical="center"/>
    </xf>
    <xf numFmtId="37" fontId="30" fillId="2" borderId="0" xfId="0" applyNumberFormat="1" applyFont="1" applyFill="1" applyAlignment="1">
      <alignment horizontal="center" vertical="center"/>
    </xf>
    <xf numFmtId="37" fontId="19" fillId="2" borderId="0" xfId="0" applyNumberFormat="1" applyFont="1" applyFill="1" applyAlignment="1">
      <alignment vertical="center"/>
    </xf>
    <xf numFmtId="37" fontId="49" fillId="2" borderId="0" xfId="0" applyNumberFormat="1" applyFont="1" applyFill="1" applyAlignment="1">
      <alignment horizontal="center" vertical="center"/>
    </xf>
    <xf numFmtId="37" fontId="41" fillId="4" borderId="0" xfId="0" applyNumberFormat="1" applyFont="1" applyFill="1" applyAlignment="1">
      <alignment horizontal="center" vertical="center"/>
    </xf>
    <xf numFmtId="37" fontId="21" fillId="4" borderId="0" xfId="0" applyNumberFormat="1" applyFont="1" applyFill="1" applyAlignment="1">
      <alignment horizontal="center" vertical="center"/>
    </xf>
    <xf numFmtId="37" fontId="42" fillId="4" borderId="0" xfId="0" applyNumberFormat="1" applyFont="1" applyFill="1" applyAlignment="1">
      <alignment horizontal="center" vertical="center"/>
    </xf>
    <xf numFmtId="37" fontId="32" fillId="4" borderId="0" xfId="0" applyNumberFormat="1" applyFont="1" applyFill="1" applyAlignment="1">
      <alignment horizontal="center" vertical="center"/>
    </xf>
    <xf numFmtId="37" fontId="49" fillId="4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vertical="center"/>
    </xf>
    <xf numFmtId="37" fontId="41" fillId="0" borderId="0" xfId="0" applyNumberFormat="1" applyFont="1" applyAlignment="1">
      <alignment horizontal="center" vertical="center"/>
    </xf>
    <xf numFmtId="37" fontId="21" fillId="0" borderId="0" xfId="0" applyNumberFormat="1" applyFont="1" applyAlignment="1">
      <alignment horizontal="center" vertical="center"/>
    </xf>
    <xf numFmtId="37" fontId="21" fillId="0" borderId="0" xfId="0" applyNumberFormat="1" applyFont="1" applyAlignment="1">
      <alignment vertical="center"/>
    </xf>
    <xf numFmtId="37" fontId="42" fillId="0" borderId="0" xfId="0" applyNumberFormat="1" applyFont="1" applyAlignment="1">
      <alignment horizontal="center" vertical="center"/>
    </xf>
    <xf numFmtId="37" fontId="30" fillId="0" borderId="0" xfId="0" applyNumberFormat="1" applyFont="1" applyAlignment="1">
      <alignment horizontal="center" vertical="center"/>
    </xf>
    <xf numFmtId="37" fontId="19" fillId="0" borderId="0" xfId="0" applyNumberFormat="1" applyFont="1" applyAlignment="1">
      <alignment horizontal="center" vertical="center"/>
    </xf>
    <xf numFmtId="37" fontId="49" fillId="0" borderId="0" xfId="0" applyNumberFormat="1" applyFont="1" applyAlignment="1">
      <alignment horizontal="center" vertical="center"/>
    </xf>
    <xf numFmtId="37" fontId="40" fillId="0" borderId="0" xfId="0" applyNumberFormat="1" applyFont="1" applyAlignment="1">
      <alignment horizontal="center" vertical="center"/>
    </xf>
    <xf numFmtId="37" fontId="8" fillId="4" borderId="0" xfId="0" applyNumberFormat="1" applyFont="1" applyFill="1" applyAlignment="1">
      <alignment horizontal="centerContinuous" vertical="center"/>
    </xf>
    <xf numFmtId="37" fontId="8" fillId="0" borderId="0" xfId="0" applyNumberFormat="1" applyFont="1"/>
    <xf numFmtId="49" fontId="45" fillId="4" borderId="0" xfId="0" applyNumberFormat="1" applyFont="1" applyFill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49" fontId="45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37" fontId="55" fillId="0" borderId="0" xfId="0" applyNumberFormat="1" applyFont="1" applyAlignment="1">
      <alignment vertical="center"/>
    </xf>
    <xf numFmtId="37" fontId="54" fillId="0" borderId="0" xfId="0" applyNumberFormat="1" applyFont="1" applyAlignment="1">
      <alignment vertical="center"/>
    </xf>
    <xf numFmtId="37" fontId="43" fillId="0" borderId="24" xfId="0" applyNumberFormat="1" applyFont="1" applyBorder="1" applyAlignment="1">
      <alignment vertical="center"/>
    </xf>
    <xf numFmtId="37" fontId="45" fillId="0" borderId="24" xfId="0" applyNumberFormat="1" applyFont="1" applyBorder="1" applyAlignment="1">
      <alignment vertical="center"/>
    </xf>
    <xf numFmtId="37" fontId="47" fillId="0" borderId="24" xfId="0" applyNumberFormat="1" applyFont="1" applyBorder="1" applyAlignment="1">
      <alignment vertical="center"/>
    </xf>
    <xf numFmtId="37" fontId="48" fillId="0" borderId="24" xfId="0" applyNumberFormat="1" applyFont="1" applyBorder="1" applyAlignment="1">
      <alignment vertical="center"/>
    </xf>
    <xf numFmtId="37" fontId="58" fillId="0" borderId="0" xfId="0" applyNumberFormat="1" applyFont="1" applyAlignment="1">
      <alignment horizontal="center" vertical="center"/>
    </xf>
    <xf numFmtId="37" fontId="33" fillId="0" borderId="24" xfId="0" applyNumberFormat="1" applyFont="1" applyBorder="1" applyAlignment="1">
      <alignment vertical="center"/>
    </xf>
    <xf numFmtId="37" fontId="30" fillId="0" borderId="0" xfId="0" applyNumberFormat="1" applyFont="1" applyAlignment="1">
      <alignment vertical="center"/>
    </xf>
    <xf numFmtId="3" fontId="8" fillId="4" borderId="0" xfId="0" applyNumberFormat="1" applyFont="1" applyFill="1" applyAlignment="1">
      <alignment horizontal="centerContinuous" vertical="center" wrapText="1"/>
    </xf>
    <xf numFmtId="3" fontId="8" fillId="2" borderId="0" xfId="0" applyNumberFormat="1" applyFont="1" applyFill="1" applyAlignment="1">
      <alignment vertical="center" wrapText="1"/>
    </xf>
    <xf numFmtId="10" fontId="29" fillId="2" borderId="0" xfId="0" applyNumberFormat="1" applyFont="1" applyFill="1" applyAlignment="1">
      <alignment horizontal="center" vertical="center"/>
    </xf>
    <xf numFmtId="10" fontId="46" fillId="2" borderId="0" xfId="0" applyNumberFormat="1" applyFont="1" applyFill="1" applyAlignment="1">
      <alignment horizontal="center" vertical="center"/>
    </xf>
    <xf numFmtId="3" fontId="11" fillId="3" borderId="27" xfId="0" applyNumberFormat="1" applyFont="1" applyFill="1" applyBorder="1" applyAlignment="1">
      <alignment horizontal="center" vertical="center" wrapText="1"/>
    </xf>
    <xf numFmtId="3" fontId="12" fillId="0" borderId="32" xfId="0" applyNumberFormat="1" applyFont="1" applyBorder="1" applyAlignment="1">
      <alignment horizontal="center" vertical="center" wrapText="1"/>
    </xf>
    <xf numFmtId="3" fontId="12" fillId="0" borderId="33" xfId="0" applyNumberFormat="1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37" fontId="33" fillId="2" borderId="37" xfId="0" applyNumberFormat="1" applyFont="1" applyFill="1" applyBorder="1" applyAlignment="1">
      <alignment vertical="center"/>
    </xf>
    <xf numFmtId="3" fontId="19" fillId="2" borderId="32" xfId="0" applyNumberFormat="1" applyFont="1" applyFill="1" applyBorder="1" applyAlignment="1">
      <alignment vertical="center"/>
    </xf>
    <xf numFmtId="3" fontId="19" fillId="2" borderId="40" xfId="0" applyNumberFormat="1" applyFont="1" applyFill="1" applyBorder="1" applyAlignment="1">
      <alignment vertical="center"/>
    </xf>
    <xf numFmtId="3" fontId="13" fillId="0" borderId="46" xfId="0" applyNumberFormat="1" applyFont="1" applyBorder="1" applyAlignment="1">
      <alignment horizontal="center" vertical="center" wrapText="1"/>
    </xf>
    <xf numFmtId="3" fontId="38" fillId="0" borderId="46" xfId="0" applyNumberFormat="1" applyFont="1" applyBorder="1" applyAlignment="1">
      <alignment horizontal="center" vertical="center" wrapText="1"/>
    </xf>
    <xf numFmtId="3" fontId="37" fillId="0" borderId="46" xfId="0" applyNumberFormat="1" applyFont="1" applyBorder="1" applyAlignment="1">
      <alignment horizontal="center" vertical="center" wrapText="1"/>
    </xf>
    <xf numFmtId="3" fontId="51" fillId="0" borderId="46" xfId="0" applyNumberFormat="1" applyFont="1" applyBorder="1" applyAlignment="1">
      <alignment horizontal="center" vertical="center" wrapText="1"/>
    </xf>
    <xf numFmtId="3" fontId="52" fillId="0" borderId="46" xfId="0" applyNumberFormat="1" applyFont="1" applyBorder="1" applyAlignment="1">
      <alignment horizontal="center" vertical="center" wrapText="1"/>
    </xf>
    <xf numFmtId="37" fontId="57" fillId="0" borderId="47" xfId="0" applyNumberFormat="1" applyFont="1" applyBorder="1" applyAlignment="1">
      <alignment horizontal="center" vertical="center" wrapText="1"/>
    </xf>
    <xf numFmtId="3" fontId="17" fillId="0" borderId="42" xfId="0" applyNumberFormat="1" applyFont="1" applyBorder="1" applyAlignment="1">
      <alignment horizontal="center" vertical="center" wrapText="1"/>
    </xf>
    <xf numFmtId="3" fontId="17" fillId="0" borderId="43" xfId="0" applyNumberFormat="1" applyFont="1" applyBorder="1" applyAlignment="1">
      <alignment horizontal="center" vertical="center" wrapText="1"/>
    </xf>
    <xf numFmtId="49" fontId="17" fillId="0" borderId="49" xfId="0" applyNumberFormat="1" applyFont="1" applyBorder="1" applyAlignment="1">
      <alignment horizontal="center" vertical="center" wrapText="1"/>
    </xf>
    <xf numFmtId="3" fontId="37" fillId="0" borderId="41" xfId="0" applyNumberFormat="1" applyFont="1" applyBorder="1" applyAlignment="1">
      <alignment horizontal="center" vertical="center" wrapText="1"/>
    </xf>
    <xf numFmtId="37" fontId="39" fillId="2" borderId="51" xfId="0" applyNumberFormat="1" applyFont="1" applyFill="1" applyBorder="1" applyAlignment="1">
      <alignment horizontal="center" vertical="center"/>
    </xf>
    <xf numFmtId="37" fontId="49" fillId="2" borderId="52" xfId="0" applyNumberFormat="1" applyFont="1" applyFill="1" applyBorder="1" applyAlignment="1">
      <alignment horizontal="center" vertical="center"/>
    </xf>
    <xf numFmtId="37" fontId="50" fillId="0" borderId="17" xfId="0" applyNumberFormat="1" applyFont="1" applyBorder="1" applyAlignment="1">
      <alignment horizontal="center" vertical="center"/>
    </xf>
    <xf numFmtId="37" fontId="43" fillId="0" borderId="0" xfId="0" applyNumberFormat="1" applyFont="1" applyAlignment="1">
      <alignment vertical="center"/>
    </xf>
    <xf numFmtId="37" fontId="41" fillId="0" borderId="0" xfId="0" applyNumberFormat="1" applyFont="1" applyAlignment="1">
      <alignment vertical="center"/>
    </xf>
    <xf numFmtId="37" fontId="42" fillId="0" borderId="0" xfId="0" applyNumberFormat="1" applyFont="1" applyAlignment="1">
      <alignment vertical="center"/>
    </xf>
    <xf numFmtId="37" fontId="19" fillId="0" borderId="0" xfId="0" applyNumberFormat="1" applyFont="1" applyAlignment="1">
      <alignment vertical="center"/>
    </xf>
    <xf numFmtId="37" fontId="50" fillId="0" borderId="0" xfId="0" applyNumberFormat="1" applyFont="1" applyAlignment="1">
      <alignment vertical="center"/>
    </xf>
    <xf numFmtId="37" fontId="49" fillId="0" borderId="0" xfId="0" applyNumberFormat="1" applyFont="1" applyAlignment="1">
      <alignment vertical="center"/>
    </xf>
    <xf numFmtId="37" fontId="60" fillId="4" borderId="0" xfId="0" applyNumberFormat="1" applyFont="1" applyFill="1" applyAlignment="1">
      <alignment vertical="center"/>
    </xf>
    <xf numFmtId="37" fontId="60" fillId="4" borderId="0" xfId="0" applyNumberFormat="1" applyFont="1" applyFill="1" applyAlignment="1">
      <alignment vertical="center" wrapText="1"/>
    </xf>
    <xf numFmtId="37" fontId="60" fillId="0" borderId="0" xfId="0" applyNumberFormat="1" applyFont="1" applyAlignment="1">
      <alignment vertical="center"/>
    </xf>
    <xf numFmtId="3" fontId="17" fillId="0" borderId="33" xfId="0" applyNumberFormat="1" applyFont="1" applyBorder="1" applyAlignment="1">
      <alignment horizontal="center" vertical="center" wrapText="1"/>
    </xf>
    <xf numFmtId="37" fontId="61" fillId="4" borderId="0" xfId="0" applyNumberFormat="1" applyFont="1" applyFill="1" applyAlignment="1">
      <alignment vertical="center"/>
    </xf>
    <xf numFmtId="37" fontId="18" fillId="0" borderId="0" xfId="0" applyNumberFormat="1" applyFont="1" applyAlignment="1">
      <alignment vertical="center" wrapText="1"/>
    </xf>
    <xf numFmtId="37" fontId="18" fillId="0" borderId="0" xfId="0" applyNumberFormat="1" applyFont="1" applyAlignment="1">
      <alignment horizontal="center" vertical="center"/>
    </xf>
    <xf numFmtId="37" fontId="35" fillId="2" borderId="0" xfId="0" applyNumberFormat="1" applyFont="1" applyFill="1" applyAlignment="1">
      <alignment vertical="center"/>
    </xf>
    <xf numFmtId="37" fontId="59" fillId="0" borderId="0" xfId="0" quotePrefix="1" applyNumberFormat="1" applyFont="1" applyAlignment="1">
      <alignment vertical="center"/>
    </xf>
    <xf numFmtId="37" fontId="17" fillId="0" borderId="32" xfId="0" applyNumberFormat="1" applyFont="1" applyBorder="1" applyAlignment="1">
      <alignment horizontal="center" vertical="center" wrapText="1"/>
    </xf>
    <xf numFmtId="37" fontId="19" fillId="2" borderId="32" xfId="0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 wrapText="1"/>
    </xf>
    <xf numFmtId="37" fontId="13" fillId="0" borderId="59" xfId="0" applyNumberFormat="1" applyFont="1" applyBorder="1" applyAlignment="1">
      <alignment horizontal="center" vertical="center" wrapText="1"/>
    </xf>
    <xf numFmtId="37" fontId="56" fillId="0" borderId="0" xfId="0" quotePrefix="1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37" fontId="12" fillId="0" borderId="32" xfId="0" applyNumberFormat="1" applyFont="1" applyBorder="1" applyAlignment="1">
      <alignment horizontal="center" vertical="center" wrapText="1"/>
    </xf>
    <xf numFmtId="37" fontId="31" fillId="0" borderId="0" xfId="0" applyNumberFormat="1" applyFont="1" applyAlignment="1">
      <alignment horizontal="center" vertical="center"/>
    </xf>
    <xf numFmtId="37" fontId="31" fillId="2" borderId="0" xfId="0" applyNumberFormat="1" applyFont="1" applyFill="1" applyAlignment="1">
      <alignment horizontal="center" vertical="center"/>
    </xf>
    <xf numFmtId="37" fontId="26" fillId="4" borderId="0" xfId="0" applyNumberFormat="1" applyFont="1" applyFill="1" applyAlignment="1">
      <alignment vertical="center"/>
    </xf>
    <xf numFmtId="37" fontId="26" fillId="0" borderId="0" xfId="0" applyNumberFormat="1" applyFont="1" applyAlignment="1">
      <alignment vertical="center"/>
    </xf>
    <xf numFmtId="37" fontId="26" fillId="2" borderId="0" xfId="0" applyNumberFormat="1" applyFont="1" applyFill="1" applyAlignment="1">
      <alignment vertical="center"/>
    </xf>
    <xf numFmtId="3" fontId="49" fillId="0" borderId="0" xfId="0" quotePrefix="1" applyNumberFormat="1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Continuous" vertical="center"/>
    </xf>
    <xf numFmtId="37" fontId="50" fillId="2" borderId="0" xfId="0" applyNumberFormat="1" applyFont="1" applyFill="1" applyAlignment="1">
      <alignment horizontal="center" vertical="center"/>
    </xf>
    <xf numFmtId="37" fontId="50" fillId="4" borderId="0" xfId="0" applyNumberFormat="1" applyFont="1" applyFill="1" applyAlignment="1">
      <alignment horizontal="center" vertical="center"/>
    </xf>
    <xf numFmtId="37" fontId="50" fillId="0" borderId="0" xfId="0" applyNumberFormat="1" applyFont="1" applyAlignment="1">
      <alignment horizontal="center" vertical="center"/>
    </xf>
    <xf numFmtId="37" fontId="50" fillId="2" borderId="51" xfId="0" applyNumberFormat="1" applyFont="1" applyFill="1" applyBorder="1" applyAlignment="1">
      <alignment horizontal="center" vertical="center"/>
    </xf>
    <xf numFmtId="37" fontId="33" fillId="0" borderId="35" xfId="0" applyNumberFormat="1" applyFont="1" applyBorder="1" applyAlignment="1">
      <alignment vertical="center"/>
    </xf>
    <xf numFmtId="37" fontId="43" fillId="0" borderId="35" xfId="0" applyNumberFormat="1" applyFont="1" applyBorder="1" applyAlignment="1">
      <alignment vertical="center"/>
    </xf>
    <xf numFmtId="37" fontId="45" fillId="0" borderId="35" xfId="0" applyNumberFormat="1" applyFont="1" applyBorder="1" applyAlignment="1">
      <alignment vertical="center"/>
    </xf>
    <xf numFmtId="37" fontId="47" fillId="0" borderId="35" xfId="0" applyNumberFormat="1" applyFont="1" applyBorder="1" applyAlignment="1">
      <alignment vertical="center"/>
    </xf>
    <xf numFmtId="37" fontId="23" fillId="0" borderId="37" xfId="0" applyNumberFormat="1" applyFont="1" applyBorder="1" applyAlignment="1">
      <alignment vertical="center"/>
    </xf>
    <xf numFmtId="37" fontId="44" fillId="0" borderId="37" xfId="0" applyNumberFormat="1" applyFont="1" applyBorder="1" applyAlignment="1">
      <alignment horizontal="center" vertical="center"/>
    </xf>
    <xf numFmtId="37" fontId="43" fillId="0" borderId="37" xfId="0" applyNumberFormat="1" applyFont="1" applyBorder="1" applyAlignment="1">
      <alignment vertical="center"/>
    </xf>
    <xf numFmtId="37" fontId="41" fillId="0" borderId="37" xfId="0" applyNumberFormat="1" applyFont="1" applyBorder="1" applyAlignment="1">
      <alignment horizontal="center" vertical="center"/>
    </xf>
    <xf numFmtId="37" fontId="45" fillId="0" borderId="37" xfId="0" applyNumberFormat="1" applyFont="1" applyBorder="1" applyAlignment="1">
      <alignment vertical="center"/>
    </xf>
    <xf numFmtId="37" fontId="46" fillId="0" borderId="37" xfId="0" applyNumberFormat="1" applyFont="1" applyBorder="1" applyAlignment="1">
      <alignment horizontal="center" vertical="center"/>
    </xf>
    <xf numFmtId="37" fontId="47" fillId="0" borderId="37" xfId="0" applyNumberFormat="1" applyFont="1" applyBorder="1" applyAlignment="1">
      <alignment vertical="center"/>
    </xf>
    <xf numFmtId="37" fontId="42" fillId="0" borderId="37" xfId="0" applyNumberFormat="1" applyFont="1" applyBorder="1" applyAlignment="1">
      <alignment horizontal="center" vertical="center"/>
    </xf>
    <xf numFmtId="37" fontId="48" fillId="0" borderId="37" xfId="0" applyNumberFormat="1" applyFont="1" applyBorder="1" applyAlignment="1">
      <alignment vertical="center"/>
    </xf>
    <xf numFmtId="3" fontId="66" fillId="0" borderId="0" xfId="0" applyNumberFormat="1" applyFont="1" applyAlignment="1">
      <alignment horizontal="centerContinuous" vertical="center"/>
    </xf>
    <xf numFmtId="3" fontId="44" fillId="0" borderId="0" xfId="0" applyNumberFormat="1" applyFont="1" applyAlignment="1">
      <alignment horizontal="centerContinuous" vertical="center"/>
    </xf>
    <xf numFmtId="3" fontId="44" fillId="0" borderId="0" xfId="0" applyNumberFormat="1" applyFont="1" applyAlignment="1">
      <alignment vertical="center"/>
    </xf>
    <xf numFmtId="37" fontId="44" fillId="4" borderId="0" xfId="0" applyNumberFormat="1" applyFont="1" applyFill="1" applyAlignment="1">
      <alignment vertical="center"/>
    </xf>
    <xf numFmtId="37" fontId="44" fillId="0" borderId="0" xfId="0" applyNumberFormat="1" applyFont="1" applyAlignment="1">
      <alignment vertical="center"/>
    </xf>
    <xf numFmtId="37" fontId="44" fillId="2" borderId="31" xfId="0" applyNumberFormat="1" applyFont="1" applyFill="1" applyBorder="1" applyAlignment="1">
      <alignment vertical="center"/>
    </xf>
    <xf numFmtId="14" fontId="27" fillId="0" borderId="0" xfId="0" applyNumberFormat="1" applyFont="1" applyAlignment="1">
      <alignment horizontal="center" vertical="center"/>
    </xf>
    <xf numFmtId="37" fontId="49" fillId="0" borderId="0" xfId="0" quotePrefix="1" applyNumberFormat="1" applyFont="1" applyAlignment="1">
      <alignment vertical="center"/>
    </xf>
    <xf numFmtId="37" fontId="40" fillId="2" borderId="0" xfId="0" applyNumberFormat="1" applyFont="1" applyFill="1" applyAlignment="1">
      <alignment vertical="center"/>
    </xf>
    <xf numFmtId="3" fontId="53" fillId="0" borderId="46" xfId="0" applyNumberFormat="1" applyFont="1" applyBorder="1" applyAlignment="1">
      <alignment horizontal="center" vertical="center" wrapText="1"/>
    </xf>
    <xf numFmtId="37" fontId="40" fillId="0" borderId="2" xfId="0" applyNumberFormat="1" applyFont="1" applyBorder="1" applyAlignment="1">
      <alignment horizontal="center" vertical="center"/>
    </xf>
    <xf numFmtId="37" fontId="40" fillId="0" borderId="35" xfId="0" applyNumberFormat="1" applyFont="1" applyBorder="1" applyAlignment="1">
      <alignment vertical="center"/>
    </xf>
    <xf numFmtId="37" fontId="49" fillId="2" borderId="0" xfId="0" applyNumberFormat="1" applyFont="1" applyFill="1" applyAlignment="1">
      <alignment vertical="center"/>
    </xf>
    <xf numFmtId="37" fontId="49" fillId="4" borderId="0" xfId="0" applyNumberFormat="1" applyFont="1" applyFill="1" applyAlignment="1">
      <alignment vertical="center"/>
    </xf>
    <xf numFmtId="37" fontId="40" fillId="0" borderId="0" xfId="0" applyNumberFormat="1" applyFont="1" applyAlignment="1">
      <alignment vertical="center"/>
    </xf>
    <xf numFmtId="37" fontId="40" fillId="0" borderId="37" xfId="0" applyNumberFormat="1" applyFont="1" applyBorder="1" applyAlignment="1">
      <alignment vertical="center"/>
    </xf>
    <xf numFmtId="37" fontId="9" fillId="4" borderId="0" xfId="0" applyNumberFormat="1" applyFont="1" applyFill="1" applyAlignment="1">
      <alignment horizontal="center" vertical="center"/>
    </xf>
    <xf numFmtId="37" fontId="63" fillId="4" borderId="0" xfId="0" applyNumberFormat="1" applyFont="1" applyFill="1" applyAlignment="1">
      <alignment horizontal="center" vertical="center"/>
    </xf>
    <xf numFmtId="37" fontId="31" fillId="0" borderId="0" xfId="0" applyNumberFormat="1" applyFont="1" applyAlignment="1">
      <alignment horizontal="centerContinuous" vertical="center"/>
    </xf>
    <xf numFmtId="37" fontId="12" fillId="0" borderId="34" xfId="0" applyNumberFormat="1" applyFont="1" applyBorder="1" applyAlignment="1">
      <alignment horizontal="center" vertical="center" wrapText="1"/>
    </xf>
    <xf numFmtId="37" fontId="31" fillId="2" borderId="0" xfId="0" applyNumberFormat="1" applyFont="1" applyFill="1" applyAlignment="1">
      <alignment horizontal="centerContinuous" vertical="center"/>
    </xf>
    <xf numFmtId="37" fontId="31" fillId="2" borderId="0" xfId="0" applyNumberFormat="1" applyFont="1" applyFill="1" applyAlignment="1">
      <alignment vertical="center"/>
    </xf>
    <xf numFmtId="37" fontId="19" fillId="2" borderId="0" xfId="0" applyNumberFormat="1" applyFont="1" applyFill="1" applyAlignment="1">
      <alignment horizontal="center" vertical="center"/>
    </xf>
    <xf numFmtId="37" fontId="61" fillId="0" borderId="0" xfId="0" applyNumberFormat="1" applyFont="1" applyAlignment="1">
      <alignment horizontal="center" vertical="center"/>
    </xf>
    <xf numFmtId="37" fontId="61" fillId="0" borderId="0" xfId="0" quotePrefix="1" applyNumberFormat="1" applyFont="1" applyAlignment="1">
      <alignment vertical="center" wrapText="1"/>
    </xf>
    <xf numFmtId="37" fontId="18" fillId="0" borderId="45" xfId="0" quotePrefix="1" applyNumberFormat="1" applyFont="1" applyBorder="1" applyAlignment="1">
      <alignment vertical="center"/>
    </xf>
    <xf numFmtId="37" fontId="18" fillId="0" borderId="48" xfId="0" applyNumberFormat="1" applyFont="1" applyBorder="1" applyAlignment="1">
      <alignment vertical="center"/>
    </xf>
    <xf numFmtId="37" fontId="35" fillId="0" borderId="0" xfId="0" applyNumberFormat="1" applyFont="1" applyAlignment="1">
      <alignment vertical="center"/>
    </xf>
    <xf numFmtId="37" fontId="17" fillId="0" borderId="43" xfId="0" applyNumberFormat="1" applyFont="1" applyBorder="1" applyAlignment="1">
      <alignment horizontal="center" vertical="center" wrapText="1"/>
    </xf>
    <xf numFmtId="37" fontId="17" fillId="0" borderId="44" xfId="0" applyNumberFormat="1" applyFont="1" applyBorder="1" applyAlignment="1">
      <alignment horizontal="center" vertical="center" wrapText="1"/>
    </xf>
    <xf numFmtId="37" fontId="62" fillId="0" borderId="42" xfId="0" applyNumberFormat="1" applyFont="1" applyBorder="1" applyAlignment="1">
      <alignment horizontal="center" vertical="center" wrapText="1"/>
    </xf>
    <xf numFmtId="37" fontId="18" fillId="0" borderId="3" xfId="0" applyNumberFormat="1" applyFont="1" applyBorder="1" applyAlignment="1">
      <alignment vertical="center"/>
    </xf>
    <xf numFmtId="37" fontId="18" fillId="6" borderId="0" xfId="0" applyNumberFormat="1" applyFont="1" applyFill="1" applyAlignment="1">
      <alignment vertical="center"/>
    </xf>
    <xf numFmtId="37" fontId="19" fillId="2" borderId="27" xfId="0" applyNumberFormat="1" applyFont="1" applyFill="1" applyBorder="1" applyAlignment="1">
      <alignment vertical="center"/>
    </xf>
    <xf numFmtId="37" fontId="61" fillId="2" borderId="27" xfId="0" applyNumberFormat="1" applyFont="1" applyFill="1" applyBorder="1" applyAlignment="1">
      <alignment vertical="center"/>
    </xf>
    <xf numFmtId="37" fontId="35" fillId="4" borderId="0" xfId="0" applyNumberFormat="1" applyFont="1" applyFill="1" applyAlignment="1">
      <alignment vertical="center"/>
    </xf>
    <xf numFmtId="37" fontId="35" fillId="0" borderId="0" xfId="0" applyNumberFormat="1" applyFont="1" applyAlignment="1">
      <alignment horizontal="center" vertical="center"/>
    </xf>
    <xf numFmtId="37" fontId="18" fillId="0" borderId="56" xfId="0" applyNumberFormat="1" applyFont="1" applyBorder="1" applyAlignment="1">
      <alignment vertical="center"/>
    </xf>
    <xf numFmtId="37" fontId="44" fillId="0" borderId="35" xfId="0" applyNumberFormat="1" applyFont="1" applyBorder="1" applyAlignment="1">
      <alignment horizontal="center" vertical="center"/>
    </xf>
    <xf numFmtId="37" fontId="41" fillId="0" borderId="35" xfId="0" applyNumberFormat="1" applyFont="1" applyBorder="1" applyAlignment="1">
      <alignment horizontal="center" vertical="center"/>
    </xf>
    <xf numFmtId="37" fontId="46" fillId="0" borderId="35" xfId="0" applyNumberFormat="1" applyFont="1" applyBorder="1" applyAlignment="1">
      <alignment horizontal="center" vertical="center"/>
    </xf>
    <xf numFmtId="37" fontId="42" fillId="0" borderId="35" xfId="0" applyNumberFormat="1" applyFont="1" applyBorder="1" applyAlignment="1">
      <alignment horizontal="center" vertical="center"/>
    </xf>
    <xf numFmtId="37" fontId="44" fillId="0" borderId="24" xfId="0" applyNumberFormat="1" applyFont="1" applyBorder="1" applyAlignment="1">
      <alignment horizontal="center" vertical="center"/>
    </xf>
    <xf numFmtId="37" fontId="41" fillId="0" borderId="24" xfId="0" applyNumberFormat="1" applyFont="1" applyBorder="1" applyAlignment="1">
      <alignment horizontal="center" vertical="center"/>
    </xf>
    <xf numFmtId="37" fontId="46" fillId="0" borderId="24" xfId="0" applyNumberFormat="1" applyFont="1" applyBorder="1" applyAlignment="1">
      <alignment horizontal="center" vertical="center"/>
    </xf>
    <xf numFmtId="37" fontId="42" fillId="0" borderId="24" xfId="0" applyNumberFormat="1" applyFont="1" applyBorder="1" applyAlignment="1">
      <alignment horizontal="center" vertical="center"/>
    </xf>
    <xf numFmtId="37" fontId="19" fillId="2" borderId="32" xfId="0" applyNumberFormat="1" applyFont="1" applyFill="1" applyBorder="1" applyAlignment="1">
      <alignment horizontal="center" vertical="center"/>
    </xf>
    <xf numFmtId="37" fontId="19" fillId="2" borderId="41" xfId="0" applyNumberFormat="1" applyFont="1" applyFill="1" applyBorder="1" applyAlignment="1">
      <alignment vertical="center"/>
    </xf>
    <xf numFmtId="37" fontId="25" fillId="0" borderId="28" xfId="0" applyNumberFormat="1" applyFont="1" applyBorder="1" applyAlignment="1">
      <alignment vertical="center"/>
    </xf>
    <xf numFmtId="37" fontId="25" fillId="0" borderId="29" xfId="0" applyNumberFormat="1" applyFont="1" applyBorder="1" applyAlignment="1">
      <alignment vertical="center"/>
    </xf>
    <xf numFmtId="37" fontId="44" fillId="2" borderId="37" xfId="0" applyNumberFormat="1" applyFont="1" applyFill="1" applyBorder="1" applyAlignment="1">
      <alignment horizontal="center" vertical="center"/>
    </xf>
    <xf numFmtId="37" fontId="43" fillId="2" borderId="37" xfId="0" applyNumberFormat="1" applyFont="1" applyFill="1" applyBorder="1" applyAlignment="1">
      <alignment vertical="center"/>
    </xf>
    <xf numFmtId="37" fontId="41" fillId="2" borderId="37" xfId="0" applyNumberFormat="1" applyFont="1" applyFill="1" applyBorder="1" applyAlignment="1">
      <alignment horizontal="center" vertical="center"/>
    </xf>
    <xf numFmtId="37" fontId="45" fillId="2" borderId="37" xfId="0" applyNumberFormat="1" applyFont="1" applyFill="1" applyBorder="1" applyAlignment="1">
      <alignment vertical="center"/>
    </xf>
    <xf numFmtId="37" fontId="46" fillId="2" borderId="37" xfId="0" applyNumberFormat="1" applyFont="1" applyFill="1" applyBorder="1" applyAlignment="1">
      <alignment horizontal="center" vertical="center"/>
    </xf>
    <xf numFmtId="37" fontId="47" fillId="2" borderId="37" xfId="0" applyNumberFormat="1" applyFont="1" applyFill="1" applyBorder="1" applyAlignment="1">
      <alignment vertical="center"/>
    </xf>
    <xf numFmtId="37" fontId="42" fillId="2" borderId="37" xfId="0" applyNumberFormat="1" applyFont="1" applyFill="1" applyBorder="1" applyAlignment="1">
      <alignment horizontal="center" vertical="center"/>
    </xf>
    <xf numFmtId="37" fontId="48" fillId="2" borderId="37" xfId="0" applyNumberFormat="1" applyFont="1" applyFill="1" applyBorder="1" applyAlignment="1">
      <alignment vertical="center"/>
    </xf>
    <xf numFmtId="37" fontId="29" fillId="2" borderId="0" xfId="0" applyNumberFormat="1" applyFont="1" applyFill="1" applyAlignment="1">
      <alignment horizontal="center" vertical="center"/>
    </xf>
    <xf numFmtId="37" fontId="29" fillId="2" borderId="0" xfId="0" applyNumberFormat="1" applyFont="1" applyFill="1" applyAlignment="1">
      <alignment vertical="center"/>
    </xf>
    <xf numFmtId="37" fontId="25" fillId="2" borderId="0" xfId="0" applyNumberFormat="1" applyFont="1" applyFill="1" applyAlignment="1">
      <alignment vertical="center"/>
    </xf>
    <xf numFmtId="37" fontId="45" fillId="2" borderId="0" xfId="0" applyNumberFormat="1" applyFont="1" applyFill="1" applyAlignment="1">
      <alignment horizontal="center" vertical="center"/>
    </xf>
    <xf numFmtId="37" fontId="33" fillId="2" borderId="0" xfId="0" applyNumberFormat="1" applyFont="1" applyFill="1" applyAlignment="1">
      <alignment vertical="center"/>
    </xf>
    <xf numFmtId="37" fontId="18" fillId="2" borderId="45" xfId="0" applyNumberFormat="1" applyFont="1" applyFill="1" applyBorder="1" applyAlignment="1">
      <alignment vertical="center"/>
    </xf>
    <xf numFmtId="37" fontId="20" fillId="0" borderId="0" xfId="0" applyNumberFormat="1" applyFont="1" applyAlignment="1">
      <alignment vertical="center"/>
    </xf>
    <xf numFmtId="9" fontId="19" fillId="0" borderId="0" xfId="1" quotePrefix="1" applyFont="1" applyBorder="1" applyAlignment="1">
      <alignment horizontal="center" vertical="center"/>
    </xf>
    <xf numFmtId="3" fontId="20" fillId="0" borderId="5" xfId="0" applyNumberFormat="1" applyFont="1" applyBorder="1" applyAlignment="1">
      <alignment vertical="center"/>
    </xf>
    <xf numFmtId="37" fontId="48" fillId="0" borderId="35" xfId="0" applyNumberFormat="1" applyFont="1" applyBorder="1" applyAlignment="1">
      <alignment vertical="center"/>
    </xf>
    <xf numFmtId="37" fontId="68" fillId="0" borderId="0" xfId="0" quotePrefix="1" applyNumberFormat="1" applyFont="1" applyAlignment="1">
      <alignment horizontal="left" vertical="center"/>
    </xf>
    <xf numFmtId="37" fontId="19" fillId="2" borderId="40" xfId="0" applyNumberFormat="1" applyFont="1" applyFill="1" applyBorder="1" applyAlignment="1">
      <alignment horizontal="center" vertical="center"/>
    </xf>
    <xf numFmtId="37" fontId="30" fillId="8" borderId="74" xfId="0" applyNumberFormat="1" applyFont="1" applyFill="1" applyBorder="1" applyAlignment="1">
      <alignment vertical="center"/>
    </xf>
    <xf numFmtId="3" fontId="38" fillId="0" borderId="75" xfId="0" applyNumberFormat="1" applyFont="1" applyBorder="1" applyAlignment="1">
      <alignment horizontal="center" vertical="center" wrapText="1"/>
    </xf>
    <xf numFmtId="37" fontId="40" fillId="0" borderId="64" xfId="0" applyNumberFormat="1" applyFont="1" applyBorder="1" applyAlignment="1">
      <alignment vertical="center"/>
    </xf>
    <xf numFmtId="37" fontId="30" fillId="8" borderId="77" xfId="0" applyNumberFormat="1" applyFont="1" applyFill="1" applyBorder="1" applyAlignment="1">
      <alignment vertical="center"/>
    </xf>
    <xf numFmtId="37" fontId="30" fillId="8" borderId="69" xfId="0" applyNumberFormat="1" applyFont="1" applyFill="1" applyBorder="1" applyAlignment="1">
      <alignment vertical="center"/>
    </xf>
    <xf numFmtId="37" fontId="33" fillId="0" borderId="37" xfId="0" applyNumberFormat="1" applyFont="1" applyBorder="1" applyAlignment="1">
      <alignment vertical="center"/>
    </xf>
    <xf numFmtId="37" fontId="40" fillId="0" borderId="66" xfId="0" applyNumberFormat="1" applyFont="1" applyBorder="1" applyAlignment="1">
      <alignment vertical="center"/>
    </xf>
    <xf numFmtId="37" fontId="30" fillId="0" borderId="78" xfId="0" applyNumberFormat="1" applyFont="1" applyBorder="1" applyAlignment="1">
      <alignment vertical="center"/>
    </xf>
    <xf numFmtId="37" fontId="45" fillId="0" borderId="30" xfId="0" applyNumberFormat="1" applyFont="1" applyBorder="1" applyAlignment="1">
      <alignment horizontal="center" vertical="center"/>
    </xf>
    <xf numFmtId="0" fontId="19" fillId="2" borderId="40" xfId="0" applyFont="1" applyFill="1" applyBorder="1" applyAlignment="1">
      <alignment horizontal="center" vertical="center"/>
    </xf>
    <xf numFmtId="37" fontId="31" fillId="0" borderId="81" xfId="0" applyNumberFormat="1" applyFont="1" applyBorder="1" applyAlignment="1">
      <alignment vertical="center"/>
    </xf>
    <xf numFmtId="3" fontId="31" fillId="0" borderId="82" xfId="0" applyNumberFormat="1" applyFont="1" applyBorder="1" applyAlignment="1">
      <alignment vertical="center" wrapText="1"/>
    </xf>
    <xf numFmtId="37" fontId="31" fillId="0" borderId="82" xfId="0" applyNumberFormat="1" applyFont="1" applyBorder="1" applyAlignment="1">
      <alignment horizontal="right" vertical="center"/>
    </xf>
    <xf numFmtId="37" fontId="31" fillId="2" borderId="81" xfId="0" applyNumberFormat="1" applyFont="1" applyFill="1" applyBorder="1" applyAlignment="1">
      <alignment horizontal="right" vertical="center"/>
    </xf>
    <xf numFmtId="10" fontId="41" fillId="2" borderId="71" xfId="0" applyNumberFormat="1" applyFont="1" applyFill="1" applyBorder="1" applyAlignment="1">
      <alignment horizontal="center" vertical="center"/>
    </xf>
    <xf numFmtId="10" fontId="29" fillId="2" borderId="71" xfId="0" applyNumberFormat="1" applyFont="1" applyFill="1" applyBorder="1" applyAlignment="1">
      <alignment horizontal="center" vertical="center"/>
    </xf>
    <xf numFmtId="10" fontId="46" fillId="2" borderId="71" xfId="0" applyNumberFormat="1" applyFont="1" applyFill="1" applyBorder="1" applyAlignment="1">
      <alignment horizontal="center" vertical="center"/>
    </xf>
    <xf numFmtId="10" fontId="42" fillId="2" borderId="71" xfId="0" applyNumberFormat="1" applyFont="1" applyFill="1" applyBorder="1" applyAlignment="1">
      <alignment horizontal="center" vertical="center"/>
    </xf>
    <xf numFmtId="10" fontId="49" fillId="2" borderId="71" xfId="0" applyNumberFormat="1" applyFont="1" applyFill="1" applyBorder="1" applyAlignment="1">
      <alignment horizontal="center" vertical="center"/>
    </xf>
    <xf numFmtId="37" fontId="30" fillId="0" borderId="84" xfId="0" applyNumberFormat="1" applyFont="1" applyBorder="1" applyAlignment="1">
      <alignment horizontal="centerContinuous" vertical="center"/>
    </xf>
    <xf numFmtId="37" fontId="25" fillId="0" borderId="85" xfId="0" applyNumberFormat="1" applyFont="1" applyBorder="1" applyAlignment="1">
      <alignment vertical="center"/>
    </xf>
    <xf numFmtId="37" fontId="45" fillId="0" borderId="86" xfId="0" applyNumberFormat="1" applyFont="1" applyBorder="1" applyAlignment="1">
      <alignment horizontal="center" vertical="center"/>
    </xf>
    <xf numFmtId="37" fontId="31" fillId="2" borderId="85" xfId="0" applyNumberFormat="1" applyFont="1" applyFill="1" applyBorder="1" applyAlignment="1">
      <alignment vertical="center"/>
    </xf>
    <xf numFmtId="37" fontId="25" fillId="0" borderId="87" xfId="0" applyNumberFormat="1" applyFont="1" applyBorder="1" applyAlignment="1">
      <alignment vertical="center"/>
    </xf>
    <xf numFmtId="10" fontId="29" fillId="0" borderId="71" xfId="0" applyNumberFormat="1" applyFont="1" applyBorder="1" applyAlignment="1">
      <alignment horizontal="center" vertical="center"/>
    </xf>
    <xf numFmtId="39" fontId="18" fillId="0" borderId="0" xfId="0" applyNumberFormat="1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37" fontId="64" fillId="9" borderId="0" xfId="0" applyNumberFormat="1" applyFont="1" applyFill="1" applyAlignment="1">
      <alignment horizontal="right" vertical="center"/>
    </xf>
    <xf numFmtId="37" fontId="67" fillId="0" borderId="0" xfId="0" applyNumberFormat="1" applyFont="1" applyAlignment="1">
      <alignment horizontal="right" vertical="center"/>
    </xf>
    <xf numFmtId="0" fontId="70" fillId="0" borderId="0" xfId="0" applyFont="1" applyAlignment="1">
      <alignment vertical="center"/>
    </xf>
    <xf numFmtId="3" fontId="44" fillId="0" borderId="89" xfId="0" applyNumberFormat="1" applyFont="1" applyBorder="1" applyAlignment="1">
      <alignment vertical="center"/>
    </xf>
    <xf numFmtId="3" fontId="44" fillId="2" borderId="89" xfId="0" applyNumberFormat="1" applyFont="1" applyFill="1" applyBorder="1" applyAlignment="1">
      <alignment vertical="center"/>
    </xf>
    <xf numFmtId="37" fontId="57" fillId="0" borderId="93" xfId="0" applyNumberFormat="1" applyFont="1" applyBorder="1" applyAlignment="1">
      <alignment horizontal="center" vertical="center" wrapText="1"/>
    </xf>
    <xf numFmtId="3" fontId="38" fillId="0" borderId="94" xfId="0" applyNumberFormat="1" applyFont="1" applyBorder="1" applyAlignment="1">
      <alignment horizontal="center" vertical="center" wrapText="1"/>
    </xf>
    <xf numFmtId="37" fontId="21" fillId="2" borderId="96" xfId="0" applyNumberFormat="1" applyFont="1" applyFill="1" applyBorder="1" applyAlignment="1">
      <alignment horizontal="center" vertical="center"/>
    </xf>
    <xf numFmtId="37" fontId="44" fillId="2" borderId="96" xfId="0" applyNumberFormat="1" applyFont="1" applyFill="1" applyBorder="1" applyAlignment="1">
      <alignment horizontal="center" vertical="center"/>
    </xf>
    <xf numFmtId="37" fontId="44" fillId="2" borderId="97" xfId="0" applyNumberFormat="1" applyFont="1" applyFill="1" applyBorder="1" applyAlignment="1">
      <alignment horizontal="center" vertical="center"/>
    </xf>
    <xf numFmtId="37" fontId="44" fillId="2" borderId="95" xfId="0" applyNumberFormat="1" applyFont="1" applyFill="1" applyBorder="1" applyAlignment="1">
      <alignment horizontal="center" vertical="center"/>
    </xf>
    <xf numFmtId="37" fontId="44" fillId="0" borderId="97" xfId="0" applyNumberFormat="1" applyFont="1" applyBorder="1" applyAlignment="1">
      <alignment horizontal="center" vertical="center"/>
    </xf>
    <xf numFmtId="0" fontId="18" fillId="0" borderId="100" xfId="0" quotePrefix="1" applyFont="1" applyBorder="1" applyAlignment="1">
      <alignment vertical="center"/>
    </xf>
    <xf numFmtId="9" fontId="19" fillId="0" borderId="70" xfId="0" quotePrefix="1" applyNumberFormat="1" applyFont="1" applyBorder="1" applyAlignment="1">
      <alignment horizontal="center" vertical="center"/>
    </xf>
    <xf numFmtId="0" fontId="45" fillId="0" borderId="70" xfId="0" applyFont="1" applyBorder="1" applyAlignment="1">
      <alignment vertical="center"/>
    </xf>
    <xf numFmtId="0" fontId="45" fillId="0" borderId="101" xfId="0" applyFont="1" applyBorder="1" applyAlignment="1">
      <alignment vertical="center"/>
    </xf>
    <xf numFmtId="0" fontId="67" fillId="0" borderId="32" xfId="0" applyFont="1" applyBorder="1" applyAlignment="1">
      <alignment horizontal="center" vertical="center" wrapText="1"/>
    </xf>
    <xf numFmtId="49" fontId="17" fillId="0" borderId="44" xfId="0" applyNumberFormat="1" applyFont="1" applyBorder="1" applyAlignment="1">
      <alignment horizontal="center" vertical="center" wrapText="1"/>
    </xf>
    <xf numFmtId="0" fontId="31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Continuous" vertical="center"/>
    </xf>
    <xf numFmtId="37" fontId="25" fillId="2" borderId="81" xfId="0" applyNumberFormat="1" applyFont="1" applyFill="1" applyBorder="1" applyAlignment="1">
      <alignment vertical="center"/>
    </xf>
    <xf numFmtId="37" fontId="25" fillId="0" borderId="82" xfId="0" applyNumberFormat="1" applyFont="1" applyBorder="1" applyAlignment="1">
      <alignment vertical="center"/>
    </xf>
    <xf numFmtId="37" fontId="45" fillId="2" borderId="103" xfId="0" applyNumberFormat="1" applyFont="1" applyFill="1" applyBorder="1" applyAlignment="1">
      <alignment horizontal="center" vertical="center"/>
    </xf>
    <xf numFmtId="37" fontId="45" fillId="2" borderId="81" xfId="0" applyNumberFormat="1" applyFont="1" applyFill="1" applyBorder="1" applyAlignment="1">
      <alignment horizontal="center" vertical="center"/>
    </xf>
    <xf numFmtId="37" fontId="9" fillId="0" borderId="104" xfId="0" applyNumberFormat="1" applyFont="1" applyBorder="1" applyAlignment="1">
      <alignment horizontal="center" vertical="center"/>
    </xf>
    <xf numFmtId="37" fontId="25" fillId="0" borderId="81" xfId="0" applyNumberFormat="1" applyFont="1" applyBorder="1" applyAlignment="1">
      <alignment vertical="center"/>
    </xf>
    <xf numFmtId="37" fontId="45" fillId="0" borderId="103" xfId="0" applyNumberFormat="1" applyFont="1" applyBorder="1" applyAlignment="1">
      <alignment horizontal="center" vertical="center"/>
    </xf>
    <xf numFmtId="37" fontId="45" fillId="0" borderId="81" xfId="0" applyNumberFormat="1" applyFont="1" applyBorder="1" applyAlignment="1">
      <alignment horizontal="center" vertical="center"/>
    </xf>
    <xf numFmtId="0" fontId="41" fillId="0" borderId="70" xfId="0" applyFont="1" applyBorder="1" applyAlignment="1">
      <alignment vertical="center"/>
    </xf>
    <xf numFmtId="0" fontId="26" fillId="0" borderId="70" xfId="0" applyFont="1" applyBorder="1" applyAlignment="1">
      <alignment vertical="center"/>
    </xf>
    <xf numFmtId="37" fontId="23" fillId="0" borderId="0" xfId="0" applyNumberFormat="1" applyFont="1" applyAlignment="1">
      <alignment vertical="center"/>
    </xf>
    <xf numFmtId="37" fontId="58" fillId="0" borderId="74" xfId="0" applyNumberFormat="1" applyFont="1" applyBorder="1" applyAlignment="1">
      <alignment vertical="center"/>
    </xf>
    <xf numFmtId="37" fontId="40" fillId="2" borderId="37" xfId="0" applyNumberFormat="1" applyFont="1" applyFill="1" applyBorder="1" applyAlignment="1">
      <alignment vertical="center"/>
    </xf>
    <xf numFmtId="3" fontId="44" fillId="0" borderId="91" xfId="0" applyNumberFormat="1" applyFont="1" applyBorder="1" applyAlignment="1">
      <alignment vertical="center"/>
    </xf>
    <xf numFmtId="3" fontId="44" fillId="0" borderId="92" xfId="0" applyNumberFormat="1" applyFont="1" applyBorder="1" applyAlignment="1">
      <alignment vertical="center"/>
    </xf>
    <xf numFmtId="3" fontId="44" fillId="2" borderId="0" xfId="0" applyNumberFormat="1" applyFont="1" applyFill="1" applyAlignment="1">
      <alignment vertical="center"/>
    </xf>
    <xf numFmtId="3" fontId="44" fillId="4" borderId="0" xfId="0" applyNumberFormat="1" applyFont="1" applyFill="1" applyAlignment="1">
      <alignment vertical="center"/>
    </xf>
    <xf numFmtId="3" fontId="44" fillId="2" borderId="92" xfId="0" applyNumberFormat="1" applyFont="1" applyFill="1" applyBorder="1" applyAlignment="1">
      <alignment vertical="center"/>
    </xf>
    <xf numFmtId="37" fontId="19" fillId="2" borderId="14" xfId="0" applyNumberFormat="1" applyFont="1" applyFill="1" applyBorder="1" applyAlignment="1">
      <alignment vertical="center"/>
    </xf>
    <xf numFmtId="37" fontId="19" fillId="2" borderId="14" xfId="0" applyNumberFormat="1" applyFont="1" applyFill="1" applyBorder="1" applyAlignment="1">
      <alignment horizontal="center" vertical="center"/>
    </xf>
    <xf numFmtId="37" fontId="73" fillId="0" borderId="0" xfId="0" applyNumberFormat="1" applyFont="1" applyAlignment="1">
      <alignment horizontal="center" vertical="center"/>
    </xf>
    <xf numFmtId="37" fontId="35" fillId="9" borderId="0" xfId="0" applyNumberFormat="1" applyFont="1" applyFill="1" applyAlignment="1">
      <alignment horizontal="right" vertical="center"/>
    </xf>
    <xf numFmtId="37" fontId="73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 wrapText="1"/>
    </xf>
    <xf numFmtId="0" fontId="35" fillId="9" borderId="0" xfId="0" applyFont="1" applyFill="1" applyAlignment="1">
      <alignment vertical="center"/>
    </xf>
    <xf numFmtId="0" fontId="35" fillId="9" borderId="0" xfId="0" applyFont="1" applyFill="1" applyAlignment="1">
      <alignment vertical="center" wrapText="1"/>
    </xf>
    <xf numFmtId="37" fontId="61" fillId="9" borderId="0" xfId="0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 wrapText="1"/>
    </xf>
    <xf numFmtId="39" fontId="8" fillId="0" borderId="0" xfId="0" applyNumberFormat="1" applyFont="1" applyAlignment="1">
      <alignment vertical="center"/>
    </xf>
    <xf numFmtId="37" fontId="43" fillId="9" borderId="0" xfId="0" applyNumberFormat="1" applyFont="1" applyFill="1" applyAlignment="1">
      <alignment horizontal="right" vertical="center"/>
    </xf>
    <xf numFmtId="37" fontId="33" fillId="5" borderId="24" xfId="0" applyNumberFormat="1" applyFont="1" applyFill="1" applyBorder="1" applyAlignment="1">
      <alignment vertical="center"/>
    </xf>
    <xf numFmtId="37" fontId="35" fillId="9" borderId="0" xfId="0" applyNumberFormat="1" applyFont="1" applyFill="1" applyAlignment="1">
      <alignment horizontal="right" vertical="center" wrapText="1"/>
    </xf>
    <xf numFmtId="37" fontId="44" fillId="0" borderId="111" xfId="0" applyNumberFormat="1" applyFont="1" applyBorder="1" applyAlignment="1">
      <alignment vertical="center"/>
    </xf>
    <xf numFmtId="3" fontId="9" fillId="0" borderId="3" xfId="0" applyNumberFormat="1" applyFont="1" applyBorder="1" applyAlignment="1">
      <alignment vertical="center"/>
    </xf>
    <xf numFmtId="37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7" fillId="0" borderId="109" xfId="0" applyFont="1" applyBorder="1" applyAlignment="1">
      <alignment vertical="center"/>
    </xf>
    <xf numFmtId="0" fontId="7" fillId="0" borderId="109" xfId="0" applyFont="1" applyBorder="1" applyAlignment="1">
      <alignment vertical="center" wrapText="1"/>
    </xf>
    <xf numFmtId="37" fontId="19" fillId="0" borderId="109" xfId="0" applyNumberFormat="1" applyFont="1" applyBorder="1" applyAlignment="1">
      <alignment vertical="center"/>
    </xf>
    <xf numFmtId="0" fontId="18" fillId="0" borderId="109" xfId="0" applyFont="1" applyBorder="1" applyAlignment="1">
      <alignment vertical="center" wrapText="1"/>
    </xf>
    <xf numFmtId="0" fontId="18" fillId="0" borderId="109" xfId="0" applyFont="1" applyBorder="1" applyAlignment="1">
      <alignment vertical="center"/>
    </xf>
    <xf numFmtId="37" fontId="61" fillId="0" borderId="0" xfId="0" applyNumberFormat="1" applyFont="1" applyAlignment="1">
      <alignment vertical="center"/>
    </xf>
    <xf numFmtId="37" fontId="9" fillId="2" borderId="0" xfId="0" applyNumberFormat="1" applyFont="1" applyFill="1" applyAlignment="1">
      <alignment vertical="center" wrapText="1"/>
    </xf>
    <xf numFmtId="37" fontId="74" fillId="2" borderId="0" xfId="0" applyNumberFormat="1" applyFont="1" applyFill="1" applyAlignment="1">
      <alignment vertical="center" wrapText="1"/>
    </xf>
    <xf numFmtId="37" fontId="16" fillId="9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 wrapText="1"/>
    </xf>
    <xf numFmtId="37" fontId="38" fillId="2" borderId="0" xfId="0" applyNumberFormat="1" applyFont="1" applyFill="1" applyAlignment="1">
      <alignment horizontal="center" vertical="center" wrapText="1"/>
    </xf>
    <xf numFmtId="37" fontId="19" fillId="2" borderId="0" xfId="0" applyNumberFormat="1" applyFont="1" applyFill="1" applyAlignment="1">
      <alignment horizontal="centerContinuous" vertical="center"/>
    </xf>
    <xf numFmtId="37" fontId="24" fillId="2" borderId="0" xfId="0" applyNumberFormat="1" applyFont="1" applyFill="1" applyAlignment="1">
      <alignment horizontal="centerContinuous" vertical="center" wrapText="1"/>
    </xf>
    <xf numFmtId="37" fontId="17" fillId="12" borderId="0" xfId="0" applyNumberFormat="1" applyFont="1" applyFill="1" applyAlignment="1">
      <alignment horizontal="center" vertical="center"/>
    </xf>
    <xf numFmtId="37" fontId="17" fillId="12" borderId="0" xfId="0" applyNumberFormat="1" applyFont="1" applyFill="1" applyAlignment="1">
      <alignment horizontal="center" vertical="center" wrapText="1"/>
    </xf>
    <xf numFmtId="37" fontId="38" fillId="12" borderId="0" xfId="0" applyNumberFormat="1" applyFont="1" applyFill="1" applyAlignment="1">
      <alignment horizontal="center" vertical="center" wrapText="1"/>
    </xf>
    <xf numFmtId="37" fontId="11" fillId="4" borderId="0" xfId="0" applyNumberFormat="1" applyFont="1" applyFill="1" applyAlignment="1">
      <alignment horizontal="center" vertical="center"/>
    </xf>
    <xf numFmtId="37" fontId="11" fillId="2" borderId="0" xfId="0" applyNumberFormat="1" applyFont="1" applyFill="1" applyAlignment="1">
      <alignment vertical="center"/>
    </xf>
    <xf numFmtId="37" fontId="19" fillId="9" borderId="0" xfId="0" applyNumberFormat="1" applyFont="1" applyFill="1" applyAlignment="1">
      <alignment horizontal="center" vertical="center"/>
    </xf>
    <xf numFmtId="37" fontId="9" fillId="9" borderId="0" xfId="0" applyNumberFormat="1" applyFont="1" applyFill="1" applyAlignment="1">
      <alignment vertical="center" wrapText="1"/>
    </xf>
    <xf numFmtId="37" fontId="74" fillId="9" borderId="0" xfId="0" applyNumberFormat="1" applyFont="1" applyFill="1" applyAlignment="1">
      <alignment vertical="center" wrapText="1"/>
    </xf>
    <xf numFmtId="37" fontId="15" fillId="2" borderId="0" xfId="0" applyNumberFormat="1" applyFont="1" applyFill="1" applyAlignment="1">
      <alignment vertical="center" wrapText="1"/>
    </xf>
    <xf numFmtId="37" fontId="9" fillId="0" borderId="109" xfId="0" applyNumberFormat="1" applyFont="1" applyBorder="1" applyAlignment="1">
      <alignment vertical="center" wrapText="1"/>
    </xf>
    <xf numFmtId="37" fontId="16" fillId="2" borderId="0" xfId="0" applyNumberFormat="1" applyFont="1" applyFill="1" applyAlignment="1">
      <alignment horizontal="center" vertical="center"/>
    </xf>
    <xf numFmtId="37" fontId="29" fillId="4" borderId="0" xfId="0" applyNumberFormat="1" applyFont="1" applyFill="1" applyAlignment="1">
      <alignment horizontal="center" vertical="center"/>
    </xf>
    <xf numFmtId="37" fontId="62" fillId="0" borderId="109" xfId="0" applyNumberFormat="1" applyFont="1" applyBorder="1" applyAlignment="1">
      <alignment horizontal="center" vertical="center" wrapText="1"/>
    </xf>
    <xf numFmtId="37" fontId="17" fillId="0" borderId="109" xfId="0" applyNumberFormat="1" applyFont="1" applyBorder="1" applyAlignment="1">
      <alignment horizontal="center" vertical="center" wrapText="1"/>
    </xf>
    <xf numFmtId="37" fontId="38" fillId="0" borderId="109" xfId="0" applyNumberFormat="1" applyFont="1" applyBorder="1" applyAlignment="1">
      <alignment horizontal="center" vertical="center" wrapText="1"/>
    </xf>
    <xf numFmtId="37" fontId="18" fillId="0" borderId="109" xfId="0" applyNumberFormat="1" applyFont="1" applyBorder="1" applyAlignment="1">
      <alignment vertical="center"/>
    </xf>
    <xf numFmtId="37" fontId="18" fillId="0" borderId="109" xfId="0" applyNumberFormat="1" applyFont="1" applyBorder="1" applyAlignment="1">
      <alignment vertical="center" wrapText="1"/>
    </xf>
    <xf numFmtId="37" fontId="43" fillId="0" borderId="109" xfId="0" applyNumberFormat="1" applyFont="1" applyBorder="1" applyAlignment="1">
      <alignment vertical="center"/>
    </xf>
    <xf numFmtId="37" fontId="9" fillId="2" borderId="3" xfId="0" applyNumberFormat="1" applyFont="1" applyFill="1" applyBorder="1" applyAlignment="1">
      <alignment vertical="center"/>
    </xf>
    <xf numFmtId="3" fontId="9" fillId="2" borderId="80" xfId="0" applyNumberFormat="1" applyFont="1" applyFill="1" applyBorder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35" fillId="0" borderId="109" xfId="0" applyFont="1" applyBorder="1" applyAlignment="1">
      <alignment horizontal="center" vertical="center"/>
    </xf>
    <xf numFmtId="37" fontId="67" fillId="0" borderId="27" xfId="0" applyNumberFormat="1" applyFont="1" applyBorder="1" applyAlignment="1">
      <alignment horizontal="center" vertical="center" wrapText="1"/>
    </xf>
    <xf numFmtId="37" fontId="18" fillId="0" borderId="109" xfId="0" applyNumberFormat="1" applyFont="1" applyBorder="1" applyAlignment="1">
      <alignment horizontal="center" vertical="center"/>
    </xf>
    <xf numFmtId="37" fontId="18" fillId="2" borderId="40" xfId="0" applyNumberFormat="1" applyFont="1" applyFill="1" applyBorder="1" applyAlignment="1">
      <alignment horizontal="center" vertical="center"/>
    </xf>
    <xf numFmtId="37" fontId="18" fillId="0" borderId="106" xfId="0" applyNumberFormat="1" applyFont="1" applyBorder="1" applyAlignment="1">
      <alignment vertical="center"/>
    </xf>
    <xf numFmtId="37" fontId="18" fillId="0" borderId="114" xfId="0" applyNumberFormat="1" applyFont="1" applyBorder="1" applyAlignment="1">
      <alignment vertical="center"/>
    </xf>
    <xf numFmtId="37" fontId="18" fillId="0" borderId="81" xfId="0" applyNumberFormat="1" applyFont="1" applyBorder="1" applyAlignment="1">
      <alignment horizontal="right" vertical="center"/>
    </xf>
    <xf numFmtId="37" fontId="19" fillId="0" borderId="14" xfId="0" applyNumberFormat="1" applyFont="1" applyBorder="1" applyAlignment="1">
      <alignment vertical="center"/>
    </xf>
    <xf numFmtId="37" fontId="18" fillId="0" borderId="109" xfId="0" quotePrefix="1" applyNumberFormat="1" applyFont="1" applyBorder="1" applyAlignment="1">
      <alignment vertical="center"/>
    </xf>
    <xf numFmtId="0" fontId="77" fillId="0" borderId="0" xfId="0" quotePrefix="1" applyFont="1" applyAlignment="1">
      <alignment vertical="center"/>
    </xf>
    <xf numFmtId="3" fontId="76" fillId="0" borderId="2" xfId="0" applyNumberFormat="1" applyFont="1" applyBorder="1"/>
    <xf numFmtId="37" fontId="76" fillId="0" borderId="0" xfId="0" applyNumberFormat="1" applyFont="1"/>
    <xf numFmtId="37" fontId="79" fillId="0" borderId="0" xfId="0" applyNumberFormat="1" applyFont="1" applyAlignment="1">
      <alignment vertical="center"/>
    </xf>
    <xf numFmtId="37" fontId="15" fillId="0" borderId="14" xfId="0" applyNumberFormat="1" applyFont="1" applyBorder="1" applyAlignment="1">
      <alignment vertical="center"/>
    </xf>
    <xf numFmtId="3" fontId="76" fillId="0" borderId="23" xfId="0" applyNumberFormat="1" applyFont="1" applyBorder="1"/>
    <xf numFmtId="37" fontId="76" fillId="0" borderId="23" xfId="0" applyNumberFormat="1" applyFont="1" applyBorder="1"/>
    <xf numFmtId="37" fontId="79" fillId="0" borderId="23" xfId="0" applyNumberFormat="1" applyFont="1" applyBorder="1" applyAlignment="1">
      <alignment vertical="center"/>
    </xf>
    <xf numFmtId="37" fontId="19" fillId="0" borderId="63" xfId="0" applyNumberFormat="1" applyFont="1" applyBorder="1" applyAlignment="1">
      <alignment vertical="center"/>
    </xf>
    <xf numFmtId="37" fontId="23" fillId="0" borderId="3" xfId="0" applyNumberFormat="1" applyFont="1" applyBorder="1" applyAlignment="1">
      <alignment vertical="center"/>
    </xf>
    <xf numFmtId="37" fontId="79" fillId="0" borderId="3" xfId="0" applyNumberFormat="1" applyFont="1" applyBorder="1" applyAlignment="1">
      <alignment vertical="center"/>
    </xf>
    <xf numFmtId="37" fontId="15" fillId="0" borderId="3" xfId="0" applyNumberFormat="1" applyFont="1" applyBorder="1" applyAlignment="1">
      <alignment vertical="center"/>
    </xf>
    <xf numFmtId="37" fontId="19" fillId="0" borderId="3" xfId="0" applyNumberFormat="1" applyFont="1" applyBorder="1" applyAlignment="1">
      <alignment vertical="center"/>
    </xf>
    <xf numFmtId="37" fontId="21" fillId="0" borderId="3" xfId="0" applyNumberFormat="1" applyFont="1" applyBorder="1" applyAlignment="1">
      <alignment vertical="center"/>
    </xf>
    <xf numFmtId="37" fontId="34" fillId="2" borderId="3" xfId="0" applyNumberFormat="1" applyFont="1" applyFill="1" applyBorder="1" applyAlignment="1">
      <alignment vertical="center"/>
    </xf>
    <xf numFmtId="37" fontId="20" fillId="2" borderId="3" xfId="0" applyNumberFormat="1" applyFont="1" applyFill="1" applyBorder="1" applyAlignment="1">
      <alignment vertical="center"/>
    </xf>
    <xf numFmtId="37" fontId="19" fillId="2" borderId="3" xfId="0" applyNumberFormat="1" applyFont="1" applyFill="1" applyBorder="1" applyAlignment="1">
      <alignment vertical="center"/>
    </xf>
    <xf numFmtId="37" fontId="34" fillId="2" borderId="0" xfId="0" applyNumberFormat="1" applyFont="1" applyFill="1" applyAlignment="1">
      <alignment vertical="center"/>
    </xf>
    <xf numFmtId="37" fontId="19" fillId="0" borderId="10" xfId="0" applyNumberFormat="1" applyFont="1" applyBorder="1" applyAlignment="1">
      <alignment vertical="center"/>
    </xf>
    <xf numFmtId="37" fontId="19" fillId="2" borderId="10" xfId="0" applyNumberFormat="1" applyFont="1" applyFill="1" applyBorder="1" applyAlignment="1">
      <alignment vertical="center"/>
    </xf>
    <xf numFmtId="37" fontId="21" fillId="0" borderId="1" xfId="0" applyNumberFormat="1" applyFont="1" applyBorder="1" applyAlignment="1">
      <alignment vertical="center"/>
    </xf>
    <xf numFmtId="37" fontId="34" fillId="2" borderId="1" xfId="0" applyNumberFormat="1" applyFont="1" applyFill="1" applyBorder="1" applyAlignment="1">
      <alignment vertical="center"/>
    </xf>
    <xf numFmtId="37" fontId="20" fillId="2" borderId="10" xfId="0" applyNumberFormat="1" applyFont="1" applyFill="1" applyBorder="1" applyAlignment="1">
      <alignment vertical="center"/>
    </xf>
    <xf numFmtId="37" fontId="21" fillId="0" borderId="2" xfId="0" applyNumberFormat="1" applyFont="1" applyBorder="1" applyAlignment="1">
      <alignment vertical="center"/>
    </xf>
    <xf numFmtId="37" fontId="34" fillId="2" borderId="2" xfId="0" applyNumberFormat="1" applyFont="1" applyFill="1" applyBorder="1" applyAlignment="1">
      <alignment vertical="center"/>
    </xf>
    <xf numFmtId="37" fontId="19" fillId="2" borderId="9" xfId="0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2" fontId="9" fillId="2" borderId="1" xfId="0" applyNumberFormat="1" applyFont="1" applyFill="1" applyBorder="1" applyAlignment="1">
      <alignment vertical="center"/>
    </xf>
    <xf numFmtId="2" fontId="9" fillId="2" borderId="3" xfId="0" applyNumberFormat="1" applyFont="1" applyFill="1" applyBorder="1" applyAlignment="1">
      <alignment vertical="center"/>
    </xf>
    <xf numFmtId="37" fontId="21" fillId="0" borderId="18" xfId="0" applyNumberFormat="1" applyFont="1" applyBorder="1" applyAlignment="1">
      <alignment vertical="center"/>
    </xf>
    <xf numFmtId="37" fontId="19" fillId="0" borderId="19" xfId="0" applyNumberFormat="1" applyFont="1" applyBorder="1" applyAlignment="1">
      <alignment vertical="center"/>
    </xf>
    <xf numFmtId="37" fontId="80" fillId="0" borderId="0" xfId="0" applyNumberFormat="1" applyFont="1" applyAlignment="1">
      <alignment vertical="center"/>
    </xf>
    <xf numFmtId="37" fontId="80" fillId="4" borderId="0" xfId="0" applyNumberFormat="1" applyFont="1" applyFill="1" applyAlignment="1">
      <alignment vertical="center"/>
    </xf>
    <xf numFmtId="37" fontId="34" fillId="4" borderId="0" xfId="0" applyNumberFormat="1" applyFont="1" applyFill="1" applyAlignment="1">
      <alignment vertical="center"/>
    </xf>
    <xf numFmtId="37" fontId="19" fillId="4" borderId="14" xfId="0" applyNumberFormat="1" applyFont="1" applyFill="1" applyBorder="1" applyAlignment="1">
      <alignment vertical="center"/>
    </xf>
    <xf numFmtId="37" fontId="19" fillId="0" borderId="14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2" borderId="8" xfId="0" applyNumberFormat="1" applyFont="1" applyFill="1" applyBorder="1" applyAlignment="1">
      <alignment vertical="center"/>
    </xf>
    <xf numFmtId="37" fontId="21" fillId="0" borderId="10" xfId="0" applyNumberFormat="1" applyFont="1" applyBorder="1" applyAlignment="1">
      <alignment vertical="center"/>
    </xf>
    <xf numFmtId="37" fontId="80" fillId="0" borderId="2" xfId="0" applyNumberFormat="1" applyFont="1" applyBorder="1" applyAlignment="1">
      <alignment vertical="center"/>
    </xf>
    <xf numFmtId="37" fontId="21" fillId="0" borderId="4" xfId="0" applyNumberFormat="1" applyFont="1" applyBorder="1" applyAlignment="1">
      <alignment vertical="center"/>
    </xf>
    <xf numFmtId="37" fontId="19" fillId="0" borderId="21" xfId="0" applyNumberFormat="1" applyFont="1" applyBorder="1" applyAlignment="1">
      <alignment vertical="center"/>
    </xf>
    <xf numFmtId="37" fontId="80" fillId="0" borderId="14" xfId="0" applyNumberFormat="1" applyFont="1" applyBorder="1" applyAlignment="1">
      <alignment vertical="center"/>
    </xf>
    <xf numFmtId="37" fontId="80" fillId="4" borderId="14" xfId="0" applyNumberFormat="1" applyFont="1" applyFill="1" applyBorder="1" applyAlignment="1">
      <alignment vertical="center"/>
    </xf>
    <xf numFmtId="37" fontId="79" fillId="2" borderId="0" xfId="0" applyNumberFormat="1" applyFont="1" applyFill="1" applyAlignment="1">
      <alignment vertical="center"/>
    </xf>
    <xf numFmtId="37" fontId="20" fillId="4" borderId="0" xfId="0" applyNumberFormat="1" applyFont="1" applyFill="1" applyAlignment="1">
      <alignment vertical="center"/>
    </xf>
    <xf numFmtId="3" fontId="9" fillId="0" borderId="1" xfId="0" applyNumberFormat="1" applyFont="1" applyBorder="1" applyAlignment="1">
      <alignment vertical="center"/>
    </xf>
    <xf numFmtId="37" fontId="80" fillId="0" borderId="67" xfId="0" applyNumberFormat="1" applyFont="1" applyBorder="1" applyAlignment="1">
      <alignment vertical="center"/>
    </xf>
    <xf numFmtId="37" fontId="34" fillId="2" borderId="67" xfId="0" applyNumberFormat="1" applyFont="1" applyFill="1" applyBorder="1" applyAlignment="1">
      <alignment vertical="center"/>
    </xf>
    <xf numFmtId="37" fontId="19" fillId="2" borderId="13" xfId="0" applyNumberFormat="1" applyFont="1" applyFill="1" applyBorder="1" applyAlignment="1">
      <alignment vertical="center"/>
    </xf>
    <xf numFmtId="37" fontId="21" fillId="0" borderId="11" xfId="0" applyNumberFormat="1" applyFont="1" applyBorder="1" applyAlignment="1">
      <alignment vertical="center"/>
    </xf>
    <xf numFmtId="37" fontId="21" fillId="0" borderId="20" xfId="0" applyNumberFormat="1" applyFont="1" applyBorder="1" applyAlignment="1">
      <alignment vertical="center"/>
    </xf>
    <xf numFmtId="37" fontId="21" fillId="0" borderId="2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 wrapText="1"/>
    </xf>
    <xf numFmtId="37" fontId="20" fillId="2" borderId="0" xfId="0" applyNumberFormat="1" applyFont="1" applyFill="1" applyAlignment="1">
      <alignment vertical="center"/>
    </xf>
    <xf numFmtId="2" fontId="9" fillId="2" borderId="6" xfId="0" applyNumberFormat="1" applyFont="1" applyFill="1" applyBorder="1" applyAlignment="1">
      <alignment vertical="center" wrapText="1"/>
    </xf>
    <xf numFmtId="37" fontId="21" fillId="0" borderId="9" xfId="0" applyNumberFormat="1" applyFont="1" applyBorder="1" applyAlignment="1">
      <alignment vertical="center"/>
    </xf>
    <xf numFmtId="37" fontId="79" fillId="0" borderId="9" xfId="0" applyNumberFormat="1" applyFont="1" applyBorder="1" applyAlignment="1">
      <alignment vertical="center"/>
    </xf>
    <xf numFmtId="37" fontId="79" fillId="0" borderId="2" xfId="0" applyNumberFormat="1" applyFont="1" applyBorder="1" applyAlignment="1">
      <alignment vertical="center"/>
    </xf>
    <xf numFmtId="37" fontId="19" fillId="0" borderId="2" xfId="0" applyNumberFormat="1" applyFont="1" applyBorder="1" applyAlignment="1">
      <alignment vertical="center"/>
    </xf>
    <xf numFmtId="37" fontId="19" fillId="0" borderId="9" xfId="0" applyNumberFormat="1" applyFont="1" applyBorder="1" applyAlignment="1">
      <alignment vertical="center"/>
    </xf>
    <xf numFmtId="3" fontId="18" fillId="5" borderId="0" xfId="0" applyNumberFormat="1" applyFont="1" applyFill="1" applyAlignment="1">
      <alignment vertical="center"/>
    </xf>
    <xf numFmtId="2" fontId="9" fillId="0" borderId="60" xfId="0" applyNumberFormat="1" applyFont="1" applyBorder="1" applyAlignment="1">
      <alignment vertical="center"/>
    </xf>
    <xf numFmtId="3" fontId="9" fillId="2" borderId="60" xfId="0" applyNumberFormat="1" applyFont="1" applyFill="1" applyBorder="1" applyAlignment="1">
      <alignment vertical="center"/>
    </xf>
    <xf numFmtId="37" fontId="19" fillId="2" borderId="21" xfId="0" applyNumberFormat="1" applyFont="1" applyFill="1" applyBorder="1" applyAlignment="1">
      <alignment vertical="center"/>
    </xf>
    <xf numFmtId="0" fontId="76" fillId="0" borderId="0" xfId="0" applyFont="1"/>
    <xf numFmtId="3" fontId="9" fillId="3" borderId="60" xfId="0" applyNumberFormat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quotePrefix="1" applyFont="1" applyBorder="1" applyAlignment="1">
      <alignment horizontal="left" vertical="center" wrapText="1"/>
    </xf>
    <xf numFmtId="2" fontId="9" fillId="2" borderId="3" xfId="0" applyNumberFormat="1" applyFont="1" applyFill="1" applyBorder="1" applyAlignment="1">
      <alignment vertical="center" wrapText="1"/>
    </xf>
    <xf numFmtId="37" fontId="34" fillId="2" borderId="20" xfId="0" applyNumberFormat="1" applyFont="1" applyFill="1" applyBorder="1" applyAlignment="1">
      <alignment vertical="center"/>
    </xf>
    <xf numFmtId="37" fontId="20" fillId="2" borderId="21" xfId="0" applyNumberFormat="1" applyFont="1" applyFill="1" applyBorder="1" applyAlignment="1">
      <alignment vertical="center"/>
    </xf>
    <xf numFmtId="37" fontId="21" fillId="0" borderId="80" xfId="0" applyNumberFormat="1" applyFont="1" applyBorder="1" applyAlignment="1">
      <alignment vertical="center"/>
    </xf>
    <xf numFmtId="37" fontId="34" fillId="2" borderId="80" xfId="0" applyNumberFormat="1" applyFont="1" applyFill="1" applyBorder="1" applyAlignment="1">
      <alignment vertical="center"/>
    </xf>
    <xf numFmtId="37" fontId="20" fillId="2" borderId="105" xfId="0" applyNumberFormat="1" applyFont="1" applyFill="1" applyBorder="1" applyAlignment="1">
      <alignment vertical="center"/>
    </xf>
    <xf numFmtId="37" fontId="34" fillId="0" borderId="0" xfId="0" applyNumberFormat="1" applyFont="1" applyAlignment="1">
      <alignment vertical="center"/>
    </xf>
    <xf numFmtId="37" fontId="34" fillId="0" borderId="2" xfId="0" applyNumberFormat="1" applyFont="1" applyBorder="1" applyAlignment="1">
      <alignment vertical="center"/>
    </xf>
    <xf numFmtId="37" fontId="23" fillId="0" borderId="2" xfId="0" applyNumberFormat="1" applyFont="1" applyBorder="1" applyAlignment="1">
      <alignment vertical="center"/>
    </xf>
    <xf numFmtId="37" fontId="21" fillId="0" borderId="16" xfId="0" applyNumberFormat="1" applyFont="1" applyBorder="1" applyAlignment="1">
      <alignment vertical="center"/>
    </xf>
    <xf numFmtId="37" fontId="19" fillId="2" borderId="79" xfId="0" applyNumberFormat="1" applyFont="1" applyFill="1" applyBorder="1" applyAlignment="1">
      <alignment vertical="center"/>
    </xf>
    <xf numFmtId="37" fontId="79" fillId="4" borderId="0" xfId="0" applyNumberFormat="1" applyFont="1" applyFill="1" applyAlignment="1">
      <alignment vertical="center"/>
    </xf>
    <xf numFmtId="37" fontId="15" fillId="4" borderId="0" xfId="0" applyNumberFormat="1" applyFont="1" applyFill="1" applyAlignment="1">
      <alignment horizontal="center" vertical="center"/>
    </xf>
    <xf numFmtId="37" fontId="19" fillId="4" borderId="0" xfId="0" applyNumberFormat="1" applyFont="1" applyFill="1" applyAlignment="1">
      <alignment horizontal="center" vertical="center"/>
    </xf>
    <xf numFmtId="37" fontId="79" fillId="0" borderId="0" xfId="0" applyNumberFormat="1" applyFont="1" applyAlignment="1">
      <alignment horizontal="center" vertical="center"/>
    </xf>
    <xf numFmtId="37" fontId="8" fillId="4" borderId="0" xfId="0" applyNumberFormat="1" applyFont="1" applyFill="1" applyAlignment="1">
      <alignment horizontal="centerContinuous" vertical="center" wrapText="1"/>
    </xf>
    <xf numFmtId="3" fontId="61" fillId="0" borderId="0" xfId="0" quotePrefix="1" applyNumberFormat="1" applyFont="1" applyAlignment="1">
      <alignment vertical="center"/>
    </xf>
    <xf numFmtId="3" fontId="61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62" fillId="0" borderId="33" xfId="0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vertical="center"/>
    </xf>
    <xf numFmtId="3" fontId="61" fillId="2" borderId="40" xfId="0" applyNumberFormat="1" applyFont="1" applyFill="1" applyBorder="1" applyAlignment="1">
      <alignment vertical="center"/>
    </xf>
    <xf numFmtId="3" fontId="35" fillId="2" borderId="0" xfId="0" applyNumberFormat="1" applyFont="1" applyFill="1" applyAlignment="1">
      <alignment vertical="center"/>
    </xf>
    <xf numFmtId="37" fontId="35" fillId="0" borderId="109" xfId="0" applyNumberFormat="1" applyFont="1" applyBorder="1" applyAlignment="1">
      <alignment vertical="center"/>
    </xf>
    <xf numFmtId="3" fontId="61" fillId="0" borderId="0" xfId="0" quotePrefix="1" applyNumberFormat="1" applyFont="1" applyAlignment="1">
      <alignment horizontal="center" vertical="center"/>
    </xf>
    <xf numFmtId="37" fontId="35" fillId="0" borderId="109" xfId="0" applyNumberFormat="1" applyFont="1" applyBorder="1" applyAlignment="1">
      <alignment horizontal="center" vertical="center"/>
    </xf>
    <xf numFmtId="3" fontId="35" fillId="2" borderId="114" xfId="0" applyNumberFormat="1" applyFont="1" applyFill="1" applyBorder="1" applyAlignment="1">
      <alignment horizontal="center" vertical="center"/>
    </xf>
    <xf numFmtId="3" fontId="35" fillId="2" borderId="0" xfId="0" applyNumberFormat="1" applyFont="1" applyFill="1" applyAlignment="1">
      <alignment horizontal="center" vertical="center"/>
    </xf>
    <xf numFmtId="3" fontId="61" fillId="2" borderId="40" xfId="0" applyNumberFormat="1" applyFont="1" applyFill="1" applyBorder="1" applyAlignment="1">
      <alignment horizontal="center" vertical="center"/>
    </xf>
    <xf numFmtId="3" fontId="61" fillId="2" borderId="0" xfId="0" applyNumberFormat="1" applyFont="1" applyFill="1" applyAlignment="1">
      <alignment horizontal="center" vertical="center"/>
    </xf>
    <xf numFmtId="3" fontId="35" fillId="0" borderId="114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37" fontId="61" fillId="2" borderId="0" xfId="0" applyNumberFormat="1" applyFont="1" applyFill="1" applyAlignment="1">
      <alignment vertical="center"/>
    </xf>
    <xf numFmtId="3" fontId="40" fillId="2" borderId="0" xfId="0" applyNumberFormat="1" applyFont="1" applyFill="1" applyAlignment="1">
      <alignment vertical="center"/>
    </xf>
    <xf numFmtId="37" fontId="49" fillId="2" borderId="41" xfId="0" applyNumberFormat="1" applyFont="1" applyFill="1" applyBorder="1" applyAlignment="1">
      <alignment vertical="center"/>
    </xf>
    <xf numFmtId="0" fontId="49" fillId="4" borderId="0" xfId="0" applyFont="1" applyFill="1" applyAlignment="1">
      <alignment vertical="center"/>
    </xf>
    <xf numFmtId="3" fontId="49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/>
    </xf>
    <xf numFmtId="37" fontId="40" fillId="0" borderId="36" xfId="0" applyNumberFormat="1" applyFont="1" applyBorder="1" applyAlignment="1">
      <alignment vertical="center"/>
    </xf>
    <xf numFmtId="37" fontId="40" fillId="0" borderId="25" xfId="0" applyNumberFormat="1" applyFont="1" applyBorder="1" applyAlignment="1">
      <alignment vertical="center"/>
    </xf>
    <xf numFmtId="37" fontId="40" fillId="0" borderId="38" xfId="0" applyNumberFormat="1" applyFont="1" applyBorder="1" applyAlignment="1">
      <alignment vertical="center"/>
    </xf>
    <xf numFmtId="37" fontId="49" fillId="2" borderId="27" xfId="0" applyNumberFormat="1" applyFont="1" applyFill="1" applyBorder="1" applyAlignment="1">
      <alignment vertical="center"/>
    </xf>
    <xf numFmtId="0" fontId="35" fillId="0" borderId="29" xfId="0" applyFont="1" applyBorder="1" applyAlignment="1">
      <alignment horizontal="center" vertical="center"/>
    </xf>
    <xf numFmtId="3" fontId="77" fillId="0" borderId="0" xfId="0" quotePrefix="1" applyNumberFormat="1" applyFont="1" applyAlignment="1">
      <alignment vertical="center"/>
    </xf>
    <xf numFmtId="37" fontId="35" fillId="0" borderId="2" xfId="0" applyNumberFormat="1" applyFont="1" applyBorder="1" applyAlignment="1">
      <alignment vertical="center"/>
    </xf>
    <xf numFmtId="37" fontId="35" fillId="0" borderId="118" xfId="0" applyNumberFormat="1" applyFont="1" applyBorder="1" applyAlignment="1">
      <alignment vertical="center"/>
    </xf>
    <xf numFmtId="37" fontId="35" fillId="2" borderId="0" xfId="0" applyNumberFormat="1" applyFont="1" applyFill="1" applyAlignment="1">
      <alignment horizontal="left" vertical="center"/>
    </xf>
    <xf numFmtId="37" fontId="35" fillId="0" borderId="0" xfId="0" applyNumberFormat="1" applyFont="1" applyAlignment="1">
      <alignment horizontal="left" vertical="center"/>
    </xf>
    <xf numFmtId="37" fontId="61" fillId="0" borderId="0" xfId="0" applyNumberFormat="1" applyFont="1" applyAlignment="1">
      <alignment vertical="center" wrapText="1"/>
    </xf>
    <xf numFmtId="37" fontId="35" fillId="0" borderId="106" xfId="0" applyNumberFormat="1" applyFont="1" applyBorder="1" applyAlignment="1">
      <alignment vertical="center"/>
    </xf>
    <xf numFmtId="37" fontId="35" fillId="0" borderId="114" xfId="0" applyNumberFormat="1" applyFont="1" applyBorder="1" applyAlignment="1">
      <alignment vertical="center"/>
    </xf>
    <xf numFmtId="37" fontId="25" fillId="0" borderId="68" xfId="0" applyNumberFormat="1" applyFont="1" applyBorder="1" applyAlignment="1">
      <alignment vertical="center"/>
    </xf>
    <xf numFmtId="37" fontId="25" fillId="0" borderId="107" xfId="0" applyNumberFormat="1" applyFont="1" applyBorder="1" applyAlignment="1">
      <alignment vertical="center"/>
    </xf>
    <xf numFmtId="37" fontId="25" fillId="0" borderId="118" xfId="0" applyNumberFormat="1" applyFont="1" applyBorder="1" applyAlignment="1">
      <alignment vertical="center"/>
    </xf>
    <xf numFmtId="9" fontId="61" fillId="0" borderId="70" xfId="0" quotePrefix="1" applyNumberFormat="1" applyFont="1" applyBorder="1" applyAlignment="1">
      <alignment horizontal="center" vertical="center"/>
    </xf>
    <xf numFmtId="3" fontId="62" fillId="0" borderId="43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Continuous" vertical="center"/>
    </xf>
    <xf numFmtId="37" fontId="61" fillId="0" borderId="29" xfId="0" applyNumberFormat="1" applyFont="1" applyBorder="1" applyAlignment="1">
      <alignment vertical="center"/>
    </xf>
    <xf numFmtId="37" fontId="61" fillId="0" borderId="85" xfId="0" applyNumberFormat="1" applyFont="1" applyBorder="1" applyAlignment="1">
      <alignment vertical="center"/>
    </xf>
    <xf numFmtId="37" fontId="61" fillId="0" borderId="82" xfId="0" applyNumberFormat="1" applyFont="1" applyBorder="1" applyAlignment="1">
      <alignment vertical="center"/>
    </xf>
    <xf numFmtId="3" fontId="61" fillId="4" borderId="0" xfId="0" applyNumberFormat="1" applyFont="1" applyFill="1" applyAlignment="1">
      <alignment vertical="center"/>
    </xf>
    <xf numFmtId="37" fontId="61" fillId="0" borderId="109" xfId="0" applyNumberFormat="1" applyFont="1" applyBorder="1" applyAlignment="1">
      <alignment vertical="center"/>
    </xf>
    <xf numFmtId="37" fontId="61" fillId="0" borderId="114" xfId="0" applyNumberFormat="1" applyFont="1" applyBorder="1" applyAlignment="1">
      <alignment vertical="center"/>
    </xf>
    <xf numFmtId="37" fontId="23" fillId="0" borderId="109" xfId="0" applyNumberFormat="1" applyFont="1" applyBorder="1" applyAlignment="1">
      <alignment vertical="center"/>
    </xf>
    <xf numFmtId="37" fontId="19" fillId="0" borderId="1" xfId="0" applyNumberFormat="1" applyFont="1" applyBorder="1" applyAlignment="1">
      <alignment vertical="center"/>
    </xf>
    <xf numFmtId="37" fontId="19" fillId="0" borderId="18" xfId="0" applyNumberFormat="1" applyFont="1" applyBorder="1" applyAlignment="1">
      <alignment vertical="center"/>
    </xf>
    <xf numFmtId="37" fontId="19" fillId="0" borderId="4" xfId="0" applyNumberFormat="1" applyFont="1" applyBorder="1" applyAlignment="1">
      <alignment vertical="center"/>
    </xf>
    <xf numFmtId="37" fontId="19" fillId="0" borderId="67" xfId="0" applyNumberFormat="1" applyFont="1" applyBorder="1" applyAlignment="1">
      <alignment vertical="center"/>
    </xf>
    <xf numFmtId="37" fontId="19" fillId="0" borderId="11" xfId="0" applyNumberFormat="1" applyFont="1" applyBorder="1" applyAlignment="1">
      <alignment vertical="center"/>
    </xf>
    <xf numFmtId="3" fontId="18" fillId="4" borderId="0" xfId="0" applyNumberFormat="1" applyFont="1" applyFill="1" applyAlignment="1">
      <alignment horizontal="centerContinuous" vertical="center"/>
    </xf>
    <xf numFmtId="37" fontId="19" fillId="0" borderId="20" xfId="0" applyNumberFormat="1" applyFont="1" applyBorder="1" applyAlignment="1">
      <alignment vertical="center"/>
    </xf>
    <xf numFmtId="37" fontId="19" fillId="0" borderId="80" xfId="0" applyNumberFormat="1" applyFont="1" applyBorder="1" applyAlignment="1">
      <alignment vertical="center"/>
    </xf>
    <xf numFmtId="37" fontId="18" fillId="0" borderId="2" xfId="0" applyNumberFormat="1" applyFont="1" applyBorder="1" applyAlignment="1">
      <alignment vertical="center"/>
    </xf>
    <xf numFmtId="37" fontId="19" fillId="0" borderId="16" xfId="0" applyNumberFormat="1" applyFont="1" applyBorder="1" applyAlignment="1">
      <alignment vertical="center"/>
    </xf>
    <xf numFmtId="37" fontId="83" fillId="0" borderId="0" xfId="0" applyNumberFormat="1" applyFont="1"/>
    <xf numFmtId="37" fontId="83" fillId="0" borderId="113" xfId="0" applyNumberFormat="1" applyFont="1" applyBorder="1"/>
    <xf numFmtId="37" fontId="61" fillId="0" borderId="119" xfId="0" applyNumberFormat="1" applyFont="1" applyBorder="1" applyAlignment="1">
      <alignment vertical="center"/>
    </xf>
    <xf numFmtId="37" fontId="61" fillId="0" borderId="2" xfId="0" applyNumberFormat="1" applyFont="1" applyBorder="1" applyAlignment="1">
      <alignment vertical="center"/>
    </xf>
    <xf numFmtId="37" fontId="61" fillId="0" borderId="120" xfId="0" applyNumberFormat="1" applyFont="1" applyBorder="1" applyAlignment="1">
      <alignment vertical="center"/>
    </xf>
    <xf numFmtId="37" fontId="61" fillId="0" borderId="107" xfId="0" applyNumberFormat="1" applyFont="1" applyBorder="1" applyAlignment="1">
      <alignment vertical="center"/>
    </xf>
    <xf numFmtId="37" fontId="61" fillId="0" borderId="67" xfId="0" applyNumberFormat="1" applyFont="1" applyBorder="1" applyAlignment="1">
      <alignment vertical="center"/>
    </xf>
    <xf numFmtId="37" fontId="61" fillId="0" borderId="121" xfId="0" applyNumberFormat="1" applyFont="1" applyBorder="1" applyAlignment="1">
      <alignment vertical="center"/>
    </xf>
    <xf numFmtId="37" fontId="61" fillId="0" borderId="122" xfId="0" applyNumberFormat="1" applyFont="1" applyBorder="1" applyAlignment="1">
      <alignment vertical="center"/>
    </xf>
    <xf numFmtId="37" fontId="61" fillId="0" borderId="108" xfId="0" applyNumberFormat="1" applyFont="1" applyBorder="1" applyAlignment="1">
      <alignment vertical="center"/>
    </xf>
    <xf numFmtId="37" fontId="79" fillId="0" borderId="109" xfId="0" applyNumberFormat="1" applyFont="1" applyBorder="1" applyAlignment="1">
      <alignment vertical="center"/>
    </xf>
    <xf numFmtId="37" fontId="15" fillId="0" borderId="109" xfId="0" applyNumberFormat="1" applyFont="1" applyBorder="1" applyAlignment="1">
      <alignment vertical="center"/>
    </xf>
    <xf numFmtId="3" fontId="9" fillId="2" borderId="62" xfId="0" applyNumberFormat="1" applyFont="1" applyFill="1" applyBorder="1" applyAlignment="1">
      <alignment vertical="center"/>
    </xf>
    <xf numFmtId="3" fontId="18" fillId="0" borderId="0" xfId="0" applyNumberFormat="1" applyFont="1" applyAlignment="1">
      <alignment horizontal="center" vertical="center"/>
    </xf>
    <xf numFmtId="37" fontId="18" fillId="6" borderId="0" xfId="0" applyNumberFormat="1" applyFont="1" applyFill="1"/>
    <xf numFmtId="37" fontId="31" fillId="0" borderId="117" xfId="0" applyNumberFormat="1" applyFont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center" vertical="center"/>
    </xf>
    <xf numFmtId="0" fontId="84" fillId="0" borderId="0" xfId="0" applyFont="1" applyAlignment="1">
      <alignment horizontal="center" vertical="center" wrapText="1"/>
    </xf>
    <xf numFmtId="10" fontId="35" fillId="0" borderId="0" xfId="0" applyNumberFormat="1" applyFont="1" applyAlignment="1">
      <alignment horizontal="center" vertical="center" wrapText="1"/>
    </xf>
    <xf numFmtId="37" fontId="60" fillId="13" borderId="0" xfId="0" applyNumberFormat="1" applyFont="1" applyFill="1" applyAlignment="1">
      <alignment vertical="center"/>
    </xf>
    <xf numFmtId="3" fontId="26" fillId="13" borderId="0" xfId="0" applyNumberFormat="1" applyFont="1" applyFill="1" applyAlignment="1">
      <alignment vertical="center"/>
    </xf>
    <xf numFmtId="168" fontId="66" fillId="0" borderId="0" xfId="2" applyNumberFormat="1" applyFont="1" applyBorder="1" applyAlignment="1">
      <alignment horizontal="centerContinuous" vertical="center"/>
    </xf>
    <xf numFmtId="14" fontId="85" fillId="0" borderId="0" xfId="0" applyNumberFormat="1" applyFont="1" applyAlignment="1">
      <alignment horizontal="center" vertical="center"/>
    </xf>
    <xf numFmtId="168" fontId="43" fillId="0" borderId="0" xfId="2" applyNumberFormat="1" applyFont="1" applyBorder="1" applyAlignment="1">
      <alignment horizontal="centerContinuous" vertical="center"/>
    </xf>
    <xf numFmtId="37" fontId="49" fillId="0" borderId="109" xfId="0" applyNumberFormat="1" applyFont="1" applyBorder="1" applyAlignment="1">
      <alignment horizontal="center" vertical="center"/>
    </xf>
    <xf numFmtId="37" fontId="44" fillId="0" borderId="115" xfId="0" applyNumberFormat="1" applyFont="1" applyBorder="1" applyAlignment="1">
      <alignment vertical="center"/>
    </xf>
    <xf numFmtId="37" fontId="50" fillId="0" borderId="50" xfId="0" applyNumberFormat="1" applyFont="1" applyBorder="1" applyAlignment="1">
      <alignment horizontal="center" vertical="center"/>
    </xf>
    <xf numFmtId="37" fontId="34" fillId="0" borderId="3" xfId="0" applyNumberFormat="1" applyFont="1" applyBorder="1" applyAlignment="1">
      <alignment vertical="center"/>
    </xf>
    <xf numFmtId="37" fontId="20" fillId="0" borderId="3" xfId="0" applyNumberFormat="1" applyFont="1" applyBorder="1" applyAlignment="1">
      <alignment vertical="center"/>
    </xf>
    <xf numFmtId="3" fontId="21" fillId="0" borderId="14" xfId="0" applyNumberFormat="1" applyFont="1" applyBorder="1" applyAlignment="1">
      <alignment vertical="center"/>
    </xf>
    <xf numFmtId="37" fontId="34" fillId="0" borderId="1" xfId="0" applyNumberFormat="1" applyFont="1" applyBorder="1" applyAlignment="1">
      <alignment vertical="center"/>
    </xf>
    <xf numFmtId="37" fontId="20" fillId="0" borderId="10" xfId="0" applyNumberFormat="1" applyFont="1" applyBorder="1" applyAlignment="1">
      <alignment vertical="center"/>
    </xf>
    <xf numFmtId="37" fontId="23" fillId="0" borderId="106" xfId="0" applyNumberFormat="1" applyFont="1" applyBorder="1" applyAlignment="1">
      <alignment vertical="center"/>
    </xf>
    <xf numFmtId="37" fontId="79" fillId="0" borderId="106" xfId="0" applyNumberFormat="1" applyFont="1" applyBorder="1" applyAlignment="1">
      <alignment vertical="center"/>
    </xf>
    <xf numFmtId="37" fontId="15" fillId="0" borderId="106" xfId="0" applyNumberFormat="1" applyFont="1" applyBorder="1" applyAlignment="1">
      <alignment vertical="center"/>
    </xf>
    <xf numFmtId="37" fontId="21" fillId="0" borderId="109" xfId="0" applyNumberFormat="1" applyFont="1" applyBorder="1" applyAlignment="1">
      <alignment vertical="center"/>
    </xf>
    <xf numFmtId="37" fontId="34" fillId="0" borderId="109" xfId="0" applyNumberFormat="1" applyFont="1" applyBorder="1" applyAlignment="1">
      <alignment vertical="center"/>
    </xf>
    <xf numFmtId="37" fontId="20" fillId="0" borderId="109" xfId="0" applyNumberFormat="1" applyFont="1" applyBorder="1" applyAlignment="1">
      <alignment vertical="center"/>
    </xf>
    <xf numFmtId="0" fontId="7" fillId="0" borderId="85" xfId="0" applyFont="1" applyBorder="1" applyAlignment="1">
      <alignment vertical="center" wrapText="1"/>
    </xf>
    <xf numFmtId="37" fontId="21" fillId="0" borderId="15" xfId="0" applyNumberFormat="1" applyFont="1" applyBorder="1" applyAlignment="1">
      <alignment vertical="center"/>
    </xf>
    <xf numFmtId="37" fontId="61" fillId="0" borderId="15" xfId="0" applyNumberFormat="1" applyFont="1" applyBorder="1" applyAlignment="1">
      <alignment vertical="center"/>
    </xf>
    <xf numFmtId="37" fontId="19" fillId="0" borderId="15" xfId="0" applyNumberFormat="1" applyFont="1" applyBorder="1" applyAlignment="1">
      <alignment vertical="center"/>
    </xf>
    <xf numFmtId="37" fontId="34" fillId="0" borderId="15" xfId="0" applyNumberFormat="1" applyFont="1" applyBorder="1" applyAlignment="1">
      <alignment vertical="center"/>
    </xf>
    <xf numFmtId="37" fontId="20" fillId="0" borderId="15" xfId="0" applyNumberFormat="1" applyFont="1" applyBorder="1" applyAlignment="1">
      <alignment vertical="center"/>
    </xf>
    <xf numFmtId="3" fontId="21" fillId="0" borderId="62" xfId="0" applyNumberFormat="1" applyFont="1" applyBorder="1" applyAlignment="1">
      <alignment vertical="center"/>
    </xf>
    <xf numFmtId="0" fontId="18" fillId="5" borderId="109" xfId="0" applyFont="1" applyFill="1" applyBorder="1" applyAlignment="1">
      <alignment vertical="center" wrapText="1"/>
    </xf>
    <xf numFmtId="37" fontId="9" fillId="0" borderId="112" xfId="0" applyNumberFormat="1" applyFont="1" applyBorder="1" applyAlignment="1">
      <alignment horizontal="right" vertical="center"/>
    </xf>
    <xf numFmtId="37" fontId="50" fillId="0" borderId="106" xfId="0" applyNumberFormat="1" applyFont="1" applyBorder="1" applyAlignment="1">
      <alignment horizontal="center" vertical="center"/>
    </xf>
    <xf numFmtId="37" fontId="50" fillId="0" borderId="114" xfId="0" applyNumberFormat="1" applyFont="1" applyBorder="1" applyAlignment="1">
      <alignment horizontal="center" vertical="center"/>
    </xf>
    <xf numFmtId="3" fontId="53" fillId="0" borderId="49" xfId="0" applyNumberFormat="1" applyFont="1" applyBorder="1" applyAlignment="1">
      <alignment horizontal="center" vertical="center" wrapText="1"/>
    </xf>
    <xf numFmtId="37" fontId="14" fillId="0" borderId="123" xfId="0" applyNumberFormat="1" applyFont="1" applyBorder="1" applyAlignment="1">
      <alignment horizontal="center" vertical="center" wrapText="1"/>
    </xf>
    <xf numFmtId="37" fontId="14" fillId="0" borderId="124" xfId="0" applyNumberFormat="1" applyFont="1" applyBorder="1" applyAlignment="1">
      <alignment horizontal="center" vertical="center" wrapText="1"/>
    </xf>
    <xf numFmtId="2" fontId="17" fillId="0" borderId="125" xfId="0" applyNumberFormat="1" applyFont="1" applyBorder="1" applyAlignment="1">
      <alignment horizontal="center" vertical="center" wrapText="1"/>
    </xf>
    <xf numFmtId="37" fontId="44" fillId="0" borderId="22" xfId="0" applyNumberFormat="1" applyFont="1" applyBorder="1" applyAlignment="1">
      <alignment vertical="center"/>
    </xf>
    <xf numFmtId="37" fontId="44" fillId="0" borderId="113" xfId="0" applyNumberFormat="1" applyFont="1" applyBorder="1" applyAlignment="1">
      <alignment vertical="center"/>
    </xf>
    <xf numFmtId="37" fontId="44" fillId="0" borderId="102" xfId="0" applyNumberFormat="1" applyFont="1" applyBorder="1" applyAlignment="1">
      <alignment vertical="center"/>
    </xf>
    <xf numFmtId="37" fontId="44" fillId="0" borderId="126" xfId="0" applyNumberFormat="1" applyFont="1" applyBorder="1" applyAlignment="1">
      <alignment vertical="center"/>
    </xf>
    <xf numFmtId="37" fontId="44" fillId="2" borderId="102" xfId="0" applyNumberFormat="1" applyFont="1" applyFill="1" applyBorder="1" applyAlignment="1">
      <alignment vertical="center"/>
    </xf>
    <xf numFmtId="14" fontId="24" fillId="0" borderId="0" xfId="0" quotePrefix="1" applyNumberFormat="1" applyFont="1" applyAlignment="1">
      <alignment horizontal="center" vertical="center"/>
    </xf>
    <xf numFmtId="14" fontId="50" fillId="2" borderId="0" xfId="0" applyNumberFormat="1" applyFont="1" applyFill="1" applyAlignment="1">
      <alignment horizontal="center" vertical="center"/>
    </xf>
    <xf numFmtId="14" fontId="41" fillId="0" borderId="0" xfId="0" applyNumberFormat="1" applyFont="1" applyAlignment="1">
      <alignment vertical="center"/>
    </xf>
    <xf numFmtId="14" fontId="53" fillId="0" borderId="44" xfId="0" applyNumberFormat="1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14" fontId="50" fillId="4" borderId="0" xfId="0" applyNumberFormat="1" applyFont="1" applyFill="1" applyAlignment="1">
      <alignment horizontal="center" vertical="center"/>
    </xf>
    <xf numFmtId="14" fontId="50" fillId="0" borderId="0" xfId="0" applyNumberFormat="1" applyFont="1" applyAlignment="1">
      <alignment horizontal="center" vertical="center"/>
    </xf>
    <xf numFmtId="14" fontId="50" fillId="2" borderId="51" xfId="0" applyNumberFormat="1" applyFont="1" applyFill="1" applyBorder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14" fontId="60" fillId="4" borderId="0" xfId="0" applyNumberFormat="1" applyFont="1" applyFill="1" applyAlignment="1">
      <alignment vertical="center"/>
    </xf>
    <xf numFmtId="14" fontId="50" fillId="0" borderId="0" xfId="0" applyNumberFormat="1" applyFont="1" applyAlignment="1">
      <alignment vertical="center"/>
    </xf>
    <xf numFmtId="37" fontId="39" fillId="0" borderId="107" xfId="0" applyNumberFormat="1" applyFont="1" applyBorder="1" applyAlignment="1">
      <alignment horizontal="center" vertical="center"/>
    </xf>
    <xf numFmtId="37" fontId="39" fillId="2" borderId="128" xfId="0" applyNumberFormat="1" applyFont="1" applyFill="1" applyBorder="1" applyAlignment="1">
      <alignment horizontal="center" vertical="center"/>
    </xf>
    <xf numFmtId="37" fontId="44" fillId="0" borderId="109" xfId="0" applyNumberFormat="1" applyFont="1" applyBorder="1" applyAlignment="1">
      <alignment vertical="center"/>
    </xf>
    <xf numFmtId="37" fontId="25" fillId="0" borderId="115" xfId="0" applyNumberFormat="1" applyFont="1" applyBorder="1" applyAlignment="1">
      <alignment vertical="center"/>
    </xf>
    <xf numFmtId="37" fontId="8" fillId="0" borderId="109" xfId="0" applyNumberFormat="1" applyFont="1" applyBorder="1" applyAlignment="1">
      <alignment horizontal="center" vertical="center"/>
    </xf>
    <xf numFmtId="14" fontId="8" fillId="0" borderId="109" xfId="0" applyNumberFormat="1" applyFont="1" applyBorder="1" applyAlignment="1">
      <alignment horizontal="center" vertical="center"/>
    </xf>
    <xf numFmtId="169" fontId="8" fillId="0" borderId="110" xfId="0" applyNumberFormat="1" applyFont="1" applyBorder="1" applyAlignment="1">
      <alignment horizontal="center" vertical="center"/>
    </xf>
    <xf numFmtId="37" fontId="50" fillId="2" borderId="129" xfId="0" applyNumberFormat="1" applyFont="1" applyFill="1" applyBorder="1" applyAlignment="1">
      <alignment horizontal="center" vertical="center"/>
    </xf>
    <xf numFmtId="3" fontId="50" fillId="2" borderId="129" xfId="0" applyNumberFormat="1" applyFont="1" applyFill="1" applyBorder="1" applyAlignment="1">
      <alignment horizontal="center" vertical="center"/>
    </xf>
    <xf numFmtId="37" fontId="9" fillId="0" borderId="130" xfId="0" applyNumberFormat="1" applyFont="1" applyBorder="1" applyAlignment="1">
      <alignment horizontal="right" vertical="center"/>
    </xf>
    <xf numFmtId="0" fontId="35" fillId="0" borderId="131" xfId="0" applyFont="1" applyBorder="1" applyAlignment="1">
      <alignment horizontal="center" vertical="center"/>
    </xf>
    <xf numFmtId="37" fontId="25" fillId="0" borderId="130" xfId="0" applyNumberFormat="1" applyFont="1" applyBorder="1" applyAlignment="1">
      <alignment vertical="center"/>
    </xf>
    <xf numFmtId="37" fontId="9" fillId="0" borderId="115" xfId="0" applyNumberFormat="1" applyFont="1" applyBorder="1" applyAlignment="1">
      <alignment horizontal="right" vertical="center"/>
    </xf>
    <xf numFmtId="37" fontId="44" fillId="0" borderId="88" xfId="0" applyNumberFormat="1" applyFont="1" applyBorder="1" applyAlignment="1">
      <alignment vertical="center"/>
    </xf>
    <xf numFmtId="37" fontId="44" fillId="0" borderId="115" xfId="0" applyNumberFormat="1" applyFont="1" applyBorder="1" applyAlignment="1">
      <alignment horizontal="center" vertical="center"/>
    </xf>
    <xf numFmtId="37" fontId="25" fillId="0" borderId="111" xfId="0" applyNumberFormat="1" applyFont="1" applyBorder="1" applyAlignment="1">
      <alignment vertical="center"/>
    </xf>
    <xf numFmtId="37" fontId="8" fillId="0" borderId="114" xfId="0" applyNumberFormat="1" applyFont="1" applyBorder="1" applyAlignment="1">
      <alignment horizontal="center" vertical="center"/>
    </xf>
    <xf numFmtId="14" fontId="8" fillId="0" borderId="114" xfId="0" applyNumberFormat="1" applyFont="1" applyBorder="1" applyAlignment="1">
      <alignment horizontal="center" vertical="center"/>
    </xf>
    <xf numFmtId="169" fontId="8" fillId="0" borderId="103" xfId="0" applyNumberFormat="1" applyFont="1" applyBorder="1" applyAlignment="1">
      <alignment horizontal="center" vertical="center"/>
    </xf>
    <xf numFmtId="37" fontId="44" fillId="0" borderId="81" xfId="0" applyNumberFormat="1" applyFont="1" applyBorder="1" applyAlignment="1">
      <alignment vertical="center"/>
    </xf>
    <xf numFmtId="37" fontId="44" fillId="0" borderId="114" xfId="0" applyNumberFormat="1" applyFont="1" applyBorder="1" applyAlignment="1">
      <alignment vertical="center"/>
    </xf>
    <xf numFmtId="37" fontId="18" fillId="0" borderId="110" xfId="0" applyNumberFormat="1" applyFont="1" applyBorder="1" applyAlignment="1">
      <alignment vertical="center"/>
    </xf>
    <xf numFmtId="3" fontId="31" fillId="2" borderId="114" xfId="0" applyNumberFormat="1" applyFont="1" applyFill="1" applyBorder="1" applyAlignment="1">
      <alignment vertical="center" wrapText="1"/>
    </xf>
    <xf numFmtId="37" fontId="31" fillId="2" borderId="114" xfId="0" applyNumberFormat="1" applyFont="1" applyFill="1" applyBorder="1" applyAlignment="1">
      <alignment horizontal="right" vertical="center"/>
    </xf>
    <xf numFmtId="37" fontId="25" fillId="0" borderId="114" xfId="0" applyNumberFormat="1" applyFont="1" applyBorder="1" applyAlignment="1">
      <alignment vertical="center"/>
    </xf>
    <xf numFmtId="0" fontId="62" fillId="0" borderId="0" xfId="0" applyFont="1" applyAlignment="1">
      <alignment vertical="center"/>
    </xf>
    <xf numFmtId="37" fontId="9" fillId="0" borderId="0" xfId="0" applyNumberFormat="1" applyFont="1" applyAlignment="1">
      <alignment vertical="center" wrapText="1"/>
    </xf>
    <xf numFmtId="37" fontId="35" fillId="0" borderId="112" xfId="0" applyNumberFormat="1" applyFont="1" applyBorder="1" applyAlignment="1">
      <alignment vertical="center"/>
    </xf>
    <xf numFmtId="37" fontId="9" fillId="0" borderId="109" xfId="0" applyNumberFormat="1" applyFont="1" applyBorder="1" applyAlignment="1">
      <alignment horizontal="center" vertical="center"/>
    </xf>
    <xf numFmtId="37" fontId="9" fillId="0" borderId="81" xfId="0" applyNumberFormat="1" applyFont="1" applyBorder="1" applyAlignment="1">
      <alignment horizontal="right" vertical="center"/>
    </xf>
    <xf numFmtId="37" fontId="9" fillId="0" borderId="118" xfId="0" applyNumberFormat="1" applyFont="1" applyBorder="1" applyAlignment="1">
      <alignment horizontal="right" vertical="center"/>
    </xf>
    <xf numFmtId="37" fontId="9" fillId="0" borderId="114" xfId="0" applyNumberFormat="1" applyFont="1" applyBorder="1" applyAlignment="1">
      <alignment horizontal="center" vertical="center"/>
    </xf>
    <xf numFmtId="3" fontId="17" fillId="0" borderId="46" xfId="0" applyNumberFormat="1" applyFont="1" applyBorder="1" applyAlignment="1">
      <alignment horizontal="center" vertical="center" wrapText="1"/>
    </xf>
    <xf numFmtId="37" fontId="23" fillId="0" borderId="24" xfId="0" applyNumberFormat="1" applyFont="1" applyBorder="1" applyAlignment="1">
      <alignment vertical="center"/>
    </xf>
    <xf numFmtId="37" fontId="19" fillId="2" borderId="129" xfId="0" applyNumberFormat="1" applyFont="1" applyFill="1" applyBorder="1" applyAlignment="1">
      <alignment vertical="center"/>
    </xf>
    <xf numFmtId="3" fontId="9" fillId="4" borderId="0" xfId="0" applyNumberFormat="1" applyFont="1" applyFill="1" applyAlignment="1">
      <alignment vertical="center"/>
    </xf>
    <xf numFmtId="3" fontId="18" fillId="4" borderId="0" xfId="0" applyNumberFormat="1" applyFont="1" applyFill="1" applyAlignment="1">
      <alignment horizontal="center" vertical="center"/>
    </xf>
    <xf numFmtId="37" fontId="9" fillId="0" borderId="81" xfId="0" applyNumberFormat="1" applyFont="1" applyBorder="1" applyAlignment="1">
      <alignment vertical="center"/>
    </xf>
    <xf numFmtId="37" fontId="9" fillId="0" borderId="114" xfId="0" applyNumberFormat="1" applyFont="1" applyBorder="1" applyAlignment="1">
      <alignment horizontal="right" vertical="center"/>
    </xf>
    <xf numFmtId="37" fontId="9" fillId="0" borderId="118" xfId="0" applyNumberFormat="1" applyFont="1" applyBorder="1" applyAlignment="1">
      <alignment horizontal="center" vertical="center"/>
    </xf>
    <xf numFmtId="37" fontId="9" fillId="0" borderId="115" xfId="0" applyNumberFormat="1" applyFont="1" applyBorder="1" applyAlignment="1">
      <alignment vertical="center"/>
    </xf>
    <xf numFmtId="37" fontId="44" fillId="4" borderId="0" xfId="0" applyNumberFormat="1" applyFont="1" applyFill="1" applyAlignment="1">
      <alignment horizontal="center" vertical="center" wrapText="1"/>
    </xf>
    <xf numFmtId="37" fontId="50" fillId="0" borderId="109" xfId="0" applyNumberFormat="1" applyFont="1" applyBorder="1" applyAlignment="1">
      <alignment horizontal="center" vertical="center"/>
    </xf>
    <xf numFmtId="37" fontId="24" fillId="2" borderId="0" xfId="0" applyNumberFormat="1" applyFont="1" applyFill="1" applyAlignment="1">
      <alignment vertical="center"/>
    </xf>
    <xf numFmtId="9" fontId="19" fillId="0" borderId="70" xfId="1" quotePrefix="1" applyFont="1" applyBorder="1" applyAlignment="1">
      <alignment horizontal="center" vertical="center"/>
    </xf>
    <xf numFmtId="37" fontId="19" fillId="0" borderId="70" xfId="0" quotePrefix="1" applyNumberFormat="1" applyFont="1" applyBorder="1" applyAlignment="1">
      <alignment horizontal="center" vertical="center"/>
    </xf>
    <xf numFmtId="37" fontId="35" fillId="0" borderId="109" xfId="0" quotePrefix="1" applyNumberFormat="1" applyFont="1" applyBorder="1" applyAlignment="1">
      <alignment horizontal="center" vertical="center"/>
    </xf>
    <xf numFmtId="37" fontId="19" fillId="0" borderId="109" xfId="0" applyNumberFormat="1" applyFont="1" applyBorder="1" applyAlignment="1">
      <alignment horizontal="center" vertical="center"/>
    </xf>
    <xf numFmtId="37" fontId="59" fillId="2" borderId="0" xfId="0" applyNumberFormat="1" applyFont="1" applyFill="1" applyAlignment="1">
      <alignment vertical="center"/>
    </xf>
    <xf numFmtId="37" fontId="19" fillId="0" borderId="105" xfId="0" applyNumberFormat="1" applyFont="1" applyBorder="1" applyAlignment="1">
      <alignment vertical="center"/>
    </xf>
    <xf numFmtId="37" fontId="21" fillId="0" borderId="60" xfId="0" applyNumberFormat="1" applyFont="1" applyBorder="1" applyAlignment="1">
      <alignment vertical="center"/>
    </xf>
    <xf numFmtId="37" fontId="61" fillId="0" borderId="60" xfId="0" applyNumberFormat="1" applyFont="1" applyBorder="1" applyAlignment="1">
      <alignment vertical="center"/>
    </xf>
    <xf numFmtId="37" fontId="19" fillId="0" borderId="60" xfId="0" applyNumberFormat="1" applyFont="1" applyBorder="1" applyAlignment="1">
      <alignment vertical="center"/>
    </xf>
    <xf numFmtId="37" fontId="21" fillId="0" borderId="136" xfId="0" applyNumberFormat="1" applyFont="1" applyBorder="1" applyAlignment="1">
      <alignment vertical="center"/>
    </xf>
    <xf numFmtId="37" fontId="21" fillId="0" borderId="14" xfId="0" applyNumberFormat="1" applyFont="1" applyBorder="1" applyAlignment="1">
      <alignment vertical="center"/>
    </xf>
    <xf numFmtId="3" fontId="9" fillId="0" borderId="109" xfId="0" applyNumberFormat="1" applyFont="1" applyBorder="1" applyAlignment="1">
      <alignment vertical="center"/>
    </xf>
    <xf numFmtId="3" fontId="80" fillId="0" borderId="0" xfId="0" applyNumberFormat="1" applyFont="1" applyAlignment="1">
      <alignment vertical="center"/>
    </xf>
    <xf numFmtId="37" fontId="43" fillId="0" borderId="0" xfId="0" applyNumberFormat="1" applyFont="1" applyAlignment="1">
      <alignment horizontal="center" vertical="center"/>
    </xf>
    <xf numFmtId="37" fontId="45" fillId="0" borderId="0" xfId="0" applyNumberFormat="1" applyFont="1" applyAlignment="1">
      <alignment vertical="center"/>
    </xf>
    <xf numFmtId="37" fontId="45" fillId="0" borderId="109" xfId="0" applyNumberFormat="1" applyFont="1" applyBorder="1" applyAlignment="1">
      <alignment vertical="center"/>
    </xf>
    <xf numFmtId="37" fontId="45" fillId="9" borderId="0" xfId="0" applyNumberFormat="1" applyFont="1" applyFill="1" applyAlignment="1">
      <alignment horizontal="right" vertical="center"/>
    </xf>
    <xf numFmtId="37" fontId="44" fillId="0" borderId="0" xfId="0" applyNumberFormat="1" applyFont="1" applyAlignment="1">
      <alignment horizontal="center" vertical="center"/>
    </xf>
    <xf numFmtId="37" fontId="44" fillId="9" borderId="0" xfId="0" applyNumberFormat="1" applyFont="1" applyFill="1" applyAlignment="1">
      <alignment horizontal="center" vertical="center"/>
    </xf>
    <xf numFmtId="37" fontId="87" fillId="0" borderId="0" xfId="0" applyNumberFormat="1" applyFont="1" applyAlignment="1">
      <alignment horizontal="center" vertical="center"/>
    </xf>
    <xf numFmtId="37" fontId="88" fillId="0" borderId="0" xfId="0" applyNumberFormat="1" applyFont="1" applyAlignment="1">
      <alignment vertical="center"/>
    </xf>
    <xf numFmtId="37" fontId="88" fillId="2" borderId="0" xfId="0" applyNumberFormat="1" applyFont="1" applyFill="1" applyAlignment="1">
      <alignment vertical="center"/>
    </xf>
    <xf numFmtId="37" fontId="87" fillId="9" borderId="0" xfId="0" applyNumberFormat="1" applyFont="1" applyFill="1" applyAlignment="1">
      <alignment horizontal="center" vertical="center"/>
    </xf>
    <xf numFmtId="37" fontId="88" fillId="9" borderId="0" xfId="0" applyNumberFormat="1" applyFont="1" applyFill="1" applyAlignment="1">
      <alignment horizontal="right" vertical="center"/>
    </xf>
    <xf numFmtId="37" fontId="89" fillId="0" borderId="0" xfId="0" applyNumberFormat="1" applyFont="1" applyAlignment="1">
      <alignment vertical="center"/>
    </xf>
    <xf numFmtId="37" fontId="89" fillId="2" borderId="0" xfId="0" applyNumberFormat="1" applyFont="1" applyFill="1" applyAlignment="1">
      <alignment vertical="center"/>
    </xf>
    <xf numFmtId="37" fontId="89" fillId="9" borderId="0" xfId="0" applyNumberFormat="1" applyFont="1" applyFill="1" applyAlignment="1">
      <alignment horizontal="right" vertical="center"/>
    </xf>
    <xf numFmtId="37" fontId="19" fillId="0" borderId="85" xfId="0" applyNumberFormat="1" applyFont="1" applyBorder="1" applyAlignment="1">
      <alignment horizontal="right" vertical="center"/>
    </xf>
    <xf numFmtId="37" fontId="18" fillId="9" borderId="0" xfId="0" applyNumberFormat="1" applyFont="1" applyFill="1" applyAlignment="1">
      <alignment horizontal="right" vertical="center"/>
    </xf>
    <xf numFmtId="37" fontId="73" fillId="0" borderId="112" xfId="0" applyNumberFormat="1" applyFont="1" applyBorder="1" applyAlignment="1">
      <alignment horizontal="right" vertical="center"/>
    </xf>
    <xf numFmtId="37" fontId="18" fillId="0" borderId="23" xfId="0" applyNumberFormat="1" applyFont="1" applyBorder="1" applyAlignment="1">
      <alignment vertical="center"/>
    </xf>
    <xf numFmtId="37" fontId="73" fillId="0" borderId="23" xfId="0" applyNumberFormat="1" applyFont="1" applyBorder="1" applyAlignment="1">
      <alignment horizontal="right" vertical="center"/>
    </xf>
    <xf numFmtId="37" fontId="73" fillId="0" borderId="23" xfId="0" applyNumberFormat="1" applyFont="1" applyBorder="1" applyAlignment="1">
      <alignment horizontal="right" vertical="center" wrapText="1"/>
    </xf>
    <xf numFmtId="37" fontId="44" fillId="0" borderId="63" xfId="0" applyNumberFormat="1" applyFont="1" applyBorder="1" applyAlignment="1">
      <alignment horizontal="right" vertical="center"/>
    </xf>
    <xf numFmtId="37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09" xfId="0" applyFont="1" applyBorder="1" applyAlignment="1">
      <alignment vertical="center" wrapText="1"/>
    </xf>
    <xf numFmtId="0" fontId="5" fillId="0" borderId="109" xfId="0" quotePrefix="1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37" fontId="77" fillId="0" borderId="0" xfId="0" quotePrefix="1" applyNumberFormat="1" applyFont="1" applyAlignment="1">
      <alignment vertical="center"/>
    </xf>
    <xf numFmtId="37" fontId="69" fillId="4" borderId="0" xfId="0" applyNumberFormat="1" applyFont="1" applyFill="1" applyAlignment="1">
      <alignment horizontal="centerContinuous" vertical="center"/>
    </xf>
    <xf numFmtId="37" fontId="92" fillId="0" borderId="0" xfId="0" applyNumberFormat="1" applyFont="1" applyAlignment="1">
      <alignment vertical="center"/>
    </xf>
    <xf numFmtId="37" fontId="93" fillId="0" borderId="0" xfId="0" applyNumberFormat="1" applyFont="1" applyAlignment="1">
      <alignment horizontal="center" vertical="center"/>
    </xf>
    <xf numFmtId="37" fontId="69" fillId="0" borderId="0" xfId="0" applyNumberFormat="1" applyFont="1" applyAlignment="1">
      <alignment vertical="center"/>
    </xf>
    <xf numFmtId="37" fontId="59" fillId="0" borderId="0" xfId="0" applyNumberFormat="1" applyFont="1" applyAlignment="1">
      <alignment horizontal="center" vertical="center"/>
    </xf>
    <xf numFmtId="37" fontId="77" fillId="0" borderId="0" xfId="0" applyNumberFormat="1" applyFont="1" applyAlignment="1">
      <alignment horizontal="center" vertical="center"/>
    </xf>
    <xf numFmtId="37" fontId="59" fillId="2" borderId="0" xfId="0" quotePrefix="1" applyNumberFormat="1" applyFont="1" applyFill="1" applyAlignment="1">
      <alignment horizontal="center" vertical="center"/>
    </xf>
    <xf numFmtId="37" fontId="59" fillId="2" borderId="0" xfId="0" applyNumberFormat="1" applyFont="1" applyFill="1" applyAlignment="1">
      <alignment horizontal="center" vertical="center"/>
    </xf>
    <xf numFmtId="37" fontId="69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7" fontId="44" fillId="9" borderId="0" xfId="0" applyNumberFormat="1" applyFont="1" applyFill="1" applyAlignment="1">
      <alignment horizontal="right" vertical="center"/>
    </xf>
    <xf numFmtId="37" fontId="61" fillId="0" borderId="109" xfId="0" applyNumberFormat="1" applyFont="1" applyBorder="1" applyAlignment="1">
      <alignment horizontal="center" vertical="center"/>
    </xf>
    <xf numFmtId="37" fontId="87" fillId="0" borderId="109" xfId="0" applyNumberFormat="1" applyFont="1" applyBorder="1" applyAlignment="1">
      <alignment horizontal="center" vertical="center"/>
    </xf>
    <xf numFmtId="37" fontId="61" fillId="0" borderId="114" xfId="0" applyNumberFormat="1" applyFont="1" applyBorder="1" applyAlignment="1">
      <alignment horizontal="center" vertical="center"/>
    </xf>
    <xf numFmtId="37" fontId="45" fillId="0" borderId="114" xfId="0" applyNumberFormat="1" applyFont="1" applyBorder="1" applyAlignment="1">
      <alignment vertical="center"/>
    </xf>
    <xf numFmtId="37" fontId="87" fillId="0" borderId="114" xfId="0" applyNumberFormat="1" applyFont="1" applyBorder="1" applyAlignment="1">
      <alignment horizontal="center" vertical="center"/>
    </xf>
    <xf numFmtId="37" fontId="43" fillId="0" borderId="48" xfId="0" applyNumberFormat="1" applyFont="1" applyBorder="1" applyAlignment="1">
      <alignment vertical="center"/>
    </xf>
    <xf numFmtId="37" fontId="43" fillId="0" borderId="110" xfId="0" applyNumberFormat="1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37" fontId="73" fillId="0" borderId="48" xfId="0" applyNumberFormat="1" applyFont="1" applyBorder="1" applyAlignment="1">
      <alignment horizontal="right" vertical="center"/>
    </xf>
    <xf numFmtId="37" fontId="73" fillId="0" borderId="110" xfId="0" applyNumberFormat="1" applyFont="1" applyBorder="1" applyAlignment="1">
      <alignment horizontal="right" vertical="center"/>
    </xf>
    <xf numFmtId="10" fontId="44" fillId="0" borderId="106" xfId="1" applyNumberFormat="1" applyFont="1" applyBorder="1" applyAlignment="1">
      <alignment horizontal="center" vertical="center"/>
    </xf>
    <xf numFmtId="10" fontId="61" fillId="0" borderId="106" xfId="1" applyNumberFormat="1" applyFont="1" applyBorder="1" applyAlignment="1">
      <alignment horizontal="center" vertical="center"/>
    </xf>
    <xf numFmtId="10" fontId="87" fillId="0" borderId="106" xfId="1" applyNumberFormat="1" applyFont="1" applyBorder="1" applyAlignment="1">
      <alignment horizontal="center" vertical="center"/>
    </xf>
    <xf numFmtId="10" fontId="19" fillId="0" borderId="106" xfId="1" applyNumberFormat="1" applyFont="1" applyBorder="1" applyAlignment="1">
      <alignment horizontal="center" vertical="center"/>
    </xf>
    <xf numFmtId="10" fontId="44" fillId="0" borderId="116" xfId="1" applyNumberFormat="1" applyFont="1" applyBorder="1" applyAlignment="1">
      <alignment horizontal="center" vertical="center"/>
    </xf>
    <xf numFmtId="0" fontId="5" fillId="0" borderId="55" xfId="0" applyFont="1" applyBorder="1" applyAlignment="1">
      <alignment vertical="center"/>
    </xf>
    <xf numFmtId="0" fontId="19" fillId="0" borderId="56" xfId="0" applyFont="1" applyBorder="1" applyAlignment="1">
      <alignment horizontal="center" vertical="center" wrapText="1"/>
    </xf>
    <xf numFmtId="37" fontId="73" fillId="0" borderId="57" xfId="0" applyNumberFormat="1" applyFont="1" applyBorder="1" applyAlignment="1">
      <alignment horizontal="right" vertical="center"/>
    </xf>
    <xf numFmtId="37" fontId="44" fillId="0" borderId="56" xfId="0" applyNumberFormat="1" applyFont="1" applyBorder="1" applyAlignment="1">
      <alignment horizontal="right" vertical="center"/>
    </xf>
    <xf numFmtId="37" fontId="61" fillId="0" borderId="56" xfId="0" applyNumberFormat="1" applyFont="1" applyBorder="1" applyAlignment="1">
      <alignment horizontal="center" vertical="center"/>
    </xf>
    <xf numFmtId="37" fontId="61" fillId="0" borderId="56" xfId="0" applyNumberFormat="1" applyFont="1" applyBorder="1" applyAlignment="1">
      <alignment horizontal="right" vertical="center"/>
    </xf>
    <xf numFmtId="37" fontId="45" fillId="0" borderId="56" xfId="0" applyNumberFormat="1" applyFont="1" applyBorder="1" applyAlignment="1">
      <alignment vertical="center"/>
    </xf>
    <xf numFmtId="37" fontId="87" fillId="0" borderId="56" xfId="0" applyNumberFormat="1" applyFont="1" applyBorder="1" applyAlignment="1">
      <alignment horizontal="center" vertical="center"/>
    </xf>
    <xf numFmtId="37" fontId="87" fillId="0" borderId="56" xfId="0" applyNumberFormat="1" applyFont="1" applyBorder="1" applyAlignment="1">
      <alignment horizontal="right" vertical="center"/>
    </xf>
    <xf numFmtId="37" fontId="91" fillId="0" borderId="56" xfId="0" applyNumberFormat="1" applyFont="1" applyBorder="1" applyAlignment="1">
      <alignment horizontal="right" vertical="center"/>
    </xf>
    <xf numFmtId="37" fontId="19" fillId="0" borderId="56" xfId="0" applyNumberFormat="1" applyFont="1" applyBorder="1" applyAlignment="1">
      <alignment horizontal="right" vertical="center"/>
    </xf>
    <xf numFmtId="37" fontId="73" fillId="0" borderId="56" xfId="0" applyNumberFormat="1" applyFont="1" applyBorder="1" applyAlignment="1">
      <alignment horizontal="right" vertical="center" wrapText="1"/>
    </xf>
    <xf numFmtId="37" fontId="44" fillId="0" borderId="55" xfId="0" applyNumberFormat="1" applyFont="1" applyBorder="1" applyAlignment="1">
      <alignment horizontal="right" vertical="center"/>
    </xf>
    <xf numFmtId="37" fontId="44" fillId="0" borderId="56" xfId="0" applyNumberFormat="1" applyFont="1" applyBorder="1" applyAlignment="1">
      <alignment vertical="center"/>
    </xf>
    <xf numFmtId="37" fontId="44" fillId="0" borderId="57" xfId="0" applyNumberFormat="1" applyFont="1" applyBorder="1" applyAlignment="1">
      <alignment horizontal="right" vertical="center"/>
    </xf>
    <xf numFmtId="0" fontId="5" fillId="0" borderId="114" xfId="0" applyFont="1" applyBorder="1" applyAlignment="1">
      <alignment vertical="center" wrapText="1"/>
    </xf>
    <xf numFmtId="37" fontId="43" fillId="0" borderId="114" xfId="0" applyNumberFormat="1" applyFont="1" applyBorder="1" applyAlignment="1">
      <alignment vertical="center"/>
    </xf>
    <xf numFmtId="37" fontId="88" fillId="0" borderId="114" xfId="0" applyNumberFormat="1" applyFont="1" applyBorder="1" applyAlignment="1">
      <alignment vertical="center"/>
    </xf>
    <xf numFmtId="37" fontId="89" fillId="0" borderId="114" xfId="0" applyNumberFormat="1" applyFont="1" applyBorder="1" applyAlignment="1">
      <alignment vertical="center"/>
    </xf>
    <xf numFmtId="37" fontId="18" fillId="0" borderId="114" xfId="0" applyNumberFormat="1" applyFont="1" applyBorder="1" applyAlignment="1">
      <alignment vertical="center" wrapText="1"/>
    </xf>
    <xf numFmtId="37" fontId="18" fillId="0" borderId="103" xfId="0" applyNumberFormat="1" applyFont="1" applyBorder="1" applyAlignment="1">
      <alignment vertical="center"/>
    </xf>
    <xf numFmtId="37" fontId="43" fillId="0" borderId="103" xfId="0" applyNumberFormat="1" applyFont="1" applyBorder="1" applyAlignment="1">
      <alignment vertical="center"/>
    </xf>
    <xf numFmtId="37" fontId="44" fillId="0" borderId="45" xfId="0" applyNumberFormat="1" applyFont="1" applyBorder="1" applyAlignment="1">
      <alignment vertical="center"/>
    </xf>
    <xf numFmtId="3" fontId="56" fillId="0" borderId="0" xfId="0" quotePrefix="1" applyNumberFormat="1" applyFont="1" applyAlignment="1">
      <alignment vertical="center" wrapText="1"/>
    </xf>
    <xf numFmtId="37" fontId="24" fillId="0" borderId="0" xfId="0" applyNumberFormat="1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37" fontId="9" fillId="0" borderId="2" xfId="0" applyNumberFormat="1" applyFont="1" applyBorder="1" applyAlignment="1">
      <alignment vertical="center" wrapText="1"/>
    </xf>
    <xf numFmtId="37" fontId="9" fillId="0" borderId="0" xfId="0" applyNumberFormat="1" applyFont="1" applyAlignment="1">
      <alignment horizontal="center" vertical="center" wrapText="1"/>
    </xf>
    <xf numFmtId="37" fontId="9" fillId="0" borderId="106" xfId="0" applyNumberFormat="1" applyFont="1" applyBorder="1" applyAlignment="1">
      <alignment vertical="center" wrapText="1"/>
    </xf>
    <xf numFmtId="37" fontId="9" fillId="0" borderId="114" xfId="0" applyNumberFormat="1" applyFont="1" applyBorder="1" applyAlignment="1">
      <alignment vertical="center" wrapText="1"/>
    </xf>
    <xf numFmtId="3" fontId="19" fillId="2" borderId="40" xfId="0" applyNumberFormat="1" applyFont="1" applyFill="1" applyBorder="1" applyAlignment="1">
      <alignment vertical="center" wrapText="1"/>
    </xf>
    <xf numFmtId="37" fontId="9" fillId="2" borderId="0" xfId="0" applyNumberFormat="1" applyFont="1" applyFill="1" applyAlignment="1">
      <alignment horizontal="left" vertical="center" wrapText="1"/>
    </xf>
    <xf numFmtId="37" fontId="18" fillId="4" borderId="0" xfId="0" applyNumberFormat="1" applyFont="1" applyFill="1" applyAlignment="1">
      <alignment vertical="center" wrapText="1"/>
    </xf>
    <xf numFmtId="37" fontId="18" fillId="2" borderId="0" xfId="0" applyNumberFormat="1" applyFont="1" applyFill="1" applyAlignment="1">
      <alignment vertical="center" wrapText="1"/>
    </xf>
    <xf numFmtId="37" fontId="18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7" fontId="19" fillId="3" borderId="48" xfId="0" applyNumberFormat="1" applyFont="1" applyFill="1" applyBorder="1" applyAlignment="1">
      <alignment horizontal="center" vertical="center"/>
    </xf>
    <xf numFmtId="37" fontId="18" fillId="0" borderId="48" xfId="0" applyNumberFormat="1" applyFont="1" applyBorder="1" applyAlignment="1">
      <alignment horizontal="centerContinuous" vertical="center"/>
    </xf>
    <xf numFmtId="37" fontId="18" fillId="0" borderId="132" xfId="0" applyNumberFormat="1" applyFont="1" applyBorder="1" applyAlignment="1">
      <alignment vertical="center"/>
    </xf>
    <xf numFmtId="37" fontId="45" fillId="0" borderId="48" xfId="0" applyNumberFormat="1" applyFont="1" applyBorder="1" applyAlignment="1">
      <alignment vertical="center"/>
    </xf>
    <xf numFmtId="37" fontId="37" fillId="0" borderId="44" xfId="0" applyNumberFormat="1" applyFont="1" applyBorder="1" applyAlignment="1">
      <alignment horizontal="center" vertical="center" wrapText="1"/>
    </xf>
    <xf numFmtId="37" fontId="41" fillId="3" borderId="48" xfId="0" applyNumberFormat="1" applyFont="1" applyFill="1" applyBorder="1" applyAlignment="1">
      <alignment horizontal="center" vertical="center"/>
    </xf>
    <xf numFmtId="37" fontId="45" fillId="0" borderId="48" xfId="0" applyNumberFormat="1" applyFont="1" applyBorder="1" applyAlignment="1">
      <alignment horizontal="centerContinuous" vertical="center"/>
    </xf>
    <xf numFmtId="37" fontId="45" fillId="0" borderId="132" xfId="0" applyNumberFormat="1" applyFont="1" applyBorder="1" applyAlignment="1">
      <alignment vertical="center"/>
    </xf>
    <xf numFmtId="37" fontId="62" fillId="0" borderId="32" xfId="0" applyNumberFormat="1" applyFont="1" applyBorder="1" applyAlignment="1">
      <alignment horizontal="center" vertical="center" wrapText="1"/>
    </xf>
    <xf numFmtId="0" fontId="35" fillId="0" borderId="68" xfId="0" applyFont="1" applyBorder="1" applyAlignment="1">
      <alignment horizontal="center" vertical="center"/>
    </xf>
    <xf numFmtId="37" fontId="19" fillId="2" borderId="45" xfId="0" applyNumberFormat="1" applyFont="1" applyFill="1" applyBorder="1" applyAlignment="1">
      <alignment horizontal="center" vertical="center"/>
    </xf>
    <xf numFmtId="37" fontId="18" fillId="0" borderId="45" xfId="0" applyNumberFormat="1" applyFont="1" applyBorder="1" applyAlignment="1">
      <alignment vertical="center"/>
    </xf>
    <xf numFmtId="37" fontId="35" fillId="0" borderId="114" xfId="0" applyNumberFormat="1" applyFont="1" applyBorder="1" applyAlignment="1">
      <alignment horizontal="center" vertical="center"/>
    </xf>
    <xf numFmtId="37" fontId="50" fillId="0" borderId="138" xfId="0" applyNumberFormat="1" applyFont="1" applyBorder="1" applyAlignment="1">
      <alignment horizontal="center" vertical="center"/>
    </xf>
    <xf numFmtId="37" fontId="50" fillId="0" borderId="139" xfId="0" applyNumberFormat="1" applyFont="1" applyBorder="1" applyAlignment="1">
      <alignment horizontal="center" vertical="center"/>
    </xf>
    <xf numFmtId="37" fontId="50" fillId="0" borderId="135" xfId="0" applyNumberFormat="1" applyFont="1" applyBorder="1" applyAlignment="1">
      <alignment horizontal="center" vertical="center"/>
    </xf>
    <xf numFmtId="37" fontId="9" fillId="2" borderId="70" xfId="0" applyNumberFormat="1" applyFont="1" applyFill="1" applyBorder="1" applyAlignment="1">
      <alignment vertical="center"/>
    </xf>
    <xf numFmtId="37" fontId="9" fillId="2" borderId="70" xfId="0" applyNumberFormat="1" applyFont="1" applyFill="1" applyBorder="1" applyAlignment="1">
      <alignment horizontal="center" vertical="center"/>
    </xf>
    <xf numFmtId="37" fontId="40" fillId="0" borderId="140" xfId="0" applyNumberFormat="1" applyFont="1" applyBorder="1" applyAlignment="1">
      <alignment horizontal="center" vertical="center"/>
    </xf>
    <xf numFmtId="37" fontId="49" fillId="0" borderId="127" xfId="0" applyNumberFormat="1" applyFont="1" applyBorder="1" applyAlignment="1">
      <alignment horizontal="center" vertical="center"/>
    </xf>
    <xf numFmtId="37" fontId="40" fillId="0" borderId="109" xfId="0" applyNumberFormat="1" applyFont="1" applyBorder="1" applyAlignment="1">
      <alignment horizontal="center" vertical="center"/>
    </xf>
    <xf numFmtId="37" fontId="49" fillId="0" borderId="110" xfId="0" applyNumberFormat="1" applyFont="1" applyBorder="1" applyAlignment="1">
      <alignment horizontal="center" vertical="center"/>
    </xf>
    <xf numFmtId="37" fontId="39" fillId="0" borderId="109" xfId="0" applyNumberFormat="1" applyFont="1" applyBorder="1" applyAlignment="1">
      <alignment horizontal="center" vertical="center"/>
    </xf>
    <xf numFmtId="37" fontId="19" fillId="2" borderId="81" xfId="0" applyNumberFormat="1" applyFont="1" applyFill="1" applyBorder="1" applyAlignment="1">
      <alignment vertical="center"/>
    </xf>
    <xf numFmtId="0" fontId="5" fillId="0" borderId="118" xfId="0" applyFont="1" applyBorder="1" applyAlignment="1">
      <alignment vertical="center" wrapText="1"/>
    </xf>
    <xf numFmtId="0" fontId="19" fillId="0" borderId="100" xfId="0" applyFont="1" applyBorder="1" applyAlignment="1">
      <alignment horizontal="center" vertical="center" wrapText="1"/>
    </xf>
    <xf numFmtId="37" fontId="17" fillId="0" borderId="129" xfId="0" applyNumberFormat="1" applyFont="1" applyBorder="1" applyAlignment="1">
      <alignment horizontal="center" vertical="center" wrapText="1"/>
    </xf>
    <xf numFmtId="37" fontId="62" fillId="0" borderId="129" xfId="0" applyNumberFormat="1" applyFont="1" applyBorder="1" applyAlignment="1">
      <alignment horizontal="center" vertical="center" wrapText="1"/>
    </xf>
    <xf numFmtId="37" fontId="35" fillId="0" borderId="109" xfId="0" applyNumberFormat="1" applyFont="1" applyBorder="1" applyAlignment="1">
      <alignment horizontal="right" vertical="center"/>
    </xf>
    <xf numFmtId="37" fontId="18" fillId="0" borderId="130" xfId="0" applyNumberFormat="1" applyFont="1" applyBorder="1" applyAlignment="1">
      <alignment horizontal="right" vertical="center"/>
    </xf>
    <xf numFmtId="15" fontId="44" fillId="0" borderId="89" xfId="0" applyNumberFormat="1" applyFont="1" applyBorder="1" applyAlignment="1">
      <alignment vertical="center"/>
    </xf>
    <xf numFmtId="37" fontId="30" fillId="5" borderId="69" xfId="0" applyNumberFormat="1" applyFont="1" applyFill="1" applyBorder="1" applyAlignment="1">
      <alignment vertical="center"/>
    </xf>
    <xf numFmtId="3" fontId="66" fillId="0" borderId="0" xfId="0" applyNumberFormat="1" applyFont="1" applyAlignment="1">
      <alignment horizontal="center" vertical="center"/>
    </xf>
    <xf numFmtId="168" fontId="66" fillId="0" borderId="0" xfId="2" applyNumberFormat="1" applyFont="1" applyBorder="1" applyAlignment="1">
      <alignment horizontal="center" vertical="center"/>
    </xf>
    <xf numFmtId="3" fontId="43" fillId="0" borderId="0" xfId="0" applyNumberFormat="1" applyFont="1" applyAlignment="1">
      <alignment horizontal="centerContinuous" vertical="center" wrapText="1"/>
    </xf>
    <xf numFmtId="14" fontId="15" fillId="0" borderId="0" xfId="0" applyNumberFormat="1" applyFont="1" applyAlignment="1">
      <alignment horizontal="center" vertical="center" wrapText="1"/>
    </xf>
    <xf numFmtId="168" fontId="18" fillId="5" borderId="0" xfId="2" applyNumberFormat="1" applyFont="1" applyFill="1" applyBorder="1" applyAlignment="1">
      <alignment vertical="center"/>
    </xf>
    <xf numFmtId="0" fontId="59" fillId="0" borderId="0" xfId="0" applyFont="1" applyAlignment="1">
      <alignment vertical="center"/>
    </xf>
    <xf numFmtId="37" fontId="44" fillId="5" borderId="24" xfId="0" applyNumberFormat="1" applyFont="1" applyFill="1" applyBorder="1" applyAlignment="1">
      <alignment horizontal="center" vertical="center"/>
    </xf>
    <xf numFmtId="37" fontId="43" fillId="5" borderId="24" xfId="0" applyNumberFormat="1" applyFont="1" applyFill="1" applyBorder="1" applyAlignment="1">
      <alignment vertical="center"/>
    </xf>
    <xf numFmtId="37" fontId="41" fillId="5" borderId="24" xfId="0" applyNumberFormat="1" applyFont="1" applyFill="1" applyBorder="1" applyAlignment="1">
      <alignment horizontal="center" vertical="center"/>
    </xf>
    <xf numFmtId="37" fontId="45" fillId="5" borderId="24" xfId="0" applyNumberFormat="1" applyFont="1" applyFill="1" applyBorder="1" applyAlignment="1">
      <alignment vertical="center"/>
    </xf>
    <xf numFmtId="37" fontId="46" fillId="5" borderId="24" xfId="0" applyNumberFormat="1" applyFont="1" applyFill="1" applyBorder="1" applyAlignment="1">
      <alignment horizontal="center" vertical="center"/>
    </xf>
    <xf numFmtId="37" fontId="47" fillId="5" borderId="24" xfId="0" applyNumberFormat="1" applyFont="1" applyFill="1" applyBorder="1" applyAlignment="1">
      <alignment vertical="center"/>
    </xf>
    <xf numFmtId="37" fontId="42" fillId="5" borderId="24" xfId="0" applyNumberFormat="1" applyFont="1" applyFill="1" applyBorder="1" applyAlignment="1">
      <alignment horizontal="center" vertical="center"/>
    </xf>
    <xf numFmtId="37" fontId="48" fillId="5" borderId="24" xfId="0" applyNumberFormat="1" applyFont="1" applyFill="1" applyBorder="1" applyAlignment="1">
      <alignment vertical="center"/>
    </xf>
    <xf numFmtId="37" fontId="40" fillId="5" borderId="25" xfId="0" applyNumberFormat="1" applyFont="1" applyFill="1" applyBorder="1" applyAlignment="1">
      <alignment vertical="center"/>
    </xf>
    <xf numFmtId="37" fontId="40" fillId="5" borderId="64" xfId="0" applyNumberFormat="1" applyFont="1" applyFill="1" applyBorder="1" applyAlignment="1">
      <alignment vertical="center"/>
    </xf>
    <xf numFmtId="37" fontId="46" fillId="0" borderId="0" xfId="0" applyNumberFormat="1" applyFont="1" applyAlignment="1">
      <alignment horizontal="center" vertical="center"/>
    </xf>
    <xf numFmtId="37" fontId="46" fillId="0" borderId="0" xfId="0" applyNumberFormat="1" applyFont="1" applyAlignment="1">
      <alignment vertical="center"/>
    </xf>
    <xf numFmtId="37" fontId="19" fillId="0" borderId="41" xfId="0" applyNumberFormat="1" applyFont="1" applyBorder="1" applyAlignment="1">
      <alignment vertical="center"/>
    </xf>
    <xf numFmtId="37" fontId="19" fillId="0" borderId="32" xfId="0" applyNumberFormat="1" applyFont="1" applyBorder="1" applyAlignment="1">
      <alignment horizontal="center" vertical="center"/>
    </xf>
    <xf numFmtId="37" fontId="49" fillId="0" borderId="41" xfId="0" applyNumberFormat="1" applyFont="1" applyBorder="1" applyAlignment="1">
      <alignment vertical="center"/>
    </xf>
    <xf numFmtId="37" fontId="19" fillId="0" borderId="40" xfId="0" applyNumberFormat="1" applyFont="1" applyBorder="1" applyAlignment="1">
      <alignment vertical="center"/>
    </xf>
    <xf numFmtId="37" fontId="19" fillId="0" borderId="0" xfId="0" quotePrefix="1" applyNumberFormat="1" applyFont="1" applyAlignment="1">
      <alignment vertical="center"/>
    </xf>
    <xf numFmtId="10" fontId="19" fillId="2" borderId="0" xfId="0" applyNumberFormat="1" applyFont="1" applyFill="1" applyAlignment="1">
      <alignment horizontal="center" vertical="center"/>
    </xf>
    <xf numFmtId="37" fontId="18" fillId="0" borderId="2" xfId="0" applyNumberFormat="1" applyFont="1" applyBorder="1" applyAlignment="1">
      <alignment horizontal="center" vertical="center"/>
    </xf>
    <xf numFmtId="37" fontId="18" fillId="0" borderId="35" xfId="0" applyNumberFormat="1" applyFont="1" applyBorder="1" applyAlignment="1">
      <alignment vertical="center"/>
    </xf>
    <xf numFmtId="37" fontId="18" fillId="0" borderId="24" xfId="0" applyNumberFormat="1" applyFont="1" applyBorder="1" applyAlignment="1">
      <alignment vertical="center"/>
    </xf>
    <xf numFmtId="37" fontId="18" fillId="0" borderId="37" xfId="0" applyNumberFormat="1" applyFont="1" applyBorder="1" applyAlignment="1">
      <alignment vertical="center"/>
    </xf>
    <xf numFmtId="37" fontId="18" fillId="2" borderId="37" xfId="0" applyNumberFormat="1" applyFont="1" applyFill="1" applyBorder="1" applyAlignment="1">
      <alignment vertical="center"/>
    </xf>
    <xf numFmtId="0" fontId="49" fillId="0" borderId="71" xfId="0" applyFont="1" applyBorder="1" applyAlignment="1">
      <alignment horizontal="center" vertical="center"/>
    </xf>
    <xf numFmtId="37" fontId="30" fillId="0" borderId="84" xfId="0" applyNumberFormat="1" applyFont="1" applyBorder="1" applyAlignment="1">
      <alignment horizontal="center" vertical="center"/>
    </xf>
    <xf numFmtId="37" fontId="19" fillId="0" borderId="0" xfId="0" quotePrefix="1" applyNumberFormat="1" applyFont="1" applyAlignment="1">
      <alignment horizontal="center" vertical="center"/>
    </xf>
    <xf numFmtId="37" fontId="19" fillId="0" borderId="40" xfId="0" applyNumberFormat="1" applyFont="1" applyBorder="1" applyAlignment="1">
      <alignment horizontal="center" vertical="center"/>
    </xf>
    <xf numFmtId="37" fontId="19" fillId="2" borderId="129" xfId="0" applyNumberFormat="1" applyFont="1" applyFill="1" applyBorder="1" applyAlignment="1">
      <alignment horizontal="center" vertical="center"/>
    </xf>
    <xf numFmtId="37" fontId="19" fillId="0" borderId="2" xfId="0" applyNumberFormat="1" applyFont="1" applyBorder="1" applyAlignment="1">
      <alignment horizontal="center" vertical="center"/>
    </xf>
    <xf numFmtId="37" fontId="19" fillId="0" borderId="35" xfId="0" applyNumberFormat="1" applyFont="1" applyBorder="1" applyAlignment="1">
      <alignment horizontal="center" vertical="center"/>
    </xf>
    <xf numFmtId="37" fontId="19" fillId="0" borderId="24" xfId="0" applyNumberFormat="1" applyFont="1" applyBorder="1" applyAlignment="1">
      <alignment horizontal="center" vertical="center"/>
    </xf>
    <xf numFmtId="37" fontId="19" fillId="0" borderId="37" xfId="0" applyNumberFormat="1" applyFont="1" applyBorder="1" applyAlignment="1">
      <alignment horizontal="center" vertical="center"/>
    </xf>
    <xf numFmtId="37" fontId="19" fillId="2" borderId="37" xfId="0" applyNumberFormat="1" applyFont="1" applyFill="1" applyBorder="1" applyAlignment="1">
      <alignment horizontal="center" vertical="center"/>
    </xf>
    <xf numFmtId="0" fontId="21" fillId="0" borderId="65" xfId="0" quotePrefix="1" applyFont="1" applyBorder="1" applyAlignment="1">
      <alignment vertical="center"/>
    </xf>
    <xf numFmtId="0" fontId="21" fillId="0" borderId="26" xfId="0" quotePrefix="1" applyFont="1" applyBorder="1" applyAlignment="1">
      <alignment vertical="center"/>
    </xf>
    <xf numFmtId="0" fontId="21" fillId="0" borderId="76" xfId="0" quotePrefix="1" applyFont="1" applyBorder="1" applyAlignment="1">
      <alignment vertical="center"/>
    </xf>
    <xf numFmtId="49" fontId="53" fillId="0" borderId="32" xfId="0" applyNumberFormat="1" applyFont="1" applyBorder="1" applyAlignment="1">
      <alignment horizontal="center" vertical="center" wrapText="1"/>
    </xf>
    <xf numFmtId="49" fontId="40" fillId="0" borderId="45" xfId="0" applyNumberFormat="1" applyFont="1" applyBorder="1" applyAlignment="1">
      <alignment horizontal="center" vertical="center"/>
    </xf>
    <xf numFmtId="49" fontId="40" fillId="0" borderId="45" xfId="0" applyNumberFormat="1" applyFont="1" applyBorder="1" applyAlignment="1">
      <alignment horizontal="centerContinuous" vertical="center"/>
    </xf>
    <xf numFmtId="49" fontId="53" fillId="0" borderId="44" xfId="0" applyNumberFormat="1" applyFont="1" applyBorder="1" applyAlignment="1">
      <alignment horizontal="center" vertical="center" wrapText="1"/>
    </xf>
    <xf numFmtId="49" fontId="40" fillId="0" borderId="48" xfId="0" applyNumberFormat="1" applyFont="1" applyBorder="1" applyAlignment="1">
      <alignment horizontal="center" vertical="center"/>
    </xf>
    <xf numFmtId="49" fontId="40" fillId="0" borderId="48" xfId="0" applyNumberFormat="1" applyFont="1" applyBorder="1" applyAlignment="1">
      <alignment horizontal="centerContinuous" vertical="center"/>
    </xf>
    <xf numFmtId="3" fontId="19" fillId="0" borderId="0" xfId="0" quotePrefix="1" applyNumberFormat="1" applyFont="1" applyAlignment="1">
      <alignment vertical="center"/>
    </xf>
    <xf numFmtId="0" fontId="19" fillId="0" borderId="26" xfId="0" quotePrefix="1" applyFont="1" applyBorder="1" applyAlignment="1">
      <alignment vertical="center"/>
    </xf>
    <xf numFmtId="0" fontId="19" fillId="4" borderId="0" xfId="0" applyFont="1" applyFill="1" applyAlignment="1">
      <alignment vertical="center"/>
    </xf>
    <xf numFmtId="37" fontId="18" fillId="5" borderId="24" xfId="0" applyNumberFormat="1" applyFont="1" applyFill="1" applyBorder="1" applyAlignment="1">
      <alignment vertical="center"/>
    </xf>
    <xf numFmtId="3" fontId="19" fillId="0" borderId="0" xfId="0" quotePrefix="1" applyNumberFormat="1" applyFont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19" fillId="0" borderId="26" xfId="0" quotePrefix="1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7" fontId="19" fillId="5" borderId="24" xfId="0" applyNumberFormat="1" applyFont="1" applyFill="1" applyBorder="1" applyAlignment="1">
      <alignment horizontal="center" vertical="center"/>
    </xf>
    <xf numFmtId="14" fontId="50" fillId="0" borderId="50" xfId="0" applyNumberFormat="1" applyFont="1" applyBorder="1" applyAlignment="1">
      <alignment horizontal="center" vertical="center"/>
    </xf>
    <xf numFmtId="0" fontId="18" fillId="5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37" fontId="73" fillId="10" borderId="0" xfId="0" applyNumberFormat="1" applyFont="1" applyFill="1" applyAlignment="1">
      <alignment vertical="center"/>
    </xf>
    <xf numFmtId="37" fontId="5" fillId="0" borderId="0" xfId="0" applyNumberFormat="1" applyFont="1" applyAlignment="1">
      <alignment vertical="center" wrapText="1"/>
    </xf>
    <xf numFmtId="0" fontId="18" fillId="7" borderId="109" xfId="0" applyFont="1" applyFill="1" applyBorder="1" applyAlignment="1">
      <alignment vertical="center" wrapText="1"/>
    </xf>
    <xf numFmtId="0" fontId="35" fillId="7" borderId="109" xfId="0" applyFont="1" applyFill="1" applyBorder="1" applyAlignment="1">
      <alignment horizontal="center" vertical="center"/>
    </xf>
    <xf numFmtId="37" fontId="21" fillId="5" borderId="96" xfId="0" applyNumberFormat="1" applyFont="1" applyFill="1" applyBorder="1" applyAlignment="1">
      <alignment horizontal="center" vertical="center"/>
    </xf>
    <xf numFmtId="37" fontId="41" fillId="0" borderId="109" xfId="0" applyNumberFormat="1" applyFont="1" applyBorder="1" applyAlignment="1">
      <alignment horizontal="center" vertical="center"/>
    </xf>
    <xf numFmtId="37" fontId="41" fillId="0" borderId="114" xfId="0" applyNumberFormat="1" applyFont="1" applyBorder="1" applyAlignment="1">
      <alignment horizontal="center" vertical="center"/>
    </xf>
    <xf numFmtId="37" fontId="41" fillId="0" borderId="56" xfId="0" applyNumberFormat="1" applyFont="1" applyBorder="1" applyAlignment="1">
      <alignment horizontal="center" vertical="center"/>
    </xf>
    <xf numFmtId="37" fontId="41" fillId="9" borderId="0" xfId="0" applyNumberFormat="1" applyFont="1" applyFill="1" applyAlignment="1">
      <alignment horizontal="center" vertical="center"/>
    </xf>
    <xf numFmtId="37" fontId="18" fillId="2" borderId="0" xfId="0" applyNumberFormat="1" applyFont="1" applyFill="1" applyAlignment="1">
      <alignment horizontal="center" vertical="center"/>
    </xf>
    <xf numFmtId="3" fontId="44" fillId="2" borderId="58" xfId="0" applyNumberFormat="1" applyFont="1" applyFill="1" applyBorder="1" applyAlignment="1">
      <alignment vertical="center" wrapText="1"/>
    </xf>
    <xf numFmtId="3" fontId="60" fillId="7" borderId="89" xfId="0" applyNumberFormat="1" applyFont="1" applyFill="1" applyBorder="1" applyAlignment="1">
      <alignment vertical="center"/>
    </xf>
    <xf numFmtId="3" fontId="19" fillId="0" borderId="89" xfId="0" applyNumberFormat="1" applyFont="1" applyBorder="1" applyAlignment="1">
      <alignment vertical="center"/>
    </xf>
    <xf numFmtId="167" fontId="66" fillId="0" borderId="0" xfId="2" applyNumberFormat="1" applyFont="1" applyBorder="1" applyAlignment="1">
      <alignment horizontal="centerContinuous" vertical="center"/>
    </xf>
    <xf numFmtId="167" fontId="45" fillId="2" borderId="0" xfId="0" applyNumberFormat="1" applyFont="1" applyFill="1" applyAlignment="1">
      <alignment horizontal="center" vertical="center"/>
    </xf>
    <xf numFmtId="0" fontId="18" fillId="7" borderId="109" xfId="0" applyFont="1" applyFill="1" applyBorder="1" applyAlignment="1">
      <alignment horizontal="center" vertical="center"/>
    </xf>
    <xf numFmtId="37" fontId="63" fillId="9" borderId="0" xfId="0" applyNumberFormat="1" applyFont="1" applyFill="1" applyAlignment="1">
      <alignment vertical="center"/>
    </xf>
    <xf numFmtId="37" fontId="60" fillId="9" borderId="0" xfId="0" applyNumberFormat="1" applyFont="1" applyFill="1" applyAlignment="1">
      <alignment vertical="center"/>
    </xf>
    <xf numFmtId="37" fontId="60" fillId="9" borderId="0" xfId="0" applyNumberFormat="1" applyFont="1" applyFill="1" applyAlignment="1">
      <alignment vertical="center" wrapText="1"/>
    </xf>
    <xf numFmtId="3" fontId="60" fillId="4" borderId="0" xfId="0" applyNumberFormat="1" applyFont="1" applyFill="1" applyAlignment="1">
      <alignment horizontal="center" vertical="center"/>
    </xf>
    <xf numFmtId="37" fontId="44" fillId="0" borderId="0" xfId="0" quotePrefix="1" applyNumberFormat="1" applyFont="1" applyAlignment="1">
      <alignment vertical="center"/>
    </xf>
    <xf numFmtId="37" fontId="94" fillId="0" borderId="0" xfId="0" applyNumberFormat="1" applyFont="1" applyAlignment="1">
      <alignment horizontal="center" vertical="center" wrapText="1"/>
    </xf>
    <xf numFmtId="3" fontId="44" fillId="2" borderId="39" xfId="0" quotePrefix="1" applyNumberFormat="1" applyFont="1" applyFill="1" applyBorder="1" applyAlignment="1">
      <alignment horizontal="left" vertical="center"/>
    </xf>
    <xf numFmtId="3" fontId="44" fillId="2" borderId="54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3" fontId="9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left" vertical="center"/>
    </xf>
    <xf numFmtId="3" fontId="24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3" fontId="24" fillId="2" borderId="0" xfId="0" applyNumberFormat="1" applyFont="1" applyFill="1" applyAlignment="1">
      <alignment vertical="center"/>
    </xf>
    <xf numFmtId="3" fontId="35" fillId="5" borderId="0" xfId="0" applyNumberFormat="1" applyFont="1" applyFill="1" applyAlignment="1">
      <alignment vertical="center"/>
    </xf>
    <xf numFmtId="3" fontId="44" fillId="5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center" vertical="center"/>
    </xf>
    <xf numFmtId="37" fontId="35" fillId="5" borderId="0" xfId="0" applyNumberFormat="1" applyFont="1" applyFill="1" applyAlignment="1">
      <alignment vertical="center"/>
    </xf>
    <xf numFmtId="3" fontId="44" fillId="12" borderId="109" xfId="0" applyNumberFormat="1" applyFont="1" applyFill="1" applyBorder="1" applyAlignment="1">
      <alignment vertical="center" wrapText="1"/>
    </xf>
    <xf numFmtId="3" fontId="44" fillId="12" borderId="109" xfId="0" applyNumberFormat="1" applyFont="1" applyFill="1" applyBorder="1" applyAlignment="1">
      <alignment vertical="center"/>
    </xf>
    <xf numFmtId="3" fontId="9" fillId="2" borderId="0" xfId="0" applyNumberFormat="1" applyFont="1" applyFill="1" applyAlignment="1">
      <alignment horizontal="right" vertical="center"/>
    </xf>
    <xf numFmtId="3" fontId="35" fillId="2" borderId="48" xfId="0" applyNumberFormat="1" applyFont="1" applyFill="1" applyBorder="1" applyAlignment="1">
      <alignment vertical="center" wrapText="1"/>
    </xf>
    <xf numFmtId="0" fontId="61" fillId="5" borderId="45" xfId="0" applyFont="1" applyFill="1" applyBorder="1" applyAlignment="1">
      <alignment vertical="center"/>
    </xf>
    <xf numFmtId="3" fontId="35" fillId="5" borderId="0" xfId="0" applyNumberFormat="1" applyFont="1" applyFill="1" applyAlignment="1">
      <alignment vertical="center" wrapText="1"/>
    </xf>
    <xf numFmtId="3" fontId="61" fillId="5" borderId="0" xfId="0" applyNumberFormat="1" applyFont="1" applyFill="1" applyAlignment="1">
      <alignment vertical="center" wrapText="1"/>
    </xf>
    <xf numFmtId="3" fontId="9" fillId="2" borderId="45" xfId="0" applyNumberFormat="1" applyFont="1" applyFill="1" applyBorder="1" applyAlignment="1">
      <alignment vertical="center"/>
    </xf>
    <xf numFmtId="3" fontId="9" fillId="2" borderId="48" xfId="0" applyNumberFormat="1" applyFont="1" applyFill="1" applyBorder="1" applyAlignment="1">
      <alignment horizontal="right" vertical="center"/>
    </xf>
    <xf numFmtId="3" fontId="16" fillId="2" borderId="45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3" fontId="16" fillId="2" borderId="48" xfId="0" applyNumberFormat="1" applyFont="1" applyFill="1" applyBorder="1" applyAlignment="1">
      <alignment horizontal="center" vertical="center"/>
    </xf>
    <xf numFmtId="3" fontId="16" fillId="4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15" fontId="16" fillId="2" borderId="0" xfId="0" applyNumberFormat="1" applyFont="1" applyFill="1" applyAlignment="1">
      <alignment horizontal="center" vertical="center"/>
    </xf>
    <xf numFmtId="3" fontId="16" fillId="2" borderId="48" xfId="0" applyNumberFormat="1" applyFont="1" applyFill="1" applyBorder="1" applyAlignment="1">
      <alignment vertical="center"/>
    </xf>
    <xf numFmtId="3" fontId="9" fillId="2" borderId="45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3" fontId="9" fillId="2" borderId="48" xfId="0" applyNumberFormat="1" applyFont="1" applyFill="1" applyBorder="1" applyAlignment="1">
      <alignment horizontal="center" vertical="center"/>
    </xf>
    <xf numFmtId="3" fontId="9" fillId="2" borderId="48" xfId="0" applyNumberFormat="1" applyFont="1" applyFill="1" applyBorder="1" applyAlignment="1">
      <alignment vertical="center" wrapText="1"/>
    </xf>
    <xf numFmtId="3" fontId="9" fillId="2" borderId="141" xfId="0" applyNumberFormat="1" applyFont="1" applyFill="1" applyBorder="1" applyAlignment="1">
      <alignment vertical="center"/>
    </xf>
    <xf numFmtId="3" fontId="9" fillId="2" borderId="70" xfId="0" applyNumberFormat="1" applyFont="1" applyFill="1" applyBorder="1" applyAlignment="1">
      <alignment horizontal="center" vertical="center"/>
    </xf>
    <xf numFmtId="9" fontId="9" fillId="2" borderId="70" xfId="0" applyNumberFormat="1" applyFont="1" applyFill="1" applyBorder="1" applyAlignment="1">
      <alignment horizontal="center" vertical="center"/>
    </xf>
    <xf numFmtId="3" fontId="9" fillId="2" borderId="70" xfId="0" applyNumberFormat="1" applyFont="1" applyFill="1" applyBorder="1" applyAlignment="1">
      <alignment vertical="center"/>
    </xf>
    <xf numFmtId="3" fontId="9" fillId="2" borderId="142" xfId="0" applyNumberFormat="1" applyFont="1" applyFill="1" applyBorder="1" applyAlignment="1">
      <alignment vertical="center" wrapText="1"/>
    </xf>
    <xf numFmtId="3" fontId="12" fillId="2" borderId="0" xfId="0" applyNumberFormat="1" applyFont="1" applyFill="1" applyAlignment="1">
      <alignment vertical="center"/>
    </xf>
    <xf numFmtId="3" fontId="15" fillId="2" borderId="141" xfId="0" applyNumberFormat="1" applyFont="1" applyFill="1" applyBorder="1" applyAlignment="1" applyProtection="1">
      <alignment vertical="center"/>
      <protection locked="0"/>
    </xf>
    <xf numFmtId="3" fontId="15" fillId="2" borderId="142" xfId="0" applyNumberFormat="1" applyFont="1" applyFill="1" applyBorder="1" applyAlignment="1" applyProtection="1">
      <alignment horizontal="right" vertical="center"/>
      <protection locked="0"/>
    </xf>
    <xf numFmtId="37" fontId="61" fillId="2" borderId="1" xfId="0" applyNumberFormat="1" applyFont="1" applyFill="1" applyBorder="1" applyAlignment="1">
      <alignment vertical="center"/>
    </xf>
    <xf numFmtId="10" fontId="61" fillId="0" borderId="0" xfId="1" applyNumberFormat="1" applyFont="1" applyAlignment="1">
      <alignment vertical="center"/>
    </xf>
    <xf numFmtId="37" fontId="40" fillId="0" borderId="0" xfId="0" applyNumberFormat="1" applyFont="1" applyAlignment="1">
      <alignment horizontal="centerContinuous" vertical="center"/>
    </xf>
    <xf numFmtId="3" fontId="41" fillId="0" borderId="109" xfId="0" applyNumberFormat="1" applyFont="1" applyBorder="1" applyAlignment="1">
      <alignment vertical="center"/>
    </xf>
    <xf numFmtId="3" fontId="18" fillId="0" borderId="109" xfId="0" applyNumberFormat="1" applyFont="1" applyBorder="1" applyAlignment="1">
      <alignment vertical="center"/>
    </xf>
    <xf numFmtId="3" fontId="53" fillId="0" borderId="129" xfId="0" applyNumberFormat="1" applyFont="1" applyBorder="1" applyAlignment="1">
      <alignment horizontal="center" vertical="center" wrapText="1"/>
    </xf>
    <xf numFmtId="37" fontId="41" fillId="0" borderId="129" xfId="0" applyNumberFormat="1" applyFont="1" applyBorder="1" applyAlignment="1">
      <alignment horizontal="center" vertical="center" wrapText="1"/>
    </xf>
    <xf numFmtId="3" fontId="62" fillId="0" borderId="129" xfId="0" applyNumberFormat="1" applyFont="1" applyBorder="1" applyAlignment="1">
      <alignment horizontal="center" vertical="center" wrapText="1"/>
    </xf>
    <xf numFmtId="37" fontId="19" fillId="0" borderId="129" xfId="0" applyNumberFormat="1" applyFont="1" applyBorder="1" applyAlignment="1">
      <alignment horizontal="center" vertical="center" wrapText="1"/>
    </xf>
    <xf numFmtId="3" fontId="19" fillId="0" borderId="109" xfId="0" applyNumberFormat="1" applyFont="1" applyBorder="1" applyAlignment="1">
      <alignment vertical="center"/>
    </xf>
    <xf numFmtId="37" fontId="61" fillId="0" borderId="3" xfId="0" applyNumberFormat="1" applyFont="1" applyBorder="1" applyAlignment="1">
      <alignment vertical="center"/>
    </xf>
    <xf numFmtId="4" fontId="19" fillId="0" borderId="109" xfId="0" applyNumberFormat="1" applyFont="1" applyBorder="1" applyAlignment="1">
      <alignment vertical="center"/>
    </xf>
    <xf numFmtId="3" fontId="44" fillId="2" borderId="129" xfId="0" quotePrefix="1" applyNumberFormat="1" applyFont="1" applyFill="1" applyBorder="1" applyAlignment="1">
      <alignment horizontal="center" vertical="center"/>
    </xf>
    <xf numFmtId="3" fontId="44" fillId="2" borderId="129" xfId="0" applyNumberFormat="1" applyFont="1" applyFill="1" applyBorder="1" applyAlignment="1">
      <alignment horizontal="center" vertical="center"/>
    </xf>
    <xf numFmtId="3" fontId="44" fillId="11" borderId="0" xfId="0" applyNumberFormat="1" applyFont="1" applyFill="1" applyAlignment="1">
      <alignment vertical="center"/>
    </xf>
    <xf numFmtId="37" fontId="10" fillId="2" borderId="0" xfId="0" applyNumberFormat="1" applyFont="1" applyFill="1" applyAlignment="1">
      <alignment horizontal="center" vertical="center"/>
    </xf>
    <xf numFmtId="37" fontId="82" fillId="2" borderId="0" xfId="0" applyNumberFormat="1" applyFont="1" applyFill="1" applyAlignment="1">
      <alignment horizontal="center" vertical="center"/>
    </xf>
    <xf numFmtId="37" fontId="81" fillId="2" borderId="0" xfId="0" applyNumberFormat="1" applyFont="1" applyFill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27" fillId="0" borderId="0" xfId="0" applyNumberFormat="1" applyFont="1" applyAlignment="1">
      <alignment horizontal="center" vertical="center"/>
    </xf>
    <xf numFmtId="37" fontId="35" fillId="2" borderId="0" xfId="0" applyNumberFormat="1" applyFont="1" applyFill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3" fontId="22" fillId="0" borderId="22" xfId="0" applyNumberFormat="1" applyFont="1" applyBorder="1" applyAlignment="1">
      <alignment horizontal="center" vertical="center"/>
    </xf>
    <xf numFmtId="37" fontId="20" fillId="2" borderId="0" xfId="0" applyNumberFormat="1" applyFont="1" applyFill="1" applyAlignment="1">
      <alignment horizontal="center" vertical="center"/>
    </xf>
    <xf numFmtId="37" fontId="61" fillId="2" borderId="0" xfId="0" applyNumberFormat="1" applyFont="1" applyFill="1" applyAlignment="1">
      <alignment horizontal="center" vertical="center"/>
    </xf>
    <xf numFmtId="37" fontId="18" fillId="2" borderId="2" xfId="0" applyNumberFormat="1" applyFont="1" applyFill="1" applyBorder="1" applyAlignment="1">
      <alignment horizontal="center" vertical="center"/>
    </xf>
    <xf numFmtId="37" fontId="35" fillId="2" borderId="2" xfId="0" applyNumberFormat="1" applyFont="1" applyFill="1" applyBorder="1" applyAlignment="1">
      <alignment horizontal="center" vertical="center"/>
    </xf>
    <xf numFmtId="3" fontId="22" fillId="0" borderId="2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3" fontId="18" fillId="0" borderId="6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3" fontId="18" fillId="0" borderId="23" xfId="0" applyNumberFormat="1" applyFont="1" applyBorder="1" applyAlignment="1">
      <alignment horizontal="center" vertical="center"/>
    </xf>
    <xf numFmtId="37" fontId="35" fillId="4" borderId="0" xfId="0" applyNumberFormat="1" applyFont="1" applyFill="1" applyAlignment="1">
      <alignment horizontal="center" vertical="center"/>
    </xf>
    <xf numFmtId="3" fontId="68" fillId="0" borderId="0" xfId="0" quotePrefix="1" applyNumberFormat="1" applyFont="1" applyAlignment="1">
      <alignment vertical="center"/>
    </xf>
    <xf numFmtId="37" fontId="68" fillId="0" borderId="0" xfId="0" quotePrefix="1" applyNumberFormat="1" applyFont="1" applyAlignment="1">
      <alignment vertical="center"/>
    </xf>
    <xf numFmtId="37" fontId="17" fillId="0" borderId="32" xfId="0" applyNumberFormat="1" applyFont="1" applyBorder="1" applyAlignment="1">
      <alignment vertical="center" wrapText="1"/>
    </xf>
    <xf numFmtId="3" fontId="76" fillId="0" borderId="8" xfId="0" applyNumberFormat="1" applyFont="1" applyBorder="1"/>
    <xf numFmtId="3" fontId="9" fillId="0" borderId="7" xfId="0" applyNumberFormat="1" applyFont="1" applyBorder="1" applyAlignment="1">
      <alignment vertical="center"/>
    </xf>
    <xf numFmtId="3" fontId="9" fillId="0" borderId="8" xfId="0" applyNumberFormat="1" applyFont="1" applyBorder="1" applyAlignment="1">
      <alignment vertical="center"/>
    </xf>
    <xf numFmtId="3" fontId="9" fillId="0" borderId="85" xfId="0" applyNumberFormat="1" applyFont="1" applyBorder="1" applyAlignment="1">
      <alignment vertical="center"/>
    </xf>
    <xf numFmtId="3" fontId="80" fillId="0" borderId="7" xfId="0" applyNumberFormat="1" applyFont="1" applyBorder="1" applyAlignment="1">
      <alignment vertical="center"/>
    </xf>
    <xf numFmtId="3" fontId="80" fillId="4" borderId="7" xfId="0" applyNumberFormat="1" applyFont="1" applyFill="1" applyBorder="1" applyAlignment="1">
      <alignment vertical="center"/>
    </xf>
    <xf numFmtId="3" fontId="9" fillId="0" borderId="5" xfId="0" applyNumberFormat="1" applyFont="1" applyBorder="1" applyAlignment="1">
      <alignment vertical="center"/>
    </xf>
    <xf numFmtId="3" fontId="20" fillId="0" borderId="7" xfId="0" quotePrefix="1" applyNumberFormat="1" applyFont="1" applyBorder="1" applyAlignment="1">
      <alignment vertical="center"/>
    </xf>
    <xf numFmtId="3" fontId="9" fillId="2" borderId="7" xfId="0" applyNumberFormat="1" applyFont="1" applyFill="1" applyBorder="1" applyAlignment="1">
      <alignment vertical="center"/>
    </xf>
    <xf numFmtId="3" fontId="80" fillId="0" borderId="8" xfId="0" applyNumberFormat="1" applyFont="1" applyBorder="1" applyAlignment="1">
      <alignment vertical="center"/>
    </xf>
    <xf numFmtId="3" fontId="21" fillId="0" borderId="3" xfId="0" applyNumberFormat="1" applyFont="1" applyBorder="1" applyAlignment="1">
      <alignment vertical="center"/>
    </xf>
    <xf numFmtId="3" fontId="80" fillId="0" borderId="3" xfId="0" applyNumberFormat="1" applyFont="1" applyBorder="1" applyAlignment="1">
      <alignment vertical="center"/>
    </xf>
    <xf numFmtId="3" fontId="9" fillId="2" borderId="61" xfId="0" applyNumberFormat="1" applyFont="1" applyFill="1" applyBorder="1" applyAlignment="1">
      <alignment vertical="center"/>
    </xf>
    <xf numFmtId="3" fontId="21" fillId="0" borderId="61" xfId="0" applyNumberFormat="1" applyFont="1" applyBorder="1" applyAlignment="1">
      <alignment vertical="center"/>
    </xf>
    <xf numFmtId="3" fontId="21" fillId="0" borderId="5" xfId="0" applyNumberFormat="1" applyFont="1" applyBorder="1" applyAlignment="1">
      <alignment vertical="center"/>
    </xf>
    <xf numFmtId="39" fontId="41" fillId="0" borderId="0" xfId="0" applyNumberFormat="1" applyFont="1" applyAlignment="1">
      <alignment horizontal="center" vertical="center" wrapText="1"/>
    </xf>
    <xf numFmtId="39" fontId="19" fillId="0" borderId="0" xfId="0" applyNumberFormat="1" applyFont="1" applyAlignment="1">
      <alignment vertical="center"/>
    </xf>
    <xf numFmtId="3" fontId="9" fillId="0" borderId="3" xfId="0" applyNumberFormat="1" applyFont="1" applyBorder="1" applyAlignment="1">
      <alignment vertical="center" wrapText="1"/>
    </xf>
    <xf numFmtId="3" fontId="44" fillId="0" borderId="0" xfId="0" applyNumberFormat="1" applyFont="1" applyAlignment="1">
      <alignment vertical="center" wrapText="1"/>
    </xf>
    <xf numFmtId="3" fontId="44" fillId="0" borderId="2" xfId="0" applyNumberFormat="1" applyFont="1" applyBorder="1" applyAlignment="1">
      <alignment vertical="center"/>
    </xf>
    <xf numFmtId="3" fontId="21" fillId="0" borderId="112" xfId="0" applyNumberFormat="1" applyFont="1" applyBorder="1" applyAlignment="1">
      <alignment vertical="center"/>
    </xf>
    <xf numFmtId="3" fontId="44" fillId="0" borderId="99" xfId="0" applyNumberFormat="1" applyFont="1" applyBorder="1" applyAlignment="1">
      <alignment vertical="center"/>
    </xf>
    <xf numFmtId="3" fontId="41" fillId="5" borderId="109" xfId="0" applyNumberFormat="1" applyFont="1" applyFill="1" applyBorder="1" applyAlignment="1">
      <alignment vertical="center"/>
    </xf>
    <xf numFmtId="3" fontId="19" fillId="5" borderId="109" xfId="0" applyNumberFormat="1" applyFont="1" applyFill="1" applyBorder="1" applyAlignment="1">
      <alignment vertical="center"/>
    </xf>
    <xf numFmtId="37" fontId="49" fillId="5" borderId="109" xfId="0" applyNumberFormat="1" applyFont="1" applyFill="1" applyBorder="1" applyAlignment="1">
      <alignment horizontal="center" vertical="center"/>
    </xf>
    <xf numFmtId="4" fontId="19" fillId="5" borderId="109" xfId="0" applyNumberFormat="1" applyFont="1" applyFill="1" applyBorder="1" applyAlignment="1">
      <alignment vertical="center"/>
    </xf>
    <xf numFmtId="3" fontId="41" fillId="0" borderId="0" xfId="0" quotePrefix="1" applyNumberFormat="1" applyFont="1" applyAlignment="1">
      <alignment horizontal="center" vertical="center"/>
    </xf>
    <xf numFmtId="3" fontId="45" fillId="2" borderId="0" xfId="0" applyNumberFormat="1" applyFont="1" applyFill="1" applyAlignment="1">
      <alignment horizontal="center" vertical="center"/>
    </xf>
    <xf numFmtId="9" fontId="41" fillId="0" borderId="70" xfId="0" quotePrefix="1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37" fontId="41" fillId="2" borderId="27" xfId="0" applyNumberFormat="1" applyFont="1" applyFill="1" applyBorder="1" applyAlignment="1">
      <alignment horizontal="center" vertical="center"/>
    </xf>
    <xf numFmtId="3" fontId="41" fillId="4" borderId="0" xfId="0" applyNumberFormat="1" applyFont="1" applyFill="1" applyAlignment="1">
      <alignment horizontal="center" vertical="center"/>
    </xf>
    <xf numFmtId="49" fontId="19" fillId="2" borderId="0" xfId="0" applyNumberFormat="1" applyFont="1" applyFill="1" applyAlignment="1">
      <alignment horizontal="center" vertical="center"/>
    </xf>
    <xf numFmtId="0" fontId="19" fillId="0" borderId="70" xfId="0" applyFont="1" applyBorder="1" applyAlignment="1">
      <alignment vertical="center"/>
    </xf>
    <xf numFmtId="49" fontId="19" fillId="0" borderId="48" xfId="0" applyNumberFormat="1" applyFont="1" applyBorder="1" applyAlignment="1">
      <alignment horizontal="center" vertical="center"/>
    </xf>
    <xf numFmtId="49" fontId="19" fillId="0" borderId="48" xfId="0" applyNumberFormat="1" applyFont="1" applyBorder="1" applyAlignment="1">
      <alignment horizontal="centerContinuous" vertical="center"/>
    </xf>
    <xf numFmtId="37" fontId="19" fillId="0" borderId="110" xfId="0" applyNumberFormat="1" applyFont="1" applyBorder="1" applyAlignment="1">
      <alignment horizontal="center" vertical="center"/>
    </xf>
    <xf numFmtId="37" fontId="19" fillId="2" borderId="103" xfId="0" applyNumberFormat="1" applyFont="1" applyFill="1" applyBorder="1" applyAlignment="1">
      <alignment horizontal="center" vertical="center"/>
    </xf>
    <xf numFmtId="49" fontId="19" fillId="4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37" fontId="19" fillId="0" borderId="86" xfId="0" applyNumberFormat="1" applyFont="1" applyBorder="1" applyAlignment="1">
      <alignment horizontal="center" vertical="center"/>
    </xf>
    <xf numFmtId="37" fontId="19" fillId="0" borderId="103" xfId="0" applyNumberFormat="1" applyFont="1" applyBorder="1" applyAlignment="1">
      <alignment horizontal="center" vertical="center"/>
    </xf>
    <xf numFmtId="3" fontId="44" fillId="0" borderId="62" xfId="0" applyNumberFormat="1" applyFont="1" applyBorder="1" applyAlignment="1">
      <alignment vertical="center"/>
    </xf>
    <xf numFmtId="3" fontId="37" fillId="5" borderId="43" xfId="0" applyNumberFormat="1" applyFont="1" applyFill="1" applyBorder="1" applyAlignment="1">
      <alignment horizontal="center" vertical="center" wrapText="1"/>
    </xf>
    <xf numFmtId="39" fontId="61" fillId="0" borderId="0" xfId="0" applyNumberFormat="1" applyFont="1" applyAlignment="1">
      <alignment vertical="center"/>
    </xf>
    <xf numFmtId="3" fontId="21" fillId="0" borderId="143" xfId="0" applyNumberFormat="1" applyFont="1" applyBorder="1" applyAlignment="1">
      <alignment vertical="center"/>
    </xf>
    <xf numFmtId="3" fontId="18" fillId="0" borderId="144" xfId="0" applyNumberFormat="1" applyFont="1" applyBorder="1" applyAlignment="1">
      <alignment horizontal="center" vertical="center"/>
    </xf>
    <xf numFmtId="37" fontId="21" fillId="0" borderId="144" xfId="0" applyNumberFormat="1" applyFont="1" applyBorder="1" applyAlignment="1">
      <alignment vertical="center"/>
    </xf>
    <xf numFmtId="37" fontId="19" fillId="0" borderId="144" xfId="0" applyNumberFormat="1" applyFont="1" applyBorder="1" applyAlignment="1">
      <alignment vertical="center"/>
    </xf>
    <xf numFmtId="37" fontId="34" fillId="0" borderId="144" xfId="0" applyNumberFormat="1" applyFont="1" applyBorder="1" applyAlignment="1">
      <alignment vertical="center"/>
    </xf>
    <xf numFmtId="37" fontId="20" fillId="0" borderId="144" xfId="0" applyNumberFormat="1" applyFont="1" applyBorder="1" applyAlignment="1">
      <alignment vertical="center"/>
    </xf>
    <xf numFmtId="37" fontId="19" fillId="0" borderId="145" xfId="0" applyNumberFormat="1" applyFont="1" applyBorder="1" applyAlignment="1">
      <alignment vertical="center"/>
    </xf>
    <xf numFmtId="3" fontId="44" fillId="2" borderId="89" xfId="0" applyNumberFormat="1" applyFont="1" applyFill="1" applyBorder="1" applyAlignment="1">
      <alignment vertical="center" wrapText="1"/>
    </xf>
    <xf numFmtId="0" fontId="18" fillId="17" borderId="147" xfId="0" applyFont="1" applyFill="1" applyBorder="1" applyAlignment="1">
      <alignment vertical="center" wrapText="1"/>
    </xf>
    <xf numFmtId="37" fontId="9" fillId="0" borderId="109" xfId="0" applyNumberFormat="1" applyFont="1" applyBorder="1" applyAlignment="1">
      <alignment vertical="center"/>
    </xf>
    <xf numFmtId="37" fontId="88" fillId="0" borderId="109" xfId="0" applyNumberFormat="1" applyFont="1" applyBorder="1" applyAlignment="1">
      <alignment vertical="center"/>
    </xf>
    <xf numFmtId="37" fontId="89" fillId="0" borderId="109" xfId="0" applyNumberFormat="1" applyFont="1" applyBorder="1" applyAlignment="1">
      <alignment vertical="center"/>
    </xf>
    <xf numFmtId="37" fontId="35" fillId="0" borderId="107" xfId="0" applyNumberFormat="1" applyFont="1" applyBorder="1" applyAlignment="1">
      <alignment horizontal="center" vertical="center"/>
    </xf>
    <xf numFmtId="37" fontId="35" fillId="0" borderId="29" xfId="0" applyNumberFormat="1" applyFont="1" applyBorder="1" applyAlignment="1">
      <alignment horizontal="center" vertical="center"/>
    </xf>
    <xf numFmtId="37" fontId="50" fillId="0" borderId="131" xfId="0" applyNumberFormat="1" applyFont="1" applyBorder="1" applyAlignment="1">
      <alignment horizontal="center" vertical="center"/>
    </xf>
    <xf numFmtId="37" fontId="19" fillId="0" borderId="131" xfId="0" applyNumberFormat="1" applyFont="1" applyBorder="1" applyAlignment="1">
      <alignment horizontal="center" vertical="center"/>
    </xf>
    <xf numFmtId="14" fontId="19" fillId="0" borderId="131" xfId="0" applyNumberFormat="1" applyFont="1" applyBorder="1" applyAlignment="1">
      <alignment horizontal="center" vertical="center"/>
    </xf>
    <xf numFmtId="37" fontId="19" fillId="0" borderId="132" xfId="0" applyNumberFormat="1" applyFont="1" applyBorder="1" applyAlignment="1">
      <alignment horizontal="center" vertical="center"/>
    </xf>
    <xf numFmtId="3" fontId="44" fillId="0" borderId="130" xfId="0" applyNumberFormat="1" applyFont="1" applyBorder="1" applyAlignment="1">
      <alignment vertical="center"/>
    </xf>
    <xf numFmtId="3" fontId="44" fillId="0" borderId="133" xfId="0" applyNumberFormat="1" applyFont="1" applyBorder="1" applyAlignment="1">
      <alignment vertical="center"/>
    </xf>
    <xf numFmtId="37" fontId="44" fillId="0" borderId="88" xfId="0" applyNumberFormat="1" applyFont="1" applyBorder="1" applyAlignment="1">
      <alignment horizontal="center" vertical="center"/>
    </xf>
    <xf numFmtId="0" fontId="5" fillId="0" borderId="147" xfId="0" applyFont="1" applyBorder="1" applyAlignment="1">
      <alignment vertical="center" wrapText="1"/>
    </xf>
    <xf numFmtId="37" fontId="50" fillId="0" borderId="147" xfId="0" applyNumberFormat="1" applyFont="1" applyBorder="1" applyAlignment="1">
      <alignment horizontal="center" vertical="center"/>
    </xf>
    <xf numFmtId="37" fontId="8" fillId="0" borderId="147" xfId="0" applyNumberFormat="1" applyFont="1" applyBorder="1" applyAlignment="1">
      <alignment horizontal="center" vertical="center"/>
    </xf>
    <xf numFmtId="14" fontId="8" fillId="0" borderId="147" xfId="0" applyNumberFormat="1" applyFont="1" applyBorder="1" applyAlignment="1">
      <alignment horizontal="center" vertical="center"/>
    </xf>
    <xf numFmtId="37" fontId="44" fillId="0" borderId="146" xfId="0" applyNumberFormat="1" applyFont="1" applyBorder="1" applyAlignment="1">
      <alignment vertical="center"/>
    </xf>
    <xf numFmtId="37" fontId="44" fillId="0" borderId="149" xfId="0" applyNumberFormat="1" applyFont="1" applyBorder="1" applyAlignment="1">
      <alignment vertical="center"/>
    </xf>
    <xf numFmtId="0" fontId="4" fillId="0" borderId="109" xfId="0" applyFont="1" applyBorder="1" applyAlignment="1">
      <alignment vertical="center" wrapText="1"/>
    </xf>
    <xf numFmtId="37" fontId="44" fillId="0" borderId="115" xfId="0" applyNumberFormat="1" applyFont="1" applyBorder="1" applyAlignment="1">
      <alignment vertical="center" wrapText="1"/>
    </xf>
    <xf numFmtId="37" fontId="9" fillId="0" borderId="3" xfId="0" applyNumberFormat="1" applyFont="1" applyBorder="1" applyAlignment="1">
      <alignment vertical="center" wrapText="1"/>
    </xf>
    <xf numFmtId="0" fontId="3" fillId="0" borderId="109" xfId="0" applyFont="1" applyBorder="1" applyAlignment="1">
      <alignment vertical="center" wrapText="1"/>
    </xf>
    <xf numFmtId="37" fontId="44" fillId="0" borderId="23" xfId="0" applyNumberFormat="1" applyFont="1" applyBorder="1" applyAlignment="1">
      <alignment vertical="center"/>
    </xf>
    <xf numFmtId="0" fontId="5" fillId="0" borderId="109" xfId="0" quotePrefix="1" applyFont="1" applyBorder="1" applyAlignment="1">
      <alignment vertical="center" wrapText="1"/>
    </xf>
    <xf numFmtId="3" fontId="17" fillId="5" borderId="0" xfId="0" applyNumberFormat="1" applyFont="1" applyFill="1" applyAlignment="1">
      <alignment horizontal="center" vertical="center" wrapText="1"/>
    </xf>
    <xf numFmtId="10" fontId="24" fillId="5" borderId="0" xfId="1" applyNumberFormat="1" applyFont="1" applyFill="1" applyAlignment="1">
      <alignment horizontal="center" vertical="center"/>
    </xf>
    <xf numFmtId="37" fontId="5" fillId="0" borderId="114" xfId="0" applyNumberFormat="1" applyFont="1" applyBorder="1" applyAlignment="1">
      <alignment horizontal="right" vertical="center"/>
    </xf>
    <xf numFmtId="0" fontId="35" fillId="0" borderId="118" xfId="0" applyFont="1" applyBorder="1" applyAlignment="1">
      <alignment horizontal="center" vertical="center"/>
    </xf>
    <xf numFmtId="37" fontId="45" fillId="0" borderId="103" xfId="0" applyNumberFormat="1" applyFont="1" applyBorder="1" applyAlignment="1">
      <alignment vertical="center"/>
    </xf>
    <xf numFmtId="37" fontId="35" fillId="0" borderId="29" xfId="0" applyNumberFormat="1" applyFont="1" applyBorder="1" applyAlignment="1">
      <alignment vertical="center"/>
    </xf>
    <xf numFmtId="37" fontId="35" fillId="5" borderId="109" xfId="0" applyNumberFormat="1" applyFont="1" applyFill="1" applyBorder="1" applyAlignment="1">
      <alignment vertical="center"/>
    </xf>
    <xf numFmtId="37" fontId="35" fillId="0" borderId="109" xfId="0" quotePrefix="1" applyNumberFormat="1" applyFont="1" applyBorder="1" applyAlignment="1">
      <alignment vertical="center"/>
    </xf>
    <xf numFmtId="37" fontId="35" fillId="0" borderId="29" xfId="0" applyNumberFormat="1" applyFont="1" applyBorder="1" applyAlignment="1">
      <alignment horizontal="right" vertical="center"/>
    </xf>
    <xf numFmtId="37" fontId="35" fillId="0" borderId="147" xfId="0" applyNumberFormat="1" applyFont="1" applyBorder="1" applyAlignment="1">
      <alignment horizontal="right" vertical="center"/>
    </xf>
    <xf numFmtId="37" fontId="35" fillId="0" borderId="4" xfId="0" applyNumberFormat="1" applyFont="1" applyBorder="1" applyAlignment="1">
      <alignment horizontal="right" vertical="center"/>
    </xf>
    <xf numFmtId="0" fontId="18" fillId="0" borderId="147" xfId="0" applyFont="1" applyBorder="1" applyAlignment="1">
      <alignment vertical="center" wrapText="1"/>
    </xf>
    <xf numFmtId="37" fontId="18" fillId="0" borderId="147" xfId="0" applyNumberFormat="1" applyFont="1" applyBorder="1" applyAlignment="1">
      <alignment vertical="center"/>
    </xf>
    <xf numFmtId="37" fontId="61" fillId="0" borderId="147" xfId="0" applyNumberFormat="1" applyFont="1" applyBorder="1" applyAlignment="1">
      <alignment horizontal="center" vertical="center"/>
    </xf>
    <xf numFmtId="37" fontId="43" fillId="0" borderId="147" xfId="0" applyNumberFormat="1" applyFont="1" applyBorder="1" applyAlignment="1">
      <alignment vertical="center"/>
    </xf>
    <xf numFmtId="37" fontId="44" fillId="0" borderId="147" xfId="0" applyNumberFormat="1" applyFont="1" applyBorder="1" applyAlignment="1">
      <alignment horizontal="center" vertical="center"/>
    </xf>
    <xf numFmtId="0" fontId="18" fillId="0" borderId="147" xfId="0" quotePrefix="1" applyFont="1" applyBorder="1" applyAlignment="1">
      <alignment horizontal="left" vertical="center" wrapText="1"/>
    </xf>
    <xf numFmtId="37" fontId="18" fillId="0" borderId="147" xfId="0" quotePrefix="1" applyNumberFormat="1" applyFont="1" applyBorder="1" applyAlignment="1">
      <alignment vertical="center"/>
    </xf>
    <xf numFmtId="37" fontId="19" fillId="0" borderId="147" xfId="0" applyNumberFormat="1" applyFont="1" applyBorder="1" applyAlignment="1">
      <alignment horizontal="center" vertical="center"/>
    </xf>
    <xf numFmtId="37" fontId="18" fillId="0" borderId="146" xfId="0" applyNumberFormat="1" applyFont="1" applyBorder="1" applyAlignment="1">
      <alignment horizontal="right" vertical="center"/>
    </xf>
    <xf numFmtId="37" fontId="35" fillId="0" borderId="147" xfId="0" applyNumberFormat="1" applyFont="1" applyBorder="1" applyAlignment="1">
      <alignment horizontal="center" vertical="center"/>
    </xf>
    <xf numFmtId="0" fontId="35" fillId="0" borderId="150" xfId="0" applyFont="1" applyBorder="1" applyAlignment="1">
      <alignment horizontal="center" vertical="center"/>
    </xf>
    <xf numFmtId="37" fontId="35" fillId="0" borderId="147" xfId="0" applyNumberFormat="1" applyFont="1" applyBorder="1" applyAlignment="1">
      <alignment vertical="center"/>
    </xf>
    <xf numFmtId="37" fontId="41" fillId="0" borderId="147" xfId="0" applyNumberFormat="1" applyFont="1" applyBorder="1" applyAlignment="1">
      <alignment horizontal="center" vertical="center"/>
    </xf>
    <xf numFmtId="37" fontId="45" fillId="0" borderId="147" xfId="0" applyNumberFormat="1" applyFont="1" applyBorder="1" applyAlignment="1">
      <alignment vertical="center"/>
    </xf>
    <xf numFmtId="37" fontId="88" fillId="0" borderId="147" xfId="0" applyNumberFormat="1" applyFont="1" applyBorder="1" applyAlignment="1">
      <alignment vertical="center"/>
    </xf>
    <xf numFmtId="37" fontId="89" fillId="0" borderId="147" xfId="0" applyNumberFormat="1" applyFont="1" applyBorder="1" applyAlignment="1">
      <alignment vertical="center"/>
    </xf>
    <xf numFmtId="37" fontId="18" fillId="0" borderId="147" xfId="0" applyNumberFormat="1" applyFont="1" applyBorder="1" applyAlignment="1">
      <alignment vertical="center" wrapText="1"/>
    </xf>
    <xf numFmtId="37" fontId="18" fillId="0" borderId="148" xfId="0" applyNumberFormat="1" applyFont="1" applyBorder="1" applyAlignment="1">
      <alignment vertical="center"/>
    </xf>
    <xf numFmtId="37" fontId="44" fillId="0" borderId="147" xfId="0" applyNumberFormat="1" applyFont="1" applyBorder="1" applyAlignment="1">
      <alignment vertical="center"/>
    </xf>
    <xf numFmtId="37" fontId="43" fillId="0" borderId="148" xfId="0" applyNumberFormat="1" applyFont="1" applyBorder="1" applyAlignment="1">
      <alignment vertical="center"/>
    </xf>
    <xf numFmtId="37" fontId="18" fillId="0" borderId="147" xfId="0" applyNumberFormat="1" applyFont="1" applyBorder="1" applyAlignment="1">
      <alignment horizontal="center" vertical="center"/>
    </xf>
    <xf numFmtId="37" fontId="18" fillId="5" borderId="147" xfId="0" applyNumberFormat="1" applyFont="1" applyFill="1" applyBorder="1" applyAlignment="1">
      <alignment vertical="center"/>
    </xf>
    <xf numFmtId="0" fontId="18" fillId="0" borderId="147" xfId="0" applyFont="1" applyBorder="1" applyAlignment="1">
      <alignment vertical="center"/>
    </xf>
    <xf numFmtId="37" fontId="35" fillId="0" borderId="150" xfId="0" applyNumberFormat="1" applyFont="1" applyBorder="1" applyAlignment="1">
      <alignment horizontal="center" vertical="center"/>
    </xf>
    <xf numFmtId="37" fontId="18" fillId="0" borderId="147" xfId="0" applyNumberFormat="1" applyFont="1" applyBorder="1" applyAlignment="1">
      <alignment horizontal="right" vertical="center"/>
    </xf>
    <xf numFmtId="37" fontId="9" fillId="0" borderId="147" xfId="0" applyNumberFormat="1" applyFont="1" applyBorder="1" applyAlignment="1">
      <alignment vertical="center" wrapText="1"/>
    </xf>
    <xf numFmtId="0" fontId="35" fillId="0" borderId="147" xfId="0" applyFont="1" applyBorder="1" applyAlignment="1">
      <alignment horizontal="center" vertical="center"/>
    </xf>
    <xf numFmtId="37" fontId="61" fillId="5" borderId="147" xfId="0" applyNumberFormat="1" applyFont="1" applyFill="1" applyBorder="1" applyAlignment="1">
      <alignment vertical="center"/>
    </xf>
    <xf numFmtId="0" fontId="18" fillId="5" borderId="147" xfId="0" applyFont="1" applyFill="1" applyBorder="1" applyAlignment="1">
      <alignment vertical="center" wrapText="1"/>
    </xf>
    <xf numFmtId="0" fontId="35" fillId="5" borderId="147" xfId="0" applyFont="1" applyFill="1" applyBorder="1" applyAlignment="1">
      <alignment horizontal="center" vertical="center"/>
    </xf>
    <xf numFmtId="0" fontId="18" fillId="7" borderId="147" xfId="0" applyFont="1" applyFill="1" applyBorder="1" applyAlignment="1">
      <alignment vertical="center" wrapText="1"/>
    </xf>
    <xf numFmtId="0" fontId="35" fillId="17" borderId="147" xfId="0" applyFont="1" applyFill="1" applyBorder="1" applyAlignment="1">
      <alignment horizontal="center" vertical="center"/>
    </xf>
    <xf numFmtId="37" fontId="18" fillId="17" borderId="147" xfId="0" applyNumberFormat="1" applyFont="1" applyFill="1" applyBorder="1" applyAlignment="1">
      <alignment vertical="center"/>
    </xf>
    <xf numFmtId="3" fontId="59" fillId="0" borderId="0" xfId="0" applyNumberFormat="1" applyFont="1" applyAlignment="1">
      <alignment vertical="center"/>
    </xf>
    <xf numFmtId="37" fontId="9" fillId="2" borderId="147" xfId="0" applyNumberFormat="1" applyFont="1" applyFill="1" applyBorder="1" applyAlignment="1">
      <alignment vertical="center" wrapText="1"/>
    </xf>
    <xf numFmtId="37" fontId="9" fillId="0" borderId="147" xfId="0" quotePrefix="1" applyNumberFormat="1" applyFont="1" applyBorder="1" applyAlignment="1">
      <alignment horizontal="left" vertical="center" wrapText="1"/>
    </xf>
    <xf numFmtId="37" fontId="18" fillId="7" borderId="85" xfId="0" applyNumberFormat="1" applyFont="1" applyFill="1" applyBorder="1" applyAlignment="1">
      <alignment vertical="center"/>
    </xf>
    <xf numFmtId="37" fontId="18" fillId="7" borderId="109" xfId="0" applyNumberFormat="1" applyFont="1" applyFill="1" applyBorder="1" applyAlignment="1">
      <alignment vertical="center"/>
    </xf>
    <xf numFmtId="37" fontId="18" fillId="7" borderId="109" xfId="0" quotePrefix="1" applyNumberFormat="1" applyFont="1" applyFill="1" applyBorder="1" applyAlignment="1">
      <alignment vertical="center"/>
    </xf>
    <xf numFmtId="15" fontId="44" fillId="2" borderId="89" xfId="0" applyNumberFormat="1" applyFont="1" applyFill="1" applyBorder="1" applyAlignment="1">
      <alignment vertical="center" wrapText="1"/>
    </xf>
    <xf numFmtId="37" fontId="41" fillId="0" borderId="131" xfId="0" applyNumberFormat="1" applyFont="1" applyBorder="1" applyAlignment="1">
      <alignment horizontal="center" vertical="center"/>
    </xf>
    <xf numFmtId="3" fontId="45" fillId="0" borderId="70" xfId="0" applyNumberFormat="1" applyFont="1" applyBorder="1" applyAlignment="1">
      <alignment horizontal="center" vertical="center"/>
    </xf>
    <xf numFmtId="49" fontId="19" fillId="0" borderId="70" xfId="0" applyNumberFormat="1" applyFont="1" applyBorder="1" applyAlignment="1">
      <alignment horizontal="center" vertical="center"/>
    </xf>
    <xf numFmtId="10" fontId="44" fillId="5" borderId="83" xfId="0" applyNumberFormat="1" applyFont="1" applyFill="1" applyBorder="1" applyAlignment="1">
      <alignment horizontal="center" vertical="center"/>
    </xf>
    <xf numFmtId="10" fontId="44" fillId="5" borderId="71" xfId="0" applyNumberFormat="1" applyFont="1" applyFill="1" applyBorder="1" applyAlignment="1">
      <alignment horizontal="center" vertical="center"/>
    </xf>
    <xf numFmtId="10" fontId="26" fillId="2" borderId="0" xfId="1" applyNumberFormat="1" applyFont="1" applyFill="1" applyAlignment="1">
      <alignment vertical="center"/>
    </xf>
    <xf numFmtId="37" fontId="18" fillId="0" borderId="0" xfId="0" quotePrefix="1" applyNumberFormat="1" applyFont="1" applyAlignment="1">
      <alignment vertical="center"/>
    </xf>
    <xf numFmtId="37" fontId="44" fillId="0" borderId="95" xfId="0" applyNumberFormat="1" applyFont="1" applyBorder="1" applyAlignment="1">
      <alignment horizontal="center" vertical="center"/>
    </xf>
    <xf numFmtId="37" fontId="58" fillId="0" borderId="72" xfId="0" applyNumberFormat="1" applyFont="1" applyBorder="1" applyAlignment="1">
      <alignment vertical="center"/>
    </xf>
    <xf numFmtId="37" fontId="44" fillId="0" borderId="96" xfId="0" applyNumberFormat="1" applyFont="1" applyBorder="1" applyAlignment="1">
      <alignment horizontal="center" vertical="center"/>
    </xf>
    <xf numFmtId="37" fontId="40" fillId="0" borderId="24" xfId="0" applyNumberFormat="1" applyFont="1" applyBorder="1" applyAlignment="1">
      <alignment vertical="center"/>
    </xf>
    <xf numFmtId="37" fontId="58" fillId="0" borderId="73" xfId="0" applyNumberFormat="1" applyFont="1" applyBorder="1" applyAlignment="1">
      <alignment vertical="center"/>
    </xf>
    <xf numFmtId="37" fontId="21" fillId="0" borderId="96" xfId="0" applyNumberFormat="1" applyFont="1" applyBorder="1" applyAlignment="1">
      <alignment horizontal="center" vertical="center"/>
    </xf>
    <xf numFmtId="37" fontId="30" fillId="0" borderId="73" xfId="0" applyNumberFormat="1" applyFont="1" applyBorder="1" applyAlignment="1">
      <alignment vertical="center"/>
    </xf>
    <xf numFmtId="37" fontId="41" fillId="0" borderId="10" xfId="0" applyNumberFormat="1" applyFont="1" applyBorder="1" applyAlignment="1">
      <alignment horizontal="center" vertical="center"/>
    </xf>
    <xf numFmtId="10" fontId="44" fillId="0" borderId="62" xfId="1" applyNumberFormat="1" applyFont="1" applyBorder="1" applyAlignment="1">
      <alignment horizontal="center" vertical="center"/>
    </xf>
    <xf numFmtId="37" fontId="19" fillId="0" borderId="53" xfId="0" applyNumberFormat="1" applyFont="1" applyBorder="1" applyAlignment="1">
      <alignment vertical="center"/>
    </xf>
    <xf numFmtId="37" fontId="19" fillId="0" borderId="54" xfId="0" applyNumberFormat="1" applyFont="1" applyBorder="1" applyAlignment="1">
      <alignment vertical="center"/>
    </xf>
    <xf numFmtId="37" fontId="19" fillId="5" borderId="141" xfId="0" applyNumberFormat="1" applyFont="1" applyFill="1" applyBorder="1" applyAlignment="1">
      <alignment horizontal="center" vertical="center"/>
    </xf>
    <xf numFmtId="37" fontId="19" fillId="0" borderId="70" xfId="0" applyNumberFormat="1" applyFont="1" applyBorder="1" applyAlignment="1">
      <alignment horizontal="center" vertical="center"/>
    </xf>
    <xf numFmtId="37" fontId="73" fillId="0" borderId="156" xfId="0" applyNumberFormat="1" applyFont="1" applyBorder="1" applyAlignment="1">
      <alignment horizontal="right" vertical="center"/>
    </xf>
    <xf numFmtId="37" fontId="44" fillId="0" borderId="7" xfId="0" applyNumberFormat="1" applyFont="1" applyBorder="1" applyAlignment="1">
      <alignment horizontal="center" vertical="center"/>
    </xf>
    <xf numFmtId="37" fontId="73" fillId="0" borderId="146" xfId="0" applyNumberFormat="1" applyFont="1" applyBorder="1" applyAlignment="1">
      <alignment horizontal="right" vertical="center"/>
    </xf>
    <xf numFmtId="37" fontId="73" fillId="0" borderId="81" xfId="0" applyNumberFormat="1" applyFont="1" applyBorder="1" applyAlignment="1">
      <alignment horizontal="right" vertical="center"/>
    </xf>
    <xf numFmtId="37" fontId="44" fillId="0" borderId="114" xfId="0" applyNumberFormat="1" applyFont="1" applyBorder="1" applyAlignment="1">
      <alignment horizontal="center" vertical="center"/>
    </xf>
    <xf numFmtId="37" fontId="73" fillId="0" borderId="55" xfId="0" applyNumberFormat="1" applyFont="1" applyBorder="1" applyAlignment="1">
      <alignment horizontal="right" vertical="center"/>
    </xf>
    <xf numFmtId="37" fontId="44" fillId="0" borderId="56" xfId="0" applyNumberFormat="1" applyFont="1" applyBorder="1" applyAlignment="1">
      <alignment horizontal="center" vertical="center"/>
    </xf>
    <xf numFmtId="37" fontId="59" fillId="0" borderId="39" xfId="0" applyNumberFormat="1" applyFont="1" applyBorder="1" applyAlignment="1">
      <alignment vertical="center"/>
    </xf>
    <xf numFmtId="37" fontId="54" fillId="0" borderId="39" xfId="0" applyNumberFormat="1" applyFont="1" applyBorder="1" applyAlignment="1">
      <alignment vertical="center"/>
    </xf>
    <xf numFmtId="37" fontId="54" fillId="0" borderId="53" xfId="0" applyNumberFormat="1" applyFont="1" applyBorder="1" applyAlignment="1">
      <alignment vertical="center"/>
    </xf>
    <xf numFmtId="37" fontId="54" fillId="0" borderId="54" xfId="0" applyNumberFormat="1" applyFont="1" applyBorder="1" applyAlignment="1">
      <alignment vertical="center"/>
    </xf>
    <xf numFmtId="37" fontId="38" fillId="0" borderId="0" xfId="0" applyNumberFormat="1" applyFont="1" applyAlignment="1">
      <alignment horizontal="right" vertical="center"/>
    </xf>
    <xf numFmtId="37" fontId="44" fillId="0" borderId="0" xfId="0" applyNumberFormat="1" applyFont="1" applyAlignment="1">
      <alignment horizontal="right" vertical="center"/>
    </xf>
    <xf numFmtId="37" fontId="44" fillId="0" borderId="149" xfId="0" applyNumberFormat="1" applyFont="1" applyBorder="1" applyAlignment="1">
      <alignment horizontal="right" vertical="center"/>
    </xf>
    <xf numFmtId="37" fontId="44" fillId="0" borderId="155" xfId="0" applyNumberFormat="1" applyFont="1" applyBorder="1" applyAlignment="1">
      <alignment horizontal="right" vertical="center"/>
    </xf>
    <xf numFmtId="37" fontId="44" fillId="0" borderId="70" xfId="0" applyNumberFormat="1" applyFont="1" applyBorder="1" applyAlignment="1">
      <alignment horizontal="right" vertical="center"/>
    </xf>
    <xf numFmtId="37" fontId="19" fillId="2" borderId="147" xfId="0" applyNumberFormat="1" applyFont="1" applyFill="1" applyBorder="1" applyAlignment="1">
      <alignment horizontal="center" vertical="center"/>
    </xf>
    <xf numFmtId="37" fontId="9" fillId="5" borderId="147" xfId="0" applyNumberFormat="1" applyFont="1" applyFill="1" applyBorder="1" applyAlignment="1">
      <alignment vertical="center" wrapText="1"/>
    </xf>
    <xf numFmtId="37" fontId="19" fillId="5" borderId="147" xfId="0" applyNumberFormat="1" applyFont="1" applyFill="1" applyBorder="1" applyAlignment="1">
      <alignment horizontal="center" vertical="center"/>
    </xf>
    <xf numFmtId="37" fontId="43" fillId="0" borderId="147" xfId="0" applyNumberFormat="1" applyFont="1" applyBorder="1" applyAlignment="1">
      <alignment vertical="center" wrapText="1"/>
    </xf>
    <xf numFmtId="10" fontId="44" fillId="2" borderId="83" xfId="0" applyNumberFormat="1" applyFont="1" applyFill="1" applyBorder="1" applyAlignment="1">
      <alignment horizontal="center" vertical="center"/>
    </xf>
    <xf numFmtId="37" fontId="44" fillId="2" borderId="32" xfId="0" applyNumberFormat="1" applyFont="1" applyFill="1" applyBorder="1" applyAlignment="1">
      <alignment horizontal="center" vertical="center"/>
    </xf>
    <xf numFmtId="37" fontId="44" fillId="4" borderId="0" xfId="0" applyNumberFormat="1" applyFont="1" applyFill="1" applyAlignment="1">
      <alignment horizontal="center" vertical="center"/>
    </xf>
    <xf numFmtId="37" fontId="43" fillId="2" borderId="97" xfId="0" applyNumberFormat="1" applyFont="1" applyFill="1" applyBorder="1" applyAlignment="1">
      <alignment vertical="center"/>
    </xf>
    <xf numFmtId="37" fontId="44" fillId="2" borderId="27" xfId="0" applyNumberFormat="1" applyFont="1" applyFill="1" applyBorder="1" applyAlignment="1">
      <alignment vertical="center"/>
    </xf>
    <xf numFmtId="37" fontId="44" fillId="0" borderId="115" xfId="0" applyNumberFormat="1" applyFont="1" applyBorder="1" applyAlignment="1">
      <alignment horizontal="left" vertical="center"/>
    </xf>
    <xf numFmtId="37" fontId="8" fillId="5" borderId="109" xfId="0" applyNumberFormat="1" applyFont="1" applyFill="1" applyBorder="1" applyAlignment="1">
      <alignment horizontal="center" vertical="center"/>
    </xf>
    <xf numFmtId="37" fontId="50" fillId="9" borderId="109" xfId="0" applyNumberFormat="1" applyFont="1" applyFill="1" applyBorder="1" applyAlignment="1">
      <alignment horizontal="center" vertical="center"/>
    </xf>
    <xf numFmtId="37" fontId="8" fillId="9" borderId="109" xfId="0" applyNumberFormat="1" applyFont="1" applyFill="1" applyBorder="1" applyAlignment="1">
      <alignment horizontal="center" vertical="center"/>
    </xf>
    <xf numFmtId="14" fontId="8" fillId="9" borderId="109" xfId="0" applyNumberFormat="1" applyFont="1" applyFill="1" applyBorder="1" applyAlignment="1">
      <alignment horizontal="center" vertical="center"/>
    </xf>
    <xf numFmtId="169" fontId="8" fillId="9" borderId="110" xfId="0" applyNumberFormat="1" applyFont="1" applyFill="1" applyBorder="1" applyAlignment="1">
      <alignment horizontal="center" vertical="center"/>
    </xf>
    <xf numFmtId="37" fontId="44" fillId="5" borderId="115" xfId="0" applyNumberFormat="1" applyFont="1" applyFill="1" applyBorder="1" applyAlignment="1">
      <alignment vertical="center"/>
    </xf>
    <xf numFmtId="37" fontId="25" fillId="9" borderId="115" xfId="0" applyNumberFormat="1" applyFont="1" applyFill="1" applyBorder="1" applyAlignment="1">
      <alignment vertical="center"/>
    </xf>
    <xf numFmtId="37" fontId="43" fillId="0" borderId="88" xfId="0" applyNumberFormat="1" applyFont="1" applyBorder="1" applyAlignment="1">
      <alignment vertical="center" wrapText="1"/>
    </xf>
    <xf numFmtId="37" fontId="43" fillId="0" borderId="88" xfId="0" applyNumberFormat="1" applyFont="1" applyBorder="1" applyAlignment="1">
      <alignment vertical="center"/>
    </xf>
    <xf numFmtId="37" fontId="44" fillId="0" borderId="115" xfId="0" applyNumberFormat="1" applyFont="1" applyBorder="1" applyAlignment="1">
      <alignment horizontal="left" vertical="center" wrapText="1"/>
    </xf>
    <xf numFmtId="169" fontId="8" fillId="0" borderId="148" xfId="0" applyNumberFormat="1" applyFont="1" applyBorder="1" applyAlignment="1">
      <alignment horizontal="center" vertical="center"/>
    </xf>
    <xf numFmtId="37" fontId="9" fillId="5" borderId="115" xfId="0" applyNumberFormat="1" applyFont="1" applyFill="1" applyBorder="1" applyAlignment="1">
      <alignment horizontal="right" vertical="center"/>
    </xf>
    <xf numFmtId="0" fontId="5" fillId="5" borderId="147" xfId="0" applyFont="1" applyFill="1" applyBorder="1" applyAlignment="1">
      <alignment vertical="center" wrapText="1"/>
    </xf>
    <xf numFmtId="37" fontId="35" fillId="5" borderId="147" xfId="0" applyNumberFormat="1" applyFont="1" applyFill="1" applyBorder="1" applyAlignment="1">
      <alignment horizontal="center" vertical="center"/>
    </xf>
    <xf numFmtId="37" fontId="35" fillId="5" borderId="147" xfId="0" applyNumberFormat="1" applyFont="1" applyFill="1" applyBorder="1" applyAlignment="1">
      <alignment horizontal="right" vertical="center"/>
    </xf>
    <xf numFmtId="0" fontId="35" fillId="5" borderId="107" xfId="0" applyFont="1" applyFill="1" applyBorder="1" applyAlignment="1">
      <alignment horizontal="center" vertical="center"/>
    </xf>
    <xf numFmtId="37" fontId="25" fillId="5" borderId="115" xfId="0" applyNumberFormat="1" applyFont="1" applyFill="1" applyBorder="1" applyAlignment="1">
      <alignment vertical="center"/>
    </xf>
    <xf numFmtId="37" fontId="44" fillId="5" borderId="146" xfId="0" applyNumberFormat="1" applyFont="1" applyFill="1" applyBorder="1" applyAlignment="1">
      <alignment vertical="center" wrapText="1"/>
    </xf>
    <xf numFmtId="37" fontId="25" fillId="14" borderId="115" xfId="0" applyNumberFormat="1" applyFont="1" applyFill="1" applyBorder="1" applyAlignment="1">
      <alignment vertical="center"/>
    </xf>
    <xf numFmtId="37" fontId="50" fillId="14" borderId="109" xfId="0" applyNumberFormat="1" applyFont="1" applyFill="1" applyBorder="1" applyAlignment="1">
      <alignment horizontal="center" vertical="center"/>
    </xf>
    <xf numFmtId="37" fontId="8" fillId="14" borderId="109" xfId="0" applyNumberFormat="1" applyFont="1" applyFill="1" applyBorder="1" applyAlignment="1">
      <alignment horizontal="center" vertical="center"/>
    </xf>
    <xf numFmtId="14" fontId="8" fillId="14" borderId="109" xfId="0" applyNumberFormat="1" applyFont="1" applyFill="1" applyBorder="1" applyAlignment="1">
      <alignment horizontal="center" vertical="center"/>
    </xf>
    <xf numFmtId="169" fontId="8" fillId="14" borderId="110" xfId="0" applyNumberFormat="1" applyFont="1" applyFill="1" applyBorder="1" applyAlignment="1">
      <alignment horizontal="center" vertical="center"/>
    </xf>
    <xf numFmtId="37" fontId="44" fillId="14" borderId="115" xfId="0" applyNumberFormat="1" applyFont="1" applyFill="1" applyBorder="1" applyAlignment="1">
      <alignment vertical="center" wrapText="1"/>
    </xf>
    <xf numFmtId="37" fontId="44" fillId="0" borderId="28" xfId="0" applyNumberFormat="1" applyFont="1" applyBorder="1" applyAlignment="1">
      <alignment vertical="center" wrapText="1"/>
    </xf>
    <xf numFmtId="37" fontId="61" fillId="5" borderId="24" xfId="0" applyNumberFormat="1" applyFont="1" applyFill="1" applyBorder="1" applyAlignment="1">
      <alignment horizontal="center" vertical="center"/>
    </xf>
    <xf numFmtId="37" fontId="44" fillId="0" borderId="146" xfId="0" applyNumberFormat="1" applyFont="1" applyBorder="1" applyAlignment="1">
      <alignment vertical="center" wrapText="1"/>
    </xf>
    <xf numFmtId="0" fontId="5" fillId="5" borderId="109" xfId="0" applyFont="1" applyFill="1" applyBorder="1" applyAlignment="1">
      <alignment vertical="center" wrapText="1"/>
    </xf>
    <xf numFmtId="37" fontId="35" fillId="5" borderId="109" xfId="0" applyNumberFormat="1" applyFont="1" applyFill="1" applyBorder="1" applyAlignment="1">
      <alignment horizontal="center" vertical="center"/>
    </xf>
    <xf numFmtId="37" fontId="44" fillId="0" borderId="154" xfId="0" applyNumberFormat="1" applyFont="1" applyBorder="1" applyAlignment="1">
      <alignment vertical="center"/>
    </xf>
    <xf numFmtId="37" fontId="44" fillId="5" borderId="111" xfId="0" applyNumberFormat="1" applyFont="1" applyFill="1" applyBorder="1" applyAlignment="1">
      <alignment vertical="center"/>
    </xf>
    <xf numFmtId="37" fontId="50" fillId="0" borderId="151" xfId="0" applyNumberFormat="1" applyFont="1" applyBorder="1" applyAlignment="1">
      <alignment horizontal="center" vertical="center"/>
    </xf>
    <xf numFmtId="37" fontId="25" fillId="5" borderId="111" xfId="0" applyNumberFormat="1" applyFont="1" applyFill="1" applyBorder="1" applyAlignment="1">
      <alignment vertical="center"/>
    </xf>
    <xf numFmtId="37" fontId="8" fillId="5" borderId="147" xfId="0" applyNumberFormat="1" applyFont="1" applyFill="1" applyBorder="1" applyAlignment="1">
      <alignment horizontal="center" vertical="center"/>
    </xf>
    <xf numFmtId="37" fontId="43" fillId="0" borderId="149" xfId="0" applyNumberFormat="1" applyFont="1" applyBorder="1" applyAlignment="1">
      <alignment vertical="center" wrapText="1"/>
    </xf>
    <xf numFmtId="0" fontId="61" fillId="17" borderId="0" xfId="0" applyFont="1" applyFill="1" applyAlignment="1">
      <alignment vertical="center"/>
    </xf>
    <xf numFmtId="37" fontId="63" fillId="9" borderId="0" xfId="0" applyNumberFormat="1" applyFont="1" applyFill="1" applyAlignment="1">
      <alignment vertical="center" wrapText="1"/>
    </xf>
    <xf numFmtId="38" fontId="35" fillId="0" borderId="0" xfId="0" applyNumberFormat="1" applyFont="1" applyAlignment="1">
      <alignment vertical="center"/>
    </xf>
    <xf numFmtId="0" fontId="61" fillId="10" borderId="62" xfId="0" applyFont="1" applyFill="1" applyBorder="1" applyAlignment="1">
      <alignment vertical="center"/>
    </xf>
    <xf numFmtId="3" fontId="9" fillId="2" borderId="109" xfId="0" applyNumberFormat="1" applyFont="1" applyFill="1" applyBorder="1" applyAlignment="1">
      <alignment vertical="center"/>
    </xf>
    <xf numFmtId="0" fontId="6" fillId="0" borderId="147" xfId="0" applyFont="1" applyBorder="1" applyAlignment="1">
      <alignment vertical="center" wrapText="1"/>
    </xf>
    <xf numFmtId="0" fontId="60" fillId="7" borderId="0" xfId="0" applyFont="1" applyFill="1" applyAlignment="1">
      <alignment vertical="center"/>
    </xf>
    <xf numFmtId="37" fontId="25" fillId="17" borderId="146" xfId="0" applyNumberFormat="1" applyFont="1" applyFill="1" applyBorder="1" applyAlignment="1">
      <alignment vertical="center"/>
    </xf>
    <xf numFmtId="37" fontId="25" fillId="17" borderId="147" xfId="0" applyNumberFormat="1" applyFont="1" applyFill="1" applyBorder="1" applyAlignment="1">
      <alignment vertical="center"/>
    </xf>
    <xf numFmtId="37" fontId="61" fillId="17" borderId="147" xfId="0" applyNumberFormat="1" applyFont="1" applyFill="1" applyBorder="1" applyAlignment="1">
      <alignment vertical="center"/>
    </xf>
    <xf numFmtId="37" fontId="25" fillId="17" borderId="150" xfId="0" applyNumberFormat="1" applyFont="1" applyFill="1" applyBorder="1" applyAlignment="1">
      <alignment vertical="center"/>
    </xf>
    <xf numFmtId="37" fontId="41" fillId="17" borderId="147" xfId="0" applyNumberFormat="1" applyFont="1" applyFill="1" applyBorder="1" applyAlignment="1">
      <alignment horizontal="center" vertical="center"/>
    </xf>
    <xf numFmtId="37" fontId="19" fillId="17" borderId="148" xfId="0" applyNumberFormat="1" applyFont="1" applyFill="1" applyBorder="1" applyAlignment="1">
      <alignment horizontal="center" vertical="center"/>
    </xf>
    <xf numFmtId="37" fontId="49" fillId="17" borderId="146" xfId="0" applyNumberFormat="1" applyFont="1" applyFill="1" applyBorder="1" applyAlignment="1">
      <alignment vertical="center"/>
    </xf>
    <xf numFmtId="37" fontId="40" fillId="17" borderId="148" xfId="0" applyNumberFormat="1" applyFont="1" applyFill="1" applyBorder="1" applyAlignment="1">
      <alignment horizontal="center" vertical="center"/>
    </xf>
    <xf numFmtId="37" fontId="60" fillId="7" borderId="146" xfId="0" applyNumberFormat="1" applyFont="1" applyFill="1" applyBorder="1" applyAlignment="1">
      <alignment vertical="center" wrapText="1"/>
    </xf>
    <xf numFmtId="0" fontId="5" fillId="10" borderId="109" xfId="0" applyFont="1" applyFill="1" applyBorder="1" applyAlignment="1">
      <alignment vertical="center" wrapText="1"/>
    </xf>
    <xf numFmtId="0" fontId="73" fillId="16" borderId="0" xfId="0" applyFont="1" applyFill="1" applyAlignment="1">
      <alignment vertical="center"/>
    </xf>
    <xf numFmtId="37" fontId="5" fillId="0" borderId="147" xfId="0" applyNumberFormat="1" applyFont="1" applyBorder="1" applyAlignment="1">
      <alignment horizontal="right" vertical="center"/>
    </xf>
    <xf numFmtId="37" fontId="15" fillId="0" borderId="153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109" xfId="0" quotePrefix="1" applyFont="1" applyBorder="1" applyAlignment="1">
      <alignment horizontal="left" vertical="center"/>
    </xf>
    <xf numFmtId="0" fontId="5" fillId="0" borderId="147" xfId="0" applyFont="1" applyBorder="1" applyAlignment="1">
      <alignment vertical="center"/>
    </xf>
    <xf numFmtId="0" fontId="6" fillId="0" borderId="109" xfId="0" applyFont="1" applyBorder="1" applyAlignment="1">
      <alignment vertical="center"/>
    </xf>
    <xf numFmtId="0" fontId="4" fillId="0" borderId="109" xfId="0" applyFont="1" applyBorder="1" applyAlignment="1">
      <alignment vertical="center"/>
    </xf>
    <xf numFmtId="0" fontId="2" fillId="0" borderId="109" xfId="0" applyFont="1" applyBorder="1" applyAlignment="1">
      <alignment vertical="center"/>
    </xf>
    <xf numFmtId="0" fontId="5" fillId="5" borderId="109" xfId="0" applyFont="1" applyFill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44" fillId="18" borderId="0" xfId="0" applyFont="1" applyFill="1" applyAlignment="1">
      <alignment vertical="center"/>
    </xf>
    <xf numFmtId="0" fontId="60" fillId="7" borderId="109" xfId="0" applyFont="1" applyFill="1" applyBorder="1" applyAlignment="1">
      <alignment horizontal="center" vertical="center"/>
    </xf>
    <xf numFmtId="0" fontId="6" fillId="0" borderId="147" xfId="0" applyFont="1" applyBorder="1" applyAlignment="1">
      <alignment vertical="center"/>
    </xf>
    <xf numFmtId="0" fontId="3" fillId="0" borderId="10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09" xfId="0" quotePrefix="1" applyFont="1" applyBorder="1" applyAlignment="1">
      <alignment vertical="center"/>
    </xf>
    <xf numFmtId="37" fontId="35" fillId="10" borderId="109" xfId="0" applyNumberFormat="1" applyFont="1" applyFill="1" applyBorder="1" applyAlignment="1">
      <alignment horizontal="right" vertical="center"/>
    </xf>
    <xf numFmtId="3" fontId="37" fillId="0" borderId="42" xfId="0" applyNumberFormat="1" applyFont="1" applyBorder="1" applyAlignment="1">
      <alignment horizontal="center" vertical="center" wrapText="1"/>
    </xf>
    <xf numFmtId="37" fontId="45" fillId="0" borderId="137" xfId="0" applyNumberFormat="1" applyFont="1" applyBorder="1" applyAlignment="1">
      <alignment vertical="center"/>
    </xf>
    <xf numFmtId="37" fontId="45" fillId="0" borderId="134" xfId="0" applyNumberFormat="1" applyFont="1" applyBorder="1" applyAlignment="1">
      <alignment vertical="center"/>
    </xf>
    <xf numFmtId="37" fontId="45" fillId="0" borderId="101" xfId="0" applyNumberFormat="1" applyFont="1" applyBorder="1" applyAlignment="1">
      <alignment vertical="center"/>
    </xf>
    <xf numFmtId="37" fontId="43" fillId="0" borderId="130" xfId="0" applyNumberFormat="1" applyFont="1" applyBorder="1" applyAlignment="1">
      <alignment vertical="center"/>
    </xf>
    <xf numFmtId="37" fontId="43" fillId="0" borderId="81" xfId="0" applyNumberFormat="1" applyFont="1" applyBorder="1" applyAlignment="1">
      <alignment vertical="center"/>
    </xf>
    <xf numFmtId="37" fontId="61" fillId="0" borderId="131" xfId="0" applyNumberFormat="1" applyFont="1" applyBorder="1" applyAlignment="1">
      <alignment vertical="center"/>
    </xf>
    <xf numFmtId="37" fontId="49" fillId="0" borderId="130" xfId="0" applyNumberFormat="1" applyFont="1" applyBorder="1" applyAlignment="1">
      <alignment vertical="center"/>
    </xf>
    <xf numFmtId="37" fontId="40" fillId="0" borderId="132" xfId="0" applyNumberFormat="1" applyFont="1" applyBorder="1" applyAlignment="1">
      <alignment horizontal="center" vertical="center"/>
    </xf>
    <xf numFmtId="3" fontId="44" fillId="0" borderId="58" xfId="0" applyNumberFormat="1" applyFont="1" applyBorder="1" applyAlignment="1">
      <alignment vertical="center"/>
    </xf>
    <xf numFmtId="37" fontId="9" fillId="0" borderId="146" xfId="0" applyNumberFormat="1" applyFont="1" applyBorder="1" applyAlignment="1">
      <alignment horizontal="right" vertical="center"/>
    </xf>
    <xf numFmtId="37" fontId="25" fillId="0" borderId="146" xfId="0" applyNumberFormat="1" applyFont="1" applyBorder="1" applyAlignment="1">
      <alignment vertical="center"/>
    </xf>
    <xf numFmtId="37" fontId="25" fillId="0" borderId="147" xfId="0" applyNumberFormat="1" applyFont="1" applyBorder="1" applyAlignment="1">
      <alignment vertical="center"/>
    </xf>
    <xf numFmtId="37" fontId="61" fillId="0" borderId="147" xfId="0" applyNumberFormat="1" applyFont="1" applyBorder="1" applyAlignment="1">
      <alignment vertical="center"/>
    </xf>
    <xf numFmtId="37" fontId="25" fillId="0" borderId="150" xfId="0" applyNumberFormat="1" applyFont="1" applyBorder="1" applyAlignment="1">
      <alignment vertical="center"/>
    </xf>
    <xf numFmtId="37" fontId="19" fillId="0" borderId="148" xfId="0" applyNumberFormat="1" applyFont="1" applyBorder="1" applyAlignment="1">
      <alignment horizontal="center" vertical="center"/>
    </xf>
    <xf numFmtId="37" fontId="49" fillId="0" borderId="146" xfId="0" applyNumberFormat="1" applyFont="1" applyBorder="1" applyAlignment="1">
      <alignment vertical="center"/>
    </xf>
    <xf numFmtId="37" fontId="40" fillId="0" borderId="148" xfId="0" applyNumberFormat="1" applyFont="1" applyBorder="1" applyAlignment="1">
      <alignment horizontal="center" vertical="center"/>
    </xf>
    <xf numFmtId="0" fontId="2" fillId="0" borderId="147" xfId="0" applyFont="1" applyBorder="1" applyAlignment="1">
      <alignment vertical="center" wrapText="1"/>
    </xf>
    <xf numFmtId="37" fontId="41" fillId="5" borderId="147" xfId="0" applyNumberFormat="1" applyFont="1" applyFill="1" applyBorder="1" applyAlignment="1">
      <alignment horizontal="center" vertical="center"/>
    </xf>
    <xf numFmtId="37" fontId="9" fillId="17" borderId="146" xfId="0" applyNumberFormat="1" applyFont="1" applyFill="1" applyBorder="1" applyAlignment="1">
      <alignment horizontal="right" vertical="center"/>
    </xf>
    <xf numFmtId="37" fontId="35" fillId="17" borderId="147" xfId="0" applyNumberFormat="1" applyFont="1" applyFill="1" applyBorder="1" applyAlignment="1">
      <alignment vertical="center"/>
    </xf>
    <xf numFmtId="0" fontId="7" fillId="0" borderId="147" xfId="0" applyFont="1" applyBorder="1" applyAlignment="1">
      <alignment vertical="center" wrapText="1"/>
    </xf>
    <xf numFmtId="37" fontId="7" fillId="0" borderId="147" xfId="0" applyNumberFormat="1" applyFont="1" applyBorder="1" applyAlignment="1">
      <alignment horizontal="right" vertical="center"/>
    </xf>
    <xf numFmtId="37" fontId="9" fillId="0" borderId="155" xfId="0" applyNumberFormat="1" applyFont="1" applyBorder="1" applyAlignment="1">
      <alignment horizontal="center" vertical="center"/>
    </xf>
    <xf numFmtId="37" fontId="60" fillId="7" borderId="96" xfId="0" applyNumberFormat="1" applyFont="1" applyFill="1" applyBorder="1" applyAlignment="1">
      <alignment horizontal="center" vertical="center"/>
    </xf>
    <xf numFmtId="37" fontId="18" fillId="7" borderId="115" xfId="0" applyNumberFormat="1" applyFont="1" applyFill="1" applyBorder="1" applyAlignment="1">
      <alignment horizontal="right" vertical="center"/>
    </xf>
    <xf numFmtId="37" fontId="35" fillId="7" borderId="109" xfId="0" applyNumberFormat="1" applyFont="1" applyFill="1" applyBorder="1" applyAlignment="1">
      <alignment horizontal="center" vertical="center"/>
    </xf>
    <xf numFmtId="37" fontId="35" fillId="7" borderId="109" xfId="0" applyNumberFormat="1" applyFont="1" applyFill="1" applyBorder="1" applyAlignment="1">
      <alignment horizontal="right" vertical="center"/>
    </xf>
    <xf numFmtId="0" fontId="35" fillId="7" borderId="107" xfId="0" applyFont="1" applyFill="1" applyBorder="1" applyAlignment="1">
      <alignment horizontal="center" vertical="center"/>
    </xf>
    <xf numFmtId="37" fontId="18" fillId="7" borderId="109" xfId="0" applyNumberFormat="1" applyFont="1" applyFill="1" applyBorder="1" applyAlignment="1">
      <alignment horizontal="center" vertical="center"/>
    </xf>
    <xf numFmtId="37" fontId="35" fillId="0" borderId="131" xfId="0" applyNumberFormat="1" applyFont="1" applyBorder="1" applyAlignment="1">
      <alignment horizontal="right" vertical="center"/>
    </xf>
    <xf numFmtId="37" fontId="25" fillId="0" borderId="131" xfId="0" applyNumberFormat="1" applyFont="1" applyBorder="1" applyAlignment="1">
      <alignment vertical="center"/>
    </xf>
    <xf numFmtId="3" fontId="9" fillId="0" borderId="147" xfId="0" applyNumberFormat="1" applyFont="1" applyBorder="1" applyAlignment="1">
      <alignment vertical="center"/>
    </xf>
    <xf numFmtId="3" fontId="44" fillId="15" borderId="89" xfId="0" applyNumberFormat="1" applyFont="1" applyFill="1" applyBorder="1" applyAlignment="1">
      <alignment vertical="center"/>
    </xf>
    <xf numFmtId="37" fontId="21" fillId="5" borderId="24" xfId="0" applyNumberFormat="1" applyFont="1" applyFill="1" applyBorder="1" applyAlignment="1">
      <alignment vertical="center"/>
    </xf>
    <xf numFmtId="37" fontId="44" fillId="5" borderId="24" xfId="0" applyNumberFormat="1" applyFont="1" applyFill="1" applyBorder="1" applyAlignment="1">
      <alignment vertical="center"/>
    </xf>
    <xf numFmtId="37" fontId="61" fillId="5" borderId="35" xfId="0" applyNumberFormat="1" applyFont="1" applyFill="1" applyBorder="1" applyAlignment="1">
      <alignment horizontal="center" vertical="center"/>
    </xf>
    <xf numFmtId="37" fontId="9" fillId="5" borderId="130" xfId="0" applyNumberFormat="1" applyFont="1" applyFill="1" applyBorder="1" applyAlignment="1">
      <alignment vertical="center"/>
    </xf>
    <xf numFmtId="0" fontId="18" fillId="5" borderId="131" xfId="0" applyFont="1" applyFill="1" applyBorder="1" applyAlignment="1">
      <alignment vertical="center" wrapText="1"/>
    </xf>
    <xf numFmtId="37" fontId="35" fillId="5" borderId="131" xfId="0" applyNumberFormat="1" applyFont="1" applyFill="1" applyBorder="1" applyAlignment="1">
      <alignment horizontal="center" vertical="center"/>
    </xf>
    <xf numFmtId="37" fontId="35" fillId="5" borderId="131" xfId="0" applyNumberFormat="1" applyFont="1" applyFill="1" applyBorder="1" applyAlignment="1">
      <alignment vertical="center"/>
    </xf>
    <xf numFmtId="0" fontId="35" fillId="5" borderId="68" xfId="0" applyFont="1" applyFill="1" applyBorder="1" applyAlignment="1">
      <alignment horizontal="center" vertical="center"/>
    </xf>
    <xf numFmtId="37" fontId="9" fillId="5" borderId="115" xfId="0" applyNumberFormat="1" applyFont="1" applyFill="1" applyBorder="1" applyAlignment="1">
      <alignment vertical="center"/>
    </xf>
    <xf numFmtId="0" fontId="5" fillId="0" borderId="147" xfId="0" quotePrefix="1" applyFont="1" applyBorder="1" applyAlignment="1">
      <alignment horizontal="left" vertical="center" wrapText="1"/>
    </xf>
    <xf numFmtId="0" fontId="4" fillId="0" borderId="147" xfId="0" applyFont="1" applyBorder="1" applyAlignment="1">
      <alignment vertical="center" wrapText="1"/>
    </xf>
    <xf numFmtId="0" fontId="3" fillId="0" borderId="147" xfId="0" applyFont="1" applyBorder="1" applyAlignment="1">
      <alignment vertical="center" wrapText="1"/>
    </xf>
    <xf numFmtId="0" fontId="5" fillId="0" borderId="147" xfId="0" quotePrefix="1" applyFont="1" applyBorder="1" applyAlignment="1">
      <alignment vertical="center" wrapText="1"/>
    </xf>
    <xf numFmtId="0" fontId="36" fillId="0" borderId="62" xfId="0" applyFont="1" applyBorder="1" applyAlignment="1">
      <alignment vertical="center" wrapText="1"/>
    </xf>
    <xf numFmtId="37" fontId="18" fillId="10" borderId="115" xfId="0" applyNumberFormat="1" applyFont="1" applyFill="1" applyBorder="1" applyAlignment="1">
      <alignment horizontal="right" vertical="center"/>
    </xf>
    <xf numFmtId="0" fontId="18" fillId="10" borderId="109" xfId="0" applyFont="1" applyFill="1" applyBorder="1" applyAlignment="1">
      <alignment vertical="center" wrapText="1"/>
    </xf>
    <xf numFmtId="37" fontId="35" fillId="10" borderId="109" xfId="0" applyNumberFormat="1" applyFont="1" applyFill="1" applyBorder="1" applyAlignment="1">
      <alignment horizontal="center" vertical="center"/>
    </xf>
    <xf numFmtId="0" fontId="35" fillId="10" borderId="107" xfId="0" applyFont="1" applyFill="1" applyBorder="1" applyAlignment="1">
      <alignment horizontal="center" vertical="center"/>
    </xf>
    <xf numFmtId="37" fontId="73" fillId="10" borderId="110" xfId="0" applyNumberFormat="1" applyFont="1" applyFill="1" applyBorder="1" applyAlignment="1">
      <alignment horizontal="right" vertical="center"/>
    </xf>
    <xf numFmtId="37" fontId="44" fillId="10" borderId="149" xfId="0" applyNumberFormat="1" applyFont="1" applyFill="1" applyBorder="1" applyAlignment="1">
      <alignment horizontal="right" vertical="center"/>
    </xf>
    <xf numFmtId="37" fontId="73" fillId="10" borderId="146" xfId="0" applyNumberFormat="1" applyFont="1" applyFill="1" applyBorder="1" applyAlignment="1">
      <alignment horizontal="right" vertical="center"/>
    </xf>
    <xf numFmtId="37" fontId="43" fillId="10" borderId="109" xfId="0" applyNumberFormat="1" applyFont="1" applyFill="1" applyBorder="1" applyAlignment="1">
      <alignment vertical="center"/>
    </xf>
    <xf numFmtId="37" fontId="61" fillId="10" borderId="109" xfId="0" applyNumberFormat="1" applyFont="1" applyFill="1" applyBorder="1" applyAlignment="1">
      <alignment horizontal="center" vertical="center"/>
    </xf>
    <xf numFmtId="37" fontId="35" fillId="10" borderId="109" xfId="0" applyNumberFormat="1" applyFont="1" applyFill="1" applyBorder="1" applyAlignment="1">
      <alignment vertical="center"/>
    </xf>
    <xf numFmtId="37" fontId="41" fillId="10" borderId="109" xfId="0" applyNumberFormat="1" applyFont="1" applyFill="1" applyBorder="1" applyAlignment="1">
      <alignment horizontal="center" vertical="center"/>
    </xf>
    <xf numFmtId="37" fontId="45" fillId="10" borderId="109" xfId="0" applyNumberFormat="1" applyFont="1" applyFill="1" applyBorder="1" applyAlignment="1">
      <alignment vertical="center"/>
    </xf>
    <xf numFmtId="37" fontId="18" fillId="10" borderId="109" xfId="0" applyNumberFormat="1" applyFont="1" applyFill="1" applyBorder="1" applyAlignment="1">
      <alignment horizontal="center" vertical="center"/>
    </xf>
    <xf numFmtId="37" fontId="88" fillId="10" borderId="109" xfId="0" applyNumberFormat="1" applyFont="1" applyFill="1" applyBorder="1" applyAlignment="1">
      <alignment vertical="center"/>
    </xf>
    <xf numFmtId="2" fontId="18" fillId="10" borderId="109" xfId="0" applyNumberFormat="1" applyFont="1" applyFill="1" applyBorder="1" applyAlignment="1">
      <alignment vertical="center" wrapText="1"/>
    </xf>
    <xf numFmtId="37" fontId="18" fillId="10" borderId="109" xfId="0" applyNumberFormat="1" applyFont="1" applyFill="1" applyBorder="1" applyAlignment="1">
      <alignment horizontal="right" vertical="center"/>
    </xf>
    <xf numFmtId="0" fontId="5" fillId="10" borderId="109" xfId="0" quotePrefix="1" applyFont="1" applyFill="1" applyBorder="1" applyAlignment="1">
      <alignment horizontal="left" vertical="center" wrapText="1"/>
    </xf>
    <xf numFmtId="0" fontId="5" fillId="10" borderId="109" xfId="0" applyFont="1" applyFill="1" applyBorder="1" applyAlignment="1">
      <alignment vertical="center"/>
    </xf>
    <xf numFmtId="0" fontId="73" fillId="0" borderId="62" xfId="0" applyFont="1" applyBorder="1" applyAlignment="1">
      <alignment vertical="center"/>
    </xf>
    <xf numFmtId="37" fontId="67" fillId="0" borderId="157" xfId="0" applyNumberFormat="1" applyFont="1" applyBorder="1" applyAlignment="1">
      <alignment horizontal="center" vertical="center" wrapText="1"/>
    </xf>
    <xf numFmtId="37" fontId="73" fillId="0" borderId="158" xfId="0" applyNumberFormat="1" applyFont="1" applyBorder="1" applyAlignment="1">
      <alignment horizontal="right" vertical="center"/>
    </xf>
    <xf numFmtId="37" fontId="73" fillId="0" borderId="159" xfId="0" applyNumberFormat="1" applyFont="1" applyBorder="1" applyAlignment="1">
      <alignment horizontal="right" vertical="center"/>
    </xf>
    <xf numFmtId="0" fontId="5" fillId="0" borderId="48" xfId="0" applyFont="1" applyBorder="1" applyAlignment="1">
      <alignment vertical="center" wrapText="1"/>
    </xf>
    <xf numFmtId="0" fontId="35" fillId="0" borderId="148" xfId="0" applyFont="1" applyBorder="1" applyAlignment="1">
      <alignment horizontal="center" vertical="center"/>
    </xf>
    <xf numFmtId="0" fontId="5" fillId="0" borderId="148" xfId="0" applyFont="1" applyBorder="1" applyAlignment="1">
      <alignment vertical="center" wrapText="1"/>
    </xf>
    <xf numFmtId="0" fontId="5" fillId="0" borderId="103" xfId="0" applyFont="1" applyBorder="1" applyAlignment="1">
      <alignment vertical="center" wrapText="1"/>
    </xf>
    <xf numFmtId="37" fontId="60" fillId="4" borderId="0" xfId="0" applyNumberFormat="1" applyFont="1" applyFill="1" applyAlignment="1">
      <alignment horizontal="center" vertical="center"/>
    </xf>
    <xf numFmtId="37" fontId="44" fillId="4" borderId="0" xfId="0" applyNumberFormat="1" applyFont="1" applyFill="1" applyAlignment="1">
      <alignment vertical="center" wrapText="1"/>
    </xf>
    <xf numFmtId="37" fontId="43" fillId="0" borderId="146" xfId="0" applyNumberFormat="1" applyFont="1" applyBorder="1" applyAlignment="1">
      <alignment vertical="center"/>
    </xf>
    <xf numFmtId="37" fontId="15" fillId="0" borderId="148" xfId="0" applyNumberFormat="1" applyFont="1" applyBorder="1" applyAlignment="1">
      <alignment vertical="center"/>
    </xf>
    <xf numFmtId="37" fontId="73" fillId="0" borderId="0" xfId="0" applyNumberFormat="1" applyFont="1" applyAlignment="1">
      <alignment vertical="center"/>
    </xf>
    <xf numFmtId="37" fontId="49" fillId="0" borderId="160" xfId="0" applyNumberFormat="1" applyFont="1" applyBorder="1" applyAlignment="1">
      <alignment horizontal="center" vertical="center"/>
    </xf>
    <xf numFmtId="3" fontId="40" fillId="2" borderId="0" xfId="0" applyNumberFormat="1" applyFont="1" applyFill="1" applyAlignment="1">
      <alignment horizontal="center" vertical="center"/>
    </xf>
    <xf numFmtId="3" fontId="49" fillId="0" borderId="0" xfId="0" quotePrefix="1" applyNumberFormat="1" applyFont="1" applyAlignment="1">
      <alignment horizontal="center" vertical="center"/>
    </xf>
    <xf numFmtId="9" fontId="49" fillId="0" borderId="70" xfId="0" quotePrefix="1" applyNumberFormat="1" applyFont="1" applyBorder="1" applyAlignment="1">
      <alignment horizontal="center" vertical="center"/>
    </xf>
    <xf numFmtId="37" fontId="49" fillId="0" borderId="147" xfId="0" applyNumberFormat="1" applyFont="1" applyBorder="1" applyAlignment="1">
      <alignment horizontal="center" vertical="center"/>
    </xf>
    <xf numFmtId="37" fontId="49" fillId="17" borderId="147" xfId="0" applyNumberFormat="1" applyFont="1" applyFill="1" applyBorder="1" applyAlignment="1">
      <alignment horizontal="center" vertical="center"/>
    </xf>
    <xf numFmtId="37" fontId="49" fillId="0" borderId="114" xfId="0" applyNumberFormat="1" applyFont="1" applyBorder="1" applyAlignment="1">
      <alignment horizontal="center" vertical="center"/>
    </xf>
    <xf numFmtId="37" fontId="49" fillId="2" borderId="129" xfId="0" applyNumberFormat="1" applyFont="1" applyFill="1" applyBorder="1" applyAlignment="1">
      <alignment horizontal="center" vertical="center"/>
    </xf>
    <xf numFmtId="3" fontId="49" fillId="4" borderId="0" xfId="0" applyNumberFormat="1" applyFont="1" applyFill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10" fontId="40" fillId="2" borderId="0" xfId="1" applyNumberFormat="1" applyFont="1" applyFill="1" applyAlignment="1">
      <alignment horizontal="center" vertical="center"/>
    </xf>
    <xf numFmtId="3" fontId="53" fillId="0" borderId="43" xfId="0" applyNumberFormat="1" applyFont="1" applyBorder="1" applyAlignment="1">
      <alignment horizontal="center" vertical="center" wrapText="1"/>
    </xf>
    <xf numFmtId="37" fontId="49" fillId="0" borderId="131" xfId="0" applyNumberFormat="1" applyFont="1" applyBorder="1" applyAlignment="1">
      <alignment vertical="center"/>
    </xf>
    <xf numFmtId="37" fontId="49" fillId="0" borderId="147" xfId="0" applyNumberFormat="1" applyFont="1" applyBorder="1" applyAlignment="1">
      <alignment vertical="center"/>
    </xf>
    <xf numFmtId="37" fontId="49" fillId="17" borderId="147" xfId="0" applyNumberFormat="1" applyFont="1" applyFill="1" applyBorder="1" applyAlignment="1">
      <alignment vertical="center"/>
    </xf>
    <xf numFmtId="37" fontId="49" fillId="0" borderId="114" xfId="0" applyNumberFormat="1" applyFont="1" applyBorder="1" applyAlignment="1">
      <alignment vertical="center"/>
    </xf>
    <xf numFmtId="3" fontId="49" fillId="4" borderId="0" xfId="0" applyNumberFormat="1" applyFont="1" applyFill="1" applyAlignment="1">
      <alignment vertical="center"/>
    </xf>
    <xf numFmtId="37" fontId="49" fillId="0" borderId="29" xfId="0" applyNumberFormat="1" applyFont="1" applyBorder="1" applyAlignment="1">
      <alignment vertical="center"/>
    </xf>
    <xf numFmtId="37" fontId="49" fillId="0" borderId="109" xfId="0" applyNumberFormat="1" applyFont="1" applyBorder="1" applyAlignment="1">
      <alignment vertical="center"/>
    </xf>
    <xf numFmtId="37" fontId="19" fillId="0" borderId="147" xfId="0" applyNumberFormat="1" applyFont="1" applyBorder="1" applyAlignment="1">
      <alignment vertical="center"/>
    </xf>
    <xf numFmtId="37" fontId="77" fillId="2" borderId="0" xfId="0" applyNumberFormat="1" applyFont="1" applyFill="1" applyAlignment="1">
      <alignment vertical="center"/>
    </xf>
    <xf numFmtId="37" fontId="61" fillId="0" borderId="58" xfId="0" applyNumberFormat="1" applyFont="1" applyBorder="1" applyAlignment="1">
      <alignment vertical="center"/>
    </xf>
    <xf numFmtId="37" fontId="61" fillId="0" borderId="89" xfId="0" applyNumberFormat="1" applyFont="1" applyBorder="1" applyAlignment="1">
      <alignment vertical="center"/>
    </xf>
    <xf numFmtId="37" fontId="61" fillId="0" borderId="92" xfId="0" applyNumberFormat="1" applyFont="1" applyBorder="1" applyAlignment="1">
      <alignment vertical="center"/>
    </xf>
    <xf numFmtId="37" fontId="61" fillId="0" borderId="48" xfId="0" applyNumberFormat="1" applyFont="1" applyBorder="1" applyAlignment="1">
      <alignment vertical="center"/>
    </xf>
    <xf numFmtId="3" fontId="41" fillId="0" borderId="0" xfId="0" applyNumberFormat="1" applyFont="1" applyAlignment="1">
      <alignment vertical="center"/>
    </xf>
    <xf numFmtId="37" fontId="23" fillId="0" borderId="147" xfId="0" applyNumberFormat="1" applyFont="1" applyBorder="1" applyAlignment="1">
      <alignment vertical="center"/>
    </xf>
    <xf numFmtId="37" fontId="79" fillId="0" borderId="147" xfId="0" applyNumberFormat="1" applyFont="1" applyBorder="1" applyAlignment="1">
      <alignment vertical="center"/>
    </xf>
    <xf numFmtId="37" fontId="15" fillId="0" borderId="147" xfId="0" applyNumberFormat="1" applyFont="1" applyBorder="1" applyAlignment="1">
      <alignment vertical="center"/>
    </xf>
    <xf numFmtId="37" fontId="19" fillId="2" borderId="147" xfId="0" applyNumberFormat="1" applyFont="1" applyFill="1" applyBorder="1" applyAlignment="1">
      <alignment vertical="center"/>
    </xf>
    <xf numFmtId="37" fontId="21" fillId="0" borderId="147" xfId="0" applyNumberFormat="1" applyFont="1" applyBorder="1" applyAlignment="1">
      <alignment vertical="center"/>
    </xf>
    <xf numFmtId="3" fontId="21" fillId="0" borderId="119" xfId="0" applyNumberFormat="1" applyFont="1" applyBorder="1" applyAlignment="1">
      <alignment vertical="center"/>
    </xf>
    <xf numFmtId="3" fontId="61" fillId="0" borderId="161" xfId="0" applyNumberFormat="1" applyFont="1" applyBorder="1" applyAlignment="1">
      <alignment vertical="center"/>
    </xf>
    <xf numFmtId="0" fontId="67" fillId="0" borderId="42" xfId="0" applyFont="1" applyBorder="1" applyAlignment="1">
      <alignment vertical="center"/>
    </xf>
    <xf numFmtId="0" fontId="67" fillId="0" borderId="43" xfId="0" applyFont="1" applyBorder="1" applyAlignment="1">
      <alignment horizontal="center" vertical="center" wrapText="1"/>
    </xf>
    <xf numFmtId="37" fontId="38" fillId="0" borderId="32" xfId="0" applyNumberFormat="1" applyFont="1" applyBorder="1" applyAlignment="1">
      <alignment horizontal="center" vertical="center" wrapText="1"/>
    </xf>
    <xf numFmtId="37" fontId="67" fillId="0" borderId="42" xfId="0" applyNumberFormat="1" applyFont="1" applyBorder="1" applyAlignment="1">
      <alignment horizontal="center" vertical="center" wrapText="1"/>
    </xf>
    <xf numFmtId="37" fontId="38" fillId="0" borderId="43" xfId="0" applyNumberFormat="1" applyFont="1" applyBorder="1" applyAlignment="1">
      <alignment horizontal="center" vertical="center" wrapText="1"/>
    </xf>
    <xf numFmtId="37" fontId="62" fillId="0" borderId="43" xfId="0" applyNumberFormat="1" applyFont="1" applyBorder="1" applyAlignment="1">
      <alignment horizontal="center" vertical="center" wrapText="1"/>
    </xf>
    <xf numFmtId="37" fontId="37" fillId="0" borderId="43" xfId="0" applyNumberFormat="1" applyFont="1" applyBorder="1" applyAlignment="1">
      <alignment horizontal="center" vertical="center" wrapText="1"/>
    </xf>
    <xf numFmtId="37" fontId="72" fillId="0" borderId="43" xfId="0" applyNumberFormat="1" applyFont="1" applyBorder="1" applyAlignment="1">
      <alignment horizontal="center" vertical="center" wrapText="1"/>
    </xf>
    <xf numFmtId="37" fontId="90" fillId="0" borderId="43" xfId="0" applyNumberFormat="1" applyFont="1" applyBorder="1" applyAlignment="1">
      <alignment horizontal="center" vertical="center" wrapText="1"/>
    </xf>
    <xf numFmtId="37" fontId="62" fillId="0" borderId="44" xfId="0" applyNumberFormat="1" applyFont="1" applyBorder="1" applyAlignment="1">
      <alignment horizontal="center" vertical="center" wrapText="1"/>
    </xf>
    <xf numFmtId="37" fontId="38" fillId="0" borderId="42" xfId="0" applyNumberFormat="1" applyFont="1" applyBorder="1" applyAlignment="1">
      <alignment horizontal="center" vertical="center" wrapText="1"/>
    </xf>
    <xf numFmtId="37" fontId="38" fillId="0" borderId="44" xfId="0" applyNumberFormat="1" applyFont="1" applyBorder="1" applyAlignment="1">
      <alignment horizontal="center" vertical="center" wrapText="1"/>
    </xf>
    <xf numFmtId="37" fontId="18" fillId="5" borderId="109" xfId="0" applyNumberFormat="1" applyFont="1" applyFill="1" applyBorder="1" applyAlignment="1">
      <alignment vertical="center"/>
    </xf>
    <xf numFmtId="37" fontId="18" fillId="5" borderId="109" xfId="0" applyNumberFormat="1" applyFont="1" applyFill="1" applyBorder="1" applyAlignment="1">
      <alignment vertical="center" wrapText="1"/>
    </xf>
    <xf numFmtId="37" fontId="43" fillId="0" borderId="147" xfId="0" quotePrefix="1" applyNumberFormat="1" applyFont="1" applyBorder="1" applyAlignment="1">
      <alignment horizontal="left" vertical="center" wrapText="1"/>
    </xf>
    <xf numFmtId="37" fontId="43" fillId="2" borderId="147" xfId="0" applyNumberFormat="1" applyFont="1" applyFill="1" applyBorder="1" applyAlignment="1">
      <alignment vertical="center" wrapText="1"/>
    </xf>
    <xf numFmtId="37" fontId="61" fillId="5" borderId="0" xfId="0" applyNumberFormat="1" applyFont="1" applyFill="1" applyAlignment="1">
      <alignment horizontal="center" vertical="center"/>
    </xf>
    <xf numFmtId="14" fontId="61" fillId="5" borderId="0" xfId="0" applyNumberFormat="1" applyFont="1" applyFill="1" applyAlignment="1">
      <alignment horizontal="center" vertical="center"/>
    </xf>
    <xf numFmtId="37" fontId="88" fillId="5" borderId="109" xfId="0" applyNumberFormat="1" applyFont="1" applyFill="1" applyBorder="1" applyAlignment="1">
      <alignment vertical="center"/>
    </xf>
    <xf numFmtId="37" fontId="44" fillId="5" borderId="109" xfId="0" applyNumberFormat="1" applyFont="1" applyFill="1" applyBorder="1" applyAlignment="1">
      <alignment vertical="center"/>
    </xf>
    <xf numFmtId="49" fontId="19" fillId="0" borderId="0" xfId="0" applyNumberFormat="1" applyFont="1" applyAlignment="1">
      <alignment horizontal="centerContinuous" vertical="center"/>
    </xf>
    <xf numFmtId="37" fontId="19" fillId="0" borderId="149" xfId="0" applyNumberFormat="1" applyFont="1" applyBorder="1" applyAlignment="1">
      <alignment horizontal="center" vertical="center"/>
    </xf>
    <xf numFmtId="37" fontId="19" fillId="0" borderId="58" xfId="0" applyNumberFormat="1" applyFont="1" applyBorder="1" applyAlignment="1">
      <alignment horizontal="center" vertical="center"/>
    </xf>
    <xf numFmtId="37" fontId="19" fillId="0" borderId="89" xfId="0" applyNumberFormat="1" applyFont="1" applyBorder="1" applyAlignment="1">
      <alignment horizontal="center" vertical="center"/>
    </xf>
    <xf numFmtId="37" fontId="19" fillId="17" borderId="89" xfId="0" applyNumberFormat="1" applyFont="1" applyFill="1" applyBorder="1" applyAlignment="1">
      <alignment horizontal="center" vertical="center"/>
    </xf>
    <xf numFmtId="37" fontId="19" fillId="0" borderId="92" xfId="0" applyNumberFormat="1" applyFont="1" applyBorder="1" applyAlignment="1">
      <alignment horizontal="center" vertical="center"/>
    </xf>
    <xf numFmtId="14" fontId="19" fillId="0" borderId="58" xfId="0" applyNumberFormat="1" applyFont="1" applyBorder="1" applyAlignment="1">
      <alignment horizontal="center" vertical="center"/>
    </xf>
    <xf numFmtId="14" fontId="19" fillId="0" borderId="89" xfId="0" applyNumberFormat="1" applyFont="1" applyBorder="1" applyAlignment="1">
      <alignment horizontal="center" vertical="center"/>
    </xf>
    <xf numFmtId="14" fontId="19" fillId="0" borderId="92" xfId="0" applyNumberFormat="1" applyFont="1" applyBorder="1" applyAlignment="1">
      <alignment horizontal="center" vertical="center"/>
    </xf>
    <xf numFmtId="37" fontId="19" fillId="2" borderId="92" xfId="0" applyNumberFormat="1" applyFont="1" applyFill="1" applyBorder="1" applyAlignment="1">
      <alignment horizontal="center" vertical="center"/>
    </xf>
    <xf numFmtId="37" fontId="31" fillId="0" borderId="85" xfId="0" applyNumberFormat="1" applyFont="1" applyBorder="1" applyAlignment="1">
      <alignment vertical="center"/>
    </xf>
    <xf numFmtId="37" fontId="19" fillId="19" borderId="89" xfId="0" applyNumberFormat="1" applyFont="1" applyFill="1" applyBorder="1" applyAlignment="1">
      <alignment horizontal="center" vertical="center"/>
    </xf>
    <xf numFmtId="0" fontId="6" fillId="9" borderId="147" xfId="0" applyFont="1" applyFill="1" applyBorder="1" applyAlignment="1">
      <alignment vertical="center" wrapText="1"/>
    </xf>
    <xf numFmtId="14" fontId="19" fillId="17" borderId="89" xfId="0" applyNumberFormat="1" applyFont="1" applyFill="1" applyBorder="1" applyAlignment="1">
      <alignment horizontal="center" vertical="center"/>
    </xf>
    <xf numFmtId="14" fontId="19" fillId="2" borderId="92" xfId="0" applyNumberFormat="1" applyFont="1" applyFill="1" applyBorder="1" applyAlignment="1">
      <alignment horizontal="center" vertical="center"/>
    </xf>
    <xf numFmtId="37" fontId="44" fillId="10" borderId="24" xfId="0" applyNumberFormat="1" applyFont="1" applyFill="1" applyBorder="1" applyAlignment="1">
      <alignment horizontal="center" vertical="center"/>
    </xf>
    <xf numFmtId="37" fontId="44" fillId="10" borderId="24" xfId="0" applyNumberFormat="1" applyFont="1" applyFill="1" applyBorder="1" applyAlignment="1">
      <alignment vertical="center"/>
    </xf>
    <xf numFmtId="37" fontId="19" fillId="5" borderId="131" xfId="0" applyNumberFormat="1" applyFont="1" applyFill="1" applyBorder="1" applyAlignment="1">
      <alignment horizontal="center" vertical="center"/>
    </xf>
    <xf numFmtId="37" fontId="44" fillId="0" borderId="147" xfId="0" applyNumberFormat="1" applyFont="1" applyBorder="1" applyAlignment="1">
      <alignment horizontal="center" vertical="center" wrapText="1"/>
    </xf>
    <xf numFmtId="37" fontId="41" fillId="0" borderId="147" xfId="0" applyNumberFormat="1" applyFont="1" applyBorder="1" applyAlignment="1">
      <alignment vertical="center"/>
    </xf>
    <xf numFmtId="37" fontId="89" fillId="5" borderId="147" xfId="0" applyNumberFormat="1" applyFont="1" applyFill="1" applyBorder="1" applyAlignment="1">
      <alignment vertical="center"/>
    </xf>
    <xf numFmtId="0" fontId="18" fillId="0" borderId="29" xfId="0" applyFont="1" applyBorder="1" applyAlignment="1">
      <alignment vertical="center" wrapText="1"/>
    </xf>
    <xf numFmtId="0" fontId="18" fillId="0" borderId="109" xfId="0" quotePrefix="1" applyFont="1" applyBorder="1" applyAlignment="1">
      <alignment horizontal="left" vertical="center" wrapText="1"/>
    </xf>
    <xf numFmtId="37" fontId="9" fillId="5" borderId="109" xfId="0" applyNumberFormat="1" applyFont="1" applyFill="1" applyBorder="1" applyAlignment="1">
      <alignment vertical="center" wrapText="1"/>
    </xf>
    <xf numFmtId="37" fontId="19" fillId="20" borderId="58" xfId="0" applyNumberFormat="1" applyFont="1" applyFill="1" applyBorder="1" applyAlignment="1">
      <alignment horizontal="center" vertical="center"/>
    </xf>
    <xf numFmtId="37" fontId="19" fillId="2" borderId="160" xfId="0" applyNumberFormat="1" applyFont="1" applyFill="1" applyBorder="1" applyAlignment="1">
      <alignment horizontal="center" vertical="center"/>
    </xf>
    <xf numFmtId="37" fontId="19" fillId="2" borderId="10" xfId="0" applyNumberFormat="1" applyFont="1" applyFill="1" applyBorder="1" applyAlignment="1">
      <alignment horizontal="center" vertical="center"/>
    </xf>
    <xf numFmtId="37" fontId="19" fillId="5" borderId="148" xfId="0" applyNumberFormat="1" applyFont="1" applyFill="1" applyBorder="1" applyAlignment="1">
      <alignment horizontal="center" vertical="center"/>
    </xf>
    <xf numFmtId="37" fontId="35" fillId="5" borderId="109" xfId="0" applyNumberFormat="1" applyFont="1" applyFill="1" applyBorder="1" applyAlignment="1">
      <alignment horizontal="right" vertical="center"/>
    </xf>
    <xf numFmtId="37" fontId="50" fillId="5" borderId="147" xfId="0" applyNumberFormat="1" applyFont="1" applyFill="1" applyBorder="1" applyAlignment="1">
      <alignment horizontal="center" vertical="center"/>
    </xf>
    <xf numFmtId="3" fontId="4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7" fontId="66" fillId="0" borderId="0" xfId="2" applyNumberFormat="1" applyFont="1" applyBorder="1" applyAlignment="1">
      <alignment horizontal="center" vertical="center"/>
    </xf>
    <xf numFmtId="168" fontId="43" fillId="0" borderId="0" xfId="2" applyNumberFormat="1" applyFont="1" applyBorder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 wrapText="1"/>
    </xf>
    <xf numFmtId="15" fontId="31" fillId="2" borderId="0" xfId="0" applyNumberFormat="1" applyFont="1" applyFill="1" applyAlignment="1">
      <alignment horizontal="center" vertical="center"/>
    </xf>
    <xf numFmtId="0" fontId="19" fillId="0" borderId="112" xfId="0" quotePrefix="1" applyFont="1" applyBorder="1" applyAlignment="1">
      <alignment vertical="center"/>
    </xf>
    <xf numFmtId="0" fontId="19" fillId="0" borderId="113" xfId="0" quotePrefix="1" applyFont="1" applyBorder="1" applyAlignment="1">
      <alignment vertical="center"/>
    </xf>
    <xf numFmtId="0" fontId="19" fillId="0" borderId="154" xfId="0" quotePrefix="1" applyFont="1" applyBorder="1" applyAlignment="1">
      <alignment vertical="center"/>
    </xf>
    <xf numFmtId="0" fontId="19" fillId="0" borderId="99" xfId="0" quotePrefix="1" applyFont="1" applyBorder="1" applyAlignment="1">
      <alignment vertical="center"/>
    </xf>
    <xf numFmtId="37" fontId="8" fillId="4" borderId="0" xfId="0" applyNumberFormat="1" applyFont="1" applyFill="1" applyAlignment="1">
      <alignment horizontal="center" vertical="center"/>
    </xf>
    <xf numFmtId="0" fontId="19" fillId="0" borderId="98" xfId="0" quotePrefix="1" applyFont="1" applyBorder="1" applyAlignment="1">
      <alignment vertical="center"/>
    </xf>
    <xf numFmtId="0" fontId="19" fillId="0" borderId="90" xfId="0" quotePrefix="1" applyFont="1" applyBorder="1" applyAlignment="1">
      <alignment vertical="center"/>
    </xf>
    <xf numFmtId="37" fontId="19" fillId="0" borderId="160" xfId="0" applyNumberFormat="1" applyFont="1" applyBorder="1" applyAlignment="1">
      <alignment horizontal="center" vertical="center"/>
    </xf>
    <xf numFmtId="37" fontId="49" fillId="5" borderId="147" xfId="0" applyNumberFormat="1" applyFont="1" applyFill="1" applyBorder="1" applyAlignment="1">
      <alignment horizontal="center" vertical="center"/>
    </xf>
    <xf numFmtId="37" fontId="19" fillId="5" borderId="89" xfId="0" applyNumberFormat="1" applyFont="1" applyFill="1" applyBorder="1" applyAlignment="1">
      <alignment horizontal="center" vertical="center"/>
    </xf>
    <xf numFmtId="14" fontId="19" fillId="5" borderId="89" xfId="0" applyNumberFormat="1" applyFont="1" applyFill="1" applyBorder="1" applyAlignment="1">
      <alignment horizontal="center" vertical="center"/>
    </xf>
    <xf numFmtId="0" fontId="31" fillId="0" borderId="71" xfId="0" applyFont="1" applyBorder="1" applyAlignment="1">
      <alignment horizontal="centerContinuous" vertical="center"/>
    </xf>
    <xf numFmtId="0" fontId="31" fillId="0" borderId="71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8" fillId="0" borderId="71" xfId="0" applyFont="1" applyBorder="1" applyAlignment="1">
      <alignment horizontal="centerContinuous" vertical="center"/>
    </xf>
    <xf numFmtId="0" fontId="40" fillId="0" borderId="71" xfId="0" applyFont="1" applyBorder="1" applyAlignment="1">
      <alignment horizontal="centerContinuous" vertical="center"/>
    </xf>
    <xf numFmtId="37" fontId="58" fillId="0" borderId="71" xfId="0" applyNumberFormat="1" applyFont="1" applyBorder="1" applyAlignment="1">
      <alignment horizontal="centerContinuous" vertical="center"/>
    </xf>
    <xf numFmtId="37" fontId="21" fillId="0" borderId="95" xfId="0" applyNumberFormat="1" applyFont="1" applyBorder="1" applyAlignment="1">
      <alignment horizontal="center" vertical="center"/>
    </xf>
    <xf numFmtId="37" fontId="30" fillId="0" borderId="72" xfId="0" applyNumberFormat="1" applyFont="1" applyBorder="1" applyAlignment="1">
      <alignment vertical="center"/>
    </xf>
    <xf numFmtId="37" fontId="21" fillId="0" borderId="26" xfId="0" quotePrefix="1" applyNumberFormat="1" applyFont="1" applyBorder="1" applyAlignment="1">
      <alignment vertical="center"/>
    </xf>
    <xf numFmtId="3" fontId="61" fillId="0" borderId="0" xfId="0" applyNumberFormat="1" applyFont="1" applyAlignment="1">
      <alignment vertical="center"/>
    </xf>
    <xf numFmtId="10" fontId="29" fillId="5" borderId="71" xfId="0" applyNumberFormat="1" applyFont="1" applyFill="1" applyBorder="1" applyAlignment="1">
      <alignment horizontal="center" vertical="center"/>
    </xf>
    <xf numFmtId="37" fontId="9" fillId="0" borderId="130" xfId="0" applyNumberFormat="1" applyFont="1" applyBorder="1" applyAlignment="1">
      <alignment vertical="center"/>
    </xf>
    <xf numFmtId="37" fontId="61" fillId="0" borderId="35" xfId="0" applyNumberFormat="1" applyFont="1" applyBorder="1" applyAlignment="1">
      <alignment horizontal="center" vertical="center"/>
    </xf>
    <xf numFmtId="37" fontId="61" fillId="0" borderId="24" xfId="0" applyNumberFormat="1" applyFont="1" applyBorder="1" applyAlignment="1">
      <alignment horizontal="center" vertical="center"/>
    </xf>
    <xf numFmtId="10" fontId="44" fillId="5" borderId="106" xfId="1" applyNumberFormat="1" applyFont="1" applyFill="1" applyBorder="1" applyAlignment="1">
      <alignment horizontal="center" vertical="center"/>
    </xf>
    <xf numFmtId="10" fontId="61" fillId="5" borderId="106" xfId="1" applyNumberFormat="1" applyFont="1" applyFill="1" applyBorder="1" applyAlignment="1">
      <alignment horizontal="center" vertical="center"/>
    </xf>
    <xf numFmtId="10" fontId="87" fillId="5" borderId="106" xfId="1" applyNumberFormat="1" applyFont="1" applyFill="1" applyBorder="1" applyAlignment="1">
      <alignment horizontal="center" vertical="center"/>
    </xf>
    <xf numFmtId="10" fontId="19" fillId="5" borderId="106" xfId="1" applyNumberFormat="1" applyFont="1" applyFill="1" applyBorder="1" applyAlignment="1">
      <alignment horizontal="center" vertical="center"/>
    </xf>
    <xf numFmtId="10" fontId="44" fillId="5" borderId="116" xfId="1" applyNumberFormat="1" applyFont="1" applyFill="1" applyBorder="1" applyAlignment="1">
      <alignment horizontal="center" vertical="center"/>
    </xf>
    <xf numFmtId="37" fontId="18" fillId="0" borderId="53" xfId="0" applyNumberFormat="1" applyFont="1" applyBorder="1" applyAlignment="1">
      <alignment vertical="center"/>
    </xf>
    <xf numFmtId="37" fontId="43" fillId="0" borderId="147" xfId="0" applyNumberFormat="1" applyFont="1" applyBorder="1" applyAlignment="1">
      <alignment horizontal="center" vertical="center"/>
    </xf>
    <xf numFmtId="37" fontId="18" fillId="0" borderId="70" xfId="0" applyNumberFormat="1" applyFont="1" applyBorder="1" applyAlignment="1">
      <alignment horizontal="center" vertical="center"/>
    </xf>
    <xf numFmtId="37" fontId="43" fillId="0" borderId="7" xfId="0" applyNumberFormat="1" applyFont="1" applyBorder="1" applyAlignment="1">
      <alignment horizontal="center" vertical="center"/>
    </xf>
    <xf numFmtId="37" fontId="43" fillId="0" borderId="56" xfId="0" applyNumberFormat="1" applyFont="1" applyBorder="1" applyAlignment="1">
      <alignment horizontal="center" vertical="center"/>
    </xf>
    <xf numFmtId="37" fontId="43" fillId="9" borderId="0" xfId="0" applyNumberFormat="1" applyFont="1" applyFill="1" applyAlignment="1">
      <alignment horizontal="center" vertical="center"/>
    </xf>
    <xf numFmtId="37" fontId="43" fillId="10" borderId="147" xfId="0" applyNumberFormat="1" applyFont="1" applyFill="1" applyBorder="1" applyAlignment="1">
      <alignment horizontal="center" vertical="center"/>
    </xf>
    <xf numFmtId="37" fontId="61" fillId="17" borderId="89" xfId="0" applyNumberFormat="1" applyFont="1" applyFill="1" applyBorder="1" applyAlignment="1">
      <alignment vertical="center"/>
    </xf>
    <xf numFmtId="37" fontId="11" fillId="3" borderId="129" xfId="0" applyNumberFormat="1" applyFont="1" applyFill="1" applyBorder="1" applyAlignment="1">
      <alignment horizontal="center" vertical="center" wrapText="1"/>
    </xf>
    <xf numFmtId="37" fontId="19" fillId="0" borderId="45" xfId="0" applyNumberFormat="1" applyFont="1" applyBorder="1" applyAlignment="1">
      <alignment horizontal="center" vertical="center"/>
    </xf>
    <xf numFmtId="37" fontId="19" fillId="3" borderId="0" xfId="0" applyNumberFormat="1" applyFont="1" applyFill="1" applyAlignment="1">
      <alignment horizontal="center" vertical="center"/>
    </xf>
    <xf numFmtId="37" fontId="61" fillId="3" borderId="0" xfId="0" applyNumberFormat="1" applyFont="1" applyFill="1" applyAlignment="1">
      <alignment horizontal="center" vertical="center"/>
    </xf>
    <xf numFmtId="37" fontId="15" fillId="0" borderId="48" xfId="0" applyNumberFormat="1" applyFont="1" applyBorder="1" applyAlignment="1">
      <alignment horizontal="center" vertical="center"/>
    </xf>
    <xf numFmtId="37" fontId="19" fillId="0" borderId="45" xfId="0" applyNumberFormat="1" applyFont="1" applyBorder="1" applyAlignment="1">
      <alignment vertical="center"/>
    </xf>
    <xf numFmtId="37" fontId="18" fillId="0" borderId="0" xfId="0" applyNumberFormat="1" applyFont="1" applyAlignment="1">
      <alignment horizontal="centerContinuous" vertical="center"/>
    </xf>
    <xf numFmtId="37" fontId="35" fillId="0" borderId="0" xfId="0" applyNumberFormat="1" applyFont="1" applyAlignment="1">
      <alignment horizontal="centerContinuous" vertical="center"/>
    </xf>
    <xf numFmtId="37" fontId="45" fillId="0" borderId="0" xfId="0" applyNumberFormat="1" applyFont="1" applyAlignment="1">
      <alignment horizontal="centerContinuous" vertical="center"/>
    </xf>
    <xf numFmtId="37" fontId="61" fillId="0" borderId="0" xfId="0" applyNumberFormat="1" applyFont="1" applyAlignment="1">
      <alignment horizontal="centerContinuous" vertical="center"/>
    </xf>
    <xf numFmtId="37" fontId="5" fillId="0" borderId="160" xfId="0" applyNumberFormat="1" applyFont="1" applyBorder="1" applyAlignment="1">
      <alignment horizontal="right" vertical="center"/>
    </xf>
    <xf numFmtId="37" fontId="35" fillId="0" borderId="160" xfId="0" applyNumberFormat="1" applyFont="1" applyBorder="1" applyAlignment="1">
      <alignment horizontal="center" vertical="center"/>
    </xf>
    <xf numFmtId="37" fontId="18" fillId="0" borderId="160" xfId="0" applyNumberFormat="1" applyFont="1" applyBorder="1" applyAlignment="1">
      <alignment vertical="center"/>
    </xf>
    <xf numFmtId="37" fontId="35" fillId="0" borderId="160" xfId="0" applyNumberFormat="1" applyFont="1" applyBorder="1" applyAlignment="1">
      <alignment vertical="center"/>
    </xf>
    <xf numFmtId="37" fontId="15" fillId="0" borderId="132" xfId="0" applyNumberFormat="1" applyFont="1" applyBorder="1" applyAlignment="1">
      <alignment horizontal="center" vertical="center"/>
    </xf>
    <xf numFmtId="37" fontId="45" fillId="0" borderId="148" xfId="0" applyNumberFormat="1" applyFont="1" applyBorder="1" applyAlignment="1">
      <alignment vertical="center"/>
    </xf>
    <xf numFmtId="37" fontId="35" fillId="0" borderId="147" xfId="0" quotePrefix="1" applyNumberFormat="1" applyFont="1" applyBorder="1" applyAlignment="1">
      <alignment horizontal="center" vertical="center"/>
    </xf>
    <xf numFmtId="37" fontId="9" fillId="0" borderId="150" xfId="0" applyNumberFormat="1" applyFont="1" applyBorder="1" applyAlignment="1">
      <alignment horizontal="right" vertical="center"/>
    </xf>
    <xf numFmtId="37" fontId="15" fillId="0" borderId="103" xfId="0" applyNumberFormat="1" applyFont="1" applyBorder="1" applyAlignment="1">
      <alignment vertical="center"/>
    </xf>
    <xf numFmtId="0" fontId="18" fillId="0" borderId="160" xfId="0" applyFont="1" applyBorder="1" applyAlignment="1">
      <alignment vertical="center" wrapText="1"/>
    </xf>
    <xf numFmtId="0" fontId="35" fillId="17" borderId="150" xfId="0" applyFont="1" applyFill="1" applyBorder="1" applyAlignment="1">
      <alignment horizontal="center" vertical="center"/>
    </xf>
    <xf numFmtId="37" fontId="35" fillId="17" borderId="147" xfId="0" applyNumberFormat="1" applyFont="1" applyFill="1" applyBorder="1" applyAlignment="1">
      <alignment horizontal="center" vertical="center"/>
    </xf>
    <xf numFmtId="37" fontId="43" fillId="17" borderId="146" xfId="0" applyNumberFormat="1" applyFont="1" applyFill="1" applyBorder="1" applyAlignment="1">
      <alignment vertical="center"/>
    </xf>
    <xf numFmtId="37" fontId="18" fillId="17" borderId="148" xfId="0" applyNumberFormat="1" applyFont="1" applyFill="1" applyBorder="1" applyAlignment="1">
      <alignment vertical="center"/>
    </xf>
    <xf numFmtId="37" fontId="44" fillId="17" borderId="146" xfId="0" applyNumberFormat="1" applyFont="1" applyFill="1" applyBorder="1" applyAlignment="1">
      <alignment vertical="center"/>
    </xf>
    <xf numFmtId="37" fontId="15" fillId="17" borderId="148" xfId="0" applyNumberFormat="1" applyFont="1" applyFill="1" applyBorder="1" applyAlignment="1">
      <alignment vertical="center"/>
    </xf>
    <xf numFmtId="37" fontId="18" fillId="17" borderId="146" xfId="0" applyNumberFormat="1" applyFont="1" applyFill="1" applyBorder="1" applyAlignment="1">
      <alignment horizontal="right" vertical="center"/>
    </xf>
    <xf numFmtId="0" fontId="5" fillId="17" borderId="147" xfId="0" applyFont="1" applyFill="1" applyBorder="1" applyAlignment="1">
      <alignment vertical="center" wrapText="1"/>
    </xf>
    <xf numFmtId="37" fontId="5" fillId="17" borderId="147" xfId="0" applyNumberFormat="1" applyFont="1" applyFill="1" applyBorder="1" applyAlignment="1">
      <alignment horizontal="right" vertical="center"/>
    </xf>
    <xf numFmtId="37" fontId="45" fillId="17" borderId="134" xfId="0" applyNumberFormat="1" applyFont="1" applyFill="1" applyBorder="1" applyAlignment="1">
      <alignment vertical="center"/>
    </xf>
    <xf numFmtId="37" fontId="45" fillId="17" borderId="148" xfId="0" applyNumberFormat="1" applyFont="1" applyFill="1" applyBorder="1" applyAlignment="1">
      <alignment vertical="center"/>
    </xf>
    <xf numFmtId="37" fontId="44" fillId="17" borderId="111" xfId="0" applyNumberFormat="1" applyFont="1" applyFill="1" applyBorder="1" applyAlignment="1">
      <alignment vertical="center"/>
    </xf>
    <xf numFmtId="37" fontId="15" fillId="17" borderId="153" xfId="0" applyNumberFormat="1" applyFont="1" applyFill="1" applyBorder="1" applyAlignment="1">
      <alignment vertical="center"/>
    </xf>
    <xf numFmtId="37" fontId="95" fillId="9" borderId="0" xfId="0" applyNumberFormat="1" applyFont="1" applyFill="1" applyAlignment="1">
      <alignment vertical="center"/>
    </xf>
    <xf numFmtId="37" fontId="96" fillId="9" borderId="0" xfId="0" applyNumberFormat="1" applyFont="1" applyFill="1" applyAlignment="1">
      <alignment vertical="center" wrapText="1"/>
    </xf>
    <xf numFmtId="37" fontId="35" fillId="0" borderId="160" xfId="0" applyNumberFormat="1" applyFont="1" applyBorder="1" applyAlignment="1">
      <alignment horizontal="right" vertical="center"/>
    </xf>
    <xf numFmtId="37" fontId="50" fillId="0" borderId="160" xfId="0" applyNumberFormat="1" applyFont="1" applyBorder="1" applyAlignment="1">
      <alignment horizontal="center" vertical="center"/>
    </xf>
    <xf numFmtId="14" fontId="19" fillId="0" borderId="160" xfId="0" applyNumberFormat="1" applyFont="1" applyBorder="1" applyAlignment="1">
      <alignment horizontal="center" vertical="center"/>
    </xf>
    <xf numFmtId="3" fontId="44" fillId="0" borderId="127" xfId="0" applyNumberFormat="1" applyFont="1" applyBorder="1" applyAlignment="1">
      <alignment vertical="center"/>
    </xf>
    <xf numFmtId="37" fontId="44" fillId="0" borderId="158" xfId="0" applyNumberFormat="1" applyFont="1" applyBorder="1" applyAlignment="1">
      <alignment vertical="center"/>
    </xf>
    <xf numFmtId="37" fontId="44" fillId="0" borderId="158" xfId="0" applyNumberFormat="1" applyFont="1" applyBorder="1" applyAlignment="1">
      <alignment horizontal="center" vertical="center"/>
    </xf>
    <xf numFmtId="37" fontId="43" fillId="0" borderId="158" xfId="0" applyNumberFormat="1" applyFont="1" applyBorder="1" applyAlignment="1">
      <alignment vertical="center" wrapText="1"/>
    </xf>
    <xf numFmtId="37" fontId="35" fillId="0" borderId="150" xfId="0" applyNumberFormat="1" applyFont="1" applyBorder="1" applyAlignment="1">
      <alignment horizontal="right" vertical="center"/>
    </xf>
    <xf numFmtId="37" fontId="44" fillId="0" borderId="162" xfId="0" applyNumberFormat="1" applyFont="1" applyBorder="1" applyAlignment="1">
      <alignment vertical="center"/>
    </xf>
    <xf numFmtId="37" fontId="9" fillId="0" borderId="151" xfId="0" applyNumberFormat="1" applyFont="1" applyBorder="1" applyAlignment="1">
      <alignment vertical="center" wrapText="1"/>
    </xf>
    <xf numFmtId="37" fontId="35" fillId="0" borderId="152" xfId="0" applyNumberFormat="1" applyFont="1" applyBorder="1" applyAlignment="1">
      <alignment vertical="center"/>
    </xf>
    <xf numFmtId="37" fontId="9" fillId="0" borderId="152" xfId="0" applyNumberFormat="1" applyFont="1" applyBorder="1" applyAlignment="1">
      <alignment horizontal="right" vertical="center"/>
    </xf>
    <xf numFmtId="37" fontId="9" fillId="0" borderId="147" xfId="0" applyNumberFormat="1" applyFont="1" applyBorder="1" applyAlignment="1">
      <alignment horizontal="center" vertical="center"/>
    </xf>
    <xf numFmtId="37" fontId="44" fillId="0" borderId="159" xfId="0" applyNumberFormat="1" applyFont="1" applyBorder="1" applyAlignment="1">
      <alignment vertical="center"/>
    </xf>
    <xf numFmtId="37" fontId="44" fillId="0" borderId="130" xfId="0" applyNumberFormat="1" applyFont="1" applyBorder="1" applyAlignment="1">
      <alignment vertical="center" wrapText="1"/>
    </xf>
    <xf numFmtId="37" fontId="44" fillId="0" borderId="127" xfId="0" applyNumberFormat="1" applyFont="1" applyBorder="1" applyAlignment="1">
      <alignment vertical="center"/>
    </xf>
    <xf numFmtId="37" fontId="9" fillId="0" borderId="146" xfId="0" applyNumberFormat="1" applyFont="1" applyBorder="1" applyAlignment="1">
      <alignment vertical="center"/>
    </xf>
    <xf numFmtId="37" fontId="40" fillId="0" borderId="147" xfId="0" applyNumberFormat="1" applyFont="1" applyBorder="1" applyAlignment="1">
      <alignment horizontal="center" vertical="center"/>
    </xf>
    <xf numFmtId="37" fontId="49" fillId="0" borderId="148" xfId="0" applyNumberFormat="1" applyFont="1" applyBorder="1" applyAlignment="1">
      <alignment horizontal="center" vertical="center"/>
    </xf>
    <xf numFmtId="37" fontId="39" fillId="0" borderId="147" xfId="0" applyNumberFormat="1" applyFont="1" applyBorder="1" applyAlignment="1">
      <alignment horizontal="center" vertical="center"/>
    </xf>
    <xf numFmtId="37" fontId="39" fillId="0" borderId="150" xfId="0" applyNumberFormat="1" applyFont="1" applyBorder="1" applyAlignment="1">
      <alignment horizontal="center" vertical="center"/>
    </xf>
    <xf numFmtId="37" fontId="44" fillId="2" borderId="81" xfId="0" applyNumberFormat="1" applyFont="1" applyFill="1" applyBorder="1" applyAlignment="1">
      <alignment vertical="center"/>
    </xf>
    <xf numFmtId="37" fontId="44" fillId="2" borderId="159" xfId="0" applyNumberFormat="1" applyFont="1" applyFill="1" applyBorder="1" applyAlignment="1">
      <alignment vertical="center"/>
    </xf>
    <xf numFmtId="0" fontId="35" fillId="0" borderId="160" xfId="0" applyFont="1" applyBorder="1" applyAlignment="1">
      <alignment horizontal="center" vertical="center"/>
    </xf>
    <xf numFmtId="37" fontId="25" fillId="0" borderId="160" xfId="0" applyNumberFormat="1" applyFont="1" applyBorder="1" applyAlignment="1">
      <alignment vertical="center"/>
    </xf>
    <xf numFmtId="37" fontId="49" fillId="0" borderId="160" xfId="0" applyNumberFormat="1" applyFont="1" applyBorder="1" applyAlignment="1">
      <alignment vertical="center"/>
    </xf>
    <xf numFmtId="37" fontId="61" fillId="0" borderId="160" xfId="0" applyNumberFormat="1" applyFont="1" applyBorder="1" applyAlignment="1">
      <alignment vertical="center"/>
    </xf>
    <xf numFmtId="37" fontId="41" fillId="0" borderId="160" xfId="0" applyNumberFormat="1" applyFont="1" applyBorder="1" applyAlignment="1">
      <alignment horizontal="center" vertical="center"/>
    </xf>
    <xf numFmtId="37" fontId="19" fillId="0" borderId="79" xfId="0" applyNumberFormat="1" applyFont="1" applyBorder="1" applyAlignment="1">
      <alignment horizontal="center" vertical="center"/>
    </xf>
    <xf numFmtId="37" fontId="45" fillId="0" borderId="132" xfId="0" applyNumberFormat="1" applyFont="1" applyBorder="1" applyAlignment="1">
      <alignment horizontal="center" vertical="center"/>
    </xf>
    <xf numFmtId="37" fontId="31" fillId="2" borderId="146" xfId="0" applyNumberFormat="1" applyFont="1" applyFill="1" applyBorder="1" applyAlignment="1">
      <alignment vertical="center"/>
    </xf>
    <xf numFmtId="37" fontId="45" fillId="0" borderId="148" xfId="0" applyNumberFormat="1" applyFont="1" applyBorder="1" applyAlignment="1">
      <alignment horizontal="center" vertical="center"/>
    </xf>
    <xf numFmtId="37" fontId="31" fillId="0" borderId="146" xfId="0" applyNumberFormat="1" applyFont="1" applyBorder="1" applyAlignment="1">
      <alignment vertical="center"/>
    </xf>
    <xf numFmtId="37" fontId="31" fillId="5" borderId="146" xfId="0" applyNumberFormat="1" applyFont="1" applyFill="1" applyBorder="1" applyAlignment="1">
      <alignment vertical="center"/>
    </xf>
    <xf numFmtId="37" fontId="35" fillId="5" borderId="147" xfId="0" applyNumberFormat="1" applyFont="1" applyFill="1" applyBorder="1" applyAlignment="1">
      <alignment vertical="center"/>
    </xf>
    <xf numFmtId="37" fontId="25" fillId="5" borderId="146" xfId="0" applyNumberFormat="1" applyFont="1" applyFill="1" applyBorder="1" applyAlignment="1">
      <alignment vertical="center"/>
    </xf>
    <xf numFmtId="37" fontId="25" fillId="5" borderId="147" xfId="0" applyNumberFormat="1" applyFont="1" applyFill="1" applyBorder="1" applyAlignment="1">
      <alignment vertical="center"/>
    </xf>
    <xf numFmtId="37" fontId="49" fillId="5" borderId="147" xfId="0" applyNumberFormat="1" applyFont="1" applyFill="1" applyBorder="1" applyAlignment="1">
      <alignment vertical="center"/>
    </xf>
    <xf numFmtId="37" fontId="25" fillId="5" borderId="150" xfId="0" applyNumberFormat="1" applyFont="1" applyFill="1" applyBorder="1" applyAlignment="1">
      <alignment vertical="center"/>
    </xf>
    <xf numFmtId="37" fontId="45" fillId="5" borderId="148" xfId="0" applyNumberFormat="1" applyFont="1" applyFill="1" applyBorder="1" applyAlignment="1">
      <alignment horizontal="center" vertical="center"/>
    </xf>
    <xf numFmtId="37" fontId="35" fillId="0" borderId="147" xfId="0" quotePrefix="1" applyNumberFormat="1" applyFont="1" applyBorder="1" applyAlignment="1">
      <alignment vertical="center"/>
    </xf>
    <xf numFmtId="3" fontId="31" fillId="0" borderId="114" xfId="0" applyNumberFormat="1" applyFont="1" applyBorder="1" applyAlignment="1">
      <alignment vertical="center" wrapText="1"/>
    </xf>
    <xf numFmtId="37" fontId="31" fillId="0" borderId="114" xfId="0" applyNumberFormat="1" applyFont="1" applyBorder="1" applyAlignment="1">
      <alignment horizontal="right" vertical="center"/>
    </xf>
    <xf numFmtId="3" fontId="9" fillId="0" borderId="119" xfId="0" applyNumberFormat="1" applyFont="1" applyBorder="1" applyAlignment="1">
      <alignment vertical="center"/>
    </xf>
    <xf numFmtId="3" fontId="18" fillId="5" borderId="89" xfId="0" applyNumberFormat="1" applyFont="1" applyFill="1" applyBorder="1" applyAlignment="1">
      <alignment vertical="center"/>
    </xf>
    <xf numFmtId="37" fontId="50" fillId="14" borderId="147" xfId="0" applyNumberFormat="1" applyFont="1" applyFill="1" applyBorder="1" applyAlignment="1">
      <alignment horizontal="center" vertical="center"/>
    </xf>
    <xf numFmtId="37" fontId="50" fillId="17" borderId="147" xfId="0" applyNumberFormat="1" applyFont="1" applyFill="1" applyBorder="1" applyAlignment="1">
      <alignment horizontal="center" vertical="center"/>
    </xf>
    <xf numFmtId="37" fontId="8" fillId="17" borderId="147" xfId="0" applyNumberFormat="1" applyFont="1" applyFill="1" applyBorder="1" applyAlignment="1">
      <alignment horizontal="center" vertical="center"/>
    </xf>
    <xf numFmtId="14" fontId="8" fillId="17" borderId="147" xfId="0" applyNumberFormat="1" applyFont="1" applyFill="1" applyBorder="1" applyAlignment="1">
      <alignment horizontal="center" vertical="center"/>
    </xf>
    <xf numFmtId="169" fontId="8" fillId="17" borderId="148" xfId="0" applyNumberFormat="1" applyFont="1" applyFill="1" applyBorder="1" applyAlignment="1">
      <alignment horizontal="center" vertical="center"/>
    </xf>
    <xf numFmtId="37" fontId="44" fillId="17" borderId="158" xfId="0" applyNumberFormat="1" applyFont="1" applyFill="1" applyBorder="1" applyAlignment="1">
      <alignment vertical="center"/>
    </xf>
    <xf numFmtId="0" fontId="1" fillId="0" borderId="147" xfId="0" applyFont="1" applyBorder="1" applyAlignment="1">
      <alignment vertical="center" wrapText="1"/>
    </xf>
    <xf numFmtId="0" fontId="1" fillId="0" borderId="147" xfId="0" quotePrefix="1" applyFont="1" applyBorder="1" applyAlignment="1">
      <alignment horizontal="left" vertical="center" wrapText="1"/>
    </xf>
    <xf numFmtId="37" fontId="44" fillId="0" borderId="146" xfId="0" applyNumberFormat="1" applyFont="1" applyBorder="1" applyAlignment="1">
      <alignment horizontal="center" vertical="center"/>
    </xf>
    <xf numFmtId="37" fontId="43" fillId="0" borderId="158" xfId="0" applyNumberFormat="1" applyFont="1" applyBorder="1" applyAlignment="1">
      <alignment vertical="center"/>
    </xf>
    <xf numFmtId="37" fontId="44" fillId="0" borderId="146" xfId="0" applyNumberFormat="1" applyFont="1" applyBorder="1" applyAlignment="1">
      <alignment horizontal="left" vertical="center"/>
    </xf>
    <xf numFmtId="37" fontId="35" fillId="17" borderId="147" xfId="0" applyNumberFormat="1" applyFont="1" applyFill="1" applyBorder="1" applyAlignment="1">
      <alignment horizontal="right" vertical="center"/>
    </xf>
    <xf numFmtId="37" fontId="44" fillId="17" borderId="146" xfId="0" applyNumberFormat="1" applyFont="1" applyFill="1" applyBorder="1" applyAlignment="1">
      <alignment vertical="center" wrapText="1"/>
    </xf>
    <xf numFmtId="14" fontId="17" fillId="17" borderId="147" xfId="0" applyNumberFormat="1" applyFont="1" applyFill="1" applyBorder="1" applyAlignment="1">
      <alignment horizontal="center" vertical="center"/>
    </xf>
    <xf numFmtId="37" fontId="50" fillId="6" borderId="147" xfId="0" applyNumberFormat="1" applyFont="1" applyFill="1" applyBorder="1" applyAlignment="1">
      <alignment horizontal="center" vertical="center"/>
    </xf>
    <xf numFmtId="37" fontId="25" fillId="21" borderId="146" xfId="0" applyNumberFormat="1" applyFont="1" applyFill="1" applyBorder="1" applyAlignment="1">
      <alignment vertical="center"/>
    </xf>
    <xf numFmtId="37" fontId="50" fillId="21" borderId="147" xfId="0" applyNumberFormat="1" applyFont="1" applyFill="1" applyBorder="1" applyAlignment="1">
      <alignment horizontal="center" vertical="center"/>
    </xf>
    <xf numFmtId="37" fontId="50" fillId="21" borderId="151" xfId="0" applyNumberFormat="1" applyFont="1" applyFill="1" applyBorder="1" applyAlignment="1">
      <alignment horizontal="center" vertical="center"/>
    </xf>
    <xf numFmtId="0" fontId="1" fillId="0" borderId="147" xfId="0" applyFont="1" applyBorder="1" applyAlignment="1">
      <alignment vertical="center"/>
    </xf>
    <xf numFmtId="37" fontId="19" fillId="0" borderId="146" xfId="0" applyNumberFormat="1" applyFont="1" applyBorder="1" applyAlignment="1">
      <alignment vertical="center"/>
    </xf>
    <xf numFmtId="0" fontId="19" fillId="0" borderId="112" xfId="0" quotePrefix="1" applyFont="1" applyBorder="1" applyAlignment="1">
      <alignment horizontal="center" vertical="center"/>
    </xf>
    <xf numFmtId="0" fontId="19" fillId="0" borderId="113" xfId="0" quotePrefix="1" applyFont="1" applyBorder="1" applyAlignment="1">
      <alignment horizontal="center" vertical="center"/>
    </xf>
    <xf numFmtId="0" fontId="19" fillId="0" borderId="154" xfId="0" quotePrefix="1" applyFont="1" applyBorder="1" applyAlignment="1">
      <alignment horizontal="center" vertical="center"/>
    </xf>
    <xf numFmtId="0" fontId="19" fillId="0" borderId="99" xfId="0" quotePrefix="1" applyFont="1" applyBorder="1" applyAlignment="1">
      <alignment horizontal="center" vertical="center"/>
    </xf>
    <xf numFmtId="0" fontId="19" fillId="0" borderId="98" xfId="0" quotePrefix="1" applyFont="1" applyBorder="1" applyAlignment="1">
      <alignment horizontal="center" vertical="center"/>
    </xf>
    <xf numFmtId="0" fontId="19" fillId="0" borderId="90" xfId="0" quotePrefix="1" applyFont="1" applyBorder="1" applyAlignment="1">
      <alignment horizontal="center" vertical="center"/>
    </xf>
    <xf numFmtId="37" fontId="41" fillId="0" borderId="53" xfId="0" quotePrefix="1" applyNumberFormat="1" applyFont="1" applyBorder="1" applyAlignment="1">
      <alignment horizontal="center" vertical="center" wrapText="1"/>
    </xf>
    <xf numFmtId="37" fontId="41" fillId="0" borderId="54" xfId="0" quotePrefix="1" applyNumberFormat="1" applyFont="1" applyBorder="1" applyAlignment="1">
      <alignment horizontal="center" vertical="center" wrapText="1"/>
    </xf>
    <xf numFmtId="37" fontId="44" fillId="0" borderId="39" xfId="0" quotePrefix="1" applyNumberFormat="1" applyFont="1" applyBorder="1" applyAlignment="1">
      <alignment horizontal="center" vertical="center"/>
    </xf>
    <xf numFmtId="37" fontId="44" fillId="0" borderId="53" xfId="0" quotePrefix="1" applyNumberFormat="1" applyFont="1" applyBorder="1" applyAlignment="1">
      <alignment horizontal="center" vertical="center"/>
    </xf>
    <xf numFmtId="37" fontId="44" fillId="0" borderId="54" xfId="0" quotePrefix="1" applyNumberFormat="1" applyFont="1" applyBorder="1" applyAlignment="1">
      <alignment horizontal="center" vertical="center"/>
    </xf>
    <xf numFmtId="3" fontId="20" fillId="2" borderId="39" xfId="0" applyNumberFormat="1" applyFont="1" applyFill="1" applyBorder="1" applyAlignment="1" applyProtection="1">
      <alignment horizontal="center" vertical="center"/>
      <protection locked="0"/>
    </xf>
    <xf numFmtId="3" fontId="20" fillId="2" borderId="54" xfId="0" applyNumberFormat="1" applyFont="1" applyFill="1" applyBorder="1" applyAlignment="1" applyProtection="1">
      <alignment horizontal="center" vertical="center"/>
      <protection locked="0"/>
    </xf>
    <xf numFmtId="3" fontId="35" fillId="2" borderId="45" xfId="0" applyNumberFormat="1" applyFont="1" applyFill="1" applyBorder="1" applyAlignment="1">
      <alignment vertical="center" wrapText="1"/>
    </xf>
    <xf numFmtId="3" fontId="35" fillId="2" borderId="0" xfId="0" applyNumberFormat="1" applyFont="1" applyFill="1" applyAlignment="1">
      <alignment vertical="center" wrapText="1"/>
    </xf>
    <xf numFmtId="3" fontId="35" fillId="2" borderId="48" xfId="0" applyNumberFormat="1" applyFont="1" applyFill="1" applyBorder="1" applyAlignment="1">
      <alignment vertical="center" wrapText="1"/>
    </xf>
    <xf numFmtId="3" fontId="61" fillId="5" borderId="39" xfId="0" applyNumberFormat="1" applyFont="1" applyFill="1" applyBorder="1" applyAlignment="1">
      <alignment vertical="center" wrapText="1"/>
    </xf>
    <xf numFmtId="3" fontId="61" fillId="5" borderId="53" xfId="0" applyNumberFormat="1" applyFont="1" applyFill="1" applyBorder="1" applyAlignment="1">
      <alignment vertical="center" wrapText="1"/>
    </xf>
    <xf numFmtId="3" fontId="61" fillId="5" borderId="54" xfId="0" applyNumberFormat="1" applyFont="1" applyFill="1" applyBorder="1" applyAlignment="1">
      <alignment vertical="center" wrapText="1"/>
    </xf>
    <xf numFmtId="3" fontId="16" fillId="2" borderId="45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0" fontId="1" fillId="0" borderId="160" xfId="0" applyFont="1" applyBorder="1" applyAlignment="1">
      <alignment vertical="center" wrapText="1"/>
    </xf>
    <xf numFmtId="0" fontId="1" fillId="0" borderId="131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37" fontId="19" fillId="0" borderId="150" xfId="0" applyNumberFormat="1" applyFont="1" applyBorder="1" applyAlignment="1">
      <alignment vertical="center"/>
    </xf>
    <xf numFmtId="37" fontId="19" fillId="2" borderId="79" xfId="0" applyNumberFormat="1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3"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F00FF"/>
      <color rgb="FF00FFCC"/>
      <color rgb="FF00CC99"/>
      <color rgb="FF0000FF"/>
      <color rgb="FFFF6600"/>
      <color rgb="FF00FFFF"/>
      <color rgb="FF800000"/>
      <color rgb="FF00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tabColor rgb="FF7030A0"/>
  </sheetPr>
  <dimension ref="A1:GK593"/>
  <sheetViews>
    <sheetView showGridLines="0" showOutlineSymbols="0" zoomScale="80" zoomScaleNormal="8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6640625" defaultRowHeight="12.75" x14ac:dyDescent="0.2"/>
  <cols>
    <col min="1" max="1" width="10.88671875" style="16" customWidth="1"/>
    <col min="2" max="2" width="40.77734375" style="16" customWidth="1"/>
    <col min="3" max="3" width="12.88671875" style="65" bestFit="1" customWidth="1"/>
    <col min="4" max="4" width="16.77734375" style="65" bestFit="1" customWidth="1"/>
    <col min="5" max="6" width="16.77734375" style="219" customWidth="1"/>
    <col min="7" max="7" width="12.88671875" style="65" bestFit="1" customWidth="1"/>
    <col min="8" max="8" width="14.109375" style="393" customWidth="1"/>
    <col min="9" max="9" width="17.5546875" style="97" customWidth="1"/>
    <col min="10" max="10" width="37" style="148" bestFit="1" customWidth="1"/>
    <col min="11" max="11" width="1.6640625" style="65" customWidth="1"/>
    <col min="12" max="12" width="12.5546875" style="5" customWidth="1"/>
    <col min="13" max="13" width="11" style="5" bestFit="1" customWidth="1"/>
    <col min="14" max="14" width="11.44140625" style="206" customWidth="1"/>
    <col min="15" max="15" width="14.44140625" style="5" bestFit="1" customWidth="1"/>
    <col min="16" max="16" width="13" style="16" customWidth="1"/>
    <col min="17" max="17" width="13.109375" style="287" customWidth="1"/>
    <col min="18" max="16384" width="9.6640625" style="16"/>
  </cols>
  <sheetData>
    <row r="1" spans="1:17" ht="15" x14ac:dyDescent="0.2">
      <c r="A1" s="790"/>
    </row>
    <row r="2" spans="1:17" ht="15" x14ac:dyDescent="0.2">
      <c r="A2" s="1075" t="s">
        <v>10</v>
      </c>
      <c r="B2" s="2"/>
      <c r="C2" s="928"/>
      <c r="D2" s="928"/>
      <c r="E2" s="929"/>
      <c r="F2" s="929"/>
      <c r="G2" s="930"/>
      <c r="H2" s="931"/>
      <c r="I2" s="932"/>
      <c r="J2" s="103"/>
      <c r="K2" s="8"/>
      <c r="L2" s="148" t="s">
        <v>113</v>
      </c>
      <c r="N2" s="915"/>
    </row>
    <row r="3" spans="1:17" ht="15.75" thickBot="1" x14ac:dyDescent="0.25">
      <c r="A3" s="164" t="s">
        <v>256</v>
      </c>
      <c r="B3" s="2"/>
      <c r="C3" s="928"/>
      <c r="D3" s="928"/>
      <c r="E3" s="929"/>
      <c r="F3" s="929"/>
      <c r="G3" s="930"/>
      <c r="H3" s="931"/>
      <c r="I3" s="932"/>
      <c r="J3" s="103"/>
      <c r="K3" s="8"/>
      <c r="N3" s="915"/>
    </row>
    <row r="4" spans="1:17" ht="32.25" thickBot="1" x14ac:dyDescent="0.25">
      <c r="A4" s="950" t="s">
        <v>251</v>
      </c>
      <c r="B4" s="3"/>
      <c r="C4" s="82"/>
      <c r="D4" s="82"/>
      <c r="E4" s="933"/>
      <c r="F4" s="933"/>
      <c r="G4" s="855"/>
      <c r="H4" s="473"/>
      <c r="I4" s="682"/>
      <c r="J4" s="103"/>
      <c r="K4" s="8"/>
      <c r="N4" s="915"/>
      <c r="O4" s="1031" t="s">
        <v>194</v>
      </c>
      <c r="P4" s="925" t="s">
        <v>255</v>
      </c>
    </row>
    <row r="5" spans="1:17" s="65" customFormat="1" ht="15.75" thickBot="1" x14ac:dyDescent="0.25">
      <c r="A5" s="951"/>
      <c r="B5" s="79" t="str">
        <f>+A583</f>
        <v>GRAN TOTAL</v>
      </c>
      <c r="C5" s="79">
        <f t="shared" ref="C5:I5" si="0">+C583</f>
        <v>0</v>
      </c>
      <c r="D5" s="79">
        <f t="shared" si="0"/>
        <v>0</v>
      </c>
      <c r="E5" s="79">
        <f t="shared" si="0"/>
        <v>0</v>
      </c>
      <c r="F5" s="79">
        <f t="shared" si="0"/>
        <v>0</v>
      </c>
      <c r="G5" s="79">
        <f t="shared" si="0"/>
        <v>0</v>
      </c>
      <c r="H5" s="79">
        <f t="shared" si="0"/>
        <v>0</v>
      </c>
      <c r="I5" s="79">
        <f t="shared" si="0"/>
        <v>0</v>
      </c>
      <c r="J5" s="103"/>
      <c r="K5" s="8"/>
      <c r="L5" s="148"/>
      <c r="M5" s="148"/>
      <c r="N5" s="915"/>
      <c r="O5" s="1032">
        <v>0.11</v>
      </c>
      <c r="P5" s="926">
        <v>49799</v>
      </c>
      <c r="Q5" s="287"/>
    </row>
    <row r="6" spans="1:17" s="162" customFormat="1" ht="39.75" customHeight="1" thickBot="1" x14ac:dyDescent="0.25">
      <c r="A6" s="952" t="s">
        <v>2</v>
      </c>
      <c r="B6" s="154" t="s">
        <v>58</v>
      </c>
      <c r="C6" s="163" t="s">
        <v>73</v>
      </c>
      <c r="D6" s="163" t="s">
        <v>56</v>
      </c>
      <c r="E6" s="515" t="s">
        <v>113</v>
      </c>
      <c r="F6" s="515" t="s">
        <v>114</v>
      </c>
      <c r="G6" s="139" t="s">
        <v>116</v>
      </c>
      <c r="H6" s="585" t="s">
        <v>74</v>
      </c>
      <c r="I6" s="586" t="s">
        <v>219</v>
      </c>
      <c r="J6" s="587" t="s">
        <v>9</v>
      </c>
      <c r="K6" s="474"/>
      <c r="L6" s="919" t="s">
        <v>182</v>
      </c>
      <c r="M6" s="921" t="s">
        <v>183</v>
      </c>
      <c r="N6" s="918" t="s">
        <v>122</v>
      </c>
      <c r="O6" s="920" t="s">
        <v>113</v>
      </c>
      <c r="P6" s="921" t="s">
        <v>184</v>
      </c>
      <c r="Q6" s="968"/>
    </row>
    <row r="7" spans="1:17" ht="12" customHeight="1" x14ac:dyDescent="0.2">
      <c r="A7" s="953"/>
      <c r="B7" s="391"/>
      <c r="C7" s="392"/>
      <c r="D7" s="392"/>
      <c r="E7" s="534"/>
      <c r="F7" s="534"/>
      <c r="G7" s="392"/>
      <c r="I7" s="394"/>
      <c r="J7" s="388"/>
      <c r="K7" s="8"/>
      <c r="L7" s="914">
        <f>12.5%+16%</f>
        <v>0.28500000000000003</v>
      </c>
      <c r="N7" s="915"/>
    </row>
    <row r="8" spans="1:17" ht="12" customHeight="1" x14ac:dyDescent="0.2">
      <c r="A8" s="258" t="s">
        <v>11</v>
      </c>
      <c r="B8" s="395"/>
      <c r="C8" s="396"/>
      <c r="D8" s="396"/>
      <c r="E8" s="535"/>
      <c r="F8" s="535"/>
      <c r="G8" s="396"/>
      <c r="H8" s="397"/>
      <c r="I8" s="397"/>
      <c r="J8" s="398"/>
      <c r="K8" s="8"/>
      <c r="N8" s="915"/>
    </row>
    <row r="9" spans="1:17" ht="12" customHeight="1" x14ac:dyDescent="0.2">
      <c r="A9" s="11"/>
      <c r="I9" s="393"/>
      <c r="J9" s="388"/>
      <c r="K9" s="8"/>
      <c r="N9" s="915"/>
    </row>
    <row r="10" spans="1:17" ht="12" customHeight="1" x14ac:dyDescent="0.2">
      <c r="A10" s="11"/>
      <c r="B10" s="12"/>
      <c r="I10" s="393"/>
      <c r="J10" s="388"/>
      <c r="K10" s="8"/>
      <c r="N10" s="915"/>
    </row>
    <row r="11" spans="1:17" ht="12" customHeight="1" x14ac:dyDescent="0.2">
      <c r="A11" s="344">
        <v>1</v>
      </c>
      <c r="B11" s="344"/>
      <c r="C11" s="399"/>
      <c r="D11" s="399"/>
      <c r="E11" s="482"/>
      <c r="F11" s="482"/>
      <c r="G11" s="223"/>
      <c r="H11" s="400"/>
      <c r="I11" s="401"/>
      <c r="J11" s="402"/>
      <c r="K11" s="8"/>
      <c r="N11" s="915"/>
    </row>
    <row r="12" spans="1:17" ht="12" customHeight="1" x14ac:dyDescent="0.2">
      <c r="A12" s="13" t="s">
        <v>12</v>
      </c>
      <c r="B12" s="934"/>
      <c r="C12" s="403"/>
      <c r="D12" s="403"/>
      <c r="E12" s="521"/>
      <c r="F12" s="521"/>
      <c r="G12" s="402"/>
      <c r="H12" s="562"/>
      <c r="I12" s="563"/>
      <c r="J12" s="402"/>
      <c r="K12" s="8"/>
      <c r="L12" s="916">
        <f>+C12*$L$7</f>
        <v>0</v>
      </c>
      <c r="M12" s="922">
        <f>+C12-L12*0</f>
        <v>0</v>
      </c>
      <c r="N12" s="651" t="s">
        <v>123</v>
      </c>
      <c r="O12" s="521" t="str">
        <f>IF(N12="S",M12*$O$5,"NO RETENCIÓN")</f>
        <v>NO RETENCIÓN</v>
      </c>
      <c r="P12" s="924">
        <f>+M12/$P$5</f>
        <v>0</v>
      </c>
    </row>
    <row r="13" spans="1:17" ht="12" customHeight="1" x14ac:dyDescent="0.2">
      <c r="A13" s="954"/>
      <c r="B13" s="1"/>
      <c r="C13" s="320"/>
      <c r="D13" s="320"/>
      <c r="J13" s="388"/>
      <c r="K13" s="8"/>
      <c r="N13" s="915"/>
    </row>
    <row r="14" spans="1:17" ht="12" customHeight="1" x14ac:dyDescent="0.2">
      <c r="A14" s="954"/>
      <c r="B14" s="12"/>
      <c r="C14" s="320"/>
      <c r="D14" s="320"/>
      <c r="J14" s="564"/>
      <c r="K14" s="8"/>
      <c r="N14" s="915"/>
    </row>
    <row r="15" spans="1:17" ht="12" customHeight="1" x14ac:dyDescent="0.2">
      <c r="A15" s="344">
        <v>1</v>
      </c>
      <c r="B15" s="344"/>
      <c r="C15" s="399"/>
      <c r="D15" s="399"/>
      <c r="E15" s="482"/>
      <c r="F15" s="482"/>
      <c r="G15" s="223"/>
      <c r="H15" s="400"/>
      <c r="I15" s="401"/>
      <c r="J15" s="402"/>
      <c r="K15" s="8"/>
      <c r="N15" s="915"/>
    </row>
    <row r="16" spans="1:17" x14ac:dyDescent="0.2">
      <c r="A16" s="344">
        <f>A15+1</f>
        <v>2</v>
      </c>
      <c r="B16" s="970"/>
      <c r="C16" s="399"/>
      <c r="D16" s="399"/>
      <c r="E16" s="482"/>
      <c r="F16" s="482"/>
      <c r="G16" s="223"/>
      <c r="H16" s="400"/>
      <c r="I16" s="401"/>
      <c r="J16" s="402"/>
      <c r="K16" s="8"/>
      <c r="N16" s="915"/>
    </row>
    <row r="17" spans="1:17" x14ac:dyDescent="0.2">
      <c r="A17" s="11" t="s">
        <v>12</v>
      </c>
      <c r="B17" s="971"/>
      <c r="C17" s="403"/>
      <c r="D17" s="403"/>
      <c r="E17" s="521"/>
      <c r="F17" s="521"/>
      <c r="G17" s="402"/>
      <c r="H17" s="562"/>
      <c r="I17" s="563"/>
      <c r="J17" s="402"/>
      <c r="K17" s="7"/>
      <c r="L17" s="916">
        <f>+C17*$L$7</f>
        <v>0</v>
      </c>
      <c r="M17" s="922">
        <f>+C17-L17*0</f>
        <v>0</v>
      </c>
      <c r="N17" s="559" t="s">
        <v>124</v>
      </c>
      <c r="O17" s="521">
        <f>IF(N17="S",M17*$O$5,"NO RETENCIÓN")</f>
        <v>0</v>
      </c>
      <c r="P17" s="924">
        <f>+M17/$P$5</f>
        <v>0</v>
      </c>
    </row>
    <row r="18" spans="1:17" ht="12" customHeight="1" x14ac:dyDescent="0.2">
      <c r="A18" s="11"/>
      <c r="B18" s="547"/>
      <c r="C18" s="100"/>
      <c r="D18" s="100"/>
      <c r="E18" s="352"/>
      <c r="F18" s="352"/>
      <c r="G18" s="148"/>
      <c r="H18" s="465"/>
      <c r="I18" s="465"/>
      <c r="J18" s="388"/>
      <c r="K18" s="7"/>
    </row>
    <row r="19" spans="1:17" ht="12" customHeight="1" x14ac:dyDescent="0.2">
      <c r="A19" s="11"/>
      <c r="B19" s="12"/>
      <c r="C19" s="100"/>
      <c r="D19" s="100"/>
      <c r="E19" s="352"/>
      <c r="F19" s="352"/>
      <c r="G19" s="148"/>
      <c r="H19" s="465"/>
      <c r="I19" s="465"/>
      <c r="J19" s="388"/>
      <c r="K19" s="7"/>
    </row>
    <row r="20" spans="1:17" ht="12" customHeight="1" x14ac:dyDescent="0.2">
      <c r="A20" s="11"/>
      <c r="B20" s="12"/>
      <c r="C20" s="100"/>
      <c r="D20" s="100"/>
      <c r="E20" s="352"/>
      <c r="F20" s="352"/>
      <c r="G20" s="148"/>
      <c r="H20" s="465"/>
      <c r="I20" s="465"/>
      <c r="J20" s="564"/>
      <c r="K20" s="7"/>
    </row>
    <row r="21" spans="1:17" ht="12" customHeight="1" x14ac:dyDescent="0.2">
      <c r="A21" s="344">
        <v>1</v>
      </c>
      <c r="B21" s="344"/>
      <c r="C21" s="399"/>
      <c r="D21" s="399"/>
      <c r="E21" s="482"/>
      <c r="F21" s="482"/>
      <c r="G21" s="223"/>
      <c r="H21" s="400"/>
      <c r="I21" s="401"/>
      <c r="J21" s="402"/>
      <c r="K21" s="7"/>
    </row>
    <row r="22" spans="1:17" ht="12" customHeight="1" x14ac:dyDescent="0.2">
      <c r="A22" s="13" t="s">
        <v>12</v>
      </c>
      <c r="B22" s="934"/>
      <c r="C22" s="403"/>
      <c r="D22" s="403"/>
      <c r="E22" s="521"/>
      <c r="F22" s="521"/>
      <c r="G22" s="402"/>
      <c r="H22" s="562"/>
      <c r="I22" s="563"/>
      <c r="J22" s="402"/>
      <c r="K22" s="8"/>
      <c r="L22" s="916">
        <f>+C22*$L$7</f>
        <v>0</v>
      </c>
      <c r="M22" s="922">
        <f>+C22-L22*0</f>
        <v>0</v>
      </c>
      <c r="N22" s="651" t="s">
        <v>123</v>
      </c>
      <c r="O22" s="521" t="str">
        <f>IF(N22="S",M22*$O$5,"NO RETENCIÓN")</f>
        <v>NO RETENCIÓN</v>
      </c>
      <c r="P22" s="924">
        <f>+M22/$P$5</f>
        <v>0</v>
      </c>
    </row>
    <row r="23" spans="1:17" ht="12" customHeight="1" x14ac:dyDescent="0.2">
      <c r="A23" s="11"/>
      <c r="B23" s="547"/>
      <c r="C23" s="100"/>
      <c r="D23" s="100"/>
      <c r="E23" s="352"/>
      <c r="F23" s="352"/>
      <c r="G23" s="148"/>
      <c r="H23" s="465"/>
      <c r="I23" s="465"/>
      <c r="J23" s="388"/>
      <c r="K23" s="7"/>
    </row>
    <row r="24" spans="1:17" ht="12" customHeight="1" x14ac:dyDescent="0.2">
      <c r="A24" s="11"/>
      <c r="B24" s="12"/>
      <c r="C24" s="100"/>
      <c r="D24" s="100"/>
      <c r="E24" s="352"/>
      <c r="F24" s="352"/>
      <c r="G24" s="148"/>
      <c r="H24" s="465"/>
      <c r="I24" s="465"/>
      <c r="J24" s="388"/>
      <c r="K24" s="7"/>
    </row>
    <row r="25" spans="1:17" ht="12" customHeight="1" x14ac:dyDescent="0.2">
      <c r="A25" s="344">
        <f>A21+1</f>
        <v>2</v>
      </c>
      <c r="B25" s="344"/>
      <c r="C25" s="399"/>
      <c r="D25" s="399"/>
      <c r="E25" s="482"/>
      <c r="F25" s="482"/>
      <c r="G25" s="223"/>
      <c r="H25" s="400"/>
      <c r="I25" s="401"/>
      <c r="J25" s="402"/>
      <c r="K25" s="7"/>
    </row>
    <row r="26" spans="1:17" ht="12" customHeight="1" x14ac:dyDescent="0.2">
      <c r="A26" s="13" t="s">
        <v>12</v>
      </c>
      <c r="B26" s="934"/>
      <c r="C26" s="403"/>
      <c r="D26" s="403"/>
      <c r="E26" s="521"/>
      <c r="F26" s="521"/>
      <c r="G26" s="402"/>
      <c r="H26" s="562"/>
      <c r="I26" s="563"/>
      <c r="J26" s="402"/>
      <c r="K26" s="8"/>
      <c r="L26" s="916">
        <f>+C26*$L$7</f>
        <v>0</v>
      </c>
      <c r="M26" s="922">
        <f>+C26-L26*0</f>
        <v>0</v>
      </c>
      <c r="N26" s="651" t="s">
        <v>123</v>
      </c>
      <c r="O26" s="521" t="str">
        <f>IF(N26="S",M26*$O$5,"NO RETENCIÓN")</f>
        <v>NO RETENCIÓN</v>
      </c>
      <c r="P26" s="924">
        <f>+M26/$P$5</f>
        <v>0</v>
      </c>
    </row>
    <row r="27" spans="1:17" ht="12" customHeight="1" x14ac:dyDescent="0.2">
      <c r="A27" s="11"/>
      <c r="B27" s="547"/>
      <c r="C27" s="100"/>
      <c r="D27" s="100"/>
      <c r="E27" s="352"/>
      <c r="F27" s="352"/>
      <c r="G27" s="148"/>
      <c r="H27" s="465"/>
      <c r="I27" s="465"/>
      <c r="J27" s="388"/>
      <c r="K27" s="7"/>
    </row>
    <row r="28" spans="1:17" ht="12" customHeight="1" x14ac:dyDescent="0.2">
      <c r="A28" s="11"/>
      <c r="B28" s="12"/>
      <c r="C28" s="100"/>
      <c r="D28" s="100"/>
      <c r="E28" s="352"/>
      <c r="F28" s="352"/>
      <c r="G28" s="148"/>
      <c r="H28" s="465"/>
      <c r="I28" s="465"/>
      <c r="J28" s="388"/>
      <c r="K28" s="7"/>
    </row>
    <row r="29" spans="1:17" ht="27" customHeight="1" x14ac:dyDescent="0.2">
      <c r="A29" s="344">
        <f>A25+1</f>
        <v>3</v>
      </c>
      <c r="B29" s="443"/>
      <c r="C29" s="399"/>
      <c r="D29" s="399"/>
      <c r="E29" s="482"/>
      <c r="F29" s="482"/>
      <c r="G29" s="223"/>
      <c r="H29" s="400"/>
      <c r="I29" s="401"/>
      <c r="J29" s="402"/>
      <c r="K29" s="7"/>
    </row>
    <row r="30" spans="1:17" ht="23.25" customHeight="1" x14ac:dyDescent="0.2">
      <c r="A30" s="955">
        <f>A29+1</f>
        <v>4</v>
      </c>
      <c r="B30" s="369"/>
      <c r="C30" s="399"/>
      <c r="D30" s="399"/>
      <c r="E30" s="482"/>
      <c r="F30" s="482"/>
      <c r="G30" s="223"/>
      <c r="H30" s="400"/>
      <c r="I30" s="401"/>
      <c r="J30" s="402"/>
      <c r="K30" s="8"/>
      <c r="N30" s="915"/>
    </row>
    <row r="31" spans="1:17" ht="12" customHeight="1" x14ac:dyDescent="0.2">
      <c r="A31" s="13" t="s">
        <v>12</v>
      </c>
      <c r="B31" s="12"/>
      <c r="C31" s="570"/>
      <c r="D31" s="570"/>
      <c r="E31" s="521"/>
      <c r="F31" s="521"/>
      <c r="G31" s="349"/>
      <c r="H31" s="571"/>
      <c r="I31" s="572"/>
      <c r="J31" s="402"/>
      <c r="K31" s="7"/>
      <c r="L31" s="916">
        <f>+C31*$L$7</f>
        <v>0</v>
      </c>
      <c r="M31" s="922">
        <f>+C31-L31*0</f>
        <v>0</v>
      </c>
      <c r="N31" s="559" t="s">
        <v>124</v>
      </c>
      <c r="O31" s="521">
        <f>IF(N31="S",M31*$O$5,"NO RETENCIÓN")</f>
        <v>0</v>
      </c>
      <c r="P31" s="924">
        <f>+M31/$P$5</f>
        <v>0</v>
      </c>
    </row>
    <row r="32" spans="1:17" ht="12" customHeight="1" x14ac:dyDescent="0.2">
      <c r="A32" s="11"/>
      <c r="B32" s="547"/>
      <c r="C32" s="100"/>
      <c r="D32" s="100"/>
      <c r="E32" s="352"/>
      <c r="F32" s="352"/>
      <c r="G32" s="148"/>
      <c r="H32" s="465"/>
      <c r="I32" s="465"/>
      <c r="J32" s="388"/>
      <c r="K32" s="7"/>
      <c r="N32" s="5"/>
      <c r="P32" s="5"/>
      <c r="Q32" s="969"/>
    </row>
    <row r="33" spans="1:17" ht="12" customHeight="1" x14ac:dyDescent="0.2">
      <c r="A33" s="11" t="s">
        <v>188</v>
      </c>
      <c r="B33" s="547"/>
      <c r="C33" s="570"/>
      <c r="D33" s="570"/>
      <c r="E33" s="521"/>
      <c r="F33" s="521"/>
      <c r="G33" s="349"/>
      <c r="H33" s="571"/>
      <c r="I33" s="572"/>
      <c r="J33" s="349"/>
      <c r="K33" s="7"/>
      <c r="N33" s="5"/>
      <c r="P33" s="5"/>
      <c r="Q33" s="969"/>
    </row>
    <row r="34" spans="1:17" ht="12" customHeight="1" x14ac:dyDescent="0.2">
      <c r="A34" s="11"/>
      <c r="B34" s="547"/>
      <c r="C34" s="100"/>
      <c r="D34" s="100"/>
      <c r="E34" s="352"/>
      <c r="F34" s="352"/>
      <c r="G34" s="148"/>
      <c r="H34" s="465"/>
      <c r="I34" s="465"/>
      <c r="J34" s="388"/>
      <c r="K34" s="7"/>
    </row>
    <row r="35" spans="1:17" ht="12" customHeight="1" x14ac:dyDescent="0.2">
      <c r="A35" s="11"/>
      <c r="B35" s="547"/>
      <c r="C35" s="100"/>
      <c r="D35" s="100"/>
      <c r="E35" s="352"/>
      <c r="F35" s="352"/>
      <c r="G35" s="148"/>
      <c r="H35" s="465"/>
      <c r="I35" s="465"/>
      <c r="J35" s="388"/>
      <c r="K35" s="7"/>
    </row>
    <row r="36" spans="1:17" ht="12" customHeight="1" x14ac:dyDescent="0.2">
      <c r="A36" s="11"/>
      <c r="B36" s="12"/>
      <c r="C36" s="100"/>
      <c r="D36" s="100"/>
      <c r="E36" s="352"/>
      <c r="F36" s="352"/>
      <c r="G36" s="148"/>
      <c r="H36" s="465"/>
      <c r="I36" s="465"/>
      <c r="J36" s="564"/>
      <c r="K36" s="7"/>
    </row>
    <row r="37" spans="1:17" ht="12" customHeight="1" x14ac:dyDescent="0.2">
      <c r="A37" s="344">
        <v>1</v>
      </c>
      <c r="B37" s="344"/>
      <c r="C37" s="399"/>
      <c r="D37" s="399"/>
      <c r="E37" s="482"/>
      <c r="F37" s="482"/>
      <c r="G37" s="223"/>
      <c r="H37" s="400"/>
      <c r="I37" s="401"/>
      <c r="J37" s="402"/>
      <c r="K37" s="8"/>
      <c r="N37" s="915"/>
    </row>
    <row r="38" spans="1:17" ht="12" customHeight="1" x14ac:dyDescent="0.2">
      <c r="A38" s="954">
        <f>A37+1</f>
        <v>2</v>
      </c>
      <c r="B38" s="369"/>
      <c r="C38" s="399"/>
      <c r="D38" s="399"/>
      <c r="E38" s="482"/>
      <c r="F38" s="482"/>
      <c r="G38" s="223"/>
      <c r="H38" s="400"/>
      <c r="I38" s="401"/>
      <c r="J38" s="402"/>
      <c r="K38" s="8"/>
      <c r="N38" s="915"/>
    </row>
    <row r="39" spans="1:17" ht="12" customHeight="1" x14ac:dyDescent="0.2">
      <c r="A39" s="13" t="s">
        <v>12</v>
      </c>
      <c r="B39" s="934"/>
      <c r="C39" s="410"/>
      <c r="D39" s="410"/>
      <c r="E39" s="521"/>
      <c r="F39" s="536"/>
      <c r="G39" s="524"/>
      <c r="H39" s="565"/>
      <c r="I39" s="566"/>
      <c r="J39" s="408"/>
      <c r="K39" s="7"/>
      <c r="L39" s="916">
        <f>+C39*$L$7</f>
        <v>0</v>
      </c>
      <c r="M39" s="922">
        <f>+C39-L39*0</f>
        <v>0</v>
      </c>
      <c r="N39" s="559" t="s">
        <v>124</v>
      </c>
      <c r="O39" s="521">
        <f>IF(N39="S",M39*$O$5,"NO RETENCIÓN")</f>
        <v>0</v>
      </c>
      <c r="P39" s="924">
        <f>+M39/$P$5</f>
        <v>0</v>
      </c>
    </row>
    <row r="40" spans="1:17" ht="12" customHeight="1" x14ac:dyDescent="0.2">
      <c r="A40" s="11"/>
      <c r="B40" s="547"/>
      <c r="C40" s="413"/>
      <c r="D40" s="413"/>
      <c r="E40" s="537"/>
      <c r="F40" s="537"/>
      <c r="G40" s="449"/>
      <c r="H40" s="466"/>
      <c r="I40" s="466"/>
      <c r="J40" s="450"/>
      <c r="K40" s="7"/>
    </row>
    <row r="41" spans="1:17" ht="12" customHeight="1" x14ac:dyDescent="0.2">
      <c r="A41" s="11"/>
      <c r="B41" s="12"/>
      <c r="C41" s="100"/>
      <c r="D41" s="100"/>
      <c r="E41" s="352"/>
      <c r="F41" s="352"/>
      <c r="G41" s="148"/>
      <c r="H41" s="465"/>
      <c r="I41" s="465"/>
      <c r="J41" s="388"/>
      <c r="K41" s="7"/>
    </row>
    <row r="42" spans="1:17" ht="12" customHeight="1" x14ac:dyDescent="0.2">
      <c r="A42" s="344">
        <v>1</v>
      </c>
      <c r="B42" s="344"/>
      <c r="C42" s="399"/>
      <c r="D42" s="399"/>
      <c r="E42" s="482"/>
      <c r="F42" s="482"/>
      <c r="G42" s="223"/>
      <c r="H42" s="400"/>
      <c r="I42" s="401"/>
      <c r="J42" s="402"/>
      <c r="K42" s="7"/>
    </row>
    <row r="43" spans="1:17" ht="12" customHeight="1" x14ac:dyDescent="0.2">
      <c r="A43" s="344">
        <f>A42+1</f>
        <v>2</v>
      </c>
      <c r="B43" s="344"/>
      <c r="C43" s="399"/>
      <c r="D43" s="399"/>
      <c r="E43" s="482"/>
      <c r="F43" s="482"/>
      <c r="G43" s="223"/>
      <c r="H43" s="400"/>
      <c r="I43" s="401"/>
      <c r="J43" s="402"/>
      <c r="K43" s="7"/>
    </row>
    <row r="44" spans="1:17" ht="12" customHeight="1" x14ac:dyDescent="0.2">
      <c r="A44" s="344">
        <f>+A43+1</f>
        <v>3</v>
      </c>
      <c r="B44" s="344"/>
      <c r="C44" s="399"/>
      <c r="D44" s="399"/>
      <c r="E44" s="482"/>
      <c r="F44" s="482"/>
      <c r="G44" s="223"/>
      <c r="H44" s="400"/>
      <c r="I44" s="401"/>
      <c r="J44" s="402"/>
      <c r="K44" s="7"/>
    </row>
    <row r="45" spans="1:17" ht="12" customHeight="1" x14ac:dyDescent="0.2">
      <c r="A45" s="11" t="s">
        <v>12</v>
      </c>
      <c r="B45" s="547"/>
      <c r="C45" s="410"/>
      <c r="D45" s="410"/>
      <c r="E45" s="521"/>
      <c r="F45" s="536"/>
      <c r="G45" s="524"/>
      <c r="H45" s="565"/>
      <c r="I45" s="566"/>
      <c r="J45" s="408"/>
      <c r="K45" s="7"/>
      <c r="L45" s="916">
        <f>+C45*$L$7</f>
        <v>0</v>
      </c>
      <c r="M45" s="922">
        <f>+C45-L45*0</f>
        <v>0</v>
      </c>
      <c r="N45" s="651" t="s">
        <v>123</v>
      </c>
      <c r="O45" s="521" t="str">
        <f>IF(N45="S",M45*$O$5,"NO RETENCIÓN")</f>
        <v>NO RETENCIÓN</v>
      </c>
      <c r="P45" s="924">
        <f>+M45/$P$5</f>
        <v>0</v>
      </c>
    </row>
    <row r="46" spans="1:17" ht="12" customHeight="1" x14ac:dyDescent="0.2">
      <c r="A46" s="11"/>
      <c r="B46" s="547"/>
      <c r="C46" s="413"/>
      <c r="D46" s="413"/>
      <c r="E46" s="537"/>
      <c r="F46" s="537"/>
      <c r="G46" s="449"/>
      <c r="H46" s="466"/>
      <c r="I46" s="466"/>
      <c r="J46" s="450"/>
      <c r="K46" s="7"/>
    </row>
    <row r="47" spans="1:17" ht="12" customHeight="1" x14ac:dyDescent="0.2">
      <c r="A47" s="11"/>
      <c r="B47" s="547"/>
      <c r="C47" s="100"/>
      <c r="D47" s="100"/>
      <c r="E47" s="352"/>
      <c r="F47" s="352"/>
      <c r="G47" s="148"/>
      <c r="H47" s="465"/>
      <c r="I47" s="465"/>
      <c r="J47" s="388"/>
      <c r="K47" s="7"/>
    </row>
    <row r="48" spans="1:17" ht="12" customHeight="1" x14ac:dyDescent="0.2">
      <c r="A48" s="344">
        <f>+A44+1</f>
        <v>4</v>
      </c>
      <c r="B48" s="344"/>
      <c r="C48" s="567"/>
      <c r="D48" s="567"/>
      <c r="E48" s="509"/>
      <c r="F48" s="509"/>
      <c r="G48" s="385"/>
      <c r="H48" s="568"/>
      <c r="I48" s="569"/>
      <c r="J48" s="402"/>
      <c r="K48" s="7"/>
    </row>
    <row r="49" spans="1:16" ht="12" customHeight="1" x14ac:dyDescent="0.2">
      <c r="A49" s="11" t="s">
        <v>12</v>
      </c>
      <c r="B49" s="547"/>
      <c r="C49" s="570"/>
      <c r="D49" s="570"/>
      <c r="E49" s="521"/>
      <c r="F49" s="521"/>
      <c r="G49" s="349"/>
      <c r="H49" s="571"/>
      <c r="I49" s="572"/>
      <c r="J49" s="349"/>
      <c r="K49" s="7"/>
      <c r="L49" s="916">
        <f>+C49*$L$7</f>
        <v>0</v>
      </c>
      <c r="M49" s="922">
        <f>+C49-L49*0</f>
        <v>0</v>
      </c>
      <c r="N49" s="651" t="s">
        <v>123</v>
      </c>
      <c r="O49" s="521" t="str">
        <f>IF(N49="S",M49*$O$5,"NO RETENCIÓN")</f>
        <v>NO RETENCIÓN</v>
      </c>
      <c r="P49" s="924">
        <f>+M49/$P$5</f>
        <v>0</v>
      </c>
    </row>
    <row r="50" spans="1:16" ht="12" customHeight="1" x14ac:dyDescent="0.2">
      <c r="A50" s="11"/>
      <c r="B50" s="547"/>
      <c r="C50" s="100"/>
      <c r="D50" s="100"/>
      <c r="E50" s="352"/>
      <c r="F50" s="352"/>
      <c r="G50" s="148"/>
      <c r="H50" s="465"/>
      <c r="I50" s="465"/>
      <c r="J50" s="388"/>
      <c r="K50" s="7"/>
    </row>
    <row r="51" spans="1:16" ht="12" customHeight="1" x14ac:dyDescent="0.2">
      <c r="A51" s="11"/>
      <c r="B51" s="547"/>
      <c r="C51" s="100"/>
      <c r="D51" s="100"/>
      <c r="E51" s="352"/>
      <c r="F51" s="352"/>
      <c r="G51" s="148"/>
      <c r="H51" s="465"/>
      <c r="I51" s="465"/>
      <c r="J51" s="388"/>
      <c r="K51" s="7"/>
    </row>
    <row r="52" spans="1:16" ht="12" customHeight="1" x14ac:dyDescent="0.2">
      <c r="A52" s="11"/>
      <c r="B52" s="12"/>
      <c r="C52" s="100"/>
      <c r="D52" s="100"/>
      <c r="E52" s="352"/>
      <c r="F52" s="352"/>
      <c r="G52" s="148"/>
      <c r="H52" s="465"/>
      <c r="I52" s="465"/>
      <c r="J52" s="388"/>
      <c r="K52" s="7"/>
    </row>
    <row r="53" spans="1:16" ht="12" customHeight="1" x14ac:dyDescent="0.2">
      <c r="A53" s="344">
        <v>1</v>
      </c>
      <c r="B53" s="344"/>
      <c r="C53" s="399"/>
      <c r="D53" s="399"/>
      <c r="E53" s="482"/>
      <c r="F53" s="482"/>
      <c r="G53" s="223"/>
      <c r="H53" s="400"/>
      <c r="I53" s="401"/>
      <c r="J53" s="402"/>
      <c r="K53" s="7"/>
    </row>
    <row r="54" spans="1:16" ht="12" customHeight="1" x14ac:dyDescent="0.2">
      <c r="A54" s="344">
        <f>+A53+1</f>
        <v>2</v>
      </c>
      <c r="B54" s="344"/>
      <c r="C54" s="399"/>
      <c r="D54" s="399"/>
      <c r="E54" s="482"/>
      <c r="F54" s="482"/>
      <c r="G54" s="223"/>
      <c r="H54" s="400"/>
      <c r="I54" s="401"/>
      <c r="J54" s="402"/>
      <c r="K54" s="7"/>
    </row>
    <row r="55" spans="1:16" ht="12" customHeight="1" x14ac:dyDescent="0.2">
      <c r="A55" s="344">
        <f>A54+1</f>
        <v>3</v>
      </c>
      <c r="B55" s="344"/>
      <c r="C55" s="399"/>
      <c r="D55" s="399"/>
      <c r="E55" s="482"/>
      <c r="F55" s="482"/>
      <c r="G55" s="223"/>
      <c r="H55" s="400"/>
      <c r="I55" s="401"/>
      <c r="J55" s="402"/>
      <c r="K55" s="7"/>
    </row>
    <row r="56" spans="1:16" ht="12" customHeight="1" x14ac:dyDescent="0.2">
      <c r="A56" s="954">
        <f>+A55+1</f>
        <v>4</v>
      </c>
      <c r="B56" s="452"/>
      <c r="C56" s="399"/>
      <c r="D56" s="399"/>
      <c r="E56" s="482"/>
      <c r="F56" s="482"/>
      <c r="G56" s="223"/>
      <c r="H56" s="400"/>
      <c r="I56" s="401"/>
      <c r="J56" s="402"/>
      <c r="K56" s="7"/>
    </row>
    <row r="57" spans="1:16" ht="12" customHeight="1" x14ac:dyDescent="0.2">
      <c r="A57" s="13" t="s">
        <v>12</v>
      </c>
      <c r="B57" s="972"/>
      <c r="C57" s="410"/>
      <c r="D57" s="410"/>
      <c r="E57" s="521"/>
      <c r="F57" s="521"/>
      <c r="G57" s="524"/>
      <c r="H57" s="565"/>
      <c r="I57" s="566"/>
      <c r="J57" s="408"/>
      <c r="K57" s="7"/>
      <c r="L57" s="916">
        <f>+C57*$L$7</f>
        <v>0</v>
      </c>
      <c r="M57" s="922">
        <f>+C57-L57*0</f>
        <v>0</v>
      </c>
      <c r="N57" s="559" t="s">
        <v>124</v>
      </c>
      <c r="O57" s="521">
        <f>IF(N57="S",M57*$O$5,"NO RETENCIÓN")</f>
        <v>0</v>
      </c>
      <c r="P57" s="924">
        <f>+M57/$P$5</f>
        <v>0</v>
      </c>
    </row>
    <row r="58" spans="1:16" ht="12" customHeight="1" x14ac:dyDescent="0.2">
      <c r="A58" s="11"/>
      <c r="B58" s="547"/>
      <c r="C58" s="413"/>
      <c r="D58" s="413"/>
      <c r="E58" s="537"/>
      <c r="F58" s="537"/>
      <c r="G58" s="449"/>
      <c r="H58" s="466"/>
      <c r="I58" s="466"/>
      <c r="J58" s="450"/>
      <c r="K58" s="7"/>
    </row>
    <row r="59" spans="1:16" ht="12" customHeight="1" x14ac:dyDescent="0.2">
      <c r="A59" s="11"/>
      <c r="B59" s="12"/>
      <c r="C59" s="100"/>
      <c r="D59" s="100"/>
      <c r="E59" s="352"/>
      <c r="F59" s="352"/>
      <c r="G59" s="148"/>
      <c r="H59" s="465"/>
      <c r="I59" s="465"/>
      <c r="J59" s="564"/>
      <c r="K59" s="7"/>
    </row>
    <row r="60" spans="1:16" ht="12" customHeight="1" x14ac:dyDescent="0.2">
      <c r="A60" s="344">
        <f>A58+1</f>
        <v>1</v>
      </c>
      <c r="B60" s="344"/>
      <c r="C60" s="399"/>
      <c r="D60" s="399"/>
      <c r="E60" s="482"/>
      <c r="F60" s="482"/>
      <c r="G60" s="223"/>
      <c r="H60" s="400"/>
      <c r="I60" s="401"/>
      <c r="J60" s="402"/>
      <c r="K60" s="7"/>
    </row>
    <row r="61" spans="1:16" ht="12" customHeight="1" x14ac:dyDescent="0.2">
      <c r="A61" s="956">
        <f>+A60+1</f>
        <v>2</v>
      </c>
      <c r="B61" s="573"/>
      <c r="C61" s="399"/>
      <c r="D61" s="399"/>
      <c r="E61" s="482"/>
      <c r="F61" s="482"/>
      <c r="G61" s="223"/>
      <c r="H61" s="400"/>
      <c r="I61" s="401"/>
      <c r="J61" s="402"/>
      <c r="K61" s="7"/>
    </row>
    <row r="62" spans="1:16" ht="12" customHeight="1" x14ac:dyDescent="0.2">
      <c r="A62" s="956">
        <f>+A61+1</f>
        <v>3</v>
      </c>
      <c r="B62" s="344"/>
      <c r="C62" s="399"/>
      <c r="D62" s="399"/>
      <c r="E62" s="482"/>
      <c r="F62" s="482"/>
      <c r="G62" s="223"/>
      <c r="H62" s="400"/>
      <c r="I62" s="401"/>
      <c r="J62" s="402"/>
      <c r="K62" s="7"/>
    </row>
    <row r="63" spans="1:16" ht="12" customHeight="1" x14ac:dyDescent="0.2">
      <c r="A63" s="344">
        <f>A62+1</f>
        <v>4</v>
      </c>
      <c r="B63" s="344"/>
      <c r="C63" s="399"/>
      <c r="D63" s="399"/>
      <c r="E63" s="482"/>
      <c r="F63" s="482"/>
      <c r="G63" s="223"/>
      <c r="H63" s="400"/>
      <c r="I63" s="401"/>
      <c r="J63" s="402"/>
      <c r="K63" s="7"/>
    </row>
    <row r="64" spans="1:16" ht="12" customHeight="1" x14ac:dyDescent="0.2">
      <c r="A64" s="955">
        <f>A63+1</f>
        <v>5</v>
      </c>
      <c r="B64" s="369"/>
      <c r="C64" s="399"/>
      <c r="D64" s="399"/>
      <c r="E64" s="482"/>
      <c r="F64" s="482"/>
      <c r="G64" s="223"/>
      <c r="H64" s="400"/>
      <c r="I64" s="401"/>
      <c r="J64" s="402"/>
      <c r="K64" s="7"/>
    </row>
    <row r="65" spans="1:16" ht="12" customHeight="1" x14ac:dyDescent="0.2">
      <c r="A65" s="13" t="s">
        <v>12</v>
      </c>
      <c r="B65" s="972"/>
      <c r="C65" s="403"/>
      <c r="D65" s="403"/>
      <c r="E65" s="521"/>
      <c r="F65" s="521"/>
      <c r="G65" s="402"/>
      <c r="H65" s="562"/>
      <c r="I65" s="563"/>
      <c r="J65" s="402"/>
      <c r="K65" s="7"/>
      <c r="L65" s="916">
        <f>+C65*$L$7</f>
        <v>0</v>
      </c>
      <c r="M65" s="922">
        <f>+C65-L65*0</f>
        <v>0</v>
      </c>
      <c r="N65" s="559" t="s">
        <v>124</v>
      </c>
      <c r="O65" s="521">
        <f>IF(N65="S",M65*$O$5,"NO RETENCIÓN")</f>
        <v>0</v>
      </c>
      <c r="P65" s="924">
        <f>+M65/$P$5</f>
        <v>0</v>
      </c>
    </row>
    <row r="66" spans="1:16" ht="12" customHeight="1" x14ac:dyDescent="0.2">
      <c r="A66" s="11"/>
      <c r="B66" s="547"/>
      <c r="C66" s="100"/>
      <c r="D66" s="100"/>
      <c r="E66" s="997"/>
      <c r="F66" s="352"/>
      <c r="G66" s="148"/>
      <c r="H66" s="465"/>
      <c r="I66" s="465"/>
      <c r="J66" s="388"/>
      <c r="K66" s="7"/>
    </row>
    <row r="67" spans="1:16" ht="12" customHeight="1" x14ac:dyDescent="0.2">
      <c r="A67" s="11"/>
      <c r="B67" s="547"/>
      <c r="C67" s="100"/>
      <c r="D67" s="100"/>
      <c r="E67" s="352"/>
      <c r="F67" s="352"/>
      <c r="G67" s="148"/>
      <c r="H67" s="465"/>
      <c r="I67" s="465"/>
      <c r="J67" s="388"/>
      <c r="K67" s="7"/>
    </row>
    <row r="68" spans="1:16" ht="12" customHeight="1" x14ac:dyDescent="0.2">
      <c r="A68" s="11"/>
      <c r="B68" s="12"/>
      <c r="C68" s="100"/>
      <c r="D68" s="100"/>
      <c r="E68" s="352"/>
      <c r="F68" s="352"/>
      <c r="G68" s="148"/>
      <c r="H68" s="465"/>
      <c r="I68" s="12"/>
      <c r="J68" s="388"/>
      <c r="K68" s="7"/>
    </row>
    <row r="69" spans="1:16" ht="12" customHeight="1" x14ac:dyDescent="0.2">
      <c r="A69" s="344">
        <f>+A64+1</f>
        <v>6</v>
      </c>
      <c r="B69" s="350"/>
      <c r="C69" s="399"/>
      <c r="D69" s="399"/>
      <c r="E69" s="482"/>
      <c r="F69" s="482"/>
      <c r="G69" s="223"/>
      <c r="H69" s="400"/>
      <c r="I69" s="401"/>
      <c r="J69" s="402"/>
      <c r="K69" s="7"/>
    </row>
    <row r="70" spans="1:16" ht="12" customHeight="1" x14ac:dyDescent="0.2">
      <c r="A70" s="11" t="s">
        <v>12</v>
      </c>
      <c r="B70" s="194"/>
      <c r="C70" s="574"/>
      <c r="D70" s="574"/>
      <c r="E70" s="521"/>
      <c r="F70" s="575"/>
      <c r="G70" s="576"/>
      <c r="H70" s="577"/>
      <c r="I70" s="578"/>
      <c r="J70" s="576"/>
      <c r="K70" s="7"/>
      <c r="L70" s="916">
        <f>+C70*$L$7</f>
        <v>0</v>
      </c>
      <c r="M70" s="922">
        <f>+C70-L70*0</f>
        <v>0</v>
      </c>
      <c r="N70" s="559" t="s">
        <v>124</v>
      </c>
      <c r="O70" s="521">
        <f>IF(N70="S",M70*$O$5,"NO RETENCIÓN")</f>
        <v>0</v>
      </c>
      <c r="P70" s="924">
        <f>+M70/$P$5</f>
        <v>0</v>
      </c>
    </row>
    <row r="71" spans="1:16" ht="12" customHeight="1" x14ac:dyDescent="0.2">
      <c r="A71" s="11"/>
      <c r="B71" s="547"/>
      <c r="C71" s="100"/>
      <c r="D71" s="100"/>
      <c r="E71" s="352"/>
      <c r="F71" s="352"/>
      <c r="G71" s="148"/>
      <c r="H71" s="465"/>
      <c r="I71" s="465"/>
      <c r="J71" s="388"/>
      <c r="K71" s="7"/>
    </row>
    <row r="72" spans="1:16" ht="12" customHeight="1" x14ac:dyDescent="0.2">
      <c r="A72" s="11"/>
      <c r="B72" s="12"/>
      <c r="C72" s="100"/>
      <c r="D72" s="100"/>
      <c r="E72" s="352"/>
      <c r="F72" s="352"/>
      <c r="G72" s="148"/>
      <c r="H72" s="465"/>
      <c r="I72" s="12"/>
      <c r="J72" s="388"/>
      <c r="K72" s="7"/>
    </row>
    <row r="73" spans="1:16" ht="12" customHeight="1" x14ac:dyDescent="0.2">
      <c r="A73" s="955">
        <f>+A69+1</f>
        <v>7</v>
      </c>
      <c r="B73" s="350"/>
      <c r="C73" s="399"/>
      <c r="D73" s="399"/>
      <c r="E73" s="482"/>
      <c r="F73" s="482"/>
      <c r="G73" s="223"/>
      <c r="H73" s="400"/>
      <c r="I73" s="401"/>
      <c r="J73" s="402"/>
      <c r="K73" s="7"/>
    </row>
    <row r="74" spans="1:16" ht="12" customHeight="1" x14ac:dyDescent="0.2">
      <c r="A74" s="13" t="s">
        <v>12</v>
      </c>
      <c r="B74" s="972"/>
      <c r="C74" s="403"/>
      <c r="D74" s="403"/>
      <c r="E74" s="521"/>
      <c r="F74" s="521"/>
      <c r="G74" s="402"/>
      <c r="H74" s="562"/>
      <c r="I74" s="563"/>
      <c r="J74" s="402"/>
      <c r="K74" s="7"/>
      <c r="L74" s="916">
        <f>+C74*$L$7</f>
        <v>0</v>
      </c>
      <c r="M74" s="922">
        <f>+C74-L74*0</f>
        <v>0</v>
      </c>
      <c r="N74" s="559" t="s">
        <v>124</v>
      </c>
      <c r="O74" s="521">
        <f>IF(N74="S",M74*$O$5,"NO RETENCIÓN")</f>
        <v>0</v>
      </c>
      <c r="P74" s="924">
        <f>+M74/$P$5</f>
        <v>0</v>
      </c>
    </row>
    <row r="75" spans="1:16" ht="12" customHeight="1" x14ac:dyDescent="0.2">
      <c r="A75" s="11"/>
      <c r="B75" s="547"/>
      <c r="C75" s="100"/>
      <c r="D75" s="100"/>
      <c r="E75" s="352"/>
      <c r="F75" s="352"/>
      <c r="G75" s="148"/>
      <c r="H75" s="465"/>
      <c r="I75" s="465"/>
      <c r="J75" s="388"/>
      <c r="K75" s="7"/>
    </row>
    <row r="76" spans="1:16" ht="12" customHeight="1" x14ac:dyDescent="0.2">
      <c r="A76" s="11"/>
      <c r="B76" s="12"/>
      <c r="C76" s="100"/>
      <c r="D76" s="100"/>
      <c r="E76" s="352"/>
      <c r="F76" s="352"/>
      <c r="G76" s="148"/>
      <c r="H76" s="465"/>
      <c r="I76" s="465"/>
      <c r="J76" s="388"/>
      <c r="K76" s="7"/>
    </row>
    <row r="77" spans="1:16" ht="12" customHeight="1" x14ac:dyDescent="0.2">
      <c r="A77" s="955">
        <v>1</v>
      </c>
      <c r="B77" s="350"/>
      <c r="C77" s="399"/>
      <c r="D77" s="399"/>
      <c r="E77" s="482"/>
      <c r="F77" s="482"/>
      <c r="G77" s="223"/>
      <c r="H77" s="400"/>
      <c r="I77" s="401"/>
      <c r="J77" s="402"/>
      <c r="K77" s="7"/>
      <c r="L77" s="916">
        <f t="shared" ref="L77:L78" si="1">+C77*$L$7</f>
        <v>0</v>
      </c>
      <c r="M77" s="922">
        <f t="shared" ref="M77:M78" si="2">+C77-L77*0</f>
        <v>0</v>
      </c>
      <c r="N77" s="559" t="s">
        <v>124</v>
      </c>
      <c r="O77" s="521">
        <f t="shared" ref="O77:O78" si="3">IF(N77="S",M77*$O$5,"NO RETENCIÓN")</f>
        <v>0</v>
      </c>
      <c r="P77" s="924">
        <f t="shared" ref="P77:P78" si="4">+M77/$P$5</f>
        <v>0</v>
      </c>
    </row>
    <row r="78" spans="1:16" ht="12" customHeight="1" x14ac:dyDescent="0.2">
      <c r="A78" s="955">
        <f>A77+1</f>
        <v>2</v>
      </c>
      <c r="B78" s="350"/>
      <c r="C78" s="399"/>
      <c r="D78" s="399"/>
      <c r="E78" s="482"/>
      <c r="F78" s="482"/>
      <c r="G78" s="223"/>
      <c r="H78" s="400"/>
      <c r="I78" s="401"/>
      <c r="J78" s="402"/>
      <c r="K78" s="7"/>
      <c r="L78" s="916">
        <f t="shared" si="1"/>
        <v>0</v>
      </c>
      <c r="M78" s="922">
        <f t="shared" si="2"/>
        <v>0</v>
      </c>
      <c r="N78" s="559" t="s">
        <v>124</v>
      </c>
      <c r="O78" s="521">
        <f t="shared" si="3"/>
        <v>0</v>
      </c>
      <c r="P78" s="924">
        <f t="shared" si="4"/>
        <v>0</v>
      </c>
    </row>
    <row r="79" spans="1:16" x14ac:dyDescent="0.2">
      <c r="A79" s="955">
        <f>A78+1</f>
        <v>3</v>
      </c>
      <c r="B79" s="350"/>
      <c r="C79" s="399"/>
      <c r="D79" s="399"/>
      <c r="E79" s="482"/>
      <c r="F79" s="482"/>
      <c r="G79" s="223"/>
      <c r="H79" s="400"/>
      <c r="I79" s="401"/>
      <c r="J79" s="402"/>
      <c r="K79" s="7"/>
    </row>
    <row r="80" spans="1:16" x14ac:dyDescent="0.2">
      <c r="A80" s="955">
        <f t="shared" ref="A80:A82" si="5">A79+1</f>
        <v>4</v>
      </c>
      <c r="B80" s="350"/>
      <c r="C80" s="399"/>
      <c r="D80" s="399"/>
      <c r="E80" s="482"/>
      <c r="F80" s="482"/>
      <c r="G80" s="223"/>
      <c r="H80" s="400"/>
      <c r="I80" s="401"/>
      <c r="J80" s="402"/>
      <c r="K80" s="7"/>
      <c r="L80" s="916">
        <f t="shared" ref="L80:L83" si="6">+C80*$L$7</f>
        <v>0</v>
      </c>
      <c r="M80" s="922">
        <f t="shared" ref="M80:M83" si="7">+C80-L80*0</f>
        <v>0</v>
      </c>
      <c r="N80" s="559" t="s">
        <v>124</v>
      </c>
      <c r="O80" s="521">
        <f t="shared" ref="O80:O82" si="8">IF(N80="S",M80*$O$5,"NO RETENCIÓN")</f>
        <v>0</v>
      </c>
      <c r="P80" s="924">
        <f t="shared" ref="P80:P82" si="9">+M80/$P$5</f>
        <v>0</v>
      </c>
    </row>
    <row r="81" spans="1:16" ht="12" customHeight="1" x14ac:dyDescent="0.2">
      <c r="A81" s="955">
        <f t="shared" si="5"/>
        <v>5</v>
      </c>
      <c r="B81" s="350"/>
      <c r="C81" s="399"/>
      <c r="D81" s="399"/>
      <c r="E81" s="482"/>
      <c r="F81" s="482"/>
      <c r="G81" s="223"/>
      <c r="H81" s="400"/>
      <c r="I81" s="401"/>
      <c r="J81" s="402"/>
      <c r="K81" s="7"/>
      <c r="L81" s="916">
        <f t="shared" si="6"/>
        <v>0</v>
      </c>
      <c r="M81" s="922">
        <f t="shared" si="7"/>
        <v>0</v>
      </c>
      <c r="N81" s="559" t="s">
        <v>124</v>
      </c>
      <c r="O81" s="521">
        <f t="shared" si="8"/>
        <v>0</v>
      </c>
      <c r="P81" s="924">
        <f t="shared" si="9"/>
        <v>0</v>
      </c>
    </row>
    <row r="82" spans="1:16" ht="12" customHeight="1" x14ac:dyDescent="0.2">
      <c r="A82" s="955">
        <f t="shared" si="5"/>
        <v>6</v>
      </c>
      <c r="B82" s="350"/>
      <c r="C82" s="399"/>
      <c r="D82" s="399"/>
      <c r="E82" s="482"/>
      <c r="F82" s="482"/>
      <c r="G82" s="223"/>
      <c r="H82" s="400"/>
      <c r="I82" s="401"/>
      <c r="J82" s="402"/>
      <c r="K82" s="7"/>
      <c r="L82" s="916">
        <f t="shared" si="6"/>
        <v>0</v>
      </c>
      <c r="M82" s="922">
        <f t="shared" si="7"/>
        <v>0</v>
      </c>
      <c r="N82" s="559" t="s">
        <v>124</v>
      </c>
      <c r="O82" s="521">
        <f t="shared" si="8"/>
        <v>0</v>
      </c>
      <c r="P82" s="924">
        <f t="shared" si="9"/>
        <v>0</v>
      </c>
    </row>
    <row r="83" spans="1:16" ht="12" customHeight="1" x14ac:dyDescent="0.2">
      <c r="A83" s="13" t="s">
        <v>13</v>
      </c>
      <c r="B83" s="935"/>
      <c r="C83" s="410"/>
      <c r="D83" s="410"/>
      <c r="E83" s="521"/>
      <c r="F83" s="521"/>
      <c r="G83" s="524"/>
      <c r="H83" s="565"/>
      <c r="I83" s="566"/>
      <c r="J83" s="408"/>
      <c r="K83" s="7"/>
      <c r="L83" s="916">
        <f t="shared" si="6"/>
        <v>0</v>
      </c>
      <c r="M83" s="922">
        <f t="shared" si="7"/>
        <v>0</v>
      </c>
      <c r="N83" s="559"/>
      <c r="O83" s="521">
        <f>SUM(O77:O82)</f>
        <v>0</v>
      </c>
      <c r="P83" s="917"/>
    </row>
    <row r="84" spans="1:16" ht="12" customHeight="1" x14ac:dyDescent="0.2">
      <c r="A84" s="998"/>
      <c r="B84" s="999"/>
      <c r="C84" s="1000"/>
      <c r="D84" s="1000"/>
      <c r="E84" s="352"/>
      <c r="F84" s="352"/>
      <c r="G84" s="1001"/>
      <c r="H84" s="1002"/>
      <c r="I84" s="1003"/>
      <c r="J84" s="1004"/>
      <c r="K84" s="7"/>
      <c r="L84" s="1304"/>
      <c r="N84" s="104"/>
      <c r="O84" s="352"/>
    </row>
    <row r="85" spans="1:16" ht="12" customHeight="1" x14ac:dyDescent="0.2">
      <c r="A85" s="1310"/>
      <c r="B85" s="934"/>
      <c r="C85" s="413"/>
      <c r="D85" s="413"/>
      <c r="E85" s="537"/>
      <c r="F85" s="537"/>
      <c r="G85" s="449"/>
      <c r="H85" s="466"/>
      <c r="I85" s="466"/>
      <c r="J85" s="450"/>
      <c r="K85" s="7"/>
    </row>
    <row r="86" spans="1:16" ht="18.75" customHeight="1" x14ac:dyDescent="0.2">
      <c r="A86" s="1311" t="s">
        <v>87</v>
      </c>
      <c r="B86" s="194"/>
      <c r="C86" s="100"/>
      <c r="D86" s="100"/>
      <c r="E86" s="352"/>
      <c r="F86" s="352"/>
      <c r="G86" s="148"/>
      <c r="H86" s="465"/>
      <c r="I86" s="579"/>
      <c r="J86" s="388"/>
      <c r="K86" s="7"/>
    </row>
    <row r="87" spans="1:16" ht="12" customHeight="1" x14ac:dyDescent="0.2">
      <c r="A87" s="344">
        <v>1</v>
      </c>
      <c r="B87" s="344"/>
      <c r="C87" s="399"/>
      <c r="D87" s="399"/>
      <c r="E87" s="482"/>
      <c r="F87" s="482"/>
      <c r="G87" s="223"/>
      <c r="H87" s="400"/>
      <c r="I87" s="401"/>
      <c r="J87" s="402"/>
      <c r="K87" s="7"/>
    </row>
    <row r="88" spans="1:16" ht="12" customHeight="1" x14ac:dyDescent="0.2">
      <c r="A88" s="13" t="s">
        <v>12</v>
      </c>
      <c r="B88" s="972"/>
      <c r="C88" s="403"/>
      <c r="D88" s="403"/>
      <c r="E88" s="521"/>
      <c r="F88" s="521"/>
      <c r="G88" s="402"/>
      <c r="H88" s="562"/>
      <c r="I88" s="563"/>
      <c r="J88" s="402"/>
      <c r="K88" s="7"/>
      <c r="L88" s="916">
        <f>+C88*$L$7</f>
        <v>0</v>
      </c>
      <c r="M88" s="922">
        <f>+C88-L88*0</f>
        <v>0</v>
      </c>
      <c r="N88" s="559" t="s">
        <v>124</v>
      </c>
      <c r="O88" s="521">
        <f>IF(N88="S",M88*$O$5,"NO RETENCIÓN")</f>
        <v>0</v>
      </c>
      <c r="P88" s="924">
        <f>+M88/$P$5</f>
        <v>0</v>
      </c>
    </row>
    <row r="89" spans="1:16" ht="12" customHeight="1" x14ac:dyDescent="0.2">
      <c r="A89" s="11"/>
      <c r="B89" s="547"/>
      <c r="C89" s="100"/>
      <c r="D89" s="100"/>
      <c r="E89" s="352"/>
      <c r="F89" s="352"/>
      <c r="G89" s="148"/>
      <c r="H89" s="465"/>
      <c r="I89" s="465"/>
      <c r="J89" s="388"/>
      <c r="K89" s="7"/>
    </row>
    <row r="90" spans="1:16" ht="12" customHeight="1" x14ac:dyDescent="0.2">
      <c r="A90" s="11"/>
      <c r="B90" s="547"/>
      <c r="C90" s="100"/>
      <c r="D90" s="100"/>
      <c r="E90" s="352"/>
      <c r="F90" s="352"/>
      <c r="G90" s="148"/>
      <c r="H90" s="465"/>
      <c r="I90" s="465"/>
      <c r="J90" s="388"/>
      <c r="K90" s="7"/>
    </row>
    <row r="91" spans="1:16" ht="12" customHeight="1" x14ac:dyDescent="0.2">
      <c r="A91" s="57" t="s">
        <v>14</v>
      </c>
      <c r="B91" s="936"/>
      <c r="C91" s="419"/>
      <c r="D91" s="419"/>
      <c r="E91" s="538"/>
      <c r="F91" s="538"/>
      <c r="G91" s="525"/>
      <c r="H91" s="419"/>
      <c r="I91" s="419"/>
      <c r="J91" s="420"/>
      <c r="K91" s="7"/>
      <c r="L91" s="916">
        <f>+L12+L17+L39+L45+L49+L57+L33+L65+L70+L74+L83+L88</f>
        <v>0</v>
      </c>
      <c r="M91" s="922">
        <f>+M12+M17+M39+M45+M49+M57+M33+M65+M70+M74+M83+M88</f>
        <v>0</v>
      </c>
      <c r="N91" s="559"/>
      <c r="O91" s="521"/>
      <c r="P91" s="917"/>
    </row>
    <row r="92" spans="1:16" ht="12" customHeight="1" x14ac:dyDescent="0.2">
      <c r="A92" s="957"/>
      <c r="B92" s="937"/>
      <c r="C92" s="421"/>
      <c r="D92" s="421"/>
      <c r="E92" s="352"/>
      <c r="F92" s="352"/>
      <c r="G92" s="148"/>
      <c r="H92" s="407"/>
      <c r="I92" s="407"/>
      <c r="J92" s="328"/>
      <c r="K92" s="7"/>
    </row>
    <row r="93" spans="1:16" ht="2.1" customHeight="1" x14ac:dyDescent="0.2">
      <c r="A93" s="958"/>
      <c r="B93" s="938"/>
      <c r="C93" s="422"/>
      <c r="D93" s="422"/>
      <c r="E93" s="155"/>
      <c r="F93" s="155"/>
      <c r="G93" s="66"/>
      <c r="H93" s="423"/>
      <c r="I93" s="423"/>
      <c r="J93" s="424"/>
      <c r="K93" s="7"/>
    </row>
    <row r="94" spans="1:16" ht="12" customHeight="1" x14ac:dyDescent="0.2">
      <c r="A94" s="957"/>
      <c r="B94" s="937"/>
      <c r="C94" s="421"/>
      <c r="D94" s="421"/>
      <c r="E94" s="352"/>
      <c r="F94" s="352"/>
      <c r="G94" s="148"/>
      <c r="H94" s="421"/>
      <c r="I94" s="421"/>
      <c r="J94" s="421"/>
      <c r="K94" s="7"/>
    </row>
    <row r="95" spans="1:16" ht="12" customHeight="1" x14ac:dyDescent="0.2">
      <c r="A95" s="10" t="s">
        <v>15</v>
      </c>
      <c r="B95" s="547"/>
      <c r="C95" s="421"/>
      <c r="D95" s="421"/>
      <c r="E95" s="352"/>
      <c r="F95" s="352"/>
      <c r="G95" s="148"/>
      <c r="I95" s="393"/>
      <c r="J95" s="425"/>
      <c r="K95" s="7"/>
    </row>
    <row r="96" spans="1:16" ht="12" customHeight="1" x14ac:dyDescent="0.2">
      <c r="A96" s="427">
        <v>1</v>
      </c>
      <c r="B96" s="426"/>
      <c r="C96" s="1305"/>
      <c r="D96" s="1305"/>
      <c r="E96" s="1053"/>
      <c r="F96" s="1053"/>
      <c r="G96" s="1043"/>
      <c r="H96" s="1306"/>
      <c r="I96" s="1307"/>
      <c r="J96" s="1308"/>
      <c r="K96" s="7"/>
    </row>
    <row r="97" spans="1:17" ht="12" customHeight="1" x14ac:dyDescent="0.2">
      <c r="A97" s="13" t="s">
        <v>12</v>
      </c>
      <c r="B97" s="934"/>
      <c r="C97" s="1309"/>
      <c r="D97" s="1309"/>
      <c r="E97" s="1211"/>
      <c r="F97" s="1211"/>
      <c r="G97" s="1298"/>
      <c r="H97" s="1309"/>
      <c r="I97" s="1309"/>
      <c r="J97" s="1298"/>
      <c r="K97" s="7"/>
    </row>
    <row r="98" spans="1:17" ht="12" customHeight="1" x14ac:dyDescent="0.2">
      <c r="A98" s="957"/>
      <c r="B98" s="547"/>
      <c r="C98" s="421"/>
      <c r="D98" s="421"/>
      <c r="E98" s="352"/>
      <c r="F98" s="352"/>
      <c r="G98" s="148"/>
      <c r="H98" s="407"/>
      <c r="I98" s="407"/>
      <c r="J98" s="328"/>
      <c r="K98" s="7"/>
    </row>
    <row r="99" spans="1:17" ht="12" customHeight="1" x14ac:dyDescent="0.2">
      <c r="A99" s="10" t="s">
        <v>16</v>
      </c>
      <c r="B99" s="547"/>
      <c r="C99" s="421"/>
      <c r="D99" s="421"/>
      <c r="E99" s="352"/>
      <c r="F99" s="352"/>
      <c r="G99" s="148"/>
      <c r="I99" s="393"/>
      <c r="J99" s="425"/>
      <c r="K99" s="7"/>
    </row>
    <row r="100" spans="1:17" ht="12" customHeight="1" x14ac:dyDescent="0.2">
      <c r="A100" s="427">
        <v>1</v>
      </c>
      <c r="B100" s="417"/>
      <c r="C100" s="399"/>
      <c r="D100" s="399"/>
      <c r="E100" s="482"/>
      <c r="F100" s="482"/>
      <c r="G100" s="223"/>
      <c r="H100" s="400"/>
      <c r="I100" s="401"/>
      <c r="J100" s="409"/>
      <c r="K100" s="7"/>
      <c r="L100" s="975">
        <f t="shared" ref="L100:L102" si="10">+C100*$L$7</f>
        <v>0</v>
      </c>
      <c r="M100" s="976">
        <f t="shared" ref="M100:M102" si="11">+C100-L100*0</f>
        <v>0</v>
      </c>
      <c r="N100" s="977" t="s">
        <v>124</v>
      </c>
      <c r="O100" s="521">
        <f t="shared" ref="O100:O102" si="12">IF(N100="S",M100*$O$5,"NO RETENCIÓN")</f>
        <v>0</v>
      </c>
      <c r="P100" s="978">
        <f t="shared" ref="P100:P102" si="13">+M100/$P$5</f>
        <v>0</v>
      </c>
    </row>
    <row r="101" spans="1:17" ht="12" customHeight="1" x14ac:dyDescent="0.2">
      <c r="A101" s="427">
        <f>A100+1</f>
        <v>2</v>
      </c>
      <c r="B101" s="350"/>
      <c r="C101" s="399"/>
      <c r="D101" s="399"/>
      <c r="E101" s="482"/>
      <c r="F101" s="482"/>
      <c r="G101" s="223"/>
      <c r="H101" s="400"/>
      <c r="I101" s="401"/>
      <c r="J101" s="409"/>
      <c r="K101" s="7"/>
      <c r="L101" s="975">
        <f t="shared" si="10"/>
        <v>0</v>
      </c>
      <c r="M101" s="976">
        <f t="shared" si="11"/>
        <v>0</v>
      </c>
      <c r="N101" s="977" t="s">
        <v>124</v>
      </c>
      <c r="O101" s="521">
        <f t="shared" si="12"/>
        <v>0</v>
      </c>
      <c r="P101" s="978">
        <f t="shared" si="13"/>
        <v>0</v>
      </c>
    </row>
    <row r="102" spans="1:17" ht="12" customHeight="1" x14ac:dyDescent="0.2">
      <c r="A102" s="427">
        <f>A101+1</f>
        <v>3</v>
      </c>
      <c r="B102" s="350"/>
      <c r="C102" s="399"/>
      <c r="D102" s="399"/>
      <c r="E102" s="482"/>
      <c r="F102" s="482"/>
      <c r="G102" s="223"/>
      <c r="H102" s="400"/>
      <c r="I102" s="401"/>
      <c r="J102" s="409"/>
      <c r="K102" s="7"/>
      <c r="L102" s="975">
        <f t="shared" si="10"/>
        <v>0</v>
      </c>
      <c r="M102" s="976">
        <f t="shared" si="11"/>
        <v>0</v>
      </c>
      <c r="N102" s="977" t="s">
        <v>124</v>
      </c>
      <c r="O102" s="521">
        <f t="shared" si="12"/>
        <v>0</v>
      </c>
      <c r="P102" s="978">
        <f t="shared" si="13"/>
        <v>0</v>
      </c>
    </row>
    <row r="103" spans="1:17" ht="12" customHeight="1" x14ac:dyDescent="0.2">
      <c r="A103" s="13" t="s">
        <v>12</v>
      </c>
      <c r="B103" s="934"/>
      <c r="C103" s="410"/>
      <c r="D103" s="410"/>
      <c r="E103" s="536"/>
      <c r="F103" s="536"/>
      <c r="G103" s="524"/>
      <c r="H103" s="410"/>
      <c r="I103" s="428"/>
      <c r="J103" s="408"/>
      <c r="K103" s="7"/>
      <c r="Q103" s="287">
        <f>SUM(O100:O102)</f>
        <v>0</v>
      </c>
    </row>
    <row r="104" spans="1:17" ht="12" customHeight="1" x14ac:dyDescent="0.2">
      <c r="A104" s="957"/>
      <c r="B104" s="547"/>
      <c r="C104" s="429"/>
      <c r="D104" s="429"/>
      <c r="E104" s="537"/>
      <c r="F104" s="537"/>
      <c r="G104" s="449"/>
      <c r="H104" s="414"/>
      <c r="I104" s="414"/>
      <c r="J104" s="415"/>
      <c r="K104" s="7"/>
      <c r="Q104" s="287">
        <f>+E105+Q103</f>
        <v>0</v>
      </c>
    </row>
    <row r="105" spans="1:17" ht="12" customHeight="1" x14ac:dyDescent="0.2">
      <c r="A105" s="56" t="s">
        <v>79</v>
      </c>
      <c r="B105" s="939"/>
      <c r="C105" s="430"/>
      <c r="D105" s="430"/>
      <c r="E105" s="539"/>
      <c r="F105" s="539"/>
      <c r="G105" s="526"/>
      <c r="H105" s="430"/>
      <c r="I105" s="430"/>
      <c r="J105" s="431"/>
      <c r="K105" s="7"/>
    </row>
    <row r="106" spans="1:17" ht="12" customHeight="1" x14ac:dyDescent="0.2">
      <c r="A106" s="957"/>
      <c r="B106" s="547"/>
      <c r="C106" s="421"/>
      <c r="D106" s="421"/>
      <c r="E106" s="352"/>
      <c r="F106" s="352"/>
      <c r="G106" s="148"/>
      <c r="H106" s="421"/>
      <c r="I106" s="421"/>
      <c r="J106" s="432"/>
      <c r="K106" s="7"/>
    </row>
    <row r="107" spans="1:17" ht="2.1" customHeight="1" x14ac:dyDescent="0.2">
      <c r="A107" s="958"/>
      <c r="B107" s="938"/>
      <c r="C107" s="422"/>
      <c r="D107" s="422"/>
      <c r="E107" s="155"/>
      <c r="F107" s="155"/>
      <c r="G107" s="66"/>
      <c r="H107" s="422"/>
      <c r="I107" s="422"/>
      <c r="J107" s="433"/>
      <c r="K107" s="7"/>
    </row>
    <row r="108" spans="1:17" ht="12" customHeight="1" x14ac:dyDescent="0.2">
      <c r="A108" s="957"/>
      <c r="B108" s="547"/>
      <c r="C108" s="421"/>
      <c r="D108" s="421"/>
      <c r="E108" s="352"/>
      <c r="F108" s="352"/>
      <c r="G108" s="148"/>
      <c r="H108" s="421"/>
      <c r="I108" s="421"/>
      <c r="J108" s="432"/>
      <c r="K108" s="7"/>
    </row>
    <row r="109" spans="1:17" ht="12" customHeight="1" x14ac:dyDescent="0.2">
      <c r="A109" s="10" t="s">
        <v>17</v>
      </c>
      <c r="B109" s="14"/>
      <c r="C109" s="940"/>
      <c r="D109" s="940"/>
      <c r="E109" s="941"/>
      <c r="F109" s="941"/>
      <c r="G109" s="214"/>
      <c r="H109" s="434"/>
      <c r="I109" s="434"/>
      <c r="J109" s="328"/>
      <c r="K109" s="435"/>
      <c r="N109" s="150"/>
    </row>
    <row r="110" spans="1:17" ht="12" customHeight="1" x14ac:dyDescent="0.2">
      <c r="A110" s="955">
        <v>1</v>
      </c>
      <c r="B110" s="350"/>
      <c r="C110" s="399"/>
      <c r="D110" s="399"/>
      <c r="E110" s="482"/>
      <c r="F110" s="482"/>
      <c r="G110" s="223"/>
      <c r="H110" s="400"/>
      <c r="I110" s="401"/>
      <c r="J110" s="409"/>
      <c r="K110" s="7"/>
    </row>
    <row r="111" spans="1:17" ht="12" customHeight="1" x14ac:dyDescent="0.2">
      <c r="A111" s="955">
        <f>A110+1</f>
        <v>2</v>
      </c>
      <c r="B111" s="436"/>
      <c r="C111" s="399"/>
      <c r="D111" s="399"/>
      <c r="E111" s="482"/>
      <c r="F111" s="482"/>
      <c r="G111" s="223"/>
      <c r="H111" s="400"/>
      <c r="I111" s="401"/>
      <c r="J111" s="409"/>
      <c r="K111" s="7"/>
    </row>
    <row r="112" spans="1:17" ht="12" customHeight="1" x14ac:dyDescent="0.2">
      <c r="A112" s="955">
        <f>A111+1</f>
        <v>3</v>
      </c>
      <c r="B112" s="436"/>
      <c r="C112" s="399"/>
      <c r="D112" s="399"/>
      <c r="E112" s="482"/>
      <c r="F112" s="482"/>
      <c r="G112" s="223"/>
      <c r="H112" s="400"/>
      <c r="I112" s="401"/>
      <c r="J112" s="409"/>
      <c r="K112" s="7"/>
    </row>
    <row r="113" spans="1:16" ht="12" customHeight="1" x14ac:dyDescent="0.2">
      <c r="A113" s="13" t="s">
        <v>12</v>
      </c>
      <c r="B113" s="972"/>
      <c r="C113" s="410"/>
      <c r="D113" s="410"/>
      <c r="E113" s="521"/>
      <c r="F113" s="536"/>
      <c r="G113" s="524"/>
      <c r="H113" s="410"/>
      <c r="I113" s="428"/>
      <c r="J113" s="408"/>
      <c r="K113" s="7"/>
      <c r="L113" s="916">
        <f t="shared" ref="L113" si="14">+C113*$L$7</f>
        <v>0</v>
      </c>
      <c r="M113" s="922">
        <f>+C113-L113*0</f>
        <v>0</v>
      </c>
      <c r="N113" s="559" t="s">
        <v>124</v>
      </c>
      <c r="O113" s="521">
        <f>IF(N113="S",M113*$O$5,"NO RETENCIÓN")</f>
        <v>0</v>
      </c>
      <c r="P113" s="924">
        <f>+M113/$P$5</f>
        <v>0</v>
      </c>
    </row>
    <row r="114" spans="1:16" ht="12" customHeight="1" x14ac:dyDescent="0.2">
      <c r="A114" s="957"/>
      <c r="B114" s="547"/>
      <c r="C114" s="429"/>
      <c r="D114" s="429"/>
      <c r="E114" s="537"/>
      <c r="F114" s="537"/>
      <c r="G114" s="449"/>
      <c r="H114" s="414"/>
      <c r="I114" s="414"/>
      <c r="J114" s="415"/>
      <c r="K114" s="7"/>
    </row>
    <row r="115" spans="1:16" ht="12" customHeight="1" x14ac:dyDescent="0.2">
      <c r="A115" s="957"/>
      <c r="B115" s="547"/>
      <c r="C115" s="148"/>
      <c r="D115" s="148"/>
      <c r="E115" s="352"/>
      <c r="F115" s="352"/>
      <c r="G115" s="148"/>
      <c r="H115" s="148"/>
      <c r="I115" s="148"/>
      <c r="J115" s="328"/>
      <c r="K115" s="7"/>
    </row>
    <row r="116" spans="1:16" ht="12" customHeight="1" x14ac:dyDescent="0.2">
      <c r="A116" s="957"/>
      <c r="B116" s="194"/>
      <c r="C116" s="437"/>
      <c r="D116" s="437"/>
      <c r="E116" s="540"/>
      <c r="F116" s="540"/>
      <c r="G116" s="527"/>
      <c r="H116" s="438"/>
      <c r="I116" s="438"/>
      <c r="J116" s="328"/>
      <c r="K116" s="7"/>
    </row>
    <row r="117" spans="1:16" ht="12" customHeight="1" x14ac:dyDescent="0.2">
      <c r="A117" s="955">
        <f>A112+1</f>
        <v>4</v>
      </c>
      <c r="B117" s="350"/>
      <c r="C117" s="399"/>
      <c r="D117" s="399"/>
      <c r="E117" s="482"/>
      <c r="F117" s="482"/>
      <c r="G117" s="223"/>
      <c r="H117" s="400"/>
      <c r="I117" s="401"/>
      <c r="J117" s="439"/>
      <c r="K117" s="7"/>
    </row>
    <row r="118" spans="1:16" ht="12" customHeight="1" x14ac:dyDescent="0.2">
      <c r="A118" s="13" t="s">
        <v>12</v>
      </c>
      <c r="B118" s="934"/>
      <c r="C118" s="440"/>
      <c r="D118" s="440"/>
      <c r="E118" s="541"/>
      <c r="F118" s="541"/>
      <c r="G118" s="528"/>
      <c r="H118" s="440"/>
      <c r="I118" s="440"/>
      <c r="J118" s="420"/>
      <c r="K118" s="7"/>
    </row>
    <row r="119" spans="1:16" ht="12" customHeight="1" x14ac:dyDescent="0.2">
      <c r="A119" s="12"/>
      <c r="B119" s="547"/>
      <c r="C119" s="100"/>
      <c r="D119" s="100"/>
      <c r="E119" s="352"/>
      <c r="F119" s="352"/>
      <c r="G119" s="148"/>
      <c r="H119" s="100"/>
      <c r="I119" s="100"/>
      <c r="K119" s="7"/>
    </row>
    <row r="120" spans="1:16" ht="12" customHeight="1" x14ac:dyDescent="0.2">
      <c r="A120" s="56" t="s">
        <v>55</v>
      </c>
      <c r="B120" s="939"/>
      <c r="C120" s="430"/>
      <c r="D120" s="430"/>
      <c r="E120" s="539"/>
      <c r="F120" s="539"/>
      <c r="G120" s="526"/>
      <c r="H120" s="441"/>
      <c r="I120" s="442"/>
      <c r="J120" s="431"/>
      <c r="K120" s="7"/>
    </row>
    <row r="121" spans="1:16" ht="12" customHeight="1" x14ac:dyDescent="0.2">
      <c r="A121" s="12"/>
      <c r="B121" s="547"/>
      <c r="C121" s="100"/>
      <c r="D121" s="100"/>
      <c r="E121" s="352"/>
      <c r="F121" s="352"/>
      <c r="G121" s="148"/>
      <c r="H121" s="100"/>
      <c r="I121" s="100"/>
      <c r="K121" s="7"/>
    </row>
    <row r="122" spans="1:16" ht="2.1" customHeight="1" x14ac:dyDescent="0.2">
      <c r="A122" s="958"/>
      <c r="B122" s="938"/>
      <c r="C122" s="422"/>
      <c r="D122" s="422"/>
      <c r="E122" s="155"/>
      <c r="F122" s="155"/>
      <c r="G122" s="66"/>
      <c r="H122" s="423"/>
      <c r="I122" s="423"/>
      <c r="J122" s="424"/>
      <c r="K122" s="7"/>
    </row>
    <row r="123" spans="1:16" ht="12" customHeight="1" x14ac:dyDescent="0.2">
      <c r="A123" s="15"/>
      <c r="C123" s="16"/>
      <c r="D123" s="16"/>
      <c r="E123" s="479"/>
      <c r="F123" s="479"/>
      <c r="G123" s="16"/>
      <c r="H123" s="16"/>
      <c r="I123" s="16"/>
      <c r="J123" s="16"/>
      <c r="K123" s="7"/>
    </row>
    <row r="124" spans="1:16" ht="12" customHeight="1" x14ac:dyDescent="0.2">
      <c r="A124" s="10" t="s">
        <v>18</v>
      </c>
      <c r="C124" s="855"/>
      <c r="D124" s="855"/>
      <c r="E124" s="933"/>
      <c r="F124" s="933"/>
      <c r="G124" s="855"/>
      <c r="H124" s="434"/>
      <c r="I124" s="434"/>
      <c r="J124" s="329"/>
      <c r="K124" s="7"/>
    </row>
    <row r="125" spans="1:16" ht="24.95" customHeight="1" x14ac:dyDescent="0.2">
      <c r="A125" s="959">
        <v>1</v>
      </c>
      <c r="B125" s="445"/>
      <c r="C125" s="399"/>
      <c r="D125" s="399"/>
      <c r="E125" s="482"/>
      <c r="F125" s="482"/>
      <c r="G125" s="223"/>
      <c r="H125" s="400"/>
      <c r="I125" s="401"/>
      <c r="J125" s="409"/>
      <c r="K125" s="7"/>
    </row>
    <row r="126" spans="1:16" ht="12" customHeight="1" x14ac:dyDescent="0.2">
      <c r="A126" s="955">
        <f t="shared" ref="A126:A130" si="15">A125+1</f>
        <v>2</v>
      </c>
      <c r="B126" s="417"/>
      <c r="C126" s="399"/>
      <c r="D126" s="399"/>
      <c r="E126" s="482"/>
      <c r="F126" s="482"/>
      <c r="G126" s="223"/>
      <c r="H126" s="400"/>
      <c r="I126" s="401"/>
      <c r="J126" s="409"/>
      <c r="K126" s="7"/>
    </row>
    <row r="127" spans="1:16" ht="12" customHeight="1" x14ac:dyDescent="0.2">
      <c r="A127" s="955">
        <f t="shared" si="15"/>
        <v>3</v>
      </c>
      <c r="B127" s="436"/>
      <c r="C127" s="399"/>
      <c r="D127" s="399"/>
      <c r="E127" s="482"/>
      <c r="F127" s="482"/>
      <c r="G127" s="223"/>
      <c r="H127" s="400"/>
      <c r="I127" s="401"/>
      <c r="J127" s="408"/>
      <c r="K127" s="7"/>
    </row>
    <row r="128" spans="1:16" ht="12" customHeight="1" x14ac:dyDescent="0.2">
      <c r="A128" s="955">
        <f t="shared" si="15"/>
        <v>4</v>
      </c>
      <c r="B128" s="436"/>
      <c r="C128" s="399"/>
      <c r="D128" s="399"/>
      <c r="E128" s="482"/>
      <c r="F128" s="482"/>
      <c r="G128" s="223"/>
      <c r="H128" s="400"/>
      <c r="I128" s="401"/>
      <c r="J128" s="408"/>
      <c r="K128" s="7"/>
    </row>
    <row r="129" spans="1:11" ht="12" customHeight="1" x14ac:dyDescent="0.2">
      <c r="A129" s="955">
        <f t="shared" si="15"/>
        <v>5</v>
      </c>
      <c r="B129" s="1485"/>
      <c r="C129" s="567"/>
      <c r="D129" s="567"/>
      <c r="E129" s="509"/>
      <c r="F129" s="509"/>
      <c r="G129" s="385"/>
      <c r="H129" s="568"/>
      <c r="I129" s="569"/>
      <c r="J129" s="408"/>
      <c r="K129" s="7"/>
    </row>
    <row r="130" spans="1:11" ht="12" customHeight="1" x14ac:dyDescent="0.2">
      <c r="A130" s="659">
        <f t="shared" si="15"/>
        <v>6</v>
      </c>
      <c r="B130" s="659"/>
      <c r="C130" s="523"/>
      <c r="D130" s="523"/>
      <c r="E130" s="482"/>
      <c r="F130" s="482"/>
      <c r="G130" s="375"/>
      <c r="H130" s="544"/>
      <c r="I130" s="545"/>
      <c r="J130" s="653"/>
      <c r="K130" s="7"/>
    </row>
    <row r="131" spans="1:11" ht="12" customHeight="1" x14ac:dyDescent="0.2">
      <c r="A131" s="11" t="s">
        <v>12</v>
      </c>
      <c r="B131" s="547"/>
      <c r="C131" s="654"/>
      <c r="D131" s="654"/>
      <c r="E131" s="655"/>
      <c r="F131" s="655"/>
      <c r="G131" s="656"/>
      <c r="H131" s="657"/>
      <c r="I131" s="658"/>
      <c r="J131" s="408"/>
      <c r="K131" s="7"/>
    </row>
    <row r="132" spans="1:11" ht="12" customHeight="1" x14ac:dyDescent="0.2">
      <c r="A132" s="15"/>
      <c r="C132" s="413"/>
      <c r="D132" s="413"/>
      <c r="E132" s="537"/>
      <c r="F132" s="537"/>
      <c r="G132" s="449"/>
      <c r="H132" s="447"/>
      <c r="I132" s="448"/>
      <c r="J132" s="450"/>
      <c r="K132" s="7"/>
    </row>
    <row r="133" spans="1:11" ht="12" customHeight="1" x14ac:dyDescent="0.2">
      <c r="A133" s="344">
        <f>+A130+1</f>
        <v>7</v>
      </c>
      <c r="B133" s="344"/>
      <c r="C133" s="399"/>
      <c r="D133" s="399"/>
      <c r="E133" s="482"/>
      <c r="F133" s="482"/>
      <c r="G133" s="223"/>
      <c r="H133" s="400"/>
      <c r="I133" s="401"/>
      <c r="J133" s="408"/>
      <c r="K133" s="7"/>
    </row>
    <row r="134" spans="1:11" ht="12" customHeight="1" x14ac:dyDescent="0.2">
      <c r="A134" s="11" t="s">
        <v>12</v>
      </c>
      <c r="B134" s="547"/>
      <c r="C134" s="410"/>
      <c r="D134" s="410"/>
      <c r="E134" s="536"/>
      <c r="F134" s="536"/>
      <c r="G134" s="524"/>
      <c r="H134" s="428"/>
      <c r="I134" s="446"/>
      <c r="J134" s="408"/>
      <c r="K134" s="7"/>
    </row>
    <row r="135" spans="1:11" ht="12" customHeight="1" x14ac:dyDescent="0.2">
      <c r="A135" s="12"/>
      <c r="B135" s="547"/>
      <c r="C135" s="413"/>
      <c r="D135" s="413"/>
      <c r="E135" s="537"/>
      <c r="F135" s="537"/>
      <c r="G135" s="449"/>
      <c r="H135" s="413"/>
      <c r="I135" s="413"/>
      <c r="J135" s="449"/>
      <c r="K135" s="7"/>
    </row>
    <row r="136" spans="1:11" ht="12" customHeight="1" x14ac:dyDescent="0.2">
      <c r="A136" s="57" t="s">
        <v>19</v>
      </c>
      <c r="B136" s="936"/>
      <c r="C136" s="419"/>
      <c r="D136" s="419"/>
      <c r="E136" s="538"/>
      <c r="F136" s="538"/>
      <c r="G136" s="525"/>
      <c r="H136" s="419"/>
      <c r="I136" s="419"/>
      <c r="J136" s="408"/>
      <c r="K136" s="7"/>
    </row>
    <row r="137" spans="1:11" ht="12" customHeight="1" x14ac:dyDescent="0.2">
      <c r="A137" s="957"/>
      <c r="B137" s="937"/>
      <c r="C137" s="421"/>
      <c r="D137" s="421"/>
      <c r="E137" s="352"/>
      <c r="F137" s="352"/>
      <c r="G137" s="148"/>
      <c r="H137" s="407"/>
      <c r="I137" s="414"/>
      <c r="J137" s="415"/>
      <c r="K137" s="7"/>
    </row>
    <row r="138" spans="1:11" ht="2.1" customHeight="1" x14ac:dyDescent="0.2">
      <c r="A138" s="958"/>
      <c r="B138" s="938"/>
      <c r="C138" s="422"/>
      <c r="D138" s="422"/>
      <c r="E138" s="155"/>
      <c r="F138" s="155"/>
      <c r="G138" s="66"/>
      <c r="H138" s="423"/>
      <c r="I138" s="423"/>
      <c r="J138" s="424"/>
      <c r="K138" s="7"/>
    </row>
    <row r="139" spans="1:11" ht="9.9499999999999993" customHeight="1" x14ac:dyDescent="0.2">
      <c r="A139" s="15"/>
      <c r="C139" s="16"/>
      <c r="D139" s="16"/>
      <c r="E139" s="479"/>
      <c r="F139" s="479"/>
      <c r="G139" s="16"/>
      <c r="H139" s="16"/>
      <c r="I139" s="16"/>
      <c r="J139" s="16"/>
      <c r="K139" s="7"/>
    </row>
    <row r="140" spans="1:11" ht="12" customHeight="1" x14ac:dyDescent="0.2">
      <c r="A140" s="10" t="s">
        <v>20</v>
      </c>
      <c r="C140" s="855"/>
      <c r="D140" s="855"/>
      <c r="E140" s="933"/>
      <c r="F140" s="933"/>
      <c r="G140" s="855"/>
      <c r="H140" s="434"/>
      <c r="I140" s="434"/>
      <c r="J140" s="425"/>
      <c r="K140" s="7"/>
    </row>
    <row r="141" spans="1:11" ht="12" customHeight="1" x14ac:dyDescent="0.2">
      <c r="A141" s="344">
        <v>1</v>
      </c>
      <c r="B141" s="344"/>
      <c r="C141" s="399"/>
      <c r="D141" s="399"/>
      <c r="E141" s="482"/>
      <c r="F141" s="482"/>
      <c r="G141" s="223"/>
      <c r="H141" s="400"/>
      <c r="I141" s="401"/>
      <c r="J141" s="851"/>
      <c r="K141" s="7"/>
    </row>
    <row r="142" spans="1:11" ht="12" customHeight="1" x14ac:dyDescent="0.2">
      <c r="A142" s="344">
        <f>A141+1</f>
        <v>2</v>
      </c>
      <c r="B142" s="344"/>
      <c r="C142" s="399"/>
      <c r="D142" s="399"/>
      <c r="E142" s="482"/>
      <c r="F142" s="482"/>
      <c r="G142" s="223"/>
      <c r="H142" s="400"/>
      <c r="I142" s="401"/>
      <c r="J142" s="851"/>
      <c r="K142" s="7"/>
    </row>
    <row r="143" spans="1:11" ht="12" customHeight="1" x14ac:dyDescent="0.2">
      <c r="A143" s="344">
        <f>A142+1</f>
        <v>3</v>
      </c>
      <c r="B143" s="344"/>
      <c r="C143" s="399"/>
      <c r="D143" s="399"/>
      <c r="E143" s="482"/>
      <c r="F143" s="482"/>
      <c r="G143" s="223"/>
      <c r="H143" s="400"/>
      <c r="I143" s="401"/>
      <c r="J143" s="851"/>
      <c r="K143" s="7"/>
    </row>
    <row r="144" spans="1:11" ht="12" customHeight="1" x14ac:dyDescent="0.2">
      <c r="A144" s="344">
        <f>A143+1</f>
        <v>4</v>
      </c>
      <c r="B144" s="344"/>
      <c r="C144" s="399"/>
      <c r="D144" s="399"/>
      <c r="E144" s="482"/>
      <c r="F144" s="482"/>
      <c r="G144" s="223"/>
      <c r="H144" s="400"/>
      <c r="I144" s="401"/>
      <c r="J144" s="851"/>
      <c r="K144" s="7"/>
    </row>
    <row r="145" spans="1:16" ht="12" customHeight="1" x14ac:dyDescent="0.2">
      <c r="A145" s="973" t="s">
        <v>8</v>
      </c>
      <c r="B145" s="974"/>
      <c r="C145" s="403"/>
      <c r="D145" s="403"/>
      <c r="E145" s="521"/>
      <c r="F145" s="521"/>
      <c r="G145" s="402"/>
      <c r="H145" s="403"/>
      <c r="I145" s="403"/>
      <c r="K145" s="7"/>
      <c r="L145" s="916">
        <f t="shared" ref="L145" si="16">+C145*$L$7</f>
        <v>0</v>
      </c>
      <c r="M145" s="922">
        <f>+C145-L145*0</f>
        <v>0</v>
      </c>
      <c r="N145" s="559" t="s">
        <v>124</v>
      </c>
      <c r="O145" s="521">
        <f>IF(N145="S",M145*$O$5,"NO RETENCIÓN")</f>
        <v>0</v>
      </c>
      <c r="P145" s="924">
        <f>+M145/$P$5</f>
        <v>0</v>
      </c>
    </row>
    <row r="146" spans="1:16" ht="12" customHeight="1" x14ac:dyDescent="0.2">
      <c r="A146" s="11"/>
      <c r="B146" s="547"/>
      <c r="C146" s="100"/>
      <c r="D146" s="100"/>
      <c r="E146" s="352"/>
      <c r="F146" s="352"/>
      <c r="G146" s="148"/>
      <c r="H146" s="100"/>
      <c r="I146" s="100"/>
      <c r="K146" s="7"/>
    </row>
    <row r="147" spans="1:16" ht="2.1" customHeight="1" x14ac:dyDescent="0.2">
      <c r="A147" s="958"/>
      <c r="B147" s="938"/>
      <c r="C147" s="422"/>
      <c r="D147" s="422"/>
      <c r="E147" s="155"/>
      <c r="F147" s="155"/>
      <c r="G147" s="66"/>
      <c r="H147" s="423"/>
      <c r="I147" s="423"/>
      <c r="J147" s="424"/>
      <c r="K147" s="7"/>
    </row>
    <row r="148" spans="1:16" ht="12" customHeight="1" x14ac:dyDescent="0.2">
      <c r="A148" s="15"/>
      <c r="C148" s="16"/>
      <c r="D148" s="16"/>
      <c r="E148" s="479"/>
      <c r="F148" s="479"/>
      <c r="G148" s="16"/>
      <c r="H148" s="16"/>
      <c r="I148" s="16"/>
      <c r="J148" s="16"/>
      <c r="K148" s="7"/>
    </row>
    <row r="149" spans="1:16" ht="12" customHeight="1" x14ac:dyDescent="0.2">
      <c r="A149" s="10" t="s">
        <v>21</v>
      </c>
      <c r="C149" s="855"/>
      <c r="D149" s="855"/>
      <c r="E149" s="933"/>
      <c r="F149" s="933"/>
      <c r="G149" s="855"/>
      <c r="H149" s="434"/>
      <c r="I149" s="434"/>
      <c r="J149" s="329"/>
      <c r="K149" s="7"/>
    </row>
    <row r="150" spans="1:16" ht="12" customHeight="1" x14ac:dyDescent="0.2">
      <c r="A150" s="344">
        <v>1</v>
      </c>
      <c r="B150" s="344"/>
      <c r="C150" s="399"/>
      <c r="D150" s="399"/>
      <c r="E150" s="482"/>
      <c r="F150" s="482"/>
      <c r="G150" s="223"/>
      <c r="H150" s="400"/>
      <c r="I150" s="401"/>
      <c r="J150" s="408"/>
      <c r="K150" s="7"/>
    </row>
    <row r="151" spans="1:16" ht="12" customHeight="1" x14ac:dyDescent="0.2">
      <c r="A151" s="344">
        <f>+A150+1</f>
        <v>2</v>
      </c>
      <c r="B151" s="344"/>
      <c r="C151" s="399"/>
      <c r="D151" s="399"/>
      <c r="E151" s="482"/>
      <c r="F151" s="482"/>
      <c r="G151" s="223"/>
      <c r="H151" s="400"/>
      <c r="I151" s="401"/>
      <c r="J151" s="408"/>
      <c r="K151" s="7"/>
    </row>
    <row r="152" spans="1:16" ht="12" customHeight="1" x14ac:dyDescent="0.2">
      <c r="A152" s="344">
        <f t="shared" ref="A152:A157" si="17">A151+1</f>
        <v>3</v>
      </c>
      <c r="B152" s="344"/>
      <c r="C152" s="399"/>
      <c r="D152" s="399"/>
      <c r="E152" s="482"/>
      <c r="F152" s="482"/>
      <c r="G152" s="223"/>
      <c r="H152" s="400"/>
      <c r="I152" s="401"/>
      <c r="J152" s="408"/>
      <c r="K152" s="7"/>
    </row>
    <row r="153" spans="1:16" ht="12" customHeight="1" x14ac:dyDescent="0.2">
      <c r="A153" s="11" t="s">
        <v>12</v>
      </c>
      <c r="B153" s="547"/>
      <c r="C153" s="410"/>
      <c r="D153" s="410"/>
      <c r="E153" s="536"/>
      <c r="F153" s="536"/>
      <c r="G153" s="524"/>
      <c r="H153" s="411"/>
      <c r="I153" s="412"/>
      <c r="J153" s="408"/>
      <c r="K153" s="7"/>
    </row>
    <row r="154" spans="1:16" ht="12" customHeight="1" x14ac:dyDescent="0.2">
      <c r="A154" s="957"/>
      <c r="B154" s="547"/>
      <c r="C154" s="413"/>
      <c r="D154" s="413"/>
      <c r="E154" s="537"/>
      <c r="F154" s="537"/>
      <c r="G154" s="449"/>
      <c r="H154" s="414"/>
      <c r="I154" s="414"/>
      <c r="J154" s="415"/>
      <c r="K154" s="7"/>
    </row>
    <row r="155" spans="1:16" ht="12" customHeight="1" x14ac:dyDescent="0.2">
      <c r="A155" s="344">
        <f t="shared" si="17"/>
        <v>1</v>
      </c>
      <c r="B155" s="344"/>
      <c r="C155" s="399"/>
      <c r="D155" s="399"/>
      <c r="E155" s="482"/>
      <c r="F155" s="482"/>
      <c r="G155" s="223"/>
      <c r="H155" s="400"/>
      <c r="I155" s="401"/>
      <c r="J155" s="408"/>
      <c r="K155" s="7"/>
    </row>
    <row r="156" spans="1:16" ht="12" customHeight="1" x14ac:dyDescent="0.2">
      <c r="A156" s="344">
        <f>A152+1</f>
        <v>4</v>
      </c>
      <c r="B156" s="344"/>
      <c r="C156" s="399"/>
      <c r="D156" s="399"/>
      <c r="E156" s="482"/>
      <c r="F156" s="482"/>
      <c r="G156" s="223"/>
      <c r="H156" s="400"/>
      <c r="I156" s="401"/>
      <c r="J156" s="408"/>
      <c r="K156" s="7"/>
    </row>
    <row r="157" spans="1:16" ht="12" customHeight="1" x14ac:dyDescent="0.2">
      <c r="A157" s="344">
        <f t="shared" si="17"/>
        <v>5</v>
      </c>
      <c r="B157" s="344"/>
      <c r="C157" s="399"/>
      <c r="D157" s="399"/>
      <c r="E157" s="482"/>
      <c r="F157" s="482"/>
      <c r="G157" s="223"/>
      <c r="H157" s="400"/>
      <c r="I157" s="401"/>
      <c r="J157" s="408"/>
      <c r="K157" s="7"/>
    </row>
    <row r="158" spans="1:16" ht="12" customHeight="1" x14ac:dyDescent="0.2">
      <c r="A158" s="11" t="s">
        <v>12</v>
      </c>
      <c r="B158" s="547"/>
      <c r="C158" s="410"/>
      <c r="D158" s="410"/>
      <c r="E158" s="536"/>
      <c r="F158" s="536"/>
      <c r="G158" s="524"/>
      <c r="H158" s="411"/>
      <c r="I158" s="412"/>
      <c r="J158" s="408"/>
      <c r="K158" s="7"/>
    </row>
    <row r="159" spans="1:16" ht="12" customHeight="1" x14ac:dyDescent="0.2">
      <c r="A159" s="957"/>
      <c r="B159" s="547"/>
      <c r="C159" s="942"/>
      <c r="D159" s="942"/>
      <c r="E159" s="943"/>
      <c r="F159" s="943"/>
      <c r="G159" s="942"/>
      <c r="H159" s="414"/>
      <c r="I159" s="414"/>
      <c r="J159" s="415"/>
      <c r="K159" s="7"/>
    </row>
    <row r="160" spans="1:16" ht="12" customHeight="1" x14ac:dyDescent="0.2">
      <c r="A160" s="56" t="s">
        <v>190</v>
      </c>
      <c r="B160" s="939"/>
      <c r="C160" s="441"/>
      <c r="D160" s="441"/>
      <c r="E160" s="542"/>
      <c r="F160" s="542"/>
      <c r="G160" s="530"/>
      <c r="H160" s="441"/>
      <c r="I160" s="441"/>
      <c r="J160" s="454"/>
      <c r="K160" s="7"/>
    </row>
    <row r="161" spans="1:14" ht="12" customHeight="1" x14ac:dyDescent="0.2">
      <c r="A161" s="957"/>
      <c r="B161" s="547"/>
      <c r="C161" s="413"/>
      <c r="D161" s="413"/>
      <c r="E161" s="537"/>
      <c r="F161" s="537"/>
      <c r="G161" s="449"/>
      <c r="H161" s="414"/>
      <c r="I161" s="414"/>
      <c r="J161" s="415"/>
      <c r="K161" s="7"/>
    </row>
    <row r="162" spans="1:14" ht="2.1" customHeight="1" x14ac:dyDescent="0.2">
      <c r="A162" s="958"/>
      <c r="B162" s="938"/>
      <c r="C162" s="422"/>
      <c r="D162" s="422"/>
      <c r="E162" s="155"/>
      <c r="F162" s="155"/>
      <c r="G162" s="66"/>
      <c r="H162" s="423"/>
      <c r="I162" s="423"/>
      <c r="J162" s="424"/>
      <c r="K162" s="7"/>
    </row>
    <row r="163" spans="1:14" ht="12" customHeight="1" x14ac:dyDescent="0.2">
      <c r="A163" s="15"/>
      <c r="C163" s="16"/>
      <c r="D163" s="16"/>
      <c r="E163" s="479"/>
      <c r="F163" s="479"/>
      <c r="G163" s="16"/>
      <c r="H163" s="16"/>
      <c r="I163" s="16"/>
      <c r="J163" s="16"/>
      <c r="K163" s="7"/>
    </row>
    <row r="164" spans="1:14" ht="12" customHeight="1" x14ac:dyDescent="0.2">
      <c r="A164" s="10" t="s">
        <v>72</v>
      </c>
      <c r="B164" s="14"/>
      <c r="C164" s="940"/>
      <c r="D164" s="940"/>
      <c r="E164" s="941"/>
      <c r="F164" s="941"/>
      <c r="G164" s="214"/>
      <c r="H164" s="434"/>
      <c r="I164" s="256"/>
      <c r="J164" s="329"/>
      <c r="K164" s="435"/>
      <c r="N164" s="150"/>
    </row>
    <row r="165" spans="1:14" ht="12" customHeight="1" x14ac:dyDescent="0.2">
      <c r="A165" s="344">
        <v>1</v>
      </c>
      <c r="B165" s="344"/>
      <c r="C165" s="399"/>
      <c r="D165" s="399"/>
      <c r="E165" s="482"/>
      <c r="F165" s="482"/>
      <c r="G165" s="223"/>
      <c r="H165" s="400"/>
      <c r="I165" s="401"/>
      <c r="J165" s="409"/>
      <c r="K165" s="7"/>
    </row>
    <row r="166" spans="1:14" ht="12" customHeight="1" x14ac:dyDescent="0.2">
      <c r="A166" s="344">
        <f>A165+1</f>
        <v>2</v>
      </c>
      <c r="B166" s="344"/>
      <c r="C166" s="399"/>
      <c r="D166" s="399"/>
      <c r="E166" s="482"/>
      <c r="F166" s="482"/>
      <c r="G166" s="223"/>
      <c r="H166" s="400"/>
      <c r="I166" s="401"/>
      <c r="J166" s="409"/>
      <c r="K166" s="7"/>
    </row>
    <row r="167" spans="1:14" ht="12" customHeight="1" x14ac:dyDescent="0.2">
      <c r="A167" s="11" t="s">
        <v>12</v>
      </c>
      <c r="B167" s="547"/>
      <c r="C167" s="410"/>
      <c r="D167" s="410"/>
      <c r="E167" s="536"/>
      <c r="F167" s="536"/>
      <c r="G167" s="524"/>
      <c r="H167" s="411"/>
      <c r="I167" s="412"/>
      <c r="J167" s="409"/>
      <c r="K167" s="7"/>
    </row>
    <row r="168" spans="1:14" ht="12" customHeight="1" x14ac:dyDescent="0.2">
      <c r="A168" s="957"/>
      <c r="B168" s="547"/>
      <c r="C168" s="942"/>
      <c r="D168" s="942"/>
      <c r="E168" s="943"/>
      <c r="F168" s="943"/>
      <c r="G168" s="942"/>
      <c r="H168" s="414"/>
      <c r="I168" s="414"/>
      <c r="J168" s="415"/>
      <c r="K168" s="7"/>
    </row>
    <row r="169" spans="1:14" ht="12" customHeight="1" x14ac:dyDescent="0.2">
      <c r="A169" s="56" t="s">
        <v>78</v>
      </c>
      <c r="B169" s="939"/>
      <c r="C169" s="441"/>
      <c r="D169" s="441"/>
      <c r="E169" s="542"/>
      <c r="F169" s="542"/>
      <c r="G169" s="530"/>
      <c r="H169" s="441"/>
      <c r="I169" s="441"/>
      <c r="J169" s="454"/>
      <c r="K169" s="7"/>
    </row>
    <row r="170" spans="1:14" ht="12" customHeight="1" x14ac:dyDescent="0.2">
      <c r="A170" s="957"/>
      <c r="B170" s="547"/>
      <c r="C170" s="855"/>
      <c r="D170" s="855"/>
      <c r="E170" s="933"/>
      <c r="F170" s="933"/>
      <c r="G170" s="855"/>
      <c r="H170" s="407"/>
      <c r="I170" s="407"/>
      <c r="J170" s="328"/>
      <c r="K170" s="7"/>
    </row>
    <row r="171" spans="1:14" ht="2.1" customHeight="1" x14ac:dyDescent="0.2">
      <c r="A171" s="958"/>
      <c r="B171" s="938"/>
      <c r="C171" s="422"/>
      <c r="D171" s="422"/>
      <c r="E171" s="155"/>
      <c r="F171" s="155"/>
      <c r="G171" s="66"/>
      <c r="H171" s="423"/>
      <c r="I171" s="423"/>
      <c r="J171" s="424"/>
      <c r="K171" s="7"/>
    </row>
    <row r="172" spans="1:14" ht="12" customHeight="1" x14ac:dyDescent="0.2">
      <c r="A172" s="15"/>
      <c r="B172" s="393"/>
      <c r="C172" s="393"/>
      <c r="D172" s="393"/>
      <c r="I172" s="393"/>
      <c r="J172" s="425"/>
      <c r="K172" s="7"/>
    </row>
    <row r="173" spans="1:14" ht="12" customHeight="1" x14ac:dyDescent="0.2">
      <c r="A173" s="10" t="s">
        <v>22</v>
      </c>
      <c r="C173" s="855"/>
      <c r="D173" s="855"/>
      <c r="E173" s="933"/>
      <c r="F173" s="933"/>
      <c r="G173" s="855"/>
      <c r="I173" s="393"/>
      <c r="J173" s="425"/>
      <c r="K173" s="7"/>
    </row>
    <row r="174" spans="1:14" ht="12" customHeight="1" x14ac:dyDescent="0.2">
      <c r="A174" s="416">
        <v>1</v>
      </c>
      <c r="B174" s="416"/>
      <c r="C174" s="399"/>
      <c r="D174" s="399"/>
      <c r="E174" s="482"/>
      <c r="F174" s="482"/>
      <c r="G174" s="223"/>
      <c r="H174" s="400"/>
      <c r="I174" s="401"/>
      <c r="J174" s="409"/>
      <c r="K174" s="7"/>
    </row>
    <row r="175" spans="1:14" ht="12" customHeight="1" x14ac:dyDescent="0.2">
      <c r="A175" s="416">
        <f>A174+1</f>
        <v>2</v>
      </c>
      <c r="B175" s="416"/>
      <c r="C175" s="399"/>
      <c r="D175" s="399"/>
      <c r="E175" s="482"/>
      <c r="F175" s="482"/>
      <c r="G175" s="223"/>
      <c r="H175" s="400"/>
      <c r="I175" s="401"/>
      <c r="J175" s="409"/>
      <c r="K175" s="7"/>
    </row>
    <row r="176" spans="1:14" ht="12" customHeight="1" x14ac:dyDescent="0.2">
      <c r="A176" s="416">
        <f>A175+1</f>
        <v>3</v>
      </c>
      <c r="B176" s="348"/>
      <c r="C176" s="399"/>
      <c r="D176" s="399"/>
      <c r="E176" s="482"/>
      <c r="F176" s="482"/>
      <c r="G176" s="223"/>
      <c r="H176" s="400"/>
      <c r="I176" s="401"/>
      <c r="J176" s="409"/>
      <c r="K176" s="7"/>
    </row>
    <row r="177" spans="1:193" ht="12" customHeight="1" x14ac:dyDescent="0.2">
      <c r="A177" s="416">
        <f>A176+1</f>
        <v>4</v>
      </c>
      <c r="B177" s="416"/>
      <c r="C177" s="399"/>
      <c r="D177" s="399"/>
      <c r="E177" s="482"/>
      <c r="F177" s="482"/>
      <c r="G177" s="223"/>
      <c r="H177" s="400"/>
      <c r="I177" s="401"/>
      <c r="J177" s="409"/>
      <c r="K177" s="7"/>
    </row>
    <row r="178" spans="1:193" ht="12" customHeight="1" x14ac:dyDescent="0.2">
      <c r="A178" s="416">
        <f>A177+1</f>
        <v>5</v>
      </c>
      <c r="B178" s="416"/>
      <c r="C178" s="399"/>
      <c r="D178" s="399"/>
      <c r="E178" s="482"/>
      <c r="F178" s="482"/>
      <c r="G178" s="223"/>
      <c r="H178" s="400"/>
      <c r="I178" s="401"/>
      <c r="J178" s="409"/>
      <c r="K178" s="7"/>
    </row>
    <row r="179" spans="1:193" ht="12" customHeight="1" x14ac:dyDescent="0.2">
      <c r="A179" s="11" t="s">
        <v>12</v>
      </c>
      <c r="B179" s="547"/>
      <c r="C179" s="410"/>
      <c r="D179" s="410"/>
      <c r="E179" s="536"/>
      <c r="F179" s="536"/>
      <c r="G179" s="524"/>
      <c r="H179" s="411"/>
      <c r="I179" s="412"/>
      <c r="J179" s="409"/>
      <c r="K179" s="7"/>
    </row>
    <row r="180" spans="1:193" ht="12" customHeight="1" x14ac:dyDescent="0.2">
      <c r="A180" s="11"/>
      <c r="B180" s="547"/>
      <c r="C180" s="413"/>
      <c r="D180" s="413"/>
      <c r="E180" s="537"/>
      <c r="F180" s="537"/>
      <c r="G180" s="449"/>
      <c r="H180" s="414"/>
      <c r="I180" s="414"/>
      <c r="J180" s="415"/>
      <c r="K180" s="7"/>
    </row>
    <row r="181" spans="1:193" ht="12" customHeight="1" x14ac:dyDescent="0.2">
      <c r="A181" s="11"/>
      <c r="B181" s="547"/>
      <c r="C181" s="100"/>
      <c r="D181" s="100"/>
      <c r="E181" s="352"/>
      <c r="F181" s="352"/>
      <c r="G181" s="148"/>
      <c r="H181" s="407"/>
      <c r="I181" s="407"/>
      <c r="J181" s="328"/>
      <c r="K181" s="7"/>
    </row>
    <row r="182" spans="1:193" s="455" customFormat="1" ht="12" customHeight="1" x14ac:dyDescent="0.2">
      <c r="A182" s="56" t="s">
        <v>77</v>
      </c>
      <c r="B182" s="939"/>
      <c r="C182" s="441"/>
      <c r="D182" s="441"/>
      <c r="E182" s="542"/>
      <c r="F182" s="542"/>
      <c r="G182" s="530"/>
      <c r="H182" s="441"/>
      <c r="I182" s="441"/>
      <c r="J182" s="454"/>
      <c r="K182" s="7"/>
      <c r="L182" s="5"/>
      <c r="M182" s="5"/>
      <c r="N182" s="206"/>
      <c r="O182" s="5"/>
      <c r="P182" s="16"/>
      <c r="Q182" s="287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</row>
    <row r="183" spans="1:193" ht="12" customHeight="1" x14ac:dyDescent="0.2">
      <c r="A183" s="957"/>
      <c r="B183" s="547"/>
      <c r="C183" s="855"/>
      <c r="D183" s="855"/>
      <c r="E183" s="933"/>
      <c r="F183" s="933"/>
      <c r="G183" s="855"/>
      <c r="H183" s="407"/>
      <c r="I183" s="407"/>
      <c r="J183" s="328"/>
      <c r="K183" s="7"/>
    </row>
    <row r="184" spans="1:193" ht="2.1" customHeight="1" x14ac:dyDescent="0.2">
      <c r="A184" s="958"/>
      <c r="B184" s="938"/>
      <c r="C184" s="422"/>
      <c r="D184" s="422"/>
      <c r="E184" s="155"/>
      <c r="F184" s="155"/>
      <c r="G184" s="66"/>
      <c r="H184" s="423"/>
      <c r="I184" s="423"/>
      <c r="J184" s="424"/>
      <c r="K184" s="7"/>
    </row>
    <row r="185" spans="1:193" ht="12" customHeight="1" x14ac:dyDescent="0.2">
      <c r="A185" s="15"/>
      <c r="C185" s="16"/>
      <c r="D185" s="16"/>
      <c r="E185" s="479"/>
      <c r="F185" s="479"/>
      <c r="G185" s="16"/>
      <c r="H185" s="16"/>
      <c r="I185" s="393"/>
      <c r="J185" s="425"/>
      <c r="K185" s="7"/>
    </row>
    <row r="186" spans="1:193" ht="12" customHeight="1" x14ac:dyDescent="0.2">
      <c r="A186" s="10" t="s">
        <v>23</v>
      </c>
      <c r="C186" s="855"/>
      <c r="D186" s="855"/>
      <c r="E186" s="933"/>
      <c r="F186" s="933"/>
      <c r="G186" s="855"/>
      <c r="I186" s="393"/>
      <c r="J186" s="425"/>
      <c r="K186" s="7"/>
    </row>
    <row r="187" spans="1:193" ht="12" customHeight="1" x14ac:dyDescent="0.2">
      <c r="A187" s="416">
        <v>1</v>
      </c>
      <c r="B187" s="416"/>
      <c r="C187" s="399"/>
      <c r="D187" s="399"/>
      <c r="E187" s="482"/>
      <c r="F187" s="482"/>
      <c r="G187" s="223"/>
      <c r="H187" s="400"/>
      <c r="I187" s="401"/>
      <c r="J187" s="1096"/>
      <c r="K187" s="7"/>
    </row>
    <row r="188" spans="1:193" ht="12" customHeight="1" x14ac:dyDescent="0.2">
      <c r="A188" s="416">
        <f>A187+1</f>
        <v>2</v>
      </c>
      <c r="B188" s="350"/>
      <c r="C188" s="399"/>
      <c r="D188" s="399"/>
      <c r="E188" s="482"/>
      <c r="F188" s="482"/>
      <c r="G188" s="223"/>
      <c r="H188" s="400"/>
      <c r="I188" s="401"/>
      <c r="J188" s="1096"/>
      <c r="K188" s="7"/>
      <c r="L188" s="916">
        <f t="shared" ref="L188:L189" si="18">+C188*$L$7</f>
        <v>0</v>
      </c>
      <c r="M188" s="922">
        <f t="shared" ref="M188:M189" si="19">+C188-L188*0</f>
        <v>0</v>
      </c>
      <c r="N188" s="559" t="s">
        <v>124</v>
      </c>
      <c r="O188" s="521">
        <f t="shared" ref="O188:O189" si="20">IF(N188="S",M188*$O$5,"NO RETENCIÓN")</f>
        <v>0</v>
      </c>
      <c r="P188" s="924">
        <f t="shared" ref="P188:P189" si="21">+M188/$P$5</f>
        <v>0</v>
      </c>
    </row>
    <row r="189" spans="1:193" ht="12" customHeight="1" x14ac:dyDescent="0.2">
      <c r="A189" s="416">
        <f t="shared" ref="A189:A190" si="22">A188+1</f>
        <v>3</v>
      </c>
      <c r="B189" s="350"/>
      <c r="C189" s="399"/>
      <c r="D189" s="399"/>
      <c r="E189" s="482"/>
      <c r="F189" s="482"/>
      <c r="G189" s="223"/>
      <c r="H189" s="400"/>
      <c r="I189" s="401"/>
      <c r="J189" s="1096"/>
      <c r="K189" s="7"/>
      <c r="L189" s="916">
        <f t="shared" si="18"/>
        <v>0</v>
      </c>
      <c r="M189" s="922">
        <f t="shared" si="19"/>
        <v>0</v>
      </c>
      <c r="N189" s="559" t="s">
        <v>124</v>
      </c>
      <c r="O189" s="521">
        <f t="shared" si="20"/>
        <v>0</v>
      </c>
      <c r="P189" s="924">
        <f t="shared" si="21"/>
        <v>0</v>
      </c>
    </row>
    <row r="190" spans="1:193" ht="12" customHeight="1" x14ac:dyDescent="0.2">
      <c r="A190" s="416">
        <f t="shared" si="22"/>
        <v>4</v>
      </c>
      <c r="B190" s="416"/>
      <c r="C190" s="399"/>
      <c r="D190" s="399"/>
      <c r="E190" s="482"/>
      <c r="F190" s="482"/>
      <c r="G190" s="223"/>
      <c r="H190" s="400"/>
      <c r="I190" s="401"/>
      <c r="J190" s="1096"/>
      <c r="K190" s="7"/>
    </row>
    <row r="191" spans="1:193" ht="12" customHeight="1" x14ac:dyDescent="0.2">
      <c r="A191" s="13" t="s">
        <v>12</v>
      </c>
      <c r="B191" s="934"/>
      <c r="C191" s="410"/>
      <c r="D191" s="410"/>
      <c r="E191" s="536"/>
      <c r="F191" s="536"/>
      <c r="G191" s="524"/>
      <c r="H191" s="411"/>
      <c r="I191" s="412"/>
      <c r="J191" s="408"/>
      <c r="K191" s="7"/>
      <c r="N191" s="5"/>
      <c r="P191" s="5"/>
      <c r="Q191" s="5"/>
    </row>
    <row r="192" spans="1:193" ht="12" customHeight="1" x14ac:dyDescent="0.2">
      <c r="A192" s="957"/>
      <c r="B192" s="547"/>
      <c r="C192" s="942"/>
      <c r="D192" s="942"/>
      <c r="E192" s="943"/>
      <c r="F192" s="943"/>
      <c r="G192" s="942"/>
      <c r="H192" s="414"/>
      <c r="I192" s="414"/>
      <c r="J192" s="415"/>
      <c r="K192" s="7"/>
    </row>
    <row r="193" spans="1:11" ht="2.1" customHeight="1" x14ac:dyDescent="0.2">
      <c r="A193" s="958"/>
      <c r="B193" s="938"/>
      <c r="C193" s="422"/>
      <c r="D193" s="422"/>
      <c r="E193" s="155"/>
      <c r="F193" s="155"/>
      <c r="G193" s="66"/>
      <c r="H193" s="423"/>
      <c r="I193" s="423"/>
      <c r="J193" s="424"/>
      <c r="K193" s="7"/>
    </row>
    <row r="194" spans="1:11" ht="12" customHeight="1" x14ac:dyDescent="0.2">
      <c r="A194" s="15"/>
      <c r="C194" s="16"/>
      <c r="D194" s="16"/>
      <c r="E194" s="479"/>
      <c r="F194" s="479"/>
      <c r="G194" s="16"/>
      <c r="H194" s="16"/>
      <c r="I194" s="393"/>
      <c r="J194" s="425"/>
      <c r="K194" s="7"/>
    </row>
    <row r="195" spans="1:11" ht="12" customHeight="1" x14ac:dyDescent="0.2">
      <c r="A195" s="10" t="s">
        <v>24</v>
      </c>
      <c r="C195" s="855"/>
      <c r="D195" s="855"/>
      <c r="E195" s="933"/>
      <c r="F195" s="933"/>
      <c r="G195" s="855"/>
      <c r="I195" s="393"/>
      <c r="J195" s="425"/>
      <c r="K195" s="7"/>
    </row>
    <row r="196" spans="1:11" ht="12" customHeight="1" x14ac:dyDescent="0.2">
      <c r="A196" s="427">
        <v>1</v>
      </c>
      <c r="B196" s="426"/>
      <c r="C196" s="399"/>
      <c r="D196" s="399"/>
      <c r="E196" s="482"/>
      <c r="F196" s="482"/>
      <c r="G196" s="223"/>
      <c r="H196" s="400"/>
      <c r="I196" s="401"/>
      <c r="J196" s="409"/>
      <c r="K196" s="7"/>
    </row>
    <row r="197" spans="1:11" ht="12" customHeight="1" x14ac:dyDescent="0.2">
      <c r="A197" s="427">
        <f>A196+1</f>
        <v>2</v>
      </c>
      <c r="B197" s="426"/>
      <c r="C197" s="399"/>
      <c r="D197" s="399"/>
      <c r="E197" s="482"/>
      <c r="F197" s="482"/>
      <c r="G197" s="223"/>
      <c r="H197" s="400"/>
      <c r="I197" s="401"/>
      <c r="J197" s="409"/>
      <c r="K197" s="7"/>
    </row>
    <row r="198" spans="1:11" ht="12" customHeight="1" x14ac:dyDescent="0.2">
      <c r="A198" s="427">
        <f>A197+1</f>
        <v>3</v>
      </c>
      <c r="B198" s="426"/>
      <c r="C198" s="399"/>
      <c r="D198" s="399"/>
      <c r="E198" s="482"/>
      <c r="F198" s="482"/>
      <c r="G198" s="223"/>
      <c r="H198" s="400"/>
      <c r="I198" s="401"/>
      <c r="J198" s="409"/>
      <c r="K198" s="7"/>
    </row>
    <row r="199" spans="1:11" ht="12" customHeight="1" x14ac:dyDescent="0.2">
      <c r="A199" s="416">
        <f>A198+1</f>
        <v>4</v>
      </c>
      <c r="B199" s="416"/>
      <c r="C199" s="399"/>
      <c r="D199" s="399"/>
      <c r="E199" s="482"/>
      <c r="F199" s="482"/>
      <c r="G199" s="223"/>
      <c r="H199" s="400"/>
      <c r="I199" s="401"/>
      <c r="J199" s="409"/>
      <c r="K199" s="7"/>
    </row>
    <row r="200" spans="1:11" ht="12" customHeight="1" x14ac:dyDescent="0.2">
      <c r="A200" s="11" t="s">
        <v>12</v>
      </c>
      <c r="B200" s="547"/>
      <c r="C200" s="410"/>
      <c r="D200" s="410"/>
      <c r="E200" s="536"/>
      <c r="F200" s="536"/>
      <c r="G200" s="524"/>
      <c r="H200" s="411"/>
      <c r="I200" s="412"/>
      <c r="J200" s="409"/>
      <c r="K200" s="7"/>
    </row>
    <row r="201" spans="1:11" ht="12" customHeight="1" x14ac:dyDescent="0.2">
      <c r="A201" s="957"/>
      <c r="B201" s="547"/>
      <c r="C201" s="942"/>
      <c r="D201" s="942"/>
      <c r="E201" s="943"/>
      <c r="F201" s="943"/>
      <c r="G201" s="942"/>
      <c r="H201" s="414"/>
      <c r="I201" s="414"/>
      <c r="J201" s="415"/>
      <c r="K201" s="7"/>
    </row>
    <row r="202" spans="1:11" ht="2.1" customHeight="1" x14ac:dyDescent="0.2">
      <c r="A202" s="958"/>
      <c r="B202" s="938"/>
      <c r="C202" s="422"/>
      <c r="D202" s="422"/>
      <c r="E202" s="155"/>
      <c r="F202" s="155"/>
      <c r="G202" s="66"/>
      <c r="H202" s="423"/>
      <c r="I202" s="423"/>
      <c r="J202" s="424"/>
      <c r="K202" s="7"/>
    </row>
    <row r="203" spans="1:11" ht="12" customHeight="1" x14ac:dyDescent="0.2">
      <c r="A203" s="15"/>
      <c r="C203" s="16"/>
      <c r="D203" s="16"/>
      <c r="E203" s="479"/>
      <c r="F203" s="479"/>
      <c r="G203" s="16"/>
      <c r="H203" s="16"/>
      <c r="I203" s="393"/>
      <c r="J203" s="425"/>
      <c r="K203" s="7"/>
    </row>
    <row r="204" spans="1:11" ht="12" customHeight="1" x14ac:dyDescent="0.2">
      <c r="A204" s="10" t="s">
        <v>25</v>
      </c>
      <c r="C204" s="855"/>
      <c r="D204" s="855"/>
      <c r="E204" s="933"/>
      <c r="F204" s="933"/>
      <c r="G204" s="855"/>
      <c r="I204" s="393"/>
      <c r="J204" s="425"/>
      <c r="K204" s="7"/>
    </row>
    <row r="205" spans="1:11" ht="12" customHeight="1" x14ac:dyDescent="0.2">
      <c r="A205" s="416">
        <v>1</v>
      </c>
      <c r="B205" s="416"/>
      <c r="C205" s="399"/>
      <c r="D205" s="399"/>
      <c r="E205" s="482"/>
      <c r="F205" s="482"/>
      <c r="G205" s="223"/>
      <c r="H205" s="400"/>
      <c r="I205" s="401"/>
      <c r="J205" s="409"/>
      <c r="K205" s="7"/>
    </row>
    <row r="206" spans="1:11" ht="12" customHeight="1" x14ac:dyDescent="0.2">
      <c r="A206" s="416">
        <f>A205+1</f>
        <v>2</v>
      </c>
      <c r="B206" s="416"/>
      <c r="C206" s="399"/>
      <c r="D206" s="399"/>
      <c r="E206" s="482"/>
      <c r="F206" s="482"/>
      <c r="G206" s="223"/>
      <c r="H206" s="400"/>
      <c r="I206" s="401"/>
      <c r="J206" s="409"/>
      <c r="K206" s="7"/>
    </row>
    <row r="207" spans="1:11" ht="12" customHeight="1" x14ac:dyDescent="0.2">
      <c r="A207" s="416">
        <f>A206+1</f>
        <v>3</v>
      </c>
      <c r="B207" s="350"/>
      <c r="C207" s="399"/>
      <c r="D207" s="399"/>
      <c r="E207" s="482"/>
      <c r="F207" s="482"/>
      <c r="G207" s="223"/>
      <c r="H207" s="400"/>
      <c r="I207" s="401"/>
      <c r="J207" s="409"/>
      <c r="K207" s="7"/>
    </row>
    <row r="208" spans="1:11" ht="12" customHeight="1" x14ac:dyDescent="0.2">
      <c r="A208" s="416">
        <f>A207+1</f>
        <v>4</v>
      </c>
      <c r="B208" s="416"/>
      <c r="C208" s="399"/>
      <c r="D208" s="399"/>
      <c r="E208" s="482"/>
      <c r="F208" s="482"/>
      <c r="G208" s="223"/>
      <c r="H208" s="400"/>
      <c r="I208" s="401"/>
      <c r="J208" s="409"/>
      <c r="K208" s="7"/>
    </row>
    <row r="209" spans="1:11" ht="12" customHeight="1" x14ac:dyDescent="0.2">
      <c r="A209" s="416">
        <f>A208+1</f>
        <v>5</v>
      </c>
      <c r="B209" s="416"/>
      <c r="C209" s="399"/>
      <c r="D209" s="399"/>
      <c r="E209" s="482"/>
      <c r="F209" s="482"/>
      <c r="G209" s="223"/>
      <c r="H209" s="400"/>
      <c r="I209" s="401"/>
      <c r="J209" s="409"/>
      <c r="K209" s="7"/>
    </row>
    <row r="210" spans="1:11" ht="12" customHeight="1" x14ac:dyDescent="0.2">
      <c r="A210" s="11" t="s">
        <v>12</v>
      </c>
      <c r="B210" s="547"/>
      <c r="C210" s="410"/>
      <c r="D210" s="410"/>
      <c r="E210" s="536"/>
      <c r="F210" s="536"/>
      <c r="G210" s="524"/>
      <c r="H210" s="411"/>
      <c r="I210" s="412"/>
      <c r="J210" s="409"/>
      <c r="K210" s="7"/>
    </row>
    <row r="211" spans="1:11" ht="12" customHeight="1" x14ac:dyDescent="0.2">
      <c r="A211" s="957"/>
      <c r="B211" s="547"/>
      <c r="C211" s="942"/>
      <c r="D211" s="942"/>
      <c r="E211" s="943"/>
      <c r="F211" s="943"/>
      <c r="G211" s="942"/>
      <c r="H211" s="414"/>
      <c r="I211" s="414"/>
      <c r="J211" s="415"/>
      <c r="K211" s="7"/>
    </row>
    <row r="212" spans="1:11" ht="2.1" customHeight="1" x14ac:dyDescent="0.2">
      <c r="A212" s="958"/>
      <c r="B212" s="938"/>
      <c r="C212" s="422"/>
      <c r="D212" s="422"/>
      <c r="E212" s="155"/>
      <c r="F212" s="155"/>
      <c r="G212" s="66"/>
      <c r="H212" s="423"/>
      <c r="I212" s="423"/>
      <c r="J212" s="424"/>
      <c r="K212" s="7"/>
    </row>
    <row r="213" spans="1:11" ht="12" customHeight="1" x14ac:dyDescent="0.2">
      <c r="A213" s="957"/>
      <c r="B213" s="547"/>
      <c r="C213" s="421"/>
      <c r="D213" s="421"/>
      <c r="E213" s="352"/>
      <c r="F213" s="352"/>
      <c r="G213" s="148"/>
      <c r="I213" s="393"/>
      <c r="J213" s="388"/>
      <c r="K213" s="7"/>
    </row>
    <row r="214" spans="1:11" ht="12" customHeight="1" x14ac:dyDescent="0.2">
      <c r="A214" s="960" t="s">
        <v>40</v>
      </c>
      <c r="C214" s="855"/>
      <c r="D214" s="855"/>
      <c r="E214" s="933"/>
      <c r="F214" s="933"/>
      <c r="G214" s="855"/>
      <c r="I214" s="393"/>
      <c r="J214" s="425"/>
      <c r="K214" s="7"/>
    </row>
    <row r="215" spans="1:11" ht="12" customHeight="1" x14ac:dyDescent="0.2">
      <c r="A215" s="416">
        <v>1</v>
      </c>
      <c r="B215" s="457"/>
      <c r="C215" s="399"/>
      <c r="D215" s="399"/>
      <c r="E215" s="482"/>
      <c r="F215" s="482"/>
      <c r="G215" s="223"/>
      <c r="H215" s="400"/>
      <c r="I215" s="401"/>
      <c r="J215" s="406"/>
      <c r="K215" s="7"/>
    </row>
    <row r="216" spans="1:11" ht="12" customHeight="1" x14ac:dyDescent="0.2">
      <c r="A216" s="416">
        <f>A215+1</f>
        <v>2</v>
      </c>
      <c r="B216" s="458"/>
      <c r="C216" s="399"/>
      <c r="D216" s="399"/>
      <c r="E216" s="482"/>
      <c r="F216" s="482"/>
      <c r="G216" s="223"/>
      <c r="H216" s="400"/>
      <c r="I216" s="401"/>
      <c r="J216" s="406"/>
      <c r="K216" s="7"/>
    </row>
    <row r="217" spans="1:11" ht="12" customHeight="1" x14ac:dyDescent="0.2">
      <c r="A217" s="11" t="s">
        <v>12</v>
      </c>
      <c r="B217" s="547"/>
      <c r="C217" s="403"/>
      <c r="D217" s="403"/>
      <c r="E217" s="521"/>
      <c r="F217" s="521"/>
      <c r="G217" s="402"/>
      <c r="H217" s="404"/>
      <c r="I217" s="405"/>
      <c r="J217" s="406"/>
      <c r="K217" s="7"/>
    </row>
    <row r="218" spans="1:11" ht="12" customHeight="1" x14ac:dyDescent="0.2">
      <c r="A218" s="957"/>
      <c r="B218" s="547"/>
      <c r="C218" s="855"/>
      <c r="D218" s="855"/>
      <c r="E218" s="933"/>
      <c r="F218" s="933"/>
      <c r="G218" s="855"/>
      <c r="H218" s="414"/>
      <c r="I218" s="414"/>
      <c r="J218" s="328"/>
      <c r="K218" s="7"/>
    </row>
    <row r="219" spans="1:11" ht="2.1" customHeight="1" x14ac:dyDescent="0.2">
      <c r="A219" s="958"/>
      <c r="B219" s="938"/>
      <c r="C219" s="422"/>
      <c r="D219" s="422"/>
      <c r="E219" s="155"/>
      <c r="F219" s="155"/>
      <c r="G219" s="66"/>
      <c r="H219" s="423"/>
      <c r="I219" s="423"/>
      <c r="J219" s="424"/>
      <c r="K219" s="7"/>
    </row>
    <row r="220" spans="1:11" ht="12" customHeight="1" x14ac:dyDescent="0.2">
      <c r="A220" s="15"/>
      <c r="C220" s="16"/>
      <c r="D220" s="16"/>
      <c r="E220" s="479"/>
      <c r="F220" s="479"/>
      <c r="G220" s="16"/>
      <c r="I220" s="393"/>
      <c r="J220" s="425"/>
      <c r="K220" s="7"/>
    </row>
    <row r="221" spans="1:11" ht="12" customHeight="1" x14ac:dyDescent="0.2">
      <c r="A221" s="10" t="s">
        <v>26</v>
      </c>
      <c r="C221" s="855"/>
      <c r="D221" s="855"/>
      <c r="E221" s="933"/>
      <c r="F221" s="933"/>
      <c r="G221" s="855"/>
      <c r="I221" s="393"/>
      <c r="J221" s="425"/>
      <c r="K221" s="7"/>
    </row>
    <row r="222" spans="1:11" ht="12" customHeight="1" x14ac:dyDescent="0.2">
      <c r="A222" s="416">
        <v>1</v>
      </c>
      <c r="B222" s="416"/>
      <c r="C222" s="399"/>
      <c r="D222" s="399"/>
      <c r="E222" s="482"/>
      <c r="F222" s="482"/>
      <c r="G222" s="223"/>
      <c r="H222" s="400"/>
      <c r="I222" s="401"/>
      <c r="J222" s="409"/>
      <c r="K222" s="7"/>
    </row>
    <row r="223" spans="1:11" ht="12" customHeight="1" x14ac:dyDescent="0.2">
      <c r="A223" s="416">
        <f>A222+1</f>
        <v>2</v>
      </c>
      <c r="B223" s="416"/>
      <c r="C223" s="399"/>
      <c r="D223" s="399"/>
      <c r="E223" s="482"/>
      <c r="F223" s="482"/>
      <c r="G223" s="223"/>
      <c r="H223" s="400"/>
      <c r="I223" s="401"/>
      <c r="J223" s="409"/>
      <c r="K223" s="7"/>
    </row>
    <row r="224" spans="1:11" ht="12" customHeight="1" x14ac:dyDescent="0.2">
      <c r="A224" s="416">
        <f>A223+1</f>
        <v>3</v>
      </c>
      <c r="B224" s="416"/>
      <c r="C224" s="399"/>
      <c r="D224" s="399"/>
      <c r="E224" s="482"/>
      <c r="F224" s="482"/>
      <c r="G224" s="223"/>
      <c r="H224" s="400"/>
      <c r="I224" s="401"/>
      <c r="J224" s="409"/>
      <c r="K224" s="7"/>
    </row>
    <row r="225" spans="1:193" ht="12" customHeight="1" x14ac:dyDescent="0.2">
      <c r="A225" s="416">
        <f>A224+1</f>
        <v>4</v>
      </c>
      <c r="B225" s="416"/>
      <c r="C225" s="399"/>
      <c r="D225" s="399"/>
      <c r="E225" s="482"/>
      <c r="F225" s="482"/>
      <c r="G225" s="223"/>
      <c r="H225" s="400"/>
      <c r="I225" s="401"/>
      <c r="J225" s="409"/>
      <c r="K225" s="7"/>
    </row>
    <row r="226" spans="1:193" ht="12" customHeight="1" x14ac:dyDescent="0.2">
      <c r="A226" s="416">
        <f>A225+1</f>
        <v>5</v>
      </c>
      <c r="B226" s="459"/>
      <c r="C226" s="399"/>
      <c r="D226" s="399"/>
      <c r="E226" s="482"/>
      <c r="F226" s="482"/>
      <c r="G226" s="223"/>
      <c r="H226" s="400"/>
      <c r="I226" s="401"/>
      <c r="J226" s="409"/>
      <c r="K226" s="7"/>
    </row>
    <row r="227" spans="1:193" ht="12" customHeight="1" x14ac:dyDescent="0.2">
      <c r="A227" s="11" t="s">
        <v>12</v>
      </c>
      <c r="B227" s="547"/>
      <c r="C227" s="410"/>
      <c r="D227" s="410"/>
      <c r="E227" s="536"/>
      <c r="F227" s="536"/>
      <c r="G227" s="524"/>
      <c r="H227" s="411"/>
      <c r="I227" s="412"/>
      <c r="J227" s="409"/>
      <c r="K227" s="7"/>
    </row>
    <row r="228" spans="1:193" ht="12" customHeight="1" x14ac:dyDescent="0.2">
      <c r="A228" s="957"/>
      <c r="B228" s="547"/>
      <c r="C228" s="942"/>
      <c r="D228" s="942"/>
      <c r="E228" s="943"/>
      <c r="F228" s="943"/>
      <c r="G228" s="942"/>
      <c r="H228" s="414"/>
      <c r="I228" s="414"/>
      <c r="J228" s="415"/>
      <c r="K228" s="7"/>
    </row>
    <row r="229" spans="1:193" ht="2.1" customHeight="1" x14ac:dyDescent="0.2">
      <c r="A229" s="958"/>
      <c r="B229" s="938"/>
      <c r="C229" s="422"/>
      <c r="D229" s="422"/>
      <c r="E229" s="155"/>
      <c r="F229" s="155"/>
      <c r="G229" s="66"/>
      <c r="H229" s="423"/>
      <c r="I229" s="423"/>
      <c r="J229" s="424"/>
      <c r="K229" s="7"/>
    </row>
    <row r="230" spans="1:193" ht="12" customHeight="1" x14ac:dyDescent="0.2">
      <c r="A230" s="15"/>
      <c r="C230" s="16"/>
      <c r="D230" s="16"/>
      <c r="E230" s="479"/>
      <c r="F230" s="479"/>
      <c r="G230" s="16"/>
      <c r="I230" s="393"/>
      <c r="J230" s="425"/>
      <c r="K230" s="7"/>
    </row>
    <row r="231" spans="1:193" ht="12" customHeight="1" x14ac:dyDescent="0.2">
      <c r="A231" s="10" t="s">
        <v>27</v>
      </c>
      <c r="C231" s="855"/>
      <c r="D231" s="855"/>
      <c r="E231" s="933"/>
      <c r="F231" s="933"/>
      <c r="G231" s="855"/>
      <c r="I231" s="393"/>
      <c r="J231" s="425"/>
      <c r="K231" s="7"/>
    </row>
    <row r="232" spans="1:193" ht="12" customHeight="1" x14ac:dyDescent="0.2">
      <c r="A232" s="416">
        <v>1</v>
      </c>
      <c r="B232" s="416"/>
      <c r="C232" s="399"/>
      <c r="D232" s="399"/>
      <c r="E232" s="482"/>
      <c r="F232" s="482"/>
      <c r="G232" s="223"/>
      <c r="H232" s="400"/>
      <c r="I232" s="401"/>
      <c r="J232" s="408"/>
      <c r="K232" s="7"/>
    </row>
    <row r="233" spans="1:193" ht="12" customHeight="1" x14ac:dyDescent="0.2">
      <c r="A233" s="416">
        <f>A232+1</f>
        <v>2</v>
      </c>
      <c r="B233" s="416"/>
      <c r="C233" s="399"/>
      <c r="D233" s="399"/>
      <c r="E233" s="482"/>
      <c r="F233" s="482"/>
      <c r="G233" s="223"/>
      <c r="H233" s="400"/>
      <c r="I233" s="401"/>
      <c r="J233" s="408"/>
      <c r="K233" s="7"/>
    </row>
    <row r="234" spans="1:193" ht="12" customHeight="1" x14ac:dyDescent="0.2">
      <c r="A234" s="11" t="s">
        <v>12</v>
      </c>
      <c r="B234" s="547"/>
      <c r="C234" s="410"/>
      <c r="D234" s="410"/>
      <c r="E234" s="536"/>
      <c r="F234" s="536"/>
      <c r="G234" s="524"/>
      <c r="H234" s="411"/>
      <c r="I234" s="412"/>
      <c r="J234" s="408"/>
      <c r="K234" s="7"/>
    </row>
    <row r="235" spans="1:193" ht="12" customHeight="1" x14ac:dyDescent="0.2">
      <c r="A235" s="957"/>
      <c r="B235" s="547"/>
      <c r="C235" s="942"/>
      <c r="D235" s="942"/>
      <c r="E235" s="943"/>
      <c r="F235" s="943"/>
      <c r="G235" s="942"/>
      <c r="H235" s="414"/>
      <c r="I235" s="414"/>
      <c r="J235" s="415"/>
      <c r="K235" s="7"/>
    </row>
    <row r="236" spans="1:193" s="455" customFormat="1" ht="12" customHeight="1" x14ac:dyDescent="0.2">
      <c r="A236" s="56" t="s">
        <v>75</v>
      </c>
      <c r="B236" s="939"/>
      <c r="C236" s="441"/>
      <c r="D236" s="441"/>
      <c r="E236" s="542"/>
      <c r="F236" s="542"/>
      <c r="G236" s="530"/>
      <c r="H236" s="460"/>
      <c r="I236" s="461"/>
      <c r="J236" s="454"/>
      <c r="K236" s="7"/>
      <c r="L236" s="5"/>
      <c r="M236" s="5"/>
      <c r="N236" s="206"/>
      <c r="O236" s="5"/>
      <c r="P236" s="16"/>
      <c r="Q236" s="287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</row>
    <row r="237" spans="1:193" s="455" customFormat="1" ht="12" customHeight="1" x14ac:dyDescent="0.2">
      <c r="A237" s="11"/>
      <c r="B237" s="547"/>
      <c r="C237" s="100"/>
      <c r="D237" s="100"/>
      <c r="E237" s="352"/>
      <c r="F237" s="352"/>
      <c r="G237" s="148"/>
      <c r="H237" s="407"/>
      <c r="I237" s="407"/>
      <c r="J237" s="328"/>
      <c r="K237" s="7"/>
      <c r="L237" s="5"/>
      <c r="M237" s="5"/>
      <c r="N237" s="206"/>
      <c r="O237" s="5"/>
      <c r="P237" s="16"/>
      <c r="Q237" s="287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</row>
    <row r="238" spans="1:193" ht="2.1" customHeight="1" x14ac:dyDescent="0.2">
      <c r="A238" s="958"/>
      <c r="B238" s="938"/>
      <c r="C238" s="422"/>
      <c r="D238" s="422"/>
      <c r="E238" s="155"/>
      <c r="F238" s="155"/>
      <c r="G238" s="66"/>
      <c r="H238" s="423"/>
      <c r="I238" s="423"/>
      <c r="J238" s="424"/>
      <c r="K238" s="7"/>
    </row>
    <row r="239" spans="1:193" ht="12" customHeight="1" x14ac:dyDescent="0.2">
      <c r="A239" s="15"/>
      <c r="C239" s="16"/>
      <c r="D239" s="16"/>
      <c r="E239" s="479"/>
      <c r="F239" s="479"/>
      <c r="G239" s="16"/>
      <c r="H239" s="16"/>
      <c r="I239" s="393"/>
      <c r="J239" s="425"/>
      <c r="K239" s="7"/>
    </row>
    <row r="240" spans="1:193" ht="12" customHeight="1" x14ac:dyDescent="0.2">
      <c r="A240" s="10" t="s">
        <v>28</v>
      </c>
      <c r="C240" s="855"/>
      <c r="D240" s="855"/>
      <c r="E240" s="933"/>
      <c r="F240" s="933"/>
      <c r="G240" s="855"/>
      <c r="I240" s="393"/>
      <c r="J240" s="425"/>
      <c r="K240" s="7"/>
    </row>
    <row r="241" spans="1:11" ht="12" customHeight="1" x14ac:dyDescent="0.2">
      <c r="A241" s="416">
        <v>1</v>
      </c>
      <c r="B241" s="416"/>
      <c r="C241" s="399"/>
      <c r="D241" s="399"/>
      <c r="E241" s="482"/>
      <c r="F241" s="482"/>
      <c r="G241" s="223"/>
      <c r="H241" s="400"/>
      <c r="I241" s="401"/>
      <c r="J241" s="409"/>
      <c r="K241" s="7"/>
    </row>
    <row r="242" spans="1:11" ht="12" customHeight="1" x14ac:dyDescent="0.2">
      <c r="A242" s="416">
        <f>A241+1</f>
        <v>2</v>
      </c>
      <c r="B242" s="416"/>
      <c r="C242" s="399"/>
      <c r="D242" s="399"/>
      <c r="E242" s="482"/>
      <c r="F242" s="482"/>
      <c r="G242" s="223"/>
      <c r="H242" s="400"/>
      <c r="I242" s="401"/>
      <c r="J242" s="409"/>
      <c r="K242" s="7"/>
    </row>
    <row r="243" spans="1:11" ht="12" customHeight="1" x14ac:dyDescent="0.2">
      <c r="A243" s="416">
        <f>A242+1</f>
        <v>3</v>
      </c>
      <c r="B243" s="416"/>
      <c r="C243" s="399"/>
      <c r="D243" s="399"/>
      <c r="E243" s="482"/>
      <c r="F243" s="482"/>
      <c r="G243" s="223"/>
      <c r="H243" s="400"/>
      <c r="I243" s="401"/>
      <c r="J243" s="409"/>
      <c r="K243" s="7"/>
    </row>
    <row r="244" spans="1:11" ht="12" customHeight="1" x14ac:dyDescent="0.2">
      <c r="A244" s="416">
        <f>A243+1</f>
        <v>4</v>
      </c>
      <c r="B244" s="416"/>
      <c r="C244" s="399"/>
      <c r="D244" s="399"/>
      <c r="E244" s="482"/>
      <c r="F244" s="482"/>
      <c r="G244" s="223"/>
      <c r="H244" s="400"/>
      <c r="I244" s="401"/>
      <c r="J244" s="409"/>
      <c r="K244" s="7"/>
    </row>
    <row r="245" spans="1:11" ht="12" customHeight="1" x14ac:dyDescent="0.2">
      <c r="A245" s="961">
        <f>A244+1</f>
        <v>5</v>
      </c>
      <c r="B245" s="453"/>
      <c r="C245" s="399"/>
      <c r="D245" s="399"/>
      <c r="E245" s="482"/>
      <c r="F245" s="482"/>
      <c r="G245" s="223"/>
      <c r="H245" s="400"/>
      <c r="I245" s="401"/>
      <c r="J245" s="409"/>
      <c r="K245" s="7"/>
    </row>
    <row r="246" spans="1:11" ht="12" customHeight="1" x14ac:dyDescent="0.2">
      <c r="A246" s="13" t="s">
        <v>12</v>
      </c>
      <c r="B246" s="934"/>
      <c r="C246" s="462"/>
      <c r="D246" s="462"/>
      <c r="E246" s="521"/>
      <c r="F246" s="521"/>
      <c r="G246" s="531"/>
      <c r="H246" s="463"/>
      <c r="I246" s="464"/>
      <c r="J246" s="409"/>
      <c r="K246" s="7"/>
    </row>
    <row r="247" spans="1:11" ht="12" customHeight="1" x14ac:dyDescent="0.2">
      <c r="A247" s="957"/>
      <c r="B247" s="547"/>
      <c r="C247" s="100"/>
      <c r="D247" s="100"/>
      <c r="E247" s="352"/>
      <c r="F247" s="352"/>
      <c r="G247" s="148"/>
      <c r="H247" s="465"/>
      <c r="I247" s="466"/>
      <c r="J247" s="450"/>
      <c r="K247" s="7"/>
    </row>
    <row r="248" spans="1:11" ht="2.1" customHeight="1" x14ac:dyDescent="0.2">
      <c r="A248" s="958"/>
      <c r="B248" s="938"/>
      <c r="C248" s="422"/>
      <c r="D248" s="422"/>
      <c r="E248" s="155"/>
      <c r="F248" s="155"/>
      <c r="G248" s="66"/>
      <c r="H248" s="423"/>
      <c r="I248" s="423"/>
      <c r="J248" s="424"/>
      <c r="K248" s="7"/>
    </row>
    <row r="249" spans="1:11" ht="12" customHeight="1" x14ac:dyDescent="0.2">
      <c r="A249" s="15"/>
      <c r="C249" s="16"/>
      <c r="D249" s="16"/>
      <c r="E249" s="479"/>
      <c r="F249" s="479"/>
      <c r="G249" s="16"/>
      <c r="I249" s="393"/>
      <c r="J249" s="425"/>
      <c r="K249" s="7"/>
    </row>
    <row r="250" spans="1:11" ht="12" customHeight="1" x14ac:dyDescent="0.2">
      <c r="A250" s="10" t="s">
        <v>29</v>
      </c>
      <c r="C250" s="855"/>
      <c r="D250" s="855"/>
      <c r="E250" s="933"/>
      <c r="F250" s="933"/>
      <c r="G250" s="855"/>
      <c r="I250" s="393"/>
      <c r="J250" s="425"/>
      <c r="K250" s="7"/>
    </row>
    <row r="251" spans="1:11" ht="12" customHeight="1" x14ac:dyDescent="0.2">
      <c r="A251" s="416">
        <v>1</v>
      </c>
      <c r="B251" s="416"/>
      <c r="C251" s="399"/>
      <c r="D251" s="399"/>
      <c r="E251" s="482"/>
      <c r="F251" s="482"/>
      <c r="G251" s="223"/>
      <c r="H251" s="400"/>
      <c r="I251" s="401"/>
      <c r="J251" s="408"/>
      <c r="K251" s="7"/>
    </row>
    <row r="252" spans="1:11" ht="12" customHeight="1" x14ac:dyDescent="0.2">
      <c r="A252" s="416">
        <f>A251+1</f>
        <v>2</v>
      </c>
      <c r="B252" s="416"/>
      <c r="C252" s="399"/>
      <c r="D252" s="399"/>
      <c r="E252" s="482"/>
      <c r="F252" s="482"/>
      <c r="G252" s="223"/>
      <c r="H252" s="400"/>
      <c r="I252" s="401"/>
      <c r="J252" s="408"/>
      <c r="K252" s="7"/>
    </row>
    <row r="253" spans="1:11" ht="12" customHeight="1" x14ac:dyDescent="0.2">
      <c r="A253" s="416">
        <f>A252+1</f>
        <v>3</v>
      </c>
      <c r="B253" s="416"/>
      <c r="C253" s="399"/>
      <c r="D253" s="399"/>
      <c r="E253" s="482"/>
      <c r="F253" s="482"/>
      <c r="G253" s="223"/>
      <c r="H253" s="400"/>
      <c r="I253" s="401"/>
      <c r="J253" s="408"/>
      <c r="K253" s="7"/>
    </row>
    <row r="254" spans="1:11" ht="12" customHeight="1" x14ac:dyDescent="0.2">
      <c r="A254" s="416">
        <f>A253+1</f>
        <v>4</v>
      </c>
      <c r="B254" s="416"/>
      <c r="C254" s="399"/>
      <c r="D254" s="399"/>
      <c r="E254" s="482"/>
      <c r="F254" s="482"/>
      <c r="G254" s="223"/>
      <c r="H254" s="400"/>
      <c r="I254" s="401"/>
      <c r="J254" s="408"/>
      <c r="K254" s="7"/>
    </row>
    <row r="255" spans="1:11" ht="12" customHeight="1" x14ac:dyDescent="0.2">
      <c r="A255" s="416">
        <f>A254+1</f>
        <v>5</v>
      </c>
      <c r="B255" s="416"/>
      <c r="C255" s="399"/>
      <c r="D255" s="399"/>
      <c r="E255" s="482"/>
      <c r="F255" s="482"/>
      <c r="G255" s="223"/>
      <c r="H255" s="400"/>
      <c r="I255" s="401"/>
      <c r="J255" s="408"/>
      <c r="K255" s="7"/>
    </row>
    <row r="256" spans="1:11" ht="12" customHeight="1" x14ac:dyDescent="0.2">
      <c r="A256" s="416">
        <f>A255+1</f>
        <v>6</v>
      </c>
      <c r="B256" s="416"/>
      <c r="C256" s="399"/>
      <c r="D256" s="399"/>
      <c r="E256" s="482"/>
      <c r="F256" s="482"/>
      <c r="G256" s="223"/>
      <c r="H256" s="400"/>
      <c r="I256" s="401"/>
      <c r="J256" s="408"/>
      <c r="K256" s="7"/>
    </row>
    <row r="257" spans="1:11" ht="12" customHeight="1" x14ac:dyDescent="0.2">
      <c r="A257" s="11" t="s">
        <v>12</v>
      </c>
      <c r="B257" s="547"/>
      <c r="C257" s="410"/>
      <c r="D257" s="410"/>
      <c r="E257" s="536"/>
      <c r="F257" s="536"/>
      <c r="G257" s="524"/>
      <c r="H257" s="411"/>
      <c r="I257" s="412"/>
      <c r="J257" s="409"/>
      <c r="K257" s="7"/>
    </row>
    <row r="258" spans="1:11" ht="12" customHeight="1" x14ac:dyDescent="0.2">
      <c r="A258" s="957"/>
      <c r="B258" s="547"/>
      <c r="C258" s="942"/>
      <c r="D258" s="942"/>
      <c r="E258" s="943"/>
      <c r="F258" s="943"/>
      <c r="G258" s="942"/>
      <c r="H258" s="414"/>
      <c r="I258" s="466"/>
      <c r="J258" s="415"/>
      <c r="K258" s="7"/>
    </row>
    <row r="259" spans="1:11" ht="2.1" customHeight="1" x14ac:dyDescent="0.2">
      <c r="A259" s="958"/>
      <c r="B259" s="938"/>
      <c r="C259" s="422"/>
      <c r="D259" s="422"/>
      <c r="E259" s="155"/>
      <c r="F259" s="155"/>
      <c r="G259" s="66"/>
      <c r="H259" s="423"/>
      <c r="I259" s="423"/>
      <c r="J259" s="424"/>
      <c r="K259" s="7"/>
    </row>
    <row r="260" spans="1:11" ht="12" customHeight="1" x14ac:dyDescent="0.2">
      <c r="A260" s="15"/>
      <c r="C260" s="16"/>
      <c r="D260" s="16"/>
      <c r="E260" s="479"/>
      <c r="F260" s="479"/>
      <c r="G260" s="16"/>
      <c r="I260" s="393"/>
      <c r="J260" s="425"/>
      <c r="K260" s="7"/>
    </row>
    <row r="261" spans="1:11" ht="12" customHeight="1" x14ac:dyDescent="0.2">
      <c r="A261" s="10" t="s">
        <v>30</v>
      </c>
      <c r="C261" s="855"/>
      <c r="D261" s="855"/>
      <c r="E261" s="933"/>
      <c r="F261" s="933"/>
      <c r="G261" s="855"/>
      <c r="I261" s="393"/>
      <c r="J261" s="425"/>
      <c r="K261" s="7"/>
    </row>
    <row r="262" spans="1:11" ht="12" customHeight="1" x14ac:dyDescent="0.2">
      <c r="A262" s="416">
        <v>1</v>
      </c>
      <c r="B262" s="416"/>
      <c r="C262" s="399"/>
      <c r="D262" s="399"/>
      <c r="E262" s="482"/>
      <c r="F262" s="482"/>
      <c r="G262" s="223"/>
      <c r="H262" s="400"/>
      <c r="I262" s="401"/>
      <c r="J262" s="409"/>
      <c r="K262" s="7"/>
    </row>
    <row r="263" spans="1:11" ht="12" customHeight="1" x14ac:dyDescent="0.2">
      <c r="A263" s="11" t="s">
        <v>12</v>
      </c>
      <c r="B263" s="547"/>
      <c r="C263" s="410"/>
      <c r="D263" s="410"/>
      <c r="E263" s="536"/>
      <c r="F263" s="536"/>
      <c r="G263" s="524"/>
      <c r="H263" s="411"/>
      <c r="I263" s="412"/>
      <c r="J263" s="409"/>
      <c r="K263" s="7"/>
    </row>
    <row r="264" spans="1:11" ht="9.9499999999999993" customHeight="1" x14ac:dyDescent="0.2">
      <c r="A264" s="961"/>
      <c r="B264" s="380"/>
      <c r="C264" s="467"/>
      <c r="D264" s="467"/>
      <c r="E264" s="504"/>
      <c r="F264" s="504"/>
      <c r="G264" s="532"/>
      <c r="H264" s="448"/>
      <c r="I264" s="448"/>
      <c r="J264" s="415"/>
      <c r="K264" s="7"/>
    </row>
    <row r="265" spans="1:11" ht="12" customHeight="1" x14ac:dyDescent="0.2">
      <c r="A265" s="961"/>
      <c r="B265" s="12"/>
      <c r="C265" s="320"/>
      <c r="D265" s="320"/>
      <c r="I265" s="393"/>
      <c r="J265" s="328"/>
      <c r="K265" s="7"/>
    </row>
    <row r="266" spans="1:11" ht="12" customHeight="1" x14ac:dyDescent="0.2">
      <c r="A266" s="416">
        <v>1</v>
      </c>
      <c r="B266" s="416"/>
      <c r="C266" s="399"/>
      <c r="D266" s="399"/>
      <c r="E266" s="482"/>
      <c r="F266" s="482"/>
      <c r="G266" s="223"/>
      <c r="H266" s="400"/>
      <c r="I266" s="401"/>
      <c r="J266" s="409"/>
      <c r="K266" s="7"/>
    </row>
    <row r="267" spans="1:11" ht="12" customHeight="1" x14ac:dyDescent="0.2">
      <c r="A267" s="416">
        <f>A266+1</f>
        <v>2</v>
      </c>
      <c r="B267" s="416"/>
      <c r="C267" s="399"/>
      <c r="D267" s="399"/>
      <c r="E267" s="482"/>
      <c r="F267" s="482"/>
      <c r="G267" s="223"/>
      <c r="H267" s="400"/>
      <c r="I267" s="401"/>
      <c r="J267" s="409"/>
      <c r="K267" s="7"/>
    </row>
    <row r="268" spans="1:11" ht="12" customHeight="1" x14ac:dyDescent="0.2">
      <c r="A268" s="416">
        <f t="shared" ref="A268:A269" si="23">A267+1</f>
        <v>3</v>
      </c>
      <c r="B268" s="350"/>
      <c r="C268" s="399"/>
      <c r="D268" s="399"/>
      <c r="E268" s="482"/>
      <c r="F268" s="482"/>
      <c r="G268" s="223"/>
      <c r="H268" s="400"/>
      <c r="I268" s="401"/>
      <c r="J268" s="409"/>
      <c r="K268" s="7"/>
    </row>
    <row r="269" spans="1:11" ht="12" customHeight="1" x14ac:dyDescent="0.2">
      <c r="A269" s="416">
        <f t="shared" si="23"/>
        <v>4</v>
      </c>
      <c r="B269" s="350"/>
      <c r="C269" s="399"/>
      <c r="D269" s="399"/>
      <c r="E269" s="482"/>
      <c r="F269" s="482"/>
      <c r="G269" s="223"/>
      <c r="H269" s="400"/>
      <c r="I269" s="401"/>
      <c r="J269" s="409"/>
      <c r="K269" s="7"/>
    </row>
    <row r="270" spans="1:11" ht="12" customHeight="1" x14ac:dyDescent="0.2">
      <c r="A270" s="11" t="s">
        <v>12</v>
      </c>
      <c r="B270" s="547"/>
      <c r="C270" s="410"/>
      <c r="D270" s="410"/>
      <c r="E270" s="536"/>
      <c r="F270" s="536"/>
      <c r="G270" s="524"/>
      <c r="H270" s="411"/>
      <c r="I270" s="913"/>
      <c r="J270" s="409"/>
      <c r="K270" s="7"/>
    </row>
    <row r="271" spans="1:11" ht="9.9499999999999993" customHeight="1" x14ac:dyDescent="0.2">
      <c r="A271" s="961"/>
      <c r="B271" s="380"/>
      <c r="C271" s="467"/>
      <c r="D271" s="467"/>
      <c r="E271" s="504"/>
      <c r="F271" s="504"/>
      <c r="G271" s="532"/>
      <c r="H271" s="448"/>
      <c r="I271" s="448"/>
      <c r="J271" s="415"/>
      <c r="K271" s="7"/>
    </row>
    <row r="272" spans="1:11" ht="12" customHeight="1" x14ac:dyDescent="0.2">
      <c r="A272" s="961"/>
      <c r="B272" s="12"/>
      <c r="C272" s="320"/>
      <c r="D272" s="320"/>
      <c r="I272" s="393"/>
      <c r="J272" s="328"/>
      <c r="K272" s="7"/>
    </row>
    <row r="273" spans="1:193" ht="12" customHeight="1" x14ac:dyDescent="0.2">
      <c r="A273" s="416">
        <f>A271+1</f>
        <v>1</v>
      </c>
      <c r="B273" s="416"/>
      <c r="C273" s="399"/>
      <c r="D273" s="399"/>
      <c r="E273" s="482"/>
      <c r="F273" s="482"/>
      <c r="G273" s="223"/>
      <c r="H273" s="400"/>
      <c r="I273" s="401"/>
      <c r="J273" s="409"/>
      <c r="K273" s="7"/>
    </row>
    <row r="274" spans="1:193" ht="12" customHeight="1" x14ac:dyDescent="0.2">
      <c r="A274" s="416">
        <f>A273+1</f>
        <v>2</v>
      </c>
      <c r="B274" s="416"/>
      <c r="C274" s="399"/>
      <c r="D274" s="399"/>
      <c r="E274" s="482"/>
      <c r="F274" s="482"/>
      <c r="G274" s="223"/>
      <c r="H274" s="400"/>
      <c r="I274" s="401"/>
      <c r="J274" s="409"/>
      <c r="K274" s="7"/>
    </row>
    <row r="275" spans="1:193" ht="12" customHeight="1" x14ac:dyDescent="0.2">
      <c r="A275" s="11" t="s">
        <v>12</v>
      </c>
      <c r="B275" s="547"/>
      <c r="C275" s="410"/>
      <c r="D275" s="410"/>
      <c r="E275" s="536"/>
      <c r="F275" s="536"/>
      <c r="G275" s="524"/>
      <c r="H275" s="411"/>
      <c r="I275" s="412"/>
      <c r="J275" s="409"/>
      <c r="K275" s="7"/>
    </row>
    <row r="276" spans="1:193" ht="12" customHeight="1" x14ac:dyDescent="0.2">
      <c r="A276" s="957"/>
      <c r="B276" s="547"/>
      <c r="C276" s="942"/>
      <c r="D276" s="942"/>
      <c r="E276" s="943"/>
      <c r="F276" s="943"/>
      <c r="G276" s="942"/>
      <c r="H276" s="414"/>
      <c r="I276" s="466"/>
      <c r="J276" s="415"/>
      <c r="K276" s="7"/>
    </row>
    <row r="277" spans="1:193" s="455" customFormat="1" ht="12" customHeight="1" x14ac:dyDescent="0.2">
      <c r="A277" s="56" t="s">
        <v>76</v>
      </c>
      <c r="B277" s="939"/>
      <c r="C277" s="441"/>
      <c r="D277" s="441"/>
      <c r="E277" s="542"/>
      <c r="F277" s="542"/>
      <c r="G277" s="530"/>
      <c r="H277" s="460"/>
      <c r="I277" s="461"/>
      <c r="J277" s="454"/>
      <c r="K277" s="7"/>
      <c r="L277" s="5"/>
      <c r="M277" s="5"/>
      <c r="N277" s="206"/>
      <c r="O277" s="5"/>
      <c r="P277" s="16"/>
      <c r="Q277" s="287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</row>
    <row r="278" spans="1:193" ht="12" customHeight="1" x14ac:dyDescent="0.2">
      <c r="A278" s="957"/>
      <c r="B278" s="547"/>
      <c r="C278" s="855"/>
      <c r="D278" s="855"/>
      <c r="E278" s="933"/>
      <c r="F278" s="933"/>
      <c r="G278" s="855"/>
      <c r="H278" s="407"/>
      <c r="I278" s="465"/>
      <c r="J278" s="328"/>
      <c r="K278" s="7"/>
    </row>
    <row r="279" spans="1:193" ht="2.1" customHeight="1" x14ac:dyDescent="0.2">
      <c r="A279" s="958"/>
      <c r="B279" s="938"/>
      <c r="C279" s="422"/>
      <c r="D279" s="422"/>
      <c r="E279" s="155"/>
      <c r="F279" s="155"/>
      <c r="G279" s="66"/>
      <c r="H279" s="423"/>
      <c r="I279" s="423"/>
      <c r="J279" s="424"/>
      <c r="K279" s="7"/>
    </row>
    <row r="280" spans="1:193" ht="12" customHeight="1" x14ac:dyDescent="0.2">
      <c r="A280" s="957"/>
      <c r="B280" s="547"/>
      <c r="C280" s="421"/>
      <c r="D280" s="421"/>
      <c r="E280" s="352"/>
      <c r="F280" s="352"/>
      <c r="G280" s="148"/>
      <c r="I280" s="393"/>
      <c r="J280" s="425"/>
      <c r="K280" s="7"/>
    </row>
    <row r="281" spans="1:193" ht="12" customHeight="1" x14ac:dyDescent="0.2">
      <c r="A281" s="10" t="s">
        <v>31</v>
      </c>
      <c r="C281" s="855"/>
      <c r="D281" s="855"/>
      <c r="E281" s="933"/>
      <c r="F281" s="933"/>
      <c r="G281" s="855"/>
      <c r="H281" s="434"/>
      <c r="I281" s="393"/>
      <c r="J281" s="329"/>
      <c r="K281" s="7"/>
    </row>
    <row r="282" spans="1:193" ht="12" customHeight="1" x14ac:dyDescent="0.2">
      <c r="A282" s="416">
        <v>1</v>
      </c>
      <c r="B282" s="416"/>
      <c r="C282" s="399"/>
      <c r="D282" s="399"/>
      <c r="E282" s="482"/>
      <c r="F282" s="482"/>
      <c r="G282" s="223"/>
      <c r="H282" s="400"/>
      <c r="I282" s="401"/>
      <c r="J282" s="409"/>
      <c r="K282" s="7"/>
    </row>
    <row r="283" spans="1:193" ht="12" customHeight="1" x14ac:dyDescent="0.2">
      <c r="A283" s="11" t="s">
        <v>12</v>
      </c>
      <c r="B283" s="547"/>
      <c r="C283" s="410"/>
      <c r="D283" s="410"/>
      <c r="E283" s="536"/>
      <c r="F283" s="536"/>
      <c r="G283" s="524"/>
      <c r="H283" s="411"/>
      <c r="I283" s="412"/>
      <c r="J283" s="409"/>
      <c r="K283" s="7"/>
    </row>
    <row r="284" spans="1:193" ht="12" customHeight="1" x14ac:dyDescent="0.2">
      <c r="A284" s="957"/>
      <c r="B284" s="547"/>
      <c r="C284" s="942"/>
      <c r="D284" s="942"/>
      <c r="E284" s="943"/>
      <c r="F284" s="943"/>
      <c r="G284" s="942"/>
      <c r="H284" s="414"/>
      <c r="I284" s="466"/>
      <c r="J284" s="415"/>
      <c r="K284" s="7"/>
    </row>
    <row r="285" spans="1:193" ht="2.1" customHeight="1" x14ac:dyDescent="0.2">
      <c r="A285" s="958"/>
      <c r="B285" s="938"/>
      <c r="C285" s="422"/>
      <c r="D285" s="422"/>
      <c r="E285" s="155"/>
      <c r="F285" s="155"/>
      <c r="G285" s="66"/>
      <c r="H285" s="423"/>
      <c r="I285" s="423"/>
      <c r="J285" s="424"/>
      <c r="K285" s="7"/>
    </row>
    <row r="286" spans="1:193" ht="12" customHeight="1" x14ac:dyDescent="0.2">
      <c r="A286" s="957"/>
      <c r="B286" s="547"/>
      <c r="C286" s="421"/>
      <c r="D286" s="421"/>
      <c r="E286" s="352"/>
      <c r="F286" s="352"/>
      <c r="G286" s="148"/>
      <c r="I286" s="393"/>
      <c r="J286" s="425"/>
      <c r="K286" s="7"/>
    </row>
    <row r="287" spans="1:193" ht="12" customHeight="1" x14ac:dyDescent="0.2">
      <c r="A287" s="10" t="s">
        <v>32</v>
      </c>
      <c r="C287" s="855"/>
      <c r="D287" s="855"/>
      <c r="E287" s="933"/>
      <c r="F287" s="933"/>
      <c r="G287" s="855"/>
      <c r="H287" s="434"/>
      <c r="I287" s="393"/>
      <c r="J287" s="329"/>
      <c r="K287" s="7"/>
    </row>
    <row r="288" spans="1:193" ht="12" customHeight="1" x14ac:dyDescent="0.2">
      <c r="A288" s="416">
        <v>1</v>
      </c>
      <c r="B288" s="416"/>
      <c r="C288" s="399"/>
      <c r="D288" s="399"/>
      <c r="E288" s="482"/>
      <c r="F288" s="482"/>
      <c r="G288" s="223"/>
      <c r="H288" s="400"/>
      <c r="I288" s="401"/>
      <c r="J288" s="409"/>
      <c r="K288" s="7"/>
    </row>
    <row r="289" spans="1:11" ht="12" customHeight="1" x14ac:dyDescent="0.2">
      <c r="A289" s="416">
        <f>A288+1</f>
        <v>2</v>
      </c>
      <c r="B289" s="416"/>
      <c r="C289" s="399"/>
      <c r="D289" s="399"/>
      <c r="E289" s="482"/>
      <c r="F289" s="482"/>
      <c r="G289" s="223"/>
      <c r="H289" s="400"/>
      <c r="I289" s="401"/>
      <c r="J289" s="409"/>
      <c r="K289" s="7"/>
    </row>
    <row r="290" spans="1:11" ht="12" customHeight="1" x14ac:dyDescent="0.2">
      <c r="A290" s="416">
        <f>A289+1</f>
        <v>3</v>
      </c>
      <c r="B290" s="416"/>
      <c r="C290" s="399"/>
      <c r="D290" s="399"/>
      <c r="E290" s="482"/>
      <c r="F290" s="482"/>
      <c r="G290" s="223"/>
      <c r="H290" s="400"/>
      <c r="I290" s="401"/>
      <c r="J290" s="409"/>
      <c r="K290" s="7"/>
    </row>
    <row r="291" spans="1:11" ht="12" customHeight="1" x14ac:dyDescent="0.2">
      <c r="A291" s="11" t="s">
        <v>12</v>
      </c>
      <c r="B291" s="547"/>
      <c r="C291" s="410"/>
      <c r="D291" s="410"/>
      <c r="E291" s="536"/>
      <c r="F291" s="536"/>
      <c r="G291" s="524"/>
      <c r="H291" s="411"/>
      <c r="I291" s="412"/>
      <c r="J291" s="409"/>
      <c r="K291" s="7"/>
    </row>
    <row r="292" spans="1:11" ht="12" customHeight="1" x14ac:dyDescent="0.2">
      <c r="A292" s="957"/>
      <c r="B292" s="547"/>
      <c r="C292" s="429"/>
      <c r="D292" s="429"/>
      <c r="E292" s="537"/>
      <c r="F292" s="537"/>
      <c r="G292" s="449"/>
      <c r="H292" s="466"/>
      <c r="I292" s="466"/>
      <c r="J292" s="450"/>
      <c r="K292" s="7"/>
    </row>
    <row r="293" spans="1:11" ht="2.1" customHeight="1" x14ac:dyDescent="0.2">
      <c r="A293" s="958"/>
      <c r="B293" s="938"/>
      <c r="C293" s="422"/>
      <c r="D293" s="422"/>
      <c r="E293" s="155"/>
      <c r="F293" s="155"/>
      <c r="G293" s="66"/>
      <c r="H293" s="423"/>
      <c r="I293" s="423"/>
      <c r="J293" s="424"/>
      <c r="K293" s="7"/>
    </row>
    <row r="294" spans="1:11" ht="12" customHeight="1" x14ac:dyDescent="0.2">
      <c r="A294" s="957"/>
      <c r="B294" s="547"/>
      <c r="C294" s="421"/>
      <c r="D294" s="421"/>
      <c r="E294" s="352"/>
      <c r="F294" s="352"/>
      <c r="G294" s="148"/>
      <c r="H294" s="465"/>
      <c r="I294" s="393"/>
      <c r="J294" s="388"/>
      <c r="K294" s="7"/>
    </row>
    <row r="295" spans="1:11" ht="12" customHeight="1" x14ac:dyDescent="0.2">
      <c r="A295" s="10" t="s">
        <v>33</v>
      </c>
      <c r="C295" s="855"/>
      <c r="D295" s="855"/>
      <c r="E295" s="933"/>
      <c r="F295" s="933"/>
      <c r="G295" s="855"/>
      <c r="H295" s="434"/>
      <c r="I295" s="393"/>
      <c r="J295" s="329"/>
      <c r="K295" s="7"/>
    </row>
    <row r="296" spans="1:11" ht="12" customHeight="1" x14ac:dyDescent="0.2">
      <c r="A296" s="427">
        <v>1</v>
      </c>
      <c r="B296" s="426"/>
      <c r="C296" s="399"/>
      <c r="D296" s="399"/>
      <c r="E296" s="482"/>
      <c r="F296" s="482"/>
      <c r="G296" s="223"/>
      <c r="H296" s="400"/>
      <c r="I296" s="401"/>
      <c r="J296" s="409"/>
      <c r="K296" s="7"/>
    </row>
    <row r="297" spans="1:11" ht="12" customHeight="1" x14ac:dyDescent="0.2">
      <c r="A297" s="427">
        <f>A296+1</f>
        <v>2</v>
      </c>
      <c r="B297" s="426"/>
      <c r="C297" s="399"/>
      <c r="D297" s="399"/>
      <c r="E297" s="482"/>
      <c r="F297" s="482"/>
      <c r="G297" s="223"/>
      <c r="H297" s="400"/>
      <c r="I297" s="401"/>
      <c r="J297" s="409"/>
      <c r="K297" s="7"/>
    </row>
    <row r="298" spans="1:11" ht="12" customHeight="1" x14ac:dyDescent="0.2">
      <c r="A298" s="13" t="s">
        <v>12</v>
      </c>
      <c r="B298" s="934"/>
      <c r="C298" s="410"/>
      <c r="D298" s="410"/>
      <c r="E298" s="536"/>
      <c r="F298" s="536"/>
      <c r="G298" s="524"/>
      <c r="H298" s="411"/>
      <c r="I298" s="412"/>
      <c r="J298" s="409"/>
      <c r="K298" s="7"/>
    </row>
    <row r="299" spans="1:11" ht="12" customHeight="1" x14ac:dyDescent="0.2">
      <c r="A299" s="957"/>
      <c r="B299" s="547"/>
      <c r="C299" s="429"/>
      <c r="D299" s="429"/>
      <c r="E299" s="537"/>
      <c r="F299" s="537"/>
      <c r="G299" s="449"/>
      <c r="H299" s="466"/>
      <c r="I299" s="414"/>
      <c r="J299" s="450"/>
      <c r="K299" s="7"/>
    </row>
    <row r="300" spans="1:11" ht="12" customHeight="1" x14ac:dyDescent="0.2">
      <c r="A300" s="427">
        <v>1</v>
      </c>
      <c r="B300" s="426"/>
      <c r="C300" s="399"/>
      <c r="D300" s="399"/>
      <c r="E300" s="482"/>
      <c r="F300" s="482"/>
      <c r="G300" s="223"/>
      <c r="H300" s="400"/>
      <c r="I300" s="401"/>
      <c r="J300" s="409"/>
      <c r="K300" s="7"/>
    </row>
    <row r="301" spans="1:11" ht="12" customHeight="1" x14ac:dyDescent="0.2">
      <c r="A301" s="427">
        <f>A300+1</f>
        <v>2</v>
      </c>
      <c r="B301" s="350"/>
      <c r="C301" s="399"/>
      <c r="D301" s="399"/>
      <c r="E301" s="482"/>
      <c r="F301" s="482"/>
      <c r="G301" s="223"/>
      <c r="H301" s="400"/>
      <c r="I301" s="401"/>
      <c r="J301" s="409"/>
      <c r="K301" s="7"/>
    </row>
    <row r="302" spans="1:11" ht="12" customHeight="1" x14ac:dyDescent="0.2">
      <c r="A302" s="13" t="s">
        <v>12</v>
      </c>
      <c r="B302" s="934"/>
      <c r="C302" s="410"/>
      <c r="D302" s="410"/>
      <c r="E302" s="536"/>
      <c r="F302" s="536"/>
      <c r="G302" s="524"/>
      <c r="H302" s="411"/>
      <c r="I302" s="412"/>
      <c r="J302" s="409"/>
      <c r="K302" s="7"/>
    </row>
    <row r="303" spans="1:11" ht="12" customHeight="1" x14ac:dyDescent="0.2">
      <c r="A303" s="11"/>
      <c r="B303" s="547"/>
      <c r="C303" s="413"/>
      <c r="D303" s="413"/>
      <c r="E303" s="537"/>
      <c r="F303" s="537"/>
      <c r="G303" s="449"/>
      <c r="H303" s="414"/>
      <c r="I303" s="414"/>
      <c r="J303" s="415"/>
      <c r="K303" s="7"/>
    </row>
    <row r="304" spans="1:11" ht="12" customHeight="1" x14ac:dyDescent="0.2">
      <c r="A304" s="13" t="s">
        <v>34</v>
      </c>
      <c r="B304" s="944"/>
      <c r="C304" s="410"/>
      <c r="D304" s="410"/>
      <c r="E304" s="536"/>
      <c r="F304" s="536"/>
      <c r="G304" s="524"/>
      <c r="H304" s="411"/>
      <c r="I304" s="412"/>
      <c r="J304" s="409"/>
      <c r="K304" s="7"/>
    </row>
    <row r="305" spans="1:11" ht="12" customHeight="1" x14ac:dyDescent="0.2">
      <c r="A305" s="962"/>
      <c r="B305" s="934"/>
      <c r="C305" s="429"/>
      <c r="D305" s="429"/>
      <c r="E305" s="537"/>
      <c r="F305" s="537"/>
      <c r="G305" s="449"/>
      <c r="H305" s="466"/>
      <c r="I305" s="466"/>
      <c r="J305" s="450"/>
      <c r="K305" s="7"/>
    </row>
    <row r="306" spans="1:11" ht="2.1" customHeight="1" x14ac:dyDescent="0.2">
      <c r="A306" s="958"/>
      <c r="B306" s="938"/>
      <c r="C306" s="422"/>
      <c r="D306" s="422"/>
      <c r="E306" s="155"/>
      <c r="F306" s="155"/>
      <c r="G306" s="66"/>
      <c r="H306" s="423"/>
      <c r="I306" s="423"/>
      <c r="J306" s="424"/>
      <c r="K306" s="7"/>
    </row>
    <row r="307" spans="1:11" ht="12" customHeight="1" x14ac:dyDescent="0.2">
      <c r="A307" s="957"/>
      <c r="B307" s="547"/>
      <c r="C307" s="421"/>
      <c r="D307" s="421"/>
      <c r="E307" s="352"/>
      <c r="F307" s="352"/>
      <c r="G307" s="148"/>
      <c r="H307" s="465"/>
      <c r="I307" s="393"/>
      <c r="J307" s="388"/>
      <c r="K307" s="7"/>
    </row>
    <row r="308" spans="1:11" ht="12" customHeight="1" x14ac:dyDescent="0.2">
      <c r="A308" s="10" t="s">
        <v>35</v>
      </c>
      <c r="C308" s="855"/>
      <c r="D308" s="855"/>
      <c r="E308" s="933"/>
      <c r="F308" s="933"/>
      <c r="G308" s="855"/>
      <c r="I308" s="393"/>
      <c r="J308" s="425"/>
      <c r="K308" s="7"/>
    </row>
    <row r="309" spans="1:11" ht="12" customHeight="1" x14ac:dyDescent="0.2">
      <c r="A309" s="416">
        <v>1</v>
      </c>
      <c r="B309" s="416"/>
      <c r="C309" s="399"/>
      <c r="D309" s="399"/>
      <c r="E309" s="482"/>
      <c r="F309" s="482"/>
      <c r="G309" s="223"/>
      <c r="H309" s="400"/>
      <c r="I309" s="401"/>
      <c r="J309" s="409"/>
      <c r="K309" s="7"/>
    </row>
    <row r="310" spans="1:11" ht="12" customHeight="1" x14ac:dyDescent="0.2">
      <c r="A310" s="416">
        <f>A309+1</f>
        <v>2</v>
      </c>
      <c r="B310" s="416"/>
      <c r="C310" s="399"/>
      <c r="D310" s="399"/>
      <c r="E310" s="482"/>
      <c r="F310" s="482"/>
      <c r="G310" s="223"/>
      <c r="H310" s="400"/>
      <c r="I310" s="401"/>
      <c r="J310" s="409"/>
      <c r="K310" s="7"/>
    </row>
    <row r="311" spans="1:11" ht="12" customHeight="1" x14ac:dyDescent="0.2">
      <c r="A311" s="416">
        <f>A310+1</f>
        <v>3</v>
      </c>
      <c r="B311" s="416"/>
      <c r="C311" s="399"/>
      <c r="D311" s="399"/>
      <c r="E311" s="482"/>
      <c r="F311" s="482"/>
      <c r="G311" s="223"/>
      <c r="H311" s="400"/>
      <c r="I311" s="401"/>
      <c r="J311" s="409"/>
      <c r="K311" s="7"/>
    </row>
    <row r="312" spans="1:11" ht="12" customHeight="1" x14ac:dyDescent="0.2">
      <c r="A312" s="416">
        <f>A311+1</f>
        <v>4</v>
      </c>
      <c r="B312" s="416"/>
      <c r="C312" s="399"/>
      <c r="D312" s="399"/>
      <c r="E312" s="482"/>
      <c r="F312" s="482"/>
      <c r="G312" s="223"/>
      <c r="H312" s="400"/>
      <c r="I312" s="401"/>
      <c r="J312" s="409"/>
      <c r="K312" s="7"/>
    </row>
    <row r="313" spans="1:11" ht="12" customHeight="1" x14ac:dyDescent="0.2">
      <c r="A313" s="11" t="s">
        <v>12</v>
      </c>
      <c r="B313" s="547"/>
      <c r="C313" s="410"/>
      <c r="D313" s="410"/>
      <c r="E313" s="536"/>
      <c r="F313" s="536"/>
      <c r="G313" s="524"/>
      <c r="H313" s="411"/>
      <c r="I313" s="412"/>
      <c r="J313" s="409"/>
      <c r="K313" s="7"/>
    </row>
    <row r="314" spans="1:11" ht="12" customHeight="1" x14ac:dyDescent="0.2">
      <c r="A314" s="957"/>
      <c r="B314" s="547"/>
      <c r="C314" s="429"/>
      <c r="D314" s="429"/>
      <c r="E314" s="537"/>
      <c r="F314" s="537"/>
      <c r="G314" s="449"/>
      <c r="H314" s="466"/>
      <c r="I314" s="466"/>
      <c r="J314" s="450"/>
      <c r="K314" s="7"/>
    </row>
    <row r="315" spans="1:11" ht="2.1" customHeight="1" x14ac:dyDescent="0.2">
      <c r="A315" s="958"/>
      <c r="B315" s="938"/>
      <c r="C315" s="422"/>
      <c r="D315" s="422"/>
      <c r="E315" s="155"/>
      <c r="F315" s="155"/>
      <c r="G315" s="66"/>
      <c r="H315" s="423"/>
      <c r="I315" s="423"/>
      <c r="J315" s="424"/>
      <c r="K315" s="7"/>
    </row>
    <row r="316" spans="1:11" ht="12" customHeight="1" x14ac:dyDescent="0.2">
      <c r="A316" s="957"/>
      <c r="B316" s="547"/>
      <c r="C316" s="421"/>
      <c r="D316" s="421"/>
      <c r="E316" s="352"/>
      <c r="F316" s="352"/>
      <c r="G316" s="148"/>
      <c r="H316" s="465"/>
      <c r="I316" s="393"/>
      <c r="J316" s="388"/>
      <c r="K316" s="7"/>
    </row>
    <row r="317" spans="1:11" ht="12" customHeight="1" x14ac:dyDescent="0.2">
      <c r="A317" s="960" t="s">
        <v>38</v>
      </c>
      <c r="C317" s="855"/>
      <c r="D317" s="855"/>
      <c r="E317" s="933"/>
      <c r="F317" s="933"/>
      <c r="G317" s="855"/>
      <c r="I317" s="393"/>
      <c r="J317" s="425"/>
      <c r="K317" s="7"/>
    </row>
    <row r="318" spans="1:11" ht="12" customHeight="1" x14ac:dyDescent="0.2">
      <c r="A318" s="416">
        <v>1</v>
      </c>
      <c r="B318" s="416"/>
      <c r="C318" s="399"/>
      <c r="D318" s="399"/>
      <c r="E318" s="482"/>
      <c r="F318" s="482"/>
      <c r="G318" s="223"/>
      <c r="H318" s="400"/>
      <c r="I318" s="401"/>
      <c r="J318" s="409"/>
      <c r="K318" s="7"/>
    </row>
    <row r="319" spans="1:11" ht="12" customHeight="1" x14ac:dyDescent="0.2">
      <c r="A319" s="416">
        <f>+A318+1</f>
        <v>2</v>
      </c>
      <c r="B319" s="457"/>
      <c r="C319" s="399"/>
      <c r="D319" s="399"/>
      <c r="E319" s="482"/>
      <c r="F319" s="482"/>
      <c r="G319" s="223"/>
      <c r="H319" s="400"/>
      <c r="I319" s="401"/>
      <c r="J319" s="409"/>
      <c r="K319" s="7"/>
    </row>
    <row r="320" spans="1:11" ht="12" customHeight="1" x14ac:dyDescent="0.2">
      <c r="A320" s="416">
        <f>+A319+1</f>
        <v>3</v>
      </c>
      <c r="B320" s="416"/>
      <c r="C320" s="399"/>
      <c r="D320" s="399"/>
      <c r="E320" s="482"/>
      <c r="F320" s="482"/>
      <c r="G320" s="223"/>
      <c r="H320" s="400"/>
      <c r="I320" s="401"/>
      <c r="J320" s="409"/>
      <c r="K320" s="7"/>
    </row>
    <row r="321" spans="1:11" ht="12" customHeight="1" x14ac:dyDescent="0.2">
      <c r="A321" s="11" t="s">
        <v>12</v>
      </c>
      <c r="B321" s="547"/>
      <c r="C321" s="403"/>
      <c r="D321" s="403"/>
      <c r="E321" s="521"/>
      <c r="F321" s="521"/>
      <c r="G321" s="402"/>
      <c r="H321" s="404"/>
      <c r="I321" s="405"/>
      <c r="J321" s="406"/>
      <c r="K321" s="7"/>
    </row>
    <row r="322" spans="1:11" ht="12" customHeight="1" x14ac:dyDescent="0.2">
      <c r="A322" s="957"/>
      <c r="B322" s="547"/>
      <c r="C322" s="421"/>
      <c r="D322" s="421"/>
      <c r="E322" s="352"/>
      <c r="F322" s="352"/>
      <c r="G322" s="148"/>
      <c r="H322" s="465"/>
      <c r="I322" s="466"/>
      <c r="J322" s="388"/>
      <c r="K322" s="7"/>
    </row>
    <row r="323" spans="1:11" ht="2.1" customHeight="1" x14ac:dyDescent="0.2">
      <c r="A323" s="958"/>
      <c r="B323" s="938"/>
      <c r="C323" s="422"/>
      <c r="D323" s="422"/>
      <c r="E323" s="155"/>
      <c r="F323" s="155"/>
      <c r="G323" s="66"/>
      <c r="H323" s="423"/>
      <c r="I323" s="423"/>
      <c r="J323" s="424"/>
      <c r="K323" s="7"/>
    </row>
    <row r="324" spans="1:11" ht="12" customHeight="1" x14ac:dyDescent="0.2">
      <c r="A324" s="957"/>
      <c r="B324" s="547"/>
      <c r="C324" s="421"/>
      <c r="D324" s="421"/>
      <c r="E324" s="352"/>
      <c r="F324" s="352"/>
      <c r="G324" s="148"/>
      <c r="H324" s="465"/>
      <c r="I324" s="393"/>
      <c r="J324" s="388"/>
      <c r="K324" s="7"/>
    </row>
    <row r="325" spans="1:11" ht="12" customHeight="1" x14ac:dyDescent="0.2">
      <c r="A325" s="10" t="s">
        <v>39</v>
      </c>
      <c r="C325" s="855"/>
      <c r="D325" s="855"/>
      <c r="E325" s="933"/>
      <c r="F325" s="933"/>
      <c r="G325" s="855"/>
      <c r="I325" s="393"/>
      <c r="J325" s="425"/>
      <c r="K325" s="7"/>
    </row>
    <row r="326" spans="1:11" ht="12" customHeight="1" x14ac:dyDescent="0.2">
      <c r="A326" s="416">
        <v>1</v>
      </c>
      <c r="B326" s="416"/>
      <c r="C326" s="399"/>
      <c r="D326" s="399"/>
      <c r="E326" s="482"/>
      <c r="F326" s="482"/>
      <c r="G326" s="223"/>
      <c r="H326" s="400"/>
      <c r="I326" s="401"/>
      <c r="J326" s="406"/>
      <c r="K326" s="7"/>
    </row>
    <row r="327" spans="1:11" ht="12" customHeight="1" x14ac:dyDescent="0.2">
      <c r="A327" s="416">
        <f>A326+1</f>
        <v>2</v>
      </c>
      <c r="B327" s="457"/>
      <c r="C327" s="399"/>
      <c r="D327" s="399"/>
      <c r="E327" s="482"/>
      <c r="F327" s="482"/>
      <c r="G327" s="223"/>
      <c r="H327" s="400"/>
      <c r="I327" s="401"/>
      <c r="J327" s="406"/>
      <c r="K327" s="7"/>
    </row>
    <row r="328" spans="1:11" ht="12" customHeight="1" x14ac:dyDescent="0.2">
      <c r="A328" s="11" t="s">
        <v>12</v>
      </c>
      <c r="B328" s="547"/>
      <c r="C328" s="403"/>
      <c r="D328" s="403"/>
      <c r="E328" s="521"/>
      <c r="F328" s="521"/>
      <c r="G328" s="402"/>
      <c r="H328" s="404"/>
      <c r="I328" s="405"/>
      <c r="J328" s="406"/>
      <c r="K328" s="7"/>
    </row>
    <row r="329" spans="1:11" ht="12" customHeight="1" x14ac:dyDescent="0.2">
      <c r="A329" s="957"/>
      <c r="B329" s="547"/>
      <c r="C329" s="421"/>
      <c r="D329" s="421"/>
      <c r="E329" s="352"/>
      <c r="F329" s="352"/>
      <c r="G329" s="148"/>
      <c r="H329" s="465"/>
      <c r="I329" s="466"/>
      <c r="J329" s="388"/>
      <c r="K329" s="7"/>
    </row>
    <row r="330" spans="1:11" ht="2.1" customHeight="1" x14ac:dyDescent="0.2">
      <c r="A330" s="958"/>
      <c r="B330" s="938"/>
      <c r="C330" s="422"/>
      <c r="D330" s="422"/>
      <c r="E330" s="155"/>
      <c r="F330" s="155"/>
      <c r="G330" s="66"/>
      <c r="H330" s="423"/>
      <c r="I330" s="423"/>
      <c r="J330" s="424"/>
      <c r="K330" s="7"/>
    </row>
    <row r="331" spans="1:11" ht="12" customHeight="1" x14ac:dyDescent="0.2">
      <c r="A331" s="957"/>
      <c r="B331" s="547"/>
      <c r="C331" s="421"/>
      <c r="D331" s="421"/>
      <c r="E331" s="352"/>
      <c r="F331" s="352"/>
      <c r="G331" s="148"/>
      <c r="H331" s="465"/>
      <c r="I331" s="393"/>
      <c r="J331" s="388"/>
      <c r="K331" s="7"/>
    </row>
    <row r="332" spans="1:11" ht="12" customHeight="1" x14ac:dyDescent="0.2">
      <c r="A332" s="960" t="s">
        <v>41</v>
      </c>
      <c r="C332" s="855"/>
      <c r="D332" s="855"/>
      <c r="E332" s="933"/>
      <c r="F332" s="933"/>
      <c r="G332" s="855"/>
      <c r="I332" s="393"/>
      <c r="J332" s="425"/>
      <c r="K332" s="7"/>
    </row>
    <row r="333" spans="1:11" ht="12" customHeight="1" x14ac:dyDescent="0.2">
      <c r="A333" s="427">
        <v>1</v>
      </c>
      <c r="B333" s="426"/>
      <c r="C333" s="399"/>
      <c r="D333" s="399"/>
      <c r="E333" s="482"/>
      <c r="F333" s="482"/>
      <c r="G333" s="223"/>
      <c r="H333" s="400"/>
      <c r="I333" s="401"/>
      <c r="J333" s="406"/>
      <c r="K333" s="7"/>
    </row>
    <row r="334" spans="1:11" ht="12" customHeight="1" x14ac:dyDescent="0.2">
      <c r="A334" s="427">
        <f>A333+1</f>
        <v>2</v>
      </c>
      <c r="B334" s="426"/>
      <c r="C334" s="399"/>
      <c r="D334" s="399"/>
      <c r="E334" s="482"/>
      <c r="F334" s="482"/>
      <c r="G334" s="223"/>
      <c r="H334" s="400"/>
      <c r="I334" s="401"/>
      <c r="J334" s="406"/>
      <c r="K334" s="7"/>
    </row>
    <row r="335" spans="1:11" ht="12" customHeight="1" x14ac:dyDescent="0.2">
      <c r="A335" s="13" t="s">
        <v>12</v>
      </c>
      <c r="B335" s="934"/>
      <c r="C335" s="403"/>
      <c r="D335" s="403"/>
      <c r="E335" s="521"/>
      <c r="F335" s="521"/>
      <c r="G335" s="402"/>
      <c r="H335" s="404"/>
      <c r="I335" s="405"/>
      <c r="J335" s="406"/>
      <c r="K335" s="7"/>
    </row>
    <row r="336" spans="1:11" ht="12" customHeight="1" x14ac:dyDescent="0.2">
      <c r="A336" s="957"/>
      <c r="B336" s="547"/>
      <c r="C336" s="421"/>
      <c r="D336" s="421"/>
      <c r="E336" s="352"/>
      <c r="F336" s="352"/>
      <c r="G336" s="148"/>
      <c r="H336" s="465"/>
      <c r="I336" s="466"/>
      <c r="J336" s="388"/>
      <c r="K336" s="7"/>
    </row>
    <row r="337" spans="1:11" ht="2.1" customHeight="1" x14ac:dyDescent="0.2">
      <c r="A337" s="958"/>
      <c r="B337" s="938"/>
      <c r="C337" s="422"/>
      <c r="D337" s="422"/>
      <c r="E337" s="155"/>
      <c r="F337" s="155"/>
      <c r="G337" s="66"/>
      <c r="H337" s="423"/>
      <c r="I337" s="423"/>
      <c r="J337" s="424"/>
      <c r="K337" s="7"/>
    </row>
    <row r="338" spans="1:11" ht="12" customHeight="1" x14ac:dyDescent="0.2">
      <c r="A338" s="957"/>
      <c r="B338" s="547"/>
      <c r="C338" s="421"/>
      <c r="D338" s="421"/>
      <c r="E338" s="352"/>
      <c r="F338" s="352"/>
      <c r="G338" s="148"/>
      <c r="H338" s="465"/>
      <c r="I338" s="393"/>
      <c r="J338" s="388"/>
      <c r="K338" s="7"/>
    </row>
    <row r="339" spans="1:11" ht="12" customHeight="1" x14ac:dyDescent="0.2">
      <c r="A339" s="10" t="s">
        <v>42</v>
      </c>
      <c r="C339" s="855"/>
      <c r="D339" s="855"/>
      <c r="E339" s="933"/>
      <c r="F339" s="933"/>
      <c r="G339" s="855"/>
      <c r="I339" s="393"/>
      <c r="J339" s="425"/>
      <c r="K339" s="7"/>
    </row>
    <row r="340" spans="1:11" ht="12" customHeight="1" x14ac:dyDescent="0.2">
      <c r="A340" s="416">
        <v>1</v>
      </c>
      <c r="B340" s="416"/>
      <c r="C340" s="399"/>
      <c r="D340" s="399"/>
      <c r="E340" s="482"/>
      <c r="F340" s="482"/>
      <c r="G340" s="223"/>
      <c r="H340" s="400"/>
      <c r="I340" s="401"/>
      <c r="J340" s="409"/>
      <c r="K340" s="7"/>
    </row>
    <row r="341" spans="1:11" ht="12" customHeight="1" x14ac:dyDescent="0.2">
      <c r="A341" s="416">
        <f>A340+1</f>
        <v>2</v>
      </c>
      <c r="B341" s="459"/>
      <c r="C341" s="399"/>
      <c r="D341" s="399"/>
      <c r="E341" s="482"/>
      <c r="F341" s="482"/>
      <c r="G341" s="223"/>
      <c r="H341" s="400"/>
      <c r="I341" s="401"/>
      <c r="J341" s="409"/>
      <c r="K341" s="7"/>
    </row>
    <row r="342" spans="1:11" ht="12" customHeight="1" x14ac:dyDescent="0.2">
      <c r="A342" s="963" t="s">
        <v>12</v>
      </c>
      <c r="B342" s="945"/>
      <c r="C342" s="468"/>
      <c r="D342" s="468"/>
      <c r="E342" s="543"/>
      <c r="F342" s="543"/>
      <c r="G342" s="533"/>
      <c r="H342" s="404"/>
      <c r="I342" s="405"/>
      <c r="J342" s="406"/>
      <c r="K342" s="7"/>
    </row>
    <row r="343" spans="1:11" ht="12" customHeight="1" x14ac:dyDescent="0.2">
      <c r="A343" s="964"/>
      <c r="B343" s="945"/>
      <c r="C343" s="421"/>
      <c r="D343" s="421"/>
      <c r="E343" s="352"/>
      <c r="F343" s="352"/>
      <c r="G343" s="148"/>
      <c r="H343" s="465"/>
      <c r="I343" s="466"/>
      <c r="J343" s="388"/>
      <c r="K343" s="7"/>
    </row>
    <row r="344" spans="1:11" ht="12" customHeight="1" x14ac:dyDescent="0.2">
      <c r="A344" s="416">
        <v>1</v>
      </c>
      <c r="B344" s="416"/>
      <c r="C344" s="399"/>
      <c r="D344" s="399"/>
      <c r="E344" s="482"/>
      <c r="F344" s="482"/>
      <c r="G344" s="223"/>
      <c r="H344" s="400"/>
      <c r="I344" s="401"/>
      <c r="J344" s="409"/>
      <c r="K344" s="7"/>
    </row>
    <row r="345" spans="1:11" ht="12" customHeight="1" x14ac:dyDescent="0.2">
      <c r="A345" s="416">
        <f>+A344+1</f>
        <v>2</v>
      </c>
      <c r="B345" s="416"/>
      <c r="C345" s="399"/>
      <c r="D345" s="399"/>
      <c r="E345" s="482"/>
      <c r="F345" s="482"/>
      <c r="G345" s="223"/>
      <c r="H345" s="400"/>
      <c r="I345" s="401"/>
      <c r="J345" s="409"/>
      <c r="K345" s="7"/>
    </row>
    <row r="346" spans="1:11" ht="12" customHeight="1" x14ac:dyDescent="0.2">
      <c r="A346" s="11" t="s">
        <v>12</v>
      </c>
      <c r="B346" s="547"/>
      <c r="C346" s="403"/>
      <c r="D346" s="403"/>
      <c r="E346" s="521"/>
      <c r="F346" s="521"/>
      <c r="G346" s="402"/>
      <c r="H346" s="404"/>
      <c r="I346" s="405"/>
      <c r="J346" s="406"/>
      <c r="K346" s="7"/>
    </row>
    <row r="347" spans="1:11" ht="12" customHeight="1" x14ac:dyDescent="0.2">
      <c r="A347" s="957"/>
      <c r="B347" s="547"/>
      <c r="C347" s="421"/>
      <c r="D347" s="421"/>
      <c r="E347" s="352"/>
      <c r="F347" s="352"/>
      <c r="G347" s="148"/>
      <c r="H347" s="465"/>
      <c r="I347" s="466"/>
      <c r="J347" s="388"/>
      <c r="K347" s="7"/>
    </row>
    <row r="348" spans="1:11" ht="2.1" customHeight="1" x14ac:dyDescent="0.2">
      <c r="A348" s="958"/>
      <c r="B348" s="938"/>
      <c r="C348" s="422"/>
      <c r="D348" s="422"/>
      <c r="E348" s="155"/>
      <c r="F348" s="155"/>
      <c r="G348" s="66"/>
      <c r="H348" s="423"/>
      <c r="I348" s="423"/>
      <c r="J348" s="424"/>
      <c r="K348" s="7"/>
    </row>
    <row r="349" spans="1:11" ht="12" customHeight="1" x14ac:dyDescent="0.2">
      <c r="A349" s="957"/>
      <c r="B349" s="547"/>
      <c r="C349" s="421"/>
      <c r="D349" s="421"/>
      <c r="E349" s="352"/>
      <c r="F349" s="352"/>
      <c r="G349" s="148"/>
      <c r="H349" s="465"/>
      <c r="I349" s="393"/>
      <c r="J349" s="388"/>
      <c r="K349" s="7"/>
    </row>
    <row r="350" spans="1:11" ht="12" customHeight="1" x14ac:dyDescent="0.2">
      <c r="A350" s="960" t="s">
        <v>54</v>
      </c>
      <c r="C350" s="855"/>
      <c r="D350" s="855"/>
      <c r="E350" s="933"/>
      <c r="F350" s="933"/>
      <c r="G350" s="855"/>
      <c r="I350" s="393"/>
      <c r="J350" s="425"/>
      <c r="K350" s="7"/>
    </row>
    <row r="351" spans="1:11" ht="12" customHeight="1" x14ac:dyDescent="0.2">
      <c r="A351" s="416">
        <v>1</v>
      </c>
      <c r="B351" s="416"/>
      <c r="C351" s="399"/>
      <c r="D351" s="399"/>
      <c r="E351" s="482"/>
      <c r="F351" s="482"/>
      <c r="G351" s="223"/>
      <c r="H351" s="400"/>
      <c r="I351" s="401"/>
      <c r="J351" s="409"/>
      <c r="K351" s="7"/>
    </row>
    <row r="352" spans="1:11" ht="12" customHeight="1" x14ac:dyDescent="0.2">
      <c r="A352" s="416">
        <f>A351+1</f>
        <v>2</v>
      </c>
      <c r="B352" s="416"/>
      <c r="C352" s="399"/>
      <c r="D352" s="399"/>
      <c r="E352" s="482"/>
      <c r="F352" s="482"/>
      <c r="G352" s="223"/>
      <c r="H352" s="400"/>
      <c r="I352" s="401"/>
      <c r="J352" s="409"/>
      <c r="K352" s="7"/>
    </row>
    <row r="353" spans="1:11" ht="12" customHeight="1" x14ac:dyDescent="0.2">
      <c r="A353" s="11" t="s">
        <v>12</v>
      </c>
      <c r="B353" s="547"/>
      <c r="C353" s="403"/>
      <c r="D353" s="403"/>
      <c r="E353" s="521"/>
      <c r="F353" s="521"/>
      <c r="G353" s="402"/>
      <c r="H353" s="404"/>
      <c r="I353" s="405"/>
      <c r="J353" s="406"/>
      <c r="K353" s="7"/>
    </row>
    <row r="354" spans="1:11" ht="12" customHeight="1" x14ac:dyDescent="0.2">
      <c r="A354" s="957"/>
      <c r="B354" s="547"/>
      <c r="C354" s="421"/>
      <c r="D354" s="421"/>
      <c r="E354" s="352"/>
      <c r="F354" s="352"/>
      <c r="G354" s="148"/>
      <c r="H354" s="465"/>
      <c r="I354" s="466"/>
      <c r="J354" s="388"/>
      <c r="K354" s="7"/>
    </row>
    <row r="355" spans="1:11" ht="2.1" customHeight="1" x14ac:dyDescent="0.2">
      <c r="A355" s="958"/>
      <c r="B355" s="938"/>
      <c r="C355" s="422"/>
      <c r="D355" s="422"/>
      <c r="E355" s="155"/>
      <c r="F355" s="155"/>
      <c r="G355" s="66"/>
      <c r="H355" s="423"/>
      <c r="I355" s="423"/>
      <c r="J355" s="424"/>
      <c r="K355" s="7"/>
    </row>
    <row r="356" spans="1:11" ht="12" customHeight="1" x14ac:dyDescent="0.2">
      <c r="A356" s="957"/>
      <c r="B356" s="547"/>
      <c r="C356" s="421"/>
      <c r="D356" s="421"/>
      <c r="E356" s="352"/>
      <c r="F356" s="352"/>
      <c r="G356" s="148"/>
      <c r="H356" s="465"/>
      <c r="I356" s="393"/>
      <c r="J356" s="388"/>
      <c r="K356" s="7"/>
    </row>
    <row r="357" spans="1:11" ht="12" customHeight="1" x14ac:dyDescent="0.2">
      <c r="A357" s="10" t="s">
        <v>43</v>
      </c>
      <c r="C357" s="855"/>
      <c r="D357" s="855"/>
      <c r="E357" s="933"/>
      <c r="F357" s="933"/>
      <c r="G357" s="855"/>
      <c r="I357" s="393"/>
      <c r="J357" s="425"/>
      <c r="K357" s="7"/>
    </row>
    <row r="358" spans="1:11" ht="12" customHeight="1" x14ac:dyDescent="0.2">
      <c r="A358" s="416">
        <v>1</v>
      </c>
      <c r="B358" s="416"/>
      <c r="C358" s="399"/>
      <c r="D358" s="399"/>
      <c r="E358" s="482"/>
      <c r="F358" s="482"/>
      <c r="G358" s="223"/>
      <c r="H358" s="400"/>
      <c r="I358" s="401"/>
      <c r="J358" s="409"/>
      <c r="K358" s="7"/>
    </row>
    <row r="359" spans="1:11" ht="12" customHeight="1" x14ac:dyDescent="0.2">
      <c r="A359" s="416">
        <f>+A358+1</f>
        <v>2</v>
      </c>
      <c r="B359" s="416"/>
      <c r="C359" s="399"/>
      <c r="D359" s="399"/>
      <c r="E359" s="482"/>
      <c r="F359" s="482"/>
      <c r="G359" s="223"/>
      <c r="H359" s="400"/>
      <c r="I359" s="401"/>
      <c r="J359" s="409"/>
      <c r="K359" s="7"/>
    </row>
    <row r="360" spans="1:11" ht="12" customHeight="1" x14ac:dyDescent="0.2">
      <c r="A360" s="416">
        <f>+A359+1</f>
        <v>3</v>
      </c>
      <c r="B360" s="416"/>
      <c r="C360" s="399"/>
      <c r="D360" s="399"/>
      <c r="E360" s="482"/>
      <c r="F360" s="482"/>
      <c r="G360" s="223"/>
      <c r="H360" s="400"/>
      <c r="I360" s="401"/>
      <c r="J360" s="409"/>
      <c r="K360" s="7"/>
    </row>
    <row r="361" spans="1:11" ht="12" customHeight="1" x14ac:dyDescent="0.2">
      <c r="A361" s="11" t="s">
        <v>12</v>
      </c>
      <c r="B361" s="547"/>
      <c r="C361" s="403"/>
      <c r="D361" s="403"/>
      <c r="E361" s="521"/>
      <c r="F361" s="521"/>
      <c r="G361" s="402"/>
      <c r="H361" s="404"/>
      <c r="I361" s="405"/>
      <c r="J361" s="406"/>
      <c r="K361" s="7"/>
    </row>
    <row r="362" spans="1:11" ht="12" customHeight="1" x14ac:dyDescent="0.2">
      <c r="A362" s="957"/>
      <c r="B362" s="547"/>
      <c r="C362" s="421"/>
      <c r="D362" s="421"/>
      <c r="E362" s="352"/>
      <c r="F362" s="352"/>
      <c r="G362" s="148"/>
      <c r="H362" s="465"/>
      <c r="I362" s="466"/>
      <c r="J362" s="388"/>
      <c r="K362" s="7"/>
    </row>
    <row r="363" spans="1:11" ht="2.1" customHeight="1" x14ac:dyDescent="0.2">
      <c r="A363" s="958"/>
      <c r="B363" s="938"/>
      <c r="C363" s="422"/>
      <c r="D363" s="422"/>
      <c r="E363" s="155"/>
      <c r="F363" s="155"/>
      <c r="G363" s="66"/>
      <c r="H363" s="423"/>
      <c r="I363" s="423"/>
      <c r="J363" s="424"/>
      <c r="K363" s="7"/>
    </row>
    <row r="364" spans="1:11" ht="12" customHeight="1" x14ac:dyDescent="0.2">
      <c r="A364" s="957"/>
      <c r="B364" s="547"/>
      <c r="C364" s="421"/>
      <c r="D364" s="421"/>
      <c r="E364" s="352"/>
      <c r="F364" s="352"/>
      <c r="G364" s="148"/>
      <c r="H364" s="465"/>
      <c r="I364" s="393"/>
      <c r="J364" s="388"/>
      <c r="K364" s="7"/>
    </row>
    <row r="365" spans="1:11" ht="12" customHeight="1" x14ac:dyDescent="0.2">
      <c r="A365" s="10" t="s">
        <v>44</v>
      </c>
      <c r="C365" s="855"/>
      <c r="D365" s="855"/>
      <c r="E365" s="933"/>
      <c r="F365" s="933"/>
      <c r="G365" s="855"/>
      <c r="I365" s="393"/>
      <c r="J365" s="425"/>
      <c r="K365" s="7"/>
    </row>
    <row r="366" spans="1:11" ht="12" customHeight="1" x14ac:dyDescent="0.2">
      <c r="A366" s="416">
        <v>1</v>
      </c>
      <c r="B366" s="416"/>
      <c r="C366" s="399"/>
      <c r="D366" s="399"/>
      <c r="E366" s="482"/>
      <c r="F366" s="482"/>
      <c r="G366" s="223"/>
      <c r="H366" s="400"/>
      <c r="I366" s="401"/>
      <c r="J366" s="409"/>
      <c r="K366" s="7"/>
    </row>
    <row r="367" spans="1:11" ht="12" customHeight="1" x14ac:dyDescent="0.2">
      <c r="A367" s="416">
        <f>+A366+1</f>
        <v>2</v>
      </c>
      <c r="B367" s="416"/>
      <c r="C367" s="399"/>
      <c r="D367" s="399"/>
      <c r="E367" s="482"/>
      <c r="F367" s="482"/>
      <c r="G367" s="223"/>
      <c r="H367" s="400"/>
      <c r="I367" s="401"/>
      <c r="J367" s="409"/>
      <c r="K367" s="7"/>
    </row>
    <row r="368" spans="1:11" ht="12" customHeight="1" x14ac:dyDescent="0.2">
      <c r="A368" s="416">
        <f>+A367+1</f>
        <v>3</v>
      </c>
      <c r="B368" s="416"/>
      <c r="C368" s="399"/>
      <c r="D368" s="399"/>
      <c r="E368" s="482"/>
      <c r="F368" s="482"/>
      <c r="G368" s="223"/>
      <c r="H368" s="400"/>
      <c r="I368" s="401"/>
      <c r="J368" s="409"/>
      <c r="K368" s="7"/>
    </row>
    <row r="369" spans="1:11" ht="12" customHeight="1" x14ac:dyDescent="0.2">
      <c r="A369" s="11" t="s">
        <v>12</v>
      </c>
      <c r="B369" s="547"/>
      <c r="C369" s="403"/>
      <c r="D369" s="403"/>
      <c r="E369" s="521"/>
      <c r="F369" s="521"/>
      <c r="G369" s="402"/>
      <c r="H369" s="404"/>
      <c r="I369" s="405"/>
      <c r="J369" s="406"/>
      <c r="K369" s="7"/>
    </row>
    <row r="370" spans="1:11" ht="12" customHeight="1" x14ac:dyDescent="0.2">
      <c r="A370" s="957"/>
      <c r="B370" s="547"/>
      <c r="C370" s="421"/>
      <c r="D370" s="421"/>
      <c r="E370" s="352"/>
      <c r="F370" s="352"/>
      <c r="G370" s="148"/>
      <c r="H370" s="465"/>
      <c r="I370" s="466"/>
      <c r="J370" s="388"/>
      <c r="K370" s="7"/>
    </row>
    <row r="371" spans="1:11" ht="2.1" customHeight="1" x14ac:dyDescent="0.2">
      <c r="A371" s="958"/>
      <c r="B371" s="938"/>
      <c r="C371" s="422"/>
      <c r="D371" s="422"/>
      <c r="E371" s="155"/>
      <c r="F371" s="155"/>
      <c r="G371" s="66"/>
      <c r="H371" s="423"/>
      <c r="I371" s="423"/>
      <c r="J371" s="424"/>
      <c r="K371" s="7"/>
    </row>
    <row r="372" spans="1:11" ht="12" customHeight="1" x14ac:dyDescent="0.2">
      <c r="A372" s="957"/>
      <c r="B372" s="547"/>
      <c r="C372" s="421"/>
      <c r="D372" s="421"/>
      <c r="E372" s="352"/>
      <c r="F372" s="352"/>
      <c r="G372" s="148"/>
      <c r="H372" s="465"/>
      <c r="I372" s="393"/>
      <c r="J372" s="388"/>
      <c r="K372" s="7"/>
    </row>
    <row r="373" spans="1:11" ht="12" customHeight="1" x14ac:dyDescent="0.2">
      <c r="A373" s="10" t="s">
        <v>45</v>
      </c>
      <c r="C373" s="855"/>
      <c r="D373" s="855"/>
      <c r="E373" s="933"/>
      <c r="F373" s="933"/>
      <c r="G373" s="855"/>
      <c r="I373" s="393"/>
      <c r="J373" s="425"/>
      <c r="K373" s="7"/>
    </row>
    <row r="374" spans="1:11" ht="12" customHeight="1" x14ac:dyDescent="0.2">
      <c r="A374" s="416">
        <v>1</v>
      </c>
      <c r="B374" s="416"/>
      <c r="C374" s="399"/>
      <c r="D374" s="399"/>
      <c r="E374" s="482"/>
      <c r="F374" s="482"/>
      <c r="G374" s="223"/>
      <c r="H374" s="400"/>
      <c r="I374" s="401"/>
      <c r="J374" s="409"/>
      <c r="K374" s="7"/>
    </row>
    <row r="375" spans="1:11" ht="12" customHeight="1" x14ac:dyDescent="0.2">
      <c r="A375" s="416">
        <f>A374+1</f>
        <v>2</v>
      </c>
      <c r="B375" s="416"/>
      <c r="C375" s="399"/>
      <c r="D375" s="399"/>
      <c r="E375" s="482"/>
      <c r="F375" s="482"/>
      <c r="G375" s="223"/>
      <c r="H375" s="400"/>
      <c r="I375" s="401"/>
      <c r="J375" s="409"/>
      <c r="K375" s="7"/>
    </row>
    <row r="376" spans="1:11" ht="12" customHeight="1" x14ac:dyDescent="0.2">
      <c r="A376" s="11" t="s">
        <v>12</v>
      </c>
      <c r="B376" s="547"/>
      <c r="C376" s="403"/>
      <c r="D376" s="403"/>
      <c r="E376" s="521"/>
      <c r="F376" s="521"/>
      <c r="G376" s="402"/>
      <c r="H376" s="404"/>
      <c r="I376" s="405"/>
      <c r="J376" s="406"/>
      <c r="K376" s="7"/>
    </row>
    <row r="377" spans="1:11" ht="12" customHeight="1" x14ac:dyDescent="0.2">
      <c r="A377" s="957"/>
      <c r="B377" s="547"/>
      <c r="C377" s="421"/>
      <c r="D377" s="421"/>
      <c r="E377" s="352"/>
      <c r="F377" s="352"/>
      <c r="G377" s="148"/>
      <c r="H377" s="465"/>
      <c r="I377" s="466"/>
      <c r="J377" s="388"/>
      <c r="K377" s="7"/>
    </row>
    <row r="378" spans="1:11" ht="2.1" customHeight="1" x14ac:dyDescent="0.2">
      <c r="A378" s="958"/>
      <c r="B378" s="938"/>
      <c r="C378" s="422"/>
      <c r="D378" s="422"/>
      <c r="E378" s="155"/>
      <c r="F378" s="155"/>
      <c r="G378" s="66"/>
      <c r="H378" s="423"/>
      <c r="I378" s="423"/>
      <c r="J378" s="424"/>
      <c r="K378" s="7"/>
    </row>
    <row r="379" spans="1:11" ht="12" customHeight="1" x14ac:dyDescent="0.2">
      <c r="A379" s="957"/>
      <c r="B379" s="547"/>
      <c r="C379" s="421"/>
      <c r="D379" s="421"/>
      <c r="E379" s="352"/>
      <c r="F379" s="352"/>
      <c r="G379" s="148"/>
      <c r="H379" s="465"/>
      <c r="I379" s="393"/>
      <c r="J379" s="388"/>
      <c r="K379" s="7"/>
    </row>
    <row r="380" spans="1:11" ht="12" customHeight="1" x14ac:dyDescent="0.2">
      <c r="A380" s="960" t="s">
        <v>46</v>
      </c>
      <c r="C380" s="855"/>
      <c r="D380" s="855"/>
      <c r="E380" s="933"/>
      <c r="F380" s="933"/>
      <c r="G380" s="855"/>
      <c r="I380" s="393"/>
      <c r="J380" s="425"/>
      <c r="K380" s="7"/>
    </row>
    <row r="381" spans="1:11" ht="12" customHeight="1" x14ac:dyDescent="0.2">
      <c r="A381" s="416">
        <v>1</v>
      </c>
      <c r="B381" s="416"/>
      <c r="C381" s="399"/>
      <c r="D381" s="399"/>
      <c r="E381" s="482"/>
      <c r="F381" s="482"/>
      <c r="G381" s="223"/>
      <c r="H381" s="400"/>
      <c r="I381" s="401"/>
      <c r="J381" s="408"/>
      <c r="K381" s="7"/>
    </row>
    <row r="382" spans="1:11" ht="12" customHeight="1" x14ac:dyDescent="0.2">
      <c r="A382" s="416">
        <f>A381+1</f>
        <v>2</v>
      </c>
      <c r="B382" s="416"/>
      <c r="C382" s="399"/>
      <c r="D382" s="399"/>
      <c r="E382" s="482"/>
      <c r="F382" s="482"/>
      <c r="G382" s="223"/>
      <c r="H382" s="400"/>
      <c r="I382" s="401"/>
      <c r="J382" s="408"/>
      <c r="K382" s="7"/>
    </row>
    <row r="383" spans="1:11" ht="12" customHeight="1" x14ac:dyDescent="0.2">
      <c r="A383" s="11" t="s">
        <v>12</v>
      </c>
      <c r="B383" s="547"/>
      <c r="C383" s="403"/>
      <c r="D383" s="403"/>
      <c r="E383" s="521"/>
      <c r="F383" s="521"/>
      <c r="G383" s="402"/>
      <c r="H383" s="404"/>
      <c r="I383" s="405"/>
      <c r="J383" s="406"/>
      <c r="K383" s="7"/>
    </row>
    <row r="384" spans="1:11" ht="12" customHeight="1" x14ac:dyDescent="0.2">
      <c r="A384" s="957"/>
      <c r="B384" s="547"/>
      <c r="C384" s="421"/>
      <c r="D384" s="421"/>
      <c r="E384" s="352"/>
      <c r="F384" s="352"/>
      <c r="G384" s="148"/>
      <c r="H384" s="465"/>
      <c r="I384" s="466"/>
      <c r="J384" s="388"/>
      <c r="K384" s="7"/>
    </row>
    <row r="385" spans="1:11" ht="2.1" customHeight="1" x14ac:dyDescent="0.2">
      <c r="A385" s="958"/>
      <c r="B385" s="938"/>
      <c r="C385" s="422"/>
      <c r="D385" s="422"/>
      <c r="E385" s="155"/>
      <c r="F385" s="155"/>
      <c r="G385" s="66"/>
      <c r="H385" s="423"/>
      <c r="I385" s="423"/>
      <c r="J385" s="424"/>
      <c r="K385" s="7"/>
    </row>
    <row r="386" spans="1:11" ht="12" customHeight="1" x14ac:dyDescent="0.2">
      <c r="A386" s="957"/>
      <c r="B386" s="547"/>
      <c r="C386" s="421"/>
      <c r="D386" s="421"/>
      <c r="E386" s="352"/>
      <c r="F386" s="352"/>
      <c r="G386" s="148"/>
      <c r="H386" s="465"/>
      <c r="I386" s="393"/>
      <c r="J386" s="388"/>
      <c r="K386" s="7"/>
    </row>
    <row r="387" spans="1:11" ht="12" customHeight="1" x14ac:dyDescent="0.2">
      <c r="A387" s="10" t="s">
        <v>47</v>
      </c>
      <c r="C387" s="855"/>
      <c r="D387" s="855"/>
      <c r="E387" s="933"/>
      <c r="F387" s="933"/>
      <c r="G387" s="855"/>
      <c r="I387" s="393"/>
      <c r="J387" s="425"/>
      <c r="K387" s="7"/>
    </row>
    <row r="388" spans="1:11" ht="12" customHeight="1" x14ac:dyDescent="0.2">
      <c r="A388" s="416">
        <v>1</v>
      </c>
      <c r="B388" s="416"/>
      <c r="C388" s="399"/>
      <c r="D388" s="399"/>
      <c r="E388" s="482"/>
      <c r="F388" s="482"/>
      <c r="G388" s="223"/>
      <c r="H388" s="400"/>
      <c r="I388" s="401"/>
      <c r="J388" s="409"/>
      <c r="K388" s="7"/>
    </row>
    <row r="389" spans="1:11" ht="12" customHeight="1" x14ac:dyDescent="0.2">
      <c r="A389" s="416">
        <f>A388+1</f>
        <v>2</v>
      </c>
      <c r="B389" s="416"/>
      <c r="C389" s="399"/>
      <c r="D389" s="399"/>
      <c r="E389" s="482"/>
      <c r="F389" s="482"/>
      <c r="G389" s="223"/>
      <c r="H389" s="400"/>
      <c r="I389" s="401"/>
      <c r="J389" s="409"/>
      <c r="K389" s="7"/>
    </row>
    <row r="390" spans="1:11" ht="12" customHeight="1" x14ac:dyDescent="0.2">
      <c r="A390" s="416">
        <f>A389+1</f>
        <v>3</v>
      </c>
      <c r="B390" s="416"/>
      <c r="C390" s="399"/>
      <c r="D390" s="399"/>
      <c r="E390" s="482"/>
      <c r="F390" s="482"/>
      <c r="G390" s="223"/>
      <c r="H390" s="400"/>
      <c r="I390" s="401"/>
      <c r="J390" s="409"/>
      <c r="K390" s="7"/>
    </row>
    <row r="391" spans="1:11" ht="12" customHeight="1" x14ac:dyDescent="0.2">
      <c r="A391" s="11" t="s">
        <v>12</v>
      </c>
      <c r="B391" s="547"/>
      <c r="C391" s="403"/>
      <c r="D391" s="403"/>
      <c r="E391" s="521"/>
      <c r="F391" s="521"/>
      <c r="G391" s="402"/>
      <c r="H391" s="404"/>
      <c r="I391" s="405"/>
      <c r="J391" s="406"/>
      <c r="K391" s="7"/>
    </row>
    <row r="392" spans="1:11" ht="12" customHeight="1" x14ac:dyDescent="0.2">
      <c r="A392" s="957"/>
      <c r="B392" s="547"/>
      <c r="C392" s="421"/>
      <c r="D392" s="421"/>
      <c r="E392" s="352"/>
      <c r="F392" s="352"/>
      <c r="G392" s="148"/>
      <c r="H392" s="465"/>
      <c r="I392" s="466"/>
      <c r="J392" s="388"/>
      <c r="K392" s="7"/>
    </row>
    <row r="393" spans="1:11" ht="2.1" customHeight="1" x14ac:dyDescent="0.2">
      <c r="A393" s="958"/>
      <c r="B393" s="938"/>
      <c r="C393" s="422"/>
      <c r="D393" s="422"/>
      <c r="E393" s="155"/>
      <c r="F393" s="155"/>
      <c r="G393" s="66"/>
      <c r="H393" s="423"/>
      <c r="I393" s="423"/>
      <c r="J393" s="424"/>
      <c r="K393" s="7"/>
    </row>
    <row r="394" spans="1:11" ht="12" customHeight="1" x14ac:dyDescent="0.2">
      <c r="A394" s="957"/>
      <c r="B394" s="547"/>
      <c r="C394" s="421"/>
      <c r="D394" s="421"/>
      <c r="E394" s="352"/>
      <c r="F394" s="352"/>
      <c r="G394" s="148"/>
      <c r="H394" s="465"/>
      <c r="I394" s="393"/>
      <c r="J394" s="388"/>
      <c r="K394" s="7"/>
    </row>
    <row r="395" spans="1:11" ht="12" customHeight="1" x14ac:dyDescent="0.2">
      <c r="A395" s="960" t="s">
        <v>48</v>
      </c>
      <c r="C395" s="855"/>
      <c r="D395" s="855"/>
      <c r="E395" s="933"/>
      <c r="F395" s="933"/>
      <c r="G395" s="855"/>
      <c r="I395" s="393"/>
      <c r="J395" s="425"/>
      <c r="K395" s="7"/>
    </row>
    <row r="396" spans="1:11" ht="12" customHeight="1" x14ac:dyDescent="0.2">
      <c r="A396" s="416">
        <v>1</v>
      </c>
      <c r="B396" s="416"/>
      <c r="C396" s="399"/>
      <c r="D396" s="399"/>
      <c r="E396" s="482"/>
      <c r="F396" s="482"/>
      <c r="G396" s="223"/>
      <c r="H396" s="400"/>
      <c r="I396" s="401"/>
      <c r="J396" s="402"/>
      <c r="K396" s="7"/>
    </row>
    <row r="397" spans="1:11" ht="12" customHeight="1" x14ac:dyDescent="0.2">
      <c r="A397" s="416">
        <f>A396+1</f>
        <v>2</v>
      </c>
      <c r="B397" s="416"/>
      <c r="C397" s="399"/>
      <c r="D397" s="399"/>
      <c r="E397" s="482"/>
      <c r="F397" s="482"/>
      <c r="G397" s="223"/>
      <c r="H397" s="400"/>
      <c r="I397" s="401"/>
      <c r="J397" s="402"/>
      <c r="K397" s="7"/>
    </row>
    <row r="398" spans="1:11" ht="12" customHeight="1" x14ac:dyDescent="0.2">
      <c r="A398" s="11" t="s">
        <v>12</v>
      </c>
      <c r="B398" s="547"/>
      <c r="C398" s="403"/>
      <c r="D398" s="403"/>
      <c r="E398" s="521"/>
      <c r="F398" s="521"/>
      <c r="G398" s="402"/>
      <c r="H398" s="404"/>
      <c r="I398" s="405"/>
      <c r="J398" s="406"/>
      <c r="K398" s="7"/>
    </row>
    <row r="399" spans="1:11" ht="12" customHeight="1" x14ac:dyDescent="0.2">
      <c r="A399" s="957"/>
      <c r="B399" s="547"/>
      <c r="C399" s="421"/>
      <c r="D399" s="421"/>
      <c r="E399" s="352"/>
      <c r="F399" s="352"/>
      <c r="G399" s="148"/>
      <c r="H399" s="465"/>
      <c r="I399" s="466"/>
      <c r="J399" s="388"/>
      <c r="K399" s="7"/>
    </row>
    <row r="400" spans="1:11" ht="2.1" customHeight="1" x14ac:dyDescent="0.2">
      <c r="A400" s="958"/>
      <c r="B400" s="938"/>
      <c r="C400" s="422"/>
      <c r="D400" s="422"/>
      <c r="E400" s="155"/>
      <c r="F400" s="155"/>
      <c r="G400" s="66"/>
      <c r="H400" s="423"/>
      <c r="I400" s="423"/>
      <c r="J400" s="424"/>
      <c r="K400" s="7"/>
    </row>
    <row r="401" spans="1:16" ht="12" customHeight="1" x14ac:dyDescent="0.2">
      <c r="A401" s="957"/>
      <c r="B401" s="547"/>
      <c r="C401" s="421"/>
      <c r="D401" s="421"/>
      <c r="E401" s="352"/>
      <c r="F401" s="352"/>
      <c r="G401" s="148"/>
      <c r="H401" s="465"/>
      <c r="I401" s="393"/>
      <c r="J401" s="388"/>
      <c r="K401" s="7"/>
    </row>
    <row r="402" spans="1:16" ht="12" customHeight="1" x14ac:dyDescent="0.2">
      <c r="A402" s="10" t="s">
        <v>49</v>
      </c>
      <c r="C402" s="855"/>
      <c r="D402" s="855"/>
      <c r="E402" s="933"/>
      <c r="F402" s="933"/>
      <c r="G402" s="855"/>
      <c r="I402" s="393"/>
      <c r="J402" s="425"/>
      <c r="K402" s="7"/>
    </row>
    <row r="403" spans="1:16" ht="12" customHeight="1" x14ac:dyDescent="0.2">
      <c r="A403" s="416">
        <v>1</v>
      </c>
      <c r="B403" s="416"/>
      <c r="C403" s="399"/>
      <c r="D403" s="399"/>
      <c r="E403" s="482"/>
      <c r="F403" s="482"/>
      <c r="G403" s="223"/>
      <c r="H403" s="400"/>
      <c r="I403" s="401"/>
      <c r="J403" s="402"/>
      <c r="K403" s="7"/>
    </row>
    <row r="404" spans="1:16" ht="12" customHeight="1" x14ac:dyDescent="0.2">
      <c r="A404" s="416">
        <f>A403+1</f>
        <v>2</v>
      </c>
      <c r="B404" s="416"/>
      <c r="C404" s="399"/>
      <c r="D404" s="399"/>
      <c r="E404" s="482"/>
      <c r="F404" s="482"/>
      <c r="G404" s="223"/>
      <c r="H404" s="400"/>
      <c r="I404" s="401"/>
      <c r="J404" s="402"/>
      <c r="K404" s="7"/>
    </row>
    <row r="405" spans="1:16" ht="12" customHeight="1" x14ac:dyDescent="0.2">
      <c r="A405" s="11" t="s">
        <v>12</v>
      </c>
      <c r="B405" s="547"/>
      <c r="C405" s="403"/>
      <c r="D405" s="403"/>
      <c r="E405" s="521"/>
      <c r="F405" s="521"/>
      <c r="G405" s="402"/>
      <c r="H405" s="404"/>
      <c r="I405" s="405"/>
      <c r="J405" s="402"/>
      <c r="K405" s="7"/>
    </row>
    <row r="406" spans="1:16" ht="12" customHeight="1" x14ac:dyDescent="0.2">
      <c r="A406" s="957"/>
      <c r="B406" s="547"/>
      <c r="C406" s="421"/>
      <c r="D406" s="421"/>
      <c r="E406" s="352"/>
      <c r="F406" s="352"/>
      <c r="G406" s="148"/>
      <c r="H406" s="465"/>
      <c r="I406" s="466"/>
      <c r="J406" s="388"/>
      <c r="K406" s="7"/>
    </row>
    <row r="407" spans="1:16" ht="2.1" customHeight="1" x14ac:dyDescent="0.2">
      <c r="A407" s="958"/>
      <c r="B407" s="938"/>
      <c r="C407" s="422"/>
      <c r="D407" s="422"/>
      <c r="E407" s="155"/>
      <c r="F407" s="155"/>
      <c r="G407" s="66"/>
      <c r="H407" s="423"/>
      <c r="I407" s="423"/>
      <c r="J407" s="424"/>
      <c r="K407" s="7"/>
    </row>
    <row r="408" spans="1:16" ht="12" customHeight="1" x14ac:dyDescent="0.2">
      <c r="A408" s="957"/>
      <c r="B408" s="547"/>
      <c r="C408" s="421"/>
      <c r="D408" s="421"/>
      <c r="E408" s="352"/>
      <c r="F408" s="352"/>
      <c r="G408" s="148"/>
      <c r="H408" s="465"/>
      <c r="I408" s="393"/>
      <c r="J408" s="388"/>
      <c r="K408" s="7"/>
    </row>
    <row r="409" spans="1:16" ht="12" customHeight="1" x14ac:dyDescent="0.2">
      <c r="A409" s="10" t="s">
        <v>37</v>
      </c>
      <c r="C409" s="855"/>
      <c r="D409" s="855"/>
      <c r="E409" s="933"/>
      <c r="F409" s="933"/>
      <c r="G409" s="855"/>
      <c r="I409" s="393"/>
      <c r="J409" s="425"/>
      <c r="K409" s="7"/>
    </row>
    <row r="410" spans="1:16" ht="12" customHeight="1" x14ac:dyDescent="0.2">
      <c r="A410" s="416">
        <v>1</v>
      </c>
      <c r="B410" s="416"/>
      <c r="C410" s="399"/>
      <c r="D410" s="399"/>
      <c r="E410" s="482"/>
      <c r="F410" s="482"/>
      <c r="G410" s="223"/>
      <c r="H410" s="400"/>
      <c r="I410" s="401"/>
      <c r="J410" s="1096"/>
      <c r="K410" s="7"/>
    </row>
    <row r="411" spans="1:16" ht="12" customHeight="1" x14ac:dyDescent="0.2">
      <c r="A411" s="961">
        <f>A410+1</f>
        <v>2</v>
      </c>
      <c r="B411" s="456"/>
      <c r="C411" s="399"/>
      <c r="D411" s="399"/>
      <c r="E411" s="482"/>
      <c r="F411" s="482"/>
      <c r="G411" s="223"/>
      <c r="H411" s="400"/>
      <c r="I411" s="401"/>
      <c r="J411" s="1096"/>
      <c r="K411" s="7"/>
    </row>
    <row r="412" spans="1:16" ht="12" customHeight="1" x14ac:dyDescent="0.2">
      <c r="A412" s="13" t="s">
        <v>12</v>
      </c>
      <c r="B412" s="972"/>
      <c r="C412" s="403"/>
      <c r="D412" s="403"/>
      <c r="E412" s="521"/>
      <c r="F412" s="521"/>
      <c r="G412" s="402"/>
      <c r="H412" s="404"/>
      <c r="I412" s="405"/>
      <c r="J412" s="1096"/>
      <c r="K412" s="7"/>
      <c r="L412" s="916">
        <f t="shared" ref="L412" si="24">+C412*$L$7</f>
        <v>0</v>
      </c>
      <c r="M412" s="922">
        <f>+C412-L412*0</f>
        <v>0</v>
      </c>
      <c r="N412" s="559" t="s">
        <v>124</v>
      </c>
      <c r="O412" s="521">
        <f>IF(N412="S",M412*$O$5,"NO RETENCIÓN")</f>
        <v>0</v>
      </c>
      <c r="P412" s="924">
        <f>+M412/$P$5</f>
        <v>0</v>
      </c>
    </row>
    <row r="413" spans="1:16" ht="12" customHeight="1" x14ac:dyDescent="0.2">
      <c r="A413" s="957"/>
      <c r="B413" s="547"/>
      <c r="C413" s="421"/>
      <c r="D413" s="421"/>
      <c r="E413" s="352"/>
      <c r="F413" s="352"/>
      <c r="G413" s="148"/>
      <c r="H413" s="465"/>
      <c r="I413" s="466"/>
      <c r="J413" s="388"/>
      <c r="K413" s="7"/>
    </row>
    <row r="414" spans="1:16" ht="0.95" customHeight="1" x14ac:dyDescent="0.2">
      <c r="A414" s="958"/>
      <c r="B414" s="938"/>
      <c r="C414" s="422"/>
      <c r="D414" s="422"/>
      <c r="E414" s="155"/>
      <c r="F414" s="155"/>
      <c r="G414" s="66"/>
      <c r="H414" s="423"/>
      <c r="I414" s="423"/>
      <c r="J414" s="424"/>
      <c r="K414" s="7"/>
    </row>
    <row r="415" spans="1:16" ht="12" customHeight="1" x14ac:dyDescent="0.2">
      <c r="A415" s="957"/>
      <c r="B415" s="547"/>
      <c r="C415" s="421"/>
      <c r="D415" s="421"/>
      <c r="E415" s="352"/>
      <c r="F415" s="352"/>
      <c r="G415" s="148"/>
      <c r="H415" s="465"/>
      <c r="I415" s="393"/>
      <c r="J415" s="388"/>
      <c r="K415" s="7"/>
    </row>
    <row r="416" spans="1:16" ht="12" customHeight="1" x14ac:dyDescent="0.2">
      <c r="A416" s="10" t="s">
        <v>50</v>
      </c>
      <c r="C416" s="855"/>
      <c r="D416" s="855"/>
      <c r="E416" s="933"/>
      <c r="F416" s="933"/>
      <c r="G416" s="855"/>
      <c r="I416" s="393"/>
      <c r="J416" s="425"/>
      <c r="K416" s="7"/>
    </row>
    <row r="417" spans="1:16" ht="12" customHeight="1" x14ac:dyDescent="0.2">
      <c r="A417" s="416">
        <v>1</v>
      </c>
      <c r="B417" s="416"/>
      <c r="C417" s="399"/>
      <c r="D417" s="399"/>
      <c r="E417" s="482"/>
      <c r="F417" s="482"/>
      <c r="G417" s="223"/>
      <c r="H417" s="400"/>
      <c r="I417" s="401"/>
      <c r="J417" s="406"/>
      <c r="K417" s="7"/>
    </row>
    <row r="418" spans="1:16" ht="12" customHeight="1" x14ac:dyDescent="0.2">
      <c r="A418" s="416">
        <f>+A417+1</f>
        <v>2</v>
      </c>
      <c r="B418" s="416"/>
      <c r="C418" s="399"/>
      <c r="D418" s="399"/>
      <c r="E418" s="482"/>
      <c r="F418" s="482"/>
      <c r="G418" s="223"/>
      <c r="H418" s="400"/>
      <c r="I418" s="401"/>
      <c r="J418" s="406"/>
      <c r="K418" s="7"/>
    </row>
    <row r="419" spans="1:16" ht="12" customHeight="1" x14ac:dyDescent="0.2">
      <c r="A419" s="416">
        <f t="shared" ref="A419" si="25">+A418+1</f>
        <v>3</v>
      </c>
      <c r="B419" s="416"/>
      <c r="C419" s="399"/>
      <c r="D419" s="399"/>
      <c r="E419" s="482"/>
      <c r="F419" s="482"/>
      <c r="G419" s="223"/>
      <c r="H419" s="400"/>
      <c r="I419" s="401"/>
      <c r="J419" s="406"/>
      <c r="K419" s="7"/>
    </row>
    <row r="420" spans="1:16" ht="12" customHeight="1" x14ac:dyDescent="0.2">
      <c r="A420" s="11" t="s">
        <v>12</v>
      </c>
      <c r="B420" s="547"/>
      <c r="C420" s="403"/>
      <c r="D420" s="403"/>
      <c r="E420" s="521"/>
      <c r="F420" s="521"/>
      <c r="G420" s="402"/>
      <c r="H420" s="404"/>
      <c r="I420" s="405"/>
      <c r="J420" s="406"/>
      <c r="K420" s="7"/>
    </row>
    <row r="421" spans="1:16" ht="12" customHeight="1" x14ac:dyDescent="0.2">
      <c r="A421" s="957"/>
      <c r="B421" s="547"/>
      <c r="C421" s="421"/>
      <c r="D421" s="421"/>
      <c r="E421" s="352"/>
      <c r="F421" s="352"/>
      <c r="G421" s="148"/>
      <c r="H421" s="465"/>
      <c r="I421" s="466"/>
      <c r="J421" s="388"/>
      <c r="K421" s="7"/>
    </row>
    <row r="422" spans="1:16" ht="2.1" customHeight="1" x14ac:dyDescent="0.2">
      <c r="A422" s="958"/>
      <c r="B422" s="938"/>
      <c r="C422" s="422"/>
      <c r="D422" s="422"/>
      <c r="E422" s="155"/>
      <c r="F422" s="155"/>
      <c r="G422" s="66"/>
      <c r="H422" s="423"/>
      <c r="I422" s="423"/>
      <c r="J422" s="424"/>
      <c r="K422" s="7"/>
    </row>
    <row r="423" spans="1:16" ht="12" customHeight="1" x14ac:dyDescent="0.2">
      <c r="A423" s="957"/>
      <c r="B423" s="547"/>
      <c r="C423" s="421"/>
      <c r="D423" s="421"/>
      <c r="E423" s="352"/>
      <c r="F423" s="352"/>
      <c r="G423" s="148"/>
      <c r="H423" s="465"/>
      <c r="I423" s="393"/>
      <c r="J423" s="388"/>
      <c r="K423" s="7"/>
    </row>
    <row r="424" spans="1:16" ht="12" customHeight="1" x14ac:dyDescent="0.2">
      <c r="A424" s="10" t="s">
        <v>51</v>
      </c>
      <c r="C424" s="855"/>
      <c r="D424" s="855"/>
      <c r="E424" s="933"/>
      <c r="F424" s="933"/>
      <c r="G424" s="855"/>
      <c r="I424" s="393"/>
      <c r="J424" s="425"/>
      <c r="K424" s="7"/>
    </row>
    <row r="425" spans="1:16" ht="12" customHeight="1" x14ac:dyDescent="0.2">
      <c r="A425" s="416">
        <v>1</v>
      </c>
      <c r="B425" s="416"/>
      <c r="C425" s="399"/>
      <c r="D425" s="399"/>
      <c r="E425" s="482"/>
      <c r="F425" s="482"/>
      <c r="G425" s="223"/>
      <c r="H425" s="400"/>
      <c r="I425" s="401"/>
      <c r="J425" s="406"/>
      <c r="K425" s="7"/>
    </row>
    <row r="426" spans="1:16" ht="12" customHeight="1" x14ac:dyDescent="0.2">
      <c r="A426" s="416">
        <f>A425+1</f>
        <v>2</v>
      </c>
      <c r="B426" s="416"/>
      <c r="C426" s="399"/>
      <c r="D426" s="399"/>
      <c r="E426" s="482"/>
      <c r="F426" s="482"/>
      <c r="G426" s="223"/>
      <c r="H426" s="400"/>
      <c r="I426" s="401"/>
      <c r="J426" s="406"/>
      <c r="K426" s="7"/>
    </row>
    <row r="427" spans="1:16" ht="12" customHeight="1" x14ac:dyDescent="0.2">
      <c r="A427" s="11" t="s">
        <v>12</v>
      </c>
      <c r="B427" s="547"/>
      <c r="C427" s="403"/>
      <c r="D427" s="403"/>
      <c r="E427" s="521"/>
      <c r="F427" s="521"/>
      <c r="G427" s="402"/>
      <c r="H427" s="404"/>
      <c r="I427" s="405"/>
      <c r="J427" s="406"/>
      <c r="K427" s="7"/>
    </row>
    <row r="428" spans="1:16" ht="12" customHeight="1" x14ac:dyDescent="0.2">
      <c r="A428" s="957"/>
      <c r="B428" s="547"/>
      <c r="C428" s="421"/>
      <c r="D428" s="421"/>
      <c r="E428" s="352"/>
      <c r="F428" s="352"/>
      <c r="G428" s="148"/>
      <c r="H428" s="465"/>
      <c r="I428" s="466"/>
      <c r="J428" s="388"/>
      <c r="K428" s="7"/>
    </row>
    <row r="429" spans="1:16" ht="1.5" customHeight="1" x14ac:dyDescent="0.2">
      <c r="A429" s="958"/>
      <c r="B429" s="938"/>
      <c r="C429" s="422"/>
      <c r="D429" s="422"/>
      <c r="E429" s="155"/>
      <c r="F429" s="155"/>
      <c r="G429" s="66"/>
      <c r="H429" s="423"/>
      <c r="I429" s="423"/>
      <c r="J429" s="424"/>
      <c r="K429" s="7"/>
    </row>
    <row r="430" spans="1:16" ht="12" customHeight="1" x14ac:dyDescent="0.2">
      <c r="A430" s="957"/>
      <c r="B430" s="547"/>
      <c r="C430" s="421"/>
      <c r="D430" s="421"/>
      <c r="E430" s="352"/>
      <c r="F430" s="352"/>
      <c r="G430" s="148"/>
      <c r="H430" s="465"/>
      <c r="I430" s="393"/>
      <c r="J430" s="388"/>
      <c r="K430" s="7"/>
    </row>
    <row r="431" spans="1:16" ht="12" customHeight="1" x14ac:dyDescent="0.2">
      <c r="A431" s="10" t="s">
        <v>53</v>
      </c>
      <c r="C431" s="855"/>
      <c r="D431" s="855"/>
      <c r="E431" s="933"/>
      <c r="F431" s="933"/>
      <c r="G431" s="855"/>
      <c r="I431" s="393"/>
      <c r="J431" s="425"/>
      <c r="K431" s="7"/>
    </row>
    <row r="432" spans="1:16" ht="12" customHeight="1" x14ac:dyDescent="0.2">
      <c r="A432" s="416">
        <v>1</v>
      </c>
      <c r="B432" s="416"/>
      <c r="C432" s="399"/>
      <c r="D432" s="399"/>
      <c r="E432" s="482"/>
      <c r="F432" s="482"/>
      <c r="G432" s="223"/>
      <c r="H432" s="400"/>
      <c r="I432" s="401"/>
      <c r="J432" s="409"/>
      <c r="K432" s="7"/>
      <c r="L432" s="916">
        <f t="shared" ref="L432:L437" si="26">+C432*$L$7</f>
        <v>0</v>
      </c>
      <c r="M432" s="922">
        <f t="shared" ref="M432:M437" si="27">+C432-L432*0</f>
        <v>0</v>
      </c>
      <c r="N432" s="559" t="s">
        <v>124</v>
      </c>
      <c r="O432" s="521">
        <f t="shared" ref="O432:O437" si="28">IF(N432="S",M432*$O$5,"NO RETENCIÓN")</f>
        <v>0</v>
      </c>
      <c r="P432" s="924">
        <f t="shared" ref="P432:P437" si="29">+M432/$P$5</f>
        <v>0</v>
      </c>
    </row>
    <row r="433" spans="1:16" ht="12" customHeight="1" x14ac:dyDescent="0.2">
      <c r="A433" s="416">
        <f>A432+1</f>
        <v>2</v>
      </c>
      <c r="B433" s="684"/>
      <c r="C433" s="399"/>
      <c r="D433" s="399"/>
      <c r="E433" s="482"/>
      <c r="F433" s="482"/>
      <c r="G433" s="223"/>
      <c r="H433" s="400"/>
      <c r="I433" s="401"/>
      <c r="J433" s="409"/>
      <c r="K433" s="7"/>
      <c r="L433" s="916">
        <f t="shared" si="26"/>
        <v>0</v>
      </c>
      <c r="M433" s="922">
        <f t="shared" si="27"/>
        <v>0</v>
      </c>
      <c r="N433" s="559" t="s">
        <v>124</v>
      </c>
      <c r="O433" s="521">
        <f t="shared" si="28"/>
        <v>0</v>
      </c>
      <c r="P433" s="924">
        <f t="shared" si="29"/>
        <v>0</v>
      </c>
    </row>
    <row r="434" spans="1:16" ht="12" customHeight="1" x14ac:dyDescent="0.2">
      <c r="A434" s="416">
        <f t="shared" ref="A434:A435" si="30">A433+1</f>
        <v>3</v>
      </c>
      <c r="B434" s="416"/>
      <c r="C434" s="399"/>
      <c r="D434" s="399"/>
      <c r="E434" s="482"/>
      <c r="F434" s="482"/>
      <c r="G434" s="223"/>
      <c r="H434" s="400"/>
      <c r="I434" s="401"/>
      <c r="J434" s="409"/>
      <c r="K434" s="7"/>
      <c r="L434" s="916">
        <f t="shared" si="26"/>
        <v>0</v>
      </c>
      <c r="M434" s="922">
        <f t="shared" si="27"/>
        <v>0</v>
      </c>
      <c r="N434" s="559" t="s">
        <v>124</v>
      </c>
      <c r="O434" s="521">
        <f t="shared" si="28"/>
        <v>0</v>
      </c>
      <c r="P434" s="924">
        <f t="shared" si="29"/>
        <v>0</v>
      </c>
    </row>
    <row r="435" spans="1:16" ht="12" customHeight="1" x14ac:dyDescent="0.2">
      <c r="A435" s="416">
        <f t="shared" si="30"/>
        <v>4</v>
      </c>
      <c r="B435" s="546"/>
      <c r="C435" s="399"/>
      <c r="D435" s="399"/>
      <c r="E435" s="482"/>
      <c r="F435" s="482"/>
      <c r="G435" s="223"/>
      <c r="H435" s="400"/>
      <c r="I435" s="401"/>
      <c r="J435" s="409"/>
      <c r="K435" s="7"/>
      <c r="L435" s="916">
        <f t="shared" si="26"/>
        <v>0</v>
      </c>
      <c r="M435" s="922">
        <f t="shared" si="27"/>
        <v>0</v>
      </c>
      <c r="N435" s="559" t="s">
        <v>124</v>
      </c>
      <c r="O435" s="521">
        <f t="shared" si="28"/>
        <v>0</v>
      </c>
      <c r="P435" s="924">
        <f t="shared" si="29"/>
        <v>0</v>
      </c>
    </row>
    <row r="436" spans="1:16" ht="12" customHeight="1" x14ac:dyDescent="0.2">
      <c r="A436" s="416">
        <f t="shared" ref="A436" si="31">A435+1</f>
        <v>5</v>
      </c>
      <c r="B436" s="546"/>
      <c r="C436" s="399"/>
      <c r="D436" s="399"/>
      <c r="E436" s="482"/>
      <c r="F436" s="482"/>
      <c r="G436" s="223"/>
      <c r="H436" s="400"/>
      <c r="I436" s="401"/>
      <c r="J436" s="409"/>
      <c r="K436" s="7"/>
      <c r="L436" s="916">
        <f t="shared" si="26"/>
        <v>0</v>
      </c>
      <c r="M436" s="922">
        <f t="shared" si="27"/>
        <v>0</v>
      </c>
      <c r="N436" s="559" t="s">
        <v>124</v>
      </c>
      <c r="O436" s="521">
        <f t="shared" si="28"/>
        <v>0</v>
      </c>
      <c r="P436" s="924">
        <f t="shared" si="29"/>
        <v>0</v>
      </c>
    </row>
    <row r="437" spans="1:16" ht="12" customHeight="1" x14ac:dyDescent="0.2">
      <c r="A437" s="965"/>
      <c r="B437" s="546"/>
      <c r="C437" s="523"/>
      <c r="D437" s="523"/>
      <c r="E437" s="482"/>
      <c r="F437" s="482"/>
      <c r="G437" s="375"/>
      <c r="H437" s="544"/>
      <c r="I437" s="545"/>
      <c r="J437" s="409"/>
      <c r="K437" s="7"/>
      <c r="L437" s="916">
        <f t="shared" si="26"/>
        <v>0</v>
      </c>
      <c r="M437" s="922">
        <f t="shared" si="27"/>
        <v>0</v>
      </c>
      <c r="N437" s="559" t="s">
        <v>124</v>
      </c>
      <c r="O437" s="521">
        <f t="shared" si="28"/>
        <v>0</v>
      </c>
      <c r="P437" s="924">
        <f t="shared" si="29"/>
        <v>0</v>
      </c>
    </row>
    <row r="438" spans="1:16" ht="12" customHeight="1" x14ac:dyDescent="0.2">
      <c r="A438" s="966" t="s">
        <v>12</v>
      </c>
      <c r="B438" s="995"/>
      <c r="C438" s="403"/>
      <c r="D438" s="403"/>
      <c r="E438" s="521"/>
      <c r="F438" s="521"/>
      <c r="G438" s="402"/>
      <c r="H438" s="404"/>
      <c r="I438" s="405"/>
      <c r="J438" s="406"/>
      <c r="K438" s="7"/>
      <c r="L438" s="916">
        <f t="shared" ref="L438" si="32">+C438*$L$7</f>
        <v>0</v>
      </c>
      <c r="M438" s="922">
        <f>+C438-L438*0</f>
        <v>0</v>
      </c>
      <c r="N438" s="559" t="s">
        <v>124</v>
      </c>
      <c r="O438" s="521">
        <f>IF(N438="S",M438*$O$5,"NO RETENCIÓN")</f>
        <v>0</v>
      </c>
      <c r="P438" s="924">
        <f>+M438/$P$5</f>
        <v>0</v>
      </c>
    </row>
    <row r="439" spans="1:16" ht="12" customHeight="1" x14ac:dyDescent="0.2">
      <c r="A439" s="660"/>
      <c r="B439" s="547"/>
      <c r="C439" s="421"/>
      <c r="D439" s="421"/>
      <c r="E439" s="352"/>
      <c r="F439" s="352"/>
      <c r="G439" s="148"/>
      <c r="H439" s="465"/>
      <c r="I439" s="256"/>
      <c r="K439" s="7"/>
    </row>
    <row r="440" spans="1:16" ht="1.5" customHeight="1" x14ac:dyDescent="0.2">
      <c r="A440" s="958"/>
      <c r="B440" s="938"/>
      <c r="C440" s="422"/>
      <c r="D440" s="422"/>
      <c r="E440" s="155"/>
      <c r="F440" s="155"/>
      <c r="G440" s="66"/>
      <c r="H440" s="423"/>
      <c r="I440" s="423"/>
      <c r="J440" s="424"/>
      <c r="K440" s="7"/>
    </row>
    <row r="441" spans="1:16" ht="12" customHeight="1" x14ac:dyDescent="0.2">
      <c r="A441" s="957"/>
      <c r="B441" s="547"/>
      <c r="C441" s="421"/>
      <c r="D441" s="421"/>
      <c r="E441" s="352"/>
      <c r="F441" s="352"/>
      <c r="G441" s="148"/>
      <c r="H441" s="465"/>
      <c r="I441" s="393"/>
      <c r="J441" s="388"/>
      <c r="K441" s="7"/>
    </row>
    <row r="442" spans="1:16" ht="12" customHeight="1" x14ac:dyDescent="0.2">
      <c r="A442" s="10" t="s">
        <v>5</v>
      </c>
      <c r="C442" s="855"/>
      <c r="D442" s="855"/>
      <c r="E442" s="933"/>
      <c r="F442" s="933"/>
      <c r="G442" s="855"/>
      <c r="I442" s="393"/>
      <c r="J442" s="425"/>
      <c r="K442" s="7"/>
    </row>
    <row r="443" spans="1:16" ht="12" customHeight="1" x14ac:dyDescent="0.2">
      <c r="A443" s="416">
        <v>1</v>
      </c>
      <c r="B443" s="418"/>
      <c r="C443" s="399"/>
      <c r="D443" s="399"/>
      <c r="E443" s="482"/>
      <c r="F443" s="482"/>
      <c r="G443" s="223"/>
      <c r="H443" s="400"/>
      <c r="I443" s="401"/>
      <c r="J443" s="409"/>
      <c r="K443" s="7"/>
    </row>
    <row r="444" spans="1:16" ht="12" customHeight="1" x14ac:dyDescent="0.2">
      <c r="A444" s="961">
        <f>A443+1</f>
        <v>2</v>
      </c>
      <c r="B444" s="350"/>
      <c r="C444" s="399"/>
      <c r="D444" s="399"/>
      <c r="E444" s="482"/>
      <c r="F444" s="482"/>
      <c r="G444" s="223"/>
      <c r="H444" s="400"/>
      <c r="I444" s="401"/>
      <c r="J444" s="409"/>
      <c r="K444" s="7"/>
    </row>
    <row r="445" spans="1:16" ht="12" customHeight="1" x14ac:dyDescent="0.2">
      <c r="A445" s="57" t="s">
        <v>12</v>
      </c>
      <c r="B445" s="947"/>
      <c r="C445" s="403"/>
      <c r="D445" s="403"/>
      <c r="E445" s="521"/>
      <c r="F445" s="521"/>
      <c r="G445" s="402"/>
      <c r="H445" s="404"/>
      <c r="I445" s="405"/>
      <c r="J445" s="406"/>
      <c r="K445" s="7"/>
    </row>
    <row r="446" spans="1:16" ht="12" customHeight="1" x14ac:dyDescent="0.2">
      <c r="A446" s="660"/>
      <c r="B446" s="547"/>
      <c r="C446" s="421"/>
      <c r="D446" s="421"/>
      <c r="E446" s="352"/>
      <c r="F446" s="352"/>
      <c r="G446" s="148"/>
      <c r="H446" s="465"/>
      <c r="I446" s="256"/>
      <c r="K446" s="7"/>
    </row>
    <row r="447" spans="1:16" ht="1.5" customHeight="1" x14ac:dyDescent="0.2">
      <c r="A447" s="958"/>
      <c r="B447" s="938"/>
      <c r="C447" s="422"/>
      <c r="D447" s="422"/>
      <c r="E447" s="155"/>
      <c r="F447" s="155"/>
      <c r="G447" s="66"/>
      <c r="H447" s="423"/>
      <c r="I447" s="423"/>
      <c r="J447" s="424"/>
      <c r="K447" s="7"/>
    </row>
    <row r="448" spans="1:16" ht="12" customHeight="1" x14ac:dyDescent="0.2">
      <c r="A448" s="957"/>
      <c r="B448" s="547"/>
      <c r="C448" s="421"/>
      <c r="D448" s="421"/>
      <c r="E448" s="352"/>
      <c r="F448" s="352"/>
      <c r="G448" s="148"/>
      <c r="H448" s="465"/>
      <c r="I448" s="393"/>
      <c r="J448" s="388"/>
      <c r="K448" s="7"/>
    </row>
    <row r="449" spans="1:11" ht="12" customHeight="1" x14ac:dyDescent="0.2">
      <c r="A449" s="10" t="s">
        <v>80</v>
      </c>
      <c r="C449" s="855"/>
      <c r="D449" s="855"/>
      <c r="E449" s="933"/>
      <c r="F449" s="933"/>
      <c r="G449" s="855"/>
      <c r="I449" s="393"/>
      <c r="J449" s="425"/>
      <c r="K449" s="7"/>
    </row>
    <row r="450" spans="1:11" ht="12" customHeight="1" x14ac:dyDescent="0.2">
      <c r="A450" s="416">
        <v>1</v>
      </c>
      <c r="B450" s="416"/>
      <c r="C450" s="399"/>
      <c r="D450" s="399"/>
      <c r="E450" s="482"/>
      <c r="F450" s="482"/>
      <c r="G450" s="223"/>
      <c r="H450" s="400"/>
      <c r="I450" s="401"/>
      <c r="J450" s="409"/>
      <c r="K450" s="7"/>
    </row>
    <row r="451" spans="1:11" ht="12" customHeight="1" x14ac:dyDescent="0.2">
      <c r="A451" s="416">
        <f>A450+1</f>
        <v>2</v>
      </c>
      <c r="B451" s="416"/>
      <c r="C451" s="399"/>
      <c r="D451" s="399"/>
      <c r="E451" s="482"/>
      <c r="F451" s="482"/>
      <c r="G451" s="223"/>
      <c r="H451" s="400"/>
      <c r="I451" s="401"/>
      <c r="J451" s="409"/>
      <c r="K451" s="7"/>
    </row>
    <row r="452" spans="1:11" ht="12" customHeight="1" x14ac:dyDescent="0.2">
      <c r="A452" s="966" t="s">
        <v>12</v>
      </c>
      <c r="B452" s="946"/>
      <c r="C452" s="403"/>
      <c r="D452" s="403"/>
      <c r="E452" s="521"/>
      <c r="F452" s="521"/>
      <c r="G452" s="402"/>
      <c r="H452" s="404"/>
      <c r="I452" s="405"/>
      <c r="J452" s="406"/>
      <c r="K452" s="7"/>
    </row>
    <row r="453" spans="1:11" ht="12" customHeight="1" x14ac:dyDescent="0.2">
      <c r="A453" s="12"/>
      <c r="B453" s="547"/>
      <c r="C453" s="100"/>
      <c r="D453" s="100"/>
      <c r="E453" s="352"/>
      <c r="F453" s="352"/>
      <c r="G453" s="148"/>
      <c r="H453" s="407"/>
      <c r="I453" s="444"/>
      <c r="J453" s="90"/>
      <c r="K453" s="7"/>
    </row>
    <row r="454" spans="1:11" ht="0.95" customHeight="1" x14ac:dyDescent="0.2">
      <c r="A454" s="958"/>
      <c r="B454" s="938"/>
      <c r="C454" s="422"/>
      <c r="D454" s="422"/>
      <c r="E454" s="155"/>
      <c r="F454" s="155"/>
      <c r="G454" s="66"/>
      <c r="H454" s="423"/>
      <c r="I454" s="423"/>
      <c r="J454" s="424"/>
      <c r="K454" s="7"/>
    </row>
    <row r="455" spans="1:11" ht="12" customHeight="1" x14ac:dyDescent="0.2">
      <c r="A455" s="957"/>
      <c r="B455" s="547"/>
      <c r="C455" s="421"/>
      <c r="D455" s="421"/>
      <c r="E455" s="352"/>
      <c r="F455" s="352"/>
      <c r="G455" s="148"/>
      <c r="H455" s="465"/>
      <c r="I455" s="393"/>
      <c r="J455" s="388"/>
      <c r="K455" s="7"/>
    </row>
    <row r="456" spans="1:11" ht="12" customHeight="1" x14ac:dyDescent="0.2">
      <c r="A456" s="10" t="s">
        <v>81</v>
      </c>
      <c r="C456" s="855"/>
      <c r="D456" s="855"/>
      <c r="E456" s="933"/>
      <c r="F456" s="933"/>
      <c r="G456" s="855"/>
      <c r="I456" s="393"/>
      <c r="J456" s="425"/>
      <c r="K456" s="7"/>
    </row>
    <row r="457" spans="1:11" ht="12" customHeight="1" x14ac:dyDescent="0.2">
      <c r="A457" s="416">
        <v>1</v>
      </c>
      <c r="B457" s="416"/>
      <c r="C457" s="399"/>
      <c r="D457" s="399"/>
      <c r="E457" s="482"/>
      <c r="F457" s="482"/>
      <c r="G457" s="223"/>
      <c r="H457" s="400"/>
      <c r="I457" s="401"/>
      <c r="J457" s="409"/>
      <c r="K457" s="7"/>
    </row>
    <row r="458" spans="1:11" ht="12" customHeight="1" x14ac:dyDescent="0.2">
      <c r="A458" s="416">
        <f>+A457+1</f>
        <v>2</v>
      </c>
      <c r="B458" s="416"/>
      <c r="C458" s="399"/>
      <c r="D458" s="399"/>
      <c r="E458" s="482"/>
      <c r="F458" s="482"/>
      <c r="G458" s="223"/>
      <c r="H458" s="400"/>
      <c r="I458" s="401"/>
      <c r="J458" s="409"/>
      <c r="K458" s="7"/>
    </row>
    <row r="459" spans="1:11" ht="12" customHeight="1" x14ac:dyDescent="0.2">
      <c r="A459" s="966" t="s">
        <v>12</v>
      </c>
      <c r="B459" s="946"/>
      <c r="C459" s="403"/>
      <c r="D459" s="403"/>
      <c r="E459" s="521"/>
      <c r="F459" s="521"/>
      <c r="G459" s="402"/>
      <c r="H459" s="404"/>
      <c r="I459" s="405"/>
      <c r="J459" s="406"/>
      <c r="K459" s="7"/>
    </row>
    <row r="460" spans="1:11" ht="12" customHeight="1" x14ac:dyDescent="0.2">
      <c r="A460" s="12"/>
      <c r="B460" s="547"/>
      <c r="C460" s="100"/>
      <c r="D460" s="100"/>
      <c r="E460" s="352"/>
      <c r="F460" s="352"/>
      <c r="G460" s="148"/>
      <c r="H460" s="407"/>
      <c r="I460" s="444"/>
      <c r="J460" s="90"/>
      <c r="K460" s="7"/>
    </row>
    <row r="461" spans="1:11" ht="0.95" customHeight="1" x14ac:dyDescent="0.2">
      <c r="A461" s="958"/>
      <c r="B461" s="938"/>
      <c r="C461" s="422"/>
      <c r="D461" s="422"/>
      <c r="E461" s="155"/>
      <c r="F461" s="155"/>
      <c r="G461" s="66"/>
      <c r="H461" s="423"/>
      <c r="I461" s="423"/>
      <c r="J461" s="424"/>
      <c r="K461" s="7"/>
    </row>
    <row r="462" spans="1:11" ht="12" customHeight="1" x14ac:dyDescent="0.2">
      <c r="A462" s="957"/>
      <c r="B462" s="547"/>
      <c r="C462" s="421"/>
      <c r="D462" s="421"/>
      <c r="E462" s="352"/>
      <c r="F462" s="352"/>
      <c r="G462" s="148"/>
      <c r="H462" s="465"/>
      <c r="I462" s="393"/>
      <c r="J462" s="388"/>
      <c r="K462" s="7"/>
    </row>
    <row r="463" spans="1:11" ht="12" customHeight="1" x14ac:dyDescent="0.2">
      <c r="A463" s="10" t="s">
        <v>6</v>
      </c>
      <c r="C463" s="855"/>
      <c r="D463" s="855"/>
      <c r="E463" s="933"/>
      <c r="F463" s="933"/>
      <c r="G463" s="855"/>
      <c r="I463" s="393"/>
      <c r="J463" s="425"/>
      <c r="K463" s="7"/>
    </row>
    <row r="464" spans="1:11" ht="12" customHeight="1" x14ac:dyDescent="0.2">
      <c r="A464" s="427">
        <v>1</v>
      </c>
      <c r="B464" s="378"/>
      <c r="C464" s="399"/>
      <c r="D464" s="399"/>
      <c r="E464" s="482"/>
      <c r="F464" s="482"/>
      <c r="G464" s="223"/>
      <c r="H464" s="400"/>
      <c r="I464" s="401"/>
      <c r="J464" s="409"/>
      <c r="K464" s="7"/>
    </row>
    <row r="465" spans="1:11" ht="12" customHeight="1" x14ac:dyDescent="0.2">
      <c r="A465" s="427">
        <f>+A464+1</f>
        <v>2</v>
      </c>
      <c r="B465" s="378"/>
      <c r="C465" s="399"/>
      <c r="D465" s="399"/>
      <c r="E465" s="482"/>
      <c r="F465" s="482"/>
      <c r="G465" s="223"/>
      <c r="H465" s="400"/>
      <c r="I465" s="401"/>
      <c r="J465" s="409"/>
      <c r="K465" s="7"/>
    </row>
    <row r="466" spans="1:11" ht="12" customHeight="1" x14ac:dyDescent="0.2">
      <c r="A466" s="57" t="s">
        <v>12</v>
      </c>
      <c r="B466" s="947"/>
      <c r="C466" s="403"/>
      <c r="D466" s="403"/>
      <c r="E466" s="521"/>
      <c r="F466" s="521"/>
      <c r="G466" s="402"/>
      <c r="H466" s="404"/>
      <c r="I466" s="405"/>
      <c r="J466" s="406"/>
      <c r="K466" s="7"/>
    </row>
    <row r="467" spans="1:11" ht="12" customHeight="1" x14ac:dyDescent="0.2">
      <c r="A467" s="957"/>
      <c r="B467" s="547"/>
      <c r="C467" s="421"/>
      <c r="D467" s="421"/>
      <c r="E467" s="352"/>
      <c r="F467" s="352"/>
      <c r="G467" s="148"/>
      <c r="H467" s="465"/>
      <c r="I467" s="465"/>
      <c r="J467" s="388"/>
      <c r="K467" s="7"/>
    </row>
    <row r="468" spans="1:11" ht="0.95" customHeight="1" x14ac:dyDescent="0.2">
      <c r="A468" s="958"/>
      <c r="B468" s="938"/>
      <c r="C468" s="422"/>
      <c r="D468" s="422"/>
      <c r="E468" s="155"/>
      <c r="F468" s="155"/>
      <c r="G468" s="66"/>
      <c r="H468" s="423"/>
      <c r="I468" s="423"/>
      <c r="J468" s="424"/>
      <c r="K468" s="7"/>
    </row>
    <row r="469" spans="1:11" ht="12" customHeight="1" x14ac:dyDescent="0.2">
      <c r="A469" s="957"/>
      <c r="B469" s="547"/>
      <c r="C469" s="421"/>
      <c r="D469" s="421"/>
      <c r="E469" s="352"/>
      <c r="F469" s="352"/>
      <c r="G469" s="148"/>
      <c r="H469" s="465"/>
      <c r="I469" s="393"/>
      <c r="J469" s="388"/>
      <c r="K469" s="7"/>
    </row>
    <row r="470" spans="1:11" ht="12" customHeight="1" x14ac:dyDescent="0.2">
      <c r="A470" s="10" t="s">
        <v>85</v>
      </c>
      <c r="C470" s="855"/>
      <c r="D470" s="855"/>
      <c r="E470" s="933"/>
      <c r="F470" s="933"/>
      <c r="G470" s="855"/>
      <c r="I470" s="393"/>
      <c r="J470" s="425"/>
      <c r="K470" s="7"/>
    </row>
    <row r="471" spans="1:11" ht="12" customHeight="1" x14ac:dyDescent="0.2">
      <c r="A471" s="416">
        <v>1</v>
      </c>
      <c r="B471" s="416"/>
      <c r="C471" s="399"/>
      <c r="D471" s="399"/>
      <c r="E471" s="482"/>
      <c r="F471" s="482"/>
      <c r="G471" s="223"/>
      <c r="H471" s="400"/>
      <c r="I471" s="401"/>
      <c r="J471" s="409"/>
      <c r="K471" s="7"/>
    </row>
    <row r="472" spans="1:11" ht="12" customHeight="1" x14ac:dyDescent="0.2">
      <c r="A472" s="379">
        <f>+A471+1</f>
        <v>2</v>
      </c>
      <c r="B472" s="379"/>
      <c r="C472" s="399"/>
      <c r="D472" s="399"/>
      <c r="E472" s="482"/>
      <c r="F472" s="482"/>
      <c r="G472" s="223"/>
      <c r="H472" s="400"/>
      <c r="I472" s="401"/>
      <c r="J472" s="469"/>
      <c r="K472" s="7"/>
    </row>
    <row r="473" spans="1:11" ht="12" customHeight="1" x14ac:dyDescent="0.2">
      <c r="A473" s="379">
        <f>+A472+1</f>
        <v>3</v>
      </c>
      <c r="B473" s="416"/>
      <c r="C473" s="399"/>
      <c r="D473" s="399"/>
      <c r="E473" s="482"/>
      <c r="F473" s="482"/>
      <c r="G473" s="223"/>
      <c r="H473" s="400"/>
      <c r="I473" s="401"/>
      <c r="J473" s="409"/>
      <c r="K473" s="7"/>
    </row>
    <row r="474" spans="1:11" ht="12" customHeight="1" x14ac:dyDescent="0.2">
      <c r="A474" s="416">
        <f>A473+1</f>
        <v>4</v>
      </c>
      <c r="B474" s="416"/>
      <c r="C474" s="399"/>
      <c r="D474" s="399"/>
      <c r="E474" s="482"/>
      <c r="F474" s="482"/>
      <c r="G474" s="223"/>
      <c r="H474" s="400"/>
      <c r="I474" s="401"/>
      <c r="J474" s="409"/>
      <c r="K474" s="7"/>
    </row>
    <row r="475" spans="1:11" ht="12" customHeight="1" x14ac:dyDescent="0.2">
      <c r="A475" s="416">
        <f t="shared" ref="A475:A483" si="33">A474+1</f>
        <v>5</v>
      </c>
      <c r="B475" s="347"/>
      <c r="C475" s="399"/>
      <c r="D475" s="399"/>
      <c r="E475" s="482"/>
      <c r="F475" s="482"/>
      <c r="G475" s="223"/>
      <c r="H475" s="400"/>
      <c r="I475" s="401"/>
      <c r="J475" s="409"/>
      <c r="K475" s="7"/>
    </row>
    <row r="476" spans="1:11" ht="12" customHeight="1" x14ac:dyDescent="0.2">
      <c r="A476" s="416">
        <f t="shared" si="33"/>
        <v>6</v>
      </c>
      <c r="B476" s="347"/>
      <c r="C476" s="399"/>
      <c r="D476" s="399"/>
      <c r="E476" s="482"/>
      <c r="F476" s="482"/>
      <c r="G476" s="223"/>
      <c r="H476" s="400"/>
      <c r="I476" s="401"/>
      <c r="J476" s="409"/>
      <c r="K476" s="7"/>
    </row>
    <row r="477" spans="1:11" ht="12" customHeight="1" x14ac:dyDescent="0.2">
      <c r="A477" s="416">
        <f t="shared" si="33"/>
        <v>7</v>
      </c>
      <c r="B477" s="416"/>
      <c r="C477" s="399"/>
      <c r="D477" s="399"/>
      <c r="E477" s="482"/>
      <c r="F477" s="482"/>
      <c r="G477" s="223"/>
      <c r="H477" s="400"/>
      <c r="I477" s="401"/>
      <c r="J477" s="409"/>
      <c r="K477" s="7"/>
    </row>
    <row r="478" spans="1:11" ht="12" customHeight="1" x14ac:dyDescent="0.2">
      <c r="A478" s="416">
        <f t="shared" si="33"/>
        <v>8</v>
      </c>
      <c r="B478" s="416"/>
      <c r="C478" s="399"/>
      <c r="D478" s="399"/>
      <c r="E478" s="482"/>
      <c r="F478" s="482"/>
      <c r="G478" s="223"/>
      <c r="H478" s="400"/>
      <c r="I478" s="401"/>
      <c r="J478" s="409"/>
      <c r="K478" s="7"/>
    </row>
    <row r="479" spans="1:11" ht="12" customHeight="1" x14ac:dyDescent="0.2">
      <c r="A479" s="416">
        <f t="shared" si="33"/>
        <v>9</v>
      </c>
      <c r="B479" s="416"/>
      <c r="C479" s="399"/>
      <c r="D479" s="399"/>
      <c r="E479" s="482"/>
      <c r="F479" s="482"/>
      <c r="G479" s="223"/>
      <c r="H479" s="400"/>
      <c r="I479" s="401"/>
      <c r="J479" s="409"/>
      <c r="K479" s="7"/>
    </row>
    <row r="480" spans="1:11" ht="12" customHeight="1" x14ac:dyDescent="0.2">
      <c r="A480" s="416">
        <f t="shared" si="33"/>
        <v>10</v>
      </c>
      <c r="B480" s="416"/>
      <c r="C480" s="399"/>
      <c r="D480" s="399"/>
      <c r="E480" s="482"/>
      <c r="F480" s="482"/>
      <c r="G480" s="223"/>
      <c r="H480" s="400"/>
      <c r="I480" s="401"/>
      <c r="J480" s="409"/>
      <c r="K480" s="7"/>
    </row>
    <row r="481" spans="1:11" ht="12" customHeight="1" x14ac:dyDescent="0.2">
      <c r="A481" s="416">
        <f t="shared" si="33"/>
        <v>11</v>
      </c>
      <c r="B481" s="416"/>
      <c r="C481" s="399"/>
      <c r="D481" s="399"/>
      <c r="E481" s="482"/>
      <c r="F481" s="482"/>
      <c r="G481" s="223"/>
      <c r="H481" s="400"/>
      <c r="I481" s="401"/>
      <c r="J481" s="409"/>
      <c r="K481" s="7"/>
    </row>
    <row r="482" spans="1:11" ht="12" customHeight="1" x14ac:dyDescent="0.2">
      <c r="A482" s="416">
        <f t="shared" si="33"/>
        <v>12</v>
      </c>
      <c r="B482" s="416"/>
      <c r="C482" s="399"/>
      <c r="D482" s="399"/>
      <c r="E482" s="482"/>
      <c r="F482" s="482"/>
      <c r="G482" s="223"/>
      <c r="H482" s="400"/>
      <c r="I482" s="401"/>
      <c r="J482" s="409"/>
      <c r="K482" s="7"/>
    </row>
    <row r="483" spans="1:11" ht="12" customHeight="1" x14ac:dyDescent="0.2">
      <c r="A483" s="416">
        <f t="shared" si="33"/>
        <v>13</v>
      </c>
      <c r="B483" s="416"/>
      <c r="C483" s="399"/>
      <c r="D483" s="399"/>
      <c r="E483" s="482"/>
      <c r="F483" s="482"/>
      <c r="G483" s="223"/>
      <c r="H483" s="400"/>
      <c r="I483" s="401"/>
      <c r="J483" s="409"/>
      <c r="K483" s="7"/>
    </row>
    <row r="484" spans="1:11" ht="12" customHeight="1" x14ac:dyDescent="0.2">
      <c r="A484" s="11" t="s">
        <v>12</v>
      </c>
      <c r="B484" s="547"/>
      <c r="C484" s="410"/>
      <c r="D484" s="410"/>
      <c r="E484" s="536"/>
      <c r="F484" s="536"/>
      <c r="G484" s="524"/>
      <c r="H484" s="411"/>
      <c r="I484" s="412"/>
      <c r="J484" s="409"/>
      <c r="K484" s="7"/>
    </row>
    <row r="485" spans="1:11" ht="12" customHeight="1" x14ac:dyDescent="0.2">
      <c r="A485" s="957"/>
      <c r="B485" s="547"/>
      <c r="C485" s="429"/>
      <c r="D485" s="429"/>
      <c r="E485" s="537"/>
      <c r="F485" s="537"/>
      <c r="G485" s="449"/>
      <c r="H485" s="466"/>
      <c r="I485" s="466"/>
      <c r="J485" s="450"/>
      <c r="K485" s="7"/>
    </row>
    <row r="486" spans="1:11" ht="0.95" customHeight="1" x14ac:dyDescent="0.2">
      <c r="A486" s="958"/>
      <c r="B486" s="938"/>
      <c r="C486" s="422"/>
      <c r="D486" s="422"/>
      <c r="E486" s="155"/>
      <c r="F486" s="155"/>
      <c r="G486" s="66"/>
      <c r="H486" s="423"/>
      <c r="I486" s="423"/>
      <c r="J486" s="424"/>
      <c r="K486" s="7"/>
    </row>
    <row r="487" spans="1:11" ht="12" customHeight="1" x14ac:dyDescent="0.2">
      <c r="A487" s="957"/>
      <c r="B487" s="547"/>
      <c r="C487" s="421"/>
      <c r="D487" s="421"/>
      <c r="E487" s="352"/>
      <c r="F487" s="352"/>
      <c r="G487" s="148"/>
      <c r="H487" s="465"/>
      <c r="I487" s="393"/>
      <c r="J487" s="388"/>
      <c r="K487" s="7"/>
    </row>
    <row r="488" spans="1:11" ht="12" customHeight="1" x14ac:dyDescent="0.2">
      <c r="A488" s="960" t="s">
        <v>84</v>
      </c>
      <c r="C488" s="855"/>
      <c r="D488" s="855"/>
      <c r="E488" s="933"/>
      <c r="F488" s="933"/>
      <c r="G488" s="855"/>
      <c r="I488" s="393"/>
      <c r="J488" s="425"/>
      <c r="K488" s="7"/>
    </row>
    <row r="489" spans="1:11" ht="12" customHeight="1" x14ac:dyDescent="0.2">
      <c r="A489" s="416">
        <v>1</v>
      </c>
      <c r="B489" s="416"/>
      <c r="C489" s="399"/>
      <c r="D489" s="399"/>
      <c r="E489" s="482"/>
      <c r="F489" s="482"/>
      <c r="G489" s="223"/>
      <c r="H489" s="400"/>
      <c r="I489" s="401"/>
      <c r="J489" s="409"/>
      <c r="K489" s="7"/>
    </row>
    <row r="490" spans="1:11" ht="12" customHeight="1" x14ac:dyDescent="0.2">
      <c r="A490" s="416">
        <f>A489+1</f>
        <v>2</v>
      </c>
      <c r="B490" s="416"/>
      <c r="C490" s="399"/>
      <c r="D490" s="399"/>
      <c r="E490" s="482"/>
      <c r="F490" s="482"/>
      <c r="G490" s="223"/>
      <c r="H490" s="400"/>
      <c r="I490" s="401"/>
      <c r="J490" s="409"/>
      <c r="K490" s="7"/>
    </row>
    <row r="491" spans="1:11" ht="12" customHeight="1" x14ac:dyDescent="0.2">
      <c r="A491" s="11" t="s">
        <v>12</v>
      </c>
      <c r="B491" s="547"/>
      <c r="C491" s="403"/>
      <c r="D491" s="403"/>
      <c r="E491" s="521"/>
      <c r="F491" s="521"/>
      <c r="G491" s="402"/>
      <c r="H491" s="404"/>
      <c r="I491" s="405"/>
      <c r="J491" s="406"/>
      <c r="K491" s="7"/>
    </row>
    <row r="492" spans="1:11" ht="12" customHeight="1" x14ac:dyDescent="0.2">
      <c r="A492" s="957"/>
      <c r="B492" s="547"/>
      <c r="C492" s="429"/>
      <c r="D492" s="429"/>
      <c r="E492" s="537"/>
      <c r="F492" s="537"/>
      <c r="G492" s="449"/>
      <c r="H492" s="466"/>
      <c r="I492" s="466"/>
      <c r="J492" s="450"/>
      <c r="K492" s="7"/>
    </row>
    <row r="493" spans="1:11" ht="0.95" customHeight="1" x14ac:dyDescent="0.2">
      <c r="A493" s="958"/>
      <c r="B493" s="938"/>
      <c r="C493" s="422"/>
      <c r="D493" s="422"/>
      <c r="E493" s="155"/>
      <c r="F493" s="155"/>
      <c r="G493" s="66"/>
      <c r="H493" s="423"/>
      <c r="I493" s="423"/>
      <c r="J493" s="424"/>
      <c r="K493" s="7"/>
    </row>
    <row r="494" spans="1:11" ht="12" customHeight="1" x14ac:dyDescent="0.2">
      <c r="A494" s="957"/>
      <c r="B494" s="547"/>
      <c r="C494" s="421"/>
      <c r="D494" s="421"/>
      <c r="E494" s="352"/>
      <c r="F494" s="352"/>
      <c r="G494" s="148"/>
      <c r="H494" s="465"/>
      <c r="I494" s="393"/>
      <c r="J494" s="388"/>
      <c r="K494" s="7"/>
    </row>
    <row r="495" spans="1:11" ht="12" customHeight="1" x14ac:dyDescent="0.2">
      <c r="A495" s="10" t="s">
        <v>83</v>
      </c>
      <c r="C495" s="855"/>
      <c r="D495" s="855"/>
      <c r="E495" s="933"/>
      <c r="F495" s="933"/>
      <c r="G495" s="855"/>
      <c r="I495" s="393"/>
      <c r="J495" s="425"/>
      <c r="K495" s="7"/>
    </row>
    <row r="496" spans="1:11" ht="12" customHeight="1" x14ac:dyDescent="0.2">
      <c r="A496" s="416">
        <v>1</v>
      </c>
      <c r="B496" s="369"/>
      <c r="C496" s="399"/>
      <c r="D496" s="399"/>
      <c r="E496" s="482"/>
      <c r="F496" s="482"/>
      <c r="G496" s="223"/>
      <c r="H496" s="400"/>
      <c r="I496" s="401"/>
      <c r="J496" s="409"/>
      <c r="K496" s="7"/>
    </row>
    <row r="497" spans="1:11" ht="12" customHeight="1" x14ac:dyDescent="0.2">
      <c r="A497" s="416">
        <f>+A496+1</f>
        <v>2</v>
      </c>
      <c r="B497" s="369"/>
      <c r="C497" s="399"/>
      <c r="D497" s="399"/>
      <c r="E497" s="482"/>
      <c r="F497" s="482"/>
      <c r="G497" s="223"/>
      <c r="H497" s="400"/>
      <c r="I497" s="401"/>
      <c r="J497" s="409"/>
      <c r="K497" s="7"/>
    </row>
    <row r="498" spans="1:11" ht="12" customHeight="1" x14ac:dyDescent="0.2">
      <c r="A498" s="967" t="s">
        <v>12</v>
      </c>
      <c r="B498" s="948"/>
      <c r="C498" s="403"/>
      <c r="D498" s="403"/>
      <c r="E498" s="521"/>
      <c r="F498" s="521"/>
      <c r="G498" s="402"/>
      <c r="H498" s="404"/>
      <c r="I498" s="405"/>
      <c r="J498" s="406"/>
      <c r="K498" s="7"/>
    </row>
    <row r="499" spans="1:11" ht="12" customHeight="1" x14ac:dyDescent="0.2">
      <c r="A499" s="957"/>
      <c r="B499" s="547"/>
      <c r="C499" s="429"/>
      <c r="D499" s="429"/>
      <c r="E499" s="537"/>
      <c r="F499" s="537"/>
      <c r="G499" s="449"/>
      <c r="H499" s="466"/>
      <c r="I499" s="466"/>
      <c r="J499" s="450"/>
      <c r="K499" s="7"/>
    </row>
    <row r="500" spans="1:11" ht="0.95" customHeight="1" x14ac:dyDescent="0.2">
      <c r="A500" s="958"/>
      <c r="B500" s="938"/>
      <c r="C500" s="422"/>
      <c r="D500" s="422"/>
      <c r="E500" s="155"/>
      <c r="F500" s="155"/>
      <c r="G500" s="66"/>
      <c r="H500" s="423"/>
      <c r="I500" s="423"/>
      <c r="J500" s="424"/>
      <c r="K500" s="7"/>
    </row>
    <row r="501" spans="1:11" ht="12" customHeight="1" x14ac:dyDescent="0.2">
      <c r="A501" s="957"/>
      <c r="B501" s="547"/>
      <c r="C501" s="421"/>
      <c r="D501" s="421"/>
      <c r="E501" s="352"/>
      <c r="F501" s="352"/>
      <c r="G501" s="148"/>
      <c r="H501" s="465"/>
      <c r="I501" s="393"/>
      <c r="J501" s="388"/>
      <c r="K501" s="7"/>
    </row>
    <row r="502" spans="1:11" ht="12" customHeight="1" x14ac:dyDescent="0.2">
      <c r="A502" s="10" t="s">
        <v>7</v>
      </c>
      <c r="C502" s="855"/>
      <c r="D502" s="855"/>
      <c r="E502" s="933"/>
      <c r="F502" s="933"/>
      <c r="G502" s="855"/>
      <c r="I502" s="393"/>
      <c r="J502" s="425"/>
      <c r="K502" s="7"/>
    </row>
    <row r="503" spans="1:11" ht="12" customHeight="1" x14ac:dyDescent="0.2">
      <c r="A503" s="416">
        <v>1</v>
      </c>
      <c r="B503" s="416"/>
      <c r="C503" s="399"/>
      <c r="D503" s="399"/>
      <c r="E503" s="482"/>
      <c r="F503" s="482"/>
      <c r="G503" s="223"/>
      <c r="H503" s="400"/>
      <c r="I503" s="401"/>
      <c r="J503" s="409"/>
      <c r="K503" s="7"/>
    </row>
    <row r="504" spans="1:11" ht="12" customHeight="1" x14ac:dyDescent="0.2">
      <c r="A504" s="416">
        <f>A503+1</f>
        <v>2</v>
      </c>
      <c r="B504" s="416"/>
      <c r="C504" s="399"/>
      <c r="D504" s="399"/>
      <c r="E504" s="482"/>
      <c r="F504" s="482"/>
      <c r="G504" s="223"/>
      <c r="H504" s="400"/>
      <c r="I504" s="401"/>
      <c r="J504" s="409"/>
      <c r="K504" s="7"/>
    </row>
    <row r="505" spans="1:11" ht="12" customHeight="1" x14ac:dyDescent="0.2">
      <c r="A505" s="416">
        <f t="shared" ref="A505:A506" si="34">A504+1</f>
        <v>3</v>
      </c>
      <c r="B505" s="350"/>
      <c r="C505" s="399"/>
      <c r="D505" s="399"/>
      <c r="E505" s="482"/>
      <c r="F505" s="482"/>
      <c r="G505" s="223"/>
      <c r="H505" s="400"/>
      <c r="I505" s="401"/>
      <c r="J505" s="409"/>
      <c r="K505" s="7"/>
    </row>
    <row r="506" spans="1:11" ht="12" customHeight="1" x14ac:dyDescent="0.2">
      <c r="A506" s="416">
        <f t="shared" si="34"/>
        <v>4</v>
      </c>
      <c r="B506" s="416"/>
      <c r="C506" s="399"/>
      <c r="D506" s="399"/>
      <c r="E506" s="482"/>
      <c r="F506" s="482"/>
      <c r="G506" s="223"/>
      <c r="H506" s="400"/>
      <c r="I506" s="401"/>
      <c r="J506" s="409"/>
      <c r="K506" s="7"/>
    </row>
    <row r="507" spans="1:11" ht="12" customHeight="1" x14ac:dyDescent="0.2">
      <c r="A507" s="11" t="s">
        <v>12</v>
      </c>
      <c r="B507" s="547"/>
      <c r="C507" s="410"/>
      <c r="D507" s="410"/>
      <c r="E507" s="536"/>
      <c r="F507" s="536"/>
      <c r="G507" s="524"/>
      <c r="H507" s="411"/>
      <c r="I507" s="412"/>
      <c r="J507" s="409"/>
      <c r="K507" s="7"/>
    </row>
    <row r="508" spans="1:11" ht="12" customHeight="1" x14ac:dyDescent="0.2">
      <c r="A508" s="957"/>
      <c r="B508" s="547"/>
      <c r="C508" s="429"/>
      <c r="D508" s="429"/>
      <c r="E508" s="537"/>
      <c r="F508" s="537"/>
      <c r="G508" s="449"/>
      <c r="H508" s="466"/>
      <c r="I508" s="466"/>
      <c r="J508" s="450"/>
      <c r="K508" s="7"/>
    </row>
    <row r="509" spans="1:11" ht="0.95" customHeight="1" x14ac:dyDescent="0.2">
      <c r="A509" s="958"/>
      <c r="B509" s="938"/>
      <c r="C509" s="422"/>
      <c r="D509" s="422"/>
      <c r="E509" s="155"/>
      <c r="F509" s="155"/>
      <c r="G509" s="66"/>
      <c r="H509" s="423"/>
      <c r="I509" s="423"/>
      <c r="J509" s="424"/>
      <c r="K509" s="7"/>
    </row>
    <row r="510" spans="1:11" ht="12" customHeight="1" x14ac:dyDescent="0.2">
      <c r="A510" s="5"/>
      <c r="C510" s="148"/>
      <c r="D510" s="148"/>
      <c r="E510" s="148"/>
      <c r="F510" s="148"/>
      <c r="G510" s="148"/>
      <c r="H510" s="148"/>
      <c r="I510" s="65"/>
      <c r="K510" s="7"/>
    </row>
    <row r="511" spans="1:11" ht="12" customHeight="1" x14ac:dyDescent="0.2">
      <c r="A511" s="5"/>
      <c r="C511" s="148"/>
      <c r="D511" s="148"/>
      <c r="E511" s="148"/>
      <c r="F511" s="148"/>
      <c r="G511" s="148"/>
      <c r="H511" s="148"/>
      <c r="I511" s="65"/>
      <c r="K511" s="7"/>
    </row>
    <row r="512" spans="1:11" ht="12" customHeight="1" x14ac:dyDescent="0.2">
      <c r="A512" s="5"/>
      <c r="C512" s="148"/>
      <c r="D512" s="148"/>
      <c r="E512" s="148"/>
      <c r="F512" s="148"/>
      <c r="G512" s="148"/>
      <c r="H512" s="148"/>
      <c r="I512" s="65"/>
      <c r="K512" s="7"/>
    </row>
    <row r="513" spans="1:11" ht="12" customHeight="1" x14ac:dyDescent="0.2">
      <c r="A513" s="5"/>
      <c r="C513" s="148"/>
      <c r="D513" s="148"/>
      <c r="E513" s="148"/>
      <c r="F513" s="148"/>
      <c r="G513" s="148"/>
      <c r="H513" s="148"/>
      <c r="I513" s="65"/>
      <c r="K513" s="7"/>
    </row>
    <row r="514" spans="1:11" ht="12" customHeight="1" x14ac:dyDescent="0.2">
      <c r="A514" s="5"/>
      <c r="C514" s="148"/>
      <c r="D514" s="148"/>
      <c r="E514" s="148"/>
      <c r="F514" s="148"/>
      <c r="G514" s="148"/>
      <c r="H514" s="148"/>
      <c r="I514" s="65"/>
      <c r="K514" s="7"/>
    </row>
    <row r="515" spans="1:11" ht="12" customHeight="1" x14ac:dyDescent="0.2">
      <c r="A515" s="5"/>
      <c r="C515" s="148"/>
      <c r="D515" s="148"/>
      <c r="E515" s="148"/>
      <c r="F515" s="148"/>
      <c r="G515" s="148"/>
      <c r="H515" s="148"/>
      <c r="I515" s="65"/>
      <c r="K515" s="7"/>
    </row>
    <row r="516" spans="1:11" ht="12" customHeight="1" x14ac:dyDescent="0.2">
      <c r="A516" s="5"/>
      <c r="C516" s="148"/>
      <c r="D516" s="148"/>
      <c r="E516" s="148"/>
      <c r="F516" s="148"/>
      <c r="G516" s="148"/>
      <c r="H516" s="148"/>
      <c r="I516" s="65"/>
      <c r="K516" s="7"/>
    </row>
    <row r="517" spans="1:11" ht="12" customHeight="1" x14ac:dyDescent="0.2">
      <c r="A517" s="5"/>
      <c r="C517" s="148"/>
      <c r="D517" s="148"/>
      <c r="E517" s="148"/>
      <c r="F517" s="148"/>
      <c r="G517" s="148"/>
      <c r="H517" s="148"/>
      <c r="I517" s="65"/>
      <c r="K517" s="7"/>
    </row>
    <row r="518" spans="1:11" ht="12" customHeight="1" x14ac:dyDescent="0.2">
      <c r="A518" s="5"/>
      <c r="C518" s="148"/>
      <c r="D518" s="148"/>
      <c r="E518" s="148"/>
      <c r="F518" s="148"/>
      <c r="G518" s="148"/>
      <c r="H518" s="148"/>
      <c r="I518" s="65"/>
      <c r="K518" s="7"/>
    </row>
    <row r="519" spans="1:11" ht="12" customHeight="1" x14ac:dyDescent="0.2">
      <c r="A519" s="5"/>
      <c r="C519" s="148"/>
      <c r="D519" s="148"/>
      <c r="E519" s="148"/>
      <c r="F519" s="148"/>
      <c r="G519" s="148"/>
      <c r="H519" s="148"/>
      <c r="I519" s="65"/>
      <c r="K519" s="7"/>
    </row>
    <row r="520" spans="1:11" ht="12" customHeight="1" x14ac:dyDescent="0.2">
      <c r="A520" s="5"/>
      <c r="C520" s="148"/>
      <c r="D520" s="148"/>
      <c r="E520" s="148"/>
      <c r="F520" s="148"/>
      <c r="G520" s="148"/>
      <c r="H520" s="148"/>
      <c r="I520" s="65"/>
      <c r="K520" s="7"/>
    </row>
    <row r="521" spans="1:11" ht="12" customHeight="1" x14ac:dyDescent="0.2">
      <c r="A521" s="5"/>
      <c r="C521" s="148"/>
      <c r="D521" s="148"/>
      <c r="E521" s="148"/>
      <c r="F521" s="148"/>
      <c r="G521" s="148"/>
      <c r="H521" s="148"/>
      <c r="I521" s="65"/>
      <c r="K521" s="7"/>
    </row>
    <row r="522" spans="1:11" ht="12" customHeight="1" x14ac:dyDescent="0.2">
      <c r="A522" s="5"/>
      <c r="C522" s="148"/>
      <c r="D522" s="148"/>
      <c r="E522" s="148"/>
      <c r="F522" s="148"/>
      <c r="G522" s="148"/>
      <c r="H522" s="148"/>
      <c r="I522" s="65"/>
      <c r="K522" s="7"/>
    </row>
    <row r="523" spans="1:11" ht="12" customHeight="1" x14ac:dyDescent="0.2">
      <c r="A523" s="5"/>
      <c r="C523" s="148"/>
      <c r="D523" s="148"/>
      <c r="E523" s="148"/>
      <c r="F523" s="148"/>
      <c r="G523" s="148"/>
      <c r="H523" s="148"/>
      <c r="I523" s="65"/>
      <c r="K523" s="7"/>
    </row>
    <row r="524" spans="1:11" ht="12" customHeight="1" x14ac:dyDescent="0.2">
      <c r="A524" s="5"/>
      <c r="C524" s="148"/>
      <c r="D524" s="148"/>
      <c r="E524" s="148"/>
      <c r="F524" s="148"/>
      <c r="G524" s="148"/>
      <c r="H524" s="148"/>
      <c r="I524" s="65"/>
      <c r="K524" s="7"/>
    </row>
    <row r="525" spans="1:11" ht="12" customHeight="1" x14ac:dyDescent="0.2">
      <c r="A525" s="5"/>
      <c r="C525" s="148"/>
      <c r="D525" s="148"/>
      <c r="E525" s="148"/>
      <c r="F525" s="148"/>
      <c r="G525" s="148"/>
      <c r="H525" s="148"/>
      <c r="I525" s="65"/>
      <c r="K525" s="7"/>
    </row>
    <row r="526" spans="1:11" ht="12" customHeight="1" x14ac:dyDescent="0.2">
      <c r="A526" s="5"/>
      <c r="C526" s="148"/>
      <c r="D526" s="148"/>
      <c r="E526" s="148"/>
      <c r="F526" s="148"/>
      <c r="G526" s="148"/>
      <c r="H526" s="148"/>
      <c r="I526" s="65"/>
      <c r="K526" s="7"/>
    </row>
    <row r="527" spans="1:11" ht="12" customHeight="1" x14ac:dyDescent="0.2">
      <c r="A527" s="5"/>
      <c r="C527" s="148"/>
      <c r="D527" s="148"/>
      <c r="E527" s="148"/>
      <c r="F527" s="148"/>
      <c r="G527" s="148"/>
      <c r="H527" s="148"/>
      <c r="I527" s="65"/>
      <c r="K527" s="7"/>
    </row>
    <row r="528" spans="1:11" ht="12" customHeight="1" x14ac:dyDescent="0.2">
      <c r="A528" s="5"/>
      <c r="C528" s="148"/>
      <c r="D528" s="148"/>
      <c r="E528" s="148"/>
      <c r="F528" s="148"/>
      <c r="G528" s="148"/>
      <c r="H528" s="148"/>
      <c r="I528" s="65"/>
      <c r="K528" s="7"/>
    </row>
    <row r="529" spans="1:11" ht="12" customHeight="1" x14ac:dyDescent="0.2">
      <c r="A529" s="5"/>
      <c r="C529" s="148"/>
      <c r="D529" s="148"/>
      <c r="E529" s="148"/>
      <c r="F529" s="148"/>
      <c r="G529" s="148"/>
      <c r="H529" s="148"/>
      <c r="I529" s="65"/>
      <c r="K529" s="7"/>
    </row>
    <row r="530" spans="1:11" ht="12" customHeight="1" x14ac:dyDescent="0.2">
      <c r="A530" s="5"/>
      <c r="C530" s="148"/>
      <c r="D530" s="148"/>
      <c r="E530" s="148"/>
      <c r="F530" s="148"/>
      <c r="G530" s="148"/>
      <c r="H530" s="148"/>
      <c r="I530" s="65"/>
      <c r="K530" s="7"/>
    </row>
    <row r="531" spans="1:11" ht="12" customHeight="1" x14ac:dyDescent="0.2">
      <c r="A531" s="5"/>
      <c r="C531" s="148"/>
      <c r="D531" s="148"/>
      <c r="E531" s="148"/>
      <c r="F531" s="148"/>
      <c r="G531" s="148"/>
      <c r="H531" s="148"/>
      <c r="I531" s="65"/>
      <c r="K531" s="7"/>
    </row>
    <row r="532" spans="1:11" ht="12" customHeight="1" x14ac:dyDescent="0.2">
      <c r="A532" s="5"/>
      <c r="C532" s="148"/>
      <c r="D532" s="148"/>
      <c r="E532" s="148"/>
      <c r="F532" s="148"/>
      <c r="G532" s="148"/>
      <c r="H532" s="148"/>
      <c r="I532" s="65"/>
      <c r="K532" s="7"/>
    </row>
    <row r="533" spans="1:11" ht="12" customHeight="1" x14ac:dyDescent="0.2">
      <c r="A533" s="5"/>
      <c r="C533" s="148"/>
      <c r="D533" s="148"/>
      <c r="E533" s="148"/>
      <c r="F533" s="148"/>
      <c r="G533" s="148"/>
      <c r="H533" s="148"/>
      <c r="I533" s="65"/>
      <c r="K533" s="7"/>
    </row>
    <row r="534" spans="1:11" ht="12" customHeight="1" x14ac:dyDescent="0.2">
      <c r="A534" s="5"/>
      <c r="C534" s="148"/>
      <c r="D534" s="148"/>
      <c r="E534" s="148"/>
      <c r="F534" s="148"/>
      <c r="G534" s="148"/>
      <c r="H534" s="148"/>
      <c r="I534" s="65"/>
      <c r="K534" s="7"/>
    </row>
    <row r="535" spans="1:11" ht="12" customHeight="1" x14ac:dyDescent="0.2">
      <c r="A535" s="5"/>
      <c r="C535" s="148"/>
      <c r="D535" s="148"/>
      <c r="E535" s="148"/>
      <c r="F535" s="148"/>
      <c r="G535" s="148"/>
      <c r="H535" s="148"/>
      <c r="I535" s="65"/>
      <c r="K535" s="7"/>
    </row>
    <row r="536" spans="1:11" ht="12" customHeight="1" x14ac:dyDescent="0.2">
      <c r="A536" s="5"/>
      <c r="C536" s="148"/>
      <c r="D536" s="148"/>
      <c r="E536" s="148"/>
      <c r="F536" s="148"/>
      <c r="G536" s="148"/>
      <c r="H536" s="148"/>
      <c r="I536" s="65"/>
      <c r="K536" s="7"/>
    </row>
    <row r="537" spans="1:11" ht="12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7"/>
    </row>
    <row r="538" spans="1:11" ht="12" customHeight="1" x14ac:dyDescent="0.2">
      <c r="A538" s="5"/>
      <c r="C538" s="148"/>
      <c r="D538" s="148"/>
      <c r="E538" s="148"/>
      <c r="F538" s="148"/>
      <c r="G538" s="148"/>
      <c r="H538" s="148"/>
      <c r="I538" s="148"/>
      <c r="K538" s="7"/>
    </row>
    <row r="539" spans="1:11" ht="12" customHeight="1" x14ac:dyDescent="0.2">
      <c r="A539" s="5"/>
      <c r="C539" s="148"/>
      <c r="D539" s="148"/>
      <c r="E539" s="148"/>
      <c r="F539" s="148"/>
      <c r="G539" s="148"/>
      <c r="H539" s="148"/>
      <c r="I539" s="148"/>
      <c r="K539" s="7"/>
    </row>
    <row r="540" spans="1:11" ht="0.95" customHeight="1" x14ac:dyDescent="0.2">
      <c r="A540" s="958"/>
      <c r="B540" s="938"/>
      <c r="C540" s="422"/>
      <c r="D540" s="422"/>
      <c r="E540" s="155"/>
      <c r="F540" s="155"/>
      <c r="G540" s="66"/>
      <c r="H540" s="423"/>
      <c r="I540" s="423"/>
      <c r="J540" s="424"/>
      <c r="K540" s="7"/>
    </row>
    <row r="541" spans="1:11" ht="12" customHeight="1" x14ac:dyDescent="0.2">
      <c r="A541" s="957"/>
      <c r="B541" s="547"/>
      <c r="C541" s="421"/>
      <c r="D541" s="421"/>
      <c r="E541" s="352"/>
      <c r="F541" s="352"/>
      <c r="G541" s="148"/>
      <c r="H541" s="465"/>
      <c r="I541" s="393"/>
      <c r="J541" s="388"/>
      <c r="K541" s="7"/>
    </row>
    <row r="542" spans="1:11" ht="12" customHeight="1" x14ac:dyDescent="0.2">
      <c r="A542" s="927" t="s">
        <v>180</v>
      </c>
      <c r="B542" s="927"/>
      <c r="C542" s="927"/>
      <c r="D542" s="927"/>
      <c r="E542" s="927"/>
      <c r="F542" s="927"/>
      <c r="G542" s="927"/>
      <c r="H542" s="927"/>
      <c r="I542" s="927"/>
      <c r="J542" s="927"/>
      <c r="K542" s="7"/>
    </row>
    <row r="543" spans="1:11" ht="12" customHeight="1" x14ac:dyDescent="0.2">
      <c r="A543" s="660"/>
      <c r="B543" s="547"/>
      <c r="C543" s="421"/>
      <c r="D543" s="421"/>
      <c r="E543" s="352"/>
      <c r="F543" s="352"/>
      <c r="G543" s="148"/>
      <c r="H543" s="465"/>
      <c r="I543" s="465"/>
      <c r="K543" s="7"/>
    </row>
    <row r="544" spans="1:11" ht="12" customHeight="1" x14ac:dyDescent="0.2">
      <c r="A544" s="10"/>
      <c r="C544" s="855"/>
      <c r="D544" s="855"/>
      <c r="E544" s="933"/>
      <c r="F544" s="933"/>
      <c r="G544" s="855"/>
      <c r="I544" s="393"/>
      <c r="J544" s="425"/>
      <c r="K544" s="7"/>
    </row>
    <row r="545" spans="1:16" ht="12" customHeight="1" x14ac:dyDescent="0.2">
      <c r="A545" s="416">
        <v>1</v>
      </c>
      <c r="B545" s="376"/>
      <c r="C545" s="399"/>
      <c r="D545" s="399"/>
      <c r="E545" s="482"/>
      <c r="F545" s="482"/>
      <c r="G545" s="223"/>
      <c r="H545" s="400"/>
      <c r="I545" s="401"/>
      <c r="J545" s="1096"/>
      <c r="K545" s="7"/>
      <c r="L545" s="916">
        <f t="shared" ref="L545" si="35">+C545*$L$7</f>
        <v>0</v>
      </c>
      <c r="M545" s="922">
        <f>+C545-L545*0</f>
        <v>0</v>
      </c>
      <c r="N545" s="559" t="s">
        <v>124</v>
      </c>
      <c r="O545" s="521">
        <f>IF(N545="S",M545*$O$5,"NO RETENCIÓN")</f>
        <v>0</v>
      </c>
      <c r="P545" s="924">
        <f>+M545/$P$5</f>
        <v>0</v>
      </c>
    </row>
    <row r="546" spans="1:16" ht="12" customHeight="1" x14ac:dyDescent="0.2">
      <c r="A546" s="416">
        <f>+A545+1</f>
        <v>2</v>
      </c>
      <c r="B546" s="376"/>
      <c r="C546" s="399"/>
      <c r="D546" s="399"/>
      <c r="E546" s="482"/>
      <c r="F546" s="482"/>
      <c r="G546" s="223"/>
      <c r="H546" s="400"/>
      <c r="I546" s="401"/>
      <c r="J546" s="454"/>
      <c r="K546" s="7"/>
    </row>
    <row r="547" spans="1:16" ht="12" customHeight="1" x14ac:dyDescent="0.2">
      <c r="A547" s="416"/>
      <c r="B547" s="376"/>
      <c r="C547" s="399"/>
      <c r="D547" s="399"/>
      <c r="E547" s="482"/>
      <c r="F547" s="482"/>
      <c r="G547" s="223"/>
      <c r="H547" s="400"/>
      <c r="I547" s="401"/>
      <c r="J547" s="454"/>
      <c r="K547" s="7"/>
    </row>
    <row r="548" spans="1:16" ht="12" customHeight="1" x14ac:dyDescent="0.2">
      <c r="A548" s="416"/>
      <c r="B548" s="376"/>
      <c r="C548" s="399"/>
      <c r="D548" s="399"/>
      <c r="E548" s="482"/>
      <c r="F548" s="482"/>
      <c r="G548" s="223"/>
      <c r="H548" s="400"/>
      <c r="I548" s="401"/>
      <c r="J548" s="454"/>
      <c r="K548" s="7"/>
    </row>
    <row r="549" spans="1:16" ht="12" customHeight="1" x14ac:dyDescent="0.2">
      <c r="A549" s="416"/>
      <c r="B549" s="376"/>
      <c r="C549" s="399"/>
      <c r="D549" s="399"/>
      <c r="E549" s="482"/>
      <c r="F549" s="482"/>
      <c r="G549" s="223"/>
      <c r="H549" s="400"/>
      <c r="I549" s="401"/>
      <c r="J549" s="454"/>
      <c r="K549" s="7"/>
    </row>
    <row r="550" spans="1:16" ht="12" customHeight="1" x14ac:dyDescent="0.2">
      <c r="A550" s="416"/>
      <c r="B550" s="376"/>
      <c r="C550" s="399"/>
      <c r="D550" s="399"/>
      <c r="E550" s="482"/>
      <c r="F550" s="482"/>
      <c r="G550" s="223"/>
      <c r="H550" s="400"/>
      <c r="I550" s="401"/>
      <c r="J550" s="454"/>
      <c r="K550" s="7"/>
    </row>
    <row r="551" spans="1:16" ht="12" customHeight="1" x14ac:dyDescent="0.2">
      <c r="A551" s="416"/>
      <c r="B551" s="376"/>
      <c r="C551" s="399"/>
      <c r="D551" s="399"/>
      <c r="E551" s="482"/>
      <c r="F551" s="482"/>
      <c r="G551" s="223"/>
      <c r="H551" s="400"/>
      <c r="I551" s="401"/>
      <c r="J551" s="454"/>
      <c r="K551" s="7"/>
    </row>
    <row r="552" spans="1:16" ht="12" customHeight="1" x14ac:dyDescent="0.2">
      <c r="A552" s="416"/>
      <c r="B552" s="376"/>
      <c r="C552" s="399"/>
      <c r="D552" s="399"/>
      <c r="E552" s="482"/>
      <c r="F552" s="482"/>
      <c r="G552" s="223"/>
      <c r="H552" s="400"/>
      <c r="I552" s="401"/>
      <c r="J552" s="454"/>
      <c r="K552" s="7"/>
    </row>
    <row r="553" spans="1:16" ht="12" customHeight="1" x14ac:dyDescent="0.2">
      <c r="A553" s="416"/>
      <c r="B553" s="376"/>
      <c r="C553" s="399"/>
      <c r="D553" s="399"/>
      <c r="E553" s="482"/>
      <c r="F553" s="482"/>
      <c r="G553" s="223"/>
      <c r="H553" s="400"/>
      <c r="I553" s="401"/>
      <c r="J553" s="454"/>
      <c r="K553" s="7"/>
    </row>
    <row r="554" spans="1:16" ht="12" customHeight="1" x14ac:dyDescent="0.2">
      <c r="A554" s="416"/>
      <c r="B554" s="376"/>
      <c r="C554" s="399"/>
      <c r="D554" s="399"/>
      <c r="E554" s="482"/>
      <c r="F554" s="482"/>
      <c r="G554" s="223"/>
      <c r="H554" s="400"/>
      <c r="I554" s="401"/>
      <c r="J554" s="454"/>
      <c r="K554" s="7"/>
    </row>
    <row r="555" spans="1:16" ht="12" customHeight="1" x14ac:dyDescent="0.2">
      <c r="A555" s="416"/>
      <c r="B555" s="376"/>
      <c r="C555" s="399"/>
      <c r="D555" s="399"/>
      <c r="E555" s="482"/>
      <c r="F555" s="482"/>
      <c r="G555" s="223"/>
      <c r="H555" s="400"/>
      <c r="I555" s="401"/>
      <c r="J555" s="454"/>
      <c r="K555" s="7"/>
    </row>
    <row r="556" spans="1:16" ht="12" customHeight="1" x14ac:dyDescent="0.2">
      <c r="A556" s="416"/>
      <c r="B556" s="376"/>
      <c r="C556" s="399"/>
      <c r="D556" s="399"/>
      <c r="E556" s="482"/>
      <c r="F556" s="482"/>
      <c r="G556" s="223"/>
      <c r="H556" s="400"/>
      <c r="I556" s="401"/>
      <c r="J556" s="454"/>
      <c r="K556" s="7"/>
    </row>
    <row r="557" spans="1:16" ht="12" customHeight="1" x14ac:dyDescent="0.2">
      <c r="A557" s="416"/>
      <c r="B557" s="376"/>
      <c r="C557" s="399"/>
      <c r="D557" s="399"/>
      <c r="E557" s="482"/>
      <c r="F557" s="482"/>
      <c r="G557" s="223"/>
      <c r="H557" s="400"/>
      <c r="I557" s="401"/>
      <c r="J557" s="454"/>
      <c r="K557" s="7"/>
    </row>
    <row r="558" spans="1:16" ht="12" customHeight="1" x14ac:dyDescent="0.2">
      <c r="A558" s="416"/>
      <c r="B558" s="376"/>
      <c r="C558" s="399"/>
      <c r="D558" s="399"/>
      <c r="E558" s="482"/>
      <c r="F558" s="482"/>
      <c r="G558" s="223"/>
      <c r="H558" s="400"/>
      <c r="I558" s="401"/>
      <c r="J558" s="454"/>
      <c r="K558" s="7"/>
    </row>
    <row r="559" spans="1:16" ht="12" customHeight="1" x14ac:dyDescent="0.2">
      <c r="A559" s="416"/>
      <c r="B559" s="376"/>
      <c r="C559" s="399"/>
      <c r="D559" s="399"/>
      <c r="E559" s="482"/>
      <c r="F559" s="482"/>
      <c r="G559" s="223"/>
      <c r="H559" s="400"/>
      <c r="I559" s="401"/>
      <c r="J559" s="454"/>
      <c r="K559" s="7"/>
    </row>
    <row r="560" spans="1:16" ht="12" customHeight="1" x14ac:dyDescent="0.2">
      <c r="A560" s="416"/>
      <c r="B560" s="376"/>
      <c r="C560" s="399"/>
      <c r="D560" s="399"/>
      <c r="E560" s="482"/>
      <c r="F560" s="482"/>
      <c r="G560" s="223"/>
      <c r="H560" s="400"/>
      <c r="I560" s="401"/>
      <c r="J560" s="454"/>
      <c r="K560" s="7"/>
    </row>
    <row r="561" spans="1:11" ht="12" customHeight="1" x14ac:dyDescent="0.2">
      <c r="A561" s="416"/>
      <c r="B561" s="376"/>
      <c r="C561" s="399"/>
      <c r="D561" s="399"/>
      <c r="E561" s="482"/>
      <c r="F561" s="482"/>
      <c r="G561" s="223"/>
      <c r="H561" s="400"/>
      <c r="I561" s="401"/>
      <c r="J561" s="454"/>
      <c r="K561" s="7"/>
    </row>
    <row r="562" spans="1:11" ht="12" customHeight="1" x14ac:dyDescent="0.2">
      <c r="A562" s="416"/>
      <c r="B562" s="376"/>
      <c r="C562" s="399"/>
      <c r="D562" s="399"/>
      <c r="E562" s="482"/>
      <c r="F562" s="482"/>
      <c r="G562" s="223"/>
      <c r="H562" s="400"/>
      <c r="I562" s="401"/>
      <c r="J562" s="454"/>
      <c r="K562" s="7"/>
    </row>
    <row r="563" spans="1:11" ht="12" customHeight="1" x14ac:dyDescent="0.2">
      <c r="A563" s="416"/>
      <c r="B563" s="376"/>
      <c r="C563" s="399"/>
      <c r="D563" s="399"/>
      <c r="E563" s="482"/>
      <c r="F563" s="482"/>
      <c r="G563" s="223"/>
      <c r="H563" s="400"/>
      <c r="I563" s="401"/>
      <c r="J563" s="454"/>
      <c r="K563" s="7"/>
    </row>
    <row r="564" spans="1:11" ht="12" customHeight="1" x14ac:dyDescent="0.2">
      <c r="A564" s="416"/>
      <c r="B564" s="376"/>
      <c r="C564" s="399"/>
      <c r="D564" s="399"/>
      <c r="E564" s="482"/>
      <c r="F564" s="482"/>
      <c r="G564" s="223"/>
      <c r="H564" s="400"/>
      <c r="I564" s="401"/>
      <c r="J564" s="454"/>
      <c r="K564" s="7"/>
    </row>
    <row r="565" spans="1:11" ht="12" customHeight="1" x14ac:dyDescent="0.2">
      <c r="A565" s="416"/>
      <c r="B565" s="376"/>
      <c r="C565" s="399"/>
      <c r="D565" s="399"/>
      <c r="E565" s="482"/>
      <c r="F565" s="482"/>
      <c r="G565" s="223"/>
      <c r="H565" s="400"/>
      <c r="I565" s="401"/>
      <c r="J565" s="454"/>
      <c r="K565" s="7"/>
    </row>
    <row r="566" spans="1:11" ht="12" customHeight="1" x14ac:dyDescent="0.2">
      <c r="A566" s="416"/>
      <c r="B566" s="376"/>
      <c r="C566" s="399"/>
      <c r="D566" s="399"/>
      <c r="E566" s="482"/>
      <c r="F566" s="482"/>
      <c r="G566" s="223"/>
      <c r="H566" s="400"/>
      <c r="I566" s="401"/>
      <c r="J566" s="454"/>
      <c r="K566" s="7"/>
    </row>
    <row r="567" spans="1:11" ht="12" customHeight="1" x14ac:dyDescent="0.2">
      <c r="A567" s="416"/>
      <c r="B567" s="376"/>
      <c r="C567" s="399"/>
      <c r="D567" s="399"/>
      <c r="E567" s="482"/>
      <c r="F567" s="482"/>
      <c r="G567" s="223"/>
      <c r="H567" s="400"/>
      <c r="I567" s="401"/>
      <c r="J567" s="454"/>
      <c r="K567" s="7"/>
    </row>
    <row r="568" spans="1:11" ht="12" customHeight="1" x14ac:dyDescent="0.2">
      <c r="A568" s="416"/>
      <c r="B568" s="376"/>
      <c r="C568" s="399"/>
      <c r="D568" s="399"/>
      <c r="E568" s="482"/>
      <c r="F568" s="482"/>
      <c r="G568" s="223"/>
      <c r="H568" s="400"/>
      <c r="I568" s="401"/>
      <c r="J568" s="454"/>
      <c r="K568" s="7"/>
    </row>
    <row r="569" spans="1:11" ht="12" customHeight="1" x14ac:dyDescent="0.2">
      <c r="A569" s="416"/>
      <c r="B569" s="376"/>
      <c r="C569" s="399"/>
      <c r="D569" s="399"/>
      <c r="E569" s="482"/>
      <c r="F569" s="482"/>
      <c r="G569" s="223"/>
      <c r="H569" s="400"/>
      <c r="I569" s="401"/>
      <c r="J569" s="454"/>
      <c r="K569" s="7"/>
    </row>
    <row r="570" spans="1:11" ht="12" customHeight="1" x14ac:dyDescent="0.2">
      <c r="A570" s="416"/>
      <c r="B570" s="376"/>
      <c r="C570" s="399"/>
      <c r="D570" s="399"/>
      <c r="E570" s="482"/>
      <c r="F570" s="482"/>
      <c r="G570" s="223"/>
      <c r="H570" s="400"/>
      <c r="I570" s="401"/>
      <c r="J570" s="454"/>
      <c r="K570" s="7"/>
    </row>
    <row r="571" spans="1:11" ht="12" customHeight="1" x14ac:dyDescent="0.2">
      <c r="A571" s="416"/>
      <c r="B571" s="376"/>
      <c r="C571" s="399"/>
      <c r="D571" s="399"/>
      <c r="E571" s="482"/>
      <c r="F571" s="482"/>
      <c r="G571" s="223"/>
      <c r="H571" s="400"/>
      <c r="I571" s="401"/>
      <c r="J571" s="454"/>
      <c r="K571" s="7"/>
    </row>
    <row r="572" spans="1:11" ht="12" customHeight="1" x14ac:dyDescent="0.2">
      <c r="A572" s="416"/>
      <c r="B572" s="376"/>
      <c r="C572" s="399"/>
      <c r="D572" s="399"/>
      <c r="E572" s="482"/>
      <c r="F572" s="482"/>
      <c r="G572" s="223"/>
      <c r="H572" s="400"/>
      <c r="I572" s="401"/>
      <c r="J572" s="454"/>
      <c r="K572" s="7"/>
    </row>
    <row r="573" spans="1:11" ht="12" customHeight="1" x14ac:dyDescent="0.2">
      <c r="A573" s="416"/>
      <c r="B573" s="376"/>
      <c r="C573" s="399"/>
      <c r="D573" s="399"/>
      <c r="E573" s="482"/>
      <c r="F573" s="482"/>
      <c r="G573" s="223"/>
      <c r="H573" s="400"/>
      <c r="I573" s="401"/>
      <c r="J573" s="454"/>
      <c r="K573" s="7"/>
    </row>
    <row r="574" spans="1:11" ht="12" customHeight="1" x14ac:dyDescent="0.2">
      <c r="A574" s="416"/>
      <c r="B574" s="376"/>
      <c r="C574" s="399"/>
      <c r="D574" s="399"/>
      <c r="E574" s="482"/>
      <c r="F574" s="482"/>
      <c r="G574" s="223"/>
      <c r="H574" s="400"/>
      <c r="I574" s="401"/>
      <c r="J574" s="454"/>
      <c r="K574" s="7"/>
    </row>
    <row r="575" spans="1:11" ht="12" customHeight="1" x14ac:dyDescent="0.2">
      <c r="A575" s="416"/>
      <c r="B575" s="376"/>
      <c r="C575" s="399"/>
      <c r="D575" s="399"/>
      <c r="E575" s="482"/>
      <c r="F575" s="482"/>
      <c r="G575" s="223"/>
      <c r="H575" s="400"/>
      <c r="I575" s="401"/>
      <c r="J575" s="454"/>
      <c r="K575" s="7"/>
    </row>
    <row r="576" spans="1:11" ht="12" customHeight="1" x14ac:dyDescent="0.2">
      <c r="A576" s="416"/>
      <c r="B576" s="376"/>
      <c r="C576" s="399"/>
      <c r="D576" s="399"/>
      <c r="E576" s="482"/>
      <c r="F576" s="482"/>
      <c r="G576" s="223"/>
      <c r="H576" s="400"/>
      <c r="I576" s="401"/>
      <c r="J576" s="454"/>
      <c r="K576" s="7"/>
    </row>
    <row r="577" spans="1:17" ht="12" customHeight="1" x14ac:dyDescent="0.2">
      <c r="A577" s="660"/>
      <c r="B577" s="937"/>
      <c r="C577" s="421"/>
      <c r="D577" s="421"/>
      <c r="E577" s="352"/>
      <c r="F577" s="352"/>
      <c r="G577" s="148"/>
      <c r="H577" s="465"/>
      <c r="I577" s="465"/>
      <c r="K577" s="7"/>
    </row>
    <row r="578" spans="1:17" ht="12" customHeight="1" x14ac:dyDescent="0.2">
      <c r="A578" s="660"/>
      <c r="B578" s="937"/>
      <c r="C578" s="421"/>
      <c r="D578" s="421"/>
      <c r="E578" s="352"/>
      <c r="F578" s="352"/>
      <c r="G578" s="148"/>
      <c r="H578" s="465"/>
      <c r="I578" s="465"/>
      <c r="K578" s="7"/>
      <c r="P578" s="5"/>
      <c r="Q578" s="5"/>
    </row>
    <row r="579" spans="1:17" ht="12" customHeight="1" x14ac:dyDescent="0.2">
      <c r="A579" s="12" t="s">
        <v>181</v>
      </c>
      <c r="B579" s="12"/>
      <c r="C579" s="403"/>
      <c r="D579" s="403"/>
      <c r="E579" s="923"/>
      <c r="F579" s="923"/>
      <c r="G579" s="402"/>
      <c r="H579" s="404"/>
      <c r="I579" s="405"/>
      <c r="J579" s="406"/>
      <c r="K579" s="7"/>
      <c r="P579" s="5"/>
      <c r="Q579" s="5"/>
    </row>
    <row r="580" spans="1:17" x14ac:dyDescent="0.2">
      <c r="A580" s="660"/>
      <c r="B580" s="547"/>
      <c r="C580" s="421"/>
      <c r="D580" s="421"/>
      <c r="E580" s="352"/>
      <c r="F580" s="352"/>
      <c r="G580" s="148"/>
      <c r="H580" s="465"/>
      <c r="I580" s="256"/>
      <c r="K580" s="7"/>
      <c r="P580" s="5"/>
      <c r="Q580" s="5"/>
    </row>
    <row r="581" spans="1:17" ht="5.0999999999999996" customHeight="1" x14ac:dyDescent="0.2">
      <c r="A581" s="4"/>
      <c r="B581" s="4"/>
      <c r="C581" s="80"/>
      <c r="D581" s="80"/>
      <c r="E581" s="949"/>
      <c r="F581" s="949"/>
      <c r="G581" s="80"/>
      <c r="H581" s="470"/>
      <c r="I581" s="471"/>
      <c r="J581" s="472"/>
      <c r="K581" s="7"/>
      <c r="P581" s="5"/>
      <c r="Q581" s="5"/>
    </row>
    <row r="582" spans="1:17" x14ac:dyDescent="0.2">
      <c r="A582" s="12"/>
      <c r="B582" s="547"/>
      <c r="C582" s="100"/>
      <c r="D582" s="100"/>
      <c r="E582" s="352"/>
      <c r="F582" s="352"/>
      <c r="G582" s="148"/>
      <c r="H582" s="434"/>
      <c r="I582" s="72"/>
      <c r="J582" s="90"/>
      <c r="K582" s="7"/>
      <c r="P582" s="5"/>
      <c r="Q582" s="5"/>
    </row>
    <row r="583" spans="1:17" x14ac:dyDescent="0.2">
      <c r="A583" s="660" t="s">
        <v>36</v>
      </c>
      <c r="B583" s="547"/>
      <c r="C583" s="421"/>
      <c r="D583" s="421"/>
      <c r="E583" s="421"/>
      <c r="F583" s="421"/>
      <c r="G583" s="421"/>
      <c r="H583" s="421"/>
      <c r="I583" s="421"/>
      <c r="K583" s="7"/>
      <c r="L583" s="421"/>
      <c r="P583" s="5"/>
      <c r="Q583" s="5"/>
    </row>
    <row r="584" spans="1:17" x14ac:dyDescent="0.2">
      <c r="K584" s="7"/>
    </row>
    <row r="585" spans="1:17" ht="5.0999999999999996" customHeight="1" x14ac:dyDescent="0.2">
      <c r="A585" s="4"/>
      <c r="B585" s="4"/>
      <c r="C585" s="7"/>
      <c r="D585" s="7"/>
      <c r="E585" s="227"/>
      <c r="F585" s="227"/>
      <c r="G585" s="7"/>
      <c r="H585" s="7"/>
      <c r="I585" s="68"/>
      <c r="J585" s="66"/>
      <c r="K585" s="7"/>
    </row>
    <row r="586" spans="1:17" x14ac:dyDescent="0.2">
      <c r="C586" s="157"/>
      <c r="D586" s="157"/>
      <c r="E586" s="228"/>
      <c r="F586" s="228"/>
      <c r="G586" s="157"/>
      <c r="H586" s="473"/>
    </row>
    <row r="587" spans="1:17" x14ac:dyDescent="0.2">
      <c r="B587" s="65"/>
      <c r="H587" s="65"/>
      <c r="I587" s="65"/>
      <c r="J587" s="65"/>
    </row>
    <row r="588" spans="1:17" x14ac:dyDescent="0.2">
      <c r="B588" s="65"/>
      <c r="H588" s="65"/>
      <c r="I588" s="65"/>
      <c r="J588" s="65"/>
    </row>
    <row r="589" spans="1:17" x14ac:dyDescent="0.2">
      <c r="B589" s="1165"/>
      <c r="C589" s="1165"/>
      <c r="H589" s="65"/>
      <c r="I589" s="219"/>
      <c r="J589" s="1165"/>
    </row>
    <row r="590" spans="1:17" x14ac:dyDescent="0.2">
      <c r="B590" s="65"/>
      <c r="H590" s="65"/>
      <c r="I590" s="65"/>
      <c r="J590" s="65"/>
    </row>
    <row r="591" spans="1:17" x14ac:dyDescent="0.2">
      <c r="B591" s="65"/>
      <c r="H591" s="65"/>
      <c r="I591" s="65"/>
      <c r="J591" s="65"/>
    </row>
    <row r="592" spans="1:17" x14ac:dyDescent="0.2">
      <c r="B592" s="65"/>
      <c r="H592" s="65"/>
      <c r="I592" s="65"/>
      <c r="J592" s="65"/>
    </row>
    <row r="593" spans="2:10" x14ac:dyDescent="0.2">
      <c r="B593" s="1165"/>
      <c r="C593" s="1165"/>
      <c r="H593" s="65"/>
      <c r="I593" s="65"/>
      <c r="J593" s="65"/>
    </row>
  </sheetData>
  <phoneticPr fontId="86" type="noConversion"/>
  <printOptions horizontalCentered="1"/>
  <pageMargins left="0.19685039370078741" right="0.19685039370078741" top="0.39370078740157483" bottom="0.19685039370078741" header="0" footer="0"/>
  <pageSetup scale="80" orientation="portrait" r:id="rId1"/>
  <headerFooter alignWithMargins="0"/>
  <rowBreaks count="5" manualBreakCount="5">
    <brk id="93" max="6" man="1"/>
    <brk id="229" max="6" man="1"/>
    <brk id="323" max="6" man="1"/>
    <brk id="400" max="6" man="1"/>
    <brk id="46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92D050"/>
    <pageSetUpPr fitToPage="1"/>
  </sheetPr>
  <dimension ref="A1:IT88"/>
  <sheetViews>
    <sheetView showGridLines="0" topLeftCell="A2" zoomScale="80" zoomScaleNormal="80" workbookViewId="0">
      <pane xSplit="4" ySplit="5" topLeftCell="E7" activePane="bottomRight" state="frozen"/>
      <selection activeCell="A2" sqref="A2"/>
      <selection pane="topRight" activeCell="E2" sqref="E2"/>
      <selection pane="bottomLeft" activeCell="A7" sqref="A7"/>
      <selection pane="bottomRight" activeCell="A17" sqref="A17"/>
    </sheetView>
  </sheetViews>
  <sheetFormatPr baseColWidth="10" defaultColWidth="9.6640625" defaultRowHeight="12.75" x14ac:dyDescent="0.2"/>
  <cols>
    <col min="1" max="1" width="4.6640625" style="171" customWidth="1"/>
    <col min="2" max="2" width="41.5546875" style="22" customWidth="1"/>
    <col min="3" max="3" width="7.6640625" style="486" bestFit="1" customWidth="1"/>
    <col min="4" max="4" width="13.77734375" style="213" customWidth="1"/>
    <col min="5" max="5" width="2.77734375" style="28" customWidth="1"/>
    <col min="6" max="7" width="12.77734375" style="22" customWidth="1"/>
    <col min="8" max="8" width="12.77734375" style="1279" customWidth="1"/>
    <col min="9" max="9" width="13.88671875" style="493" customWidth="1"/>
    <col min="10" max="10" width="12.77734375" style="481" customWidth="1"/>
    <col min="11" max="11" width="12.77734375" style="22" customWidth="1"/>
    <col min="12" max="12" width="10.33203125" style="980" customWidth="1"/>
    <col min="13" max="13" width="10.44140625" style="985" customWidth="1"/>
    <col min="14" max="14" width="20.33203125" style="985" customWidth="1"/>
    <col min="15" max="15" width="16.33203125" style="985" customWidth="1"/>
    <col min="16" max="16" width="12.5546875" style="985" customWidth="1"/>
    <col min="17" max="17" width="13.44140625" style="110" bestFit="1" customWidth="1"/>
    <col min="18" max="18" width="7.77734375" style="110" customWidth="1"/>
    <col min="19" max="19" width="35.77734375" style="325" bestFit="1" customWidth="1"/>
    <col min="20" max="20" width="4.77734375" style="22" customWidth="1"/>
    <col min="21" max="21" width="4.77734375" style="52" customWidth="1"/>
    <col min="22" max="22" width="13.77734375" style="51" customWidth="1"/>
    <col min="23" max="23" width="4.77734375" style="52" customWidth="1"/>
    <col min="24" max="24" width="13.77734375" style="51" customWidth="1"/>
    <col min="25" max="25" width="4.77734375" style="52" customWidth="1"/>
    <col min="26" max="26" width="13.77734375" style="51" customWidth="1"/>
    <col min="27" max="27" width="4.77734375" style="838" customWidth="1"/>
    <col min="28" max="28" width="13.77734375" style="337" customWidth="1"/>
    <col min="29" max="29" width="4.77734375" style="838" customWidth="1"/>
    <col min="30" max="30" width="13.77734375" style="337" customWidth="1"/>
    <col min="31" max="31" width="4.77734375" style="53" customWidth="1"/>
    <col min="32" max="32" width="13.77734375" style="51" customWidth="1"/>
    <col min="33" max="33" width="4.77734375" style="53" customWidth="1"/>
    <col min="34" max="34" width="13.77734375" style="51" customWidth="1"/>
    <col min="35" max="35" width="4.77734375" style="54" customWidth="1"/>
    <col min="36" max="36" width="13.77734375" style="51" customWidth="1"/>
    <col min="37" max="37" width="14.109375" style="493" customWidth="1"/>
    <col min="38" max="38" width="13.77734375" style="51" customWidth="1"/>
    <col min="39" max="39" width="14.88671875" style="55" customWidth="1"/>
    <col min="40" max="40" width="1.6640625" style="22" customWidth="1"/>
    <col min="41" max="41" width="15" style="346" customWidth="1"/>
    <col min="42" max="42" width="11.6640625" style="346" bestFit="1" customWidth="1"/>
    <col min="43" max="43" width="12.77734375" style="346" customWidth="1"/>
    <col min="44" max="64" width="9.6640625" style="346"/>
    <col min="65" max="94" width="9.6640625" style="337"/>
    <col min="95" max="254" width="9.6640625" style="22"/>
    <col min="255" max="16384" width="9.6640625" style="870"/>
  </cols>
  <sheetData>
    <row r="1" spans="1:254" ht="20.100000000000001" customHeight="1" x14ac:dyDescent="0.2">
      <c r="A1" s="164"/>
      <c r="T1" s="19"/>
    </row>
    <row r="2" spans="1:254" ht="25.5" x14ac:dyDescent="0.2">
      <c r="A2" s="164" t="str">
        <f>+'Grupos Familiares'!$A$3</f>
        <v>PRESUPUESTO DE COBROS</v>
      </c>
      <c r="B2" s="18"/>
      <c r="C2" s="483"/>
      <c r="D2" s="866"/>
      <c r="E2" s="18"/>
      <c r="F2" s="18"/>
      <c r="G2" s="18"/>
      <c r="H2" s="1280"/>
      <c r="I2" s="172"/>
      <c r="J2" s="475"/>
      <c r="K2" s="18"/>
      <c r="L2" s="979"/>
      <c r="M2" s="833"/>
      <c r="N2" s="833"/>
      <c r="O2" s="833"/>
      <c r="P2" s="833"/>
      <c r="Q2" s="192" t="s">
        <v>149</v>
      </c>
      <c r="S2" s="557" t="s">
        <v>150</v>
      </c>
      <c r="T2" s="19"/>
      <c r="U2" s="18" t="s">
        <v>89</v>
      </c>
      <c r="V2" s="18"/>
      <c r="W2" s="18"/>
      <c r="X2" s="18"/>
      <c r="Y2" s="18"/>
      <c r="Z2" s="18"/>
      <c r="AA2" s="837"/>
      <c r="AB2" s="833"/>
      <c r="AC2" s="837"/>
      <c r="AD2" s="833"/>
      <c r="AE2" s="18"/>
      <c r="AF2" s="18"/>
      <c r="AG2" s="18"/>
      <c r="AH2" s="18"/>
      <c r="AI2" s="18"/>
      <c r="AJ2" s="18"/>
      <c r="AK2" s="172"/>
      <c r="AL2" s="18"/>
      <c r="AM2" s="18"/>
      <c r="AN2" s="529"/>
      <c r="AO2" s="552" t="s">
        <v>250</v>
      </c>
      <c r="AP2" s="787" t="s">
        <v>152</v>
      </c>
      <c r="AQ2" s="788" t="s">
        <v>151</v>
      </c>
    </row>
    <row r="3" spans="1:254" ht="15" x14ac:dyDescent="0.2">
      <c r="A3" s="164" t="s">
        <v>118</v>
      </c>
      <c r="B3" s="20"/>
      <c r="C3" s="476"/>
      <c r="D3" s="867"/>
      <c r="E3" s="21"/>
      <c r="Q3" s="859">
        <f>ROUND(AP3*(100%+$AO$3),-4)</f>
        <v>230000</v>
      </c>
      <c r="R3" s="860"/>
      <c r="S3" s="859">
        <f>ROUND(AQ3*(100%+$AO$3),-4)</f>
        <v>370000</v>
      </c>
      <c r="T3" s="19"/>
      <c r="V3" s="550"/>
      <c r="X3" s="550"/>
      <c r="Z3" s="550"/>
      <c r="AE3" s="551"/>
      <c r="AF3" s="550"/>
      <c r="AG3" s="551"/>
      <c r="AH3" s="550"/>
      <c r="AJ3" s="550"/>
      <c r="AL3" s="550"/>
      <c r="AN3" s="529"/>
      <c r="AO3" s="553">
        <v>5.1999999999999998E-2</v>
      </c>
      <c r="AP3" s="558">
        <v>220000</v>
      </c>
      <c r="AQ3" s="558">
        <v>350000</v>
      </c>
      <c r="AS3" s="553"/>
    </row>
    <row r="4" spans="1:254" ht="15" x14ac:dyDescent="0.2">
      <c r="A4" s="260" t="str">
        <f>+'Grupos Familiares'!$A$4</f>
        <v>AÑO  GRAVABLE 2024</v>
      </c>
      <c r="B4" s="26"/>
      <c r="C4" s="477"/>
      <c r="D4" s="210"/>
      <c r="E4" s="27"/>
      <c r="F4" s="1507" t="s">
        <v>195</v>
      </c>
      <c r="G4" s="1508"/>
      <c r="H4" s="1509"/>
      <c r="I4" s="1508"/>
      <c r="J4" s="1508"/>
      <c r="K4" s="1508"/>
      <c r="L4" s="1508"/>
      <c r="M4" s="1508"/>
      <c r="N4" s="1509"/>
      <c r="O4" s="1509"/>
      <c r="P4" s="1509"/>
      <c r="Q4" s="1508"/>
      <c r="R4" s="1510"/>
      <c r="S4" s="193"/>
      <c r="T4" s="19"/>
      <c r="U4" s="824" t="s">
        <v>252</v>
      </c>
      <c r="V4" s="825"/>
      <c r="W4" s="825"/>
      <c r="X4" s="825"/>
      <c r="Y4" s="1388" t="str">
        <f>+$A$3</f>
        <v>FACTURACIÓN ELECTRÓNICA</v>
      </c>
      <c r="Z4" s="825"/>
      <c r="AA4" s="839"/>
      <c r="AB4" s="834"/>
      <c r="AC4" s="839"/>
      <c r="AD4" s="834"/>
      <c r="AE4" s="825"/>
      <c r="AF4" s="825"/>
      <c r="AG4" s="825"/>
      <c r="AH4" s="825"/>
      <c r="AI4" s="825"/>
      <c r="AJ4" s="825"/>
      <c r="AK4" s="825"/>
      <c r="AL4" s="825"/>
      <c r="AM4" s="826"/>
      <c r="AN4" s="529"/>
      <c r="AO4" s="844" t="s">
        <v>153</v>
      </c>
      <c r="AP4" s="789">
        <f>(AP3*(100%+$AO$3))</f>
        <v>231440</v>
      </c>
      <c r="AQ4" s="789">
        <f>(AQ3*(100%+$AO$3))</f>
        <v>368200</v>
      </c>
    </row>
    <row r="5" spans="1:254" ht="13.5" thickBot="1" x14ac:dyDescent="0.25">
      <c r="A5" s="352" t="s">
        <v>90</v>
      </c>
      <c r="B5" s="26"/>
      <c r="C5" s="477"/>
      <c r="D5" s="210"/>
      <c r="E5" s="27"/>
      <c r="F5" s="302"/>
      <c r="G5" s="303">
        <v>0.19</v>
      </c>
      <c r="H5" s="1281"/>
      <c r="I5" s="1281">
        <v>0.11</v>
      </c>
      <c r="J5" s="514"/>
      <c r="K5" s="303"/>
      <c r="L5" s="981"/>
      <c r="M5" s="986"/>
      <c r="N5" s="986"/>
      <c r="O5" s="986"/>
      <c r="P5" s="986"/>
      <c r="Q5" s="304"/>
      <c r="R5" s="305"/>
      <c r="S5" s="193"/>
      <c r="T5" s="19"/>
      <c r="U5" s="1085" t="s">
        <v>193</v>
      </c>
      <c r="V5" s="1086">
        <f>+AO3</f>
        <v>5.1999999999999998E-2</v>
      </c>
      <c r="W5" s="276"/>
      <c r="X5" s="277">
        <v>0.5</v>
      </c>
      <c r="Y5" s="276"/>
      <c r="Z5" s="276">
        <f>75%+80%*0</f>
        <v>0.75</v>
      </c>
      <c r="AA5" s="808"/>
      <c r="AB5" s="808">
        <v>0.15</v>
      </c>
      <c r="AC5" s="808"/>
      <c r="AD5" s="808">
        <v>0.2</v>
      </c>
      <c r="AE5" s="277"/>
      <c r="AF5" s="278">
        <v>0.1</v>
      </c>
      <c r="AG5" s="278"/>
      <c r="AH5" s="278">
        <v>0.2</v>
      </c>
      <c r="AI5" s="279"/>
      <c r="AJ5" s="279">
        <v>0.3</v>
      </c>
      <c r="AK5" s="280"/>
      <c r="AL5" s="279"/>
      <c r="AM5" s="281"/>
      <c r="AN5" s="19"/>
    </row>
    <row r="6" spans="1:254" s="871" customFormat="1" ht="42.75" thickBot="1" x14ac:dyDescent="0.25">
      <c r="A6" s="166" t="s">
        <v>2</v>
      </c>
      <c r="B6" s="127" t="s">
        <v>58</v>
      </c>
      <c r="C6" s="478" t="s">
        <v>111</v>
      </c>
      <c r="D6" s="211" t="s">
        <v>59</v>
      </c>
      <c r="E6" s="306" t="s">
        <v>86</v>
      </c>
      <c r="F6" s="138" t="s">
        <v>197</v>
      </c>
      <c r="G6" s="139" t="s">
        <v>56</v>
      </c>
      <c r="H6" s="918" t="s">
        <v>122</v>
      </c>
      <c r="I6" s="1290" t="s">
        <v>113</v>
      </c>
      <c r="J6" s="515" t="s">
        <v>115</v>
      </c>
      <c r="K6" s="139" t="s">
        <v>196</v>
      </c>
      <c r="L6" s="996" t="s">
        <v>189</v>
      </c>
      <c r="M6" s="307" t="s">
        <v>57</v>
      </c>
      <c r="N6" s="307" t="s">
        <v>222</v>
      </c>
      <c r="O6" s="307" t="s">
        <v>67</v>
      </c>
      <c r="P6" s="307" t="s">
        <v>223</v>
      </c>
      <c r="Q6" s="827" t="s">
        <v>102</v>
      </c>
      <c r="R6" s="830" t="s">
        <v>71</v>
      </c>
      <c r="S6" s="125" t="s">
        <v>9</v>
      </c>
      <c r="T6" s="121"/>
      <c r="U6" s="296" t="s">
        <v>64</v>
      </c>
      <c r="V6" s="132" t="s">
        <v>60</v>
      </c>
      <c r="W6" s="133" t="s">
        <v>64</v>
      </c>
      <c r="X6" s="133" t="s">
        <v>134</v>
      </c>
      <c r="Y6" s="134" t="s">
        <v>64</v>
      </c>
      <c r="Z6" s="134" t="s">
        <v>61</v>
      </c>
      <c r="AA6" s="636" t="s">
        <v>64</v>
      </c>
      <c r="AB6" s="636" t="s">
        <v>154</v>
      </c>
      <c r="AC6" s="636" t="s">
        <v>64</v>
      </c>
      <c r="AD6" s="636" t="s">
        <v>155</v>
      </c>
      <c r="AE6" s="135" t="s">
        <v>64</v>
      </c>
      <c r="AF6" s="135" t="s">
        <v>119</v>
      </c>
      <c r="AG6" s="135" t="s">
        <v>64</v>
      </c>
      <c r="AH6" s="135" t="s">
        <v>98</v>
      </c>
      <c r="AI6" s="136" t="s">
        <v>64</v>
      </c>
      <c r="AJ6" s="136" t="s">
        <v>62</v>
      </c>
      <c r="AK6" s="201" t="s">
        <v>63</v>
      </c>
      <c r="AL6" s="201" t="s">
        <v>101</v>
      </c>
      <c r="AM6" s="295" t="s">
        <v>65</v>
      </c>
      <c r="AN6" s="121"/>
      <c r="AO6" s="629" t="s">
        <v>133</v>
      </c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3"/>
      <c r="BK6" s="333"/>
      <c r="BL6" s="333"/>
      <c r="BM6" s="338"/>
      <c r="BN6" s="338"/>
      <c r="BO6" s="338"/>
      <c r="BP6" s="338"/>
      <c r="BQ6" s="338"/>
      <c r="BR6" s="338"/>
      <c r="BS6" s="338"/>
      <c r="BT6" s="338"/>
      <c r="BU6" s="338"/>
      <c r="BV6" s="338"/>
      <c r="BW6" s="338"/>
      <c r="BX6" s="338"/>
      <c r="BY6" s="338"/>
      <c r="BZ6" s="338"/>
      <c r="CA6" s="338"/>
      <c r="CB6" s="338"/>
      <c r="CC6" s="338"/>
      <c r="CD6" s="338"/>
      <c r="CE6" s="338"/>
      <c r="CF6" s="338"/>
      <c r="CG6" s="338"/>
      <c r="CH6" s="338"/>
      <c r="CI6" s="338"/>
      <c r="CJ6" s="338"/>
      <c r="CK6" s="338"/>
      <c r="CL6" s="338"/>
      <c r="CM6" s="338"/>
      <c r="CN6" s="338"/>
      <c r="CO6" s="338"/>
      <c r="CP6" s="338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</row>
    <row r="7" spans="1:254" x14ac:dyDescent="0.2">
      <c r="A7" s="167"/>
      <c r="B7" s="25"/>
      <c r="C7" s="477"/>
      <c r="D7" s="167"/>
      <c r="E7" s="58"/>
      <c r="F7" s="308"/>
      <c r="G7" s="58"/>
      <c r="H7" s="173"/>
      <c r="I7" s="173"/>
      <c r="J7" s="490"/>
      <c r="K7" s="58"/>
      <c r="L7" s="982"/>
      <c r="M7" s="987"/>
      <c r="N7" s="992"/>
      <c r="O7" s="992"/>
      <c r="P7" s="992"/>
      <c r="Q7" s="828"/>
      <c r="R7" s="831"/>
      <c r="S7" s="194"/>
      <c r="T7" s="19"/>
      <c r="U7" s="58"/>
      <c r="V7" s="58"/>
      <c r="W7" s="58"/>
      <c r="X7" s="58"/>
      <c r="Y7" s="58"/>
      <c r="Z7" s="58"/>
      <c r="AA7" s="751"/>
      <c r="AB7" s="752"/>
      <c r="AC7" s="751"/>
      <c r="AD7" s="752"/>
      <c r="AE7" s="58"/>
      <c r="AF7" s="58"/>
      <c r="AG7" s="58"/>
      <c r="AH7" s="58"/>
      <c r="AI7" s="58"/>
      <c r="AJ7" s="58"/>
      <c r="AK7" s="173"/>
      <c r="AL7" s="58"/>
      <c r="AM7" s="118"/>
      <c r="AN7" s="19"/>
    </row>
    <row r="8" spans="1:254" ht="15.75" thickBot="1" x14ac:dyDescent="0.25">
      <c r="A8" s="112" t="s">
        <v>1</v>
      </c>
      <c r="B8" s="26"/>
      <c r="C8" s="477"/>
      <c r="D8" s="210"/>
      <c r="E8" s="27"/>
      <c r="F8" s="309"/>
      <c r="G8" s="27"/>
      <c r="H8" s="173"/>
      <c r="I8" s="174"/>
      <c r="J8" s="516"/>
      <c r="K8" s="27"/>
      <c r="L8" s="982"/>
      <c r="M8" s="988"/>
      <c r="N8" s="1332"/>
      <c r="O8" s="1332"/>
      <c r="P8" s="1332"/>
      <c r="Q8" s="829"/>
      <c r="R8" s="832"/>
      <c r="S8" s="194"/>
      <c r="T8" s="19"/>
      <c r="U8" s="1380"/>
      <c r="V8" s="1381"/>
      <c r="W8" s="1380"/>
      <c r="X8" s="1380"/>
      <c r="Y8" s="1380"/>
      <c r="Z8" s="1380"/>
      <c r="AA8" s="1382"/>
      <c r="AB8" s="1383"/>
      <c r="AC8" s="1382"/>
      <c r="AD8" s="1383"/>
      <c r="AE8" s="1380"/>
      <c r="AF8" s="1380"/>
      <c r="AG8" s="1380"/>
      <c r="AH8" s="1380"/>
      <c r="AI8" s="1380"/>
      <c r="AJ8" s="1380"/>
      <c r="AK8" s="1384"/>
      <c r="AL8" s="1380"/>
      <c r="AM8" s="1385"/>
      <c r="AN8" s="19"/>
    </row>
    <row r="9" spans="1:254" ht="13.5" thickBot="1" x14ac:dyDescent="0.25">
      <c r="A9" s="613">
        <v>1</v>
      </c>
      <c r="B9" s="1528" t="s">
        <v>271</v>
      </c>
      <c r="C9" s="1465">
        <f>_xlfn.XLOOKUP(B9,Códigos!$B$8:$B$406,Códigos!$A$8:$A$406,"Verificar",0)</f>
        <v>41</v>
      </c>
      <c r="D9" s="1442">
        <f>_xlfn.XLOOKUP(B9,'Consolidado Cobros'!$B$10:$B$268,'Consolidado Cobros'!$C$10:$C$268,"Verificar",0)</f>
        <v>22126399</v>
      </c>
      <c r="E9" s="1465">
        <f t="shared" ref="E9:E17" si="0">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0,0,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1,1,11-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))</f>
        <v>5</v>
      </c>
      <c r="F9" s="615">
        <f t="shared" ref="F9:F17" si="1">+AM9</f>
        <v>870000</v>
      </c>
      <c r="G9" s="1466">
        <f t="shared" ref="G9:G17" si="2">+F9*$G$5</f>
        <v>165300</v>
      </c>
      <c r="H9" s="1278" t="s">
        <v>124</v>
      </c>
      <c r="I9" s="1467">
        <f>IF(H9="S",-F9*$I$5,"NO RETENCIÓN")</f>
        <v>-95700</v>
      </c>
      <c r="J9" s="1468">
        <f t="shared" ref="J9:J17" si="3">+F9+G9</f>
        <v>1035300</v>
      </c>
      <c r="K9" s="511">
        <f t="shared" ref="K9:K17" si="4">SUM(F9:I9)</f>
        <v>939600</v>
      </c>
      <c r="L9" s="1469"/>
      <c r="M9" s="1376"/>
      <c r="N9" s="1334"/>
      <c r="O9" s="1338"/>
      <c r="P9" s="1334"/>
      <c r="Q9" s="1205">
        <f t="shared" ref="Q9:Q37" si="5">+AL9</f>
        <v>0</v>
      </c>
      <c r="R9" s="1206"/>
      <c r="S9" s="1207"/>
      <c r="T9" s="19"/>
      <c r="U9" s="1386" t="s">
        <v>82</v>
      </c>
      <c r="V9" s="179">
        <f>ROUND(IF(U9="SI",SUMIF('Facturas año anterior'!$B$8:$B$81,B9,'Facturas año anterior'!$V$8:$V$81)*(100%+$V$5),0),-3)+ROUND(IF(U9="SI",SUMIF('C de C año anterior'!$B$8:$B$210,B9,'C de C año anterior'!$Q$8:$Q$210)*(100%+$V$5),0),-3)</f>
        <v>871000</v>
      </c>
      <c r="W9" s="230"/>
      <c r="X9" s="180">
        <f t="shared" ref="X9" si="6">ROUND(IF(W9="SI",V9*$X$5,0),-3)</f>
        <v>0</v>
      </c>
      <c r="Y9" s="231"/>
      <c r="Z9" s="181">
        <f t="shared" ref="Z9" si="7">ROUND(IF(Y9="SI",V9*$Z$5,0),-3)</f>
        <v>0</v>
      </c>
      <c r="AA9" s="820"/>
      <c r="AB9" s="810">
        <f t="shared" ref="AB9" si="8">ROUND(IF(AA9="SI",V9*$AB$5,0),-3)</f>
        <v>0</v>
      </c>
      <c r="AC9" s="820"/>
      <c r="AD9" s="810">
        <f t="shared" ref="AD9" si="9">ROUND(IF(AC9="SI",V9*$AD$5,0),-3)</f>
        <v>0</v>
      </c>
      <c r="AE9" s="232"/>
      <c r="AF9" s="182">
        <f t="shared" ref="AF9" si="10">ROUND(IF(AE9="SI",V9*$AF$5,0),-3)</f>
        <v>0</v>
      </c>
      <c r="AG9" s="230"/>
      <c r="AH9" s="182">
        <f t="shared" ref="AH9" si="11">ROUND(IF(AG9="SI",V9*$AH$5,0),-3)</f>
        <v>0</v>
      </c>
      <c r="AI9" s="233"/>
      <c r="AJ9" s="259">
        <f t="shared" ref="AJ9" si="12">IF(AI9="SI",V9*$AJ$5,0)</f>
        <v>0</v>
      </c>
      <c r="AK9" s="203">
        <f>SUMIF('Otras Asesorías y Préstamos'!$B$7:$B$242,B9,'Otras Asesorías y Préstamos'!$F$7:$F$242)</f>
        <v>0</v>
      </c>
      <c r="AL9" s="203">
        <f>SUMIF('Otras Asesorías y Préstamos'!$B$7:$B$242,B9,'Otras Asesorías y Préstamos'!$V$7:$V$242)</f>
        <v>0</v>
      </c>
      <c r="AM9" s="1387">
        <f t="shared" ref="AM9" si="13">ROUND(SUM(V9:AK9),-4)</f>
        <v>870000</v>
      </c>
      <c r="AN9" s="19"/>
    </row>
    <row r="10" spans="1:254" ht="13.5" thickBot="1" x14ac:dyDescent="0.25">
      <c r="A10" s="1208">
        <f t="shared" ref="A10:A37" si="14">+A9+1</f>
        <v>2</v>
      </c>
      <c r="B10" s="1528" t="s">
        <v>281</v>
      </c>
      <c r="C10" s="1068">
        <f>_xlfn.XLOOKUP(B10,Códigos!$B$8:$B$406,Códigos!$A$8:$A$406,"Verificar",0)</f>
        <v>346</v>
      </c>
      <c r="D10" s="1040">
        <f>_xlfn.XLOOKUP(B10,'Consolidado Cobros'!$B$10:$B$268,'Consolidado Cobros'!$C$10:$C$268,"Verificar",0)</f>
        <v>71581755</v>
      </c>
      <c r="E10" s="1068">
        <f t="shared" si="0"/>
        <v>2</v>
      </c>
      <c r="F10" s="1209">
        <f t="shared" si="1"/>
        <v>1000000</v>
      </c>
      <c r="G10" s="1210">
        <f t="shared" si="2"/>
        <v>190000</v>
      </c>
      <c r="H10" s="1049" t="s">
        <v>52</v>
      </c>
      <c r="I10" s="1298" t="str">
        <f t="shared" ref="I10:I17" si="15">IF(H10="S",-F10*$I$5,"NO RETENCIÓN")</f>
        <v>NO RETENCIÓN</v>
      </c>
      <c r="J10" s="1211">
        <f t="shared" si="3"/>
        <v>1190000</v>
      </c>
      <c r="K10" s="1212">
        <f t="shared" si="4"/>
        <v>1190000</v>
      </c>
      <c r="L10" s="1054"/>
      <c r="M10" s="1213"/>
      <c r="N10" s="1335"/>
      <c r="O10" s="1339"/>
      <c r="P10" s="1335"/>
      <c r="Q10" s="1214">
        <f t="shared" si="5"/>
        <v>0</v>
      </c>
      <c r="R10" s="1215"/>
      <c r="S10" s="323"/>
      <c r="T10" s="19"/>
      <c r="U10" s="1094" t="s">
        <v>82</v>
      </c>
      <c r="V10" s="119">
        <f>ROUND(IF(U10="SI",SUMIF('Facturas año anterior'!$B$8:$B$81,B10,'Facturas año anterior'!$V$8:$V$81)*(100%+$V$5),0),-3)+ROUND(IF(U10="SI",SUMIF('C de C año anterior'!$B$8:$B$210,B10,'C de C año anterior'!$Q$8:$Q$210)*(100%+$V$5),0),-3)</f>
        <v>773000</v>
      </c>
      <c r="W10" s="234"/>
      <c r="X10" s="114">
        <f t="shared" ref="X10:X46" si="16">ROUND(IF(W10="SI",V10*$X$5,0),-3)</f>
        <v>0</v>
      </c>
      <c r="Y10" s="235"/>
      <c r="Z10" s="115">
        <f t="shared" ref="Z10:Z46" si="17">ROUND(IF(Y10="SI",V10*$Z$5,0),-3)</f>
        <v>0</v>
      </c>
      <c r="AA10" s="821"/>
      <c r="AB10" s="811">
        <f t="shared" ref="AB10:AB46" si="18">ROUND(IF(AA10="SI",V10*$AB$5,0),-3)</f>
        <v>0</v>
      </c>
      <c r="AC10" s="821"/>
      <c r="AD10" s="811">
        <f t="shared" ref="AD10:AD46" si="19">ROUND(IF(AC10="SI",V10*$AD$5,0),-3)</f>
        <v>0</v>
      </c>
      <c r="AE10" s="236"/>
      <c r="AF10" s="116">
        <f t="shared" ref="AF10:AF46" si="20">ROUND(IF(AE10="SI",V10*$AF$5,0),-3)</f>
        <v>0</v>
      </c>
      <c r="AG10" s="234"/>
      <c r="AH10" s="116">
        <f t="shared" ref="AH10:AH46" si="21">ROUND(IF(AG10="SI",V10*$AH$5,0),-3)</f>
        <v>0</v>
      </c>
      <c r="AI10" s="237" t="s">
        <v>82</v>
      </c>
      <c r="AJ10" s="117">
        <f t="shared" ref="AJ10:AJ46" si="22">IF(AI10="SI",V10*$AJ$5,0)</f>
        <v>231900</v>
      </c>
      <c r="AK10" s="1092">
        <f>SUMIF('Otras Asesorías y Préstamos'!$B$7:$B$242,B10,'Otras Asesorías y Préstamos'!$F$7:$F$242)</f>
        <v>0</v>
      </c>
      <c r="AL10" s="1092">
        <f>SUMIF('Otras Asesorías y Préstamos'!$B$7:$B$242,B10,'Otras Asesorías y Préstamos'!$V$7:$V$242)</f>
        <v>0</v>
      </c>
      <c r="AM10" s="1095">
        <f t="shared" ref="AM10:AM46" si="23">ROUND(SUM(V10:AK10),-4)</f>
        <v>1000000</v>
      </c>
      <c r="AN10" s="19"/>
    </row>
    <row r="11" spans="1:254" ht="13.5" thickBot="1" x14ac:dyDescent="0.25">
      <c r="A11" s="1208">
        <f t="shared" si="14"/>
        <v>3</v>
      </c>
      <c r="B11" s="1528" t="s">
        <v>282</v>
      </c>
      <c r="C11" s="1068">
        <f>_xlfn.XLOOKUP(B11,Códigos!$B$8:$B$406,Códigos!$A$8:$A$406,"Verificar",0)</f>
        <v>300</v>
      </c>
      <c r="D11" s="1040">
        <f>_xlfn.XLOOKUP(B11,'Consolidado Cobros'!$B$10:$B$268,'Consolidado Cobros'!$C$10:$C$268,"Verificar",0)</f>
        <v>70116694</v>
      </c>
      <c r="E11" s="1068">
        <f t="shared" si="0"/>
        <v>5</v>
      </c>
      <c r="F11" s="1209">
        <f t="shared" si="1"/>
        <v>1080000</v>
      </c>
      <c r="G11" s="1210">
        <f t="shared" si="2"/>
        <v>205200</v>
      </c>
      <c r="H11" s="1282" t="s">
        <v>124</v>
      </c>
      <c r="I11" s="1292">
        <f t="shared" si="15"/>
        <v>-118800</v>
      </c>
      <c r="J11" s="1211">
        <f t="shared" si="3"/>
        <v>1285200</v>
      </c>
      <c r="K11" s="1212">
        <f t="shared" si="4"/>
        <v>1166400</v>
      </c>
      <c r="L11" s="1054"/>
      <c r="M11" s="1213"/>
      <c r="N11" s="1335"/>
      <c r="O11" s="1339"/>
      <c r="P11" s="1335"/>
      <c r="Q11" s="1214">
        <f t="shared" si="5"/>
        <v>0</v>
      </c>
      <c r="R11" s="1215"/>
      <c r="S11" s="293"/>
      <c r="T11" s="19"/>
      <c r="U11" s="1094" t="s">
        <v>82</v>
      </c>
      <c r="V11" s="119">
        <f>ROUND(IF(U11="SI",SUMIF('Facturas año anterior'!$B$8:$B$81,B11,'Facturas año anterior'!$V$8:$V$81)*(100%+$V$5),0),-3)+ROUND(IF(U11="SI",SUMIF('C de C año anterior'!$B$8:$B$210,B11,'C de C año anterior'!$Q$8:$Q$210)*(100%+$V$5),0),-3)</f>
        <v>1083000</v>
      </c>
      <c r="W11" s="234"/>
      <c r="X11" s="114">
        <f t="shared" si="16"/>
        <v>0</v>
      </c>
      <c r="Y11" s="235"/>
      <c r="Z11" s="115">
        <f t="shared" si="17"/>
        <v>0</v>
      </c>
      <c r="AA11" s="821"/>
      <c r="AB11" s="811">
        <f t="shared" si="18"/>
        <v>0</v>
      </c>
      <c r="AC11" s="821"/>
      <c r="AD11" s="811">
        <f t="shared" si="19"/>
        <v>0</v>
      </c>
      <c r="AE11" s="236"/>
      <c r="AF11" s="116">
        <f t="shared" si="20"/>
        <v>0</v>
      </c>
      <c r="AG11" s="234"/>
      <c r="AH11" s="116">
        <f t="shared" si="21"/>
        <v>0</v>
      </c>
      <c r="AI11" s="237"/>
      <c r="AJ11" s="117">
        <f t="shared" si="22"/>
        <v>0</v>
      </c>
      <c r="AK11" s="1092">
        <f>SUMIF('Otras Asesorías y Préstamos'!$B$7:$B$242,B11,'Otras Asesorías y Préstamos'!$F$7:$F$242)</f>
        <v>0</v>
      </c>
      <c r="AL11" s="1092">
        <f>SUMIF('Otras Asesorías y Préstamos'!$B$7:$B$242,B11,'Otras Asesorías y Préstamos'!$V$7:$V$242)</f>
        <v>0</v>
      </c>
      <c r="AM11" s="1095">
        <f t="shared" si="23"/>
        <v>1080000</v>
      </c>
      <c r="AN11" s="19"/>
    </row>
    <row r="12" spans="1:254" ht="13.5" thickBot="1" x14ac:dyDescent="0.25">
      <c r="A12" s="1208">
        <f t="shared" si="14"/>
        <v>4</v>
      </c>
      <c r="B12" s="1528" t="s">
        <v>283</v>
      </c>
      <c r="C12" s="1068">
        <f>_xlfn.XLOOKUP(B12,Códigos!$B$8:$B$406,Códigos!$A$8:$A$406,"Verificar",0)</f>
        <v>312</v>
      </c>
      <c r="D12" s="1040">
        <f>_xlfn.XLOOKUP(B12,'Consolidado Cobros'!$B$10:$B$268,'Consolidado Cobros'!$C$10:$C$268,"Verificar",0)</f>
        <v>3349249</v>
      </c>
      <c r="E12" s="1068">
        <f t="shared" si="0"/>
        <v>7</v>
      </c>
      <c r="F12" s="1209">
        <f t="shared" si="1"/>
        <v>2990000</v>
      </c>
      <c r="G12" s="1210">
        <f t="shared" si="2"/>
        <v>568100</v>
      </c>
      <c r="H12" s="1282" t="s">
        <v>124</v>
      </c>
      <c r="I12" s="1292">
        <f t="shared" si="15"/>
        <v>-328900</v>
      </c>
      <c r="J12" s="1211">
        <f t="shared" si="3"/>
        <v>3558100</v>
      </c>
      <c r="K12" s="1212">
        <f t="shared" si="4"/>
        <v>3229200</v>
      </c>
      <c r="L12" s="1054"/>
      <c r="M12" s="1213"/>
      <c r="N12" s="1335"/>
      <c r="O12" s="1339"/>
      <c r="P12" s="1335"/>
      <c r="Q12" s="1214">
        <f t="shared" si="5"/>
        <v>0</v>
      </c>
      <c r="R12" s="1215"/>
      <c r="S12" s="293"/>
      <c r="T12" s="19"/>
      <c r="U12" s="1094" t="s">
        <v>82</v>
      </c>
      <c r="V12" s="119">
        <f>ROUND(IF(U12="SI",SUMIF('Facturas año anterior'!$B$8:$B$81,B12,'Facturas año anterior'!$V$8:$V$81)*(100%+$V$5),0),-3)+ROUND(IF(U12="SI",SUMIF('C de C año anterior'!$B$8:$B$210,B12,'C de C año anterior'!$Q$8:$Q$210)*(100%+$V$5),0),-3)</f>
        <v>1328000</v>
      </c>
      <c r="W12" s="234" t="s">
        <v>82</v>
      </c>
      <c r="X12" s="114">
        <f t="shared" si="16"/>
        <v>664000</v>
      </c>
      <c r="Y12" s="235" t="s">
        <v>82</v>
      </c>
      <c r="Z12" s="115">
        <f t="shared" si="17"/>
        <v>996000</v>
      </c>
      <c r="AA12" s="821"/>
      <c r="AB12" s="811">
        <f t="shared" si="18"/>
        <v>0</v>
      </c>
      <c r="AC12" s="821"/>
      <c r="AD12" s="811">
        <f t="shared" si="19"/>
        <v>0</v>
      </c>
      <c r="AE12" s="236"/>
      <c r="AF12" s="116">
        <f t="shared" si="20"/>
        <v>0</v>
      </c>
      <c r="AG12" s="234"/>
      <c r="AH12" s="116">
        <f t="shared" si="21"/>
        <v>0</v>
      </c>
      <c r="AI12" s="237"/>
      <c r="AJ12" s="117">
        <f t="shared" si="22"/>
        <v>0</v>
      </c>
      <c r="AK12" s="1092">
        <f>SUMIF('Otras Asesorías y Préstamos'!$B$7:$B$242,B12,'Otras Asesorías y Préstamos'!$F$7:$F$242)</f>
        <v>0</v>
      </c>
      <c r="AL12" s="1092">
        <f>SUMIF('Otras Asesorías y Préstamos'!$B$7:$B$242,B12,'Otras Asesorías y Préstamos'!$V$7:$V$242)</f>
        <v>0</v>
      </c>
      <c r="AM12" s="1095">
        <f t="shared" si="23"/>
        <v>2990000</v>
      </c>
      <c r="AN12" s="19"/>
    </row>
    <row r="13" spans="1:254" ht="13.5" thickBot="1" x14ac:dyDescent="0.25">
      <c r="A13" s="1208">
        <f t="shared" si="14"/>
        <v>5</v>
      </c>
      <c r="B13" s="1528" t="s">
        <v>284</v>
      </c>
      <c r="C13" s="1068">
        <f>_xlfn.XLOOKUP(B13,Códigos!$B$8:$B$406,Códigos!$A$8:$A$406,"Verificar",0)</f>
        <v>217</v>
      </c>
      <c r="D13" s="1040">
        <f>_xlfn.XLOOKUP(B13,'Consolidado Cobros'!$B$10:$B$268,'Consolidado Cobros'!$C$10:$C$268,"Verificar",0)</f>
        <v>71632774</v>
      </c>
      <c r="E13" s="1068">
        <f t="shared" si="0"/>
        <v>2</v>
      </c>
      <c r="F13" s="1209">
        <f t="shared" si="1"/>
        <v>2430000</v>
      </c>
      <c r="G13" s="1210">
        <f t="shared" si="2"/>
        <v>461700</v>
      </c>
      <c r="H13" s="1282" t="s">
        <v>124</v>
      </c>
      <c r="I13" s="1292">
        <f t="shared" si="15"/>
        <v>-267300</v>
      </c>
      <c r="J13" s="1211">
        <f t="shared" si="3"/>
        <v>2891700</v>
      </c>
      <c r="K13" s="1212">
        <f t="shared" si="4"/>
        <v>2624400</v>
      </c>
      <c r="L13" s="1054"/>
      <c r="M13" s="1213"/>
      <c r="N13" s="1335"/>
      <c r="O13" s="1339"/>
      <c r="P13" s="1335"/>
      <c r="Q13" s="1214">
        <f t="shared" si="5"/>
        <v>0</v>
      </c>
      <c r="R13" s="1215"/>
      <c r="S13" s="293"/>
      <c r="T13" s="19"/>
      <c r="U13" s="1094" t="s">
        <v>82</v>
      </c>
      <c r="V13" s="119">
        <f>ROUND(IF(U13="SI",SUMIF('Facturas año anterior'!$B$8:$B$81,B13,'Facturas año anterior'!$V$8:$V$81)*(100%+$V$5),0),-3)+ROUND(IF(U13="SI",SUMIF('C de C año anterior'!$B$8:$B$210,B13,'C de C año anterior'!$Q$8:$Q$210)*(100%+$V$5),0),-3)</f>
        <v>2332000</v>
      </c>
      <c r="W13" s="234"/>
      <c r="X13" s="114">
        <f t="shared" si="16"/>
        <v>0</v>
      </c>
      <c r="Y13" s="235"/>
      <c r="Z13" s="115">
        <f t="shared" si="17"/>
        <v>0</v>
      </c>
      <c r="AA13" s="821"/>
      <c r="AB13" s="811">
        <f t="shared" si="18"/>
        <v>0</v>
      </c>
      <c r="AC13" s="821"/>
      <c r="AD13" s="811">
        <f t="shared" si="19"/>
        <v>0</v>
      </c>
      <c r="AE13" s="236"/>
      <c r="AF13" s="116">
        <f t="shared" si="20"/>
        <v>0</v>
      </c>
      <c r="AG13" s="234"/>
      <c r="AH13" s="116">
        <f t="shared" si="21"/>
        <v>0</v>
      </c>
      <c r="AI13" s="237"/>
      <c r="AJ13" s="117">
        <f t="shared" si="22"/>
        <v>0</v>
      </c>
      <c r="AK13" s="1092">
        <f>SUMIF('Otras Asesorías y Préstamos'!$B$7:$B$242,B13,'Otras Asesorías y Préstamos'!$F$7:$F$242)</f>
        <v>100000</v>
      </c>
      <c r="AL13" s="1092">
        <f>SUMIF('Otras Asesorías y Préstamos'!$B$7:$B$242,B13,'Otras Asesorías y Préstamos'!$V$7:$V$242)</f>
        <v>0</v>
      </c>
      <c r="AM13" s="1095">
        <f t="shared" si="23"/>
        <v>2430000</v>
      </c>
      <c r="AN13" s="19"/>
    </row>
    <row r="14" spans="1:254" s="346" customFormat="1" ht="13.5" thickBot="1" x14ac:dyDescent="0.25">
      <c r="A14" s="1208">
        <f t="shared" si="14"/>
        <v>6</v>
      </c>
      <c r="B14" s="1528" t="s">
        <v>272</v>
      </c>
      <c r="C14" s="1068">
        <f>_xlfn.XLOOKUP(B14,Códigos!$B$8:$B$406,Códigos!$A$8:$A$406,"Verificar",0)</f>
        <v>42</v>
      </c>
      <c r="D14" s="1040">
        <f>_xlfn.XLOOKUP(B14,'Consolidado Cobros'!$B$10:$B$268,'Consolidado Cobros'!$C$10:$C$268,"Verificar",0)</f>
        <v>21315528</v>
      </c>
      <c r="E14" s="1068">
        <f t="shared" si="0"/>
        <v>6</v>
      </c>
      <c r="F14" s="1506">
        <f t="shared" si="1"/>
        <v>1830000</v>
      </c>
      <c r="G14" s="1298">
        <f t="shared" si="2"/>
        <v>347700</v>
      </c>
      <c r="H14" s="1282" t="s">
        <v>124</v>
      </c>
      <c r="I14" s="1292">
        <f t="shared" si="15"/>
        <v>-201300</v>
      </c>
      <c r="J14" s="1211">
        <f t="shared" si="3"/>
        <v>2177700</v>
      </c>
      <c r="K14" s="1531">
        <f t="shared" si="4"/>
        <v>1976400</v>
      </c>
      <c r="L14" s="1054"/>
      <c r="M14" s="1213"/>
      <c r="N14" s="1335"/>
      <c r="O14" s="1339"/>
      <c r="P14" s="1335"/>
      <c r="Q14" s="1214">
        <f t="shared" si="5"/>
        <v>0</v>
      </c>
      <c r="R14" s="1215"/>
      <c r="S14" s="293" t="s">
        <v>148</v>
      </c>
      <c r="T14" s="529"/>
      <c r="U14" s="1094" t="s">
        <v>82</v>
      </c>
      <c r="V14" s="119">
        <f>ROUND(IF(U14="SI",SUMIF('Facturas año anterior'!$B$8:$B$81,B14,'Facturas año anterior'!$V$8:$V$81)*(100%+$V$5),0),-3)+ROUND(IF(U14="SI",SUMIF('C de C año anterior'!$B$8:$B$210,B14,'C de C año anterior'!$Q$8:$Q$210)*(100%+$V$5),0),-3)</f>
        <v>1830000</v>
      </c>
      <c r="W14" s="234"/>
      <c r="X14" s="114">
        <f t="shared" si="16"/>
        <v>0</v>
      </c>
      <c r="Y14" s="235"/>
      <c r="Z14" s="115">
        <f t="shared" si="17"/>
        <v>0</v>
      </c>
      <c r="AA14" s="821"/>
      <c r="AB14" s="811">
        <f t="shared" si="18"/>
        <v>0</v>
      </c>
      <c r="AC14" s="821"/>
      <c r="AD14" s="811">
        <f t="shared" si="19"/>
        <v>0</v>
      </c>
      <c r="AE14" s="236"/>
      <c r="AF14" s="116">
        <f t="shared" si="20"/>
        <v>0</v>
      </c>
      <c r="AG14" s="234"/>
      <c r="AH14" s="116">
        <f t="shared" si="21"/>
        <v>0</v>
      </c>
      <c r="AI14" s="237"/>
      <c r="AJ14" s="117">
        <f t="shared" si="22"/>
        <v>0</v>
      </c>
      <c r="AK14" s="1092">
        <f>SUMIF('Otras Asesorías y Préstamos'!$B$7:$B$242,B14,'Otras Asesorías y Préstamos'!$F$7:$F$242)</f>
        <v>0</v>
      </c>
      <c r="AL14" s="1092">
        <f>SUMIF('Otras Asesorías y Préstamos'!$B$7:$B$242,B14,'Otras Asesorías y Préstamos'!$V$7:$V$242)</f>
        <v>0</v>
      </c>
      <c r="AM14" s="1095">
        <f t="shared" ref="AM14:AM20" si="24">ROUND(SUM(V14:AK14),-4)</f>
        <v>1830000</v>
      </c>
      <c r="AN14" s="529"/>
      <c r="BM14" s="337"/>
      <c r="BN14" s="337"/>
      <c r="BO14" s="337"/>
      <c r="BP14" s="337"/>
      <c r="BQ14" s="337"/>
      <c r="BR14" s="337"/>
      <c r="BS14" s="337"/>
      <c r="BT14" s="337"/>
      <c r="BU14" s="337"/>
      <c r="BV14" s="337"/>
      <c r="BW14" s="337"/>
      <c r="BX14" s="337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7"/>
      <c r="CS14" s="337"/>
      <c r="CT14" s="337"/>
      <c r="CU14" s="337"/>
      <c r="CV14" s="337"/>
      <c r="CW14" s="337"/>
      <c r="CX14" s="337"/>
      <c r="CY14" s="337"/>
      <c r="CZ14" s="337"/>
      <c r="DA14" s="337"/>
      <c r="DB14" s="337"/>
      <c r="DC14" s="337"/>
      <c r="DD14" s="337"/>
      <c r="DE14" s="337"/>
      <c r="DF14" s="337"/>
      <c r="DG14" s="337"/>
      <c r="DH14" s="337"/>
      <c r="DI14" s="337"/>
      <c r="DJ14" s="337"/>
      <c r="DK14" s="337"/>
      <c r="DL14" s="337"/>
      <c r="DM14" s="337"/>
      <c r="DN14" s="337"/>
      <c r="DO14" s="337"/>
      <c r="DP14" s="337"/>
      <c r="DQ14" s="337"/>
      <c r="DR14" s="337"/>
      <c r="DS14" s="337"/>
      <c r="DT14" s="337"/>
      <c r="DU14" s="337"/>
      <c r="DV14" s="337"/>
      <c r="DW14" s="337"/>
      <c r="DX14" s="337"/>
      <c r="DY14" s="337"/>
      <c r="DZ14" s="337"/>
      <c r="EA14" s="337"/>
      <c r="EB14" s="337"/>
      <c r="EC14" s="337"/>
      <c r="ED14" s="337"/>
      <c r="EE14" s="337"/>
      <c r="EF14" s="337"/>
      <c r="EG14" s="337"/>
      <c r="EH14" s="337"/>
      <c r="EI14" s="337"/>
      <c r="EJ14" s="337"/>
      <c r="EK14" s="337"/>
      <c r="EL14" s="337"/>
      <c r="EM14" s="337"/>
      <c r="EN14" s="337"/>
      <c r="EO14" s="337"/>
      <c r="EP14" s="337"/>
      <c r="EQ14" s="337"/>
      <c r="ER14" s="337"/>
      <c r="ES14" s="337"/>
      <c r="ET14" s="337"/>
      <c r="EU14" s="337"/>
      <c r="EV14" s="337"/>
      <c r="EW14" s="337"/>
      <c r="EX14" s="337"/>
      <c r="EY14" s="337"/>
      <c r="EZ14" s="337"/>
      <c r="FA14" s="337"/>
      <c r="FB14" s="337"/>
      <c r="FC14" s="337"/>
      <c r="FD14" s="337"/>
      <c r="FE14" s="337"/>
      <c r="FF14" s="337"/>
      <c r="FG14" s="337"/>
      <c r="FH14" s="337"/>
      <c r="FI14" s="337"/>
      <c r="FJ14" s="337"/>
      <c r="FK14" s="337"/>
      <c r="FL14" s="337"/>
      <c r="FM14" s="337"/>
      <c r="FN14" s="337"/>
      <c r="FO14" s="337"/>
      <c r="FP14" s="337"/>
      <c r="FQ14" s="337"/>
      <c r="FR14" s="337"/>
      <c r="FS14" s="337"/>
      <c r="FT14" s="337"/>
      <c r="FU14" s="337"/>
      <c r="FV14" s="337"/>
      <c r="FW14" s="337"/>
      <c r="FX14" s="337"/>
      <c r="FY14" s="337"/>
      <c r="FZ14" s="337"/>
      <c r="GA14" s="337"/>
      <c r="GB14" s="337"/>
      <c r="GC14" s="337"/>
      <c r="GD14" s="337"/>
      <c r="GE14" s="337"/>
      <c r="GF14" s="337"/>
      <c r="GG14" s="337"/>
      <c r="GH14" s="337"/>
      <c r="GI14" s="337"/>
      <c r="GJ14" s="337"/>
      <c r="GK14" s="337"/>
      <c r="GL14" s="337"/>
      <c r="GM14" s="337"/>
      <c r="GN14" s="337"/>
      <c r="GO14" s="337"/>
      <c r="GP14" s="337"/>
      <c r="GQ14" s="337"/>
      <c r="GR14" s="337"/>
      <c r="GS14" s="337"/>
      <c r="GT14" s="337"/>
      <c r="GU14" s="337"/>
      <c r="GV14" s="337"/>
      <c r="GW14" s="337"/>
      <c r="GX14" s="337"/>
      <c r="GY14" s="337"/>
      <c r="GZ14" s="337"/>
      <c r="HA14" s="337"/>
      <c r="HB14" s="337"/>
      <c r="HC14" s="337"/>
      <c r="HD14" s="337"/>
      <c r="HE14" s="337"/>
      <c r="HF14" s="337"/>
      <c r="HG14" s="337"/>
      <c r="HH14" s="337"/>
      <c r="HI14" s="337"/>
      <c r="HJ14" s="337"/>
      <c r="HK14" s="337"/>
      <c r="HL14" s="337"/>
      <c r="HM14" s="337"/>
      <c r="HN14" s="337"/>
      <c r="HO14" s="337"/>
      <c r="HP14" s="337"/>
      <c r="HQ14" s="337"/>
      <c r="HR14" s="337"/>
      <c r="HS14" s="337"/>
      <c r="HT14" s="337"/>
      <c r="HU14" s="337"/>
      <c r="HV14" s="337"/>
      <c r="HW14" s="337"/>
      <c r="HX14" s="337"/>
      <c r="HY14" s="337"/>
      <c r="HZ14" s="337"/>
      <c r="IA14" s="337"/>
      <c r="IB14" s="337"/>
      <c r="IC14" s="337"/>
      <c r="ID14" s="337"/>
      <c r="IE14" s="337"/>
      <c r="IF14" s="337"/>
      <c r="IG14" s="337"/>
      <c r="IH14" s="337"/>
      <c r="II14" s="337"/>
      <c r="IJ14" s="337"/>
      <c r="IK14" s="337"/>
      <c r="IL14" s="337"/>
      <c r="IM14" s="337"/>
      <c r="IN14" s="337"/>
      <c r="IO14" s="337"/>
      <c r="IP14" s="337"/>
      <c r="IQ14" s="337"/>
      <c r="IR14" s="337"/>
      <c r="IS14" s="337"/>
      <c r="IT14" s="337"/>
    </row>
    <row r="15" spans="1:254" s="346" customFormat="1" ht="13.5" thickBot="1" x14ac:dyDescent="0.25">
      <c r="A15" s="1208">
        <f t="shared" si="14"/>
        <v>7</v>
      </c>
      <c r="B15" s="1528" t="s">
        <v>273</v>
      </c>
      <c r="C15" s="1068">
        <f>_xlfn.XLOOKUP(B15,Códigos!$B$8:$B$406,Códigos!$A$8:$A$406,"Verificar",0)</f>
        <v>43</v>
      </c>
      <c r="D15" s="1040">
        <f>_xlfn.XLOOKUP(B15,'Consolidado Cobros'!$B$10:$B$268,'Consolidado Cobros'!$C$10:$C$268,"Verificar",0)</f>
        <v>32336950</v>
      </c>
      <c r="E15" s="1068">
        <f t="shared" si="0"/>
        <v>1</v>
      </c>
      <c r="F15" s="1506">
        <f t="shared" si="1"/>
        <v>2390000</v>
      </c>
      <c r="G15" s="1298">
        <f t="shared" si="2"/>
        <v>454100</v>
      </c>
      <c r="H15" s="1282" t="s">
        <v>124</v>
      </c>
      <c r="I15" s="1292">
        <f t="shared" si="15"/>
        <v>-262900</v>
      </c>
      <c r="J15" s="1211">
        <f t="shared" si="3"/>
        <v>2844100</v>
      </c>
      <c r="K15" s="1531">
        <f t="shared" si="4"/>
        <v>2581200</v>
      </c>
      <c r="L15" s="1054"/>
      <c r="M15" s="1213"/>
      <c r="N15" s="1335"/>
      <c r="O15" s="1339"/>
      <c r="P15" s="1335"/>
      <c r="Q15" s="1214">
        <f t="shared" si="5"/>
        <v>0</v>
      </c>
      <c r="R15" s="1215"/>
      <c r="S15" s="293" t="s">
        <v>148</v>
      </c>
      <c r="T15" s="529"/>
      <c r="U15" s="1094" t="s">
        <v>82</v>
      </c>
      <c r="V15" s="119">
        <f>ROUND(IF(U15="SI",SUMIF('Facturas año anterior'!$B$8:$B$81,B15,'Facturas año anterior'!$V$8:$V$81)*(100%+$V$5),0),-3)+ROUND(IF(U15="SI",SUMIF('C de C año anterior'!$B$8:$B$210,B15,'C de C año anterior'!$Q$8:$Q$210)*(100%+$V$5),0),-3)</f>
        <v>2010000</v>
      </c>
      <c r="W15" s="234"/>
      <c r="X15" s="114">
        <f t="shared" si="16"/>
        <v>0</v>
      </c>
      <c r="Y15" s="235"/>
      <c r="Z15" s="115">
        <f t="shared" si="17"/>
        <v>0</v>
      </c>
      <c r="AA15" s="821"/>
      <c r="AB15" s="811">
        <f t="shared" si="18"/>
        <v>0</v>
      </c>
      <c r="AC15" s="821"/>
      <c r="AD15" s="811">
        <f t="shared" si="19"/>
        <v>0</v>
      </c>
      <c r="AE15" s="236"/>
      <c r="AF15" s="116">
        <f t="shared" si="20"/>
        <v>0</v>
      </c>
      <c r="AG15" s="234"/>
      <c r="AH15" s="116">
        <f t="shared" si="21"/>
        <v>0</v>
      </c>
      <c r="AI15" s="237"/>
      <c r="AJ15" s="117">
        <f t="shared" si="22"/>
        <v>0</v>
      </c>
      <c r="AK15" s="1092">
        <f>SUMIF('Otras Asesorías y Préstamos'!$B$7:$B$242,B15,'Otras Asesorías y Préstamos'!$F$7:$F$242)</f>
        <v>384948.68328320002</v>
      </c>
      <c r="AL15" s="1092">
        <f>SUMIF('Otras Asesorías y Préstamos'!$B$7:$B$242,B15,'Otras Asesorías y Préstamos'!$V$7:$V$242)</f>
        <v>0</v>
      </c>
      <c r="AM15" s="1095">
        <f t="shared" si="24"/>
        <v>2390000</v>
      </c>
      <c r="AN15" s="529"/>
      <c r="BM15" s="337"/>
      <c r="BN15" s="337"/>
      <c r="BO15" s="337"/>
      <c r="BP15" s="337"/>
      <c r="BQ15" s="337"/>
      <c r="BR15" s="337"/>
      <c r="BS15" s="337"/>
      <c r="BT15" s="337"/>
      <c r="BU15" s="337"/>
      <c r="BV15" s="337"/>
      <c r="BW15" s="337"/>
      <c r="BX15" s="337"/>
      <c r="BY15" s="337"/>
      <c r="BZ15" s="337"/>
      <c r="CA15" s="337"/>
      <c r="CB15" s="337"/>
      <c r="CC15" s="337"/>
      <c r="CD15" s="337"/>
      <c r="CE15" s="337"/>
      <c r="CF15" s="337"/>
      <c r="CG15" s="337"/>
      <c r="CH15" s="337"/>
      <c r="CI15" s="337"/>
      <c r="CJ15" s="337"/>
      <c r="CK15" s="337"/>
      <c r="CL15" s="337"/>
      <c r="CM15" s="337"/>
      <c r="CN15" s="337"/>
      <c r="CO15" s="337"/>
      <c r="CP15" s="337"/>
      <c r="CQ15" s="337"/>
      <c r="CR15" s="337"/>
      <c r="CS15" s="337"/>
      <c r="CT15" s="337"/>
      <c r="CU15" s="337"/>
      <c r="CV15" s="337"/>
      <c r="CW15" s="337"/>
      <c r="CX15" s="337"/>
      <c r="CY15" s="337"/>
      <c r="CZ15" s="337"/>
      <c r="DA15" s="337"/>
      <c r="DB15" s="337"/>
      <c r="DC15" s="337"/>
      <c r="DD15" s="337"/>
      <c r="DE15" s="337"/>
      <c r="DF15" s="337"/>
      <c r="DG15" s="337"/>
      <c r="DH15" s="337"/>
      <c r="DI15" s="337"/>
      <c r="DJ15" s="337"/>
      <c r="DK15" s="337"/>
      <c r="DL15" s="337"/>
      <c r="DM15" s="337"/>
      <c r="DN15" s="337"/>
      <c r="DO15" s="337"/>
      <c r="DP15" s="337"/>
      <c r="DQ15" s="337"/>
      <c r="DR15" s="337"/>
      <c r="DS15" s="337"/>
      <c r="DT15" s="337"/>
      <c r="DU15" s="337"/>
      <c r="DV15" s="337"/>
      <c r="DW15" s="337"/>
      <c r="DX15" s="337"/>
      <c r="DY15" s="337"/>
      <c r="DZ15" s="337"/>
      <c r="EA15" s="337"/>
      <c r="EB15" s="337"/>
      <c r="EC15" s="337"/>
      <c r="ED15" s="337"/>
      <c r="EE15" s="337"/>
      <c r="EF15" s="337"/>
      <c r="EG15" s="337"/>
      <c r="EH15" s="337"/>
      <c r="EI15" s="337"/>
      <c r="EJ15" s="337"/>
      <c r="EK15" s="337"/>
      <c r="EL15" s="337"/>
      <c r="EM15" s="337"/>
      <c r="EN15" s="337"/>
      <c r="EO15" s="337"/>
      <c r="EP15" s="337"/>
      <c r="EQ15" s="337"/>
      <c r="ER15" s="337"/>
      <c r="ES15" s="337"/>
      <c r="ET15" s="337"/>
      <c r="EU15" s="337"/>
      <c r="EV15" s="337"/>
      <c r="EW15" s="337"/>
      <c r="EX15" s="337"/>
      <c r="EY15" s="337"/>
      <c r="EZ15" s="337"/>
      <c r="FA15" s="337"/>
      <c r="FB15" s="337"/>
      <c r="FC15" s="337"/>
      <c r="FD15" s="337"/>
      <c r="FE15" s="337"/>
      <c r="FF15" s="337"/>
      <c r="FG15" s="337"/>
      <c r="FH15" s="337"/>
      <c r="FI15" s="337"/>
      <c r="FJ15" s="337"/>
      <c r="FK15" s="337"/>
      <c r="FL15" s="337"/>
      <c r="FM15" s="337"/>
      <c r="FN15" s="337"/>
      <c r="FO15" s="337"/>
      <c r="FP15" s="337"/>
      <c r="FQ15" s="337"/>
      <c r="FR15" s="337"/>
      <c r="FS15" s="337"/>
      <c r="FT15" s="337"/>
      <c r="FU15" s="337"/>
      <c r="FV15" s="337"/>
      <c r="FW15" s="337"/>
      <c r="FX15" s="337"/>
      <c r="FY15" s="337"/>
      <c r="FZ15" s="337"/>
      <c r="GA15" s="337"/>
      <c r="GB15" s="337"/>
      <c r="GC15" s="337"/>
      <c r="GD15" s="337"/>
      <c r="GE15" s="337"/>
      <c r="GF15" s="337"/>
      <c r="GG15" s="337"/>
      <c r="GH15" s="337"/>
      <c r="GI15" s="337"/>
      <c r="GJ15" s="337"/>
      <c r="GK15" s="337"/>
      <c r="GL15" s="337"/>
      <c r="GM15" s="337"/>
      <c r="GN15" s="337"/>
      <c r="GO15" s="337"/>
      <c r="GP15" s="337"/>
      <c r="GQ15" s="337"/>
      <c r="GR15" s="337"/>
      <c r="GS15" s="337"/>
      <c r="GT15" s="337"/>
      <c r="GU15" s="337"/>
      <c r="GV15" s="337"/>
      <c r="GW15" s="337"/>
      <c r="GX15" s="337"/>
      <c r="GY15" s="337"/>
      <c r="GZ15" s="337"/>
      <c r="HA15" s="337"/>
      <c r="HB15" s="337"/>
      <c r="HC15" s="337"/>
      <c r="HD15" s="337"/>
      <c r="HE15" s="337"/>
      <c r="HF15" s="337"/>
      <c r="HG15" s="337"/>
      <c r="HH15" s="337"/>
      <c r="HI15" s="337"/>
      <c r="HJ15" s="337"/>
      <c r="HK15" s="337"/>
      <c r="HL15" s="337"/>
      <c r="HM15" s="337"/>
      <c r="HN15" s="337"/>
      <c r="HO15" s="337"/>
      <c r="HP15" s="337"/>
      <c r="HQ15" s="337"/>
      <c r="HR15" s="337"/>
      <c r="HS15" s="337"/>
      <c r="HT15" s="337"/>
      <c r="HU15" s="337"/>
      <c r="HV15" s="337"/>
      <c r="HW15" s="337"/>
      <c r="HX15" s="337"/>
      <c r="HY15" s="337"/>
      <c r="HZ15" s="337"/>
      <c r="IA15" s="337"/>
      <c r="IB15" s="337"/>
      <c r="IC15" s="337"/>
      <c r="ID15" s="337"/>
      <c r="IE15" s="337"/>
      <c r="IF15" s="337"/>
      <c r="IG15" s="337"/>
      <c r="IH15" s="337"/>
      <c r="II15" s="337"/>
      <c r="IJ15" s="337"/>
      <c r="IK15" s="337"/>
      <c r="IL15" s="337"/>
      <c r="IM15" s="337"/>
      <c r="IN15" s="337"/>
      <c r="IO15" s="337"/>
      <c r="IP15" s="337"/>
      <c r="IQ15" s="337"/>
      <c r="IR15" s="337"/>
      <c r="IS15" s="337"/>
      <c r="IT15" s="337"/>
    </row>
    <row r="16" spans="1:254" s="346" customFormat="1" x14ac:dyDescent="0.2">
      <c r="A16" s="1208">
        <f t="shared" si="14"/>
        <v>8</v>
      </c>
      <c r="B16" s="1528" t="s">
        <v>274</v>
      </c>
      <c r="C16" s="1068">
        <f>_xlfn.XLOOKUP(B16,Códigos!$B$8:$B$406,Códigos!$A$8:$A$406,"Verificar",0)</f>
        <v>44</v>
      </c>
      <c r="D16" s="1040">
        <f>_xlfn.XLOOKUP(B16,'Consolidado Cobros'!$B$10:$B$268,'Consolidado Cobros'!$C$10:$C$268,"Verificar",0)</f>
        <v>1152450831</v>
      </c>
      <c r="E16" s="1068">
        <f t="shared" si="0"/>
        <v>7</v>
      </c>
      <c r="F16" s="1506">
        <f t="shared" si="1"/>
        <v>220000</v>
      </c>
      <c r="G16" s="1298">
        <f t="shared" si="2"/>
        <v>41800</v>
      </c>
      <c r="H16" s="1282" t="s">
        <v>124</v>
      </c>
      <c r="I16" s="1292">
        <f t="shared" si="15"/>
        <v>-24200</v>
      </c>
      <c r="J16" s="1211">
        <f t="shared" si="3"/>
        <v>261800</v>
      </c>
      <c r="K16" s="1531">
        <f t="shared" si="4"/>
        <v>237600</v>
      </c>
      <c r="L16" s="1054"/>
      <c r="M16" s="1470"/>
      <c r="N16" s="1335"/>
      <c r="O16" s="1339"/>
      <c r="P16" s="1335"/>
      <c r="Q16" s="1214">
        <f t="shared" si="5"/>
        <v>0</v>
      </c>
      <c r="R16" s="1215"/>
      <c r="S16" s="293" t="s">
        <v>147</v>
      </c>
      <c r="T16" s="529"/>
      <c r="U16" s="1094" t="s">
        <v>82</v>
      </c>
      <c r="V16" s="119">
        <f>ROUND(IF(U16="SI",SUMIF('Facturas año anterior'!$B$8:$B$81,B16,'Facturas año anterior'!$V$8:$V$81)*(100%+$V$5),0),-3)+ROUND(IF(U16="SI",SUMIF('C de C año anterior'!$B$8:$B$210,B16,'C de C año anterior'!$Q$8:$Q$210)*(100%+$V$5),0),-3)</f>
        <v>221000</v>
      </c>
      <c r="W16" s="234"/>
      <c r="X16" s="114">
        <f t="shared" si="16"/>
        <v>0</v>
      </c>
      <c r="Y16" s="235"/>
      <c r="Z16" s="115">
        <f t="shared" si="17"/>
        <v>0</v>
      </c>
      <c r="AA16" s="821"/>
      <c r="AB16" s="811">
        <f t="shared" si="18"/>
        <v>0</v>
      </c>
      <c r="AC16" s="821"/>
      <c r="AD16" s="811">
        <f t="shared" si="19"/>
        <v>0</v>
      </c>
      <c r="AE16" s="236"/>
      <c r="AF16" s="116">
        <f t="shared" si="20"/>
        <v>0</v>
      </c>
      <c r="AG16" s="234"/>
      <c r="AH16" s="116">
        <f t="shared" si="21"/>
        <v>0</v>
      </c>
      <c r="AI16" s="237"/>
      <c r="AJ16" s="117">
        <f t="shared" si="22"/>
        <v>0</v>
      </c>
      <c r="AK16" s="1092">
        <f>SUMIF('Otras Asesorías y Préstamos'!$B$7:$B$242,B16,'Otras Asesorías y Préstamos'!$F$7:$F$242)</f>
        <v>0</v>
      </c>
      <c r="AL16" s="1092">
        <f>SUMIF('Otras Asesorías y Préstamos'!$B$7:$B$242,B16,'Otras Asesorías y Préstamos'!$V$7:$V$242)</f>
        <v>0</v>
      </c>
      <c r="AM16" s="1095">
        <f t="shared" si="24"/>
        <v>220000</v>
      </c>
      <c r="AN16" s="529"/>
      <c r="BM16" s="337"/>
      <c r="BN16" s="337"/>
      <c r="BO16" s="337"/>
      <c r="BP16" s="337"/>
      <c r="BQ16" s="337"/>
      <c r="BR16" s="337"/>
      <c r="BS16" s="337"/>
      <c r="BT16" s="337"/>
      <c r="BU16" s="337"/>
      <c r="BV16" s="337"/>
      <c r="BW16" s="337"/>
      <c r="BX16" s="337"/>
      <c r="BY16" s="337"/>
      <c r="BZ16" s="337"/>
      <c r="CA16" s="337"/>
      <c r="CB16" s="337"/>
      <c r="CC16" s="337"/>
      <c r="CD16" s="337"/>
      <c r="CE16" s="337"/>
      <c r="CF16" s="337"/>
      <c r="CG16" s="337"/>
      <c r="CH16" s="337"/>
      <c r="CI16" s="337"/>
      <c r="CJ16" s="337"/>
      <c r="CK16" s="337"/>
      <c r="CL16" s="337"/>
      <c r="CM16" s="337"/>
      <c r="CN16" s="337"/>
      <c r="CO16" s="337"/>
      <c r="CP16" s="337"/>
      <c r="CQ16" s="337"/>
      <c r="CR16" s="337"/>
      <c r="CS16" s="337"/>
      <c r="CT16" s="337"/>
      <c r="CU16" s="337"/>
      <c r="CV16" s="337"/>
      <c r="CW16" s="337"/>
      <c r="CX16" s="337"/>
      <c r="CY16" s="337"/>
      <c r="CZ16" s="337"/>
      <c r="DA16" s="337"/>
      <c r="DB16" s="337"/>
      <c r="DC16" s="337"/>
      <c r="DD16" s="337"/>
      <c r="DE16" s="337"/>
      <c r="DF16" s="337"/>
      <c r="DG16" s="337"/>
      <c r="DH16" s="337"/>
      <c r="DI16" s="337"/>
      <c r="DJ16" s="337"/>
      <c r="DK16" s="337"/>
      <c r="DL16" s="337"/>
      <c r="DM16" s="337"/>
      <c r="DN16" s="337"/>
      <c r="DO16" s="337"/>
      <c r="DP16" s="337"/>
      <c r="DQ16" s="337"/>
      <c r="DR16" s="337"/>
      <c r="DS16" s="337"/>
      <c r="DT16" s="337"/>
      <c r="DU16" s="337"/>
      <c r="DV16" s="337"/>
      <c r="DW16" s="337"/>
      <c r="DX16" s="337"/>
      <c r="DY16" s="337"/>
      <c r="DZ16" s="337"/>
      <c r="EA16" s="337"/>
      <c r="EB16" s="337"/>
      <c r="EC16" s="337"/>
      <c r="ED16" s="337"/>
      <c r="EE16" s="337"/>
      <c r="EF16" s="337"/>
      <c r="EG16" s="337"/>
      <c r="EH16" s="337"/>
      <c r="EI16" s="337"/>
      <c r="EJ16" s="337"/>
      <c r="EK16" s="337"/>
      <c r="EL16" s="337"/>
      <c r="EM16" s="337"/>
      <c r="EN16" s="337"/>
      <c r="EO16" s="337"/>
      <c r="EP16" s="337"/>
      <c r="EQ16" s="337"/>
      <c r="ER16" s="337"/>
      <c r="ES16" s="337"/>
      <c r="ET16" s="337"/>
      <c r="EU16" s="337"/>
      <c r="EV16" s="337"/>
      <c r="EW16" s="337"/>
      <c r="EX16" s="337"/>
      <c r="EY16" s="337"/>
      <c r="EZ16" s="337"/>
      <c r="FA16" s="337"/>
      <c r="FB16" s="337"/>
      <c r="FC16" s="337"/>
      <c r="FD16" s="337"/>
      <c r="FE16" s="337"/>
      <c r="FF16" s="337"/>
      <c r="FG16" s="337"/>
      <c r="FH16" s="337"/>
      <c r="FI16" s="337"/>
      <c r="FJ16" s="337"/>
      <c r="FK16" s="337"/>
      <c r="FL16" s="337"/>
      <c r="FM16" s="337"/>
      <c r="FN16" s="337"/>
      <c r="FO16" s="337"/>
      <c r="FP16" s="337"/>
      <c r="FQ16" s="337"/>
      <c r="FR16" s="337"/>
      <c r="FS16" s="337"/>
      <c r="FT16" s="337"/>
      <c r="FU16" s="337"/>
      <c r="FV16" s="337"/>
      <c r="FW16" s="337"/>
      <c r="FX16" s="337"/>
      <c r="FY16" s="337"/>
      <c r="FZ16" s="337"/>
      <c r="GA16" s="337"/>
      <c r="GB16" s="337"/>
      <c r="GC16" s="337"/>
      <c r="GD16" s="337"/>
      <c r="GE16" s="337"/>
      <c r="GF16" s="337"/>
      <c r="GG16" s="337"/>
      <c r="GH16" s="337"/>
      <c r="GI16" s="337"/>
      <c r="GJ16" s="337"/>
      <c r="GK16" s="337"/>
      <c r="GL16" s="337"/>
      <c r="GM16" s="337"/>
      <c r="GN16" s="337"/>
      <c r="GO16" s="337"/>
      <c r="GP16" s="337"/>
      <c r="GQ16" s="337"/>
      <c r="GR16" s="337"/>
      <c r="GS16" s="337"/>
      <c r="GT16" s="337"/>
      <c r="GU16" s="337"/>
      <c r="GV16" s="337"/>
      <c r="GW16" s="337"/>
      <c r="GX16" s="337"/>
      <c r="GY16" s="337"/>
      <c r="GZ16" s="337"/>
      <c r="HA16" s="337"/>
      <c r="HB16" s="337"/>
      <c r="HC16" s="337"/>
      <c r="HD16" s="337"/>
      <c r="HE16" s="337"/>
      <c r="HF16" s="337"/>
      <c r="HG16" s="337"/>
      <c r="HH16" s="337"/>
      <c r="HI16" s="337"/>
      <c r="HJ16" s="337"/>
      <c r="HK16" s="337"/>
      <c r="HL16" s="337"/>
      <c r="HM16" s="337"/>
      <c r="HN16" s="337"/>
      <c r="HO16" s="337"/>
      <c r="HP16" s="337"/>
      <c r="HQ16" s="337"/>
      <c r="HR16" s="337"/>
      <c r="HS16" s="337"/>
      <c r="HT16" s="337"/>
      <c r="HU16" s="337"/>
      <c r="HV16" s="337"/>
      <c r="HW16" s="337"/>
      <c r="HX16" s="337"/>
      <c r="HY16" s="337"/>
      <c r="HZ16" s="337"/>
      <c r="IA16" s="337"/>
      <c r="IB16" s="337"/>
      <c r="IC16" s="337"/>
      <c r="ID16" s="337"/>
      <c r="IE16" s="337"/>
      <c r="IF16" s="337"/>
      <c r="IG16" s="337"/>
      <c r="IH16" s="337"/>
      <c r="II16" s="337"/>
      <c r="IJ16" s="337"/>
      <c r="IK16" s="337"/>
      <c r="IL16" s="337"/>
      <c r="IM16" s="337"/>
      <c r="IN16" s="337"/>
      <c r="IO16" s="337"/>
      <c r="IP16" s="337"/>
      <c r="IQ16" s="337"/>
      <c r="IR16" s="337"/>
      <c r="IS16" s="337"/>
      <c r="IT16" s="337"/>
    </row>
    <row r="17" spans="1:254" s="346" customFormat="1" x14ac:dyDescent="0.2">
      <c r="A17" s="1208">
        <f t="shared" si="14"/>
        <v>9</v>
      </c>
      <c r="B17" s="1493"/>
      <c r="C17" s="1068"/>
      <c r="D17" s="1040"/>
      <c r="E17" s="1068"/>
      <c r="F17" s="1506"/>
      <c r="G17" s="1298"/>
      <c r="H17" s="1282"/>
      <c r="I17" s="1292"/>
      <c r="J17" s="1211"/>
      <c r="K17" s="1531"/>
      <c r="L17" s="1054"/>
      <c r="M17" s="1213"/>
      <c r="N17" s="1335"/>
      <c r="O17" s="1339"/>
      <c r="P17" s="1335"/>
      <c r="Q17" s="1214"/>
      <c r="R17" s="1215"/>
      <c r="S17" s="1232"/>
      <c r="T17" s="529"/>
      <c r="U17" s="1094" t="s">
        <v>82</v>
      </c>
      <c r="V17" s="119">
        <f>ROUND(IF(U17="SI",SUMIF('Facturas año anterior'!$B$8:$B$81,B17,'Facturas año anterior'!$V$8:$V$81)*(100%+$V$5),0),-3)+ROUND(IF(U17="SI",SUMIF('C de C año anterior'!$B$8:$B$210,B17,'C de C año anterior'!$Q$8:$Q$210)*(100%+$V$5),0),-3)</f>
        <v>0</v>
      </c>
      <c r="W17" s="234"/>
      <c r="X17" s="114">
        <f t="shared" si="16"/>
        <v>0</v>
      </c>
      <c r="Y17" s="235"/>
      <c r="Z17" s="115">
        <f t="shared" si="17"/>
        <v>0</v>
      </c>
      <c r="AA17" s="821"/>
      <c r="AB17" s="811">
        <f t="shared" si="18"/>
        <v>0</v>
      </c>
      <c r="AC17" s="821"/>
      <c r="AD17" s="811">
        <f t="shared" si="19"/>
        <v>0</v>
      </c>
      <c r="AE17" s="236"/>
      <c r="AF17" s="116">
        <f t="shared" si="20"/>
        <v>0</v>
      </c>
      <c r="AG17" s="234"/>
      <c r="AH17" s="116">
        <f t="shared" si="21"/>
        <v>0</v>
      </c>
      <c r="AI17" s="237"/>
      <c r="AJ17" s="117">
        <f t="shared" si="22"/>
        <v>0</v>
      </c>
      <c r="AK17" s="1092">
        <f>SUMIF('Otras Asesorías y Préstamos'!$B$7:$B$242,B17,'Otras Asesorías y Préstamos'!$F$7:$F$242)</f>
        <v>0</v>
      </c>
      <c r="AL17" s="1092">
        <f>SUMIF('Otras Asesorías y Préstamos'!$B$7:$B$242,B17,'Otras Asesorías y Préstamos'!$V$7:$V$242)</f>
        <v>0</v>
      </c>
      <c r="AM17" s="1095">
        <f t="shared" si="24"/>
        <v>0</v>
      </c>
      <c r="AN17" s="529"/>
      <c r="BM17" s="337"/>
      <c r="BN17" s="337"/>
      <c r="BO17" s="337"/>
      <c r="BP17" s="337"/>
      <c r="BQ17" s="337"/>
      <c r="BR17" s="337"/>
      <c r="BS17" s="337"/>
      <c r="BT17" s="337"/>
      <c r="BU17" s="337"/>
      <c r="BV17" s="337"/>
      <c r="BW17" s="337"/>
      <c r="BX17" s="337"/>
      <c r="BY17" s="337"/>
      <c r="BZ17" s="337"/>
      <c r="CA17" s="337"/>
      <c r="CB17" s="337"/>
      <c r="CC17" s="337"/>
      <c r="CD17" s="337"/>
      <c r="CE17" s="337"/>
      <c r="CF17" s="337"/>
      <c r="CG17" s="337"/>
      <c r="CH17" s="337"/>
      <c r="CI17" s="337"/>
      <c r="CJ17" s="337"/>
      <c r="CK17" s="337"/>
      <c r="CL17" s="337"/>
      <c r="CM17" s="337"/>
      <c r="CN17" s="337"/>
      <c r="CO17" s="337"/>
      <c r="CP17" s="337"/>
      <c r="CQ17" s="337"/>
      <c r="CR17" s="337"/>
      <c r="CS17" s="337"/>
      <c r="CT17" s="337"/>
      <c r="CU17" s="337"/>
      <c r="CV17" s="337"/>
      <c r="CW17" s="337"/>
      <c r="CX17" s="337"/>
      <c r="CY17" s="337"/>
      <c r="CZ17" s="337"/>
      <c r="DA17" s="337"/>
      <c r="DB17" s="337"/>
      <c r="DC17" s="337"/>
      <c r="DD17" s="337"/>
      <c r="DE17" s="337"/>
      <c r="DF17" s="337"/>
      <c r="DG17" s="337"/>
      <c r="DH17" s="337"/>
      <c r="DI17" s="337"/>
      <c r="DJ17" s="337"/>
      <c r="DK17" s="337"/>
      <c r="DL17" s="337"/>
      <c r="DM17" s="337"/>
      <c r="DN17" s="337"/>
      <c r="DO17" s="337"/>
      <c r="DP17" s="337"/>
      <c r="DQ17" s="337"/>
      <c r="DR17" s="337"/>
      <c r="DS17" s="337"/>
      <c r="DT17" s="337"/>
      <c r="DU17" s="337"/>
      <c r="DV17" s="337"/>
      <c r="DW17" s="337"/>
      <c r="DX17" s="337"/>
      <c r="DY17" s="337"/>
      <c r="DZ17" s="337"/>
      <c r="EA17" s="337"/>
      <c r="EB17" s="337"/>
      <c r="EC17" s="337"/>
      <c r="ED17" s="337"/>
      <c r="EE17" s="337"/>
      <c r="EF17" s="337"/>
      <c r="EG17" s="337"/>
      <c r="EH17" s="337"/>
      <c r="EI17" s="337"/>
      <c r="EJ17" s="337"/>
      <c r="EK17" s="337"/>
      <c r="EL17" s="337"/>
      <c r="EM17" s="337"/>
      <c r="EN17" s="337"/>
      <c r="EO17" s="337"/>
      <c r="EP17" s="337"/>
      <c r="EQ17" s="337"/>
      <c r="ER17" s="337"/>
      <c r="ES17" s="337"/>
      <c r="ET17" s="337"/>
      <c r="EU17" s="337"/>
      <c r="EV17" s="337"/>
      <c r="EW17" s="337"/>
      <c r="EX17" s="337"/>
      <c r="EY17" s="337"/>
      <c r="EZ17" s="337"/>
      <c r="FA17" s="337"/>
      <c r="FB17" s="337"/>
      <c r="FC17" s="337"/>
      <c r="FD17" s="337"/>
      <c r="FE17" s="337"/>
      <c r="FF17" s="337"/>
      <c r="FG17" s="337"/>
      <c r="FH17" s="337"/>
      <c r="FI17" s="337"/>
      <c r="FJ17" s="337"/>
      <c r="FK17" s="337"/>
      <c r="FL17" s="337"/>
      <c r="FM17" s="337"/>
      <c r="FN17" s="337"/>
      <c r="FO17" s="337"/>
      <c r="FP17" s="337"/>
      <c r="FQ17" s="337"/>
      <c r="FR17" s="337"/>
      <c r="FS17" s="337"/>
      <c r="FT17" s="337"/>
      <c r="FU17" s="337"/>
      <c r="FV17" s="337"/>
      <c r="FW17" s="337"/>
      <c r="FX17" s="337"/>
      <c r="FY17" s="337"/>
      <c r="FZ17" s="337"/>
      <c r="GA17" s="337"/>
      <c r="GB17" s="337"/>
      <c r="GC17" s="337"/>
      <c r="GD17" s="337"/>
      <c r="GE17" s="337"/>
      <c r="GF17" s="337"/>
      <c r="GG17" s="337"/>
      <c r="GH17" s="337"/>
      <c r="GI17" s="337"/>
      <c r="GJ17" s="337"/>
      <c r="GK17" s="337"/>
      <c r="GL17" s="337"/>
      <c r="GM17" s="337"/>
      <c r="GN17" s="337"/>
      <c r="GO17" s="337"/>
      <c r="GP17" s="337"/>
      <c r="GQ17" s="337"/>
      <c r="GR17" s="337"/>
      <c r="GS17" s="337"/>
      <c r="GT17" s="337"/>
      <c r="GU17" s="337"/>
      <c r="GV17" s="337"/>
      <c r="GW17" s="337"/>
      <c r="GX17" s="337"/>
      <c r="GY17" s="337"/>
      <c r="GZ17" s="337"/>
      <c r="HA17" s="337"/>
      <c r="HB17" s="337"/>
      <c r="HC17" s="337"/>
      <c r="HD17" s="337"/>
      <c r="HE17" s="337"/>
      <c r="HF17" s="337"/>
      <c r="HG17" s="337"/>
      <c r="HH17" s="337"/>
      <c r="HI17" s="337"/>
      <c r="HJ17" s="337"/>
      <c r="HK17" s="337"/>
      <c r="HL17" s="337"/>
      <c r="HM17" s="337"/>
      <c r="HN17" s="337"/>
      <c r="HO17" s="337"/>
      <c r="HP17" s="337"/>
      <c r="HQ17" s="337"/>
      <c r="HR17" s="337"/>
      <c r="HS17" s="337"/>
      <c r="HT17" s="337"/>
      <c r="HU17" s="337"/>
      <c r="HV17" s="337"/>
      <c r="HW17" s="337"/>
      <c r="HX17" s="337"/>
      <c r="HY17" s="337"/>
      <c r="HZ17" s="337"/>
      <c r="IA17" s="337"/>
      <c r="IB17" s="337"/>
      <c r="IC17" s="337"/>
      <c r="ID17" s="337"/>
      <c r="IE17" s="337"/>
      <c r="IF17" s="337"/>
      <c r="IG17" s="337"/>
      <c r="IH17" s="337"/>
      <c r="II17" s="337"/>
      <c r="IJ17" s="337"/>
      <c r="IK17" s="337"/>
      <c r="IL17" s="337"/>
      <c r="IM17" s="337"/>
      <c r="IN17" s="337"/>
      <c r="IO17" s="337"/>
      <c r="IP17" s="337"/>
      <c r="IQ17" s="337"/>
      <c r="IR17" s="337"/>
      <c r="IS17" s="337"/>
      <c r="IT17" s="337"/>
    </row>
    <row r="18" spans="1:254" x14ac:dyDescent="0.2">
      <c r="A18" s="1208">
        <f>+A17+1</f>
        <v>10</v>
      </c>
      <c r="B18" s="1168"/>
      <c r="C18" s="1068"/>
      <c r="D18" s="1040"/>
      <c r="E18" s="1068"/>
      <c r="F18" s="1209"/>
      <c r="G18" s="1210"/>
      <c r="H18" s="1282"/>
      <c r="I18" s="1292"/>
      <c r="J18" s="1211"/>
      <c r="K18" s="1212"/>
      <c r="L18" s="1054"/>
      <c r="M18" s="1213"/>
      <c r="N18" s="1335"/>
      <c r="O18" s="1339"/>
      <c r="P18" s="1335"/>
      <c r="Q18" s="1214">
        <f t="shared" si="5"/>
        <v>0</v>
      </c>
      <c r="R18" s="1215"/>
      <c r="S18" s="293"/>
      <c r="T18" s="19"/>
      <c r="U18" s="1094" t="s">
        <v>82</v>
      </c>
      <c r="V18" s="119">
        <f>ROUND(IF(U18="SI",SUMIF('Facturas año anterior'!$B$8:$B$81,B18,'Facturas año anterior'!$V$8:$V$81)*(100%+$V$5),0),-3)+ROUND(IF(U18="SI",SUMIF('C de C año anterior'!$B$8:$B$210,B18,'C de C año anterior'!$Q$8:$Q$210)*(100%+$V$5),0),-3)</f>
        <v>0</v>
      </c>
      <c r="W18" s="234"/>
      <c r="X18" s="114">
        <f t="shared" si="16"/>
        <v>0</v>
      </c>
      <c r="Y18" s="235"/>
      <c r="Z18" s="115">
        <f t="shared" si="17"/>
        <v>0</v>
      </c>
      <c r="AA18" s="821"/>
      <c r="AB18" s="811">
        <f t="shared" si="18"/>
        <v>0</v>
      </c>
      <c r="AC18" s="821"/>
      <c r="AD18" s="811">
        <f t="shared" si="19"/>
        <v>0</v>
      </c>
      <c r="AE18" s="236"/>
      <c r="AF18" s="116">
        <f t="shared" si="20"/>
        <v>0</v>
      </c>
      <c r="AG18" s="234"/>
      <c r="AH18" s="116">
        <f t="shared" si="21"/>
        <v>0</v>
      </c>
      <c r="AI18" s="237" t="s">
        <v>82</v>
      </c>
      <c r="AJ18" s="117">
        <f t="shared" si="22"/>
        <v>0</v>
      </c>
      <c r="AK18" s="1092">
        <f>SUMIF('Otras Asesorías y Préstamos'!$B$7:$B$242,B18,'Otras Asesorías y Préstamos'!$F$7:$F$242)</f>
        <v>0</v>
      </c>
      <c r="AL18" s="1092">
        <f>SUMIF('Otras Asesorías y Préstamos'!$B$7:$B$242,B18,'Otras Asesorías y Préstamos'!$V$7:$V$242)</f>
        <v>0</v>
      </c>
      <c r="AM18" s="1095">
        <f t="shared" si="24"/>
        <v>0</v>
      </c>
      <c r="AN18" s="19"/>
    </row>
    <row r="19" spans="1:254" x14ac:dyDescent="0.2">
      <c r="A19" s="1208">
        <f t="shared" si="14"/>
        <v>11</v>
      </c>
      <c r="B19" s="1168"/>
      <c r="C19" s="1068"/>
      <c r="D19" s="1040"/>
      <c r="E19" s="1068"/>
      <c r="F19" s="1209"/>
      <c r="G19" s="1210"/>
      <c r="H19" s="1049"/>
      <c r="I19" s="1298"/>
      <c r="J19" s="1211"/>
      <c r="K19" s="1212"/>
      <c r="L19" s="1054"/>
      <c r="M19" s="1213"/>
      <c r="N19" s="1335"/>
      <c r="O19" s="1339"/>
      <c r="P19" s="1335"/>
      <c r="Q19" s="1214">
        <f t="shared" si="5"/>
        <v>0</v>
      </c>
      <c r="R19" s="1215"/>
      <c r="S19" s="293"/>
      <c r="T19" s="19"/>
      <c r="U19" s="1094" t="s">
        <v>82</v>
      </c>
      <c r="V19" s="119">
        <f>ROUND(IF(U19="SI",SUMIF('Facturas año anterior'!$B$8:$B$81,B19,'Facturas año anterior'!$V$8:$V$81)*(100%+$V$5),0),-3)+ROUND(IF(U19="SI",SUMIF('C de C año anterior'!$B$8:$B$210,B19,'C de C año anterior'!$Q$8:$Q$210)*(100%+$V$5),0),-3)</f>
        <v>0</v>
      </c>
      <c r="W19" s="234"/>
      <c r="X19" s="114">
        <f t="shared" si="16"/>
        <v>0</v>
      </c>
      <c r="Y19" s="235"/>
      <c r="Z19" s="115">
        <f t="shared" si="17"/>
        <v>0</v>
      </c>
      <c r="AA19" s="821"/>
      <c r="AB19" s="811">
        <f t="shared" si="18"/>
        <v>0</v>
      </c>
      <c r="AC19" s="821"/>
      <c r="AD19" s="811">
        <f t="shared" si="19"/>
        <v>0</v>
      </c>
      <c r="AE19" s="236"/>
      <c r="AF19" s="116">
        <f t="shared" si="20"/>
        <v>0</v>
      </c>
      <c r="AG19" s="234"/>
      <c r="AH19" s="116">
        <f t="shared" si="21"/>
        <v>0</v>
      </c>
      <c r="AI19" s="237"/>
      <c r="AJ19" s="117">
        <f t="shared" si="22"/>
        <v>0</v>
      </c>
      <c r="AK19" s="1092">
        <f>SUMIF('Otras Asesorías y Préstamos'!$B$7:$B$242,B19,'Otras Asesorías y Préstamos'!$F$7:$F$242)</f>
        <v>0</v>
      </c>
      <c r="AL19" s="1092">
        <f>SUMIF('Otras Asesorías y Préstamos'!$B$7:$B$242,B19,'Otras Asesorías y Préstamos'!$V$7:$V$242)</f>
        <v>0</v>
      </c>
      <c r="AM19" s="1095">
        <f t="shared" si="24"/>
        <v>0</v>
      </c>
      <c r="AN19" s="19"/>
    </row>
    <row r="20" spans="1:254" x14ac:dyDescent="0.2">
      <c r="A20" s="1208">
        <f t="shared" si="14"/>
        <v>12</v>
      </c>
      <c r="B20" s="1168"/>
      <c r="C20" s="1068"/>
      <c r="D20" s="1040"/>
      <c r="E20" s="1068"/>
      <c r="F20" s="1209"/>
      <c r="G20" s="1210"/>
      <c r="H20" s="1282"/>
      <c r="I20" s="1292"/>
      <c r="J20" s="1211"/>
      <c r="K20" s="1212"/>
      <c r="L20" s="1054"/>
      <c r="M20" s="1213"/>
      <c r="N20" s="1335"/>
      <c r="O20" s="1339"/>
      <c r="P20" s="1335"/>
      <c r="Q20" s="1214">
        <f t="shared" si="5"/>
        <v>0</v>
      </c>
      <c r="R20" s="1215"/>
      <c r="S20" s="293"/>
      <c r="T20" s="19"/>
      <c r="U20" s="1094" t="s">
        <v>82</v>
      </c>
      <c r="V20" s="119">
        <f>ROUND(IF(U20="SI",SUMIF('Facturas año anterior'!$B$8:$B$81,B20,'Facturas año anterior'!$V$8:$V$81)*(100%+$V$5),0),-3)+ROUND(IF(U20="SI",SUMIF('C de C año anterior'!$B$8:$B$210,B20,'C de C año anterior'!$Q$8:$Q$210)*(100%+$V$5),0),-3)</f>
        <v>0</v>
      </c>
      <c r="W20" s="234"/>
      <c r="X20" s="114">
        <f t="shared" si="16"/>
        <v>0</v>
      </c>
      <c r="Y20" s="235"/>
      <c r="Z20" s="115">
        <f t="shared" si="17"/>
        <v>0</v>
      </c>
      <c r="AA20" s="821"/>
      <c r="AB20" s="811">
        <f t="shared" si="18"/>
        <v>0</v>
      </c>
      <c r="AC20" s="821"/>
      <c r="AD20" s="811">
        <f t="shared" si="19"/>
        <v>0</v>
      </c>
      <c r="AE20" s="236"/>
      <c r="AF20" s="116">
        <f t="shared" si="20"/>
        <v>0</v>
      </c>
      <c r="AG20" s="234"/>
      <c r="AH20" s="116">
        <f t="shared" si="21"/>
        <v>0</v>
      </c>
      <c r="AI20" s="237"/>
      <c r="AJ20" s="117">
        <f t="shared" si="22"/>
        <v>0</v>
      </c>
      <c r="AK20" s="1092">
        <f>SUMIF('Otras Asesorías y Préstamos'!$B$7:$B$242,B20,'Otras Asesorías y Préstamos'!$F$7:$F$242)</f>
        <v>0</v>
      </c>
      <c r="AL20" s="1092">
        <f>SUMIF('Otras Asesorías y Préstamos'!$B$7:$B$242,B20,'Otras Asesorías y Préstamos'!$V$7:$V$242)</f>
        <v>0</v>
      </c>
      <c r="AM20" s="1095">
        <f t="shared" si="24"/>
        <v>0</v>
      </c>
      <c r="AN20" s="19"/>
    </row>
    <row r="21" spans="1:254" x14ac:dyDescent="0.2">
      <c r="A21" s="1208">
        <f t="shared" si="14"/>
        <v>13</v>
      </c>
      <c r="B21" s="1168"/>
      <c r="C21" s="1068"/>
      <c r="D21" s="1040"/>
      <c r="E21" s="1068"/>
      <c r="F21" s="1209"/>
      <c r="G21" s="1210"/>
      <c r="H21" s="1282"/>
      <c r="I21" s="1292"/>
      <c r="J21" s="1211"/>
      <c r="K21" s="1212"/>
      <c r="L21" s="1054"/>
      <c r="M21" s="1213"/>
      <c r="N21" s="1335"/>
      <c r="O21" s="1339"/>
      <c r="P21" s="1335"/>
      <c r="Q21" s="1214">
        <f t="shared" si="5"/>
        <v>0</v>
      </c>
      <c r="R21" s="1215"/>
      <c r="S21" s="293"/>
      <c r="T21" s="19"/>
      <c r="U21" s="1094" t="s">
        <v>82</v>
      </c>
      <c r="V21" s="119">
        <f>ROUND(IF(U21="SI",SUMIF('Facturas año anterior'!$B$8:$B$81,B21,'Facturas año anterior'!$V$8:$V$81)*(100%+$V$5),0),-3)+ROUND(IF(U21="SI",SUMIF('C de C año anterior'!$B$8:$B$210,B21,'C de C año anterior'!$Q$8:$Q$210)*(100%+$V$5),0),-3)</f>
        <v>0</v>
      </c>
      <c r="W21" s="234"/>
      <c r="X21" s="114">
        <f t="shared" si="16"/>
        <v>0</v>
      </c>
      <c r="Y21" s="235"/>
      <c r="Z21" s="115">
        <f t="shared" si="17"/>
        <v>0</v>
      </c>
      <c r="AA21" s="821"/>
      <c r="AB21" s="811">
        <f t="shared" si="18"/>
        <v>0</v>
      </c>
      <c r="AC21" s="821"/>
      <c r="AD21" s="811">
        <f t="shared" si="19"/>
        <v>0</v>
      </c>
      <c r="AE21" s="236"/>
      <c r="AF21" s="116">
        <f t="shared" si="20"/>
        <v>0</v>
      </c>
      <c r="AG21" s="234"/>
      <c r="AH21" s="116">
        <f t="shared" si="21"/>
        <v>0</v>
      </c>
      <c r="AI21" s="237" t="s">
        <v>82</v>
      </c>
      <c r="AJ21" s="117">
        <f t="shared" si="22"/>
        <v>0</v>
      </c>
      <c r="AK21" s="1092">
        <f>SUMIF('Otras Asesorías y Préstamos'!$B$7:$B$242,B21,'Otras Asesorías y Préstamos'!$F$7:$F$242)</f>
        <v>0</v>
      </c>
      <c r="AL21" s="1092">
        <f>SUMIF('Otras Asesorías y Préstamos'!$B$7:$B$242,B21,'Otras Asesorías y Préstamos'!$V$7:$V$242)</f>
        <v>0</v>
      </c>
      <c r="AM21" s="1095">
        <f t="shared" si="23"/>
        <v>0</v>
      </c>
      <c r="AN21" s="19"/>
    </row>
    <row r="22" spans="1:254" x14ac:dyDescent="0.2">
      <c r="A22" s="1208">
        <f t="shared" si="14"/>
        <v>14</v>
      </c>
      <c r="B22" s="1168"/>
      <c r="C22" s="1068"/>
      <c r="D22" s="1040"/>
      <c r="E22" s="1068"/>
      <c r="F22" s="1209"/>
      <c r="G22" s="1210"/>
      <c r="H22" s="1282"/>
      <c r="I22" s="1292"/>
      <c r="J22" s="1211"/>
      <c r="K22" s="1212"/>
      <c r="L22" s="1054"/>
      <c r="M22" s="1213"/>
      <c r="N22" s="1335"/>
      <c r="O22" s="1339"/>
      <c r="P22" s="1335"/>
      <c r="Q22" s="1214">
        <f t="shared" si="5"/>
        <v>0</v>
      </c>
      <c r="R22" s="1215"/>
      <c r="S22" s="323"/>
      <c r="T22" s="19"/>
      <c r="U22" s="1094" t="s">
        <v>82</v>
      </c>
      <c r="V22" s="119">
        <f>ROUND(IF(U22="SI",SUMIF('Facturas año anterior'!$B$8:$B$81,B22,'Facturas año anterior'!$V$8:$V$81)*(100%+$V$5),0),-3)+ROUND(IF(U22="SI",SUMIF('C de C año anterior'!$B$8:$B$210,B22,'C de C año anterior'!$Q$8:$Q$210)*(100%+$V$5),0),-3)</f>
        <v>0</v>
      </c>
      <c r="W22" s="234"/>
      <c r="X22" s="114">
        <f t="shared" si="16"/>
        <v>0</v>
      </c>
      <c r="Y22" s="235"/>
      <c r="Z22" s="115">
        <f t="shared" si="17"/>
        <v>0</v>
      </c>
      <c r="AA22" s="821"/>
      <c r="AB22" s="811">
        <f t="shared" si="18"/>
        <v>0</v>
      </c>
      <c r="AC22" s="821"/>
      <c r="AD22" s="811">
        <f t="shared" si="19"/>
        <v>0</v>
      </c>
      <c r="AE22" s="236"/>
      <c r="AF22" s="116">
        <f t="shared" si="20"/>
        <v>0</v>
      </c>
      <c r="AG22" s="234"/>
      <c r="AH22" s="116">
        <f t="shared" si="21"/>
        <v>0</v>
      </c>
      <c r="AI22" s="237" t="s">
        <v>82</v>
      </c>
      <c r="AJ22" s="117">
        <f t="shared" si="22"/>
        <v>0</v>
      </c>
      <c r="AK22" s="1092">
        <f>SUMIF('Otras Asesorías y Préstamos'!$B$7:$B$242,B22,'Otras Asesorías y Préstamos'!$F$7:$F$242)</f>
        <v>0</v>
      </c>
      <c r="AL22" s="1092">
        <f>SUMIF('Otras Asesorías y Préstamos'!$B$7:$B$242,B22,'Otras Asesorías y Préstamos'!$V$7:$V$242)</f>
        <v>0</v>
      </c>
      <c r="AM22" s="1095">
        <f t="shared" si="23"/>
        <v>0</v>
      </c>
      <c r="AN22" s="19"/>
    </row>
    <row r="23" spans="1:254" x14ac:dyDescent="0.2">
      <c r="A23" s="1208">
        <f t="shared" si="14"/>
        <v>15</v>
      </c>
      <c r="B23" s="1168"/>
      <c r="C23" s="1068"/>
      <c r="D23" s="1040"/>
      <c r="E23" s="1068"/>
      <c r="F23" s="1209"/>
      <c r="G23" s="1210"/>
      <c r="H23" s="1282"/>
      <c r="I23" s="1292"/>
      <c r="J23" s="1211"/>
      <c r="K23" s="1212"/>
      <c r="L23" s="1054"/>
      <c r="M23" s="1213"/>
      <c r="N23" s="1335"/>
      <c r="O23" s="1339"/>
      <c r="P23" s="1335"/>
      <c r="Q23" s="1214">
        <f t="shared" si="5"/>
        <v>0</v>
      </c>
      <c r="R23" s="1215"/>
      <c r="S23" s="293"/>
      <c r="T23" s="19"/>
      <c r="U23" s="1094" t="s">
        <v>82</v>
      </c>
      <c r="V23" s="119">
        <f>ROUND(IF(U23="SI",SUMIF('Facturas año anterior'!$B$8:$B$81,B23,'Facturas año anterior'!$V$8:$V$81)*(100%+$V$5),0),-3)+ROUND(IF(U23="SI",SUMIF('C de C año anterior'!$B$8:$B$210,B23,'C de C año anterior'!$Q$8:$Q$210)*(100%+$V$5),0),-3)</f>
        <v>0</v>
      </c>
      <c r="W23" s="234"/>
      <c r="X23" s="114">
        <f t="shared" si="16"/>
        <v>0</v>
      </c>
      <c r="Y23" s="235"/>
      <c r="Z23" s="115">
        <f t="shared" si="17"/>
        <v>0</v>
      </c>
      <c r="AA23" s="821"/>
      <c r="AB23" s="811">
        <f t="shared" si="18"/>
        <v>0</v>
      </c>
      <c r="AC23" s="821"/>
      <c r="AD23" s="811">
        <f t="shared" si="19"/>
        <v>0</v>
      </c>
      <c r="AE23" s="236"/>
      <c r="AF23" s="116">
        <f t="shared" si="20"/>
        <v>0</v>
      </c>
      <c r="AG23" s="234"/>
      <c r="AH23" s="116">
        <f t="shared" si="21"/>
        <v>0</v>
      </c>
      <c r="AI23" s="237" t="s">
        <v>82</v>
      </c>
      <c r="AJ23" s="117">
        <f t="shared" si="22"/>
        <v>0</v>
      </c>
      <c r="AK23" s="1092">
        <f>SUMIF('Otras Asesorías y Préstamos'!$B$7:$B$242,B23,'Otras Asesorías y Préstamos'!$F$7:$F$242)</f>
        <v>0</v>
      </c>
      <c r="AL23" s="1092">
        <f>SUMIF('Otras Asesorías y Préstamos'!$B$7:$B$242,B23,'Otras Asesorías y Préstamos'!$V$7:$V$242)</f>
        <v>0</v>
      </c>
      <c r="AM23" s="1095">
        <f t="shared" si="23"/>
        <v>0</v>
      </c>
      <c r="AN23" s="19"/>
    </row>
    <row r="24" spans="1:254" x14ac:dyDescent="0.2">
      <c r="A24" s="1208">
        <f t="shared" si="14"/>
        <v>16</v>
      </c>
      <c r="B24" s="1168"/>
      <c r="C24" s="1068"/>
      <c r="D24" s="1040"/>
      <c r="E24" s="1068"/>
      <c r="F24" s="1209"/>
      <c r="G24" s="1210"/>
      <c r="H24" s="1282"/>
      <c r="I24" s="1292"/>
      <c r="J24" s="1211"/>
      <c r="K24" s="1212"/>
      <c r="L24" s="1054"/>
      <c r="M24" s="1213"/>
      <c r="N24" s="1335"/>
      <c r="O24" s="1339"/>
      <c r="P24" s="1335"/>
      <c r="Q24" s="1214">
        <f t="shared" si="5"/>
        <v>0</v>
      </c>
      <c r="R24" s="1215"/>
      <c r="S24" s="293"/>
      <c r="T24" s="19"/>
      <c r="U24" s="1094" t="s">
        <v>82</v>
      </c>
      <c r="V24" s="119">
        <f>ROUND(IF(U24="SI",SUMIF('Facturas año anterior'!$B$8:$B$81,B24,'Facturas año anterior'!$V$8:$V$81)*(100%+$V$5),0),-3)+ROUND(IF(U24="SI",SUMIF('C de C año anterior'!$B$8:$B$210,B24,'C de C año anterior'!$Q$8:$Q$210)*(100%+$V$5),0),-3)</f>
        <v>0</v>
      </c>
      <c r="W24" s="234"/>
      <c r="X24" s="114">
        <f t="shared" si="16"/>
        <v>0</v>
      </c>
      <c r="Y24" s="235"/>
      <c r="Z24" s="115">
        <f t="shared" si="17"/>
        <v>0</v>
      </c>
      <c r="AA24" s="821"/>
      <c r="AB24" s="811">
        <f t="shared" si="18"/>
        <v>0</v>
      </c>
      <c r="AC24" s="821"/>
      <c r="AD24" s="811">
        <f t="shared" si="19"/>
        <v>0</v>
      </c>
      <c r="AE24" s="236"/>
      <c r="AF24" s="116">
        <f t="shared" si="20"/>
        <v>0</v>
      </c>
      <c r="AG24" s="234"/>
      <c r="AH24" s="116">
        <f t="shared" si="21"/>
        <v>0</v>
      </c>
      <c r="AI24" s="237"/>
      <c r="AJ24" s="117">
        <f t="shared" si="22"/>
        <v>0</v>
      </c>
      <c r="AK24" s="1092">
        <f>SUMIF('Otras Asesorías y Préstamos'!$B$7:$B$242,B24,'Otras Asesorías y Préstamos'!$F$7:$F$242)</f>
        <v>0</v>
      </c>
      <c r="AL24" s="1092">
        <f>SUMIF('Otras Asesorías y Préstamos'!$B$7:$B$242,B24,'Otras Asesorías y Préstamos'!$V$7:$V$242)</f>
        <v>0</v>
      </c>
      <c r="AM24" s="1095">
        <f t="shared" si="23"/>
        <v>0</v>
      </c>
      <c r="AN24" s="19"/>
    </row>
    <row r="25" spans="1:254" x14ac:dyDescent="0.2">
      <c r="A25" s="1208">
        <f t="shared" si="14"/>
        <v>17</v>
      </c>
      <c r="B25" s="1168"/>
      <c r="C25" s="1068"/>
      <c r="D25" s="1040"/>
      <c r="E25" s="1068"/>
      <c r="F25" s="1209"/>
      <c r="G25" s="1210"/>
      <c r="H25" s="1049"/>
      <c r="I25" s="1298"/>
      <c r="J25" s="1211"/>
      <c r="K25" s="1212"/>
      <c r="L25" s="1054"/>
      <c r="M25" s="1213"/>
      <c r="N25" s="1335"/>
      <c r="O25" s="1339"/>
      <c r="P25" s="1335"/>
      <c r="Q25" s="1214">
        <f t="shared" si="5"/>
        <v>0</v>
      </c>
      <c r="R25" s="1215"/>
      <c r="S25" s="323"/>
      <c r="T25" s="19"/>
      <c r="U25" s="1094" t="s">
        <v>82</v>
      </c>
      <c r="V25" s="119">
        <f>ROUND(IF(U25="SI",SUMIF('Facturas año anterior'!$B$8:$B$81,B25,'Facturas año anterior'!$V$8:$V$81)*(100%+$V$5),0),-3)+ROUND(IF(U25="SI",SUMIF('C de C año anterior'!$B$8:$B$210,B25,'C de C año anterior'!$Q$8:$Q$210)*(100%+$V$5),0),-3)</f>
        <v>0</v>
      </c>
      <c r="W25" s="234"/>
      <c r="X25" s="114">
        <f t="shared" si="16"/>
        <v>0</v>
      </c>
      <c r="Y25" s="235"/>
      <c r="Z25" s="115">
        <f t="shared" si="17"/>
        <v>0</v>
      </c>
      <c r="AA25" s="821"/>
      <c r="AB25" s="811">
        <f t="shared" si="18"/>
        <v>0</v>
      </c>
      <c r="AC25" s="821"/>
      <c r="AD25" s="811">
        <f t="shared" si="19"/>
        <v>0</v>
      </c>
      <c r="AE25" s="236"/>
      <c r="AF25" s="116">
        <f t="shared" si="20"/>
        <v>0</v>
      </c>
      <c r="AG25" s="234"/>
      <c r="AH25" s="116">
        <f t="shared" si="21"/>
        <v>0</v>
      </c>
      <c r="AI25" s="237" t="s">
        <v>82</v>
      </c>
      <c r="AJ25" s="117">
        <f t="shared" si="22"/>
        <v>0</v>
      </c>
      <c r="AK25" s="1092">
        <f>SUMIF('Otras Asesorías y Préstamos'!$B$7:$B$242,B25,'Otras Asesorías y Préstamos'!$F$7:$F$242)</f>
        <v>0</v>
      </c>
      <c r="AL25" s="1092">
        <f>SUMIF('Otras Asesorías y Préstamos'!$B$7:$B$242,B25,'Otras Asesorías y Préstamos'!$V$7:$V$242)</f>
        <v>0</v>
      </c>
      <c r="AM25" s="1095">
        <f t="shared" si="23"/>
        <v>0</v>
      </c>
      <c r="AN25" s="19"/>
    </row>
    <row r="26" spans="1:254" x14ac:dyDescent="0.2">
      <c r="A26" s="1208">
        <f t="shared" si="14"/>
        <v>18</v>
      </c>
      <c r="B26" s="1216"/>
      <c r="C26" s="1068"/>
      <c r="D26" s="1040"/>
      <c r="E26" s="1068"/>
      <c r="F26" s="1209"/>
      <c r="G26" s="1210"/>
      <c r="H26" s="1282"/>
      <c r="I26" s="1292"/>
      <c r="J26" s="1211"/>
      <c r="K26" s="1212"/>
      <c r="L26" s="1054"/>
      <c r="M26" s="1213"/>
      <c r="N26" s="1335"/>
      <c r="O26" s="1339"/>
      <c r="P26" s="1335"/>
      <c r="Q26" s="1214">
        <f t="shared" si="5"/>
        <v>0</v>
      </c>
      <c r="R26" s="1215"/>
      <c r="S26" s="293"/>
      <c r="T26" s="19"/>
      <c r="U26" s="1094" t="s">
        <v>82</v>
      </c>
      <c r="V26" s="119">
        <f>ROUND(IF(U26="SI",SUMIF('Facturas año anterior'!$B$8:$B$81,B26,'Facturas año anterior'!$V$8:$V$81)*(100%+$V$5),0),-3)+ROUND(IF(U26="SI",SUMIF('C de C año anterior'!$B$8:$B$210,B26,'C de C año anterior'!$Q$8:$Q$210)*(100%+$V$5),0),-3)</f>
        <v>0</v>
      </c>
      <c r="W26" s="234"/>
      <c r="X26" s="114">
        <f t="shared" si="16"/>
        <v>0</v>
      </c>
      <c r="Y26" s="235"/>
      <c r="Z26" s="115">
        <f t="shared" si="17"/>
        <v>0</v>
      </c>
      <c r="AA26" s="821"/>
      <c r="AB26" s="811">
        <f t="shared" si="18"/>
        <v>0</v>
      </c>
      <c r="AC26" s="821"/>
      <c r="AD26" s="811">
        <f t="shared" si="19"/>
        <v>0</v>
      </c>
      <c r="AE26" s="236"/>
      <c r="AF26" s="116">
        <f t="shared" si="20"/>
        <v>0</v>
      </c>
      <c r="AG26" s="234"/>
      <c r="AH26" s="116">
        <f t="shared" si="21"/>
        <v>0</v>
      </c>
      <c r="AI26" s="237"/>
      <c r="AJ26" s="117">
        <f t="shared" si="22"/>
        <v>0</v>
      </c>
      <c r="AK26" s="1092">
        <f>SUMIF('Otras Asesorías y Préstamos'!$B$7:$B$242,B26,'Otras Asesorías y Préstamos'!$F$7:$F$242)</f>
        <v>0</v>
      </c>
      <c r="AL26" s="1092">
        <f>SUMIF('Otras Asesorías y Préstamos'!$B$7:$B$242,B26,'Otras Asesorías y Préstamos'!$V$7:$V$242)</f>
        <v>0</v>
      </c>
      <c r="AM26" s="1095">
        <f t="shared" si="23"/>
        <v>0</v>
      </c>
      <c r="AN26" s="19"/>
    </row>
    <row r="27" spans="1:254" x14ac:dyDescent="0.2">
      <c r="A27" s="1208">
        <f t="shared" si="14"/>
        <v>19</v>
      </c>
      <c r="B27" s="1168"/>
      <c r="C27" s="1068"/>
      <c r="D27" s="1040"/>
      <c r="E27" s="1068"/>
      <c r="F27" s="1209"/>
      <c r="G27" s="1210"/>
      <c r="H27" s="1282"/>
      <c r="I27" s="1292"/>
      <c r="J27" s="1211"/>
      <c r="K27" s="1212"/>
      <c r="L27" s="1054"/>
      <c r="M27" s="1470"/>
      <c r="N27" s="1335"/>
      <c r="O27" s="1339"/>
      <c r="P27" s="1335"/>
      <c r="Q27" s="1214">
        <f t="shared" si="5"/>
        <v>0</v>
      </c>
      <c r="R27" s="1215"/>
      <c r="S27" s="293"/>
      <c r="T27" s="19"/>
      <c r="U27" s="1094" t="s">
        <v>82</v>
      </c>
      <c r="V27" s="119">
        <f>ROUND(IF(U27="SI",SUMIF('Facturas año anterior'!$B$8:$B$81,B27,'Facturas año anterior'!$V$8:$V$81)*(100%+$V$5),0),-3)+ROUND(IF(U27="SI",SUMIF('C de C año anterior'!$B$8:$B$210,B27,'C de C año anterior'!$Q$8:$Q$210)*(100%+$V$5),0),-3)</f>
        <v>0</v>
      </c>
      <c r="W27" s="234"/>
      <c r="X27" s="114">
        <f t="shared" si="16"/>
        <v>0</v>
      </c>
      <c r="Y27" s="235"/>
      <c r="Z27" s="115">
        <f t="shared" si="17"/>
        <v>0</v>
      </c>
      <c r="AA27" s="821"/>
      <c r="AB27" s="811">
        <f t="shared" si="18"/>
        <v>0</v>
      </c>
      <c r="AC27" s="821"/>
      <c r="AD27" s="811">
        <f t="shared" si="19"/>
        <v>0</v>
      </c>
      <c r="AE27" s="236"/>
      <c r="AF27" s="116">
        <f t="shared" si="20"/>
        <v>0</v>
      </c>
      <c r="AG27" s="234"/>
      <c r="AH27" s="116">
        <f t="shared" si="21"/>
        <v>0</v>
      </c>
      <c r="AI27" s="237"/>
      <c r="AJ27" s="117">
        <f t="shared" si="22"/>
        <v>0</v>
      </c>
      <c r="AK27" s="1092">
        <f>SUMIF('Otras Asesorías y Préstamos'!$B$7:$B$242,B27,'Otras Asesorías y Préstamos'!$F$7:$F$242)</f>
        <v>0</v>
      </c>
      <c r="AL27" s="1092">
        <f>SUMIF('Otras Asesorías y Préstamos'!$B$7:$B$242,B27,'Otras Asesorías y Préstamos'!$V$7:$V$242)</f>
        <v>0</v>
      </c>
      <c r="AM27" s="1095">
        <f t="shared" si="23"/>
        <v>0</v>
      </c>
      <c r="AN27" s="19"/>
    </row>
    <row r="28" spans="1:254" x14ac:dyDescent="0.2">
      <c r="A28" s="1208">
        <f t="shared" si="14"/>
        <v>20</v>
      </c>
      <c r="B28" s="1231"/>
      <c r="C28" s="1068"/>
      <c r="D28" s="1040"/>
      <c r="E28" s="1068"/>
      <c r="F28" s="1209"/>
      <c r="G28" s="1210"/>
      <c r="H28" s="1282"/>
      <c r="I28" s="1292"/>
      <c r="J28" s="1211"/>
      <c r="K28" s="1212"/>
      <c r="L28" s="1054"/>
      <c r="M28" s="1470"/>
      <c r="N28" s="1335"/>
      <c r="O28" s="1339"/>
      <c r="P28" s="1335"/>
      <c r="Q28" s="1214">
        <f t="shared" si="5"/>
        <v>0</v>
      </c>
      <c r="R28" s="1215"/>
      <c r="S28" s="293"/>
      <c r="T28" s="19"/>
      <c r="U28" s="1094" t="s">
        <v>82</v>
      </c>
      <c r="V28" s="119">
        <f>ROUND(IF(U28="SI",SUMIF('Facturas año anterior'!$B$8:$B$81,B28,'Facturas año anterior'!$V$8:$V$81)*(100%+$V$5),0),-3)+ROUND(IF(U28="SI",SUMIF('C de C año anterior'!$B$8:$B$210,B28,'C de C año anterior'!$Q$8:$Q$210)*(100%+$V$5),0),-3)</f>
        <v>0</v>
      </c>
      <c r="W28" s="234"/>
      <c r="X28" s="114">
        <f t="shared" si="16"/>
        <v>0</v>
      </c>
      <c r="Y28" s="235"/>
      <c r="Z28" s="115">
        <f t="shared" si="17"/>
        <v>0</v>
      </c>
      <c r="AA28" s="821"/>
      <c r="AB28" s="811">
        <f t="shared" si="18"/>
        <v>0</v>
      </c>
      <c r="AC28" s="821"/>
      <c r="AD28" s="811">
        <f t="shared" si="19"/>
        <v>0</v>
      </c>
      <c r="AE28" s="236"/>
      <c r="AF28" s="116">
        <f t="shared" si="20"/>
        <v>0</v>
      </c>
      <c r="AG28" s="234"/>
      <c r="AH28" s="116">
        <f t="shared" si="21"/>
        <v>0</v>
      </c>
      <c r="AI28" s="237"/>
      <c r="AJ28" s="117">
        <f t="shared" si="22"/>
        <v>0</v>
      </c>
      <c r="AK28" s="1092">
        <f>SUMIF('Otras Asesorías y Préstamos'!$B$7:$B$242,B28,'Otras Asesorías y Préstamos'!$F$7:$F$242)</f>
        <v>0</v>
      </c>
      <c r="AL28" s="1092">
        <f>SUMIF('Otras Asesorías y Préstamos'!$B$7:$B$242,B28,'Otras Asesorías y Préstamos'!$V$7:$V$242)</f>
        <v>0</v>
      </c>
      <c r="AM28" s="1095">
        <f t="shared" si="23"/>
        <v>0</v>
      </c>
      <c r="AN28" s="19"/>
    </row>
    <row r="29" spans="1:254" x14ac:dyDescent="0.2">
      <c r="A29" s="1208">
        <f t="shared" si="14"/>
        <v>21</v>
      </c>
      <c r="B29" s="1019"/>
      <c r="C29" s="1068"/>
      <c r="D29" s="1040"/>
      <c r="E29" s="1068"/>
      <c r="F29" s="1209"/>
      <c r="G29" s="1210"/>
      <c r="H29" s="1282"/>
      <c r="I29" s="1292"/>
      <c r="J29" s="1211"/>
      <c r="K29" s="1212"/>
      <c r="L29" s="1054"/>
      <c r="M29" s="1470"/>
      <c r="N29" s="1335"/>
      <c r="O29" s="1339"/>
      <c r="P29" s="1335"/>
      <c r="Q29" s="1214">
        <f t="shared" si="5"/>
        <v>0</v>
      </c>
      <c r="R29" s="1215"/>
      <c r="S29" s="293"/>
      <c r="T29" s="19"/>
      <c r="U29" s="1094" t="s">
        <v>82</v>
      </c>
      <c r="V29" s="119">
        <f>ROUND(IF(U29="SI",SUMIF('Facturas año anterior'!$B$8:$B$81,B29,'Facturas año anterior'!$V$8:$V$81)*(100%+$V$5),0),-3)+ROUND(IF(U29="SI",SUMIF('C de C año anterior'!$B$8:$B$210,B29,'C de C año anterior'!$Q$8:$Q$210)*(100%+$V$5),0),-3)</f>
        <v>0</v>
      </c>
      <c r="W29" s="234"/>
      <c r="X29" s="114">
        <f t="shared" si="16"/>
        <v>0</v>
      </c>
      <c r="Y29" s="235" t="s">
        <v>82</v>
      </c>
      <c r="Z29" s="115">
        <f t="shared" si="17"/>
        <v>0</v>
      </c>
      <c r="AA29" s="821"/>
      <c r="AB29" s="811">
        <f t="shared" si="18"/>
        <v>0</v>
      </c>
      <c r="AC29" s="821"/>
      <c r="AD29" s="811">
        <f t="shared" si="19"/>
        <v>0</v>
      </c>
      <c r="AE29" s="236"/>
      <c r="AF29" s="116">
        <f t="shared" si="20"/>
        <v>0</v>
      </c>
      <c r="AG29" s="234"/>
      <c r="AH29" s="116">
        <f t="shared" si="21"/>
        <v>0</v>
      </c>
      <c r="AI29" s="237"/>
      <c r="AJ29" s="117">
        <f t="shared" si="22"/>
        <v>0</v>
      </c>
      <c r="AK29" s="1092">
        <f>SUMIF('Otras Asesorías y Préstamos'!$B$7:$B$242,B29,'Otras Asesorías y Préstamos'!$F$7:$F$242)</f>
        <v>0</v>
      </c>
      <c r="AL29" s="1092">
        <f>SUMIF('Otras Asesorías y Préstamos'!$B$7:$B$242,B29,'Otras Asesorías y Préstamos'!$V$7:$V$242)</f>
        <v>0</v>
      </c>
      <c r="AM29" s="1095">
        <f t="shared" si="23"/>
        <v>0</v>
      </c>
      <c r="AN29" s="19"/>
    </row>
    <row r="30" spans="1:254" x14ac:dyDescent="0.2">
      <c r="A30" s="1208">
        <f t="shared" si="14"/>
        <v>22</v>
      </c>
      <c r="B30" s="1168"/>
      <c r="C30" s="1068"/>
      <c r="D30" s="1040"/>
      <c r="E30" s="1068"/>
      <c r="F30" s="1209"/>
      <c r="G30" s="1210"/>
      <c r="H30" s="1049"/>
      <c r="I30" s="1298"/>
      <c r="J30" s="1211"/>
      <c r="K30" s="1212"/>
      <c r="L30" s="1054"/>
      <c r="M30" s="1213"/>
      <c r="N30" s="1335"/>
      <c r="O30" s="1339"/>
      <c r="P30" s="1335"/>
      <c r="Q30" s="1214">
        <f t="shared" si="5"/>
        <v>0</v>
      </c>
      <c r="R30" s="1215"/>
      <c r="S30" s="293"/>
      <c r="T30" s="19"/>
      <c r="U30" s="1094" t="s">
        <v>82</v>
      </c>
      <c r="V30" s="119">
        <f>ROUND(IF(U30="SI",SUMIF('Facturas año anterior'!$B$8:$B$81,B30,'Facturas año anterior'!$V$8:$V$81)*(100%+$V$5),0),-3)+ROUND(IF(U30="SI",SUMIF('C de C año anterior'!$B$8:$B$210,B30,'C de C año anterior'!$Q$8:$Q$210)*(100%+$V$5),0),-3)</f>
        <v>0</v>
      </c>
      <c r="W30" s="234"/>
      <c r="X30" s="114">
        <f t="shared" si="16"/>
        <v>0</v>
      </c>
      <c r="Y30" s="235"/>
      <c r="Z30" s="115">
        <f t="shared" si="17"/>
        <v>0</v>
      </c>
      <c r="AA30" s="821"/>
      <c r="AB30" s="811">
        <f t="shared" si="18"/>
        <v>0</v>
      </c>
      <c r="AC30" s="821"/>
      <c r="AD30" s="811">
        <f t="shared" si="19"/>
        <v>0</v>
      </c>
      <c r="AE30" s="236"/>
      <c r="AF30" s="116">
        <f t="shared" si="20"/>
        <v>0</v>
      </c>
      <c r="AG30" s="234"/>
      <c r="AH30" s="116">
        <f t="shared" si="21"/>
        <v>0</v>
      </c>
      <c r="AI30" s="237" t="s">
        <v>82</v>
      </c>
      <c r="AJ30" s="117">
        <f t="shared" si="22"/>
        <v>0</v>
      </c>
      <c r="AK30" s="1092">
        <f>SUMIF('Otras Asesorías y Préstamos'!$B$7:$B$242,B30,'Otras Asesorías y Préstamos'!$F$7:$F$242)</f>
        <v>0</v>
      </c>
      <c r="AL30" s="1092">
        <f>SUMIF('Otras Asesorías y Préstamos'!$B$7:$B$242,B30,'Otras Asesorías y Préstamos'!$V$7:$V$242)</f>
        <v>0</v>
      </c>
      <c r="AM30" s="1095">
        <f t="shared" si="23"/>
        <v>0</v>
      </c>
      <c r="AN30" s="19"/>
    </row>
    <row r="31" spans="1:254" x14ac:dyDescent="0.2">
      <c r="A31" s="1208">
        <f t="shared" si="14"/>
        <v>23</v>
      </c>
      <c r="B31" s="1168"/>
      <c r="C31" s="1068"/>
      <c r="D31" s="1040"/>
      <c r="E31" s="1068"/>
      <c r="F31" s="1209"/>
      <c r="G31" s="1210"/>
      <c r="H31" s="1049"/>
      <c r="I31" s="1298"/>
      <c r="J31" s="1211"/>
      <c r="K31" s="1212"/>
      <c r="L31" s="1054"/>
      <c r="M31" s="1213"/>
      <c r="N31" s="1335"/>
      <c r="O31" s="1339"/>
      <c r="P31" s="1335"/>
      <c r="Q31" s="1214">
        <f t="shared" si="5"/>
        <v>0</v>
      </c>
      <c r="R31" s="1215"/>
      <c r="S31" s="293"/>
      <c r="T31" s="19"/>
      <c r="U31" s="1094" t="s">
        <v>82</v>
      </c>
      <c r="V31" s="119">
        <f>ROUND(IF(U31="SI",SUMIF('Facturas año anterior'!$B$8:$B$81,B31,'Facturas año anterior'!$V$8:$V$81)*(100%+$V$5),0),-3)+ROUND(IF(U31="SI",SUMIF('C de C año anterior'!$B$8:$B$210,B31,'C de C año anterior'!$Q$8:$Q$210)*(100%+$V$5),0),-3)</f>
        <v>0</v>
      </c>
      <c r="W31" s="234"/>
      <c r="X31" s="114">
        <f t="shared" si="16"/>
        <v>0</v>
      </c>
      <c r="Y31" s="235"/>
      <c r="Z31" s="115">
        <f t="shared" si="17"/>
        <v>0</v>
      </c>
      <c r="AA31" s="821"/>
      <c r="AB31" s="811">
        <f t="shared" si="18"/>
        <v>0</v>
      </c>
      <c r="AC31" s="821"/>
      <c r="AD31" s="811">
        <f t="shared" si="19"/>
        <v>0</v>
      </c>
      <c r="AE31" s="236"/>
      <c r="AF31" s="116">
        <f t="shared" si="20"/>
        <v>0</v>
      </c>
      <c r="AG31" s="234"/>
      <c r="AH31" s="116">
        <f t="shared" si="21"/>
        <v>0</v>
      </c>
      <c r="AI31" s="237"/>
      <c r="AJ31" s="117">
        <f t="shared" si="22"/>
        <v>0</v>
      </c>
      <c r="AK31" s="1092">
        <f>SUMIF('Otras Asesorías y Préstamos'!$B$7:$B$242,B31,'Otras Asesorías y Préstamos'!$F$7:$F$242)</f>
        <v>0</v>
      </c>
      <c r="AL31" s="1092">
        <f>SUMIF('Otras Asesorías y Préstamos'!$B$7:$B$242,B31,'Otras Asesorías y Préstamos'!$V$7:$V$242)</f>
        <v>0</v>
      </c>
      <c r="AM31" s="1095">
        <f t="shared" si="23"/>
        <v>0</v>
      </c>
      <c r="AN31" s="19"/>
    </row>
    <row r="32" spans="1:254" x14ac:dyDescent="0.2">
      <c r="A32" s="1208">
        <f t="shared" si="14"/>
        <v>24</v>
      </c>
      <c r="B32" s="1168"/>
      <c r="C32" s="1068"/>
      <c r="D32" s="1040"/>
      <c r="E32" s="1068"/>
      <c r="F32" s="1209"/>
      <c r="G32" s="1210"/>
      <c r="H32" s="1049"/>
      <c r="I32" s="1298"/>
      <c r="J32" s="1211"/>
      <c r="K32" s="1212"/>
      <c r="L32" s="1054"/>
      <c r="M32" s="1213"/>
      <c r="N32" s="1335"/>
      <c r="O32" s="1339"/>
      <c r="P32" s="1335"/>
      <c r="Q32" s="1214">
        <f t="shared" si="5"/>
        <v>0</v>
      </c>
      <c r="R32" s="1215"/>
      <c r="S32" s="293"/>
      <c r="T32" s="19"/>
      <c r="U32" s="1094" t="s">
        <v>52</v>
      </c>
      <c r="V32" s="119">
        <f>ROUND(IF(U32="SI",SUMIF('Facturas año anterior'!$B$8:$B$81,B32,'Facturas año anterior'!$V$8:$V$81)*(100%+$V$5),0),-3)+ROUND(IF(U32="SI",SUMIF('C de C año anterior'!$B$8:$B$210,B32,'C de C año anterior'!$Q$8:$Q$210)*(100%+$V$5),0),-3)</f>
        <v>0</v>
      </c>
      <c r="W32" s="234"/>
      <c r="X32" s="114">
        <f t="shared" si="16"/>
        <v>0</v>
      </c>
      <c r="Y32" s="235"/>
      <c r="Z32" s="115">
        <f t="shared" si="17"/>
        <v>0</v>
      </c>
      <c r="AA32" s="821"/>
      <c r="AB32" s="811">
        <f t="shared" si="18"/>
        <v>0</v>
      </c>
      <c r="AC32" s="821"/>
      <c r="AD32" s="811">
        <f t="shared" si="19"/>
        <v>0</v>
      </c>
      <c r="AE32" s="236"/>
      <c r="AF32" s="116">
        <f t="shared" si="20"/>
        <v>0</v>
      </c>
      <c r="AG32" s="234"/>
      <c r="AH32" s="116">
        <f t="shared" si="21"/>
        <v>0</v>
      </c>
      <c r="AI32" s="237"/>
      <c r="AJ32" s="117">
        <f t="shared" si="22"/>
        <v>0</v>
      </c>
      <c r="AK32" s="1092">
        <f>SUMIF('Otras Asesorías y Préstamos'!$B$7:$B$242,B32,'Otras Asesorías y Préstamos'!$F$7:$F$242)</f>
        <v>0</v>
      </c>
      <c r="AL32" s="1092">
        <f>SUMIF('Otras Asesorías y Préstamos'!$B$7:$B$242,B32,'Otras Asesorías y Préstamos'!$V$7:$V$242)</f>
        <v>0</v>
      </c>
      <c r="AM32" s="1095">
        <f t="shared" si="23"/>
        <v>0</v>
      </c>
      <c r="AN32" s="19"/>
    </row>
    <row r="33" spans="1:40" x14ac:dyDescent="0.2">
      <c r="A33" s="1208">
        <f t="shared" si="14"/>
        <v>25</v>
      </c>
      <c r="B33" s="1216"/>
      <c r="C33" s="1068"/>
      <c r="D33" s="1040"/>
      <c r="E33" s="1068"/>
      <c r="F33" s="1209"/>
      <c r="G33" s="1210"/>
      <c r="H33" s="1282"/>
      <c r="I33" s="1292"/>
      <c r="J33" s="1211"/>
      <c r="K33" s="1212"/>
      <c r="L33" s="1054"/>
      <c r="M33" s="1213"/>
      <c r="N33" s="1335"/>
      <c r="O33" s="1339"/>
      <c r="P33" s="1335"/>
      <c r="Q33" s="1214">
        <f t="shared" si="5"/>
        <v>0</v>
      </c>
      <c r="R33" s="1215"/>
      <c r="S33" s="293"/>
      <c r="T33" s="19"/>
      <c r="U33" s="1094" t="s">
        <v>82</v>
      </c>
      <c r="V33" s="119">
        <f>ROUND(IF(U33="SI",SUMIF('Facturas año anterior'!$B$8:$B$81,B33,'Facturas año anterior'!$V$8:$V$81)*(100%+$V$5),0),-3)+ROUND(IF(U33="SI",SUMIF('C de C año anterior'!$B$8:$B$210,B33,'C de C año anterior'!$Q$8:$Q$210)*(100%+$V$5),0),-3)</f>
        <v>0</v>
      </c>
      <c r="W33" s="234"/>
      <c r="X33" s="114">
        <f t="shared" si="16"/>
        <v>0</v>
      </c>
      <c r="Y33" s="235"/>
      <c r="Z33" s="115">
        <f t="shared" si="17"/>
        <v>0</v>
      </c>
      <c r="AA33" s="821"/>
      <c r="AB33" s="811">
        <f t="shared" si="18"/>
        <v>0</v>
      </c>
      <c r="AC33" s="821"/>
      <c r="AD33" s="811">
        <f t="shared" si="19"/>
        <v>0</v>
      </c>
      <c r="AE33" s="236"/>
      <c r="AF33" s="116">
        <f t="shared" si="20"/>
        <v>0</v>
      </c>
      <c r="AG33" s="234"/>
      <c r="AH33" s="116">
        <f t="shared" si="21"/>
        <v>0</v>
      </c>
      <c r="AI33" s="237"/>
      <c r="AJ33" s="117">
        <f t="shared" si="22"/>
        <v>0</v>
      </c>
      <c r="AK33" s="1092">
        <f>SUMIF('Otras Asesorías y Préstamos'!$B$7:$B$242,B33,'Otras Asesorías y Préstamos'!$F$7:$F$242)</f>
        <v>0</v>
      </c>
      <c r="AL33" s="1092">
        <f>SUMIF('Otras Asesorías y Préstamos'!$B$7:$B$242,B33,'Otras Asesorías y Préstamos'!$V$7:$V$242)</f>
        <v>0</v>
      </c>
      <c r="AM33" s="1095">
        <f t="shared" si="23"/>
        <v>0</v>
      </c>
      <c r="AN33" s="19"/>
    </row>
    <row r="34" spans="1:40" x14ac:dyDescent="0.2">
      <c r="A34" s="1208">
        <f t="shared" si="14"/>
        <v>26</v>
      </c>
      <c r="B34" s="1042"/>
      <c r="C34" s="1068"/>
      <c r="D34" s="1053"/>
      <c r="E34" s="1068"/>
      <c r="F34" s="1209"/>
      <c r="G34" s="1210"/>
      <c r="H34" s="1282"/>
      <c r="I34" s="1292"/>
      <c r="J34" s="1211"/>
      <c r="K34" s="1212"/>
      <c r="L34" s="1054"/>
      <c r="M34" s="1213"/>
      <c r="N34" s="1335"/>
      <c r="O34" s="1339"/>
      <c r="P34" s="1335"/>
      <c r="Q34" s="1214"/>
      <c r="R34" s="1215"/>
      <c r="S34" s="1232"/>
      <c r="T34" s="19"/>
      <c r="U34" s="1094" t="s">
        <v>82</v>
      </c>
      <c r="V34" s="119">
        <f>ROUND(IF(U34="SI",SUMIF('Facturas año anterior'!$B$8:$B$81,B34,'Facturas año anterior'!$V$8:$V$81)*(100%+$V$5),0),-3)+ROUND(IF(U34="SI",SUMIF('C de C año anterior'!$B$8:$B$210,B34,'C de C año anterior'!$Q$8:$Q$210)*(100%+$V$5),0),-3)</f>
        <v>0</v>
      </c>
      <c r="W34" s="234"/>
      <c r="X34" s="114">
        <f t="shared" ref="X34" si="25">ROUND(IF(W34="SI",V34*$X$5,0),-3)</f>
        <v>0</v>
      </c>
      <c r="Y34" s="235"/>
      <c r="Z34" s="115">
        <f t="shared" ref="Z34" si="26">ROUND(IF(Y34="SI",V34*$Z$5,0),-3)</f>
        <v>0</v>
      </c>
      <c r="AA34" s="821"/>
      <c r="AB34" s="811">
        <f t="shared" ref="AB34" si="27">ROUND(IF(AA34="SI",V34*$AB$5,0),-3)</f>
        <v>0</v>
      </c>
      <c r="AC34" s="821"/>
      <c r="AD34" s="811">
        <f t="shared" ref="AD34" si="28">ROUND(IF(AC34="SI",V34*$AD$5,0),-3)</f>
        <v>0</v>
      </c>
      <c r="AE34" s="236"/>
      <c r="AF34" s="116">
        <f t="shared" ref="AF34" si="29">ROUND(IF(AE34="SI",V34*$AF$5,0),-3)</f>
        <v>0</v>
      </c>
      <c r="AG34" s="234"/>
      <c r="AH34" s="116">
        <f t="shared" ref="AH34" si="30">ROUND(IF(AG34="SI",V34*$AH$5,0),-3)</f>
        <v>0</v>
      </c>
      <c r="AI34" s="237" t="s">
        <v>82</v>
      </c>
      <c r="AJ34" s="117">
        <f t="shared" ref="AJ34" si="31">IF(AI34="SI",V34*$AJ$5,0)</f>
        <v>0</v>
      </c>
      <c r="AK34" s="1092">
        <f>SUMIF('Otras Asesorías y Préstamos'!$B$7:$B$242,B34,'Otras Asesorías y Préstamos'!$F$7:$F$242)</f>
        <v>0</v>
      </c>
      <c r="AL34" s="1092">
        <f>SUMIF('Otras Asesorías y Préstamos'!$B$7:$B$242,B34,'Otras Asesorías y Préstamos'!$V$7:$V$242)</f>
        <v>0</v>
      </c>
      <c r="AM34" s="1095">
        <f t="shared" ref="AM34" si="32">ROUND(SUM(V34:AK34),-4)</f>
        <v>0</v>
      </c>
      <c r="AN34" s="19"/>
    </row>
    <row r="35" spans="1:40" x14ac:dyDescent="0.2">
      <c r="A35" s="1208">
        <f t="shared" si="14"/>
        <v>27</v>
      </c>
      <c r="B35" s="1042"/>
      <c r="C35" s="1068"/>
      <c r="D35" s="1040"/>
      <c r="E35" s="1068"/>
      <c r="F35" s="1209"/>
      <c r="G35" s="1210"/>
      <c r="H35" s="1282"/>
      <c r="I35" s="1292"/>
      <c r="J35" s="1211"/>
      <c r="K35" s="1212"/>
      <c r="L35" s="1054"/>
      <c r="M35" s="1213"/>
      <c r="N35" s="1335"/>
      <c r="O35" s="1339"/>
      <c r="P35" s="1335"/>
      <c r="Q35" s="1214">
        <f t="shared" si="5"/>
        <v>0</v>
      </c>
      <c r="R35" s="1215"/>
      <c r="S35" s="293"/>
      <c r="T35" s="19"/>
      <c r="U35" s="1094" t="s">
        <v>82</v>
      </c>
      <c r="V35" s="119">
        <f>ROUND(IF(U35="SI",SUMIF('Facturas año anterior'!$B$8:$B$81,B35,'Facturas año anterior'!$V$8:$V$81)*(100%+$V$5),0),-3)+ROUND(IF(U35="SI",SUMIF('C de C año anterior'!$B$8:$B$210,B35,'C de C año anterior'!$Q$8:$Q$210)*(100%+$V$5),0),-3)</f>
        <v>0</v>
      </c>
      <c r="W35" s="234"/>
      <c r="X35" s="114">
        <f t="shared" si="16"/>
        <v>0</v>
      </c>
      <c r="Y35" s="235"/>
      <c r="Z35" s="115">
        <f t="shared" si="17"/>
        <v>0</v>
      </c>
      <c r="AA35" s="821"/>
      <c r="AB35" s="811">
        <f t="shared" si="18"/>
        <v>0</v>
      </c>
      <c r="AC35" s="821"/>
      <c r="AD35" s="811">
        <f t="shared" si="19"/>
        <v>0</v>
      </c>
      <c r="AE35" s="236"/>
      <c r="AF35" s="116">
        <f t="shared" si="20"/>
        <v>0</v>
      </c>
      <c r="AG35" s="234"/>
      <c r="AH35" s="116">
        <f t="shared" si="21"/>
        <v>0</v>
      </c>
      <c r="AI35" s="237"/>
      <c r="AJ35" s="117">
        <f t="shared" si="22"/>
        <v>0</v>
      </c>
      <c r="AK35" s="1092">
        <f>SUMIF('Otras Asesorías y Préstamos'!$B$7:$B$242,B35,'Otras Asesorías y Préstamos'!$F$7:$F$242)</f>
        <v>0</v>
      </c>
      <c r="AL35" s="1092">
        <f>SUMIF('Otras Asesorías y Préstamos'!$B$7:$B$242,B35,'Otras Asesorías y Préstamos'!$V$7:$V$242)</f>
        <v>0</v>
      </c>
      <c r="AM35" s="1095">
        <f t="shared" si="23"/>
        <v>0</v>
      </c>
      <c r="AN35" s="19"/>
    </row>
    <row r="36" spans="1:40" x14ac:dyDescent="0.2">
      <c r="A36" s="1208">
        <f t="shared" si="14"/>
        <v>28</v>
      </c>
      <c r="B36" s="1168"/>
      <c r="C36" s="1068"/>
      <c r="D36" s="1040"/>
      <c r="E36" s="1068"/>
      <c r="F36" s="1209"/>
      <c r="G36" s="1210"/>
      <c r="H36" s="1282"/>
      <c r="I36" s="1292"/>
      <c r="J36" s="1211"/>
      <c r="K36" s="1212"/>
      <c r="L36" s="1054"/>
      <c r="M36" s="1213"/>
      <c r="N36" s="1335"/>
      <c r="O36" s="1339"/>
      <c r="P36" s="1335"/>
      <c r="Q36" s="1214">
        <f t="shared" si="5"/>
        <v>0</v>
      </c>
      <c r="R36" s="1215"/>
      <c r="S36" s="293"/>
      <c r="T36" s="19"/>
      <c r="U36" s="1094" t="s">
        <v>82</v>
      </c>
      <c r="V36" s="119">
        <f>ROUND(IF(U36="SI",SUMIF('Facturas año anterior'!$B$8:$B$81,B36,'Facturas año anterior'!$V$8:$V$81)*(100%+$V$5),0),-3)+ROUND(IF(U36="SI",SUMIF('C de C año anterior'!$B$8:$B$210,B36,'C de C año anterior'!$Q$8:$Q$210)*(100%+$V$5),0),-3)</f>
        <v>0</v>
      </c>
      <c r="W36" s="234"/>
      <c r="X36" s="114">
        <f t="shared" si="16"/>
        <v>0</v>
      </c>
      <c r="Y36" s="235"/>
      <c r="Z36" s="115">
        <f t="shared" si="17"/>
        <v>0</v>
      </c>
      <c r="AA36" s="821"/>
      <c r="AB36" s="811">
        <f t="shared" si="18"/>
        <v>0</v>
      </c>
      <c r="AC36" s="821"/>
      <c r="AD36" s="811">
        <f t="shared" si="19"/>
        <v>0</v>
      </c>
      <c r="AE36" s="236"/>
      <c r="AF36" s="116">
        <f t="shared" si="20"/>
        <v>0</v>
      </c>
      <c r="AG36" s="234"/>
      <c r="AH36" s="116">
        <f t="shared" si="21"/>
        <v>0</v>
      </c>
      <c r="AI36" s="237"/>
      <c r="AJ36" s="117">
        <f t="shared" si="22"/>
        <v>0</v>
      </c>
      <c r="AK36" s="1092">
        <f>SUMIF('Otras Asesorías y Préstamos'!$B$7:$B$242,B36,'Otras Asesorías y Préstamos'!$F$7:$F$242)</f>
        <v>0</v>
      </c>
      <c r="AL36" s="1092">
        <f>SUMIF('Otras Asesorías y Préstamos'!$B$7:$B$242,B36,'Otras Asesorías y Préstamos'!$V$7:$V$242)</f>
        <v>0</v>
      </c>
      <c r="AM36" s="1095">
        <f t="shared" si="23"/>
        <v>0</v>
      </c>
      <c r="AN36" s="19"/>
    </row>
    <row r="37" spans="1:40" x14ac:dyDescent="0.2">
      <c r="A37" s="1208">
        <f t="shared" si="14"/>
        <v>29</v>
      </c>
      <c r="B37" s="1168"/>
      <c r="C37" s="1068"/>
      <c r="D37" s="1040"/>
      <c r="E37" s="1068"/>
      <c r="F37" s="1209"/>
      <c r="G37" s="1210"/>
      <c r="H37" s="1282"/>
      <c r="I37" s="1292"/>
      <c r="J37" s="1211"/>
      <c r="K37" s="1212"/>
      <c r="L37" s="1054"/>
      <c r="M37" s="1213"/>
      <c r="N37" s="1335"/>
      <c r="O37" s="1339"/>
      <c r="P37" s="1335"/>
      <c r="Q37" s="1214">
        <f t="shared" si="5"/>
        <v>0</v>
      </c>
      <c r="R37" s="1215"/>
      <c r="S37" s="293"/>
      <c r="T37" s="19"/>
      <c r="U37" s="1094" t="s">
        <v>82</v>
      </c>
      <c r="V37" s="119">
        <f>ROUND(IF(U37="SI",SUMIF('Facturas año anterior'!$B$8:$B$81,B37,'Facturas año anterior'!$V$8:$V$81)*(100%+$V$5),0),-3)+ROUND(IF(U37="SI",SUMIF('C de C año anterior'!$B$8:$B$210,B37,'C de C año anterior'!$Q$8:$Q$210)*(100%+$V$5),0),-3)</f>
        <v>0</v>
      </c>
      <c r="W37" s="234"/>
      <c r="X37" s="114">
        <f t="shared" si="16"/>
        <v>0</v>
      </c>
      <c r="Y37" s="235"/>
      <c r="Z37" s="115">
        <f t="shared" si="17"/>
        <v>0</v>
      </c>
      <c r="AA37" s="821"/>
      <c r="AB37" s="811">
        <f t="shared" si="18"/>
        <v>0</v>
      </c>
      <c r="AC37" s="821"/>
      <c r="AD37" s="811">
        <f t="shared" si="19"/>
        <v>0</v>
      </c>
      <c r="AE37" s="236"/>
      <c r="AF37" s="116">
        <f t="shared" si="20"/>
        <v>0</v>
      </c>
      <c r="AG37" s="234"/>
      <c r="AH37" s="116">
        <f t="shared" si="21"/>
        <v>0</v>
      </c>
      <c r="AI37" s="237"/>
      <c r="AJ37" s="117">
        <f t="shared" si="22"/>
        <v>0</v>
      </c>
      <c r="AK37" s="1092">
        <f>SUMIF('Otras Asesorías y Préstamos'!$B$7:$B$242,B37,'Otras Asesorías y Préstamos'!$F$7:$F$242)</f>
        <v>0</v>
      </c>
      <c r="AL37" s="1092">
        <f>SUMIF('Otras Asesorías y Préstamos'!$B$7:$B$242,B37,'Otras Asesorías y Préstamos'!$V$7:$V$242)</f>
        <v>0</v>
      </c>
      <c r="AM37" s="1095">
        <f t="shared" si="23"/>
        <v>0</v>
      </c>
      <c r="AN37" s="19"/>
    </row>
    <row r="38" spans="1:40" x14ac:dyDescent="0.2">
      <c r="A38" s="1208"/>
      <c r="B38" s="1220"/>
      <c r="C38" s="1068"/>
      <c r="D38" s="1221"/>
      <c r="E38" s="1068"/>
      <c r="F38" s="1209"/>
      <c r="G38" s="1210"/>
      <c r="H38" s="1282"/>
      <c r="I38" s="1292"/>
      <c r="J38" s="1211"/>
      <c r="K38" s="1212"/>
      <c r="L38" s="1054"/>
      <c r="M38" s="1213"/>
      <c r="N38" s="1335"/>
      <c r="O38" s="1339"/>
      <c r="P38" s="1335"/>
      <c r="Q38" s="1214"/>
      <c r="R38" s="1215"/>
      <c r="S38" s="293"/>
      <c r="T38" s="19"/>
      <c r="U38" s="1094"/>
      <c r="V38" s="119">
        <f>ROUND(IF(U38="SI",SUMIF('Facturas año anterior'!$B$8:$B$81,B38,'Facturas año anterior'!$V$8:$V$81)*(100%+$V$5),0),-3)+ROUND(IF(U38="SI",SUMIF('C de C año anterior'!$B$8:$B$210,B38,'C de C año anterior'!$F$8:$F$210)*(100%+$V$5),0),-3)</f>
        <v>0</v>
      </c>
      <c r="W38" s="234"/>
      <c r="X38" s="114">
        <f t="shared" si="16"/>
        <v>0</v>
      </c>
      <c r="Y38" s="235"/>
      <c r="Z38" s="115">
        <f t="shared" si="17"/>
        <v>0</v>
      </c>
      <c r="AA38" s="821"/>
      <c r="AB38" s="811">
        <f t="shared" si="18"/>
        <v>0</v>
      </c>
      <c r="AC38" s="821"/>
      <c r="AD38" s="811">
        <f t="shared" si="19"/>
        <v>0</v>
      </c>
      <c r="AE38" s="236"/>
      <c r="AF38" s="116">
        <f t="shared" si="20"/>
        <v>0</v>
      </c>
      <c r="AG38" s="234"/>
      <c r="AH38" s="116">
        <f t="shared" si="21"/>
        <v>0</v>
      </c>
      <c r="AI38" s="237"/>
      <c r="AJ38" s="117">
        <f t="shared" si="22"/>
        <v>0</v>
      </c>
      <c r="AK38" s="1092">
        <f>SUMIF('Otras Asesorías y Préstamos'!$B$7:$B$242,B38,'Otras Asesorías y Préstamos'!$F$7:$F$242)</f>
        <v>0</v>
      </c>
      <c r="AL38" s="1092">
        <f>SUMIF('Otras Asesorías y Préstamos'!$B$7:$B$242,B38,'Otras Asesorías y Préstamos'!$V$7:$V$242)</f>
        <v>0</v>
      </c>
      <c r="AM38" s="1095">
        <f t="shared" si="23"/>
        <v>0</v>
      </c>
      <c r="AN38" s="19"/>
    </row>
    <row r="39" spans="1:40" x14ac:dyDescent="0.2">
      <c r="A39" s="1208"/>
      <c r="B39" s="1220"/>
      <c r="C39" s="1068"/>
      <c r="D39" s="1221"/>
      <c r="E39" s="1068"/>
      <c r="F39" s="1209"/>
      <c r="G39" s="1210"/>
      <c r="H39" s="1282"/>
      <c r="I39" s="1292"/>
      <c r="J39" s="1211"/>
      <c r="K39" s="1212"/>
      <c r="L39" s="1054"/>
      <c r="M39" s="1213"/>
      <c r="N39" s="1335"/>
      <c r="O39" s="1339"/>
      <c r="P39" s="1335"/>
      <c r="Q39" s="1214"/>
      <c r="R39" s="1215"/>
      <c r="S39" s="293"/>
      <c r="T39" s="19"/>
      <c r="U39" s="1094"/>
      <c r="V39" s="119">
        <f>ROUND(IF(U39="SI",SUMIF('Facturas año anterior'!$B$8:$B$81,B39,'Facturas año anterior'!$V$8:$V$81)*(100%+$V$5),0),-3)+ROUND(IF(U39="SI",SUMIF('C de C año anterior'!$B$8:$B$210,B39,'C de C año anterior'!$F$8:$F$210)*(100%+$V$5),0),-3)</f>
        <v>0</v>
      </c>
      <c r="W39" s="234"/>
      <c r="X39" s="114">
        <f t="shared" si="16"/>
        <v>0</v>
      </c>
      <c r="Y39" s="235"/>
      <c r="Z39" s="115">
        <f t="shared" si="17"/>
        <v>0</v>
      </c>
      <c r="AA39" s="821"/>
      <c r="AB39" s="811">
        <f t="shared" si="18"/>
        <v>0</v>
      </c>
      <c r="AC39" s="821"/>
      <c r="AD39" s="811">
        <f t="shared" si="19"/>
        <v>0</v>
      </c>
      <c r="AE39" s="236"/>
      <c r="AF39" s="116">
        <f t="shared" si="20"/>
        <v>0</v>
      </c>
      <c r="AG39" s="234"/>
      <c r="AH39" s="116">
        <f t="shared" si="21"/>
        <v>0</v>
      </c>
      <c r="AI39" s="237"/>
      <c r="AJ39" s="117">
        <f t="shared" si="22"/>
        <v>0</v>
      </c>
      <c r="AK39" s="1092">
        <f>SUMIF('Otras Asesorías y Préstamos'!$B$7:$B$242,B39,'Otras Asesorías y Préstamos'!$F$7:$F$242)</f>
        <v>0</v>
      </c>
      <c r="AL39" s="1092">
        <f>SUMIF('Otras Asesorías y Préstamos'!$B$7:$B$242,B39,'Otras Asesorías y Préstamos'!$V$7:$V$242)</f>
        <v>0</v>
      </c>
      <c r="AM39" s="1095">
        <f t="shared" si="23"/>
        <v>0</v>
      </c>
      <c r="AN39" s="19"/>
    </row>
    <row r="40" spans="1:40" x14ac:dyDescent="0.2">
      <c r="A40" s="1208"/>
      <c r="B40" s="1220"/>
      <c r="C40" s="1068"/>
      <c r="D40" s="1221"/>
      <c r="E40" s="1068"/>
      <c r="F40" s="1209"/>
      <c r="G40" s="1210"/>
      <c r="H40" s="1282"/>
      <c r="I40" s="1292"/>
      <c r="J40" s="1211"/>
      <c r="K40" s="1212"/>
      <c r="L40" s="1054"/>
      <c r="M40" s="1213"/>
      <c r="N40" s="1335"/>
      <c r="O40" s="1339"/>
      <c r="P40" s="1335"/>
      <c r="Q40" s="1214"/>
      <c r="R40" s="1215"/>
      <c r="S40" s="293"/>
      <c r="T40" s="19"/>
      <c r="U40" s="1094"/>
      <c r="V40" s="119">
        <f>ROUND(IF(U40="SI",SUMIF('Facturas año anterior'!$B$8:$B$81,B40,'Facturas año anterior'!$V$8:$V$81)*(100%+$V$5),0),-3)+ROUND(IF(U40="SI",SUMIF('C de C año anterior'!$B$8:$B$210,B40,'C de C año anterior'!$F$8:$F$210)*(100%+$V$5),0),-3)</f>
        <v>0</v>
      </c>
      <c r="W40" s="234"/>
      <c r="X40" s="114">
        <f t="shared" si="16"/>
        <v>0</v>
      </c>
      <c r="Y40" s="235"/>
      <c r="Z40" s="115">
        <f t="shared" si="17"/>
        <v>0</v>
      </c>
      <c r="AA40" s="821"/>
      <c r="AB40" s="811">
        <f t="shared" si="18"/>
        <v>0</v>
      </c>
      <c r="AC40" s="821"/>
      <c r="AD40" s="811">
        <f t="shared" si="19"/>
        <v>0</v>
      </c>
      <c r="AE40" s="236"/>
      <c r="AF40" s="116">
        <f t="shared" si="20"/>
        <v>0</v>
      </c>
      <c r="AG40" s="234"/>
      <c r="AH40" s="116">
        <f t="shared" si="21"/>
        <v>0</v>
      </c>
      <c r="AI40" s="237"/>
      <c r="AJ40" s="117">
        <f t="shared" si="22"/>
        <v>0</v>
      </c>
      <c r="AK40" s="1092">
        <f>SUMIF('Otras Asesorías y Préstamos'!$B$7:$B$242,B40,'Otras Asesorías y Préstamos'!$F$7:$F$242)</f>
        <v>0</v>
      </c>
      <c r="AL40" s="1092">
        <f>SUMIF('Otras Asesorías y Préstamos'!$B$7:$B$242,B40,'Otras Asesorías y Préstamos'!$V$7:$V$242)</f>
        <v>0</v>
      </c>
      <c r="AM40" s="1095">
        <f t="shared" si="23"/>
        <v>0</v>
      </c>
      <c r="AN40" s="19"/>
    </row>
    <row r="41" spans="1:40" x14ac:dyDescent="0.2">
      <c r="A41" s="1208"/>
      <c r="B41" s="1220"/>
      <c r="C41" s="1068"/>
      <c r="D41" s="1221"/>
      <c r="E41" s="1068"/>
      <c r="F41" s="1209"/>
      <c r="G41" s="1210"/>
      <c r="H41" s="1282"/>
      <c r="I41" s="1292"/>
      <c r="J41" s="1211"/>
      <c r="K41" s="1212"/>
      <c r="L41" s="1054"/>
      <c r="M41" s="1213"/>
      <c r="N41" s="1335"/>
      <c r="O41" s="1339"/>
      <c r="P41" s="1335"/>
      <c r="Q41" s="1214"/>
      <c r="R41" s="1215"/>
      <c r="S41" s="293"/>
      <c r="T41" s="19"/>
      <c r="U41" s="1094"/>
      <c r="V41" s="119">
        <f>ROUND(IF(U41="SI",SUMIF('Facturas año anterior'!$B$8:$B$81,B41,'Facturas año anterior'!$V$8:$V$81)*(100%+$V$5),0),-3)+ROUND(IF(U41="SI",SUMIF('C de C año anterior'!$B$8:$B$210,B41,'C de C año anterior'!$F$8:$F$210)*(100%+$V$5),0),-3)</f>
        <v>0</v>
      </c>
      <c r="W41" s="234"/>
      <c r="X41" s="114">
        <f t="shared" si="16"/>
        <v>0</v>
      </c>
      <c r="Y41" s="235"/>
      <c r="Z41" s="115">
        <f t="shared" si="17"/>
        <v>0</v>
      </c>
      <c r="AA41" s="821"/>
      <c r="AB41" s="811">
        <f t="shared" si="18"/>
        <v>0</v>
      </c>
      <c r="AC41" s="821"/>
      <c r="AD41" s="811">
        <f t="shared" si="19"/>
        <v>0</v>
      </c>
      <c r="AE41" s="236"/>
      <c r="AF41" s="116">
        <f t="shared" si="20"/>
        <v>0</v>
      </c>
      <c r="AG41" s="234"/>
      <c r="AH41" s="116">
        <f t="shared" si="21"/>
        <v>0</v>
      </c>
      <c r="AI41" s="237"/>
      <c r="AJ41" s="117">
        <f t="shared" si="22"/>
        <v>0</v>
      </c>
      <c r="AK41" s="1092">
        <f>SUMIF('Otras Asesorías y Préstamos'!$B$7:$B$242,B41,'Otras Asesorías y Préstamos'!$F$7:$F$242)</f>
        <v>0</v>
      </c>
      <c r="AL41" s="1092">
        <f>SUMIF('Otras Asesorías y Préstamos'!$B$7:$B$242,B41,'Otras Asesorías y Préstamos'!$V$7:$V$242)</f>
        <v>0</v>
      </c>
      <c r="AM41" s="1095">
        <f t="shared" si="23"/>
        <v>0</v>
      </c>
      <c r="AN41" s="19"/>
    </row>
    <row r="42" spans="1:40" x14ac:dyDescent="0.2">
      <c r="A42" s="1208"/>
      <c r="B42" s="1220"/>
      <c r="C42" s="1068"/>
      <c r="D42" s="1221"/>
      <c r="E42" s="1068"/>
      <c r="F42" s="1209"/>
      <c r="G42" s="1210"/>
      <c r="H42" s="1282"/>
      <c r="I42" s="1292"/>
      <c r="J42" s="1211"/>
      <c r="K42" s="1212"/>
      <c r="L42" s="1054"/>
      <c r="M42" s="1213"/>
      <c r="N42" s="1335"/>
      <c r="O42" s="1339"/>
      <c r="P42" s="1335"/>
      <c r="Q42" s="1214"/>
      <c r="R42" s="1215"/>
      <c r="S42" s="293"/>
      <c r="T42" s="19"/>
      <c r="U42" s="1094"/>
      <c r="V42" s="119">
        <f>ROUND(IF(U42="SI",SUMIF('Facturas año anterior'!$B$8:$B$81,B42,'Facturas año anterior'!$V$8:$V$81)*(100%+$V$5),0),-3)+ROUND(IF(U42="SI",SUMIF('C de C año anterior'!$B$8:$B$210,B42,'C de C año anterior'!$F$8:$F$210)*(100%+$V$5),0),-3)</f>
        <v>0</v>
      </c>
      <c r="W42" s="234"/>
      <c r="X42" s="114">
        <f t="shared" si="16"/>
        <v>0</v>
      </c>
      <c r="Y42" s="235"/>
      <c r="Z42" s="115">
        <f t="shared" si="17"/>
        <v>0</v>
      </c>
      <c r="AA42" s="821"/>
      <c r="AB42" s="811">
        <f t="shared" si="18"/>
        <v>0</v>
      </c>
      <c r="AC42" s="821"/>
      <c r="AD42" s="811">
        <f t="shared" si="19"/>
        <v>0</v>
      </c>
      <c r="AE42" s="236"/>
      <c r="AF42" s="116">
        <f t="shared" si="20"/>
        <v>0</v>
      </c>
      <c r="AG42" s="234"/>
      <c r="AH42" s="116">
        <f t="shared" si="21"/>
        <v>0</v>
      </c>
      <c r="AI42" s="237"/>
      <c r="AJ42" s="117">
        <f t="shared" si="22"/>
        <v>0</v>
      </c>
      <c r="AK42" s="1092">
        <f>SUMIF('Otras Asesorías y Préstamos'!$B$7:$B$242,B42,'Otras Asesorías y Préstamos'!$F$7:$F$242)</f>
        <v>0</v>
      </c>
      <c r="AL42" s="1092">
        <f>SUMIF('Otras Asesorías y Préstamos'!$B$7:$B$242,B42,'Otras Asesorías y Préstamos'!$V$7:$V$242)</f>
        <v>0</v>
      </c>
      <c r="AM42" s="1095">
        <f t="shared" si="23"/>
        <v>0</v>
      </c>
      <c r="AN42" s="19"/>
    </row>
    <row r="43" spans="1:40" x14ac:dyDescent="0.2">
      <c r="A43" s="1208"/>
      <c r="B43" s="1220"/>
      <c r="C43" s="1068"/>
      <c r="D43" s="1221"/>
      <c r="E43" s="1068"/>
      <c r="F43" s="1209"/>
      <c r="G43" s="1210"/>
      <c r="H43" s="1282"/>
      <c r="I43" s="1292"/>
      <c r="J43" s="1211"/>
      <c r="K43" s="1212"/>
      <c r="L43" s="1054"/>
      <c r="M43" s="1213"/>
      <c r="N43" s="1335"/>
      <c r="O43" s="1339"/>
      <c r="P43" s="1335"/>
      <c r="Q43" s="1214"/>
      <c r="R43" s="1215"/>
      <c r="S43" s="293"/>
      <c r="T43" s="19"/>
      <c r="U43" s="1094"/>
      <c r="V43" s="119">
        <f>ROUND(IF(U43="SI",SUMIF('Facturas año anterior'!$B$8:$B$81,B43,'Facturas año anterior'!$V$8:$V$81)*(100%+$V$5),0),-3)+ROUND(IF(U43="SI",SUMIF('C de C año anterior'!$B$8:$B$210,B43,'C de C año anterior'!$F$8:$F$210)*(100%+$V$5),0),-3)</f>
        <v>0</v>
      </c>
      <c r="W43" s="234"/>
      <c r="X43" s="114">
        <f t="shared" si="16"/>
        <v>0</v>
      </c>
      <c r="Y43" s="235"/>
      <c r="Z43" s="115">
        <f t="shared" si="17"/>
        <v>0</v>
      </c>
      <c r="AA43" s="821"/>
      <c r="AB43" s="811">
        <f t="shared" si="18"/>
        <v>0</v>
      </c>
      <c r="AC43" s="821"/>
      <c r="AD43" s="811">
        <f t="shared" si="19"/>
        <v>0</v>
      </c>
      <c r="AE43" s="236"/>
      <c r="AF43" s="116">
        <f t="shared" si="20"/>
        <v>0</v>
      </c>
      <c r="AG43" s="234"/>
      <c r="AH43" s="116">
        <f t="shared" si="21"/>
        <v>0</v>
      </c>
      <c r="AI43" s="237"/>
      <c r="AJ43" s="117">
        <f t="shared" si="22"/>
        <v>0</v>
      </c>
      <c r="AK43" s="1092">
        <f>SUMIF('Otras Asesorías y Préstamos'!$B$7:$B$242,B43,'Otras Asesorías y Préstamos'!$F$7:$F$242)</f>
        <v>0</v>
      </c>
      <c r="AL43" s="1092">
        <f>SUMIF('Otras Asesorías y Préstamos'!$B$7:$B$242,B43,'Otras Asesorías y Préstamos'!$V$7:$V$242)</f>
        <v>0</v>
      </c>
      <c r="AM43" s="1095">
        <f t="shared" si="23"/>
        <v>0</v>
      </c>
      <c r="AN43" s="19"/>
    </row>
    <row r="44" spans="1:40" x14ac:dyDescent="0.2">
      <c r="A44" s="1208"/>
      <c r="B44" s="1220"/>
      <c r="C44" s="1068"/>
      <c r="D44" s="1221"/>
      <c r="E44" s="1068"/>
      <c r="F44" s="1209"/>
      <c r="G44" s="1210"/>
      <c r="H44" s="1282"/>
      <c r="I44" s="1292"/>
      <c r="J44" s="1211"/>
      <c r="K44" s="1212"/>
      <c r="L44" s="1054"/>
      <c r="M44" s="1213"/>
      <c r="N44" s="1335"/>
      <c r="O44" s="1339"/>
      <c r="P44" s="1335"/>
      <c r="Q44" s="1214"/>
      <c r="R44" s="1215"/>
      <c r="S44" s="293"/>
      <c r="T44" s="19"/>
      <c r="U44" s="1094"/>
      <c r="V44" s="119">
        <f>ROUND(IF(U44="SI",SUMIF('Facturas año anterior'!$B$8:$B$81,B44,'Facturas año anterior'!$V$8:$V$81)*(100%+$V$5),0),-3)+ROUND(IF(U44="SI",SUMIF('C de C año anterior'!$B$8:$B$210,B44,'C de C año anterior'!$F$8:$F$210)*(100%+$V$5),0),-3)</f>
        <v>0</v>
      </c>
      <c r="W44" s="234"/>
      <c r="X44" s="114">
        <f t="shared" si="16"/>
        <v>0</v>
      </c>
      <c r="Y44" s="235"/>
      <c r="Z44" s="115">
        <f t="shared" si="17"/>
        <v>0</v>
      </c>
      <c r="AA44" s="821"/>
      <c r="AB44" s="811">
        <f t="shared" si="18"/>
        <v>0</v>
      </c>
      <c r="AC44" s="821"/>
      <c r="AD44" s="811">
        <f t="shared" si="19"/>
        <v>0</v>
      </c>
      <c r="AE44" s="236"/>
      <c r="AF44" s="116">
        <f t="shared" si="20"/>
        <v>0</v>
      </c>
      <c r="AG44" s="234"/>
      <c r="AH44" s="116">
        <f t="shared" si="21"/>
        <v>0</v>
      </c>
      <c r="AI44" s="237"/>
      <c r="AJ44" s="117">
        <f t="shared" si="22"/>
        <v>0</v>
      </c>
      <c r="AK44" s="1092">
        <f>SUMIF('Otras Asesorías y Préstamos'!$B$7:$B$242,B44,'Otras Asesorías y Préstamos'!$F$7:$F$242)</f>
        <v>0</v>
      </c>
      <c r="AL44" s="1092">
        <f>SUMIF('Otras Asesorías y Préstamos'!$B$7:$B$242,B44,'Otras Asesorías y Préstamos'!$V$7:$V$242)</f>
        <v>0</v>
      </c>
      <c r="AM44" s="1095">
        <f t="shared" si="23"/>
        <v>0</v>
      </c>
      <c r="AN44" s="19"/>
    </row>
    <row r="45" spans="1:40" x14ac:dyDescent="0.2">
      <c r="A45" s="1208"/>
      <c r="B45" s="1220"/>
      <c r="C45" s="1068"/>
      <c r="D45" s="1221"/>
      <c r="E45" s="1068"/>
      <c r="F45" s="1209"/>
      <c r="G45" s="1210"/>
      <c r="H45" s="1282"/>
      <c r="I45" s="1292"/>
      <c r="J45" s="1211"/>
      <c r="K45" s="1212"/>
      <c r="L45" s="1054"/>
      <c r="M45" s="1213"/>
      <c r="N45" s="1335"/>
      <c r="O45" s="1339"/>
      <c r="P45" s="1335"/>
      <c r="Q45" s="1214"/>
      <c r="R45" s="1215"/>
      <c r="S45" s="293"/>
      <c r="T45" s="19"/>
      <c r="U45" s="1094"/>
      <c r="V45" s="119">
        <f>ROUND(IF(U45="SI",SUMIF('Facturas año anterior'!$B$8:$B$81,B45,'Facturas año anterior'!$V$8:$V$81)*(100%+$V$5),0),-3)+ROUND(IF(U45="SI",SUMIF('C de C año anterior'!$B$8:$B$210,B45,'C de C año anterior'!$F$8:$F$210)*(100%+$V$5),0),-3)</f>
        <v>0</v>
      </c>
      <c r="W45" s="234"/>
      <c r="X45" s="114">
        <f t="shared" si="16"/>
        <v>0</v>
      </c>
      <c r="Y45" s="235"/>
      <c r="Z45" s="115">
        <f t="shared" si="17"/>
        <v>0</v>
      </c>
      <c r="AA45" s="821"/>
      <c r="AB45" s="811">
        <f t="shared" si="18"/>
        <v>0</v>
      </c>
      <c r="AC45" s="821"/>
      <c r="AD45" s="811">
        <f t="shared" si="19"/>
        <v>0</v>
      </c>
      <c r="AE45" s="236"/>
      <c r="AF45" s="116">
        <f t="shared" si="20"/>
        <v>0</v>
      </c>
      <c r="AG45" s="234"/>
      <c r="AH45" s="116">
        <f t="shared" si="21"/>
        <v>0</v>
      </c>
      <c r="AI45" s="237"/>
      <c r="AJ45" s="117">
        <f t="shared" si="22"/>
        <v>0</v>
      </c>
      <c r="AK45" s="1092">
        <f>SUMIF('Otras Asesorías y Préstamos'!$B$7:$B$242,B45,'Otras Asesorías y Préstamos'!$F$7:$F$242)</f>
        <v>0</v>
      </c>
      <c r="AL45" s="1092">
        <f>SUMIF('Otras Asesorías y Préstamos'!$B$7:$B$242,B45,'Otras Asesorías y Préstamos'!$V$7:$V$242)</f>
        <v>0</v>
      </c>
      <c r="AM45" s="1095">
        <f t="shared" si="23"/>
        <v>0</v>
      </c>
      <c r="AN45" s="19"/>
    </row>
    <row r="46" spans="1:40" x14ac:dyDescent="0.2">
      <c r="A46" s="1208"/>
      <c r="B46" s="1220"/>
      <c r="C46" s="1068"/>
      <c r="D46" s="1221"/>
      <c r="E46" s="1068"/>
      <c r="F46" s="1209"/>
      <c r="G46" s="1210"/>
      <c r="H46" s="1282"/>
      <c r="I46" s="1292"/>
      <c r="J46" s="1211"/>
      <c r="K46" s="1212"/>
      <c r="L46" s="1054"/>
      <c r="M46" s="1213"/>
      <c r="N46" s="1335"/>
      <c r="O46" s="1339"/>
      <c r="P46" s="1335"/>
      <c r="Q46" s="1214"/>
      <c r="R46" s="1215"/>
      <c r="S46" s="293"/>
      <c r="T46" s="19"/>
      <c r="U46" s="1094"/>
      <c r="V46" s="119">
        <f>ROUND(IF(U46="SI",SUMIF('Facturas año anterior'!$B$8:$B$81,B46,'Facturas año anterior'!$V$8:$V$81)*(100%+$V$5),0),-3)+ROUND(IF(U46="SI",SUMIF('C de C año anterior'!$B$8:$B$210,B46,'C de C año anterior'!$F$8:$F$210)*(100%+$V$5),0),-3)</f>
        <v>0</v>
      </c>
      <c r="W46" s="234"/>
      <c r="X46" s="114">
        <f t="shared" si="16"/>
        <v>0</v>
      </c>
      <c r="Y46" s="235"/>
      <c r="Z46" s="115">
        <f t="shared" si="17"/>
        <v>0</v>
      </c>
      <c r="AA46" s="821"/>
      <c r="AB46" s="811">
        <f t="shared" si="18"/>
        <v>0</v>
      </c>
      <c r="AC46" s="821"/>
      <c r="AD46" s="811">
        <f t="shared" si="19"/>
        <v>0</v>
      </c>
      <c r="AE46" s="236"/>
      <c r="AF46" s="116">
        <f t="shared" si="20"/>
        <v>0</v>
      </c>
      <c r="AG46" s="234"/>
      <c r="AH46" s="116">
        <f t="shared" si="21"/>
        <v>0</v>
      </c>
      <c r="AI46" s="237"/>
      <c r="AJ46" s="117">
        <f t="shared" si="22"/>
        <v>0</v>
      </c>
      <c r="AK46" s="1092">
        <f>SUMIF('Otras Asesorías y Préstamos'!$B$7:$B$242,B46,'Otras Asesorías y Préstamos'!$F$7:$F$242)</f>
        <v>0</v>
      </c>
      <c r="AL46" s="1092">
        <f>SUMIF('Otras Asesorías y Préstamos'!$B$7:$B$242,B46,'Otras Asesorías y Préstamos'!$V$7:$V$242)</f>
        <v>0</v>
      </c>
      <c r="AM46" s="1095">
        <f t="shared" si="23"/>
        <v>0</v>
      </c>
      <c r="AN46" s="19"/>
    </row>
    <row r="47" spans="1:40" ht="13.5" thickBot="1" x14ac:dyDescent="0.25">
      <c r="A47" s="275"/>
      <c r="B47" s="626"/>
      <c r="C47" s="485"/>
      <c r="D47" s="627"/>
      <c r="E47" s="1222"/>
      <c r="F47" s="310"/>
      <c r="G47" s="628"/>
      <c r="H47" s="1284"/>
      <c r="I47" s="1294"/>
      <c r="J47" s="522"/>
      <c r="K47" s="513"/>
      <c r="L47" s="852"/>
      <c r="M47" s="990"/>
      <c r="N47" s="1341"/>
      <c r="O47" s="1346"/>
      <c r="P47" s="1341"/>
      <c r="Q47" s="313"/>
      <c r="R47" s="312"/>
      <c r="S47" s="324"/>
      <c r="T47" s="19"/>
      <c r="U47" s="299"/>
      <c r="V47" s="129"/>
      <c r="W47" s="242"/>
      <c r="X47" s="243"/>
      <c r="Y47" s="244"/>
      <c r="Z47" s="245"/>
      <c r="AA47" s="823"/>
      <c r="AB47" s="813"/>
      <c r="AC47" s="823"/>
      <c r="AD47" s="813"/>
      <c r="AE47" s="246"/>
      <c r="AF47" s="247"/>
      <c r="AG47" s="246"/>
      <c r="AH47" s="129"/>
      <c r="AI47" s="248"/>
      <c r="AJ47" s="249"/>
      <c r="AK47" s="322"/>
      <c r="AL47" s="207"/>
      <c r="AM47" s="262"/>
      <c r="AN47" s="19"/>
    </row>
    <row r="48" spans="1:40" ht="13.5" thickBot="1" x14ac:dyDescent="0.25">
      <c r="A48" s="168"/>
      <c r="B48" s="28"/>
      <c r="D48" s="168"/>
      <c r="E48" s="29"/>
      <c r="F48" s="252"/>
      <c r="G48" s="252"/>
      <c r="H48" s="91"/>
      <c r="I48" s="204"/>
      <c r="J48" s="492"/>
      <c r="K48" s="252"/>
      <c r="L48" s="47"/>
      <c r="M48" s="214"/>
      <c r="N48" s="214"/>
      <c r="O48" s="214"/>
      <c r="P48" s="214"/>
      <c r="Q48" s="253"/>
      <c r="R48" s="253"/>
      <c r="T48" s="19"/>
      <c r="U48" s="83"/>
      <c r="V48" s="250"/>
      <c r="W48" s="83"/>
      <c r="X48" s="84"/>
      <c r="Y48" s="47"/>
      <c r="Z48" s="85"/>
      <c r="AA48" s="214"/>
      <c r="AB48" s="90"/>
      <c r="AC48" s="214"/>
      <c r="AD48" s="90"/>
      <c r="AE48" s="86"/>
      <c r="AF48" s="87"/>
      <c r="AG48" s="86"/>
      <c r="AH48" s="251"/>
      <c r="AI48" s="48"/>
      <c r="AJ48" s="251"/>
      <c r="AK48" s="204"/>
      <c r="AL48" s="251"/>
      <c r="AM48" s="89"/>
      <c r="AN48" s="19"/>
    </row>
    <row r="49" spans="1:254" s="872" customFormat="1" ht="13.5" thickBot="1" x14ac:dyDescent="0.25">
      <c r="A49" s="161" t="s">
        <v>68</v>
      </c>
      <c r="B49" s="131"/>
      <c r="C49" s="487"/>
      <c r="D49" s="261"/>
      <c r="E49" s="271"/>
      <c r="F49" s="225">
        <f>SUM(F9:F47)</f>
        <v>12810000</v>
      </c>
      <c r="G49" s="225">
        <f>SUM(G9:G47)</f>
        <v>2433900</v>
      </c>
      <c r="H49" s="1285"/>
      <c r="I49" s="501">
        <f>SUM(I9:I47)</f>
        <v>-1299100</v>
      </c>
      <c r="J49" s="226">
        <f>SUM(J9:J47)</f>
        <v>15243900</v>
      </c>
      <c r="K49" s="225">
        <f>SUM(K9:K47)</f>
        <v>13944800</v>
      </c>
      <c r="L49" s="983"/>
      <c r="M49" s="90"/>
      <c r="N49" s="90"/>
      <c r="O49" s="90"/>
      <c r="P49" s="90"/>
      <c r="Q49" s="90"/>
      <c r="R49" s="90"/>
      <c r="S49" s="62"/>
      <c r="T49" s="63"/>
      <c r="U49" s="238"/>
      <c r="V49" s="239">
        <f>SUM(V9:V47)</f>
        <v>10448000</v>
      </c>
      <c r="W49" s="238"/>
      <c r="X49" s="239">
        <f>SUM(X9:X47)</f>
        <v>664000</v>
      </c>
      <c r="Y49" s="238"/>
      <c r="Z49" s="239">
        <f>SUM(Z9:Z47)</f>
        <v>996000</v>
      </c>
      <c r="AA49" s="261"/>
      <c r="AB49" s="239">
        <f>SUM(AB9:AB47)</f>
        <v>0</v>
      </c>
      <c r="AC49" s="261"/>
      <c r="AD49" s="239">
        <f>SUM(AD9:AD47)</f>
        <v>0</v>
      </c>
      <c r="AE49" s="238"/>
      <c r="AF49" s="239">
        <f>SUM(AF9:AF47)</f>
        <v>0</v>
      </c>
      <c r="AG49" s="238"/>
      <c r="AH49" s="239">
        <f>SUM(AH9:AH47)</f>
        <v>0</v>
      </c>
      <c r="AI49" s="238"/>
      <c r="AJ49" s="239">
        <f>SUM(AJ9:AJ47)</f>
        <v>231900</v>
      </c>
      <c r="AK49" s="494">
        <f>SUM(AK9:AK47)</f>
        <v>484948.68328320002</v>
      </c>
      <c r="AL49" s="239">
        <f>SUM(AL9:AL47)</f>
        <v>0</v>
      </c>
      <c r="AM49" s="225">
        <f>SUM(AM9:AM47)</f>
        <v>12810000</v>
      </c>
      <c r="AN49" s="63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</row>
    <row r="50" spans="1:254" s="872" customFormat="1" x14ac:dyDescent="0.2">
      <c r="A50" s="90"/>
      <c r="B50" s="62"/>
      <c r="C50" s="488"/>
      <c r="D50" s="214"/>
      <c r="E50" s="111"/>
      <c r="F50" s="90"/>
      <c r="G50" s="90"/>
      <c r="H50" s="91"/>
      <c r="I50" s="204"/>
      <c r="J50" s="492"/>
      <c r="K50" s="90"/>
      <c r="L50" s="47"/>
      <c r="M50" s="90"/>
      <c r="N50" s="90"/>
      <c r="O50" s="90"/>
      <c r="P50" s="90"/>
      <c r="Q50" s="90"/>
      <c r="R50" s="90"/>
      <c r="S50" s="62"/>
      <c r="T50" s="63"/>
      <c r="U50" s="214"/>
      <c r="V50" s="90"/>
      <c r="W50" s="214"/>
      <c r="X50" s="90"/>
      <c r="Y50" s="214"/>
      <c r="Z50" s="90"/>
      <c r="AA50" s="214"/>
      <c r="AB50" s="90"/>
      <c r="AC50" s="214"/>
      <c r="AD50" s="90"/>
      <c r="AE50" s="214"/>
      <c r="AF50" s="90"/>
      <c r="AG50" s="214"/>
      <c r="AH50" s="90"/>
      <c r="AI50" s="214"/>
      <c r="AJ50" s="214"/>
      <c r="AK50" s="204"/>
      <c r="AL50" s="214"/>
      <c r="AM50" s="90"/>
      <c r="AN50" s="63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</row>
    <row r="51" spans="1:254" x14ac:dyDescent="0.2">
      <c r="A51" s="169"/>
      <c r="B51" s="30"/>
      <c r="C51" s="645">
        <f>+A37</f>
        <v>29</v>
      </c>
      <c r="D51" s="645"/>
      <c r="E51" s="31"/>
      <c r="F51" s="32"/>
      <c r="G51" s="32"/>
      <c r="H51" s="1286"/>
      <c r="I51" s="1295"/>
      <c r="J51" s="520"/>
      <c r="K51" s="32"/>
      <c r="L51" s="984"/>
      <c r="M51" s="991"/>
      <c r="N51" s="991"/>
      <c r="O51" s="991"/>
      <c r="P51" s="991"/>
      <c r="Q51" s="108"/>
      <c r="R51" s="108"/>
      <c r="S51" s="326"/>
      <c r="T51" s="19"/>
      <c r="U51" s="34"/>
      <c r="V51" s="371"/>
      <c r="W51" s="34"/>
      <c r="X51" s="35"/>
      <c r="Y51" s="34"/>
      <c r="Z51" s="35"/>
      <c r="AA51" s="840"/>
      <c r="AB51" s="835"/>
      <c r="AC51" s="840"/>
      <c r="AD51" s="835"/>
      <c r="AE51" s="33"/>
      <c r="AF51" s="35"/>
      <c r="AG51" s="33"/>
      <c r="AH51" s="35"/>
      <c r="AI51" s="36"/>
      <c r="AJ51" s="35"/>
      <c r="AK51" s="495"/>
      <c r="AL51" s="35"/>
      <c r="AM51" s="35"/>
      <c r="AN51" s="19"/>
    </row>
    <row r="52" spans="1:254" x14ac:dyDescent="0.2">
      <c r="A52" s="170"/>
      <c r="B52" s="38"/>
      <c r="C52" s="477"/>
      <c r="D52" s="165"/>
      <c r="E52" s="25"/>
      <c r="F52" s="39"/>
      <c r="G52" s="39"/>
      <c r="H52" s="1287"/>
      <c r="I52" s="1287"/>
      <c r="J52" s="476"/>
      <c r="K52" s="39"/>
      <c r="L52" s="41"/>
      <c r="M52" s="992"/>
      <c r="N52" s="992"/>
      <c r="O52" s="992"/>
      <c r="P52" s="992"/>
      <c r="Q52" s="109"/>
      <c r="R52" s="109"/>
      <c r="S52" s="194"/>
      <c r="T52" s="19"/>
      <c r="U52" s="41"/>
      <c r="V52" s="40"/>
      <c r="W52" s="41"/>
      <c r="X52" s="42"/>
      <c r="Y52" s="41"/>
      <c r="Z52" s="42"/>
      <c r="AA52" s="841"/>
      <c r="AB52" s="5"/>
      <c r="AC52" s="841"/>
      <c r="AD52" s="5"/>
      <c r="AE52" s="40"/>
      <c r="AF52" s="42"/>
      <c r="AG52" s="40"/>
      <c r="AH52" s="42"/>
      <c r="AI52" s="43"/>
      <c r="AJ52" s="42"/>
      <c r="AK52" s="496"/>
      <c r="AL52" s="42"/>
      <c r="AM52" s="42"/>
      <c r="AN52" s="19"/>
    </row>
    <row r="53" spans="1:254" ht="15.75" thickBot="1" x14ac:dyDescent="0.25">
      <c r="A53" s="113" t="s">
        <v>3</v>
      </c>
      <c r="B53" s="28"/>
      <c r="D53" s="212"/>
      <c r="E53" s="45"/>
      <c r="F53" s="38"/>
      <c r="G53" s="38"/>
      <c r="H53" s="1288"/>
      <c r="I53" s="497"/>
      <c r="J53" s="479"/>
      <c r="K53" s="38"/>
      <c r="L53" s="1083"/>
      <c r="M53" s="1084"/>
      <c r="N53" s="992"/>
      <c r="O53" s="992"/>
      <c r="P53" s="992"/>
      <c r="Q53" s="109"/>
      <c r="R53" s="109"/>
      <c r="S53" s="194"/>
      <c r="T53" s="19"/>
      <c r="U53" s="41"/>
      <c r="V53" s="41"/>
      <c r="W53" s="41"/>
      <c r="X53" s="46"/>
      <c r="Y53" s="41"/>
      <c r="Z53" s="46"/>
      <c r="AA53" s="841"/>
      <c r="AB53" s="16"/>
      <c r="AC53" s="841"/>
      <c r="AD53" s="16"/>
      <c r="AE53" s="40"/>
      <c r="AF53" s="46"/>
      <c r="AG53" s="40"/>
      <c r="AH53" s="46"/>
      <c r="AI53" s="43"/>
      <c r="AJ53" s="46"/>
      <c r="AK53" s="497"/>
      <c r="AL53" s="46"/>
      <c r="AM53" s="46"/>
      <c r="AN53" s="19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</row>
    <row r="54" spans="1:254" x14ac:dyDescent="0.2">
      <c r="A54" s="549"/>
      <c r="B54" s="1426"/>
      <c r="C54" s="1465"/>
      <c r="D54" s="1420"/>
      <c r="E54" s="1465"/>
      <c r="F54" s="615"/>
      <c r="G54" s="1466"/>
      <c r="H54" s="1278"/>
      <c r="I54" s="1467"/>
      <c r="J54" s="1468"/>
      <c r="K54" s="511"/>
      <c r="L54" s="1469"/>
      <c r="M54" s="1015"/>
      <c r="N54" s="1334"/>
      <c r="O54" s="1338"/>
      <c r="P54" s="1334"/>
      <c r="Q54" s="615"/>
      <c r="R54" s="1471"/>
      <c r="S54" s="856"/>
      <c r="T54" s="865"/>
      <c r="U54" s="300"/>
      <c r="V54" s="179"/>
      <c r="W54" s="230"/>
      <c r="X54" s="180"/>
      <c r="Y54" s="231"/>
      <c r="Z54" s="181"/>
      <c r="AA54" s="820"/>
      <c r="AB54" s="810"/>
      <c r="AC54" s="820"/>
      <c r="AD54" s="810"/>
      <c r="AE54" s="232"/>
      <c r="AF54" s="182"/>
      <c r="AG54" s="230"/>
      <c r="AH54" s="182"/>
      <c r="AI54" s="233"/>
      <c r="AJ54" s="259"/>
      <c r="AK54" s="498"/>
      <c r="AL54" s="203"/>
      <c r="AM54" s="265"/>
      <c r="AN54" s="24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</row>
    <row r="55" spans="1:254" x14ac:dyDescent="0.2">
      <c r="A55" s="1472"/>
      <c r="B55" s="1042"/>
      <c r="C55" s="1068"/>
      <c r="D55" s="1053"/>
      <c r="E55" s="1068"/>
      <c r="F55" s="1209"/>
      <c r="G55" s="1210"/>
      <c r="H55" s="1282"/>
      <c r="I55" s="1292"/>
      <c r="J55" s="1211"/>
      <c r="K55" s="1212"/>
      <c r="L55" s="1054"/>
      <c r="M55" s="1213"/>
      <c r="N55" s="1335"/>
      <c r="O55" s="1339"/>
      <c r="P55" s="1335"/>
      <c r="Q55" s="1209"/>
      <c r="R55" s="1473"/>
      <c r="S55" s="294"/>
      <c r="T55" s="24"/>
      <c r="U55" s="297"/>
      <c r="V55" s="119"/>
      <c r="W55" s="234"/>
      <c r="X55" s="114"/>
      <c r="Y55" s="235"/>
      <c r="Z55" s="115"/>
      <c r="AA55" s="821"/>
      <c r="AB55" s="811"/>
      <c r="AC55" s="821"/>
      <c r="AD55" s="811"/>
      <c r="AE55" s="236"/>
      <c r="AF55" s="116"/>
      <c r="AG55" s="234"/>
      <c r="AH55" s="116"/>
      <c r="AI55" s="237"/>
      <c r="AJ55" s="117"/>
      <c r="AK55" s="499"/>
      <c r="AL55" s="264"/>
      <c r="AM55" s="266"/>
      <c r="AN55" s="24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</row>
    <row r="56" spans="1:254" x14ac:dyDescent="0.2">
      <c r="A56" s="1472"/>
      <c r="B56" s="1042"/>
      <c r="C56" s="1068"/>
      <c r="D56" s="1053"/>
      <c r="E56" s="1068"/>
      <c r="F56" s="1209"/>
      <c r="G56" s="1210"/>
      <c r="H56" s="1282"/>
      <c r="I56" s="1292"/>
      <c r="J56" s="1211"/>
      <c r="K56" s="1212"/>
      <c r="L56" s="1054"/>
      <c r="M56" s="1213"/>
      <c r="N56" s="1335"/>
      <c r="O56" s="1339"/>
      <c r="P56" s="1335"/>
      <c r="Q56" s="1209"/>
      <c r="R56" s="1473"/>
      <c r="S56" s="294"/>
      <c r="T56" s="865"/>
      <c r="U56" s="297"/>
      <c r="V56" s="119"/>
      <c r="W56" s="234"/>
      <c r="X56" s="114"/>
      <c r="Y56" s="235"/>
      <c r="Z56" s="115"/>
      <c r="AA56" s="821"/>
      <c r="AB56" s="811"/>
      <c r="AC56" s="821"/>
      <c r="AD56" s="811"/>
      <c r="AE56" s="236"/>
      <c r="AF56" s="116"/>
      <c r="AG56" s="234"/>
      <c r="AH56" s="116"/>
      <c r="AI56" s="237"/>
      <c r="AJ56" s="117"/>
      <c r="AK56" s="499"/>
      <c r="AL56" s="264"/>
      <c r="AM56" s="266"/>
      <c r="AN56" s="24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</row>
    <row r="57" spans="1:254" x14ac:dyDescent="0.2">
      <c r="A57" s="1474"/>
      <c r="B57" s="1067"/>
      <c r="C57" s="1068"/>
      <c r="D57" s="1053"/>
      <c r="E57" s="1068"/>
      <c r="F57" s="1209"/>
      <c r="G57" s="1210"/>
      <c r="H57" s="1282"/>
      <c r="I57" s="1292"/>
      <c r="J57" s="1211"/>
      <c r="K57" s="1212"/>
      <c r="L57" s="1054"/>
      <c r="M57" s="1213"/>
      <c r="N57" s="1335"/>
      <c r="O57" s="1339"/>
      <c r="P57" s="1335"/>
      <c r="Q57" s="1209"/>
      <c r="R57" s="1473"/>
      <c r="S57" s="1005"/>
      <c r="T57" s="24"/>
      <c r="U57" s="297"/>
      <c r="V57" s="119"/>
      <c r="W57" s="234"/>
      <c r="X57" s="114"/>
      <c r="Y57" s="235"/>
      <c r="Z57" s="115"/>
      <c r="AA57" s="821"/>
      <c r="AB57" s="811"/>
      <c r="AC57" s="821"/>
      <c r="AD57" s="811"/>
      <c r="AE57" s="236"/>
      <c r="AF57" s="116"/>
      <c r="AG57" s="234"/>
      <c r="AH57" s="116"/>
      <c r="AI57" s="237"/>
      <c r="AJ57" s="117"/>
      <c r="AK57" s="499"/>
      <c r="AL57" s="264"/>
      <c r="AM57" s="266"/>
      <c r="AN57" s="24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</row>
    <row r="58" spans="1:254" x14ac:dyDescent="0.2">
      <c r="A58" s="1475"/>
      <c r="B58" s="1070"/>
      <c r="C58" s="1071"/>
      <c r="D58" s="1476"/>
      <c r="E58" s="1071"/>
      <c r="F58" s="1477"/>
      <c r="G58" s="1478"/>
      <c r="H58" s="1377"/>
      <c r="I58" s="1479"/>
      <c r="J58" s="1069"/>
      <c r="K58" s="1480"/>
      <c r="L58" s="1217"/>
      <c r="M58" s="1359"/>
      <c r="N58" s="1378"/>
      <c r="O58" s="1379"/>
      <c r="P58" s="1378"/>
      <c r="Q58" s="1477"/>
      <c r="R58" s="1481"/>
      <c r="S58" s="1486"/>
      <c r="T58" s="24"/>
      <c r="U58" s="850"/>
      <c r="V58" s="341"/>
      <c r="W58" s="791"/>
      <c r="X58" s="792"/>
      <c r="Y58" s="793"/>
      <c r="Z58" s="794"/>
      <c r="AA58" s="842"/>
      <c r="AB58" s="836"/>
      <c r="AC58" s="842"/>
      <c r="AD58" s="836"/>
      <c r="AE58" s="795"/>
      <c r="AF58" s="796"/>
      <c r="AG58" s="791"/>
      <c r="AH58" s="796"/>
      <c r="AI58" s="797"/>
      <c r="AJ58" s="798"/>
      <c r="AK58" s="799"/>
      <c r="AL58" s="800"/>
      <c r="AM58" s="784"/>
      <c r="AN58" s="24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</row>
    <row r="59" spans="1:254" x14ac:dyDescent="0.2">
      <c r="A59" s="1474"/>
      <c r="B59" s="1042"/>
      <c r="C59" s="1068"/>
      <c r="D59" s="1053"/>
      <c r="E59" s="1068"/>
      <c r="F59" s="1209"/>
      <c r="G59" s="1210"/>
      <c r="H59" s="1282"/>
      <c r="I59" s="1292"/>
      <c r="J59" s="1211"/>
      <c r="K59" s="1212"/>
      <c r="L59" s="1054"/>
      <c r="M59" s="1213"/>
      <c r="N59" s="1335"/>
      <c r="O59" s="1339"/>
      <c r="P59" s="1335"/>
      <c r="Q59" s="1209"/>
      <c r="R59" s="1473"/>
      <c r="S59" s="783"/>
      <c r="T59" s="24"/>
      <c r="U59" s="297"/>
      <c r="V59" s="119"/>
      <c r="W59" s="234"/>
      <c r="X59" s="114"/>
      <c r="Y59" s="235"/>
      <c r="Z59" s="115"/>
      <c r="AA59" s="821"/>
      <c r="AB59" s="811"/>
      <c r="AC59" s="821"/>
      <c r="AD59" s="811"/>
      <c r="AE59" s="236"/>
      <c r="AF59" s="116"/>
      <c r="AG59" s="234"/>
      <c r="AH59" s="116"/>
      <c r="AI59" s="237"/>
      <c r="AJ59" s="117"/>
      <c r="AK59" s="499"/>
      <c r="AL59" s="264"/>
      <c r="AM59" s="266"/>
      <c r="AN59" s="24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</row>
    <row r="60" spans="1:254" x14ac:dyDescent="0.2">
      <c r="A60" s="1474"/>
      <c r="B60" s="1047"/>
      <c r="C60" s="1068"/>
      <c r="D60" s="1053"/>
      <c r="E60" s="1068"/>
      <c r="F60" s="1209"/>
      <c r="G60" s="1210"/>
      <c r="H60" s="1282"/>
      <c r="I60" s="1292"/>
      <c r="J60" s="1211"/>
      <c r="K60" s="1212"/>
      <c r="L60" s="1054"/>
      <c r="M60" s="1213"/>
      <c r="N60" s="1335"/>
      <c r="O60" s="1339"/>
      <c r="P60" s="1335"/>
      <c r="Q60" s="1209"/>
      <c r="R60" s="1473"/>
      <c r="S60" s="858"/>
      <c r="T60" s="24"/>
      <c r="U60" s="297"/>
      <c r="V60" s="119"/>
      <c r="W60" s="234"/>
      <c r="X60" s="114"/>
      <c r="Y60" s="235"/>
      <c r="Z60" s="115"/>
      <c r="AA60" s="821"/>
      <c r="AB60" s="811"/>
      <c r="AC60" s="821"/>
      <c r="AD60" s="811"/>
      <c r="AE60" s="236"/>
      <c r="AF60" s="116"/>
      <c r="AG60" s="234"/>
      <c r="AH60" s="116"/>
      <c r="AI60" s="237"/>
      <c r="AJ60" s="117"/>
      <c r="AK60" s="499"/>
      <c r="AL60" s="264"/>
      <c r="AM60" s="266"/>
      <c r="AN60" s="24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</row>
    <row r="61" spans="1:254" x14ac:dyDescent="0.2">
      <c r="A61" s="1475"/>
      <c r="B61" s="1070"/>
      <c r="C61" s="1071"/>
      <c r="D61" s="1476"/>
      <c r="E61" s="1071"/>
      <c r="F61" s="1477"/>
      <c r="G61" s="1478"/>
      <c r="H61" s="1377"/>
      <c r="I61" s="1479"/>
      <c r="J61" s="1069"/>
      <c r="K61" s="1480"/>
      <c r="L61" s="1217"/>
      <c r="M61" s="1359"/>
      <c r="N61" s="1378"/>
      <c r="O61" s="1379"/>
      <c r="P61" s="1378"/>
      <c r="Q61" s="1477"/>
      <c r="R61" s="1481"/>
      <c r="S61" s="1486"/>
      <c r="T61" s="24"/>
      <c r="U61" s="850"/>
      <c r="V61" s="341"/>
      <c r="W61" s="791"/>
      <c r="X61" s="792"/>
      <c r="Y61" s="793"/>
      <c r="Z61" s="794"/>
      <c r="AA61" s="842"/>
      <c r="AB61" s="836"/>
      <c r="AC61" s="842"/>
      <c r="AD61" s="836"/>
      <c r="AE61" s="795"/>
      <c r="AF61" s="796"/>
      <c r="AG61" s="791"/>
      <c r="AH61" s="796"/>
      <c r="AI61" s="797"/>
      <c r="AJ61" s="798"/>
      <c r="AK61" s="799"/>
      <c r="AL61" s="800"/>
      <c r="AM61" s="784"/>
      <c r="AN61" s="24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</row>
    <row r="62" spans="1:254" x14ac:dyDescent="0.2">
      <c r="A62" s="1474"/>
      <c r="B62" s="1067"/>
      <c r="C62" s="1068"/>
      <c r="D62" s="1053"/>
      <c r="E62" s="1068"/>
      <c r="F62" s="1209"/>
      <c r="G62" s="1210"/>
      <c r="H62" s="1282"/>
      <c r="I62" s="1292"/>
      <c r="J62" s="1211"/>
      <c r="K62" s="1212"/>
      <c r="L62" s="1054"/>
      <c r="M62" s="1213"/>
      <c r="N62" s="1335"/>
      <c r="O62" s="1339"/>
      <c r="P62" s="1335"/>
      <c r="Q62" s="1209"/>
      <c r="R62" s="1473"/>
      <c r="S62" s="1005"/>
      <c r="T62" s="24"/>
      <c r="U62" s="297"/>
      <c r="V62" s="119"/>
      <c r="W62" s="234"/>
      <c r="X62" s="114"/>
      <c r="Y62" s="235"/>
      <c r="Z62" s="115"/>
      <c r="AA62" s="821"/>
      <c r="AB62" s="811"/>
      <c r="AC62" s="821"/>
      <c r="AD62" s="811"/>
      <c r="AE62" s="236"/>
      <c r="AF62" s="116"/>
      <c r="AG62" s="234"/>
      <c r="AH62" s="116"/>
      <c r="AI62" s="237"/>
      <c r="AJ62" s="117"/>
      <c r="AK62" s="499"/>
      <c r="AL62" s="264"/>
      <c r="AM62" s="266"/>
      <c r="AN62" s="24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</row>
    <row r="63" spans="1:254" x14ac:dyDescent="0.2">
      <c r="A63" s="1474"/>
      <c r="B63" s="1042"/>
      <c r="C63" s="1068"/>
      <c r="D63" s="1053"/>
      <c r="E63" s="1068"/>
      <c r="F63" s="1209"/>
      <c r="G63" s="1210"/>
      <c r="H63" s="1282"/>
      <c r="I63" s="1292"/>
      <c r="J63" s="1211"/>
      <c r="K63" s="1212"/>
      <c r="L63" s="1054"/>
      <c r="M63" s="1213"/>
      <c r="N63" s="1335"/>
      <c r="O63" s="1339"/>
      <c r="P63" s="1335"/>
      <c r="Q63" s="1209"/>
      <c r="R63" s="1473"/>
      <c r="S63" s="293"/>
      <c r="T63" s="865"/>
      <c r="U63" s="297"/>
      <c r="V63" s="119"/>
      <c r="W63" s="234"/>
      <c r="X63" s="114"/>
      <c r="Y63" s="235"/>
      <c r="Z63" s="115"/>
      <c r="AA63" s="821"/>
      <c r="AB63" s="811"/>
      <c r="AC63" s="821"/>
      <c r="AD63" s="811"/>
      <c r="AE63" s="236"/>
      <c r="AF63" s="116"/>
      <c r="AG63" s="234"/>
      <c r="AH63" s="116"/>
      <c r="AI63" s="237"/>
      <c r="AJ63" s="117"/>
      <c r="AK63" s="499"/>
      <c r="AL63" s="264"/>
      <c r="AM63" s="266"/>
      <c r="AN63" s="24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</row>
    <row r="64" spans="1:254" x14ac:dyDescent="0.2">
      <c r="A64" s="1474"/>
      <c r="B64" s="1042"/>
      <c r="C64" s="1068"/>
      <c r="D64" s="1053"/>
      <c r="E64" s="1068"/>
      <c r="F64" s="1209"/>
      <c r="G64" s="1210"/>
      <c r="H64" s="1282"/>
      <c r="I64" s="1292"/>
      <c r="J64" s="1211"/>
      <c r="K64" s="1212"/>
      <c r="L64" s="1054"/>
      <c r="M64" s="1213"/>
      <c r="N64" s="1335"/>
      <c r="O64" s="1339"/>
      <c r="P64" s="1335"/>
      <c r="Q64" s="1209"/>
      <c r="R64" s="1473"/>
      <c r="S64" s="293"/>
      <c r="T64" s="24"/>
      <c r="U64" s="297"/>
      <c r="V64" s="119"/>
      <c r="W64" s="234"/>
      <c r="X64" s="114"/>
      <c r="Y64" s="235"/>
      <c r="Z64" s="115"/>
      <c r="AA64" s="821"/>
      <c r="AB64" s="811"/>
      <c r="AC64" s="821"/>
      <c r="AD64" s="811"/>
      <c r="AE64" s="236"/>
      <c r="AF64" s="116"/>
      <c r="AG64" s="234"/>
      <c r="AH64" s="116"/>
      <c r="AI64" s="237"/>
      <c r="AJ64" s="117"/>
      <c r="AK64" s="499"/>
      <c r="AL64" s="264"/>
      <c r="AM64" s="266"/>
      <c r="AN64" s="24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</row>
    <row r="65" spans="1:254" x14ac:dyDescent="0.2">
      <c r="A65" s="1474"/>
      <c r="B65" s="1042"/>
      <c r="C65" s="1068"/>
      <c r="D65" s="1053"/>
      <c r="E65" s="1068"/>
      <c r="F65" s="1209"/>
      <c r="G65" s="1210"/>
      <c r="H65" s="1282"/>
      <c r="I65" s="1292"/>
      <c r="J65" s="1211"/>
      <c r="K65" s="1212"/>
      <c r="L65" s="1054"/>
      <c r="M65" s="1213"/>
      <c r="N65" s="1335"/>
      <c r="O65" s="1339"/>
      <c r="P65" s="1335"/>
      <c r="Q65" s="1209"/>
      <c r="R65" s="1473"/>
      <c r="S65" s="293"/>
      <c r="T65" s="24"/>
      <c r="U65" s="297"/>
      <c r="V65" s="119"/>
      <c r="W65" s="234"/>
      <c r="X65" s="114"/>
      <c r="Y65" s="235"/>
      <c r="Z65" s="115"/>
      <c r="AA65" s="821"/>
      <c r="AB65" s="811"/>
      <c r="AC65" s="821"/>
      <c r="AD65" s="811"/>
      <c r="AE65" s="236"/>
      <c r="AF65" s="116"/>
      <c r="AG65" s="234"/>
      <c r="AH65" s="116"/>
      <c r="AI65" s="237"/>
      <c r="AJ65" s="117"/>
      <c r="AK65" s="499"/>
      <c r="AL65" s="264"/>
      <c r="AM65" s="266"/>
      <c r="AN65" s="24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</row>
    <row r="66" spans="1:254" x14ac:dyDescent="0.2">
      <c r="A66" s="1474"/>
      <c r="B66" s="1042"/>
      <c r="C66" s="1068"/>
      <c r="D66" s="1053"/>
      <c r="E66" s="1068"/>
      <c r="F66" s="1209"/>
      <c r="G66" s="1210"/>
      <c r="H66" s="1282"/>
      <c r="I66" s="1292"/>
      <c r="J66" s="1211"/>
      <c r="K66" s="1212"/>
      <c r="L66" s="1054"/>
      <c r="M66" s="1213"/>
      <c r="N66" s="1335"/>
      <c r="O66" s="1339"/>
      <c r="P66" s="1335"/>
      <c r="Q66" s="1209"/>
      <c r="R66" s="1473"/>
      <c r="S66" s="293"/>
      <c r="T66" s="24"/>
      <c r="U66" s="297"/>
      <c r="V66" s="119"/>
      <c r="W66" s="234"/>
      <c r="X66" s="114"/>
      <c r="Y66" s="235"/>
      <c r="Z66" s="115"/>
      <c r="AA66" s="821"/>
      <c r="AB66" s="811"/>
      <c r="AC66" s="821"/>
      <c r="AD66" s="811"/>
      <c r="AE66" s="236"/>
      <c r="AF66" s="116"/>
      <c r="AG66" s="234"/>
      <c r="AH66" s="116"/>
      <c r="AI66" s="237"/>
      <c r="AJ66" s="117"/>
      <c r="AK66" s="499"/>
      <c r="AL66" s="264"/>
      <c r="AM66" s="266"/>
      <c r="AN66" s="24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</row>
    <row r="67" spans="1:254" x14ac:dyDescent="0.2">
      <c r="A67" s="1474"/>
      <c r="B67" s="1042"/>
      <c r="C67" s="1068"/>
      <c r="D67" s="1053"/>
      <c r="E67" s="1068"/>
      <c r="F67" s="1209"/>
      <c r="G67" s="1210"/>
      <c r="H67" s="1282"/>
      <c r="I67" s="1292"/>
      <c r="J67" s="1211"/>
      <c r="K67" s="1212"/>
      <c r="L67" s="1054"/>
      <c r="M67" s="1213"/>
      <c r="N67" s="1335"/>
      <c r="O67" s="1339"/>
      <c r="P67" s="1335"/>
      <c r="Q67" s="1209"/>
      <c r="R67" s="1473"/>
      <c r="S67" s="1005"/>
      <c r="T67" s="24"/>
      <c r="U67" s="297"/>
      <c r="V67" s="119"/>
      <c r="W67" s="234"/>
      <c r="X67" s="114"/>
      <c r="Y67" s="235"/>
      <c r="Z67" s="115"/>
      <c r="AA67" s="821"/>
      <c r="AB67" s="811"/>
      <c r="AC67" s="821"/>
      <c r="AD67" s="811"/>
      <c r="AE67" s="236"/>
      <c r="AF67" s="116"/>
      <c r="AG67" s="234"/>
      <c r="AH67" s="116"/>
      <c r="AI67" s="237"/>
      <c r="AJ67" s="117"/>
      <c r="AK67" s="499"/>
      <c r="AL67" s="264"/>
      <c r="AM67" s="266"/>
      <c r="AN67" s="24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</row>
    <row r="68" spans="1:254" x14ac:dyDescent="0.2">
      <c r="A68" s="1475"/>
      <c r="B68" s="1070"/>
      <c r="C68" s="1071"/>
      <c r="D68" s="1476"/>
      <c r="E68" s="1071"/>
      <c r="F68" s="1477"/>
      <c r="G68" s="1478"/>
      <c r="H68" s="1377"/>
      <c r="I68" s="1479"/>
      <c r="J68" s="1069"/>
      <c r="K68" s="1480"/>
      <c r="L68" s="1217"/>
      <c r="M68" s="1359"/>
      <c r="N68" s="1378"/>
      <c r="O68" s="1379"/>
      <c r="P68" s="1378"/>
      <c r="Q68" s="1477"/>
      <c r="R68" s="1481"/>
      <c r="S68" s="1486"/>
      <c r="T68" s="24"/>
      <c r="U68" s="850"/>
      <c r="V68" s="341"/>
      <c r="W68" s="791"/>
      <c r="X68" s="792"/>
      <c r="Y68" s="793"/>
      <c r="Z68" s="794"/>
      <c r="AA68" s="842"/>
      <c r="AB68" s="836"/>
      <c r="AC68" s="842"/>
      <c r="AD68" s="836"/>
      <c r="AE68" s="795"/>
      <c r="AF68" s="796"/>
      <c r="AG68" s="791"/>
      <c r="AH68" s="796"/>
      <c r="AI68" s="797"/>
      <c r="AJ68" s="798"/>
      <c r="AK68" s="799"/>
      <c r="AL68" s="800"/>
      <c r="AM68" s="784"/>
      <c r="AN68" s="24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</row>
    <row r="69" spans="1:254" ht="24.75" customHeight="1" x14ac:dyDescent="0.2">
      <c r="A69" s="1472"/>
      <c r="B69" s="1042"/>
      <c r="C69" s="1068"/>
      <c r="D69" s="1053"/>
      <c r="E69" s="1068"/>
      <c r="F69" s="1209"/>
      <c r="G69" s="1210"/>
      <c r="H69" s="1282"/>
      <c r="I69" s="1292"/>
      <c r="J69" s="1211"/>
      <c r="K69" s="1212"/>
      <c r="L69" s="1054"/>
      <c r="M69" s="1213"/>
      <c r="N69" s="1335"/>
      <c r="O69" s="1339"/>
      <c r="P69" s="1335"/>
      <c r="Q69" s="1209"/>
      <c r="R69" s="1473"/>
      <c r="S69" s="1081"/>
      <c r="T69" s="24"/>
      <c r="U69" s="297"/>
      <c r="V69" s="119"/>
      <c r="W69" s="234"/>
      <c r="X69" s="114"/>
      <c r="Y69" s="235"/>
      <c r="Z69" s="115"/>
      <c r="AA69" s="821"/>
      <c r="AB69" s="811"/>
      <c r="AC69" s="821"/>
      <c r="AD69" s="811"/>
      <c r="AE69" s="236"/>
      <c r="AF69" s="116"/>
      <c r="AG69" s="234"/>
      <c r="AH69" s="116"/>
      <c r="AI69" s="237"/>
      <c r="AJ69" s="117"/>
      <c r="AK69" s="499"/>
      <c r="AL69" s="264"/>
      <c r="AM69" s="266"/>
      <c r="AN69" s="24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</row>
    <row r="70" spans="1:254" x14ac:dyDescent="0.2">
      <c r="A70" s="1472"/>
      <c r="B70" s="1067"/>
      <c r="C70" s="1068"/>
      <c r="D70" s="1053"/>
      <c r="E70" s="1068"/>
      <c r="F70" s="1209"/>
      <c r="G70" s="1210"/>
      <c r="H70" s="1282"/>
      <c r="I70" s="1292"/>
      <c r="J70" s="1211"/>
      <c r="K70" s="1212"/>
      <c r="L70" s="1054"/>
      <c r="M70" s="1213"/>
      <c r="N70" s="1335"/>
      <c r="O70" s="1339"/>
      <c r="P70" s="1335"/>
      <c r="Q70" s="1209"/>
      <c r="R70" s="1473"/>
      <c r="S70" s="293"/>
      <c r="T70" s="24"/>
      <c r="U70" s="297"/>
      <c r="V70" s="119"/>
      <c r="W70" s="234"/>
      <c r="X70" s="114"/>
      <c r="Y70" s="235"/>
      <c r="Z70" s="115"/>
      <c r="AA70" s="821"/>
      <c r="AB70" s="811"/>
      <c r="AC70" s="821"/>
      <c r="AD70" s="811"/>
      <c r="AE70" s="236"/>
      <c r="AF70" s="116"/>
      <c r="AG70" s="234"/>
      <c r="AH70" s="116"/>
      <c r="AI70" s="237"/>
      <c r="AJ70" s="117"/>
      <c r="AK70" s="499"/>
      <c r="AL70" s="264"/>
      <c r="AM70" s="266"/>
      <c r="AN70" s="24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</row>
    <row r="71" spans="1:254" x14ac:dyDescent="0.2">
      <c r="A71" s="1472"/>
      <c r="B71" s="1042"/>
      <c r="C71" s="1068"/>
      <c r="D71" s="1482"/>
      <c r="E71" s="1068"/>
      <c r="F71" s="1209"/>
      <c r="G71" s="1210"/>
      <c r="H71" s="1282"/>
      <c r="I71" s="1292"/>
      <c r="J71" s="1211"/>
      <c r="K71" s="1212"/>
      <c r="L71" s="1054"/>
      <c r="M71" s="1213"/>
      <c r="N71" s="1335"/>
      <c r="O71" s="1339"/>
      <c r="P71" s="1335"/>
      <c r="Q71" s="1209"/>
      <c r="R71" s="1473"/>
      <c r="S71" s="1005"/>
      <c r="T71" s="24"/>
      <c r="U71" s="297"/>
      <c r="V71" s="119"/>
      <c r="W71" s="234"/>
      <c r="X71" s="114"/>
      <c r="Y71" s="235"/>
      <c r="Z71" s="115"/>
      <c r="AA71" s="821"/>
      <c r="AB71" s="811"/>
      <c r="AC71" s="821"/>
      <c r="AD71" s="811"/>
      <c r="AE71" s="236"/>
      <c r="AF71" s="116"/>
      <c r="AG71" s="234"/>
      <c r="AH71" s="116"/>
      <c r="AI71" s="237"/>
      <c r="AJ71" s="117"/>
      <c r="AK71" s="499"/>
      <c r="AL71" s="264"/>
      <c r="AM71" s="266"/>
      <c r="AN71" s="24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</row>
    <row r="72" spans="1:254" x14ac:dyDescent="0.2">
      <c r="A72" s="1472"/>
      <c r="B72" s="1042"/>
      <c r="C72" s="1068"/>
      <c r="D72" s="1053"/>
      <c r="E72" s="1068"/>
      <c r="F72" s="1209"/>
      <c r="G72" s="1210"/>
      <c r="H72" s="1282"/>
      <c r="I72" s="1292"/>
      <c r="J72" s="1211"/>
      <c r="K72" s="1212"/>
      <c r="L72" s="1054"/>
      <c r="M72" s="1213"/>
      <c r="N72" s="1335"/>
      <c r="O72" s="1339"/>
      <c r="P72" s="1335"/>
      <c r="Q72" s="1209"/>
      <c r="R72" s="1473"/>
      <c r="S72" s="293"/>
      <c r="T72" s="865"/>
      <c r="U72" s="297"/>
      <c r="V72" s="119"/>
      <c r="W72" s="234"/>
      <c r="X72" s="114"/>
      <c r="Y72" s="235"/>
      <c r="Z72" s="115"/>
      <c r="AA72" s="821"/>
      <c r="AB72" s="811"/>
      <c r="AC72" s="821"/>
      <c r="AD72" s="811"/>
      <c r="AE72" s="236"/>
      <c r="AF72" s="116"/>
      <c r="AG72" s="234"/>
      <c r="AH72" s="116"/>
      <c r="AI72" s="237"/>
      <c r="AJ72" s="117"/>
      <c r="AK72" s="499"/>
      <c r="AL72" s="264"/>
      <c r="AM72" s="266"/>
      <c r="AN72" s="24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</row>
    <row r="73" spans="1:254" x14ac:dyDescent="0.2">
      <c r="A73" s="1472"/>
      <c r="B73" s="1042"/>
      <c r="C73" s="1068"/>
      <c r="D73" s="1043"/>
      <c r="E73" s="1068"/>
      <c r="F73" s="1209"/>
      <c r="G73" s="1210"/>
      <c r="H73" s="1282"/>
      <c r="I73" s="1292"/>
      <c r="J73" s="1211"/>
      <c r="K73" s="1212"/>
      <c r="L73" s="1054"/>
      <c r="M73" s="1213"/>
      <c r="N73" s="1335"/>
      <c r="O73" s="1339"/>
      <c r="P73" s="1335"/>
      <c r="Q73" s="1209"/>
      <c r="R73" s="1473"/>
      <c r="S73" s="294"/>
      <c r="T73" s="24"/>
      <c r="U73" s="298"/>
      <c r="V73" s="119"/>
      <c r="W73" s="234"/>
      <c r="X73" s="114"/>
      <c r="Y73" s="235"/>
      <c r="Z73" s="115"/>
      <c r="AA73" s="821"/>
      <c r="AB73" s="811"/>
      <c r="AC73" s="821"/>
      <c r="AD73" s="811"/>
      <c r="AE73" s="236"/>
      <c r="AF73" s="116"/>
      <c r="AG73" s="234"/>
      <c r="AH73" s="116"/>
      <c r="AI73" s="237"/>
      <c r="AJ73" s="117"/>
      <c r="AK73" s="499"/>
      <c r="AL73" s="264"/>
      <c r="AM73" s="266"/>
      <c r="AN73" s="24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</row>
    <row r="74" spans="1:254" x14ac:dyDescent="0.2">
      <c r="A74" s="1472"/>
      <c r="B74" s="1042"/>
      <c r="C74" s="1068"/>
      <c r="D74" s="1043"/>
      <c r="E74" s="1068"/>
      <c r="F74" s="1209"/>
      <c r="G74" s="1210"/>
      <c r="H74" s="1282"/>
      <c r="I74" s="1292"/>
      <c r="J74" s="1211"/>
      <c r="K74" s="1212"/>
      <c r="L74" s="1054"/>
      <c r="M74" s="1213"/>
      <c r="N74" s="1335"/>
      <c r="O74" s="1339"/>
      <c r="P74" s="1335"/>
      <c r="Q74" s="1209"/>
      <c r="R74" s="1473"/>
      <c r="S74" s="294"/>
      <c r="T74" s="24"/>
      <c r="U74" s="298"/>
      <c r="V74" s="119"/>
      <c r="W74" s="234"/>
      <c r="X74" s="114"/>
      <c r="Y74" s="235"/>
      <c r="Z74" s="115"/>
      <c r="AA74" s="821"/>
      <c r="AB74" s="811"/>
      <c r="AC74" s="821"/>
      <c r="AD74" s="811"/>
      <c r="AE74" s="236"/>
      <c r="AF74" s="116"/>
      <c r="AG74" s="234"/>
      <c r="AH74" s="116"/>
      <c r="AI74" s="237"/>
      <c r="AJ74" s="117"/>
      <c r="AK74" s="499"/>
      <c r="AL74" s="264"/>
      <c r="AM74" s="266"/>
      <c r="AN74" s="24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</row>
    <row r="75" spans="1:254" x14ac:dyDescent="0.2">
      <c r="A75" s="1472"/>
      <c r="B75" s="1042"/>
      <c r="C75" s="1068"/>
      <c r="D75" s="1043"/>
      <c r="E75" s="1068"/>
      <c r="F75" s="1209"/>
      <c r="G75" s="1210"/>
      <c r="H75" s="1282"/>
      <c r="I75" s="1292"/>
      <c r="J75" s="1211"/>
      <c r="K75" s="1212"/>
      <c r="L75" s="1054"/>
      <c r="M75" s="1213"/>
      <c r="N75" s="1335"/>
      <c r="O75" s="1339"/>
      <c r="P75" s="1335"/>
      <c r="Q75" s="1209"/>
      <c r="R75" s="1473"/>
      <c r="S75" s="294"/>
      <c r="T75" s="24"/>
      <c r="U75" s="298"/>
      <c r="V75" s="119">
        <f>ROUND(IF(U75="SI",SUMIF('Facturas año anterior'!$B$8:$B$81,B75,'Facturas año anterior'!$V$8:$V$81)*(100%+$V$5),0),-3)+ROUND(IF(U75="SI",SUMIF('C de C año anterior'!$B$8:$B$210,B75,'C de C año anterior'!$Q$8:$Q$210)*(100%+$V$5),0),-3)</f>
        <v>0</v>
      </c>
      <c r="W75" s="234"/>
      <c r="X75" s="114">
        <f>ROUND(IF(W75="SI",V75*$X$5,0),-3)</f>
        <v>0</v>
      </c>
      <c r="Y75" s="235"/>
      <c r="Z75" s="115">
        <f>ROUND(IF(Y75="SI",V75*$Z$5,0),-3)</f>
        <v>0</v>
      </c>
      <c r="AA75" s="821"/>
      <c r="AB75" s="811"/>
      <c r="AC75" s="821"/>
      <c r="AD75" s="811"/>
      <c r="AE75" s="236"/>
      <c r="AF75" s="116">
        <f>ROUND(IF(AE75="SI",V75*$AF$5,0),-3)</f>
        <v>0</v>
      </c>
      <c r="AG75" s="234"/>
      <c r="AH75" s="116">
        <f>ROUND(IF(AG75="SI",V75*$AH$5,0),-3)</f>
        <v>0</v>
      </c>
      <c r="AI75" s="237"/>
      <c r="AJ75" s="117">
        <f>IF(AI75="SI",V75*$AJ$5,0)</f>
        <v>0</v>
      </c>
      <c r="AK75" s="499">
        <f>SUMIF('Otras Asesorías y Préstamos'!$B$7:$B$242,B75,'Otras Asesorías y Préstamos'!$F$7:$F$242)</f>
        <v>0</v>
      </c>
      <c r="AL75" s="264">
        <f>SUMIF('Otras Asesorías y Préstamos'!$B$7:$B$242,B75,'Otras Asesorías y Préstamos'!$V$7:$V$242)</f>
        <v>0</v>
      </c>
      <c r="AM75" s="266">
        <f t="shared" ref="AM75:AM77" si="33">ROUND(SUM(V75:AK75),-3)</f>
        <v>0</v>
      </c>
      <c r="AN75" s="24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</row>
    <row r="76" spans="1:254" x14ac:dyDescent="0.2">
      <c r="A76" s="1472"/>
      <c r="B76" s="1042"/>
      <c r="C76" s="1068"/>
      <c r="D76" s="1043"/>
      <c r="E76" s="1068"/>
      <c r="F76" s="1209"/>
      <c r="G76" s="1210"/>
      <c r="H76" s="1282"/>
      <c r="I76" s="1292"/>
      <c r="J76" s="1211"/>
      <c r="K76" s="1212"/>
      <c r="L76" s="1054"/>
      <c r="M76" s="1213"/>
      <c r="N76" s="1335"/>
      <c r="O76" s="1339"/>
      <c r="P76" s="1335"/>
      <c r="Q76" s="1209"/>
      <c r="R76" s="1473"/>
      <c r="S76" s="294"/>
      <c r="T76" s="24"/>
      <c r="U76" s="298"/>
      <c r="V76" s="119">
        <f>ROUND(IF(U76="SI",SUMIF('Facturas año anterior'!$B$8:$B$81,B76,'Facturas año anterior'!$V$8:$V$81)*(100%+$V$5),0),-3)+ROUND(IF(U76="SI",SUMIF('C de C año anterior'!$B$8:$B$210,B76,'C de C año anterior'!$Q$8:$Q$210)*(100%+$V$5),0),-3)</f>
        <v>0</v>
      </c>
      <c r="W76" s="234"/>
      <c r="X76" s="114">
        <f>ROUND(IF(W76="SI",V76*$X$5,0),-3)</f>
        <v>0</v>
      </c>
      <c r="Y76" s="235"/>
      <c r="Z76" s="115">
        <f>ROUND(IF(Y76="SI",V76*$Z$5,0),-3)</f>
        <v>0</v>
      </c>
      <c r="AA76" s="821"/>
      <c r="AB76" s="811"/>
      <c r="AC76" s="821"/>
      <c r="AD76" s="811"/>
      <c r="AE76" s="236"/>
      <c r="AF76" s="116">
        <f>ROUND(IF(AE76="SI",V76*$AF$5,0),-3)</f>
        <v>0</v>
      </c>
      <c r="AG76" s="234"/>
      <c r="AH76" s="116">
        <f>ROUND(IF(AG76="SI",V76*$AH$5,0),-3)</f>
        <v>0</v>
      </c>
      <c r="AI76" s="237"/>
      <c r="AJ76" s="117">
        <f>IF(AI76="SI",V76*$AJ$5,0)</f>
        <v>0</v>
      </c>
      <c r="AK76" s="499">
        <f>SUMIF('Otras Asesorías y Préstamos'!$B$7:$B$242,B76,'Otras Asesorías y Préstamos'!$F$7:$F$242)</f>
        <v>0</v>
      </c>
      <c r="AL76" s="264">
        <f>SUMIF('Otras Asesorías y Préstamos'!$B$7:$B$242,B76,'Otras Asesorías y Préstamos'!$V$7:$V$242)</f>
        <v>0</v>
      </c>
      <c r="AM76" s="266">
        <f t="shared" si="33"/>
        <v>0</v>
      </c>
      <c r="AN76" s="24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</row>
    <row r="77" spans="1:254" x14ac:dyDescent="0.2">
      <c r="A77" s="1472"/>
      <c r="B77" s="1042"/>
      <c r="C77" s="1068"/>
      <c r="D77" s="1043"/>
      <c r="E77" s="1068"/>
      <c r="F77" s="1209"/>
      <c r="G77" s="1210"/>
      <c r="H77" s="1282"/>
      <c r="I77" s="1292"/>
      <c r="J77" s="1211"/>
      <c r="K77" s="1212"/>
      <c r="L77" s="1054"/>
      <c r="M77" s="1213"/>
      <c r="N77" s="1335"/>
      <c r="O77" s="1339"/>
      <c r="P77" s="1335"/>
      <c r="Q77" s="1209"/>
      <c r="R77" s="1473"/>
      <c r="S77" s="294"/>
      <c r="T77" s="24"/>
      <c r="U77" s="298"/>
      <c r="V77" s="119">
        <f>ROUND(IF(U77="SI",SUMIF('Facturas año anterior'!$B$8:$B$81,B77,'Facturas año anterior'!$V$8:$V$81)*(100%+$V$5),0),-3)+ROUND(IF(U77="SI",SUMIF('C de C año anterior'!$B$8:$B$210,B77,'C de C año anterior'!$Q$8:$Q$210)*(100%+$V$5),0),-3)</f>
        <v>0</v>
      </c>
      <c r="W77" s="234"/>
      <c r="X77" s="114">
        <f>ROUND(IF(W77="SI",V77*$X$5,0),-3)</f>
        <v>0</v>
      </c>
      <c r="Y77" s="235"/>
      <c r="Z77" s="115">
        <f>ROUND(IF(Y77="SI",V77*$Z$5,0),-3)</f>
        <v>0</v>
      </c>
      <c r="AA77" s="821"/>
      <c r="AB77" s="811"/>
      <c r="AC77" s="821"/>
      <c r="AD77" s="811"/>
      <c r="AE77" s="236"/>
      <c r="AF77" s="116">
        <f>ROUND(IF(AE77="SI",V77*$AF$5,0),-3)</f>
        <v>0</v>
      </c>
      <c r="AG77" s="234"/>
      <c r="AH77" s="116">
        <f>ROUND(IF(AG77="SI",V77*$AH$5,0),-3)</f>
        <v>0</v>
      </c>
      <c r="AI77" s="237"/>
      <c r="AJ77" s="117">
        <f>IF(AI77="SI",V77*$AJ$5,0)</f>
        <v>0</v>
      </c>
      <c r="AK77" s="499">
        <f>SUMIF('Otras Asesorías y Préstamos'!$B$7:$B$242,B77,'Otras Asesorías y Préstamos'!$F$7:$F$242)</f>
        <v>0</v>
      </c>
      <c r="AL77" s="264">
        <f>SUMIF('Otras Asesorías y Préstamos'!$B$7:$B$242,B77,'Otras Asesorías y Préstamos'!$V$7:$V$242)</f>
        <v>0</v>
      </c>
      <c r="AM77" s="266">
        <f t="shared" si="33"/>
        <v>0</v>
      </c>
      <c r="AN77" s="24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</row>
    <row r="78" spans="1:254" ht="13.5" thickBot="1" x14ac:dyDescent="0.25">
      <c r="A78" s="272"/>
      <c r="B78" s="1483"/>
      <c r="C78" s="489"/>
      <c r="D78" s="1484"/>
      <c r="E78" s="643"/>
      <c r="F78" s="315"/>
      <c r="G78" s="628"/>
      <c r="H78" s="1284"/>
      <c r="I78" s="1294"/>
      <c r="J78" s="522"/>
      <c r="K78" s="513"/>
      <c r="L78" s="852"/>
      <c r="M78" s="994"/>
      <c r="N78" s="1337"/>
      <c r="O78" s="1340"/>
      <c r="P78" s="1337"/>
      <c r="Q78" s="317"/>
      <c r="R78" s="316"/>
      <c r="S78" s="327"/>
      <c r="T78" s="24"/>
      <c r="U78" s="301"/>
      <c r="V78" s="267"/>
      <c r="W78" s="184"/>
      <c r="X78" s="185"/>
      <c r="Y78" s="186"/>
      <c r="Z78" s="187"/>
      <c r="AA78" s="822"/>
      <c r="AB78" s="812"/>
      <c r="AC78" s="822"/>
      <c r="AD78" s="812"/>
      <c r="AE78" s="188"/>
      <c r="AF78" s="189"/>
      <c r="AG78" s="184"/>
      <c r="AH78" s="185"/>
      <c r="AI78" s="190"/>
      <c r="AJ78" s="191"/>
      <c r="AK78" s="500"/>
      <c r="AL78" s="268"/>
      <c r="AM78" s="269"/>
      <c r="AN78" s="24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</row>
    <row r="79" spans="1:254" ht="13.5" thickBot="1" x14ac:dyDescent="0.25">
      <c r="F79" s="171"/>
      <c r="G79" s="171"/>
      <c r="H79" s="50"/>
      <c r="I79" s="200"/>
      <c r="J79" s="158"/>
      <c r="K79" s="171"/>
      <c r="L79" s="253"/>
      <c r="M79" s="214"/>
      <c r="N79" s="214"/>
      <c r="O79" s="214"/>
      <c r="P79" s="214"/>
      <c r="Q79" s="253"/>
      <c r="R79" s="253"/>
      <c r="T79" s="19"/>
      <c r="U79" s="47"/>
      <c r="V79" s="254"/>
      <c r="W79" s="47"/>
      <c r="X79" s="254"/>
      <c r="Y79" s="47"/>
      <c r="Z79" s="254"/>
      <c r="AA79" s="214"/>
      <c r="AB79" s="74"/>
      <c r="AC79" s="214"/>
      <c r="AD79" s="74"/>
      <c r="AE79" s="250"/>
      <c r="AF79" s="254"/>
      <c r="AG79" s="250"/>
      <c r="AH79" s="254"/>
      <c r="AI79" s="48"/>
      <c r="AJ79" s="254"/>
      <c r="AK79" s="200"/>
      <c r="AL79" s="254"/>
      <c r="AM79" s="49"/>
      <c r="AN79" s="19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</row>
    <row r="80" spans="1:254" s="872" customFormat="1" ht="13.5" thickBot="1" x14ac:dyDescent="0.25">
      <c r="A80" s="161" t="s">
        <v>69</v>
      </c>
      <c r="B80" s="131"/>
      <c r="C80" s="487"/>
      <c r="D80" s="261"/>
      <c r="E80" s="271"/>
      <c r="F80" s="225">
        <f>SUM(F54:F77)</f>
        <v>0</v>
      </c>
      <c r="G80" s="225">
        <f>SUM(G54:G77)</f>
        <v>0</v>
      </c>
      <c r="H80" s="1285"/>
      <c r="I80" s="501">
        <f>SUM(I54:I77)</f>
        <v>0</v>
      </c>
      <c r="J80" s="226">
        <f>SUM(J54:J77)</f>
        <v>0</v>
      </c>
      <c r="K80" s="225">
        <f>SUM(K54:K77)</f>
        <v>0</v>
      </c>
      <c r="L80" s="90"/>
      <c r="M80" s="90"/>
      <c r="N80" s="90"/>
      <c r="O80" s="90"/>
      <c r="P80" s="90"/>
      <c r="Q80" s="90"/>
      <c r="R80" s="90"/>
      <c r="S80" s="62"/>
      <c r="T80" s="64"/>
      <c r="U80" s="238"/>
      <c r="V80" s="239">
        <f>SUM(V54:V77)</f>
        <v>0</v>
      </c>
      <c r="W80" s="238"/>
      <c r="X80" s="239">
        <f>SUM(X54:X77)</f>
        <v>0</v>
      </c>
      <c r="Y80" s="238"/>
      <c r="Z80" s="239">
        <f>SUM(Z54:Z77)</f>
        <v>0</v>
      </c>
      <c r="AA80" s="261"/>
      <c r="AB80" s="239">
        <f>SUM(AB54:AB77)</f>
        <v>0</v>
      </c>
      <c r="AC80" s="261"/>
      <c r="AD80" s="239">
        <f>SUM(AD54:AD77)</f>
        <v>0</v>
      </c>
      <c r="AE80" s="238"/>
      <c r="AF80" s="239">
        <f>SUM(AF54:AF77)</f>
        <v>0</v>
      </c>
      <c r="AG80" s="238"/>
      <c r="AH80" s="239">
        <f>SUM(AH54:AH77)</f>
        <v>0</v>
      </c>
      <c r="AI80" s="238"/>
      <c r="AJ80" s="239">
        <f>SUM(AJ54:AJ77)</f>
        <v>0</v>
      </c>
      <c r="AK80" s="501">
        <f>SUM(AK54:AK77)</f>
        <v>0</v>
      </c>
      <c r="AL80" s="225">
        <f>SUM(AL54:AL77)</f>
        <v>0</v>
      </c>
      <c r="AM80" s="225">
        <f>SUM(AM54:AM77)</f>
        <v>0</v>
      </c>
      <c r="AN80" s="64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</row>
    <row r="81" spans="1:254" s="872" customFormat="1" x14ac:dyDescent="0.2">
      <c r="A81" s="90"/>
      <c r="B81" s="62"/>
      <c r="C81" s="488"/>
      <c r="D81" s="214"/>
      <c r="E81" s="111"/>
      <c r="F81" s="90"/>
      <c r="G81" s="90"/>
      <c r="H81" s="91"/>
      <c r="I81" s="204"/>
      <c r="J81" s="492"/>
      <c r="K81" s="90"/>
      <c r="L81" s="47"/>
      <c r="M81" s="90"/>
      <c r="N81" s="90"/>
      <c r="O81" s="90"/>
      <c r="P81" s="90"/>
      <c r="Q81" s="90"/>
      <c r="R81" s="90"/>
      <c r="S81" s="62"/>
      <c r="T81" s="64"/>
      <c r="U81" s="214"/>
      <c r="V81" s="90"/>
      <c r="W81" s="214"/>
      <c r="X81" s="90"/>
      <c r="Y81" s="214"/>
      <c r="Z81" s="90"/>
      <c r="AA81" s="214"/>
      <c r="AB81" s="90"/>
      <c r="AC81" s="214"/>
      <c r="AD81" s="90"/>
      <c r="AE81" s="214"/>
      <c r="AF81" s="90"/>
      <c r="AG81" s="214"/>
      <c r="AH81" s="90"/>
      <c r="AI81" s="214"/>
      <c r="AJ81" s="90"/>
      <c r="AK81" s="204"/>
      <c r="AL81" s="90"/>
      <c r="AM81" s="90"/>
      <c r="AN81" s="64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</row>
    <row r="82" spans="1:254" s="153" customFormat="1" ht="30" customHeight="1" x14ac:dyDescent="0.2">
      <c r="A82" s="151" t="s">
        <v>70</v>
      </c>
      <c r="B82" s="152"/>
      <c r="C82" s="645">
        <f>+A38+A72</f>
        <v>0</v>
      </c>
      <c r="D82" s="1273">
        <f>+C82+C51</f>
        <v>29</v>
      </c>
      <c r="E82" s="151"/>
      <c r="F82" s="151">
        <f>F49+F80</f>
        <v>12810000</v>
      </c>
      <c r="G82" s="151">
        <f>G49+G80</f>
        <v>2433900</v>
      </c>
      <c r="H82" s="96"/>
      <c r="I82" s="205">
        <f>I49+I80</f>
        <v>-1299100</v>
      </c>
      <c r="J82" s="151">
        <f>J49+J80</f>
        <v>15243900</v>
      </c>
      <c r="K82" s="151">
        <f>K49+K80</f>
        <v>13944800</v>
      </c>
      <c r="L82" s="92"/>
      <c r="M82" s="66">
        <f>M49+M80</f>
        <v>0</v>
      </c>
      <c r="N82" s="66"/>
      <c r="O82" s="66"/>
      <c r="P82" s="66"/>
      <c r="Q82" s="151"/>
      <c r="R82" s="151"/>
      <c r="S82" s="151"/>
      <c r="T82" s="151"/>
      <c r="U82" s="151"/>
      <c r="V82" s="151">
        <f>V49+V80</f>
        <v>10448000</v>
      </c>
      <c r="W82" s="151"/>
      <c r="X82" s="151">
        <f>X49+X80</f>
        <v>664000</v>
      </c>
      <c r="Y82" s="151"/>
      <c r="Z82" s="151">
        <f>Z49+Z80</f>
        <v>996000</v>
      </c>
      <c r="AA82" s="472"/>
      <c r="AB82" s="151">
        <f>AB49+AB80</f>
        <v>0</v>
      </c>
      <c r="AC82" s="472"/>
      <c r="AD82" s="151">
        <f>AD49+AD80</f>
        <v>0</v>
      </c>
      <c r="AE82" s="151"/>
      <c r="AF82" s="151">
        <f>AF49+AF80</f>
        <v>0</v>
      </c>
      <c r="AG82" s="151"/>
      <c r="AH82" s="151">
        <f>AH49+AH80</f>
        <v>0</v>
      </c>
      <c r="AI82" s="151"/>
      <c r="AJ82" s="151">
        <f>AJ49+AJ80</f>
        <v>231900</v>
      </c>
      <c r="AK82" s="151">
        <f>AK49+AK80</f>
        <v>484948.68328320002</v>
      </c>
      <c r="AL82" s="151">
        <f>AL49+AL80</f>
        <v>0</v>
      </c>
      <c r="AM82" s="151">
        <f>AM49+AM80</f>
        <v>12810000</v>
      </c>
      <c r="AN82" s="151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</row>
    <row r="83" spans="1:254" x14ac:dyDescent="0.2"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</row>
    <row r="84" spans="1:254" x14ac:dyDescent="0.2"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</row>
    <row r="85" spans="1:254" x14ac:dyDescent="0.2">
      <c r="G85" s="1087"/>
      <c r="H85" s="1289"/>
    </row>
    <row r="87" spans="1:254" x14ac:dyDescent="0.2">
      <c r="A87" s="1440"/>
      <c r="B87" s="1441"/>
    </row>
    <row r="88" spans="1:254" x14ac:dyDescent="0.2">
      <c r="A88" s="1342"/>
      <c r="B88" s="350"/>
      <c r="C88" s="381"/>
      <c r="D88" s="482"/>
      <c r="E88" s="381"/>
      <c r="F88" s="285"/>
      <c r="G88" s="282"/>
      <c r="H88" s="1282"/>
      <c r="I88" s="1297"/>
      <c r="J88" s="518"/>
      <c r="K88" s="512"/>
      <c r="L88" s="851"/>
      <c r="M88" s="1213"/>
      <c r="N88" s="1335"/>
      <c r="O88" s="1339"/>
      <c r="P88" s="1335"/>
      <c r="Q88" s="285"/>
      <c r="R88" s="283"/>
      <c r="S88" s="1005"/>
      <c r="T88" s="24"/>
      <c r="U88" s="297"/>
      <c r="V88" s="119"/>
      <c r="W88" s="234"/>
      <c r="X88" s="114"/>
      <c r="Y88" s="235"/>
      <c r="Z88" s="115"/>
      <c r="AA88" s="821"/>
      <c r="AB88" s="811"/>
      <c r="AC88" s="821"/>
      <c r="AD88" s="811"/>
      <c r="AE88" s="236"/>
      <c r="AF88" s="116"/>
      <c r="AG88" s="234"/>
      <c r="AH88" s="116"/>
      <c r="AI88" s="237"/>
      <c r="AJ88" s="117"/>
      <c r="AK88" s="499"/>
      <c r="AL88" s="264"/>
      <c r="AM88" s="266"/>
      <c r="AN88" s="24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</row>
  </sheetData>
  <mergeCells count="1">
    <mergeCell ref="F4:R4"/>
  </mergeCells>
  <phoneticPr fontId="97" type="noConversion"/>
  <printOptions horizontalCentered="1" verticalCentered="1"/>
  <pageMargins left="0.19685039370078741" right="0.19685039370078741" top="0.19685039370078741" bottom="0.19685039370078741" header="0" footer="0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00B0F0"/>
  </sheetPr>
  <dimension ref="A1:GP227"/>
  <sheetViews>
    <sheetView showGridLines="0" tabSelected="1" zoomScale="90" zoomScaleNormal="9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9.6640625" defaultRowHeight="12.75" x14ac:dyDescent="0.2"/>
  <cols>
    <col min="1" max="1" width="6.109375" style="74" customWidth="1"/>
    <col min="2" max="2" width="43.88671875" style="749" bestFit="1" customWidth="1"/>
    <col min="3" max="3" width="7.109375" style="158" bestFit="1" customWidth="1"/>
    <col min="4" max="4" width="14.33203125" style="70" customWidth="1"/>
    <col min="5" max="5" width="3.77734375" style="82" customWidth="1"/>
    <col min="6" max="6" width="12.77734375" style="74" customWidth="1"/>
    <col min="7" max="7" width="13.44140625" style="175" customWidth="1"/>
    <col min="8" max="8" width="17.77734375" style="175" customWidth="1"/>
    <col min="9" max="9" width="13.44140625" style="594" customWidth="1"/>
    <col min="10" max="10" width="9.77734375" style="23" customWidth="1"/>
    <col min="11" max="11" width="14.21875" style="23" customWidth="1"/>
    <col min="12" max="12" width="10.77734375" style="50" customWidth="1"/>
    <col min="13" max="14" width="30.77734375" style="84" customWidth="1"/>
    <col min="15" max="15" width="1.6640625" style="74" customWidth="1"/>
    <col min="16" max="16" width="4.77734375" style="83" customWidth="1"/>
    <col min="17" max="17" width="13.77734375" style="71" customWidth="1"/>
    <col min="18" max="18" width="4.77734375" style="47" customWidth="1"/>
    <col min="19" max="19" width="13.77734375" style="71" customWidth="1"/>
    <col min="20" max="20" width="4.77734375" style="47" customWidth="1"/>
    <col min="21" max="21" width="13.77734375" style="71" customWidth="1"/>
    <col min="22" max="22" width="4.77734375" style="214" customWidth="1"/>
    <col min="23" max="23" width="13.77734375" style="74" customWidth="1"/>
    <col min="24" max="24" width="4.77734375" style="214" customWidth="1"/>
    <col min="25" max="25" width="13.77734375" style="74" customWidth="1"/>
    <col min="26" max="26" width="4.77734375" style="73" customWidth="1"/>
    <col min="27" max="27" width="13.77734375" style="71" customWidth="1"/>
    <col min="28" max="28" width="4.77734375" style="71" customWidth="1"/>
    <col min="29" max="29" width="13.77734375" style="48" customWidth="1"/>
    <col min="30" max="30" width="4.77734375" style="71" customWidth="1"/>
    <col min="31" max="31" width="13.77734375" style="71" customWidth="1"/>
    <col min="32" max="33" width="13.77734375" style="200" customWidth="1"/>
    <col min="34" max="34" width="15.77734375" style="49" customWidth="1"/>
    <col min="35" max="35" width="1.6640625" style="74" customWidth="1"/>
    <col min="36" max="198" width="9.6640625" style="74"/>
    <col min="199" max="16384" width="9.6640625" style="75"/>
  </cols>
  <sheetData>
    <row r="1" spans="1:198" ht="15" x14ac:dyDescent="0.2">
      <c r="A1" s="164">
        <f>+'Grupos Familiares'!$A$1</f>
        <v>0</v>
      </c>
      <c r="G1" s="77"/>
      <c r="H1" s="77"/>
      <c r="I1" s="77"/>
      <c r="J1" s="77"/>
      <c r="O1" s="8"/>
    </row>
    <row r="2" spans="1:198" ht="15" x14ac:dyDescent="0.2">
      <c r="A2" s="164" t="str">
        <f>+'Grupos Familiares'!$A$3</f>
        <v>PRESUPUESTO DE COBROS</v>
      </c>
      <c r="B2" s="739"/>
      <c r="C2" s="503"/>
      <c r="D2" s="76"/>
      <c r="E2" s="77"/>
      <c r="G2" s="77"/>
      <c r="H2" s="77"/>
      <c r="I2" s="77"/>
      <c r="J2" s="77"/>
      <c r="K2" s="78"/>
      <c r="L2" s="76"/>
      <c r="M2" s="785" t="s">
        <v>149</v>
      </c>
      <c r="N2" s="198" t="s">
        <v>150</v>
      </c>
      <c r="O2" s="8"/>
      <c r="P2" s="833" t="s">
        <v>89</v>
      </c>
      <c r="Q2" s="76"/>
      <c r="R2" s="76"/>
      <c r="S2" s="76"/>
      <c r="T2" s="76"/>
      <c r="U2" s="76"/>
      <c r="V2" s="816"/>
      <c r="W2" s="807"/>
      <c r="X2" s="816"/>
      <c r="Y2" s="807"/>
      <c r="Z2"/>
      <c r="AA2" s="76"/>
      <c r="AB2" s="76"/>
      <c r="AC2" s="76"/>
      <c r="AD2" s="76"/>
      <c r="AE2" s="76"/>
      <c r="AF2" s="199"/>
      <c r="AG2" s="199"/>
      <c r="AH2" s="76"/>
      <c r="AI2" s="8"/>
    </row>
    <row r="3" spans="1:198" ht="15" x14ac:dyDescent="0.2">
      <c r="A3" s="164" t="s">
        <v>257</v>
      </c>
      <c r="B3" s="740"/>
      <c r="C3" s="215"/>
      <c r="D3" s="70">
        <v>42684082</v>
      </c>
      <c r="E3" s="77"/>
      <c r="M3" s="786">
        <f>(+Facturas!Q3)</f>
        <v>230000</v>
      </c>
      <c r="N3" s="556">
        <f>+Facturas!S3</f>
        <v>370000</v>
      </c>
      <c r="O3" s="80"/>
      <c r="Z3" s="74"/>
      <c r="AI3" s="80"/>
    </row>
    <row r="4" spans="1:198" ht="15" x14ac:dyDescent="0.2">
      <c r="A4" s="260" t="str">
        <f>+'Grupos Familiares'!$A$4</f>
        <v>AÑO  GRAVABLE 2024</v>
      </c>
      <c r="B4" s="741"/>
      <c r="C4" s="477"/>
      <c r="E4" s="60"/>
      <c r="F4" s="1511" t="s">
        <v>137</v>
      </c>
      <c r="G4" s="1512"/>
      <c r="H4" s="1508"/>
      <c r="I4" s="1508"/>
      <c r="J4" s="1512"/>
      <c r="K4" s="1508"/>
      <c r="L4" s="1510"/>
      <c r="M4" s="193"/>
      <c r="N4" s="193"/>
      <c r="O4" s="8"/>
      <c r="P4" s="824" t="s">
        <v>252</v>
      </c>
      <c r="Q4" s="825"/>
      <c r="R4" s="825"/>
      <c r="S4" s="825"/>
      <c r="T4" s="1388" t="str">
        <f>+$A$3</f>
        <v>CUENTAS DE COBRO</v>
      </c>
      <c r="U4" s="825"/>
      <c r="V4" s="825"/>
      <c r="W4" s="825"/>
      <c r="X4" s="825"/>
      <c r="Y4" s="825"/>
      <c r="Z4" s="825"/>
      <c r="AA4" s="825"/>
      <c r="AB4" s="825"/>
      <c r="AC4" s="825"/>
      <c r="AD4" s="825"/>
      <c r="AE4" s="825"/>
      <c r="AF4" s="825"/>
      <c r="AG4" s="825"/>
      <c r="AH4" s="826"/>
      <c r="AI4" s="8"/>
    </row>
    <row r="5" spans="1:198" ht="13.5" thickBot="1" x14ac:dyDescent="0.25">
      <c r="A5" s="1389" t="s">
        <v>90</v>
      </c>
      <c r="B5" s="741"/>
      <c r="C5" s="477"/>
      <c r="D5" s="27"/>
      <c r="E5" s="60"/>
      <c r="F5" s="302"/>
      <c r="G5" s="318"/>
      <c r="H5" s="318"/>
      <c r="I5" s="595"/>
      <c r="J5" s="319"/>
      <c r="K5" s="319"/>
      <c r="L5" s="305"/>
      <c r="M5" s="193"/>
      <c r="N5" s="193"/>
      <c r="O5" s="8"/>
      <c r="P5" s="1085" t="s">
        <v>193</v>
      </c>
      <c r="Q5" s="1390">
        <f>+Facturas!V5</f>
        <v>5.1999999999999998E-2</v>
      </c>
      <c r="R5" s="276"/>
      <c r="S5" s="277">
        <v>0.5</v>
      </c>
      <c r="T5" s="276"/>
      <c r="U5" s="276">
        <f>75%+80%*0</f>
        <v>0.75</v>
      </c>
      <c r="V5" s="808"/>
      <c r="W5" s="808">
        <v>0.15</v>
      </c>
      <c r="X5" s="808"/>
      <c r="Y5" s="808">
        <v>0.2</v>
      </c>
      <c r="Z5" s="123"/>
      <c r="AA5" s="124">
        <v>0.1</v>
      </c>
      <c r="AB5" s="124"/>
      <c r="AC5" s="124">
        <v>0.2</v>
      </c>
      <c r="AD5" s="279"/>
      <c r="AE5" s="279">
        <v>0.3</v>
      </c>
      <c r="AF5" s="814"/>
      <c r="AG5" s="280"/>
      <c r="AH5" s="815"/>
      <c r="AI5" s="8"/>
    </row>
    <row r="6" spans="1:198" s="107" customFormat="1" ht="42.75" thickBot="1" x14ac:dyDescent="0.2">
      <c r="A6" s="126" t="s">
        <v>2</v>
      </c>
      <c r="B6" s="127" t="s">
        <v>58</v>
      </c>
      <c r="C6" s="478" t="s">
        <v>111</v>
      </c>
      <c r="D6" s="128" t="s">
        <v>59</v>
      </c>
      <c r="E6" s="382" t="s">
        <v>86</v>
      </c>
      <c r="F6" s="138" t="s">
        <v>198</v>
      </c>
      <c r="G6" s="140" t="s">
        <v>71</v>
      </c>
      <c r="H6" s="584" t="s">
        <v>125</v>
      </c>
      <c r="I6" s="596" t="s">
        <v>126</v>
      </c>
      <c r="J6" s="141" t="s">
        <v>66</v>
      </c>
      <c r="K6" s="141" t="s">
        <v>130</v>
      </c>
      <c r="L6" s="141" t="s">
        <v>127</v>
      </c>
      <c r="M6" s="125" t="s">
        <v>128</v>
      </c>
      <c r="N6" s="125" t="s">
        <v>129</v>
      </c>
      <c r="O6" s="106"/>
      <c r="P6" s="263" t="s">
        <v>64</v>
      </c>
      <c r="Q6" s="132" t="s">
        <v>60</v>
      </c>
      <c r="R6" s="133" t="s">
        <v>64</v>
      </c>
      <c r="S6" s="133" t="s">
        <v>88</v>
      </c>
      <c r="T6" s="134" t="s">
        <v>64</v>
      </c>
      <c r="U6" s="134" t="s">
        <v>61</v>
      </c>
      <c r="V6" s="636" t="s">
        <v>64</v>
      </c>
      <c r="W6" s="636" t="s">
        <v>154</v>
      </c>
      <c r="X6" s="636" t="s">
        <v>64</v>
      </c>
      <c r="Y6" s="636" t="s">
        <v>155</v>
      </c>
      <c r="Z6" s="135" t="s">
        <v>64</v>
      </c>
      <c r="AA6" s="135" t="s">
        <v>119</v>
      </c>
      <c r="AB6" s="135" t="s">
        <v>64</v>
      </c>
      <c r="AC6" s="135" t="s">
        <v>98</v>
      </c>
      <c r="AD6" s="136" t="s">
        <v>64</v>
      </c>
      <c r="AE6" s="136" t="s">
        <v>62</v>
      </c>
      <c r="AF6" s="201" t="s">
        <v>143</v>
      </c>
      <c r="AG6" s="201" t="s">
        <v>144</v>
      </c>
      <c r="AH6" s="137" t="s">
        <v>65</v>
      </c>
      <c r="AI6" s="106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</row>
    <row r="7" spans="1:198" x14ac:dyDescent="0.2">
      <c r="A7" s="59"/>
      <c r="B7" s="742"/>
      <c r="C7" s="504"/>
      <c r="D7" s="59"/>
      <c r="E7" s="60"/>
      <c r="F7" s="60"/>
      <c r="G7" s="79"/>
      <c r="H7" s="79"/>
      <c r="I7" s="597"/>
      <c r="J7" s="60"/>
      <c r="K7" s="60"/>
      <c r="L7" s="60"/>
      <c r="M7" s="194"/>
      <c r="N7" s="194"/>
      <c r="O7" s="8"/>
      <c r="P7" s="661"/>
      <c r="Q7" s="59"/>
      <c r="R7" s="59"/>
      <c r="S7" s="59"/>
      <c r="T7" s="59"/>
      <c r="U7" s="59"/>
      <c r="V7" s="819"/>
      <c r="W7" s="809"/>
      <c r="X7" s="819"/>
      <c r="Y7" s="809"/>
      <c r="Z7" s="59"/>
      <c r="AA7" s="59"/>
      <c r="AB7" s="59"/>
      <c r="AC7" s="59"/>
      <c r="AD7" s="59"/>
      <c r="AE7" s="59"/>
      <c r="AF7" s="202"/>
      <c r="AG7" s="202"/>
      <c r="AH7" s="118"/>
      <c r="AI7" s="8"/>
    </row>
    <row r="8" spans="1:198" ht="15.75" thickBot="1" x14ac:dyDescent="0.25">
      <c r="A8" s="112" t="s">
        <v>1</v>
      </c>
      <c r="B8" s="743"/>
      <c r="C8" s="228"/>
      <c r="D8" s="81"/>
      <c r="E8" s="60"/>
      <c r="F8" s="81"/>
      <c r="G8" s="79"/>
      <c r="H8" s="79"/>
      <c r="I8" s="597"/>
      <c r="J8" s="60"/>
      <c r="K8" s="60"/>
      <c r="L8" s="81"/>
      <c r="M8" s="194"/>
      <c r="N8" s="194"/>
      <c r="O8" s="8"/>
      <c r="P8" s="60"/>
      <c r="Q8" s="61"/>
      <c r="R8" s="60"/>
      <c r="S8" s="60"/>
      <c r="T8" s="60"/>
      <c r="U8" s="60"/>
      <c r="V8" s="103"/>
      <c r="W8" s="157"/>
      <c r="X8" s="103"/>
      <c r="Y8" s="157"/>
      <c r="Z8" s="60"/>
      <c r="AA8" s="60"/>
      <c r="AB8" s="60"/>
      <c r="AC8" s="60"/>
      <c r="AD8" s="60"/>
      <c r="AE8" s="60"/>
      <c r="AF8" s="105"/>
      <c r="AG8" s="105"/>
      <c r="AH8" s="118"/>
      <c r="AI8" s="8"/>
    </row>
    <row r="9" spans="1:198" ht="11.25" customHeight="1" thickBot="1" x14ac:dyDescent="0.25">
      <c r="A9" s="613">
        <v>1</v>
      </c>
      <c r="B9" s="1528" t="s">
        <v>271</v>
      </c>
      <c r="C9" s="1418">
        <f>_xlfn.XLOOKUP(B9,Códigos!$B$8:$B$406,Códigos!$A$8:$A$406,"Verificar",0)</f>
        <v>41</v>
      </c>
      <c r="D9" s="1442">
        <f>_xlfn.XLOOKUP(B9,'Consolidado Cobros'!$B$10:$B$268,'Consolidado Cobros'!$C$10:$C$268,"Verificar",0)</f>
        <v>22126399</v>
      </c>
      <c r="E9" s="762">
        <f t="shared" ref="E9:E16" si="0">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0,0,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1,1,11-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))</f>
        <v>5</v>
      </c>
      <c r="F9" s="615">
        <f t="shared" ref="F9:F16" si="1">+AH9</f>
        <v>900000</v>
      </c>
      <c r="G9" s="1443" t="s">
        <v>268</v>
      </c>
      <c r="H9" s="1376"/>
      <c r="I9" s="1444"/>
      <c r="J9" s="1376"/>
      <c r="K9" s="1376"/>
      <c r="L9" s="1015"/>
      <c r="M9" s="1016"/>
      <c r="N9" s="1445"/>
      <c r="O9" s="8"/>
      <c r="P9" s="234" t="s">
        <v>82</v>
      </c>
      <c r="Q9" s="179">
        <f>ROUND(IF(P9="SI",SUMIF('C de C año anterior'!$B$8:$B$229,B9,'C de C año anterior'!$Q$8:$Q$229)*(100%+$Q$5),0),-3)+ROUND(IF(P9="SI",SUMIF('Facturas año anterior'!$B$8:$B$86,B9,'Facturas año anterior'!$V$8:$V$86)*(100%+$AA$5),0),-3)</f>
        <v>895000</v>
      </c>
      <c r="R9" s="230"/>
      <c r="S9" s="180">
        <f t="shared" ref="S9" si="2">ROUND(IF(R9="SI",Q9*$S$5,0),-3)</f>
        <v>0</v>
      </c>
      <c r="T9" s="231"/>
      <c r="U9" s="181">
        <f t="shared" ref="U9" si="3">ROUND(IF(T9="SI",Q9*$U$5,0),-3)</f>
        <v>0</v>
      </c>
      <c r="V9" s="820"/>
      <c r="W9" s="810">
        <f>ROUND(IF(V9="SI",Q9*$W$5,0),-3)</f>
        <v>0</v>
      </c>
      <c r="X9" s="820"/>
      <c r="Y9" s="810">
        <f>ROUND(IF(X9="SI",Q9*$Y$5,0),-3)</f>
        <v>0</v>
      </c>
      <c r="Z9" s="232"/>
      <c r="AA9" s="182">
        <f t="shared" ref="AA9" si="4">ROUND(IF(Z9="SI",Q9*$AA$5,0),-3)</f>
        <v>0</v>
      </c>
      <c r="AB9" s="230"/>
      <c r="AC9" s="182">
        <f t="shared" ref="AC9" si="5">ROUND(IF(AB9="SI",Q9*$AC$5,0),-3)</f>
        <v>0</v>
      </c>
      <c r="AD9" s="233"/>
      <c r="AE9" s="259">
        <f t="shared" ref="AE9" si="6">IF(AD9="SI",Q9*$AE$5,0)</f>
        <v>0</v>
      </c>
      <c r="AF9" s="203">
        <f>SUMIF('Otras Asesorías y Préstamos'!$B$7:$B$242,B9,'Otras Asesorías y Préstamos'!$F$7:$F$242)</f>
        <v>0</v>
      </c>
      <c r="AG9" s="203">
        <f>SUMIF('Otras Asesorías y Préstamos'!$B$7:$B$242,B9,'Otras Asesorías y Préstamos'!$V$7:$V$242)</f>
        <v>0</v>
      </c>
      <c r="AH9" s="1090">
        <f t="shared" ref="AH9" si="7">ROUND(SUM(Q9:AG9),-4)</f>
        <v>900000</v>
      </c>
      <c r="AI9" s="8"/>
    </row>
    <row r="10" spans="1:198" ht="13.5" thickBot="1" x14ac:dyDescent="0.25">
      <c r="A10" s="1208">
        <f t="shared" ref="A10:A16" si="8">+A9+1</f>
        <v>2</v>
      </c>
      <c r="B10" s="1528" t="s">
        <v>281</v>
      </c>
      <c r="C10" s="1051">
        <f>_xlfn.XLOOKUP(B10,Códigos!$B$8:$B$406,Códigos!$A$8:$A$406,"Verificar",0)</f>
        <v>346</v>
      </c>
      <c r="D10" s="1040">
        <f>_xlfn.XLOOKUP(B10,'Consolidado Cobros'!$B$10:$B$268,'Consolidado Cobros'!$C$10:$C$268,"Verificar",0)</f>
        <v>71581755</v>
      </c>
      <c r="E10" s="1052">
        <f t="shared" si="0"/>
        <v>2</v>
      </c>
      <c r="F10" s="1209">
        <f t="shared" si="1"/>
        <v>800000</v>
      </c>
      <c r="G10" s="1020" t="s">
        <v>266</v>
      </c>
      <c r="H10" s="1021"/>
      <c r="I10" s="1022"/>
      <c r="J10" s="1021" t="s">
        <v>112</v>
      </c>
      <c r="K10" s="1021" t="s">
        <v>260</v>
      </c>
      <c r="L10" s="1022">
        <v>45922</v>
      </c>
      <c r="M10" s="1023" t="s">
        <v>261</v>
      </c>
      <c r="N10" s="1446"/>
      <c r="O10" s="8"/>
      <c r="P10" s="234" t="s">
        <v>82</v>
      </c>
      <c r="Q10" s="119">
        <f>ROUND(IF(P10="SI",SUMIF('C de C año anterior'!$B$8:$B$229,B10,'C de C año anterior'!$Q$8:$Q$229)*(100%+$Q$5),0),-3)+ROUND(IF(P10="SI",SUMIF('Facturas año anterior'!$B$8:$B$86,B10,'Facturas año anterior'!$V$8:$V$86)*(100%+$AA$5),0),-3)</f>
        <v>801000</v>
      </c>
      <c r="R10" s="234"/>
      <c r="S10" s="114">
        <f t="shared" ref="S10:S16" si="9">ROUND(IF(R10="SI",Q10*$S$5,0),-3)</f>
        <v>0</v>
      </c>
      <c r="T10" s="235"/>
      <c r="U10" s="115">
        <f t="shared" ref="U10:U16" si="10">ROUND(IF(T10="SI",Q10*$U$5,0),-3)</f>
        <v>0</v>
      </c>
      <c r="V10" s="821"/>
      <c r="W10" s="811">
        <f t="shared" ref="W10:W16" si="11">ROUND(IF(V10="SI",Q10*$W$5,0),-3)</f>
        <v>0</v>
      </c>
      <c r="X10" s="821"/>
      <c r="Y10" s="811">
        <f t="shared" ref="Y10:Y16" si="12">ROUND(IF(X10="SI",Q10*$Y$5,0),-3)</f>
        <v>0</v>
      </c>
      <c r="Z10" s="236"/>
      <c r="AA10" s="116">
        <f t="shared" ref="AA10:AA16" si="13">ROUND(IF(Z10="SI",Q10*$AA$5,0),-3)</f>
        <v>0</v>
      </c>
      <c r="AB10" s="234"/>
      <c r="AC10" s="116">
        <f t="shared" ref="AC10:AC16" si="14">ROUND(IF(AB10="SI",Q10*$AC$5,0),-3)</f>
        <v>0</v>
      </c>
      <c r="AD10" s="237"/>
      <c r="AE10" s="117">
        <f t="shared" ref="AE10:AE16" si="15">IF(AD10="SI",Q10*$AE$5,0)</f>
        <v>0</v>
      </c>
      <c r="AF10" s="1092">
        <f>SUMIF('Otras Asesorías y Préstamos'!$B$7:$B$242,B10,'Otras Asesorías y Préstamos'!$F$7:$F$242)</f>
        <v>0</v>
      </c>
      <c r="AG10" s="1092">
        <f>SUMIF('Otras Asesorías y Préstamos'!$B$7:$B$242,B10,'Otras Asesorías y Préstamos'!$V$7:$V$242)</f>
        <v>0</v>
      </c>
      <c r="AH10" s="1093">
        <f t="shared" ref="AH10:AH16" si="16">ROUND(SUM(Q10:AG10),-4)</f>
        <v>800000</v>
      </c>
      <c r="AI10" s="8"/>
    </row>
    <row r="11" spans="1:198" ht="13.5" thickBot="1" x14ac:dyDescent="0.25">
      <c r="A11" s="1208">
        <f t="shared" si="8"/>
        <v>3</v>
      </c>
      <c r="B11" s="1528" t="s">
        <v>282</v>
      </c>
      <c r="C11" s="1051">
        <f>_xlfn.XLOOKUP(B11,Códigos!$B$8:$B$406,Códigos!$A$8:$A$406,"Verificar",0)</f>
        <v>300</v>
      </c>
      <c r="D11" s="1040">
        <f>_xlfn.XLOOKUP(B11,'Consolidado Cobros'!$B$10:$B$268,'Consolidado Cobros'!$C$10:$C$268,"Verificar",0)</f>
        <v>70116694</v>
      </c>
      <c r="E11" s="1052">
        <f t="shared" si="0"/>
        <v>5</v>
      </c>
      <c r="F11" s="1209">
        <f t="shared" si="1"/>
        <v>1110000</v>
      </c>
      <c r="G11" s="1020" t="s">
        <v>269</v>
      </c>
      <c r="H11" s="1021"/>
      <c r="I11" s="1022"/>
      <c r="J11" s="1021"/>
      <c r="K11" s="1021"/>
      <c r="L11" s="1022"/>
      <c r="M11" s="1495"/>
      <c r="N11" s="1447"/>
      <c r="O11" s="8"/>
      <c r="P11" s="234" t="s">
        <v>82</v>
      </c>
      <c r="Q11" s="119">
        <f>ROUND(IF(P11="SI",SUMIF('C de C año anterior'!$B$8:$B$229,B11,'C de C año anterior'!$Q$8:$Q$229)*(100%+$Q$5),0),-3)+ROUND(IF(P11="SI",SUMIF('Facturas año anterior'!$B$8:$B$86,B11,'Facturas año anterior'!$V$8:$V$86)*(100%+$AA$5),0),-3)</f>
        <v>1111000</v>
      </c>
      <c r="R11" s="234"/>
      <c r="S11" s="114">
        <f t="shared" si="9"/>
        <v>0</v>
      </c>
      <c r="T11" s="235"/>
      <c r="U11" s="115">
        <f t="shared" si="10"/>
        <v>0</v>
      </c>
      <c r="V11" s="821"/>
      <c r="W11" s="811">
        <f t="shared" si="11"/>
        <v>0</v>
      </c>
      <c r="X11" s="821"/>
      <c r="Y11" s="811">
        <f t="shared" si="12"/>
        <v>0</v>
      </c>
      <c r="Z11" s="236"/>
      <c r="AA11" s="116">
        <f t="shared" si="13"/>
        <v>0</v>
      </c>
      <c r="AB11" s="234"/>
      <c r="AC11" s="116">
        <f t="shared" si="14"/>
        <v>0</v>
      </c>
      <c r="AD11" s="237"/>
      <c r="AE11" s="117">
        <f t="shared" si="15"/>
        <v>0</v>
      </c>
      <c r="AF11" s="1092">
        <f>SUMIF('Otras Asesorías y Préstamos'!$B$7:$B$242,B11,'Otras Asesorías y Préstamos'!$F$7:$F$242)</f>
        <v>0</v>
      </c>
      <c r="AG11" s="1092">
        <f>SUMIF('Otras Asesorías y Préstamos'!$B$7:$B$242,B11,'Otras Asesorías y Préstamos'!$V$7:$V$242)</f>
        <v>0</v>
      </c>
      <c r="AH11" s="1093">
        <f t="shared" si="16"/>
        <v>1110000</v>
      </c>
      <c r="AI11" s="8"/>
    </row>
    <row r="12" spans="1:198" ht="13.5" thickBot="1" x14ac:dyDescent="0.25">
      <c r="A12" s="1208">
        <f t="shared" si="8"/>
        <v>4</v>
      </c>
      <c r="B12" s="1528" t="s">
        <v>283</v>
      </c>
      <c r="C12" s="1051">
        <f>_xlfn.XLOOKUP(B12,Códigos!$B$8:$B$406,Códigos!$A$8:$A$406,"Verificar",0)</f>
        <v>312</v>
      </c>
      <c r="D12" s="1040">
        <f>_xlfn.XLOOKUP(B12,'Consolidado Cobros'!$B$10:$B$268,'Consolidado Cobros'!$C$10:$C$268,"Verificar",0)</f>
        <v>3349249</v>
      </c>
      <c r="E12" s="1052">
        <f t="shared" si="0"/>
        <v>7</v>
      </c>
      <c r="F12" s="1209">
        <f t="shared" si="1"/>
        <v>1370000</v>
      </c>
      <c r="G12" s="1020" t="s">
        <v>263</v>
      </c>
      <c r="H12" s="1021"/>
      <c r="I12" s="1022"/>
      <c r="J12" s="1021"/>
      <c r="K12" s="1021"/>
      <c r="L12" s="1022"/>
      <c r="M12" s="1495" t="s">
        <v>262</v>
      </c>
      <c r="N12" s="1447"/>
      <c r="O12" s="8"/>
      <c r="P12" s="234" t="s">
        <v>82</v>
      </c>
      <c r="Q12" s="119">
        <f>ROUND(IF(P12="SI",SUMIF('C de C año anterior'!$B$8:$B$229,B12,'C de C año anterior'!$Q$8:$Q$229)*(100%+$Q$5),0),-3)+ROUND(IF(P12="SI",SUMIF('Facturas año anterior'!$B$8:$B$86,B12,'Facturas año anterior'!$V$8:$V$86)*(100%+$AA$5),0),-3)</f>
        <v>1374000</v>
      </c>
      <c r="R12" s="234"/>
      <c r="S12" s="114">
        <f t="shared" si="9"/>
        <v>0</v>
      </c>
      <c r="T12" s="235"/>
      <c r="U12" s="115">
        <f t="shared" si="10"/>
        <v>0</v>
      </c>
      <c r="V12" s="821"/>
      <c r="W12" s="811">
        <f t="shared" si="11"/>
        <v>0</v>
      </c>
      <c r="X12" s="821"/>
      <c r="Y12" s="811">
        <f t="shared" si="12"/>
        <v>0</v>
      </c>
      <c r="Z12" s="236"/>
      <c r="AA12" s="116">
        <f t="shared" si="13"/>
        <v>0</v>
      </c>
      <c r="AB12" s="234"/>
      <c r="AC12" s="116">
        <f t="shared" si="14"/>
        <v>0</v>
      </c>
      <c r="AD12" s="237"/>
      <c r="AE12" s="117">
        <f t="shared" si="15"/>
        <v>0</v>
      </c>
      <c r="AF12" s="1092">
        <f>SUMIF('Otras Asesorías y Préstamos'!$B$7:$B$242,B12,'Otras Asesorías y Préstamos'!$F$7:$F$242)</f>
        <v>0</v>
      </c>
      <c r="AG12" s="1092">
        <f>SUMIF('Otras Asesorías y Préstamos'!$B$7:$B$242,B12,'Otras Asesorías y Préstamos'!$V$7:$V$242)</f>
        <v>0</v>
      </c>
      <c r="AH12" s="1093">
        <f t="shared" si="16"/>
        <v>1370000</v>
      </c>
      <c r="AI12" s="8"/>
    </row>
    <row r="13" spans="1:198" ht="13.5" thickBot="1" x14ac:dyDescent="0.25">
      <c r="A13" s="1208">
        <f t="shared" si="8"/>
        <v>5</v>
      </c>
      <c r="B13" s="1528" t="s">
        <v>284</v>
      </c>
      <c r="C13" s="1423">
        <f>_xlfn.XLOOKUP(B13,Códigos!$B$8:$B$406,Códigos!$A$8:$A$406,"Verificar",0)</f>
        <v>217</v>
      </c>
      <c r="D13" s="1040">
        <f>_xlfn.XLOOKUP(B13,'Consolidado Cobros'!$B$10:$B$268,'Consolidado Cobros'!$C$10:$C$268,"Verificar",0)</f>
        <v>71632774</v>
      </c>
      <c r="E13" s="1052">
        <f t="shared" si="0"/>
        <v>2</v>
      </c>
      <c r="F13" s="1209">
        <f t="shared" si="1"/>
        <v>2520000</v>
      </c>
      <c r="G13" s="1020" t="s">
        <v>267</v>
      </c>
      <c r="H13" s="1021" t="s">
        <v>206</v>
      </c>
      <c r="I13" s="1022">
        <v>45944</v>
      </c>
      <c r="J13" s="1021"/>
      <c r="K13" s="1021"/>
      <c r="L13" s="1022"/>
      <c r="M13" s="1023"/>
      <c r="N13" s="1446"/>
      <c r="O13" s="8"/>
      <c r="P13" s="234" t="s">
        <v>259</v>
      </c>
      <c r="Q13" s="119">
        <f>ROUND(IF(P13="SI",SUMIF('C de C año anterior'!$B$8:$B$229,B13,'C de C año anterior'!$Q$8:$Q$229)*(100%+$Q$5),0),-3)+ROUND(IF(P13="SI",SUMIF('Facturas año anterior'!$B$8:$B$86,B13,'Facturas año anterior'!$V$8:$V$86)*(100%+$AA$5),0),-3)</f>
        <v>2419000</v>
      </c>
      <c r="R13" s="234"/>
      <c r="S13" s="114">
        <f t="shared" si="9"/>
        <v>0</v>
      </c>
      <c r="T13" s="235"/>
      <c r="U13" s="115">
        <f t="shared" si="10"/>
        <v>0</v>
      </c>
      <c r="V13" s="821"/>
      <c r="W13" s="811">
        <f t="shared" si="11"/>
        <v>0</v>
      </c>
      <c r="X13" s="821"/>
      <c r="Y13" s="811">
        <f t="shared" si="12"/>
        <v>0</v>
      </c>
      <c r="Z13" s="236"/>
      <c r="AA13" s="116">
        <f t="shared" si="13"/>
        <v>0</v>
      </c>
      <c r="AB13" s="234"/>
      <c r="AC13" s="116">
        <f t="shared" si="14"/>
        <v>0</v>
      </c>
      <c r="AD13" s="237"/>
      <c r="AE13" s="117">
        <f t="shared" si="15"/>
        <v>0</v>
      </c>
      <c r="AF13" s="1092">
        <f>SUMIF('Otras Asesorías y Préstamos'!$B$7:$B$242,B13,'Otras Asesorías y Préstamos'!$F$7:$F$242)</f>
        <v>100000</v>
      </c>
      <c r="AG13" s="1092">
        <f>SUMIF('Otras Asesorías y Préstamos'!$B$7:$B$242,B13,'Otras Asesorías y Préstamos'!$V$7:$V$242)</f>
        <v>0</v>
      </c>
      <c r="AH13" s="1093">
        <f t="shared" si="16"/>
        <v>2520000</v>
      </c>
      <c r="AI13" s="8"/>
    </row>
    <row r="14" spans="1:198" ht="13.5" thickBot="1" x14ac:dyDescent="0.25">
      <c r="A14" s="1208">
        <f t="shared" si="8"/>
        <v>6</v>
      </c>
      <c r="B14" s="1528" t="s">
        <v>272</v>
      </c>
      <c r="C14" s="1051">
        <f>_xlfn.XLOOKUP(B14,Códigos!$B$8:$B$406,Códigos!$A$8:$A$406,"Verificar",0)</f>
        <v>42</v>
      </c>
      <c r="D14" s="1040">
        <f>_xlfn.XLOOKUP(B14,'Consolidado Cobros'!$B$10:$B$268,'Consolidado Cobros'!$C$10:$C$268,"Verificar",0)</f>
        <v>21315528</v>
      </c>
      <c r="E14" s="1052">
        <f t="shared" si="0"/>
        <v>6</v>
      </c>
      <c r="F14" s="1209">
        <f t="shared" si="1"/>
        <v>2790000</v>
      </c>
      <c r="G14" s="1020" t="s">
        <v>265</v>
      </c>
      <c r="H14" s="1021"/>
      <c r="I14" s="1022"/>
      <c r="J14" s="1021"/>
      <c r="K14" s="1021"/>
      <c r="L14" s="1022"/>
      <c r="M14" s="1495" t="s">
        <v>262</v>
      </c>
      <c r="N14" s="1446"/>
      <c r="O14" s="8"/>
      <c r="P14" s="234" t="s">
        <v>82</v>
      </c>
      <c r="Q14" s="119">
        <f>ROUND(IF(P14="SI",SUMIF('C de C año anterior'!$B$8:$B$229,B14,'C de C año anterior'!$Q$8:$Q$229)*(100%+$Q$5),0),-3)+ROUND(IF(P14="SI",SUMIF('Facturas año anterior'!$B$8:$B$86,B14,'Facturas año anterior'!$V$8:$V$86)*(100%+$AA$5),0),-3)</f>
        <v>1858000</v>
      </c>
      <c r="R14" s="234" t="s">
        <v>82</v>
      </c>
      <c r="S14" s="114">
        <f t="shared" si="9"/>
        <v>929000</v>
      </c>
      <c r="T14" s="235"/>
      <c r="U14" s="115">
        <f t="shared" si="10"/>
        <v>0</v>
      </c>
      <c r="V14" s="821"/>
      <c r="W14" s="811">
        <f t="shared" si="11"/>
        <v>0</v>
      </c>
      <c r="X14" s="821"/>
      <c r="Y14" s="811">
        <f t="shared" si="12"/>
        <v>0</v>
      </c>
      <c r="Z14" s="236"/>
      <c r="AA14" s="116">
        <f t="shared" si="13"/>
        <v>0</v>
      </c>
      <c r="AB14" s="234"/>
      <c r="AC14" s="116">
        <f t="shared" si="14"/>
        <v>0</v>
      </c>
      <c r="AD14" s="237"/>
      <c r="AE14" s="117">
        <f t="shared" si="15"/>
        <v>0</v>
      </c>
      <c r="AF14" s="1092">
        <f>SUMIF('Otras Asesorías y Préstamos'!$B$7:$B$242,B14,'Otras Asesorías y Préstamos'!$F$7:$F$242)</f>
        <v>0</v>
      </c>
      <c r="AG14" s="1092">
        <f>SUMIF('Otras Asesorías y Préstamos'!$B$7:$B$242,B14,'Otras Asesorías y Préstamos'!$V$7:$V$242)</f>
        <v>0</v>
      </c>
      <c r="AH14" s="1093">
        <f t="shared" si="16"/>
        <v>2790000</v>
      </c>
      <c r="AI14" s="8"/>
    </row>
    <row r="15" spans="1:198" ht="13.5" thickBot="1" x14ac:dyDescent="0.25">
      <c r="A15" s="1208">
        <f t="shared" si="8"/>
        <v>7</v>
      </c>
      <c r="B15" s="1528" t="s">
        <v>273</v>
      </c>
      <c r="C15" s="1051">
        <f>_xlfn.XLOOKUP(B15,Códigos!$B$8:$B$406,Códigos!$A$8:$A$406,"Verificar",0)</f>
        <v>43</v>
      </c>
      <c r="D15" s="1040">
        <f>_xlfn.XLOOKUP(B15,'Consolidado Cobros'!$B$10:$B$268,'Consolidado Cobros'!$C$10:$C$268,"Verificar",0)</f>
        <v>32336950</v>
      </c>
      <c r="E15" s="1052">
        <f t="shared" si="0"/>
        <v>1</v>
      </c>
      <c r="F15" s="1209">
        <f t="shared" si="1"/>
        <v>2460000</v>
      </c>
      <c r="G15" s="1020" t="s">
        <v>264</v>
      </c>
      <c r="H15" s="1021" t="s">
        <v>206</v>
      </c>
      <c r="I15" s="1022">
        <v>45944</v>
      </c>
      <c r="J15" s="1021"/>
      <c r="K15" s="1021"/>
      <c r="L15" s="1022"/>
      <c r="M15" s="1495" t="s">
        <v>262</v>
      </c>
      <c r="N15" s="1446"/>
      <c r="O15" s="8"/>
      <c r="P15" s="234" t="s">
        <v>82</v>
      </c>
      <c r="Q15" s="119">
        <f>ROUND(IF(P15="SI",SUMIF('C de C año anterior'!$B$8:$B$229,B15,'C de C año anterior'!$Q$8:$Q$229)*(100%+$Q$5),0),-3)+ROUND(IF(P15="SI",SUMIF('Facturas año anterior'!$B$8:$B$86,B15,'Facturas año anterior'!$V$8:$V$86)*(100%+$AA$5),0),-3)</f>
        <v>2074000</v>
      </c>
      <c r="R15" s="234"/>
      <c r="S15" s="114">
        <f t="shared" si="9"/>
        <v>0</v>
      </c>
      <c r="T15" s="235"/>
      <c r="U15" s="115">
        <f t="shared" si="10"/>
        <v>0</v>
      </c>
      <c r="V15" s="821"/>
      <c r="W15" s="811">
        <f t="shared" si="11"/>
        <v>0</v>
      </c>
      <c r="X15" s="821"/>
      <c r="Y15" s="811">
        <f t="shared" si="12"/>
        <v>0</v>
      </c>
      <c r="Z15" s="236"/>
      <c r="AA15" s="116">
        <f t="shared" si="13"/>
        <v>0</v>
      </c>
      <c r="AB15" s="234"/>
      <c r="AC15" s="116">
        <f t="shared" si="14"/>
        <v>0</v>
      </c>
      <c r="AD15" s="237"/>
      <c r="AE15" s="117">
        <f t="shared" si="15"/>
        <v>0</v>
      </c>
      <c r="AF15" s="1092">
        <f>SUMIF('Otras Asesorías y Préstamos'!$B$7:$B$242,B15,'Otras Asesorías y Préstamos'!$F$7:$F$242)</f>
        <v>384948.68328320002</v>
      </c>
      <c r="AG15" s="1092">
        <f>SUMIF('Otras Asesorías y Préstamos'!$B$7:$B$242,B15,'Otras Asesorías y Préstamos'!$V$7:$V$242)</f>
        <v>0</v>
      </c>
      <c r="AH15" s="1093">
        <f t="shared" si="16"/>
        <v>2460000</v>
      </c>
      <c r="AI15" s="8"/>
    </row>
    <row r="16" spans="1:198" s="548" customFormat="1" x14ac:dyDescent="0.2">
      <c r="A16" s="1208">
        <f t="shared" si="8"/>
        <v>8</v>
      </c>
      <c r="B16" s="1528" t="s">
        <v>274</v>
      </c>
      <c r="C16" s="1051">
        <f>_xlfn.XLOOKUP(B16,Códigos!$B$8:$B$406,Códigos!$A$8:$A$406,"Verificar",0)</f>
        <v>44</v>
      </c>
      <c r="D16" s="1040">
        <f>_xlfn.XLOOKUP(B16,'Consolidado Cobros'!$B$10:$B$268,'Consolidado Cobros'!$C$10:$C$268,"Verificar",0)</f>
        <v>1152450831</v>
      </c>
      <c r="E16" s="1052">
        <f t="shared" si="0"/>
        <v>7</v>
      </c>
      <c r="F16" s="1209">
        <f t="shared" si="1"/>
        <v>230000</v>
      </c>
      <c r="G16" s="1020" t="s">
        <v>270</v>
      </c>
      <c r="H16" s="1021"/>
      <c r="I16" s="1022"/>
      <c r="J16" s="1021"/>
      <c r="K16" s="1021"/>
      <c r="L16" s="1022"/>
      <c r="M16" s="1023"/>
      <c r="N16" s="1446"/>
      <c r="O16" s="8"/>
      <c r="P16" s="234" t="s">
        <v>82</v>
      </c>
      <c r="Q16" s="119">
        <f>ROUND(IF(P16="SI",SUMIF('C de C año anterior'!$B$8:$B$229,B16,'C de C año anterior'!$Q$8:$Q$229)*(100%+$Q$5),0),-3)+ROUND(IF(P16="SI",SUMIF('Facturas año anterior'!$B$8:$B$86,B16,'Facturas año anterior'!$V$8:$V$86)*(100%+$AA$5),0),-3)</f>
        <v>231000</v>
      </c>
      <c r="R16" s="234"/>
      <c r="S16" s="114">
        <f t="shared" si="9"/>
        <v>0</v>
      </c>
      <c r="T16" s="235"/>
      <c r="U16" s="115">
        <f t="shared" si="10"/>
        <v>0</v>
      </c>
      <c r="V16" s="821"/>
      <c r="W16" s="811">
        <f t="shared" si="11"/>
        <v>0</v>
      </c>
      <c r="X16" s="821"/>
      <c r="Y16" s="811">
        <f t="shared" si="12"/>
        <v>0</v>
      </c>
      <c r="Z16" s="236"/>
      <c r="AA16" s="116">
        <f t="shared" si="13"/>
        <v>0</v>
      </c>
      <c r="AB16" s="234"/>
      <c r="AC16" s="116">
        <f t="shared" si="14"/>
        <v>0</v>
      </c>
      <c r="AD16" s="237"/>
      <c r="AE16" s="117">
        <f t="shared" si="15"/>
        <v>0</v>
      </c>
      <c r="AF16" s="1092">
        <f>SUMIF('Otras Asesorías y Préstamos'!$B$7:$B$242,B16,'Otras Asesorías y Préstamos'!$F$7:$F$242)</f>
        <v>0</v>
      </c>
      <c r="AG16" s="1092">
        <f>SUMIF('Otras Asesorías y Préstamos'!$B$7:$B$242,B16,'Otras Asesorías y Préstamos'!$V$7:$V$242)</f>
        <v>0</v>
      </c>
      <c r="AH16" s="1093">
        <f t="shared" si="16"/>
        <v>230000</v>
      </c>
      <c r="AI16" s="8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4"/>
      <c r="BT16" s="224"/>
      <c r="BU16" s="224"/>
      <c r="BV16" s="224"/>
      <c r="BW16" s="224"/>
      <c r="BX16" s="224"/>
      <c r="BY16" s="224"/>
      <c r="BZ16" s="224"/>
      <c r="CA16" s="224"/>
      <c r="CB16" s="224"/>
      <c r="CC16" s="224"/>
      <c r="CD16" s="224"/>
      <c r="CE16" s="224"/>
      <c r="CF16" s="224"/>
      <c r="CG16" s="224"/>
      <c r="CH16" s="224"/>
      <c r="CI16" s="224"/>
      <c r="CJ16" s="224"/>
      <c r="CK16" s="224"/>
      <c r="CL16" s="224"/>
      <c r="CM16" s="224"/>
      <c r="CN16" s="224"/>
      <c r="CO16" s="224"/>
      <c r="CP16" s="224"/>
      <c r="CQ16" s="224"/>
      <c r="CR16" s="224"/>
      <c r="CS16" s="224"/>
      <c r="CT16" s="224"/>
      <c r="CU16" s="224"/>
      <c r="CV16" s="224"/>
      <c r="CW16" s="224"/>
      <c r="CX16" s="224"/>
      <c r="CY16" s="224"/>
      <c r="CZ16" s="224"/>
      <c r="DA16" s="224"/>
      <c r="DB16" s="224"/>
      <c r="DC16" s="224"/>
      <c r="DD16" s="224"/>
      <c r="DE16" s="224"/>
      <c r="DF16" s="224"/>
      <c r="DG16" s="224"/>
      <c r="DH16" s="224"/>
      <c r="DI16" s="224"/>
      <c r="DJ16" s="224"/>
      <c r="DK16" s="224"/>
      <c r="DL16" s="224"/>
      <c r="DM16" s="224"/>
      <c r="DN16" s="224"/>
      <c r="DO16" s="224"/>
      <c r="DP16" s="224"/>
      <c r="DQ16" s="224"/>
      <c r="DR16" s="224"/>
      <c r="DS16" s="224"/>
      <c r="DT16" s="224"/>
      <c r="DU16" s="224"/>
      <c r="DV16" s="224"/>
      <c r="DW16" s="224"/>
      <c r="DX16" s="224"/>
      <c r="DY16" s="224"/>
      <c r="DZ16" s="224"/>
      <c r="EA16" s="224"/>
      <c r="EB16" s="224"/>
      <c r="EC16" s="224"/>
      <c r="ED16" s="224"/>
      <c r="EE16" s="224"/>
      <c r="EF16" s="224"/>
      <c r="EG16" s="224"/>
      <c r="EH16" s="224"/>
      <c r="EI16" s="224"/>
      <c r="EJ16" s="224"/>
      <c r="EK16" s="224"/>
      <c r="EL16" s="224"/>
      <c r="EM16" s="224"/>
      <c r="EN16" s="224"/>
      <c r="EO16" s="224"/>
      <c r="EP16" s="224"/>
      <c r="EQ16" s="224"/>
      <c r="ER16" s="224"/>
      <c r="ES16" s="224"/>
      <c r="ET16" s="224"/>
      <c r="EU16" s="224"/>
      <c r="EV16" s="224"/>
      <c r="EW16" s="224"/>
      <c r="EX16" s="224"/>
      <c r="EY16" s="224"/>
      <c r="EZ16" s="224"/>
      <c r="FA16" s="224"/>
      <c r="FB16" s="224"/>
      <c r="FC16" s="224"/>
      <c r="FD16" s="224"/>
      <c r="FE16" s="224"/>
      <c r="FF16" s="224"/>
      <c r="FG16" s="224"/>
      <c r="FH16" s="224"/>
      <c r="FI16" s="224"/>
      <c r="FJ16" s="224"/>
      <c r="FK16" s="224"/>
      <c r="FL16" s="224"/>
      <c r="FM16" s="224"/>
      <c r="FN16" s="224"/>
      <c r="FO16" s="224"/>
      <c r="FP16" s="224"/>
      <c r="FQ16" s="224"/>
      <c r="FR16" s="224"/>
      <c r="FS16" s="224"/>
      <c r="FT16" s="224"/>
      <c r="FU16" s="224"/>
      <c r="FV16" s="224"/>
      <c r="FW16" s="224"/>
      <c r="FX16" s="224"/>
      <c r="FY16" s="224"/>
      <c r="FZ16" s="224"/>
      <c r="GA16" s="224"/>
      <c r="GB16" s="224"/>
      <c r="GC16" s="224"/>
      <c r="GD16" s="224"/>
      <c r="GE16" s="224"/>
      <c r="GF16" s="224"/>
      <c r="GG16" s="224"/>
      <c r="GH16" s="224"/>
      <c r="GI16" s="224"/>
      <c r="GJ16" s="224"/>
      <c r="GK16" s="224"/>
      <c r="GL16" s="224"/>
      <c r="GM16" s="224"/>
      <c r="GN16" s="224"/>
      <c r="GO16" s="224"/>
      <c r="GP16" s="224"/>
    </row>
    <row r="17" spans="1:35" x14ac:dyDescent="0.2">
      <c r="A17" s="1208"/>
      <c r="B17" s="1185"/>
      <c r="C17" s="1051"/>
      <c r="D17" s="1040"/>
      <c r="E17" s="1052"/>
      <c r="F17" s="1209"/>
      <c r="G17" s="1020"/>
      <c r="H17" s="1021"/>
      <c r="I17" s="1022"/>
      <c r="J17" s="1021"/>
      <c r="K17" s="1021"/>
      <c r="L17" s="1022"/>
      <c r="M17" s="1023"/>
      <c r="N17" s="1446"/>
      <c r="O17" s="8"/>
      <c r="P17" s="234"/>
      <c r="Q17" s="119"/>
      <c r="R17" s="234"/>
      <c r="S17" s="114"/>
      <c r="T17" s="235"/>
      <c r="U17" s="115"/>
      <c r="V17" s="821"/>
      <c r="W17" s="811"/>
      <c r="X17" s="821"/>
      <c r="Y17" s="811"/>
      <c r="Z17" s="236"/>
      <c r="AA17" s="116"/>
      <c r="AB17" s="234"/>
      <c r="AC17" s="116"/>
      <c r="AD17" s="237"/>
      <c r="AE17" s="117"/>
      <c r="AF17" s="1092"/>
      <c r="AG17" s="1092"/>
      <c r="AH17" s="1093"/>
      <c r="AI17" s="8"/>
    </row>
    <row r="18" spans="1:35" x14ac:dyDescent="0.2">
      <c r="A18" s="1208"/>
      <c r="B18" s="1019"/>
      <c r="C18" s="1051"/>
      <c r="D18" s="1040"/>
      <c r="E18" s="1052"/>
      <c r="F18" s="1209"/>
      <c r="G18" s="1020"/>
      <c r="H18" s="1021"/>
      <c r="I18" s="1022"/>
      <c r="J18" s="1021"/>
      <c r="K18" s="1021"/>
      <c r="L18" s="1022"/>
      <c r="M18" s="1495"/>
      <c r="N18" s="1446"/>
      <c r="O18" s="8"/>
      <c r="P18" s="234"/>
      <c r="Q18" s="119"/>
      <c r="R18" s="234"/>
      <c r="S18" s="114"/>
      <c r="T18" s="235"/>
      <c r="U18" s="115"/>
      <c r="V18" s="821"/>
      <c r="W18" s="811"/>
      <c r="X18" s="821"/>
      <c r="Y18" s="811"/>
      <c r="Z18" s="236"/>
      <c r="AA18" s="116"/>
      <c r="AB18" s="234"/>
      <c r="AC18" s="116"/>
      <c r="AD18" s="237"/>
      <c r="AE18" s="117"/>
      <c r="AF18" s="1092"/>
      <c r="AG18" s="1092"/>
      <c r="AH18" s="1093"/>
      <c r="AI18" s="8"/>
    </row>
    <row r="19" spans="1:35" x14ac:dyDescent="0.2">
      <c r="A19" s="1208"/>
      <c r="B19" s="1019"/>
      <c r="C19" s="1051"/>
      <c r="D19" s="1040"/>
      <c r="E19" s="1052"/>
      <c r="F19" s="1209"/>
      <c r="G19" s="1020"/>
      <c r="H19" s="1021"/>
      <c r="I19" s="1022"/>
      <c r="J19" s="1021"/>
      <c r="K19" s="1021"/>
      <c r="L19" s="1022"/>
      <c r="M19" s="1023"/>
      <c r="N19" s="1446"/>
      <c r="O19" s="8"/>
      <c r="P19" s="234"/>
      <c r="Q19" s="119"/>
      <c r="R19" s="234"/>
      <c r="S19" s="114"/>
      <c r="T19" s="235"/>
      <c r="U19" s="115"/>
      <c r="V19" s="821"/>
      <c r="W19" s="811"/>
      <c r="X19" s="821"/>
      <c r="Y19" s="811"/>
      <c r="Z19" s="236"/>
      <c r="AA19" s="116"/>
      <c r="AB19" s="234"/>
      <c r="AC19" s="116"/>
      <c r="AD19" s="237"/>
      <c r="AE19" s="117"/>
      <c r="AF19" s="1092"/>
      <c r="AG19" s="1092"/>
      <c r="AH19" s="1093"/>
      <c r="AI19" s="8"/>
    </row>
    <row r="20" spans="1:35" x14ac:dyDescent="0.2">
      <c r="A20" s="1208"/>
      <c r="B20" s="1019"/>
      <c r="C20" s="1051"/>
      <c r="D20" s="1040"/>
      <c r="E20" s="1052"/>
      <c r="F20" s="1209"/>
      <c r="G20" s="1020"/>
      <c r="H20" s="1021"/>
      <c r="I20" s="1022"/>
      <c r="J20" s="1021"/>
      <c r="K20" s="1021"/>
      <c r="L20" s="1022"/>
      <c r="M20" s="1495"/>
      <c r="N20" s="1448"/>
      <c r="O20" s="8"/>
      <c r="P20" s="234"/>
      <c r="Q20" s="119"/>
      <c r="R20" s="234"/>
      <c r="S20" s="114"/>
      <c r="T20" s="235"/>
      <c r="U20" s="115"/>
      <c r="V20" s="821"/>
      <c r="W20" s="811"/>
      <c r="X20" s="821"/>
      <c r="Y20" s="811"/>
      <c r="Z20" s="236"/>
      <c r="AA20" s="116"/>
      <c r="AB20" s="234"/>
      <c r="AC20" s="116"/>
      <c r="AD20" s="237"/>
      <c r="AE20" s="117"/>
      <c r="AF20" s="1092"/>
      <c r="AG20" s="1092"/>
      <c r="AH20" s="1093"/>
      <c r="AI20" s="8"/>
    </row>
    <row r="21" spans="1:35" x14ac:dyDescent="0.2">
      <c r="A21" s="1208"/>
      <c r="B21" s="1493"/>
      <c r="C21" s="1051"/>
      <c r="D21" s="1040"/>
      <c r="E21" s="1052"/>
      <c r="F21" s="1209"/>
      <c r="G21" s="1020"/>
      <c r="H21" s="1209"/>
      <c r="I21" s="1209"/>
      <c r="J21" s="1209"/>
      <c r="K21" s="1209"/>
      <c r="L21" s="1209"/>
      <c r="M21" s="1495"/>
      <c r="N21" s="1446"/>
      <c r="O21" s="8"/>
      <c r="P21" s="234"/>
      <c r="Q21" s="119"/>
      <c r="R21" s="234"/>
      <c r="S21" s="114"/>
      <c r="T21" s="235"/>
      <c r="U21" s="115"/>
      <c r="V21" s="821"/>
      <c r="W21" s="811"/>
      <c r="X21" s="821"/>
      <c r="Y21" s="811"/>
      <c r="Z21" s="236"/>
      <c r="AA21" s="116"/>
      <c r="AB21" s="234"/>
      <c r="AC21" s="116"/>
      <c r="AD21" s="237"/>
      <c r="AE21" s="117"/>
      <c r="AF21" s="1092"/>
      <c r="AG21" s="1092"/>
      <c r="AH21" s="1093"/>
      <c r="AI21" s="8"/>
    </row>
    <row r="22" spans="1:35" x14ac:dyDescent="0.2">
      <c r="A22" s="1208"/>
      <c r="B22" s="1042"/>
      <c r="C22" s="1051"/>
      <c r="D22" s="1040"/>
      <c r="E22" s="1052"/>
      <c r="F22" s="1209"/>
      <c r="G22" s="1020"/>
      <c r="H22" s="1021"/>
      <c r="I22" s="1022"/>
      <c r="J22" s="1021"/>
      <c r="K22" s="1021"/>
      <c r="L22" s="1022"/>
      <c r="M22" s="1495"/>
      <c r="N22" s="1448"/>
      <c r="O22" s="8"/>
      <c r="P22" s="234"/>
      <c r="Q22" s="119"/>
      <c r="R22" s="234"/>
      <c r="S22" s="114"/>
      <c r="T22" s="235"/>
      <c r="U22" s="115"/>
      <c r="V22" s="821"/>
      <c r="W22" s="811"/>
      <c r="X22" s="821"/>
      <c r="Y22" s="811"/>
      <c r="Z22" s="236"/>
      <c r="AA22" s="116"/>
      <c r="AB22" s="234"/>
      <c r="AC22" s="116"/>
      <c r="AD22" s="237"/>
      <c r="AE22" s="117"/>
      <c r="AF22" s="1092"/>
      <c r="AG22" s="1092"/>
      <c r="AH22" s="1093"/>
      <c r="AI22" s="8"/>
    </row>
    <row r="23" spans="1:35" x14ac:dyDescent="0.2">
      <c r="A23" s="1208"/>
      <c r="B23" s="1067"/>
      <c r="C23" s="1051"/>
      <c r="D23" s="1040"/>
      <c r="E23" s="1052"/>
      <c r="F23" s="1209"/>
      <c r="G23" s="1020"/>
      <c r="H23" s="1021"/>
      <c r="I23" s="1022"/>
      <c r="J23" s="1021"/>
      <c r="K23" s="1021"/>
      <c r="L23" s="1022"/>
      <c r="M23" s="1023"/>
      <c r="N23" s="1446"/>
      <c r="O23" s="8"/>
      <c r="P23" s="234"/>
      <c r="Q23" s="119"/>
      <c r="R23" s="234"/>
      <c r="S23" s="114"/>
      <c r="T23" s="235"/>
      <c r="U23" s="115"/>
      <c r="V23" s="821"/>
      <c r="W23" s="811"/>
      <c r="X23" s="821"/>
      <c r="Y23" s="811"/>
      <c r="Z23" s="236"/>
      <c r="AA23" s="116"/>
      <c r="AB23" s="234"/>
      <c r="AC23" s="116"/>
      <c r="AD23" s="237"/>
      <c r="AE23" s="117"/>
      <c r="AF23" s="1092"/>
      <c r="AG23" s="1092"/>
      <c r="AH23" s="1093"/>
      <c r="AI23" s="8"/>
    </row>
    <row r="24" spans="1:35" x14ac:dyDescent="0.2">
      <c r="A24" s="1208"/>
      <c r="B24" s="1242"/>
      <c r="C24" s="1051"/>
      <c r="D24" s="1040"/>
      <c r="E24" s="1052"/>
      <c r="F24" s="1209"/>
      <c r="G24" s="1020"/>
      <c r="H24" s="1021"/>
      <c r="I24" s="1022"/>
      <c r="J24" s="1021"/>
      <c r="K24" s="1021"/>
      <c r="L24" s="1138"/>
      <c r="M24" s="1495"/>
      <c r="N24" s="1496"/>
      <c r="O24" s="8"/>
      <c r="P24" s="234"/>
      <c r="Q24" s="119"/>
      <c r="R24" s="234"/>
      <c r="S24" s="114"/>
      <c r="T24" s="235"/>
      <c r="U24" s="115"/>
      <c r="V24" s="821"/>
      <c r="W24" s="811"/>
      <c r="X24" s="821"/>
      <c r="Y24" s="811"/>
      <c r="Z24" s="236"/>
      <c r="AA24" s="116"/>
      <c r="AB24" s="234"/>
      <c r="AC24" s="116"/>
      <c r="AD24" s="237"/>
      <c r="AE24" s="117"/>
      <c r="AF24" s="1092"/>
      <c r="AG24" s="1092"/>
      <c r="AH24" s="1093"/>
      <c r="AI24" s="8"/>
    </row>
    <row r="25" spans="1:35" x14ac:dyDescent="0.2">
      <c r="A25" s="1208"/>
      <c r="B25" s="1494"/>
      <c r="C25" s="1051"/>
      <c r="D25" s="1040"/>
      <c r="E25" s="1052"/>
      <c r="F25" s="1209"/>
      <c r="G25" s="1020"/>
      <c r="H25" s="1021"/>
      <c r="I25" s="1022"/>
      <c r="J25" s="1021"/>
      <c r="K25" s="1021"/>
      <c r="L25" s="1022"/>
      <c r="M25" s="1023"/>
      <c r="N25" s="1446"/>
      <c r="O25" s="8"/>
      <c r="P25" s="234"/>
      <c r="Q25" s="119"/>
      <c r="R25" s="234"/>
      <c r="S25" s="114"/>
      <c r="T25" s="235"/>
      <c r="U25" s="115"/>
      <c r="V25" s="821"/>
      <c r="W25" s="811"/>
      <c r="X25" s="821"/>
      <c r="Y25" s="811"/>
      <c r="Z25" s="236"/>
      <c r="AA25" s="116"/>
      <c r="AB25" s="234"/>
      <c r="AC25" s="116"/>
      <c r="AD25" s="237"/>
      <c r="AE25" s="117"/>
      <c r="AF25" s="1092"/>
      <c r="AG25" s="1092"/>
      <c r="AH25" s="1093"/>
      <c r="AI25" s="8"/>
    </row>
    <row r="26" spans="1:35" x14ac:dyDescent="0.2">
      <c r="A26" s="1208"/>
      <c r="B26" s="1019"/>
      <c r="C26" s="1051"/>
      <c r="D26" s="1040"/>
      <c r="E26" s="1052"/>
      <c r="F26" s="1170"/>
      <c r="G26" s="1488"/>
      <c r="H26" s="1489"/>
      <c r="I26" s="1490"/>
      <c r="J26" s="1489"/>
      <c r="K26" s="1489"/>
      <c r="L26" s="1491"/>
      <c r="M26" s="1431"/>
      <c r="N26" s="1492"/>
      <c r="O26" s="8"/>
      <c r="P26" s="234"/>
      <c r="Q26" s="119"/>
      <c r="R26" s="234"/>
      <c r="S26" s="114"/>
      <c r="T26" s="235"/>
      <c r="U26" s="115"/>
      <c r="V26" s="821"/>
      <c r="W26" s="811"/>
      <c r="X26" s="821"/>
      <c r="Y26" s="811"/>
      <c r="Z26" s="236"/>
      <c r="AA26" s="116"/>
      <c r="AB26" s="234"/>
      <c r="AC26" s="116"/>
      <c r="AD26" s="237"/>
      <c r="AE26" s="117"/>
      <c r="AF26" s="1092"/>
      <c r="AG26" s="1092"/>
      <c r="AH26" s="1093"/>
      <c r="AI26" s="8"/>
    </row>
    <row r="27" spans="1:35" x14ac:dyDescent="0.2">
      <c r="A27" s="1208"/>
      <c r="B27" s="1019"/>
      <c r="C27" s="1051"/>
      <c r="D27" s="1040"/>
      <c r="E27" s="1052"/>
      <c r="F27" s="1209"/>
      <c r="G27" s="1020"/>
      <c r="H27" s="1021"/>
      <c r="I27" s="1022"/>
      <c r="J27" s="1021"/>
      <c r="K27" s="1021"/>
      <c r="L27" s="1022"/>
      <c r="M27" s="1495"/>
      <c r="N27" s="1446"/>
      <c r="O27" s="8"/>
      <c r="P27" s="234"/>
      <c r="Q27" s="119"/>
      <c r="R27" s="234"/>
      <c r="S27" s="114"/>
      <c r="T27" s="235"/>
      <c r="U27" s="115"/>
      <c r="V27" s="821"/>
      <c r="W27" s="811"/>
      <c r="X27" s="821"/>
      <c r="Y27" s="811"/>
      <c r="Z27" s="236"/>
      <c r="AA27" s="116"/>
      <c r="AB27" s="234"/>
      <c r="AC27" s="116"/>
      <c r="AD27" s="237"/>
      <c r="AE27" s="117"/>
      <c r="AF27" s="1092"/>
      <c r="AG27" s="1092"/>
      <c r="AH27" s="1093"/>
      <c r="AI27" s="8"/>
    </row>
    <row r="28" spans="1:35" x14ac:dyDescent="0.2">
      <c r="A28" s="1208"/>
      <c r="B28" s="1019"/>
      <c r="C28" s="1051"/>
      <c r="D28" s="1040"/>
      <c r="E28" s="1052"/>
      <c r="F28" s="1209"/>
      <c r="G28" s="1020"/>
      <c r="H28" s="1021"/>
      <c r="I28" s="1022"/>
      <c r="J28" s="1021"/>
      <c r="K28" s="1021"/>
      <c r="L28" s="1022"/>
      <c r="M28" s="1023"/>
      <c r="N28" s="1446"/>
      <c r="O28" s="8"/>
      <c r="P28" s="234"/>
      <c r="Q28" s="119"/>
      <c r="R28" s="234"/>
      <c r="S28" s="114"/>
      <c r="T28" s="235"/>
      <c r="U28" s="115"/>
      <c r="V28" s="821"/>
      <c r="W28" s="811"/>
      <c r="X28" s="821"/>
      <c r="Y28" s="811"/>
      <c r="Z28" s="236"/>
      <c r="AA28" s="116"/>
      <c r="AB28" s="234"/>
      <c r="AC28" s="116"/>
      <c r="AD28" s="237"/>
      <c r="AE28" s="117"/>
      <c r="AF28" s="1092"/>
      <c r="AG28" s="1092"/>
      <c r="AH28" s="1093"/>
      <c r="AI28" s="8"/>
    </row>
    <row r="29" spans="1:35" x14ac:dyDescent="0.2">
      <c r="A29" s="1208"/>
      <c r="B29" s="1243"/>
      <c r="C29" s="1051"/>
      <c r="D29" s="1040"/>
      <c r="E29" s="1052"/>
      <c r="F29" s="1209"/>
      <c r="G29" s="1020"/>
      <c r="H29" s="1021"/>
      <c r="I29" s="1022"/>
      <c r="J29" s="1021"/>
      <c r="K29" s="1021"/>
      <c r="L29" s="1022"/>
      <c r="M29" s="1495"/>
      <c r="N29" s="1446"/>
      <c r="O29" s="8"/>
      <c r="P29" s="234"/>
      <c r="Q29" s="119"/>
      <c r="R29" s="234"/>
      <c r="S29" s="114"/>
      <c r="T29" s="235"/>
      <c r="U29" s="115"/>
      <c r="V29" s="821"/>
      <c r="W29" s="811"/>
      <c r="X29" s="821"/>
      <c r="Y29" s="811"/>
      <c r="Z29" s="236"/>
      <c r="AA29" s="116"/>
      <c r="AB29" s="234"/>
      <c r="AC29" s="116"/>
      <c r="AD29" s="237"/>
      <c r="AE29" s="117"/>
      <c r="AF29" s="1092"/>
      <c r="AG29" s="1092"/>
      <c r="AH29" s="1093"/>
      <c r="AI29" s="8"/>
    </row>
    <row r="30" spans="1:35" x14ac:dyDescent="0.2">
      <c r="A30" s="1208"/>
      <c r="B30" s="1019"/>
      <c r="C30" s="1051"/>
      <c r="D30" s="1040"/>
      <c r="E30" s="1052"/>
      <c r="F30" s="1209"/>
      <c r="G30" s="1020"/>
      <c r="H30" s="1021"/>
      <c r="I30" s="1022"/>
      <c r="J30" s="1021"/>
      <c r="K30" s="1021"/>
      <c r="L30" s="1138"/>
      <c r="M30" s="1495"/>
      <c r="N30" s="1447"/>
      <c r="O30" s="8"/>
      <c r="P30" s="234"/>
      <c r="Q30" s="119"/>
      <c r="R30" s="234"/>
      <c r="S30" s="114"/>
      <c r="T30" s="235"/>
      <c r="U30" s="115"/>
      <c r="V30" s="821"/>
      <c r="W30" s="811"/>
      <c r="X30" s="821"/>
      <c r="Y30" s="811"/>
      <c r="Z30" s="236"/>
      <c r="AA30" s="116"/>
      <c r="AB30" s="234"/>
      <c r="AC30" s="116"/>
      <c r="AD30" s="237"/>
      <c r="AE30" s="117"/>
      <c r="AF30" s="1092"/>
      <c r="AG30" s="1092"/>
      <c r="AH30" s="1093"/>
      <c r="AI30" s="8"/>
    </row>
    <row r="31" spans="1:35" x14ac:dyDescent="0.2">
      <c r="A31" s="1208"/>
      <c r="B31" s="1019"/>
      <c r="C31" s="1051"/>
      <c r="D31" s="1040"/>
      <c r="E31" s="1052"/>
      <c r="F31" s="1209"/>
      <c r="G31" s="1020"/>
      <c r="H31" s="1021"/>
      <c r="I31" s="1022"/>
      <c r="J31" s="1021"/>
      <c r="K31" s="1021"/>
      <c r="L31" s="1138"/>
      <c r="M31" s="1495"/>
      <c r="N31" s="1446"/>
      <c r="O31" s="8"/>
      <c r="P31" s="234"/>
      <c r="Q31" s="119"/>
      <c r="R31" s="234"/>
      <c r="S31" s="114"/>
      <c r="T31" s="235"/>
      <c r="U31" s="115"/>
      <c r="V31" s="821"/>
      <c r="W31" s="811"/>
      <c r="X31" s="821"/>
      <c r="Y31" s="811"/>
      <c r="Z31" s="236"/>
      <c r="AA31" s="116"/>
      <c r="AB31" s="234"/>
      <c r="AC31" s="116"/>
      <c r="AD31" s="237"/>
      <c r="AE31" s="117"/>
      <c r="AF31" s="1092"/>
      <c r="AG31" s="1092"/>
      <c r="AH31" s="1093"/>
      <c r="AI31" s="8"/>
    </row>
    <row r="32" spans="1:35" x14ac:dyDescent="0.2">
      <c r="A32" s="1208"/>
      <c r="B32" s="1019"/>
      <c r="C32" s="1051"/>
      <c r="D32" s="1040"/>
      <c r="E32" s="1052"/>
      <c r="F32" s="1209"/>
      <c r="G32" s="1020"/>
      <c r="H32" s="1021"/>
      <c r="I32" s="1022"/>
      <c r="J32" s="1021"/>
      <c r="K32" s="1021"/>
      <c r="L32" s="1138"/>
      <c r="M32" s="1495"/>
      <c r="N32" s="1446"/>
      <c r="O32" s="8"/>
      <c r="P32" s="234"/>
      <c r="Q32" s="119"/>
      <c r="R32" s="234"/>
      <c r="S32" s="114"/>
      <c r="T32" s="235"/>
      <c r="U32" s="115"/>
      <c r="V32" s="821"/>
      <c r="W32" s="811"/>
      <c r="X32" s="821"/>
      <c r="Y32" s="811"/>
      <c r="Z32" s="236"/>
      <c r="AA32" s="116"/>
      <c r="AB32" s="234"/>
      <c r="AC32" s="116"/>
      <c r="AD32" s="237"/>
      <c r="AE32" s="117"/>
      <c r="AF32" s="1092"/>
      <c r="AG32" s="1092"/>
      <c r="AH32" s="1093"/>
      <c r="AI32" s="8"/>
    </row>
    <row r="33" spans="1:35" x14ac:dyDescent="0.2">
      <c r="A33" s="1208"/>
      <c r="B33" s="1019"/>
      <c r="C33" s="1051"/>
      <c r="D33" s="1040"/>
      <c r="E33" s="1052"/>
      <c r="F33" s="1209"/>
      <c r="G33" s="1020"/>
      <c r="H33" s="1021"/>
      <c r="I33" s="1022"/>
      <c r="J33" s="1021"/>
      <c r="K33" s="1021"/>
      <c r="L33" s="1138"/>
      <c r="M33" s="1023"/>
      <c r="N33" s="1446"/>
      <c r="O33" s="8"/>
      <c r="P33" s="234"/>
      <c r="Q33" s="119"/>
      <c r="R33" s="234"/>
      <c r="S33" s="114"/>
      <c r="T33" s="235"/>
      <c r="U33" s="115"/>
      <c r="V33" s="821"/>
      <c r="W33" s="811"/>
      <c r="X33" s="821"/>
      <c r="Y33" s="811"/>
      <c r="Z33" s="236"/>
      <c r="AA33" s="116"/>
      <c r="AB33" s="234"/>
      <c r="AC33" s="116"/>
      <c r="AD33" s="237"/>
      <c r="AE33" s="117"/>
      <c r="AF33" s="1092"/>
      <c r="AG33" s="1092"/>
      <c r="AH33" s="1093"/>
      <c r="AI33" s="8"/>
    </row>
    <row r="34" spans="1:35" x14ac:dyDescent="0.2">
      <c r="A34" s="1208"/>
      <c r="B34" s="1019"/>
      <c r="C34" s="1051"/>
      <c r="D34" s="1040"/>
      <c r="E34" s="1052"/>
      <c r="F34" s="1209"/>
      <c r="G34" s="1020"/>
      <c r="H34" s="1021"/>
      <c r="I34" s="1022"/>
      <c r="J34" s="1021"/>
      <c r="K34" s="1021"/>
      <c r="L34" s="1022"/>
      <c r="M34" s="1495"/>
      <c r="N34" s="1446"/>
      <c r="O34" s="8"/>
      <c r="P34" s="234"/>
      <c r="Q34" s="119"/>
      <c r="R34" s="234"/>
      <c r="S34" s="114"/>
      <c r="T34" s="235"/>
      <c r="U34" s="115"/>
      <c r="V34" s="821"/>
      <c r="W34" s="811"/>
      <c r="X34" s="821"/>
      <c r="Y34" s="811"/>
      <c r="Z34" s="236"/>
      <c r="AA34" s="116"/>
      <c r="AB34" s="234"/>
      <c r="AC34" s="116"/>
      <c r="AD34" s="237"/>
      <c r="AE34" s="117"/>
      <c r="AF34" s="1092"/>
      <c r="AG34" s="1092"/>
      <c r="AH34" s="1093"/>
      <c r="AI34" s="8"/>
    </row>
    <row r="35" spans="1:35" x14ac:dyDescent="0.2">
      <c r="A35" s="1208"/>
      <c r="B35" s="1019"/>
      <c r="C35" s="1051"/>
      <c r="D35" s="1040"/>
      <c r="E35" s="1052"/>
      <c r="F35" s="1209"/>
      <c r="G35" s="1020"/>
      <c r="H35" s="1021"/>
      <c r="I35" s="1022"/>
      <c r="J35" s="1021"/>
      <c r="K35" s="1021"/>
      <c r="L35" s="1022"/>
      <c r="M35" s="1023"/>
      <c r="N35" s="1446"/>
      <c r="O35" s="8"/>
      <c r="P35" s="234"/>
      <c r="Q35" s="119"/>
      <c r="R35" s="234"/>
      <c r="S35" s="114"/>
      <c r="T35" s="235"/>
      <c r="U35" s="115"/>
      <c r="V35" s="821"/>
      <c r="W35" s="811"/>
      <c r="X35" s="821"/>
      <c r="Y35" s="811"/>
      <c r="Z35" s="236"/>
      <c r="AA35" s="116"/>
      <c r="AB35" s="234"/>
      <c r="AC35" s="116"/>
      <c r="AD35" s="237"/>
      <c r="AE35" s="117"/>
      <c r="AF35" s="1092"/>
      <c r="AG35" s="1092"/>
      <c r="AH35" s="1093"/>
      <c r="AI35" s="8"/>
    </row>
    <row r="36" spans="1:35" x14ac:dyDescent="0.2">
      <c r="A36" s="1208"/>
      <c r="B36" s="1019"/>
      <c r="C36" s="1051"/>
      <c r="D36" s="1040"/>
      <c r="E36" s="1052"/>
      <c r="F36" s="1209"/>
      <c r="G36" s="1020"/>
      <c r="H36" s="1021"/>
      <c r="I36" s="1022"/>
      <c r="J36" s="1021"/>
      <c r="K36" s="1021"/>
      <c r="L36" s="1022"/>
      <c r="M36" s="1023"/>
      <c r="N36" s="1446"/>
      <c r="O36" s="8"/>
      <c r="P36" s="234"/>
      <c r="Q36" s="119"/>
      <c r="R36" s="234"/>
      <c r="S36" s="114"/>
      <c r="T36" s="235"/>
      <c r="U36" s="115"/>
      <c r="V36" s="821"/>
      <c r="W36" s="811"/>
      <c r="X36" s="821"/>
      <c r="Y36" s="811"/>
      <c r="Z36" s="236"/>
      <c r="AA36" s="116"/>
      <c r="AB36" s="234"/>
      <c r="AC36" s="116"/>
      <c r="AD36" s="237"/>
      <c r="AE36" s="117"/>
      <c r="AF36" s="1092"/>
      <c r="AG36" s="1092"/>
      <c r="AH36" s="1093"/>
      <c r="AI36" s="8"/>
    </row>
    <row r="37" spans="1:35" x14ac:dyDescent="0.2">
      <c r="A37" s="1208"/>
      <c r="B37" s="1019"/>
      <c r="C37" s="1051"/>
      <c r="D37" s="1040"/>
      <c r="E37" s="1052"/>
      <c r="F37" s="1209"/>
      <c r="G37" s="1020"/>
      <c r="H37" s="1021"/>
      <c r="I37" s="1022"/>
      <c r="J37" s="1021"/>
      <c r="K37" s="1021"/>
      <c r="L37" s="1022"/>
      <c r="M37" s="1495"/>
      <c r="N37" s="1446"/>
      <c r="O37" s="8"/>
      <c r="P37" s="234"/>
      <c r="Q37" s="119"/>
      <c r="R37" s="234"/>
      <c r="S37" s="114"/>
      <c r="T37" s="235"/>
      <c r="U37" s="115"/>
      <c r="V37" s="821"/>
      <c r="W37" s="811"/>
      <c r="X37" s="821"/>
      <c r="Y37" s="811"/>
      <c r="Z37" s="236"/>
      <c r="AA37" s="116"/>
      <c r="AB37" s="234"/>
      <c r="AC37" s="116"/>
      <c r="AD37" s="237"/>
      <c r="AE37" s="117"/>
      <c r="AF37" s="1092"/>
      <c r="AG37" s="1092"/>
      <c r="AH37" s="1093"/>
      <c r="AI37" s="8"/>
    </row>
    <row r="38" spans="1:35" x14ac:dyDescent="0.2">
      <c r="A38" s="1208"/>
      <c r="B38" s="1019"/>
      <c r="C38" s="1051"/>
      <c r="D38" s="1040"/>
      <c r="E38" s="1052"/>
      <c r="F38" s="1209"/>
      <c r="G38" s="1020"/>
      <c r="H38" s="1021"/>
      <c r="I38" s="1022"/>
      <c r="J38" s="1021"/>
      <c r="K38" s="1021"/>
      <c r="L38" s="1022"/>
      <c r="M38" s="1023"/>
      <c r="N38" s="1446"/>
      <c r="O38" s="8"/>
      <c r="P38" s="234"/>
      <c r="Q38" s="119"/>
      <c r="R38" s="234"/>
      <c r="S38" s="114"/>
      <c r="T38" s="235"/>
      <c r="U38" s="115"/>
      <c r="V38" s="821"/>
      <c r="W38" s="811"/>
      <c r="X38" s="821"/>
      <c r="Y38" s="811"/>
      <c r="Z38" s="236"/>
      <c r="AA38" s="116"/>
      <c r="AB38" s="234"/>
      <c r="AC38" s="116"/>
      <c r="AD38" s="237"/>
      <c r="AE38" s="117"/>
      <c r="AF38" s="1092"/>
      <c r="AG38" s="1092"/>
      <c r="AH38" s="1093"/>
      <c r="AI38" s="8"/>
    </row>
    <row r="39" spans="1:35" x14ac:dyDescent="0.2">
      <c r="A39" s="1208"/>
      <c r="B39" s="1019"/>
      <c r="C39" s="1051"/>
      <c r="D39" s="1040"/>
      <c r="E39" s="1052"/>
      <c r="F39" s="1209"/>
      <c r="G39" s="1020"/>
      <c r="H39" s="1021"/>
      <c r="I39" s="1022"/>
      <c r="J39" s="1021"/>
      <c r="K39" s="1021"/>
      <c r="L39" s="1022"/>
      <c r="M39" s="1023"/>
      <c r="N39" s="1446"/>
      <c r="O39" s="8"/>
      <c r="P39" s="234"/>
      <c r="Q39" s="119"/>
      <c r="R39" s="234"/>
      <c r="S39" s="114"/>
      <c r="T39" s="235"/>
      <c r="U39" s="115"/>
      <c r="V39" s="821"/>
      <c r="W39" s="811"/>
      <c r="X39" s="821"/>
      <c r="Y39" s="811"/>
      <c r="Z39" s="236"/>
      <c r="AA39" s="116"/>
      <c r="AB39" s="234"/>
      <c r="AC39" s="116"/>
      <c r="AD39" s="237"/>
      <c r="AE39" s="117"/>
      <c r="AF39" s="1092"/>
      <c r="AG39" s="1092"/>
      <c r="AH39" s="1093"/>
      <c r="AI39" s="8"/>
    </row>
    <row r="40" spans="1:35" x14ac:dyDescent="0.2">
      <c r="A40" s="1208"/>
      <c r="B40" s="1019"/>
      <c r="C40" s="1051"/>
      <c r="D40" s="1040"/>
      <c r="E40" s="1052"/>
      <c r="F40" s="1209"/>
      <c r="G40" s="1020"/>
      <c r="H40" s="1021"/>
      <c r="I40" s="1022"/>
      <c r="J40" s="1021"/>
      <c r="K40" s="1021"/>
      <c r="L40" s="1022"/>
      <c r="M40" s="1495"/>
      <c r="N40" s="1446"/>
      <c r="O40" s="8"/>
      <c r="P40" s="234"/>
      <c r="Q40" s="119"/>
      <c r="R40" s="234"/>
      <c r="S40" s="114"/>
      <c r="T40" s="235"/>
      <c r="U40" s="115"/>
      <c r="V40" s="821"/>
      <c r="W40" s="811"/>
      <c r="X40" s="821"/>
      <c r="Y40" s="811"/>
      <c r="Z40" s="236"/>
      <c r="AA40" s="116"/>
      <c r="AB40" s="234"/>
      <c r="AC40" s="116"/>
      <c r="AD40" s="237"/>
      <c r="AE40" s="117"/>
      <c r="AF40" s="1092"/>
      <c r="AG40" s="1092"/>
      <c r="AH40" s="1093"/>
      <c r="AI40" s="8"/>
    </row>
    <row r="41" spans="1:35" x14ac:dyDescent="0.2">
      <c r="A41" s="1208"/>
      <c r="B41" s="1019"/>
      <c r="C41" s="1051"/>
      <c r="D41" s="1040"/>
      <c r="E41" s="1052"/>
      <c r="F41" s="1209"/>
      <c r="G41" s="1020"/>
      <c r="H41" s="1021"/>
      <c r="I41" s="1022"/>
      <c r="J41" s="1021"/>
      <c r="K41" s="1021"/>
      <c r="L41" s="1022"/>
      <c r="M41" s="1023"/>
      <c r="N41" s="1446"/>
      <c r="O41" s="8"/>
      <c r="P41" s="234"/>
      <c r="Q41" s="119"/>
      <c r="R41" s="234"/>
      <c r="S41" s="114"/>
      <c r="T41" s="235"/>
      <c r="U41" s="115"/>
      <c r="V41" s="821"/>
      <c r="W41" s="811"/>
      <c r="X41" s="821"/>
      <c r="Y41" s="811"/>
      <c r="Z41" s="236"/>
      <c r="AA41" s="116"/>
      <c r="AB41" s="234"/>
      <c r="AC41" s="116"/>
      <c r="AD41" s="237"/>
      <c r="AE41" s="117"/>
      <c r="AF41" s="1092"/>
      <c r="AG41" s="1092"/>
      <c r="AH41" s="1093"/>
      <c r="AI41" s="8"/>
    </row>
    <row r="42" spans="1:35" x14ac:dyDescent="0.2">
      <c r="A42" s="1208"/>
      <c r="B42" s="1019"/>
      <c r="C42" s="1051"/>
      <c r="D42" s="1040"/>
      <c r="E42" s="1052"/>
      <c r="F42" s="1209"/>
      <c r="G42" s="1020"/>
      <c r="H42" s="1021"/>
      <c r="I42" s="1022"/>
      <c r="J42" s="1021"/>
      <c r="K42" s="1021"/>
      <c r="L42" s="1022"/>
      <c r="M42" s="1495"/>
      <c r="N42" s="1446"/>
      <c r="O42" s="8"/>
      <c r="P42" s="234"/>
      <c r="Q42" s="119"/>
      <c r="R42" s="234"/>
      <c r="S42" s="114"/>
      <c r="T42" s="235"/>
      <c r="U42" s="115"/>
      <c r="V42" s="821"/>
      <c r="W42" s="811"/>
      <c r="X42" s="821"/>
      <c r="Y42" s="811"/>
      <c r="Z42" s="236"/>
      <c r="AA42" s="116"/>
      <c r="AB42" s="234"/>
      <c r="AC42" s="116"/>
      <c r="AD42" s="237"/>
      <c r="AE42" s="117"/>
      <c r="AF42" s="1092"/>
      <c r="AG42" s="1092"/>
      <c r="AH42" s="1093"/>
      <c r="AI42" s="8"/>
    </row>
    <row r="43" spans="1:35" x14ac:dyDescent="0.2">
      <c r="A43" s="1208"/>
      <c r="B43" s="1019"/>
      <c r="C43" s="1051"/>
      <c r="D43" s="1040"/>
      <c r="E43" s="1052"/>
      <c r="F43" s="1209"/>
      <c r="G43" s="1020"/>
      <c r="H43" s="1021"/>
      <c r="I43" s="1022"/>
      <c r="J43" s="1021"/>
      <c r="K43" s="1021"/>
      <c r="L43" s="1022"/>
      <c r="M43" s="1495"/>
      <c r="N43" s="1446"/>
      <c r="O43" s="8"/>
      <c r="P43" s="234"/>
      <c r="Q43" s="119"/>
      <c r="R43" s="234"/>
      <c r="S43" s="114"/>
      <c r="T43" s="235"/>
      <c r="U43" s="115"/>
      <c r="V43" s="821"/>
      <c r="W43" s="811"/>
      <c r="X43" s="821"/>
      <c r="Y43" s="811"/>
      <c r="Z43" s="236"/>
      <c r="AA43" s="116"/>
      <c r="AB43" s="234"/>
      <c r="AC43" s="116"/>
      <c r="AD43" s="237"/>
      <c r="AE43" s="117"/>
      <c r="AF43" s="1092"/>
      <c r="AG43" s="1092"/>
      <c r="AH43" s="1093"/>
      <c r="AI43" s="8"/>
    </row>
    <row r="44" spans="1:35" x14ac:dyDescent="0.2">
      <c r="A44" s="1208"/>
      <c r="B44" s="1019"/>
      <c r="C44" s="1051"/>
      <c r="D44" s="1040"/>
      <c r="E44" s="1052"/>
      <c r="F44" s="1209"/>
      <c r="G44" s="1020"/>
      <c r="H44" s="1021"/>
      <c r="I44" s="1022"/>
      <c r="J44" s="1021"/>
      <c r="K44" s="1021"/>
      <c r="L44" s="1022"/>
      <c r="M44" s="1495"/>
      <c r="N44" s="1446"/>
      <c r="O44" s="8"/>
      <c r="P44" s="234"/>
      <c r="Q44" s="119"/>
      <c r="R44" s="234"/>
      <c r="S44" s="114"/>
      <c r="T44" s="235"/>
      <c r="U44" s="115"/>
      <c r="V44" s="821"/>
      <c r="W44" s="811"/>
      <c r="X44" s="821"/>
      <c r="Y44" s="811"/>
      <c r="Z44" s="236"/>
      <c r="AA44" s="116"/>
      <c r="AB44" s="234"/>
      <c r="AC44" s="116"/>
      <c r="AD44" s="237"/>
      <c r="AE44" s="117"/>
      <c r="AF44" s="1092"/>
      <c r="AG44" s="1092"/>
      <c r="AH44" s="1093"/>
      <c r="AI44" s="8"/>
    </row>
    <row r="45" spans="1:35" x14ac:dyDescent="0.2">
      <c r="A45" s="1208"/>
      <c r="B45" s="1019"/>
      <c r="C45" s="1051"/>
      <c r="D45" s="1040"/>
      <c r="E45" s="1052"/>
      <c r="F45" s="1209"/>
      <c r="G45" s="1020"/>
      <c r="H45" s="1021"/>
      <c r="I45" s="1022"/>
      <c r="J45" s="1021"/>
      <c r="K45" s="1021"/>
      <c r="L45" s="1022"/>
      <c r="M45" s="1495"/>
      <c r="N45" s="1446"/>
      <c r="O45" s="8"/>
      <c r="P45" s="234"/>
      <c r="Q45" s="119"/>
      <c r="R45" s="234"/>
      <c r="S45" s="114"/>
      <c r="T45" s="235"/>
      <c r="U45" s="115"/>
      <c r="V45" s="821"/>
      <c r="W45" s="811"/>
      <c r="X45" s="821"/>
      <c r="Y45" s="811"/>
      <c r="Z45" s="236"/>
      <c r="AA45" s="116"/>
      <c r="AB45" s="234"/>
      <c r="AC45" s="116"/>
      <c r="AD45" s="237"/>
      <c r="AE45" s="117"/>
      <c r="AF45" s="1092"/>
      <c r="AG45" s="1092"/>
      <c r="AH45" s="1093"/>
      <c r="AI45" s="8"/>
    </row>
    <row r="46" spans="1:35" x14ac:dyDescent="0.2">
      <c r="A46" s="1208"/>
      <c r="B46" s="1019"/>
      <c r="C46" s="1051"/>
      <c r="D46" s="1040"/>
      <c r="E46" s="1052"/>
      <c r="F46" s="1209"/>
      <c r="G46" s="1020"/>
      <c r="H46" s="1021"/>
      <c r="I46" s="1022"/>
      <c r="J46" s="1021"/>
      <c r="K46" s="1021"/>
      <c r="L46" s="1022"/>
      <c r="M46" s="1495"/>
      <c r="N46" s="1446"/>
      <c r="O46" s="8"/>
      <c r="P46" s="234"/>
      <c r="Q46" s="119"/>
      <c r="R46" s="234"/>
      <c r="S46" s="114"/>
      <c r="T46" s="235"/>
      <c r="U46" s="115"/>
      <c r="V46" s="821"/>
      <c r="W46" s="811"/>
      <c r="X46" s="821"/>
      <c r="Y46" s="811"/>
      <c r="Z46" s="236"/>
      <c r="AA46" s="116"/>
      <c r="AB46" s="234"/>
      <c r="AC46" s="116"/>
      <c r="AD46" s="237"/>
      <c r="AE46" s="117"/>
      <c r="AF46" s="1092"/>
      <c r="AG46" s="1092"/>
      <c r="AH46" s="1093"/>
      <c r="AI46" s="8"/>
    </row>
    <row r="47" spans="1:35" x14ac:dyDescent="0.2">
      <c r="A47" s="1208"/>
      <c r="B47" s="1019"/>
      <c r="C47" s="1051"/>
      <c r="D47" s="1040"/>
      <c r="E47" s="1052"/>
      <c r="F47" s="1209"/>
      <c r="G47" s="1020"/>
      <c r="H47" s="1021"/>
      <c r="I47" s="1022"/>
      <c r="J47" s="1021"/>
      <c r="K47" s="1021"/>
      <c r="L47" s="1500"/>
      <c r="M47" s="1023"/>
      <c r="N47" s="1446"/>
      <c r="O47" s="8"/>
      <c r="P47" s="234"/>
      <c r="Q47" s="119"/>
      <c r="R47" s="234"/>
      <c r="S47" s="114"/>
      <c r="T47" s="235"/>
      <c r="U47" s="115"/>
      <c r="V47" s="821"/>
      <c r="W47" s="811"/>
      <c r="X47" s="821"/>
      <c r="Y47" s="811"/>
      <c r="Z47" s="236"/>
      <c r="AA47" s="116"/>
      <c r="AB47" s="234"/>
      <c r="AC47" s="116"/>
      <c r="AD47" s="237"/>
      <c r="AE47" s="117"/>
      <c r="AF47" s="1092"/>
      <c r="AG47" s="1092"/>
      <c r="AH47" s="1093"/>
      <c r="AI47" s="8"/>
    </row>
    <row r="48" spans="1:35" x14ac:dyDescent="0.2">
      <c r="A48" s="1208"/>
      <c r="B48" s="1019"/>
      <c r="C48" s="1051"/>
      <c r="D48" s="1040"/>
      <c r="E48" s="1052"/>
      <c r="F48" s="1209"/>
      <c r="G48" s="1020"/>
      <c r="H48" s="1021"/>
      <c r="I48" s="1022"/>
      <c r="J48" s="1021"/>
      <c r="K48" s="1021"/>
      <c r="L48" s="1138"/>
      <c r="M48" s="1023"/>
      <c r="N48" s="1446"/>
      <c r="O48" s="8"/>
      <c r="P48" s="234"/>
      <c r="Q48" s="119"/>
      <c r="R48" s="234"/>
      <c r="S48" s="114"/>
      <c r="T48" s="235"/>
      <c r="U48" s="115"/>
      <c r="V48" s="821"/>
      <c r="W48" s="811"/>
      <c r="X48" s="821"/>
      <c r="Y48" s="811"/>
      <c r="Z48" s="236"/>
      <c r="AA48" s="116"/>
      <c r="AB48" s="234"/>
      <c r="AC48" s="116"/>
      <c r="AD48" s="237"/>
      <c r="AE48" s="117"/>
      <c r="AF48" s="1092"/>
      <c r="AG48" s="1092"/>
      <c r="AH48" s="1093"/>
      <c r="AI48" s="8"/>
    </row>
    <row r="49" spans="1:36" x14ac:dyDescent="0.2">
      <c r="A49" s="1208"/>
      <c r="B49" s="1019"/>
      <c r="C49" s="1051"/>
      <c r="D49" s="1040"/>
      <c r="E49" s="1052"/>
      <c r="F49" s="1209"/>
      <c r="G49" s="1020"/>
      <c r="H49" s="1021"/>
      <c r="I49" s="1022"/>
      <c r="J49" s="1021"/>
      <c r="K49" s="1021"/>
      <c r="L49" s="1022"/>
      <c r="M49" s="1495"/>
      <c r="N49" s="1446"/>
      <c r="O49" s="8"/>
      <c r="P49" s="234"/>
      <c r="Q49" s="119"/>
      <c r="R49" s="234"/>
      <c r="S49" s="114"/>
      <c r="T49" s="235"/>
      <c r="U49" s="115"/>
      <c r="V49" s="821"/>
      <c r="W49" s="811"/>
      <c r="X49" s="821"/>
      <c r="Y49" s="811"/>
      <c r="Z49" s="236"/>
      <c r="AA49" s="116"/>
      <c r="AB49" s="234"/>
      <c r="AC49" s="116"/>
      <c r="AD49" s="237"/>
      <c r="AE49" s="117"/>
      <c r="AF49" s="1092"/>
      <c r="AG49" s="1092"/>
      <c r="AH49" s="1093"/>
      <c r="AI49" s="8"/>
    </row>
    <row r="50" spans="1:36" x14ac:dyDescent="0.2">
      <c r="A50" s="1208"/>
      <c r="B50" s="1019"/>
      <c r="C50" s="1051"/>
      <c r="D50" s="1040"/>
      <c r="E50" s="1052"/>
      <c r="F50" s="1209"/>
      <c r="G50" s="1020"/>
      <c r="H50" s="1021"/>
      <c r="I50" s="1022"/>
      <c r="J50" s="1021"/>
      <c r="K50" s="1021"/>
      <c r="L50" s="1022"/>
      <c r="M50" s="1023"/>
      <c r="N50" s="1446"/>
      <c r="O50" s="8"/>
      <c r="P50" s="234"/>
      <c r="Q50" s="119"/>
      <c r="R50" s="234"/>
      <c r="S50" s="114"/>
      <c r="T50" s="235"/>
      <c r="U50" s="115"/>
      <c r="V50" s="821"/>
      <c r="W50" s="811"/>
      <c r="X50" s="821"/>
      <c r="Y50" s="811"/>
      <c r="Z50" s="236"/>
      <c r="AA50" s="116"/>
      <c r="AB50" s="234"/>
      <c r="AC50" s="116"/>
      <c r="AD50" s="237"/>
      <c r="AE50" s="117"/>
      <c r="AF50" s="1092"/>
      <c r="AG50" s="1092"/>
      <c r="AH50" s="1093"/>
      <c r="AI50" s="8"/>
    </row>
    <row r="51" spans="1:36" x14ac:dyDescent="0.2">
      <c r="A51" s="1208"/>
      <c r="B51" s="1019"/>
      <c r="C51" s="1051"/>
      <c r="D51" s="1040"/>
      <c r="E51" s="1052"/>
      <c r="F51" s="1209"/>
      <c r="G51" s="1020"/>
      <c r="H51" s="1021"/>
      <c r="I51" s="1022"/>
      <c r="J51" s="1021"/>
      <c r="K51" s="1021"/>
      <c r="L51" s="1022"/>
      <c r="M51" s="1495"/>
      <c r="N51" s="1446"/>
      <c r="O51" s="8"/>
      <c r="P51" s="234"/>
      <c r="Q51" s="119"/>
      <c r="R51" s="234"/>
      <c r="S51" s="114"/>
      <c r="T51" s="235"/>
      <c r="U51" s="115"/>
      <c r="V51" s="821"/>
      <c r="W51" s="811"/>
      <c r="X51" s="821"/>
      <c r="Y51" s="811"/>
      <c r="Z51" s="236"/>
      <c r="AA51" s="116"/>
      <c r="AB51" s="234"/>
      <c r="AC51" s="116"/>
      <c r="AD51" s="237"/>
      <c r="AE51" s="117"/>
      <c r="AF51" s="1092"/>
      <c r="AG51" s="1092"/>
      <c r="AH51" s="1093"/>
      <c r="AI51" s="8"/>
    </row>
    <row r="52" spans="1:36" x14ac:dyDescent="0.2">
      <c r="A52" s="1208"/>
      <c r="B52" s="1019"/>
      <c r="C52" s="1051"/>
      <c r="D52" s="1040"/>
      <c r="E52" s="1052"/>
      <c r="F52" s="1209"/>
      <c r="G52" s="1020"/>
      <c r="H52" s="1021"/>
      <c r="I52" s="1022"/>
      <c r="J52" s="1021"/>
      <c r="K52" s="1021"/>
      <c r="L52" s="1022"/>
      <c r="M52" s="1023"/>
      <c r="N52" s="1446"/>
      <c r="O52" s="8"/>
      <c r="P52" s="234"/>
      <c r="Q52" s="119"/>
      <c r="R52" s="234"/>
      <c r="S52" s="114"/>
      <c r="T52" s="235"/>
      <c r="U52" s="115"/>
      <c r="V52" s="821"/>
      <c r="W52" s="811"/>
      <c r="X52" s="821"/>
      <c r="Y52" s="811"/>
      <c r="Z52" s="236"/>
      <c r="AA52" s="116"/>
      <c r="AB52" s="234"/>
      <c r="AC52" s="116"/>
      <c r="AD52" s="237"/>
      <c r="AE52" s="117"/>
      <c r="AF52" s="1092"/>
      <c r="AG52" s="1092"/>
      <c r="AH52" s="1093"/>
      <c r="AI52" s="8"/>
    </row>
    <row r="53" spans="1:36" x14ac:dyDescent="0.2">
      <c r="A53" s="1208"/>
      <c r="B53" s="1019"/>
      <c r="C53" s="1051"/>
      <c r="D53" s="1040"/>
      <c r="E53" s="1052"/>
      <c r="F53" s="1209"/>
      <c r="G53" s="1020"/>
      <c r="H53" s="1021"/>
      <c r="I53" s="1022"/>
      <c r="J53" s="1021"/>
      <c r="K53" s="1021"/>
      <c r="L53" s="1022"/>
      <c r="M53" s="1495"/>
      <c r="N53" s="1446"/>
      <c r="O53" s="8"/>
      <c r="P53" s="234"/>
      <c r="Q53" s="119"/>
      <c r="R53" s="234"/>
      <c r="S53" s="114"/>
      <c r="T53" s="235"/>
      <c r="U53" s="115"/>
      <c r="V53" s="821"/>
      <c r="W53" s="811"/>
      <c r="X53" s="821"/>
      <c r="Y53" s="811"/>
      <c r="Z53" s="236"/>
      <c r="AA53" s="116"/>
      <c r="AB53" s="234"/>
      <c r="AC53" s="116"/>
      <c r="AD53" s="237"/>
      <c r="AE53" s="117"/>
      <c r="AF53" s="1092"/>
      <c r="AG53" s="1092"/>
      <c r="AH53" s="1093"/>
      <c r="AI53" s="8"/>
    </row>
    <row r="54" spans="1:36" x14ac:dyDescent="0.2">
      <c r="A54" s="1208"/>
      <c r="B54" s="1019"/>
      <c r="C54" s="1051"/>
      <c r="D54" s="1040"/>
      <c r="E54" s="1052"/>
      <c r="F54" s="1209"/>
      <c r="G54" s="1020"/>
      <c r="H54" s="1021"/>
      <c r="I54" s="1022"/>
      <c r="J54" s="1021"/>
      <c r="K54" s="1021"/>
      <c r="L54" s="1022"/>
      <c r="M54" s="1495"/>
      <c r="N54" s="1446"/>
      <c r="O54" s="8"/>
      <c r="P54" s="234"/>
      <c r="Q54" s="119"/>
      <c r="R54" s="234"/>
      <c r="S54" s="114"/>
      <c r="T54" s="235"/>
      <c r="U54" s="115"/>
      <c r="V54" s="821"/>
      <c r="W54" s="811"/>
      <c r="X54" s="821"/>
      <c r="Y54" s="811"/>
      <c r="Z54" s="236"/>
      <c r="AA54" s="116"/>
      <c r="AB54" s="234"/>
      <c r="AC54" s="116"/>
      <c r="AD54" s="237"/>
      <c r="AE54" s="117"/>
      <c r="AF54" s="1092"/>
      <c r="AG54" s="1092"/>
      <c r="AH54" s="1093"/>
      <c r="AI54" s="8"/>
    </row>
    <row r="55" spans="1:36" x14ac:dyDescent="0.2">
      <c r="A55" s="1208"/>
      <c r="B55" s="1019"/>
      <c r="C55" s="1051"/>
      <c r="D55" s="1040"/>
      <c r="E55" s="1052"/>
      <c r="F55" s="1209"/>
      <c r="G55" s="1020"/>
      <c r="H55" s="1021"/>
      <c r="I55" s="1022"/>
      <c r="J55" s="1021"/>
      <c r="K55" s="1021"/>
      <c r="L55" s="1022"/>
      <c r="M55" s="1497"/>
      <c r="N55" s="1446"/>
      <c r="O55" s="8"/>
      <c r="P55" s="234"/>
      <c r="Q55" s="119"/>
      <c r="R55" s="234"/>
      <c r="S55" s="114"/>
      <c r="T55" s="235"/>
      <c r="U55" s="115"/>
      <c r="V55" s="821"/>
      <c r="W55" s="811"/>
      <c r="X55" s="821"/>
      <c r="Y55" s="811"/>
      <c r="Z55" s="236"/>
      <c r="AA55" s="116"/>
      <c r="AB55" s="234"/>
      <c r="AC55" s="116"/>
      <c r="AD55" s="237"/>
      <c r="AE55" s="117"/>
      <c r="AF55" s="1092"/>
      <c r="AG55" s="1092"/>
      <c r="AH55" s="1093"/>
      <c r="AI55" s="8"/>
    </row>
    <row r="56" spans="1:36" x14ac:dyDescent="0.2">
      <c r="A56" s="1208"/>
      <c r="B56" s="1019"/>
      <c r="C56" s="1051"/>
      <c r="D56" s="1040"/>
      <c r="E56" s="1052"/>
      <c r="F56" s="1209"/>
      <c r="G56" s="1020"/>
      <c r="H56" s="1021"/>
      <c r="I56" s="1022"/>
      <c r="J56" s="1021"/>
      <c r="K56" s="1021"/>
      <c r="L56" s="1022"/>
      <c r="M56" s="1495"/>
      <c r="N56" s="1446"/>
      <c r="O56" s="8"/>
      <c r="P56" s="234"/>
      <c r="Q56" s="119"/>
      <c r="R56" s="234"/>
      <c r="S56" s="114"/>
      <c r="T56" s="235"/>
      <c r="U56" s="115"/>
      <c r="V56" s="821"/>
      <c r="W56" s="811"/>
      <c r="X56" s="821"/>
      <c r="Y56" s="811"/>
      <c r="Z56" s="236"/>
      <c r="AA56" s="116"/>
      <c r="AB56" s="234"/>
      <c r="AC56" s="116"/>
      <c r="AD56" s="237"/>
      <c r="AE56" s="117"/>
      <c r="AF56" s="1092"/>
      <c r="AG56" s="1092"/>
      <c r="AH56" s="1093"/>
      <c r="AI56" s="8"/>
    </row>
    <row r="57" spans="1:36" x14ac:dyDescent="0.2">
      <c r="A57" s="1208"/>
      <c r="B57" s="1019"/>
      <c r="C57" s="1051"/>
      <c r="D57" s="1040"/>
      <c r="E57" s="1052"/>
      <c r="F57" s="1502"/>
      <c r="G57" s="1503"/>
      <c r="H57" s="1021"/>
      <c r="I57" s="1022"/>
      <c r="J57" s="1021"/>
      <c r="K57" s="1021"/>
      <c r="L57" s="1022"/>
      <c r="M57" s="1023"/>
      <c r="N57" s="1448"/>
      <c r="O57" s="8"/>
      <c r="P57" s="234"/>
      <c r="Q57" s="119"/>
      <c r="R57" s="234"/>
      <c r="S57" s="114"/>
      <c r="T57" s="235"/>
      <c r="U57" s="115"/>
      <c r="V57" s="821"/>
      <c r="W57" s="811"/>
      <c r="X57" s="821"/>
      <c r="Y57" s="811"/>
      <c r="Z57" s="236"/>
      <c r="AA57" s="116"/>
      <c r="AB57" s="234"/>
      <c r="AC57" s="116"/>
      <c r="AD57" s="237"/>
      <c r="AE57" s="117"/>
      <c r="AF57" s="1092"/>
      <c r="AG57" s="1092"/>
      <c r="AH57" s="1093"/>
      <c r="AI57" s="8"/>
    </row>
    <row r="58" spans="1:36" x14ac:dyDescent="0.2">
      <c r="A58" s="1208"/>
      <c r="B58" s="1493"/>
      <c r="C58" s="1051"/>
      <c r="D58" s="1040"/>
      <c r="E58" s="1052"/>
      <c r="F58" s="1209"/>
      <c r="G58" s="1020"/>
      <c r="H58" s="1021"/>
      <c r="I58" s="1022"/>
      <c r="J58" s="1021"/>
      <c r="K58" s="1021"/>
      <c r="L58" s="1022"/>
      <c r="M58" s="1023"/>
      <c r="N58" s="1448"/>
      <c r="O58" s="8"/>
      <c r="P58" s="234"/>
      <c r="Q58" s="119"/>
      <c r="R58" s="234"/>
      <c r="S58" s="114"/>
      <c r="T58" s="235"/>
      <c r="U58" s="115"/>
      <c r="V58" s="821"/>
      <c r="W58" s="811"/>
      <c r="X58" s="821"/>
      <c r="Y58" s="811"/>
      <c r="Z58" s="236"/>
      <c r="AA58" s="116"/>
      <c r="AB58" s="234"/>
      <c r="AC58" s="116"/>
      <c r="AD58" s="237"/>
      <c r="AE58" s="117"/>
      <c r="AF58" s="1092"/>
      <c r="AG58" s="1092"/>
      <c r="AH58" s="1093"/>
      <c r="AI58" s="8"/>
    </row>
    <row r="59" spans="1:36" x14ac:dyDescent="0.2">
      <c r="A59" s="1208"/>
      <c r="B59" s="1019"/>
      <c r="C59" s="1051"/>
      <c r="D59" s="1040"/>
      <c r="E59" s="1052"/>
      <c r="F59" s="1209"/>
      <c r="G59" s="1159"/>
      <c r="H59" s="1021"/>
      <c r="I59" s="1022"/>
      <c r="J59" s="1021"/>
      <c r="K59" s="1021"/>
      <c r="L59" s="1022"/>
      <c r="M59" s="1495"/>
      <c r="N59" s="1448"/>
      <c r="O59" s="8"/>
      <c r="P59" s="234"/>
      <c r="Q59" s="119"/>
      <c r="R59" s="234"/>
      <c r="S59" s="114"/>
      <c r="T59" s="235"/>
      <c r="U59" s="115"/>
      <c r="V59" s="821"/>
      <c r="W59" s="811"/>
      <c r="X59" s="821"/>
      <c r="Y59" s="811"/>
      <c r="Z59" s="236"/>
      <c r="AA59" s="116"/>
      <c r="AB59" s="234"/>
      <c r="AC59" s="116"/>
      <c r="AD59" s="237"/>
      <c r="AE59" s="117"/>
      <c r="AF59" s="1092"/>
      <c r="AG59" s="1092"/>
      <c r="AH59" s="1093"/>
      <c r="AI59" s="8"/>
    </row>
    <row r="60" spans="1:36" x14ac:dyDescent="0.2">
      <c r="A60" s="1208"/>
      <c r="B60" s="1042"/>
      <c r="C60" s="1051"/>
      <c r="D60" s="1040"/>
      <c r="E60" s="1052"/>
      <c r="F60" s="1209"/>
      <c r="G60" s="1020"/>
      <c r="H60" s="1021"/>
      <c r="I60" s="1022"/>
      <c r="J60" s="1021"/>
      <c r="K60" s="1021"/>
      <c r="L60" s="1022"/>
      <c r="M60" s="1023"/>
      <c r="N60" s="1446"/>
      <c r="O60" s="8"/>
      <c r="P60" s="234"/>
      <c r="Q60" s="119"/>
      <c r="R60" s="234"/>
      <c r="S60" s="114"/>
      <c r="T60" s="235"/>
      <c r="U60" s="115"/>
      <c r="V60" s="821"/>
      <c r="W60" s="811"/>
      <c r="X60" s="821"/>
      <c r="Y60" s="811"/>
      <c r="Z60" s="236"/>
      <c r="AA60" s="116"/>
      <c r="AB60" s="234"/>
      <c r="AC60" s="116"/>
      <c r="AD60" s="237"/>
      <c r="AE60" s="117"/>
      <c r="AF60" s="1092"/>
      <c r="AG60" s="1092"/>
      <c r="AH60" s="1093"/>
      <c r="AI60" s="8"/>
    </row>
    <row r="61" spans="1:36" x14ac:dyDescent="0.2">
      <c r="A61" s="1208"/>
      <c r="B61" s="1019"/>
      <c r="C61" s="1051"/>
      <c r="D61" s="1040"/>
      <c r="E61" s="1052"/>
      <c r="F61" s="1209"/>
      <c r="G61" s="1020"/>
      <c r="H61" s="1021"/>
      <c r="I61" s="1022"/>
      <c r="J61" s="1021"/>
      <c r="K61" s="1021"/>
      <c r="L61" s="1022"/>
      <c r="M61" s="1023"/>
      <c r="N61" s="1446"/>
      <c r="O61" s="8"/>
      <c r="P61" s="234"/>
      <c r="Q61" s="119"/>
      <c r="R61" s="234"/>
      <c r="S61" s="114"/>
      <c r="T61" s="235"/>
      <c r="U61" s="115"/>
      <c r="V61" s="821"/>
      <c r="W61" s="811"/>
      <c r="X61" s="821"/>
      <c r="Y61" s="811"/>
      <c r="Z61" s="236"/>
      <c r="AA61" s="116"/>
      <c r="AB61" s="234"/>
      <c r="AC61" s="116"/>
      <c r="AD61" s="237"/>
      <c r="AE61" s="117"/>
      <c r="AF61" s="1092"/>
      <c r="AG61" s="1092"/>
      <c r="AH61" s="1093"/>
      <c r="AI61" s="8"/>
    </row>
    <row r="62" spans="1:36" x14ac:dyDescent="0.2">
      <c r="A62" s="1218"/>
      <c r="B62" s="1434"/>
      <c r="C62" s="1428"/>
      <c r="D62" s="1498"/>
      <c r="E62" s="1427"/>
      <c r="F62" s="1209"/>
      <c r="G62" s="1488"/>
      <c r="H62" s="1489"/>
      <c r="I62" s="1490"/>
      <c r="J62" s="1489"/>
      <c r="K62" s="1489"/>
      <c r="L62" s="1491"/>
      <c r="M62" s="1499"/>
      <c r="N62" s="1492"/>
      <c r="O62" s="8"/>
      <c r="P62" s="234"/>
      <c r="Q62" s="119"/>
      <c r="R62" s="234"/>
      <c r="S62" s="114"/>
      <c r="T62" s="235"/>
      <c r="U62" s="115"/>
      <c r="V62" s="821"/>
      <c r="W62" s="811"/>
      <c r="X62" s="821"/>
      <c r="Y62" s="811"/>
      <c r="Z62" s="236"/>
      <c r="AA62" s="116"/>
      <c r="AB62" s="234"/>
      <c r="AC62" s="116"/>
      <c r="AD62" s="237"/>
      <c r="AE62" s="117"/>
      <c r="AF62" s="1092"/>
      <c r="AG62" s="1092"/>
      <c r="AH62" s="1093"/>
      <c r="AI62" s="8"/>
      <c r="AJ62" s="492"/>
    </row>
    <row r="63" spans="1:36" x14ac:dyDescent="0.2">
      <c r="A63" s="1208"/>
      <c r="B63" s="1019"/>
      <c r="C63" s="1051"/>
      <c r="D63" s="1040"/>
      <c r="E63" s="1052"/>
      <c r="F63" s="1209"/>
      <c r="G63" s="1020"/>
      <c r="H63" s="1021"/>
      <c r="I63" s="1022"/>
      <c r="J63" s="1021"/>
      <c r="K63" s="1021"/>
      <c r="L63" s="1138"/>
      <c r="M63" s="1495"/>
      <c r="N63" s="1446"/>
      <c r="O63" s="8"/>
      <c r="P63" s="234"/>
      <c r="Q63" s="119"/>
      <c r="R63" s="234"/>
      <c r="S63" s="114"/>
      <c r="T63" s="235"/>
      <c r="U63" s="115"/>
      <c r="V63" s="821"/>
      <c r="W63" s="811"/>
      <c r="X63" s="821"/>
      <c r="Y63" s="811"/>
      <c r="Z63" s="236"/>
      <c r="AA63" s="116"/>
      <c r="AB63" s="234"/>
      <c r="AC63" s="116"/>
      <c r="AD63" s="237"/>
      <c r="AE63" s="117"/>
      <c r="AF63" s="1092"/>
      <c r="AG63" s="1092"/>
      <c r="AH63" s="1093"/>
      <c r="AI63" s="8"/>
    </row>
    <row r="64" spans="1:36" x14ac:dyDescent="0.2">
      <c r="A64" s="1208"/>
      <c r="B64" s="1019"/>
      <c r="C64" s="1051"/>
      <c r="D64" s="1040"/>
      <c r="E64" s="1052"/>
      <c r="F64" s="1209"/>
      <c r="G64" s="1020"/>
      <c r="H64" s="1021"/>
      <c r="I64" s="1022"/>
      <c r="J64" s="1021"/>
      <c r="K64" s="1021"/>
      <c r="L64" s="1138"/>
      <c r="M64" s="1023"/>
      <c r="N64" s="1446"/>
      <c r="O64" s="8"/>
      <c r="P64" s="234"/>
      <c r="Q64" s="119"/>
      <c r="R64" s="234"/>
      <c r="S64" s="114"/>
      <c r="T64" s="235"/>
      <c r="U64" s="115"/>
      <c r="V64" s="821"/>
      <c r="W64" s="811"/>
      <c r="X64" s="821"/>
      <c r="Y64" s="811"/>
      <c r="Z64" s="236"/>
      <c r="AA64" s="116"/>
      <c r="AB64" s="234"/>
      <c r="AC64" s="116"/>
      <c r="AD64" s="237"/>
      <c r="AE64" s="117"/>
      <c r="AF64" s="1092"/>
      <c r="AG64" s="1092"/>
      <c r="AH64" s="1093"/>
      <c r="AI64" s="8"/>
    </row>
    <row r="65" spans="1:35" x14ac:dyDescent="0.2">
      <c r="A65" s="1208"/>
      <c r="B65" s="1019"/>
      <c r="C65" s="1051"/>
      <c r="D65" s="1040"/>
      <c r="E65" s="1052"/>
      <c r="F65" s="1209"/>
      <c r="G65" s="1020"/>
      <c r="H65" s="1021"/>
      <c r="I65" s="1022"/>
      <c r="J65" s="1021"/>
      <c r="K65" s="1021"/>
      <c r="L65" s="1022"/>
      <c r="M65" s="1023"/>
      <c r="N65" s="1446"/>
      <c r="O65" s="8"/>
      <c r="P65" s="234"/>
      <c r="Q65" s="119"/>
      <c r="R65" s="234"/>
      <c r="S65" s="114"/>
      <c r="T65" s="235"/>
      <c r="U65" s="115"/>
      <c r="V65" s="821"/>
      <c r="W65" s="811"/>
      <c r="X65" s="821"/>
      <c r="Y65" s="811"/>
      <c r="Z65" s="236"/>
      <c r="AA65" s="116"/>
      <c r="AB65" s="234"/>
      <c r="AC65" s="116"/>
      <c r="AD65" s="237"/>
      <c r="AE65" s="117"/>
      <c r="AF65" s="1092"/>
      <c r="AG65" s="1092"/>
      <c r="AH65" s="1093"/>
      <c r="AI65" s="8"/>
    </row>
    <row r="66" spans="1:35" x14ac:dyDescent="0.2">
      <c r="A66" s="1208"/>
      <c r="B66" s="1019"/>
      <c r="C66" s="1051"/>
      <c r="D66" s="1040"/>
      <c r="E66" s="1052"/>
      <c r="F66" s="1209"/>
      <c r="G66" s="1020"/>
      <c r="H66" s="1021"/>
      <c r="I66" s="1022"/>
      <c r="J66" s="1021"/>
      <c r="K66" s="1021"/>
      <c r="L66" s="1022"/>
      <c r="M66" s="1023"/>
      <c r="N66" s="1446"/>
      <c r="O66" s="8"/>
      <c r="P66" s="234"/>
      <c r="Q66" s="119"/>
      <c r="R66" s="234"/>
      <c r="S66" s="114"/>
      <c r="T66" s="235"/>
      <c r="U66" s="115"/>
      <c r="V66" s="821"/>
      <c r="W66" s="811"/>
      <c r="X66" s="821"/>
      <c r="Y66" s="811"/>
      <c r="Z66" s="236"/>
      <c r="AA66" s="116"/>
      <c r="AB66" s="234"/>
      <c r="AC66" s="116"/>
      <c r="AD66" s="237"/>
      <c r="AE66" s="117"/>
      <c r="AF66" s="1092"/>
      <c r="AG66" s="1092"/>
      <c r="AH66" s="1093"/>
      <c r="AI66" s="8"/>
    </row>
    <row r="67" spans="1:35" x14ac:dyDescent="0.2">
      <c r="A67" s="1208"/>
      <c r="B67" s="1019"/>
      <c r="C67" s="1051"/>
      <c r="D67" s="1040"/>
      <c r="E67" s="1052"/>
      <c r="F67" s="1209"/>
      <c r="G67" s="1020"/>
      <c r="H67" s="1021"/>
      <c r="I67" s="1022"/>
      <c r="J67" s="1021"/>
      <c r="K67" s="1021"/>
      <c r="L67" s="1022"/>
      <c r="M67" s="1023"/>
      <c r="N67" s="1446"/>
      <c r="O67" s="8"/>
      <c r="P67" s="234"/>
      <c r="Q67" s="119"/>
      <c r="R67" s="234"/>
      <c r="S67" s="114"/>
      <c r="T67" s="235"/>
      <c r="U67" s="115"/>
      <c r="V67" s="821"/>
      <c r="W67" s="811"/>
      <c r="X67" s="821"/>
      <c r="Y67" s="811"/>
      <c r="Z67" s="236"/>
      <c r="AA67" s="116"/>
      <c r="AB67" s="234"/>
      <c r="AC67" s="116"/>
      <c r="AD67" s="237"/>
      <c r="AE67" s="117"/>
      <c r="AF67" s="1092"/>
      <c r="AG67" s="1092"/>
      <c r="AH67" s="1093"/>
      <c r="AI67" s="8"/>
    </row>
    <row r="68" spans="1:35" x14ac:dyDescent="0.2">
      <c r="A68" s="1208"/>
      <c r="B68" s="1019"/>
      <c r="C68" s="1051"/>
      <c r="D68" s="1040"/>
      <c r="E68" s="1052"/>
      <c r="F68" s="1209"/>
      <c r="G68" s="1020"/>
      <c r="H68" s="1021"/>
      <c r="I68" s="1022"/>
      <c r="J68" s="1021"/>
      <c r="K68" s="1021"/>
      <c r="L68" s="1022"/>
      <c r="M68" s="1023"/>
      <c r="N68" s="1446"/>
      <c r="O68" s="8"/>
      <c r="P68" s="234"/>
      <c r="Q68" s="119"/>
      <c r="R68" s="234"/>
      <c r="S68" s="114"/>
      <c r="T68" s="235"/>
      <c r="U68" s="115"/>
      <c r="V68" s="821"/>
      <c r="W68" s="811"/>
      <c r="X68" s="821"/>
      <c r="Y68" s="811"/>
      <c r="Z68" s="236"/>
      <c r="AA68" s="116"/>
      <c r="AB68" s="234"/>
      <c r="AC68" s="116"/>
      <c r="AD68" s="237"/>
      <c r="AE68" s="117"/>
      <c r="AF68" s="1092"/>
      <c r="AG68" s="1092"/>
      <c r="AH68" s="1093"/>
      <c r="AI68" s="8"/>
    </row>
    <row r="69" spans="1:35" x14ac:dyDescent="0.2">
      <c r="A69" s="1208"/>
      <c r="B69" s="1019"/>
      <c r="C69" s="1051"/>
      <c r="D69" s="1040"/>
      <c r="E69" s="1052"/>
      <c r="F69" s="1477"/>
      <c r="G69" s="1020"/>
      <c r="H69" s="1021"/>
      <c r="I69" s="1022"/>
      <c r="J69" s="1021"/>
      <c r="K69" s="1021"/>
      <c r="L69" s="1022"/>
      <c r="M69" s="1023"/>
      <c r="N69" s="1446"/>
      <c r="O69" s="8"/>
      <c r="P69" s="234"/>
      <c r="Q69" s="119"/>
      <c r="R69" s="234"/>
      <c r="S69" s="114"/>
      <c r="T69" s="235"/>
      <c r="U69" s="115"/>
      <c r="V69" s="821"/>
      <c r="W69" s="811"/>
      <c r="X69" s="821"/>
      <c r="Y69" s="811"/>
      <c r="Z69" s="236"/>
      <c r="AA69" s="116"/>
      <c r="AB69" s="234"/>
      <c r="AC69" s="116"/>
      <c r="AD69" s="237"/>
      <c r="AE69" s="117"/>
      <c r="AF69" s="1092"/>
      <c r="AG69" s="1092"/>
      <c r="AH69" s="1093"/>
      <c r="AI69" s="8"/>
    </row>
    <row r="70" spans="1:35" x14ac:dyDescent="0.2">
      <c r="A70" s="1208"/>
      <c r="B70" s="1042"/>
      <c r="C70" s="1051"/>
      <c r="D70" s="1040"/>
      <c r="E70" s="1052"/>
      <c r="F70" s="1209"/>
      <c r="G70" s="1020"/>
      <c r="H70" s="1021"/>
      <c r="I70" s="1022"/>
      <c r="J70" s="1021"/>
      <c r="K70" s="1021"/>
      <c r="L70" s="1022"/>
      <c r="M70" s="1023"/>
      <c r="N70" s="1446"/>
      <c r="O70" s="8"/>
      <c r="P70" s="234"/>
      <c r="Q70" s="119"/>
      <c r="R70" s="234"/>
      <c r="S70" s="114"/>
      <c r="T70" s="235"/>
      <c r="U70" s="115"/>
      <c r="V70" s="821"/>
      <c r="W70" s="811"/>
      <c r="X70" s="821"/>
      <c r="Y70" s="811"/>
      <c r="Z70" s="236"/>
      <c r="AA70" s="116"/>
      <c r="AB70" s="234"/>
      <c r="AC70" s="116"/>
      <c r="AD70" s="237"/>
      <c r="AE70" s="117"/>
      <c r="AF70" s="1092"/>
      <c r="AG70" s="1092"/>
      <c r="AH70" s="1093"/>
      <c r="AI70" s="8"/>
    </row>
    <row r="71" spans="1:35" x14ac:dyDescent="0.2">
      <c r="A71" s="1208"/>
      <c r="B71" s="1019"/>
      <c r="C71" s="1051"/>
      <c r="D71" s="1040"/>
      <c r="E71" s="1052"/>
      <c r="F71" s="1209"/>
      <c r="G71" s="1020"/>
      <c r="H71" s="1021"/>
      <c r="I71" s="1022"/>
      <c r="J71" s="1021"/>
      <c r="K71" s="1021"/>
      <c r="L71" s="1138"/>
      <c r="M71" s="1023"/>
      <c r="N71" s="1446"/>
      <c r="O71" s="8"/>
      <c r="P71" s="234"/>
      <c r="Q71" s="119"/>
      <c r="R71" s="234"/>
      <c r="S71" s="114"/>
      <c r="T71" s="235"/>
      <c r="U71" s="115"/>
      <c r="V71" s="821"/>
      <c r="W71" s="811"/>
      <c r="X71" s="821"/>
      <c r="Y71" s="811"/>
      <c r="Z71" s="236"/>
      <c r="AA71" s="116"/>
      <c r="AB71" s="234"/>
      <c r="AC71" s="116"/>
      <c r="AD71" s="237"/>
      <c r="AE71" s="117"/>
      <c r="AF71" s="1092"/>
      <c r="AG71" s="1092"/>
      <c r="AH71" s="1093"/>
      <c r="AI71" s="8"/>
    </row>
    <row r="72" spans="1:35" x14ac:dyDescent="0.2">
      <c r="A72" s="1208"/>
      <c r="B72" s="1019"/>
      <c r="C72" s="1051"/>
      <c r="D72" s="1040"/>
      <c r="E72" s="1052"/>
      <c r="F72" s="1209"/>
      <c r="G72" s="1020"/>
      <c r="H72" s="1021"/>
      <c r="I72" s="1022"/>
      <c r="J72" s="1021"/>
      <c r="K72" s="1021"/>
      <c r="L72" s="1138"/>
      <c r="M72" s="1023"/>
      <c r="N72" s="1446"/>
      <c r="O72" s="8"/>
      <c r="P72" s="234"/>
      <c r="Q72" s="119"/>
      <c r="R72" s="234"/>
      <c r="S72" s="114"/>
      <c r="T72" s="235"/>
      <c r="U72" s="115"/>
      <c r="V72" s="821"/>
      <c r="W72" s="811"/>
      <c r="X72" s="821"/>
      <c r="Y72" s="811"/>
      <c r="Z72" s="236"/>
      <c r="AA72" s="116"/>
      <c r="AB72" s="234"/>
      <c r="AC72" s="116"/>
      <c r="AD72" s="237"/>
      <c r="AE72" s="117"/>
      <c r="AF72" s="1092"/>
      <c r="AG72" s="1092"/>
      <c r="AH72" s="1093"/>
      <c r="AI72" s="8"/>
    </row>
    <row r="73" spans="1:35" x14ac:dyDescent="0.2">
      <c r="A73" s="1208"/>
      <c r="B73" s="1019"/>
      <c r="C73" s="1051"/>
      <c r="D73" s="1040"/>
      <c r="E73" s="1052"/>
      <c r="F73" s="1209"/>
      <c r="G73" s="1020"/>
      <c r="H73" s="1021"/>
      <c r="I73" s="1022"/>
      <c r="J73" s="1021"/>
      <c r="K73" s="1021"/>
      <c r="L73" s="1138"/>
      <c r="M73" s="1023"/>
      <c r="N73" s="1446"/>
      <c r="O73" s="8"/>
      <c r="P73" s="234"/>
      <c r="Q73" s="119"/>
      <c r="R73" s="234"/>
      <c r="S73" s="114"/>
      <c r="T73" s="235"/>
      <c r="U73" s="115"/>
      <c r="V73" s="821"/>
      <c r="W73" s="811"/>
      <c r="X73" s="821"/>
      <c r="Y73" s="811"/>
      <c r="Z73" s="236"/>
      <c r="AA73" s="116"/>
      <c r="AB73" s="234"/>
      <c r="AC73" s="116"/>
      <c r="AD73" s="237"/>
      <c r="AE73" s="117"/>
      <c r="AF73" s="1092"/>
      <c r="AG73" s="1092"/>
      <c r="AH73" s="1093"/>
      <c r="AI73" s="8"/>
    </row>
    <row r="74" spans="1:35" x14ac:dyDescent="0.2">
      <c r="A74" s="1208"/>
      <c r="B74" s="1019"/>
      <c r="C74" s="1051"/>
      <c r="D74" s="1040"/>
      <c r="E74" s="1052"/>
      <c r="F74" s="1209"/>
      <c r="G74" s="1020"/>
      <c r="H74" s="1021"/>
      <c r="I74" s="1022"/>
      <c r="J74" s="1021"/>
      <c r="K74" s="1021"/>
      <c r="L74" s="1138"/>
      <c r="M74" s="1023"/>
      <c r="N74" s="1446"/>
      <c r="O74" s="8"/>
      <c r="P74" s="234"/>
      <c r="Q74" s="119"/>
      <c r="R74" s="234"/>
      <c r="S74" s="114"/>
      <c r="T74" s="235"/>
      <c r="U74" s="115"/>
      <c r="V74" s="821"/>
      <c r="W74" s="811"/>
      <c r="X74" s="821"/>
      <c r="Y74" s="811"/>
      <c r="Z74" s="236"/>
      <c r="AA74" s="116"/>
      <c r="AB74" s="234"/>
      <c r="AC74" s="116"/>
      <c r="AD74" s="237"/>
      <c r="AE74" s="117"/>
      <c r="AF74" s="1092"/>
      <c r="AG74" s="1092"/>
      <c r="AH74" s="1093"/>
      <c r="AI74" s="8"/>
    </row>
    <row r="75" spans="1:35" x14ac:dyDescent="0.2">
      <c r="A75" s="1208"/>
      <c r="B75" s="1019"/>
      <c r="C75" s="1051"/>
      <c r="D75" s="1040"/>
      <c r="E75" s="1052"/>
      <c r="F75" s="1209"/>
      <c r="G75" s="1020"/>
      <c r="H75" s="1021"/>
      <c r="I75" s="1022"/>
      <c r="J75" s="1021"/>
      <c r="K75" s="1021"/>
      <c r="L75" s="1138"/>
      <c r="M75" s="1023"/>
      <c r="N75" s="1446"/>
      <c r="O75" s="8"/>
      <c r="P75" s="234"/>
      <c r="Q75" s="119"/>
      <c r="R75" s="234"/>
      <c r="S75" s="114"/>
      <c r="T75" s="235"/>
      <c r="U75" s="115"/>
      <c r="V75" s="821"/>
      <c r="W75" s="811"/>
      <c r="X75" s="821"/>
      <c r="Y75" s="811"/>
      <c r="Z75" s="236"/>
      <c r="AA75" s="116"/>
      <c r="AB75" s="234"/>
      <c r="AC75" s="116"/>
      <c r="AD75" s="237"/>
      <c r="AE75" s="117"/>
      <c r="AF75" s="1092"/>
      <c r="AG75" s="1092"/>
      <c r="AH75" s="1093"/>
      <c r="AI75" s="8"/>
    </row>
    <row r="76" spans="1:35" x14ac:dyDescent="0.2">
      <c r="A76" s="1208"/>
      <c r="B76" s="1019"/>
      <c r="C76" s="1051"/>
      <c r="D76" s="1040"/>
      <c r="E76" s="1052"/>
      <c r="F76" s="1209"/>
      <c r="G76" s="1020"/>
      <c r="H76" s="1021"/>
      <c r="I76" s="1022"/>
      <c r="J76" s="1021"/>
      <c r="K76" s="1021"/>
      <c r="L76" s="1022"/>
      <c r="M76" s="1023"/>
      <c r="N76" s="1446"/>
      <c r="O76" s="8"/>
      <c r="P76" s="234"/>
      <c r="Q76" s="119"/>
      <c r="R76" s="234"/>
      <c r="S76" s="114"/>
      <c r="T76" s="235"/>
      <c r="U76" s="115"/>
      <c r="V76" s="821"/>
      <c r="W76" s="811"/>
      <c r="X76" s="821"/>
      <c r="Y76" s="811"/>
      <c r="Z76" s="236"/>
      <c r="AA76" s="116"/>
      <c r="AB76" s="234"/>
      <c r="AC76" s="116"/>
      <c r="AD76" s="237"/>
      <c r="AE76" s="117"/>
      <c r="AF76" s="1092"/>
      <c r="AG76" s="1092"/>
      <c r="AH76" s="1093"/>
      <c r="AI76" s="8"/>
    </row>
    <row r="77" spans="1:35" x14ac:dyDescent="0.2">
      <c r="A77" s="1208"/>
      <c r="B77" s="1019"/>
      <c r="C77" s="1051"/>
      <c r="D77" s="1040"/>
      <c r="E77" s="1052"/>
      <c r="F77" s="1209"/>
      <c r="G77" s="1020"/>
      <c r="H77" s="1021"/>
      <c r="I77" s="1022"/>
      <c r="J77" s="1021"/>
      <c r="K77" s="1021"/>
      <c r="L77" s="1022"/>
      <c r="M77" s="1023"/>
      <c r="N77" s="1446"/>
      <c r="O77" s="8"/>
      <c r="P77" s="234"/>
      <c r="Q77" s="119"/>
      <c r="R77" s="234"/>
      <c r="S77" s="114"/>
      <c r="T77" s="235"/>
      <c r="U77" s="115"/>
      <c r="V77" s="821"/>
      <c r="W77" s="811"/>
      <c r="X77" s="821"/>
      <c r="Y77" s="811"/>
      <c r="Z77" s="236"/>
      <c r="AA77" s="116"/>
      <c r="AB77" s="234"/>
      <c r="AC77" s="116"/>
      <c r="AD77" s="237"/>
      <c r="AE77" s="117"/>
      <c r="AF77" s="1092"/>
      <c r="AG77" s="1092"/>
      <c r="AH77" s="1093"/>
      <c r="AI77" s="8"/>
    </row>
    <row r="78" spans="1:35" x14ac:dyDescent="0.2">
      <c r="A78" s="1208"/>
      <c r="B78" s="1019"/>
      <c r="C78" s="1051"/>
      <c r="D78" s="1040"/>
      <c r="E78" s="1052"/>
      <c r="F78" s="1209"/>
      <c r="G78" s="1020"/>
      <c r="H78" s="1021"/>
      <c r="I78" s="1022"/>
      <c r="J78" s="1021"/>
      <c r="K78" s="1021"/>
      <c r="L78" s="1022"/>
      <c r="M78" s="1023"/>
      <c r="N78" s="1446"/>
      <c r="O78" s="8"/>
      <c r="P78" s="234"/>
      <c r="Q78" s="119"/>
      <c r="R78" s="234"/>
      <c r="S78" s="114"/>
      <c r="T78" s="235"/>
      <c r="U78" s="115"/>
      <c r="V78" s="821"/>
      <c r="W78" s="811"/>
      <c r="X78" s="821"/>
      <c r="Y78" s="811"/>
      <c r="Z78" s="236"/>
      <c r="AA78" s="116"/>
      <c r="AB78" s="234"/>
      <c r="AC78" s="116"/>
      <c r="AD78" s="237"/>
      <c r="AE78" s="117"/>
      <c r="AF78" s="1092"/>
      <c r="AG78" s="1092"/>
      <c r="AH78" s="1093"/>
      <c r="AI78" s="8"/>
    </row>
    <row r="79" spans="1:35" x14ac:dyDescent="0.2">
      <c r="A79" s="1208"/>
      <c r="B79" s="1019"/>
      <c r="C79" s="1051"/>
      <c r="D79" s="1040"/>
      <c r="E79" s="1052"/>
      <c r="F79" s="1209"/>
      <c r="G79" s="1020"/>
      <c r="H79" s="1021"/>
      <c r="I79" s="1022"/>
      <c r="J79" s="1021"/>
      <c r="K79" s="1021"/>
      <c r="L79" s="1022"/>
      <c r="M79" s="1023"/>
      <c r="N79" s="1446"/>
      <c r="O79" s="8"/>
      <c r="P79" s="234"/>
      <c r="Q79" s="119"/>
      <c r="R79" s="234"/>
      <c r="S79" s="114"/>
      <c r="T79" s="235"/>
      <c r="U79" s="115"/>
      <c r="V79" s="821"/>
      <c r="W79" s="811"/>
      <c r="X79" s="821"/>
      <c r="Y79" s="811"/>
      <c r="Z79" s="236"/>
      <c r="AA79" s="116"/>
      <c r="AB79" s="234"/>
      <c r="AC79" s="116"/>
      <c r="AD79" s="237"/>
      <c r="AE79" s="117"/>
      <c r="AF79" s="1092"/>
      <c r="AG79" s="1092"/>
      <c r="AH79" s="1093"/>
      <c r="AI79" s="8"/>
    </row>
    <row r="80" spans="1:35" x14ac:dyDescent="0.2">
      <c r="A80" s="1208"/>
      <c r="B80" s="1019"/>
      <c r="C80" s="1051"/>
      <c r="D80" s="1040"/>
      <c r="E80" s="1052"/>
      <c r="F80" s="1209"/>
      <c r="G80" s="1020"/>
      <c r="H80" s="1021"/>
      <c r="I80" s="1022"/>
      <c r="J80" s="1021"/>
      <c r="K80" s="1021"/>
      <c r="L80" s="1022"/>
      <c r="M80" s="1023"/>
      <c r="N80" s="1446"/>
      <c r="O80" s="8"/>
      <c r="P80" s="234"/>
      <c r="Q80" s="119"/>
      <c r="R80" s="234"/>
      <c r="S80" s="114"/>
      <c r="T80" s="235"/>
      <c r="U80" s="115"/>
      <c r="V80" s="821"/>
      <c r="W80" s="811"/>
      <c r="X80" s="821"/>
      <c r="Y80" s="811"/>
      <c r="Z80" s="236"/>
      <c r="AA80" s="116"/>
      <c r="AB80" s="234"/>
      <c r="AC80" s="116"/>
      <c r="AD80" s="237"/>
      <c r="AE80" s="117"/>
      <c r="AF80" s="1092"/>
      <c r="AG80" s="1092"/>
      <c r="AH80" s="1093"/>
      <c r="AI80" s="8"/>
    </row>
    <row r="81" spans="1:35" x14ac:dyDescent="0.2">
      <c r="A81" s="1208"/>
      <c r="B81" s="1042"/>
      <c r="C81" s="1051"/>
      <c r="D81" s="1040"/>
      <c r="E81" s="1052"/>
      <c r="F81" s="1209"/>
      <c r="G81" s="1020"/>
      <c r="H81" s="1021"/>
      <c r="I81" s="1022"/>
      <c r="J81" s="1021"/>
      <c r="K81" s="1021"/>
      <c r="L81" s="1022"/>
      <c r="M81" s="1023"/>
      <c r="N81" s="1446"/>
      <c r="O81" s="8"/>
      <c r="P81" s="234"/>
      <c r="Q81" s="119"/>
      <c r="R81" s="234"/>
      <c r="S81" s="114"/>
      <c r="T81" s="235"/>
      <c r="U81" s="115"/>
      <c r="V81" s="821"/>
      <c r="W81" s="811"/>
      <c r="X81" s="821"/>
      <c r="Y81" s="811"/>
      <c r="Z81" s="236"/>
      <c r="AA81" s="116"/>
      <c r="AB81" s="234"/>
      <c r="AC81" s="116"/>
      <c r="AD81" s="237"/>
      <c r="AE81" s="117"/>
      <c r="AF81" s="1092"/>
      <c r="AG81" s="1092"/>
      <c r="AH81" s="1093"/>
      <c r="AI81" s="8"/>
    </row>
    <row r="82" spans="1:35" x14ac:dyDescent="0.2">
      <c r="A82" s="1208"/>
      <c r="B82" s="1042"/>
      <c r="C82" s="1051"/>
      <c r="D82" s="1040"/>
      <c r="E82" s="1052"/>
      <c r="F82" s="1209"/>
      <c r="G82" s="1020"/>
      <c r="H82" s="1021"/>
      <c r="I82" s="1022"/>
      <c r="J82" s="1021"/>
      <c r="K82" s="1021"/>
      <c r="L82" s="1022"/>
      <c r="M82" s="1023"/>
      <c r="N82" s="1446"/>
      <c r="O82" s="8"/>
      <c r="P82" s="234"/>
      <c r="Q82" s="119"/>
      <c r="R82" s="234"/>
      <c r="S82" s="114"/>
      <c r="T82" s="235"/>
      <c r="U82" s="115"/>
      <c r="V82" s="821"/>
      <c r="W82" s="811"/>
      <c r="X82" s="821"/>
      <c r="Y82" s="811"/>
      <c r="Z82" s="236"/>
      <c r="AA82" s="116"/>
      <c r="AB82" s="234"/>
      <c r="AC82" s="116"/>
      <c r="AD82" s="237"/>
      <c r="AE82" s="117"/>
      <c r="AF82" s="1092"/>
      <c r="AG82" s="1092"/>
      <c r="AH82" s="1093"/>
      <c r="AI82" s="8"/>
    </row>
    <row r="83" spans="1:35" x14ac:dyDescent="0.2">
      <c r="A83" s="1208"/>
      <c r="B83" s="1019"/>
      <c r="C83" s="1051"/>
      <c r="D83" s="1040"/>
      <c r="E83" s="1052"/>
      <c r="F83" s="1209"/>
      <c r="G83" s="1020"/>
      <c r="H83" s="1021"/>
      <c r="I83" s="1022"/>
      <c r="J83" s="1021"/>
      <c r="K83" s="1021"/>
      <c r="L83" s="1022"/>
      <c r="M83" s="1023"/>
      <c r="N83" s="1446"/>
      <c r="O83" s="8"/>
      <c r="P83" s="234"/>
      <c r="Q83" s="119"/>
      <c r="R83" s="234"/>
      <c r="S83" s="114"/>
      <c r="T83" s="235"/>
      <c r="U83" s="115"/>
      <c r="V83" s="821"/>
      <c r="W83" s="811"/>
      <c r="X83" s="821"/>
      <c r="Y83" s="811"/>
      <c r="Z83" s="236"/>
      <c r="AA83" s="116"/>
      <c r="AB83" s="234"/>
      <c r="AC83" s="116"/>
      <c r="AD83" s="237"/>
      <c r="AE83" s="117"/>
      <c r="AF83" s="1092"/>
      <c r="AG83" s="1092"/>
      <c r="AH83" s="1093"/>
      <c r="AI83" s="8"/>
    </row>
    <row r="84" spans="1:35" x14ac:dyDescent="0.2">
      <c r="A84" s="1208"/>
      <c r="B84" s="1019"/>
      <c r="C84" s="1051"/>
      <c r="D84" s="1040"/>
      <c r="E84" s="1052"/>
      <c r="F84" s="1209"/>
      <c r="G84" s="1020"/>
      <c r="H84" s="1021"/>
      <c r="I84" s="1022"/>
      <c r="J84" s="1021"/>
      <c r="K84" s="1021"/>
      <c r="L84" s="1022"/>
      <c r="M84" s="1023"/>
      <c r="N84" s="1446"/>
      <c r="O84" s="8"/>
      <c r="P84" s="234"/>
      <c r="Q84" s="119"/>
      <c r="R84" s="234"/>
      <c r="S84" s="114"/>
      <c r="T84" s="235"/>
      <c r="U84" s="115"/>
      <c r="V84" s="821"/>
      <c r="W84" s="811"/>
      <c r="X84" s="821"/>
      <c r="Y84" s="811"/>
      <c r="Z84" s="236"/>
      <c r="AA84" s="116"/>
      <c r="AB84" s="234"/>
      <c r="AC84" s="116"/>
      <c r="AD84" s="237"/>
      <c r="AE84" s="117"/>
      <c r="AF84" s="1092"/>
      <c r="AG84" s="1092"/>
      <c r="AH84" s="1093"/>
      <c r="AI84" s="8"/>
    </row>
    <row r="85" spans="1:35" x14ac:dyDescent="0.2">
      <c r="A85" s="1208"/>
      <c r="B85" s="1019"/>
      <c r="C85" s="1051"/>
      <c r="D85" s="1040"/>
      <c r="E85" s="1052"/>
      <c r="F85" s="1209"/>
      <c r="G85" s="1020"/>
      <c r="H85" s="1021"/>
      <c r="I85" s="1022"/>
      <c r="J85" s="1021"/>
      <c r="K85" s="1021"/>
      <c r="L85" s="1138"/>
      <c r="M85" s="1023"/>
      <c r="N85" s="1446"/>
      <c r="O85" s="8"/>
      <c r="P85" s="234"/>
      <c r="Q85" s="119"/>
      <c r="R85" s="234"/>
      <c r="S85" s="114"/>
      <c r="T85" s="235"/>
      <c r="U85" s="115"/>
      <c r="V85" s="821"/>
      <c r="W85" s="811"/>
      <c r="X85" s="821"/>
      <c r="Y85" s="811"/>
      <c r="Z85" s="236"/>
      <c r="AA85" s="116"/>
      <c r="AB85" s="234"/>
      <c r="AC85" s="116"/>
      <c r="AD85" s="237"/>
      <c r="AE85" s="117"/>
      <c r="AF85" s="1092"/>
      <c r="AG85" s="1092"/>
      <c r="AH85" s="1093"/>
      <c r="AI85" s="8"/>
    </row>
    <row r="86" spans="1:35" x14ac:dyDescent="0.2">
      <c r="A86" s="1208"/>
      <c r="B86" s="1019"/>
      <c r="C86" s="1051"/>
      <c r="D86" s="1040"/>
      <c r="E86" s="1052"/>
      <c r="F86" s="1209"/>
      <c r="G86" s="1020"/>
      <c r="H86" s="1021"/>
      <c r="I86" s="1022"/>
      <c r="J86" s="1021"/>
      <c r="K86" s="1021"/>
      <c r="L86" s="1138"/>
      <c r="M86" s="1023"/>
      <c r="N86" s="1446"/>
      <c r="O86" s="8"/>
      <c r="P86" s="234"/>
      <c r="Q86" s="119"/>
      <c r="R86" s="234"/>
      <c r="S86" s="114"/>
      <c r="T86" s="235"/>
      <c r="U86" s="115"/>
      <c r="V86" s="821"/>
      <c r="W86" s="811"/>
      <c r="X86" s="821"/>
      <c r="Y86" s="811"/>
      <c r="Z86" s="236"/>
      <c r="AA86" s="116"/>
      <c r="AB86" s="234"/>
      <c r="AC86" s="116"/>
      <c r="AD86" s="237"/>
      <c r="AE86" s="117"/>
      <c r="AF86" s="1092"/>
      <c r="AG86" s="1092"/>
      <c r="AH86" s="1093"/>
      <c r="AI86" s="8"/>
    </row>
    <row r="87" spans="1:35" x14ac:dyDescent="0.2">
      <c r="A87" s="1208"/>
      <c r="B87" s="1019"/>
      <c r="C87" s="1051"/>
      <c r="D87" s="1040"/>
      <c r="E87" s="1052"/>
      <c r="F87" s="1209"/>
      <c r="G87" s="1020"/>
      <c r="H87" s="1021"/>
      <c r="I87" s="1022"/>
      <c r="J87" s="1021"/>
      <c r="K87" s="1021"/>
      <c r="L87" s="1022"/>
      <c r="M87" s="1023"/>
      <c r="N87" s="1446"/>
      <c r="O87" s="8"/>
      <c r="P87" s="234"/>
      <c r="Q87" s="119"/>
      <c r="R87" s="234"/>
      <c r="S87" s="114"/>
      <c r="T87" s="235"/>
      <c r="U87" s="115"/>
      <c r="V87" s="821"/>
      <c r="W87" s="811"/>
      <c r="X87" s="821"/>
      <c r="Y87" s="811"/>
      <c r="Z87" s="236"/>
      <c r="AA87" s="116"/>
      <c r="AB87" s="234"/>
      <c r="AC87" s="116"/>
      <c r="AD87" s="237"/>
      <c r="AE87" s="117"/>
      <c r="AF87" s="1092"/>
      <c r="AG87" s="1092"/>
      <c r="AH87" s="1093"/>
      <c r="AI87" s="8"/>
    </row>
    <row r="88" spans="1:35" x14ac:dyDescent="0.2">
      <c r="A88" s="1208"/>
      <c r="B88" s="1067"/>
      <c r="C88" s="1065"/>
      <c r="D88" s="1449"/>
      <c r="E88" s="1052"/>
      <c r="F88" s="1209"/>
      <c r="G88" s="1020"/>
      <c r="H88" s="1021"/>
      <c r="I88" s="1022"/>
      <c r="J88" s="1021"/>
      <c r="K88" s="1021"/>
      <c r="L88" s="1022"/>
      <c r="M88" s="1023"/>
      <c r="N88" s="1446"/>
      <c r="O88" s="8"/>
      <c r="P88" s="234"/>
      <c r="Q88" s="119"/>
      <c r="R88" s="234"/>
      <c r="S88" s="114"/>
      <c r="T88" s="235"/>
      <c r="U88" s="115"/>
      <c r="V88" s="821"/>
      <c r="W88" s="811"/>
      <c r="X88" s="821"/>
      <c r="Y88" s="811"/>
      <c r="Z88" s="236"/>
      <c r="AA88" s="116"/>
      <c r="AB88" s="234"/>
      <c r="AC88" s="116"/>
      <c r="AD88" s="237"/>
      <c r="AE88" s="117"/>
      <c r="AF88" s="1092"/>
      <c r="AG88" s="1092"/>
      <c r="AH88" s="1093"/>
      <c r="AI88" s="8"/>
    </row>
    <row r="89" spans="1:35" x14ac:dyDescent="0.2">
      <c r="A89" s="1208"/>
      <c r="B89" s="1019"/>
      <c r="C89" s="1051"/>
      <c r="D89" s="1040"/>
      <c r="E89" s="1052"/>
      <c r="F89" s="1209"/>
      <c r="G89" s="1020"/>
      <c r="H89" s="1021"/>
      <c r="I89" s="1022"/>
      <c r="J89" s="1021"/>
      <c r="K89" s="1021"/>
      <c r="L89" s="1022"/>
      <c r="M89" s="1023"/>
      <c r="N89" s="1446"/>
      <c r="O89" s="8"/>
      <c r="P89" s="234"/>
      <c r="Q89" s="119"/>
      <c r="R89" s="234"/>
      <c r="S89" s="114"/>
      <c r="T89" s="235"/>
      <c r="U89" s="115"/>
      <c r="V89" s="821"/>
      <c r="W89" s="811"/>
      <c r="X89" s="821"/>
      <c r="Y89" s="811"/>
      <c r="Z89" s="236"/>
      <c r="AA89" s="116"/>
      <c r="AB89" s="234"/>
      <c r="AC89" s="116"/>
      <c r="AD89" s="237"/>
      <c r="AE89" s="117"/>
      <c r="AF89" s="1092"/>
      <c r="AG89" s="1092"/>
      <c r="AH89" s="1093"/>
      <c r="AI89" s="8"/>
    </row>
    <row r="90" spans="1:35" x14ac:dyDescent="0.2">
      <c r="A90" s="1208"/>
      <c r="B90" s="1019"/>
      <c r="C90" s="1051"/>
      <c r="D90" s="1040"/>
      <c r="E90" s="1052"/>
      <c r="F90" s="1209"/>
      <c r="G90" s="1020"/>
      <c r="H90" s="1021"/>
      <c r="I90" s="1022"/>
      <c r="J90" s="1021"/>
      <c r="K90" s="1021"/>
      <c r="L90" s="1022"/>
      <c r="M90" s="1023"/>
      <c r="N90" s="1446"/>
      <c r="O90" s="8"/>
      <c r="P90" s="234"/>
      <c r="Q90" s="119"/>
      <c r="R90" s="234"/>
      <c r="S90" s="114"/>
      <c r="T90" s="235"/>
      <c r="U90" s="115"/>
      <c r="V90" s="821"/>
      <c r="W90" s="811"/>
      <c r="X90" s="821"/>
      <c r="Y90" s="811"/>
      <c r="Z90" s="236"/>
      <c r="AA90" s="116"/>
      <c r="AB90" s="234"/>
      <c r="AC90" s="116"/>
      <c r="AD90" s="237"/>
      <c r="AE90" s="117"/>
      <c r="AF90" s="1092"/>
      <c r="AG90" s="1092"/>
      <c r="AH90" s="1093"/>
      <c r="AI90" s="8"/>
    </row>
    <row r="91" spans="1:35" x14ac:dyDescent="0.2">
      <c r="A91" s="1208"/>
      <c r="B91" s="1019"/>
      <c r="C91" s="1051"/>
      <c r="D91" s="1040"/>
      <c r="E91" s="1052"/>
      <c r="F91" s="1209"/>
      <c r="G91" s="1020"/>
      <c r="H91" s="1021"/>
      <c r="I91" s="1022"/>
      <c r="J91" s="1021"/>
      <c r="K91" s="1021"/>
      <c r="L91" s="1022"/>
      <c r="M91" s="1023"/>
      <c r="N91" s="1446"/>
      <c r="O91" s="8"/>
      <c r="P91" s="234"/>
      <c r="Q91" s="119"/>
      <c r="R91" s="234"/>
      <c r="S91" s="114"/>
      <c r="T91" s="235"/>
      <c r="U91" s="115"/>
      <c r="V91" s="821"/>
      <c r="W91" s="811"/>
      <c r="X91" s="821"/>
      <c r="Y91" s="811"/>
      <c r="Z91" s="236"/>
      <c r="AA91" s="116"/>
      <c r="AB91" s="234"/>
      <c r="AC91" s="116"/>
      <c r="AD91" s="237"/>
      <c r="AE91" s="117"/>
      <c r="AF91" s="1092"/>
      <c r="AG91" s="1092"/>
      <c r="AH91" s="1093"/>
      <c r="AI91" s="8"/>
    </row>
    <row r="92" spans="1:35" x14ac:dyDescent="0.2">
      <c r="A92" s="1208"/>
      <c r="B92" s="1242"/>
      <c r="C92" s="1423"/>
      <c r="D92" s="1040"/>
      <c r="E92" s="1052"/>
      <c r="F92" s="1209"/>
      <c r="G92" s="1020"/>
      <c r="H92" s="1021"/>
      <c r="I92" s="1022"/>
      <c r="J92" s="1021"/>
      <c r="K92" s="1021"/>
      <c r="L92" s="1022"/>
      <c r="M92" s="1023"/>
      <c r="N92" s="1446"/>
      <c r="O92" s="8"/>
      <c r="P92" s="234"/>
      <c r="Q92" s="119"/>
      <c r="R92" s="234"/>
      <c r="S92" s="114"/>
      <c r="T92" s="235"/>
      <c r="U92" s="115"/>
      <c r="V92" s="821"/>
      <c r="W92" s="811"/>
      <c r="X92" s="821"/>
      <c r="Y92" s="811"/>
      <c r="Z92" s="236"/>
      <c r="AA92" s="116"/>
      <c r="AB92" s="234"/>
      <c r="AC92" s="116"/>
      <c r="AD92" s="237"/>
      <c r="AE92" s="117"/>
      <c r="AF92" s="1092"/>
      <c r="AG92" s="1092"/>
      <c r="AH92" s="1093"/>
      <c r="AI92" s="8"/>
    </row>
    <row r="93" spans="1:35" x14ac:dyDescent="0.2">
      <c r="A93" s="1208"/>
      <c r="B93" s="1042"/>
      <c r="C93" s="1423"/>
      <c r="D93" s="1040"/>
      <c r="E93" s="1052"/>
      <c r="F93" s="1209"/>
      <c r="G93" s="1020"/>
      <c r="H93" s="1021"/>
      <c r="I93" s="1022"/>
      <c r="J93" s="1021"/>
      <c r="K93" s="1021"/>
      <c r="L93" s="1022"/>
      <c r="M93" s="1023"/>
      <c r="N93" s="1446"/>
      <c r="O93" s="8"/>
      <c r="P93" s="234"/>
      <c r="Q93" s="119"/>
      <c r="R93" s="234"/>
      <c r="S93" s="114"/>
      <c r="T93" s="235"/>
      <c r="U93" s="115"/>
      <c r="V93" s="821"/>
      <c r="W93" s="811"/>
      <c r="X93" s="821"/>
      <c r="Y93" s="811"/>
      <c r="Z93" s="236"/>
      <c r="AA93" s="116"/>
      <c r="AB93" s="234"/>
      <c r="AC93" s="116"/>
      <c r="AD93" s="237"/>
      <c r="AE93" s="117"/>
      <c r="AF93" s="1092"/>
      <c r="AG93" s="1092"/>
      <c r="AH93" s="1093"/>
      <c r="AI93" s="8"/>
    </row>
    <row r="94" spans="1:35" x14ac:dyDescent="0.2">
      <c r="A94" s="1208"/>
      <c r="B94" s="1019"/>
      <c r="C94" s="1051"/>
      <c r="D94" s="1040"/>
      <c r="E94" s="1052"/>
      <c r="F94" s="1209"/>
      <c r="G94" s="1020"/>
      <c r="H94" s="1021"/>
      <c r="I94" s="1022"/>
      <c r="J94" s="1021"/>
      <c r="K94" s="1021"/>
      <c r="L94" s="1022"/>
      <c r="M94" s="1023"/>
      <c r="N94" s="1446"/>
      <c r="O94" s="8"/>
      <c r="P94" s="234"/>
      <c r="Q94" s="119"/>
      <c r="R94" s="234"/>
      <c r="S94" s="114"/>
      <c r="T94" s="235"/>
      <c r="U94" s="115"/>
      <c r="V94" s="821"/>
      <c r="W94" s="811"/>
      <c r="X94" s="821"/>
      <c r="Y94" s="811"/>
      <c r="Z94" s="236"/>
      <c r="AA94" s="116"/>
      <c r="AB94" s="234"/>
      <c r="AC94" s="116"/>
      <c r="AD94" s="237"/>
      <c r="AE94" s="117"/>
      <c r="AF94" s="1092"/>
      <c r="AG94" s="1092"/>
      <c r="AH94" s="1093"/>
      <c r="AI94" s="8"/>
    </row>
    <row r="95" spans="1:35" x14ac:dyDescent="0.2">
      <c r="A95" s="1208"/>
      <c r="B95" s="1019"/>
      <c r="C95" s="1051"/>
      <c r="D95" s="1040"/>
      <c r="E95" s="1052"/>
      <c r="F95" s="1209"/>
      <c r="G95" s="1020"/>
      <c r="H95" s="1021"/>
      <c r="I95" s="1022"/>
      <c r="J95" s="1021"/>
      <c r="K95" s="1021"/>
      <c r="L95" s="1022"/>
      <c r="M95" s="1023"/>
      <c r="N95" s="1446"/>
      <c r="O95" s="8"/>
      <c r="P95" s="234"/>
      <c r="Q95" s="119"/>
      <c r="R95" s="234"/>
      <c r="S95" s="114"/>
      <c r="T95" s="235"/>
      <c r="U95" s="115"/>
      <c r="V95" s="821"/>
      <c r="W95" s="811"/>
      <c r="X95" s="821"/>
      <c r="Y95" s="811"/>
      <c r="Z95" s="236"/>
      <c r="AA95" s="116"/>
      <c r="AB95" s="234"/>
      <c r="AC95" s="116"/>
      <c r="AD95" s="237"/>
      <c r="AE95" s="117"/>
      <c r="AF95" s="1092"/>
      <c r="AG95" s="1092"/>
      <c r="AH95" s="1093"/>
      <c r="AI95" s="8"/>
    </row>
    <row r="96" spans="1:35" x14ac:dyDescent="0.2">
      <c r="A96" s="1208"/>
      <c r="B96" s="1019"/>
      <c r="C96" s="1051"/>
      <c r="D96" s="1040"/>
      <c r="E96" s="1052"/>
      <c r="F96" s="1502"/>
      <c r="G96" s="1503"/>
      <c r="H96" s="1021"/>
      <c r="I96" s="1022"/>
      <c r="J96" s="1021"/>
      <c r="K96" s="1021"/>
      <c r="L96" s="1022"/>
      <c r="M96" s="1023"/>
      <c r="N96" s="1446"/>
      <c r="O96" s="8"/>
      <c r="P96" s="234"/>
      <c r="Q96" s="119"/>
      <c r="R96" s="234"/>
      <c r="S96" s="114"/>
      <c r="T96" s="235"/>
      <c r="U96" s="115"/>
      <c r="V96" s="821"/>
      <c r="W96" s="811"/>
      <c r="X96" s="821"/>
      <c r="Y96" s="811"/>
      <c r="Z96" s="236"/>
      <c r="AA96" s="116"/>
      <c r="AB96" s="234"/>
      <c r="AC96" s="116"/>
      <c r="AD96" s="237"/>
      <c r="AE96" s="117"/>
      <c r="AF96" s="1092"/>
      <c r="AG96" s="1092"/>
      <c r="AH96" s="1093"/>
      <c r="AI96" s="8"/>
    </row>
    <row r="97" spans="1:35" x14ac:dyDescent="0.2">
      <c r="A97" s="1208"/>
      <c r="B97" s="1185"/>
      <c r="C97" s="1051"/>
      <c r="D97" s="1040"/>
      <c r="E97" s="1052"/>
      <c r="F97" s="1209"/>
      <c r="G97" s="1020"/>
      <c r="H97" s="1021"/>
      <c r="I97" s="1022"/>
      <c r="J97" s="1021"/>
      <c r="K97" s="1021"/>
      <c r="L97" s="1022"/>
      <c r="M97" s="1023"/>
      <c r="N97" s="1446"/>
      <c r="O97" s="8"/>
      <c r="P97" s="234"/>
      <c r="Q97" s="119"/>
      <c r="R97" s="234"/>
      <c r="S97" s="114"/>
      <c r="T97" s="235"/>
      <c r="U97" s="115"/>
      <c r="V97" s="821"/>
      <c r="W97" s="811"/>
      <c r="X97" s="821"/>
      <c r="Y97" s="811"/>
      <c r="Z97" s="236"/>
      <c r="AA97" s="116"/>
      <c r="AB97" s="234"/>
      <c r="AC97" s="116"/>
      <c r="AD97" s="237"/>
      <c r="AE97" s="117"/>
      <c r="AF97" s="1092"/>
      <c r="AG97" s="1092"/>
      <c r="AH97" s="1093"/>
      <c r="AI97" s="8"/>
    </row>
    <row r="98" spans="1:35" x14ac:dyDescent="0.2">
      <c r="A98" s="1208"/>
      <c r="B98" s="1242"/>
      <c r="C98" s="1423"/>
      <c r="D98" s="1040"/>
      <c r="E98" s="1052"/>
      <c r="F98" s="1209"/>
      <c r="G98" s="1020"/>
      <c r="H98" s="1021"/>
      <c r="I98" s="1022"/>
      <c r="J98" s="1021"/>
      <c r="K98" s="1021"/>
      <c r="L98" s="1022"/>
      <c r="M98" s="1023"/>
      <c r="N98" s="1446"/>
      <c r="O98" s="8"/>
      <c r="P98" s="234"/>
      <c r="Q98" s="119"/>
      <c r="R98" s="234"/>
      <c r="S98" s="114"/>
      <c r="T98" s="235"/>
      <c r="U98" s="115"/>
      <c r="V98" s="821"/>
      <c r="W98" s="811"/>
      <c r="X98" s="821"/>
      <c r="Y98" s="811"/>
      <c r="Z98" s="236"/>
      <c r="AA98" s="116"/>
      <c r="AB98" s="234"/>
      <c r="AC98" s="116"/>
      <c r="AD98" s="237"/>
      <c r="AE98" s="117"/>
      <c r="AF98" s="1092"/>
      <c r="AG98" s="1092"/>
      <c r="AH98" s="1093"/>
      <c r="AI98" s="8"/>
    </row>
    <row r="99" spans="1:35" x14ac:dyDescent="0.2">
      <c r="A99" s="1208"/>
      <c r="B99" s="1019"/>
      <c r="C99" s="1051"/>
      <c r="D99" s="1040"/>
      <c r="E99" s="1052"/>
      <c r="F99" s="1209"/>
      <c r="G99" s="1020"/>
      <c r="H99" s="1021"/>
      <c r="I99" s="1022"/>
      <c r="J99" s="1021"/>
      <c r="K99" s="1021"/>
      <c r="L99" s="1022"/>
      <c r="M99" s="1023"/>
      <c r="N99" s="1446"/>
      <c r="O99" s="8"/>
      <c r="P99" s="234"/>
      <c r="Q99" s="119"/>
      <c r="R99" s="234"/>
      <c r="S99" s="114"/>
      <c r="T99" s="235"/>
      <c r="U99" s="115"/>
      <c r="V99" s="821"/>
      <c r="W99" s="811"/>
      <c r="X99" s="821"/>
      <c r="Y99" s="811"/>
      <c r="Z99" s="236"/>
      <c r="AA99" s="116"/>
      <c r="AB99" s="234"/>
      <c r="AC99" s="116"/>
      <c r="AD99" s="237"/>
      <c r="AE99" s="117"/>
      <c r="AF99" s="1092"/>
      <c r="AG99" s="1092"/>
      <c r="AH99" s="1093"/>
      <c r="AI99" s="8"/>
    </row>
    <row r="100" spans="1:35" x14ac:dyDescent="0.2">
      <c r="A100" s="1208"/>
      <c r="B100" s="1019"/>
      <c r="C100" s="1051"/>
      <c r="D100" s="1040"/>
      <c r="E100" s="1052"/>
      <c r="F100" s="1209"/>
      <c r="G100" s="1020"/>
      <c r="H100" s="1021"/>
      <c r="I100" s="1022"/>
      <c r="J100" s="1021"/>
      <c r="K100" s="1021"/>
      <c r="L100" s="1022"/>
      <c r="M100" s="1023"/>
      <c r="N100" s="1446"/>
      <c r="O100" s="8"/>
      <c r="P100" s="234"/>
      <c r="Q100" s="119"/>
      <c r="R100" s="234"/>
      <c r="S100" s="114"/>
      <c r="T100" s="235"/>
      <c r="U100" s="115"/>
      <c r="V100" s="821"/>
      <c r="W100" s="811"/>
      <c r="X100" s="821"/>
      <c r="Y100" s="811"/>
      <c r="Z100" s="236"/>
      <c r="AA100" s="116"/>
      <c r="AB100" s="234"/>
      <c r="AC100" s="116"/>
      <c r="AD100" s="237"/>
      <c r="AE100" s="117"/>
      <c r="AF100" s="1092"/>
      <c r="AG100" s="1092"/>
      <c r="AH100" s="1093"/>
      <c r="AI100" s="8"/>
    </row>
    <row r="101" spans="1:35" x14ac:dyDescent="0.2">
      <c r="A101" s="1208"/>
      <c r="B101" s="1019"/>
      <c r="C101" s="1051"/>
      <c r="D101" s="1040"/>
      <c r="E101" s="1052"/>
      <c r="F101" s="1209"/>
      <c r="G101" s="1020"/>
      <c r="H101" s="1021"/>
      <c r="I101" s="1022"/>
      <c r="J101" s="1021"/>
      <c r="K101" s="1021"/>
      <c r="L101" s="1022"/>
      <c r="M101" s="1023"/>
      <c r="N101" s="1446"/>
      <c r="O101" s="8"/>
      <c r="P101" s="234"/>
      <c r="Q101" s="119"/>
      <c r="R101" s="234"/>
      <c r="S101" s="114"/>
      <c r="T101" s="235"/>
      <c r="U101" s="115"/>
      <c r="V101" s="821"/>
      <c r="W101" s="811"/>
      <c r="X101" s="821"/>
      <c r="Y101" s="811"/>
      <c r="Z101" s="236"/>
      <c r="AA101" s="116"/>
      <c r="AB101" s="234"/>
      <c r="AC101" s="116"/>
      <c r="AD101" s="237"/>
      <c r="AE101" s="117"/>
      <c r="AF101" s="1092"/>
      <c r="AG101" s="1092"/>
      <c r="AH101" s="1093"/>
      <c r="AI101" s="8"/>
    </row>
    <row r="102" spans="1:35" x14ac:dyDescent="0.2">
      <c r="A102" s="1208"/>
      <c r="B102" s="1019"/>
      <c r="C102" s="1051"/>
      <c r="D102" s="1040"/>
      <c r="E102" s="1052"/>
      <c r="F102" s="1209"/>
      <c r="G102" s="1020"/>
      <c r="H102" s="1021"/>
      <c r="I102" s="1022"/>
      <c r="J102" s="1021"/>
      <c r="K102" s="1021"/>
      <c r="L102" s="1022"/>
      <c r="M102" s="1023"/>
      <c r="N102" s="1446"/>
      <c r="O102" s="8"/>
      <c r="P102" s="234"/>
      <c r="Q102" s="119"/>
      <c r="R102" s="234"/>
      <c r="S102" s="114"/>
      <c r="T102" s="235"/>
      <c r="U102" s="115"/>
      <c r="V102" s="821"/>
      <c r="W102" s="811"/>
      <c r="X102" s="821"/>
      <c r="Y102" s="811"/>
      <c r="Z102" s="236"/>
      <c r="AA102" s="116"/>
      <c r="AB102" s="234"/>
      <c r="AC102" s="116"/>
      <c r="AD102" s="237"/>
      <c r="AE102" s="117"/>
      <c r="AF102" s="1092"/>
      <c r="AG102" s="1092"/>
      <c r="AH102" s="1093"/>
      <c r="AI102" s="8"/>
    </row>
    <row r="103" spans="1:35" x14ac:dyDescent="0.2">
      <c r="A103" s="1208"/>
      <c r="B103" s="1042"/>
      <c r="C103" s="1051"/>
      <c r="D103" s="1040"/>
      <c r="E103" s="1052"/>
      <c r="F103" s="1209"/>
      <c r="G103" s="1020"/>
      <c r="H103" s="1021"/>
      <c r="I103" s="1022"/>
      <c r="J103" s="1021"/>
      <c r="K103" s="1021"/>
      <c r="L103" s="1022"/>
      <c r="M103" s="1023"/>
      <c r="N103" s="1446"/>
      <c r="O103" s="8"/>
      <c r="P103" s="234"/>
      <c r="Q103" s="119"/>
      <c r="R103" s="234"/>
      <c r="S103" s="114"/>
      <c r="T103" s="235"/>
      <c r="U103" s="115"/>
      <c r="V103" s="821"/>
      <c r="W103" s="811"/>
      <c r="X103" s="821"/>
      <c r="Y103" s="811"/>
      <c r="Z103" s="236"/>
      <c r="AA103" s="116"/>
      <c r="AB103" s="234"/>
      <c r="AC103" s="116"/>
      <c r="AD103" s="237"/>
      <c r="AE103" s="117"/>
      <c r="AF103" s="1092"/>
      <c r="AG103" s="1092"/>
      <c r="AH103" s="1093"/>
      <c r="AI103" s="8"/>
    </row>
    <row r="104" spans="1:35" x14ac:dyDescent="0.2">
      <c r="A104" s="1208"/>
      <c r="B104" s="1019"/>
      <c r="C104" s="1051"/>
      <c r="D104" s="1040"/>
      <c r="E104" s="1052"/>
      <c r="F104" s="1209"/>
      <c r="G104" s="1020"/>
      <c r="H104" s="1021"/>
      <c r="I104" s="1022"/>
      <c r="J104" s="1021"/>
      <c r="K104" s="1021"/>
      <c r="L104" s="1022"/>
      <c r="M104" s="1023"/>
      <c r="N104" s="1446"/>
      <c r="O104" s="8"/>
      <c r="P104" s="234"/>
      <c r="Q104" s="119"/>
      <c r="R104" s="234"/>
      <c r="S104" s="114"/>
      <c r="T104" s="235"/>
      <c r="U104" s="115"/>
      <c r="V104" s="821"/>
      <c r="W104" s="811"/>
      <c r="X104" s="821"/>
      <c r="Y104" s="811"/>
      <c r="Z104" s="236"/>
      <c r="AA104" s="116"/>
      <c r="AB104" s="234"/>
      <c r="AC104" s="116"/>
      <c r="AD104" s="237"/>
      <c r="AE104" s="117"/>
      <c r="AF104" s="1092"/>
      <c r="AG104" s="1092"/>
      <c r="AH104" s="1093"/>
      <c r="AI104" s="8"/>
    </row>
    <row r="105" spans="1:35" x14ac:dyDescent="0.2">
      <c r="A105" s="1208"/>
      <c r="B105" s="1019"/>
      <c r="C105" s="1051"/>
      <c r="D105" s="1040"/>
      <c r="E105" s="1052"/>
      <c r="F105" s="1209"/>
      <c r="G105" s="1020"/>
      <c r="H105" s="1021"/>
      <c r="I105" s="1022"/>
      <c r="J105" s="1021"/>
      <c r="K105" s="1021"/>
      <c r="L105" s="1022"/>
      <c r="M105" s="1023"/>
      <c r="N105" s="1446"/>
      <c r="O105" s="8"/>
      <c r="P105" s="234"/>
      <c r="Q105" s="119"/>
      <c r="R105" s="234"/>
      <c r="S105" s="114"/>
      <c r="T105" s="235"/>
      <c r="U105" s="115"/>
      <c r="V105" s="821"/>
      <c r="W105" s="811"/>
      <c r="X105" s="821"/>
      <c r="Y105" s="811"/>
      <c r="Z105" s="236"/>
      <c r="AA105" s="116"/>
      <c r="AB105" s="234"/>
      <c r="AC105" s="116"/>
      <c r="AD105" s="237"/>
      <c r="AE105" s="117"/>
      <c r="AF105" s="1092"/>
      <c r="AG105" s="1092"/>
      <c r="AH105" s="1093"/>
      <c r="AI105" s="8"/>
    </row>
    <row r="106" spans="1:35" x14ac:dyDescent="0.2">
      <c r="A106" s="1208"/>
      <c r="B106" s="1019"/>
      <c r="C106" s="1051"/>
      <c r="D106" s="1040"/>
      <c r="E106" s="1052"/>
      <c r="F106" s="1209"/>
      <c r="G106" s="1020"/>
      <c r="H106" s="1021"/>
      <c r="I106" s="1022"/>
      <c r="J106" s="1021"/>
      <c r="K106" s="1021"/>
      <c r="L106" s="1022"/>
      <c r="M106" s="1023"/>
      <c r="N106" s="1446"/>
      <c r="O106" s="8"/>
      <c r="P106" s="234"/>
      <c r="Q106" s="119"/>
      <c r="R106" s="234"/>
      <c r="S106" s="114"/>
      <c r="T106" s="235"/>
      <c r="U106" s="115"/>
      <c r="V106" s="821"/>
      <c r="W106" s="811"/>
      <c r="X106" s="821"/>
      <c r="Y106" s="811"/>
      <c r="Z106" s="236"/>
      <c r="AA106" s="116"/>
      <c r="AB106" s="234"/>
      <c r="AC106" s="116"/>
      <c r="AD106" s="237"/>
      <c r="AE106" s="117"/>
      <c r="AF106" s="1092"/>
      <c r="AG106" s="1092"/>
      <c r="AH106" s="1093"/>
      <c r="AI106" s="8"/>
    </row>
    <row r="107" spans="1:35" x14ac:dyDescent="0.2">
      <c r="A107" s="1208"/>
      <c r="B107" s="630"/>
      <c r="C107" s="1051"/>
      <c r="D107" s="1040"/>
      <c r="E107" s="1052"/>
      <c r="F107" s="1209"/>
      <c r="G107" s="1020"/>
      <c r="H107" s="1021"/>
      <c r="I107" s="1022"/>
      <c r="J107" s="1021"/>
      <c r="K107" s="1021"/>
      <c r="L107" s="1022"/>
      <c r="M107" s="1023"/>
      <c r="N107" s="1446"/>
      <c r="O107" s="8"/>
      <c r="P107" s="234"/>
      <c r="Q107" s="119"/>
      <c r="R107" s="234"/>
      <c r="S107" s="114"/>
      <c r="T107" s="235"/>
      <c r="U107" s="115"/>
      <c r="V107" s="821"/>
      <c r="W107" s="811"/>
      <c r="X107" s="821"/>
      <c r="Y107" s="811"/>
      <c r="Z107" s="236"/>
      <c r="AA107" s="116"/>
      <c r="AB107" s="234"/>
      <c r="AC107" s="116"/>
      <c r="AD107" s="237"/>
      <c r="AE107" s="117"/>
      <c r="AF107" s="1092"/>
      <c r="AG107" s="1092"/>
      <c r="AH107" s="1093"/>
      <c r="AI107" s="8"/>
    </row>
    <row r="108" spans="1:35" x14ac:dyDescent="0.2">
      <c r="A108" s="1208"/>
      <c r="B108" s="1019"/>
      <c r="C108" s="1051"/>
      <c r="D108" s="1040"/>
      <c r="E108" s="1052"/>
      <c r="F108" s="1209"/>
      <c r="G108" s="1020"/>
      <c r="H108" s="1021"/>
      <c r="I108" s="1022"/>
      <c r="J108" s="1021"/>
      <c r="K108" s="1021"/>
      <c r="L108" s="1022"/>
      <c r="M108" s="1023"/>
      <c r="N108" s="1446"/>
      <c r="O108" s="8"/>
      <c r="P108" s="234"/>
      <c r="Q108" s="119"/>
      <c r="R108" s="234"/>
      <c r="S108" s="114"/>
      <c r="T108" s="235"/>
      <c r="U108" s="115"/>
      <c r="V108" s="821"/>
      <c r="W108" s="811"/>
      <c r="X108" s="821"/>
      <c r="Y108" s="811"/>
      <c r="Z108" s="236"/>
      <c r="AA108" s="116"/>
      <c r="AB108" s="234"/>
      <c r="AC108" s="116"/>
      <c r="AD108" s="237"/>
      <c r="AE108" s="117"/>
      <c r="AF108" s="1092"/>
      <c r="AG108" s="1092"/>
      <c r="AH108" s="1093"/>
      <c r="AI108" s="8"/>
    </row>
    <row r="109" spans="1:35" x14ac:dyDescent="0.2">
      <c r="A109" s="1208"/>
      <c r="B109" s="1019"/>
      <c r="C109" s="1051"/>
      <c r="D109" s="1040"/>
      <c r="E109" s="1052"/>
      <c r="F109" s="1209"/>
      <c r="G109" s="1020"/>
      <c r="H109" s="1021"/>
      <c r="I109" s="1022"/>
      <c r="J109" s="1021"/>
      <c r="K109" s="1021"/>
      <c r="L109" s="1022"/>
      <c r="M109" s="1023"/>
      <c r="N109" s="1446"/>
      <c r="O109" s="8"/>
      <c r="P109" s="234"/>
      <c r="Q109" s="119"/>
      <c r="R109" s="234"/>
      <c r="S109" s="114"/>
      <c r="T109" s="235"/>
      <c r="U109" s="115"/>
      <c r="V109" s="821"/>
      <c r="W109" s="811"/>
      <c r="X109" s="821"/>
      <c r="Y109" s="811"/>
      <c r="Z109" s="236"/>
      <c r="AA109" s="116"/>
      <c r="AB109" s="234"/>
      <c r="AC109" s="116"/>
      <c r="AD109" s="237"/>
      <c r="AE109" s="117"/>
      <c r="AF109" s="1092"/>
      <c r="AG109" s="1092"/>
      <c r="AH109" s="1093"/>
      <c r="AI109" s="8"/>
    </row>
    <row r="110" spans="1:35" x14ac:dyDescent="0.2">
      <c r="A110" s="1208"/>
      <c r="B110" s="1019"/>
      <c r="C110" s="1051"/>
      <c r="D110" s="1040"/>
      <c r="E110" s="1052"/>
      <c r="F110" s="1209"/>
      <c r="G110" s="1020"/>
      <c r="H110" s="1021"/>
      <c r="I110" s="1022"/>
      <c r="J110" s="1021"/>
      <c r="K110" s="1021"/>
      <c r="L110" s="1022"/>
      <c r="M110" s="1023"/>
      <c r="N110" s="1446"/>
      <c r="O110" s="8"/>
      <c r="P110" s="234"/>
      <c r="Q110" s="119"/>
      <c r="R110" s="234"/>
      <c r="S110" s="114"/>
      <c r="T110" s="235"/>
      <c r="U110" s="115"/>
      <c r="V110" s="821"/>
      <c r="W110" s="811"/>
      <c r="X110" s="821"/>
      <c r="Y110" s="811"/>
      <c r="Z110" s="236"/>
      <c r="AA110" s="116"/>
      <c r="AB110" s="234"/>
      <c r="AC110" s="116"/>
      <c r="AD110" s="237"/>
      <c r="AE110" s="117"/>
      <c r="AF110" s="1092"/>
      <c r="AG110" s="1092"/>
      <c r="AH110" s="1093"/>
      <c r="AI110" s="8"/>
    </row>
    <row r="111" spans="1:35" x14ac:dyDescent="0.2">
      <c r="A111" s="1208"/>
      <c r="B111" s="1019"/>
      <c r="C111" s="1051"/>
      <c r="D111" s="1040"/>
      <c r="E111" s="1052"/>
      <c r="F111" s="1209"/>
      <c r="G111" s="1020"/>
      <c r="H111" s="1021"/>
      <c r="I111" s="1022"/>
      <c r="J111" s="1021"/>
      <c r="K111" s="1021"/>
      <c r="L111" s="1022"/>
      <c r="M111" s="1023"/>
      <c r="N111" s="1446"/>
      <c r="O111" s="8"/>
      <c r="P111" s="234"/>
      <c r="Q111" s="119"/>
      <c r="R111" s="234"/>
      <c r="S111" s="114"/>
      <c r="T111" s="235"/>
      <c r="U111" s="115"/>
      <c r="V111" s="821"/>
      <c r="W111" s="811"/>
      <c r="X111" s="821"/>
      <c r="Y111" s="811"/>
      <c r="Z111" s="236"/>
      <c r="AA111" s="116"/>
      <c r="AB111" s="234"/>
      <c r="AC111" s="116"/>
      <c r="AD111" s="237"/>
      <c r="AE111" s="117"/>
      <c r="AF111" s="1092"/>
      <c r="AG111" s="1092"/>
      <c r="AH111" s="1093"/>
      <c r="AI111" s="8"/>
    </row>
    <row r="112" spans="1:35" x14ac:dyDescent="0.2">
      <c r="A112" s="1208"/>
      <c r="B112" s="1019"/>
      <c r="C112" s="1051"/>
      <c r="D112" s="1040"/>
      <c r="E112" s="1052"/>
      <c r="F112" s="1209"/>
      <c r="G112" s="1020"/>
      <c r="H112" s="1021"/>
      <c r="I112" s="1022"/>
      <c r="J112" s="1021"/>
      <c r="K112" s="1021"/>
      <c r="L112" s="1022"/>
      <c r="M112" s="1023"/>
      <c r="N112" s="1446"/>
      <c r="O112" s="8"/>
      <c r="P112" s="234"/>
      <c r="Q112" s="119"/>
      <c r="R112" s="234"/>
      <c r="S112" s="114"/>
      <c r="T112" s="235"/>
      <c r="U112" s="115"/>
      <c r="V112" s="821"/>
      <c r="W112" s="811"/>
      <c r="X112" s="821"/>
      <c r="Y112" s="811"/>
      <c r="Z112" s="236"/>
      <c r="AA112" s="116"/>
      <c r="AB112" s="234"/>
      <c r="AC112" s="116"/>
      <c r="AD112" s="237"/>
      <c r="AE112" s="117"/>
      <c r="AF112" s="1092"/>
      <c r="AG112" s="1092"/>
      <c r="AH112" s="1093"/>
      <c r="AI112" s="8"/>
    </row>
    <row r="113" spans="1:35" x14ac:dyDescent="0.2">
      <c r="A113" s="1208"/>
      <c r="B113" s="1019"/>
      <c r="C113" s="1051"/>
      <c r="D113" s="1040"/>
      <c r="E113" s="1052"/>
      <c r="F113" s="1209"/>
      <c r="G113" s="1020"/>
      <c r="H113" s="1021"/>
      <c r="I113" s="1022"/>
      <c r="J113" s="1021"/>
      <c r="K113" s="1021"/>
      <c r="L113" s="1022"/>
      <c r="M113" s="1023"/>
      <c r="N113" s="1446"/>
      <c r="O113" s="8"/>
      <c r="P113" s="234"/>
      <c r="Q113" s="119"/>
      <c r="R113" s="234"/>
      <c r="S113" s="114"/>
      <c r="T113" s="235"/>
      <c r="U113" s="115"/>
      <c r="V113" s="821"/>
      <c r="W113" s="811"/>
      <c r="X113" s="821"/>
      <c r="Y113" s="811"/>
      <c r="Z113" s="236"/>
      <c r="AA113" s="116"/>
      <c r="AB113" s="234"/>
      <c r="AC113" s="116"/>
      <c r="AD113" s="237"/>
      <c r="AE113" s="117"/>
      <c r="AF113" s="1092"/>
      <c r="AG113" s="1092"/>
      <c r="AH113" s="1093"/>
      <c r="AI113" s="8"/>
    </row>
    <row r="114" spans="1:35" x14ac:dyDescent="0.2">
      <c r="A114" s="1208"/>
      <c r="B114" s="1019"/>
      <c r="C114" s="1051"/>
      <c r="D114" s="1040"/>
      <c r="E114" s="1052"/>
      <c r="F114" s="1209"/>
      <c r="G114" s="1020"/>
      <c r="H114" s="1021"/>
      <c r="I114" s="1022"/>
      <c r="J114" s="1021"/>
      <c r="K114" s="1021"/>
      <c r="L114" s="1022"/>
      <c r="M114" s="1023"/>
      <c r="N114" s="1446"/>
      <c r="O114" s="8"/>
      <c r="P114" s="234"/>
      <c r="Q114" s="119"/>
      <c r="R114" s="234"/>
      <c r="S114" s="114"/>
      <c r="T114" s="235"/>
      <c r="U114" s="115"/>
      <c r="V114" s="821"/>
      <c r="W114" s="811"/>
      <c r="X114" s="821"/>
      <c r="Y114" s="811"/>
      <c r="Z114" s="236"/>
      <c r="AA114" s="116"/>
      <c r="AB114" s="234"/>
      <c r="AC114" s="116"/>
      <c r="AD114" s="237"/>
      <c r="AE114" s="117"/>
      <c r="AF114" s="1092"/>
      <c r="AG114" s="1092"/>
      <c r="AH114" s="1093"/>
      <c r="AI114" s="8"/>
    </row>
    <row r="115" spans="1:35" x14ac:dyDescent="0.2">
      <c r="A115" s="1208"/>
      <c r="B115" s="1019"/>
      <c r="C115" s="1051"/>
      <c r="D115" s="1040"/>
      <c r="E115" s="1052"/>
      <c r="F115" s="1209"/>
      <c r="G115" s="1020"/>
      <c r="H115" s="1021"/>
      <c r="I115" s="1022"/>
      <c r="J115" s="1021"/>
      <c r="K115" s="1021"/>
      <c r="L115" s="1022"/>
      <c r="M115" s="1023"/>
      <c r="N115" s="1446"/>
      <c r="O115" s="8"/>
      <c r="P115" s="234"/>
      <c r="Q115" s="119"/>
      <c r="R115" s="234"/>
      <c r="S115" s="114"/>
      <c r="T115" s="235"/>
      <c r="U115" s="115"/>
      <c r="V115" s="821"/>
      <c r="W115" s="811"/>
      <c r="X115" s="821"/>
      <c r="Y115" s="811"/>
      <c r="Z115" s="236"/>
      <c r="AA115" s="116"/>
      <c r="AB115" s="234"/>
      <c r="AC115" s="116"/>
      <c r="AD115" s="237"/>
      <c r="AE115" s="117"/>
      <c r="AF115" s="1092"/>
      <c r="AG115" s="1092"/>
      <c r="AH115" s="1093"/>
      <c r="AI115" s="8"/>
    </row>
    <row r="116" spans="1:35" x14ac:dyDescent="0.2">
      <c r="A116" s="1208"/>
      <c r="B116" s="1019"/>
      <c r="C116" s="1051"/>
      <c r="D116" s="1040"/>
      <c r="E116" s="1052"/>
      <c r="F116" s="1209"/>
      <c r="G116" s="1020"/>
      <c r="H116" s="1021"/>
      <c r="I116" s="1022"/>
      <c r="J116" s="1021"/>
      <c r="K116" s="1021"/>
      <c r="L116" s="1138"/>
      <c r="M116" s="1023"/>
      <c r="N116" s="1446"/>
      <c r="O116" s="8"/>
      <c r="P116" s="234"/>
      <c r="Q116" s="119"/>
      <c r="R116" s="234"/>
      <c r="S116" s="114"/>
      <c r="T116" s="235"/>
      <c r="U116" s="115"/>
      <c r="V116" s="821"/>
      <c r="W116" s="811"/>
      <c r="X116" s="821"/>
      <c r="Y116" s="811"/>
      <c r="Z116" s="236"/>
      <c r="AA116" s="116"/>
      <c r="AB116" s="234"/>
      <c r="AC116" s="116"/>
      <c r="AD116" s="237"/>
      <c r="AE116" s="117"/>
      <c r="AF116" s="1092"/>
      <c r="AG116" s="1092"/>
      <c r="AH116" s="1093"/>
      <c r="AI116" s="8"/>
    </row>
    <row r="117" spans="1:35" x14ac:dyDescent="0.2">
      <c r="A117" s="1208"/>
      <c r="B117" s="1019"/>
      <c r="C117" s="1051"/>
      <c r="D117" s="1040"/>
      <c r="E117" s="1052"/>
      <c r="F117" s="1502"/>
      <c r="G117" s="1503"/>
      <c r="H117" s="1021"/>
      <c r="I117" s="1022"/>
      <c r="J117" s="1021"/>
      <c r="K117" s="1021"/>
      <c r="L117" s="1138"/>
      <c r="M117" s="1023"/>
      <c r="N117" s="1446"/>
      <c r="O117" s="8"/>
      <c r="P117" s="234"/>
      <c r="Q117" s="119"/>
      <c r="R117" s="234"/>
      <c r="S117" s="114"/>
      <c r="T117" s="235"/>
      <c r="U117" s="115"/>
      <c r="V117" s="821"/>
      <c r="W117" s="811"/>
      <c r="X117" s="821"/>
      <c r="Y117" s="811"/>
      <c r="Z117" s="236"/>
      <c r="AA117" s="116"/>
      <c r="AB117" s="234"/>
      <c r="AC117" s="116"/>
      <c r="AD117" s="237"/>
      <c r="AE117" s="117"/>
      <c r="AF117" s="1092"/>
      <c r="AG117" s="1092"/>
      <c r="AH117" s="1093"/>
      <c r="AI117" s="8"/>
    </row>
    <row r="118" spans="1:35" x14ac:dyDescent="0.2">
      <c r="A118" s="1208"/>
      <c r="B118" s="1019"/>
      <c r="C118" s="1051"/>
      <c r="D118" s="1040"/>
      <c r="E118" s="1052"/>
      <c r="F118" s="1477"/>
      <c r="G118" s="1020"/>
      <c r="H118" s="1021"/>
      <c r="I118" s="1022"/>
      <c r="J118" s="1021"/>
      <c r="K118" s="1021"/>
      <c r="L118" s="1022"/>
      <c r="M118" s="1023"/>
      <c r="N118" s="1446"/>
      <c r="O118" s="8"/>
      <c r="P118" s="234"/>
      <c r="Q118" s="119"/>
      <c r="R118" s="234"/>
      <c r="S118" s="114"/>
      <c r="T118" s="235"/>
      <c r="U118" s="115"/>
      <c r="V118" s="821"/>
      <c r="W118" s="811"/>
      <c r="X118" s="821"/>
      <c r="Y118" s="811"/>
      <c r="Z118" s="236"/>
      <c r="AA118" s="116"/>
      <c r="AB118" s="234"/>
      <c r="AC118" s="116"/>
      <c r="AD118" s="237"/>
      <c r="AE118" s="117"/>
      <c r="AF118" s="1092"/>
      <c r="AG118" s="1092"/>
      <c r="AH118" s="1093"/>
      <c r="AI118" s="8"/>
    </row>
    <row r="119" spans="1:35" x14ac:dyDescent="0.2">
      <c r="A119" s="1208"/>
      <c r="B119" s="1019"/>
      <c r="C119" s="1051"/>
      <c r="D119" s="1051"/>
      <c r="E119" s="1052"/>
      <c r="F119" s="1209"/>
      <c r="G119" s="1020"/>
      <c r="H119" s="1021"/>
      <c r="I119" s="1022"/>
      <c r="J119" s="1021"/>
      <c r="K119" s="1021"/>
      <c r="L119" s="1022"/>
      <c r="M119" s="1023"/>
      <c r="N119" s="1446"/>
      <c r="O119" s="8"/>
      <c r="P119" s="234"/>
      <c r="Q119" s="119"/>
      <c r="R119" s="234"/>
      <c r="S119" s="114"/>
      <c r="T119" s="235"/>
      <c r="U119" s="115"/>
      <c r="V119" s="821"/>
      <c r="W119" s="811"/>
      <c r="X119" s="821"/>
      <c r="Y119" s="811"/>
      <c r="Z119" s="236"/>
      <c r="AA119" s="116"/>
      <c r="AB119" s="234"/>
      <c r="AC119" s="116"/>
      <c r="AD119" s="237"/>
      <c r="AE119" s="117"/>
      <c r="AF119" s="1092"/>
      <c r="AG119" s="1092"/>
      <c r="AH119" s="1093"/>
      <c r="AI119" s="8"/>
    </row>
    <row r="120" spans="1:35" x14ac:dyDescent="0.2">
      <c r="A120" s="1208"/>
      <c r="B120" s="1019"/>
      <c r="C120" s="1051"/>
      <c r="D120" s="1040"/>
      <c r="E120" s="1052"/>
      <c r="F120" s="1209"/>
      <c r="G120" s="1020"/>
      <c r="H120" s="1021"/>
      <c r="I120" s="1022"/>
      <c r="J120" s="1021"/>
      <c r="K120" s="1021"/>
      <c r="L120" s="1022"/>
      <c r="M120" s="1023"/>
      <c r="N120" s="1446"/>
      <c r="O120" s="8"/>
      <c r="P120" s="234"/>
      <c r="Q120" s="119"/>
      <c r="R120" s="234"/>
      <c r="S120" s="114"/>
      <c r="T120" s="235"/>
      <c r="U120" s="115"/>
      <c r="V120" s="821"/>
      <c r="W120" s="811"/>
      <c r="X120" s="821"/>
      <c r="Y120" s="811"/>
      <c r="Z120" s="236"/>
      <c r="AA120" s="116"/>
      <c r="AB120" s="234"/>
      <c r="AC120" s="116"/>
      <c r="AD120" s="237"/>
      <c r="AE120" s="117"/>
      <c r="AF120" s="1092"/>
      <c r="AG120" s="1092"/>
      <c r="AH120" s="1093"/>
      <c r="AI120" s="8"/>
    </row>
    <row r="121" spans="1:35" x14ac:dyDescent="0.2">
      <c r="A121" s="1208"/>
      <c r="B121" s="1019"/>
      <c r="C121" s="1051"/>
      <c r="D121" s="1040"/>
      <c r="E121" s="1052"/>
      <c r="F121" s="1209"/>
      <c r="G121" s="1020"/>
      <c r="H121" s="1021"/>
      <c r="I121" s="1022"/>
      <c r="J121" s="1021"/>
      <c r="K121" s="1021"/>
      <c r="L121" s="1022"/>
      <c r="M121" s="1023"/>
      <c r="N121" s="1446"/>
      <c r="O121" s="8"/>
      <c r="P121" s="234"/>
      <c r="Q121" s="119"/>
      <c r="R121" s="234"/>
      <c r="S121" s="114"/>
      <c r="T121" s="235"/>
      <c r="U121" s="115"/>
      <c r="V121" s="821"/>
      <c r="W121" s="811"/>
      <c r="X121" s="821"/>
      <c r="Y121" s="811"/>
      <c r="Z121" s="236"/>
      <c r="AA121" s="116"/>
      <c r="AB121" s="234"/>
      <c r="AC121" s="116"/>
      <c r="AD121" s="237"/>
      <c r="AE121" s="117"/>
      <c r="AF121" s="1092"/>
      <c r="AG121" s="1092"/>
      <c r="AH121" s="1093"/>
      <c r="AI121" s="8"/>
    </row>
    <row r="122" spans="1:35" x14ac:dyDescent="0.2">
      <c r="A122" s="1208"/>
      <c r="B122" s="1019"/>
      <c r="C122" s="1051"/>
      <c r="D122" s="1040"/>
      <c r="E122" s="1052"/>
      <c r="F122" s="1209"/>
      <c r="G122" s="1020"/>
      <c r="H122" s="1021"/>
      <c r="I122" s="1022"/>
      <c r="J122" s="1021"/>
      <c r="K122" s="1021"/>
      <c r="L122" s="1022"/>
      <c r="M122" s="1023"/>
      <c r="N122" s="1446"/>
      <c r="O122" s="8"/>
      <c r="P122" s="234"/>
      <c r="Q122" s="119"/>
      <c r="R122" s="234"/>
      <c r="S122" s="114"/>
      <c r="T122" s="235"/>
      <c r="U122" s="115"/>
      <c r="V122" s="821"/>
      <c r="W122" s="811"/>
      <c r="X122" s="821"/>
      <c r="Y122" s="811"/>
      <c r="Z122" s="236"/>
      <c r="AA122" s="116"/>
      <c r="AB122" s="234"/>
      <c r="AC122" s="116"/>
      <c r="AD122" s="237"/>
      <c r="AE122" s="117"/>
      <c r="AF122" s="1092"/>
      <c r="AG122" s="1092"/>
      <c r="AH122" s="1093"/>
      <c r="AI122" s="8"/>
    </row>
    <row r="123" spans="1:35" x14ac:dyDescent="0.2">
      <c r="A123" s="1208"/>
      <c r="B123" s="630"/>
      <c r="C123" s="1051"/>
      <c r="D123" s="1040"/>
      <c r="E123" s="1052"/>
      <c r="F123" s="1209"/>
      <c r="G123" s="1020"/>
      <c r="H123" s="1021"/>
      <c r="I123" s="1022"/>
      <c r="J123" s="1021"/>
      <c r="K123" s="1021"/>
      <c r="L123" s="1022"/>
      <c r="M123" s="1023"/>
      <c r="N123" s="1446"/>
      <c r="O123" s="8"/>
      <c r="P123" s="234"/>
      <c r="Q123" s="119"/>
      <c r="R123" s="234"/>
      <c r="S123" s="114"/>
      <c r="T123" s="235"/>
      <c r="U123" s="115"/>
      <c r="V123" s="821"/>
      <c r="W123" s="811"/>
      <c r="X123" s="821"/>
      <c r="Y123" s="811"/>
      <c r="Z123" s="236"/>
      <c r="AA123" s="116"/>
      <c r="AB123" s="234"/>
      <c r="AC123" s="116"/>
      <c r="AD123" s="237"/>
      <c r="AE123" s="117"/>
      <c r="AF123" s="1092"/>
      <c r="AG123" s="1092"/>
      <c r="AH123" s="1093"/>
      <c r="AI123" s="8"/>
    </row>
    <row r="124" spans="1:35" x14ac:dyDescent="0.2">
      <c r="A124" s="1208"/>
      <c r="B124" s="1067"/>
      <c r="C124" s="1051"/>
      <c r="D124" s="1040"/>
      <c r="E124" s="1052"/>
      <c r="F124" s="1209"/>
      <c r="G124" s="1020"/>
      <c r="H124" s="1021"/>
      <c r="I124" s="1022"/>
      <c r="J124" s="1021"/>
      <c r="K124" s="1021"/>
      <c r="L124" s="1022"/>
      <c r="M124" s="1023"/>
      <c r="N124" s="1446"/>
      <c r="O124" s="8"/>
      <c r="P124" s="234"/>
      <c r="Q124" s="119"/>
      <c r="R124" s="234"/>
      <c r="S124" s="114"/>
      <c r="T124" s="235"/>
      <c r="U124" s="115"/>
      <c r="V124" s="821"/>
      <c r="W124" s="811"/>
      <c r="X124" s="821"/>
      <c r="Y124" s="811"/>
      <c r="Z124" s="236"/>
      <c r="AA124" s="116"/>
      <c r="AB124" s="234"/>
      <c r="AC124" s="116"/>
      <c r="AD124" s="237"/>
      <c r="AE124" s="117"/>
      <c r="AF124" s="1092"/>
      <c r="AG124" s="1092"/>
      <c r="AH124" s="1093"/>
      <c r="AI124" s="8"/>
    </row>
    <row r="125" spans="1:35" x14ac:dyDescent="0.2">
      <c r="A125" s="1208"/>
      <c r="B125" s="1019"/>
      <c r="C125" s="1051"/>
      <c r="D125" s="1040"/>
      <c r="E125" s="1052"/>
      <c r="F125" s="1209"/>
      <c r="G125" s="1020"/>
      <c r="H125" s="1021"/>
      <c r="I125" s="1022"/>
      <c r="J125" s="1021"/>
      <c r="K125" s="1021"/>
      <c r="L125" s="1022"/>
      <c r="M125" s="1023"/>
      <c r="N125" s="1446"/>
      <c r="O125" s="8"/>
      <c r="P125" s="234"/>
      <c r="Q125" s="119"/>
      <c r="R125" s="234"/>
      <c r="S125" s="114"/>
      <c r="T125" s="235"/>
      <c r="U125" s="115"/>
      <c r="V125" s="821"/>
      <c r="W125" s="811"/>
      <c r="X125" s="821"/>
      <c r="Y125" s="811"/>
      <c r="Z125" s="236"/>
      <c r="AA125" s="116"/>
      <c r="AB125" s="234"/>
      <c r="AC125" s="116"/>
      <c r="AD125" s="237"/>
      <c r="AE125" s="117"/>
      <c r="AF125" s="1092"/>
      <c r="AG125" s="1092"/>
      <c r="AH125" s="1093"/>
      <c r="AI125" s="8"/>
    </row>
    <row r="126" spans="1:35" x14ac:dyDescent="0.2">
      <c r="A126" s="1208"/>
      <c r="B126" s="1019"/>
      <c r="C126" s="1051"/>
      <c r="D126" s="1040"/>
      <c r="E126" s="1052"/>
      <c r="F126" s="1209"/>
      <c r="G126" s="1159"/>
      <c r="H126" s="1021"/>
      <c r="I126" s="1022"/>
      <c r="J126" s="1021"/>
      <c r="K126" s="1021"/>
      <c r="L126" s="1022"/>
      <c r="M126" s="1023"/>
      <c r="N126" s="1446"/>
      <c r="O126" s="8"/>
      <c r="P126" s="234"/>
      <c r="Q126" s="119"/>
      <c r="R126" s="234"/>
      <c r="S126" s="114"/>
      <c r="T126" s="235"/>
      <c r="U126" s="115"/>
      <c r="V126" s="821"/>
      <c r="W126" s="811"/>
      <c r="X126" s="821"/>
      <c r="Y126" s="811"/>
      <c r="Z126" s="236"/>
      <c r="AA126" s="116"/>
      <c r="AB126" s="234"/>
      <c r="AC126" s="116"/>
      <c r="AD126" s="237"/>
      <c r="AE126" s="117"/>
      <c r="AF126" s="1092"/>
      <c r="AG126" s="1092"/>
      <c r="AH126" s="1093"/>
      <c r="AI126" s="8"/>
    </row>
    <row r="127" spans="1:35" x14ac:dyDescent="0.2">
      <c r="A127" s="1208"/>
      <c r="B127" s="1019"/>
      <c r="C127" s="1051"/>
      <c r="D127" s="1040"/>
      <c r="E127" s="1052"/>
      <c r="F127" s="1209"/>
      <c r="G127" s="1020"/>
      <c r="H127" s="1021"/>
      <c r="I127" s="1022"/>
      <c r="J127" s="1021"/>
      <c r="K127" s="1021"/>
      <c r="L127" s="1022"/>
      <c r="M127" s="1023"/>
      <c r="N127" s="1446"/>
      <c r="O127" s="8"/>
      <c r="P127" s="234"/>
      <c r="Q127" s="119"/>
      <c r="R127" s="234"/>
      <c r="S127" s="114"/>
      <c r="T127" s="235"/>
      <c r="U127" s="115"/>
      <c r="V127" s="821"/>
      <c r="W127" s="811"/>
      <c r="X127" s="821"/>
      <c r="Y127" s="811"/>
      <c r="Z127" s="236"/>
      <c r="AA127" s="116"/>
      <c r="AB127" s="234"/>
      <c r="AC127" s="116"/>
      <c r="AD127" s="237"/>
      <c r="AE127" s="117"/>
      <c r="AF127" s="1092"/>
      <c r="AG127" s="1092"/>
      <c r="AH127" s="1093"/>
      <c r="AI127" s="8"/>
    </row>
    <row r="128" spans="1:35" x14ac:dyDescent="0.2">
      <c r="A128" s="1208"/>
      <c r="B128" s="1019"/>
      <c r="C128" s="1051"/>
      <c r="D128" s="1040"/>
      <c r="E128" s="1052"/>
      <c r="F128" s="1502"/>
      <c r="G128" s="1503"/>
      <c r="H128" s="1021"/>
      <c r="I128" s="1022"/>
      <c r="J128" s="1021"/>
      <c r="K128" s="1021"/>
      <c r="L128" s="1022"/>
      <c r="M128" s="1023"/>
      <c r="N128" s="1446"/>
      <c r="O128" s="8"/>
      <c r="P128" s="234"/>
      <c r="Q128" s="119"/>
      <c r="R128" s="234"/>
      <c r="S128" s="114"/>
      <c r="T128" s="235"/>
      <c r="U128" s="115"/>
      <c r="V128" s="821"/>
      <c r="W128" s="811"/>
      <c r="X128" s="821"/>
      <c r="Y128" s="811"/>
      <c r="Z128" s="236"/>
      <c r="AA128" s="116"/>
      <c r="AB128" s="234"/>
      <c r="AC128" s="116"/>
      <c r="AD128" s="237"/>
      <c r="AE128" s="117"/>
      <c r="AF128" s="1092"/>
      <c r="AG128" s="1092"/>
      <c r="AH128" s="1093"/>
      <c r="AI128" s="8"/>
    </row>
    <row r="129" spans="1:35" x14ac:dyDescent="0.2">
      <c r="A129" s="1208"/>
      <c r="B129" s="1019"/>
      <c r="C129" s="1051"/>
      <c r="D129" s="1040"/>
      <c r="E129" s="1052"/>
      <c r="F129" s="1209"/>
      <c r="G129" s="1020"/>
      <c r="H129" s="1021"/>
      <c r="I129" s="1022"/>
      <c r="J129" s="1021"/>
      <c r="K129" s="1021"/>
      <c r="L129" s="1022"/>
      <c r="M129" s="1023"/>
      <c r="N129" s="1446"/>
      <c r="O129" s="8"/>
      <c r="P129" s="234"/>
      <c r="Q129" s="119"/>
      <c r="R129" s="234"/>
      <c r="S129" s="114"/>
      <c r="T129" s="235"/>
      <c r="U129" s="115"/>
      <c r="V129" s="821"/>
      <c r="W129" s="811"/>
      <c r="X129" s="821"/>
      <c r="Y129" s="811"/>
      <c r="Z129" s="236"/>
      <c r="AA129" s="116"/>
      <c r="AB129" s="234"/>
      <c r="AC129" s="116"/>
      <c r="AD129" s="237"/>
      <c r="AE129" s="117"/>
      <c r="AF129" s="1092"/>
      <c r="AG129" s="1092"/>
      <c r="AH129" s="1093"/>
      <c r="AI129" s="8"/>
    </row>
    <row r="130" spans="1:35" x14ac:dyDescent="0.2">
      <c r="A130" s="1208"/>
      <c r="B130" s="1019"/>
      <c r="C130" s="1051"/>
      <c r="D130" s="1040"/>
      <c r="E130" s="1052"/>
      <c r="F130" s="1209"/>
      <c r="G130" s="1020"/>
      <c r="H130" s="1021"/>
      <c r="I130" s="1022"/>
      <c r="J130" s="1021"/>
      <c r="K130" s="1021"/>
      <c r="L130" s="1138"/>
      <c r="M130" s="1023"/>
      <c r="N130" s="1446"/>
      <c r="O130" s="8"/>
      <c r="P130" s="234"/>
      <c r="Q130" s="119"/>
      <c r="R130" s="234"/>
      <c r="S130" s="114"/>
      <c r="T130" s="235"/>
      <c r="U130" s="115"/>
      <c r="V130" s="821"/>
      <c r="W130" s="811"/>
      <c r="X130" s="821"/>
      <c r="Y130" s="811"/>
      <c r="Z130" s="236"/>
      <c r="AA130" s="116"/>
      <c r="AB130" s="234"/>
      <c r="AC130" s="116"/>
      <c r="AD130" s="237"/>
      <c r="AE130" s="117"/>
      <c r="AF130" s="1092"/>
      <c r="AG130" s="1092"/>
      <c r="AH130" s="1093"/>
      <c r="AI130" s="8"/>
    </row>
    <row r="131" spans="1:35" x14ac:dyDescent="0.2">
      <c r="A131" s="1208"/>
      <c r="B131" s="1019"/>
      <c r="C131" s="1051"/>
      <c r="D131" s="1040"/>
      <c r="E131" s="1052"/>
      <c r="F131" s="1209"/>
      <c r="G131" s="1020"/>
      <c r="H131" s="1021"/>
      <c r="I131" s="1022"/>
      <c r="J131" s="1021"/>
      <c r="K131" s="1021"/>
      <c r="L131" s="1022"/>
      <c r="M131" s="1023"/>
      <c r="N131" s="1446"/>
      <c r="O131" s="8"/>
      <c r="P131" s="234"/>
      <c r="Q131" s="119"/>
      <c r="R131" s="234"/>
      <c r="S131" s="114"/>
      <c r="T131" s="235"/>
      <c r="U131" s="115"/>
      <c r="V131" s="821"/>
      <c r="W131" s="811"/>
      <c r="X131" s="821"/>
      <c r="Y131" s="811"/>
      <c r="Z131" s="236"/>
      <c r="AA131" s="116"/>
      <c r="AB131" s="234"/>
      <c r="AC131" s="116"/>
      <c r="AD131" s="237"/>
      <c r="AE131" s="117"/>
      <c r="AF131" s="1092"/>
      <c r="AG131" s="1092"/>
      <c r="AH131" s="1093"/>
      <c r="AI131" s="8"/>
    </row>
    <row r="132" spans="1:35" x14ac:dyDescent="0.2">
      <c r="A132" s="1208"/>
      <c r="B132" s="1019"/>
      <c r="C132" s="1051"/>
      <c r="D132" s="1040"/>
      <c r="E132" s="1052"/>
      <c r="F132" s="1209"/>
      <c r="G132" s="1020"/>
      <c r="H132" s="1021"/>
      <c r="I132" s="1022"/>
      <c r="J132" s="1021"/>
      <c r="K132" s="1021"/>
      <c r="L132" s="1022"/>
      <c r="M132" s="1023"/>
      <c r="N132" s="1446"/>
      <c r="O132" s="8"/>
      <c r="P132" s="234"/>
      <c r="Q132" s="119"/>
      <c r="R132" s="234"/>
      <c r="S132" s="114"/>
      <c r="T132" s="235"/>
      <c r="U132" s="115"/>
      <c r="V132" s="821"/>
      <c r="W132" s="811"/>
      <c r="X132" s="821"/>
      <c r="Y132" s="811"/>
      <c r="Z132" s="236"/>
      <c r="AA132" s="116"/>
      <c r="AB132" s="234"/>
      <c r="AC132" s="116"/>
      <c r="AD132" s="237"/>
      <c r="AE132" s="117"/>
      <c r="AF132" s="1092"/>
      <c r="AG132" s="1092"/>
      <c r="AH132" s="1093"/>
      <c r="AI132" s="8"/>
    </row>
    <row r="133" spans="1:35" x14ac:dyDescent="0.2">
      <c r="A133" s="1208"/>
      <c r="B133" s="1019"/>
      <c r="C133" s="1051"/>
      <c r="D133" s="1040"/>
      <c r="E133" s="1052"/>
      <c r="F133" s="1209"/>
      <c r="G133" s="1020"/>
      <c r="H133" s="1021"/>
      <c r="I133" s="1022"/>
      <c r="J133" s="1021"/>
      <c r="K133" s="1021"/>
      <c r="L133" s="1022"/>
      <c r="M133" s="1023"/>
      <c r="N133" s="1446"/>
      <c r="O133" s="8"/>
      <c r="P133" s="234"/>
      <c r="Q133" s="119"/>
      <c r="R133" s="234"/>
      <c r="S133" s="114"/>
      <c r="T133" s="235"/>
      <c r="U133" s="115"/>
      <c r="V133" s="821"/>
      <c r="W133" s="811"/>
      <c r="X133" s="821"/>
      <c r="Y133" s="811"/>
      <c r="Z133" s="236"/>
      <c r="AA133" s="116"/>
      <c r="AB133" s="234"/>
      <c r="AC133" s="116"/>
      <c r="AD133" s="237"/>
      <c r="AE133" s="117"/>
      <c r="AF133" s="1092"/>
      <c r="AG133" s="1092"/>
      <c r="AH133" s="1093"/>
      <c r="AI133" s="8"/>
    </row>
    <row r="134" spans="1:35" x14ac:dyDescent="0.2">
      <c r="A134" s="1208"/>
      <c r="B134" s="1019"/>
      <c r="C134" s="1051"/>
      <c r="D134" s="1040"/>
      <c r="E134" s="1052"/>
      <c r="F134" s="1209"/>
      <c r="G134" s="1020"/>
      <c r="H134" s="1021"/>
      <c r="I134" s="1022"/>
      <c r="J134" s="1021"/>
      <c r="K134" s="1021"/>
      <c r="L134" s="1022"/>
      <c r="M134" s="1023"/>
      <c r="N134" s="1446"/>
      <c r="O134" s="8"/>
      <c r="P134" s="234"/>
      <c r="Q134" s="119"/>
      <c r="R134" s="234"/>
      <c r="S134" s="114"/>
      <c r="T134" s="235"/>
      <c r="U134" s="115"/>
      <c r="V134" s="821"/>
      <c r="W134" s="811"/>
      <c r="X134" s="821"/>
      <c r="Y134" s="811"/>
      <c r="Z134" s="236"/>
      <c r="AA134" s="116"/>
      <c r="AB134" s="234"/>
      <c r="AC134" s="116"/>
      <c r="AD134" s="237"/>
      <c r="AE134" s="117"/>
      <c r="AF134" s="1092"/>
      <c r="AG134" s="1092"/>
      <c r="AH134" s="1093"/>
      <c r="AI134" s="8"/>
    </row>
    <row r="135" spans="1:35" x14ac:dyDescent="0.2">
      <c r="A135" s="1208"/>
      <c r="B135" s="1019"/>
      <c r="C135" s="1051"/>
      <c r="D135" s="1040"/>
      <c r="E135" s="1052"/>
      <c r="F135" s="1209"/>
      <c r="G135" s="1020"/>
      <c r="H135" s="1021"/>
      <c r="I135" s="1022"/>
      <c r="J135" s="1021"/>
      <c r="K135" s="1021"/>
      <c r="L135" s="1022"/>
      <c r="M135" s="1023"/>
      <c r="N135" s="1446"/>
      <c r="O135" s="8"/>
      <c r="P135" s="234"/>
      <c r="Q135" s="119"/>
      <c r="R135" s="234"/>
      <c r="S135" s="114"/>
      <c r="T135" s="235"/>
      <c r="U135" s="115"/>
      <c r="V135" s="821"/>
      <c r="W135" s="811"/>
      <c r="X135" s="821"/>
      <c r="Y135" s="811"/>
      <c r="Z135" s="236"/>
      <c r="AA135" s="116"/>
      <c r="AB135" s="234"/>
      <c r="AC135" s="116"/>
      <c r="AD135" s="237"/>
      <c r="AE135" s="117"/>
      <c r="AF135" s="1092"/>
      <c r="AG135" s="1092"/>
      <c r="AH135" s="1093"/>
      <c r="AI135" s="8"/>
    </row>
    <row r="136" spans="1:35" x14ac:dyDescent="0.2">
      <c r="A136" s="1208"/>
      <c r="B136" s="1042"/>
      <c r="C136" s="1051"/>
      <c r="D136" s="1040"/>
      <c r="E136" s="1052"/>
      <c r="F136" s="1209"/>
      <c r="G136" s="1159"/>
      <c r="H136" s="1021"/>
      <c r="I136" s="1022"/>
      <c r="J136" s="1021"/>
      <c r="K136" s="1021"/>
      <c r="L136" s="1022"/>
      <c r="M136" s="343"/>
      <c r="N136" s="1446"/>
      <c r="O136" s="8"/>
      <c r="P136" s="234"/>
      <c r="Q136" s="119"/>
      <c r="R136" s="234"/>
      <c r="S136" s="114"/>
      <c r="T136" s="235"/>
      <c r="U136" s="115"/>
      <c r="V136" s="821"/>
      <c r="W136" s="811"/>
      <c r="X136" s="821"/>
      <c r="Y136" s="811"/>
      <c r="Z136" s="236"/>
      <c r="AA136" s="116"/>
      <c r="AB136" s="234"/>
      <c r="AC136" s="116"/>
      <c r="AD136" s="237"/>
      <c r="AE136" s="117"/>
      <c r="AF136" s="1092"/>
      <c r="AG136" s="1092"/>
      <c r="AH136" s="1093"/>
      <c r="AI136" s="8"/>
    </row>
    <row r="137" spans="1:35" x14ac:dyDescent="0.2">
      <c r="A137" s="1208"/>
      <c r="B137" s="1019"/>
      <c r="C137" s="1051"/>
      <c r="D137" s="1040"/>
      <c r="E137" s="1052"/>
      <c r="F137" s="1209"/>
      <c r="G137" s="1020"/>
      <c r="H137" s="1021"/>
      <c r="I137" s="1022"/>
      <c r="J137" s="1021"/>
      <c r="K137" s="1021"/>
      <c r="L137" s="1022"/>
      <c r="M137" s="1023"/>
      <c r="N137" s="1446"/>
      <c r="O137" s="8"/>
      <c r="P137" s="234"/>
      <c r="Q137" s="119"/>
      <c r="R137" s="234"/>
      <c r="S137" s="114"/>
      <c r="T137" s="235"/>
      <c r="U137" s="115"/>
      <c r="V137" s="821"/>
      <c r="W137" s="811"/>
      <c r="X137" s="821"/>
      <c r="Y137" s="811"/>
      <c r="Z137" s="236"/>
      <c r="AA137" s="116"/>
      <c r="AB137" s="234"/>
      <c r="AC137" s="116"/>
      <c r="AD137" s="237"/>
      <c r="AE137" s="117"/>
      <c r="AF137" s="1092"/>
      <c r="AG137" s="1092"/>
      <c r="AH137" s="1093"/>
      <c r="AI137" s="8"/>
    </row>
    <row r="138" spans="1:35" x14ac:dyDescent="0.2">
      <c r="A138" s="1208"/>
      <c r="B138" s="1019"/>
      <c r="C138" s="1051"/>
      <c r="D138" s="1040"/>
      <c r="E138" s="1052"/>
      <c r="F138" s="1209"/>
      <c r="G138" s="1020"/>
      <c r="H138" s="1021"/>
      <c r="I138" s="1022"/>
      <c r="J138" s="1021"/>
      <c r="K138" s="1021"/>
      <c r="L138" s="1022"/>
      <c r="M138" s="1023"/>
      <c r="N138" s="1446"/>
      <c r="O138" s="8"/>
      <c r="P138" s="234"/>
      <c r="Q138" s="119"/>
      <c r="R138" s="234"/>
      <c r="S138" s="114"/>
      <c r="T138" s="235"/>
      <c r="U138" s="115"/>
      <c r="V138" s="821"/>
      <c r="W138" s="811"/>
      <c r="X138" s="821"/>
      <c r="Y138" s="811"/>
      <c r="Z138" s="236"/>
      <c r="AA138" s="116"/>
      <c r="AB138" s="234"/>
      <c r="AC138" s="116"/>
      <c r="AD138" s="237"/>
      <c r="AE138" s="117"/>
      <c r="AF138" s="1092"/>
      <c r="AG138" s="1092"/>
      <c r="AH138" s="1093"/>
      <c r="AI138" s="8"/>
    </row>
    <row r="139" spans="1:35" x14ac:dyDescent="0.2">
      <c r="A139" s="1208"/>
      <c r="B139" s="1019"/>
      <c r="C139" s="1051"/>
      <c r="D139" s="1040"/>
      <c r="E139" s="1052"/>
      <c r="F139" s="1209"/>
      <c r="G139" s="1020"/>
      <c r="H139" s="1021"/>
      <c r="I139" s="1022"/>
      <c r="J139" s="1021"/>
      <c r="K139" s="1021"/>
      <c r="L139" s="1022"/>
      <c r="M139" s="1023"/>
      <c r="N139" s="1446"/>
      <c r="O139" s="8"/>
      <c r="P139" s="234"/>
      <c r="Q139" s="119"/>
      <c r="R139" s="234"/>
      <c r="S139" s="114"/>
      <c r="T139" s="235"/>
      <c r="U139" s="115"/>
      <c r="V139" s="821"/>
      <c r="W139" s="811"/>
      <c r="X139" s="821"/>
      <c r="Y139" s="811"/>
      <c r="Z139" s="236"/>
      <c r="AA139" s="116"/>
      <c r="AB139" s="234"/>
      <c r="AC139" s="116"/>
      <c r="AD139" s="237"/>
      <c r="AE139" s="117"/>
      <c r="AF139" s="1092"/>
      <c r="AG139" s="1092"/>
      <c r="AH139" s="1093"/>
      <c r="AI139" s="8"/>
    </row>
    <row r="140" spans="1:35" x14ac:dyDescent="0.2">
      <c r="A140" s="1208"/>
      <c r="B140" s="1019"/>
      <c r="C140" s="1051"/>
      <c r="D140" s="1040"/>
      <c r="E140" s="1052"/>
      <c r="F140" s="1209"/>
      <c r="G140" s="1159"/>
      <c r="H140" s="1021"/>
      <c r="I140" s="1022"/>
      <c r="J140" s="1021"/>
      <c r="K140" s="1021"/>
      <c r="L140" s="1022"/>
      <c r="M140" s="1154"/>
      <c r="N140" s="1446"/>
      <c r="O140" s="8"/>
      <c r="P140" s="234"/>
      <c r="Q140" s="119"/>
      <c r="R140" s="234"/>
      <c r="S140" s="114"/>
      <c r="T140" s="235"/>
      <c r="U140" s="115"/>
      <c r="V140" s="821"/>
      <c r="W140" s="811"/>
      <c r="X140" s="821"/>
      <c r="Y140" s="811"/>
      <c r="Z140" s="236"/>
      <c r="AA140" s="116"/>
      <c r="AB140" s="234"/>
      <c r="AC140" s="116"/>
      <c r="AD140" s="237"/>
      <c r="AE140" s="117"/>
      <c r="AF140" s="1092"/>
      <c r="AG140" s="1092"/>
      <c r="AH140" s="1093"/>
      <c r="AI140" s="8"/>
    </row>
    <row r="141" spans="1:35" x14ac:dyDescent="0.2">
      <c r="A141" s="1208"/>
      <c r="B141" s="1019"/>
      <c r="C141" s="1051"/>
      <c r="D141" s="1040"/>
      <c r="E141" s="1052"/>
      <c r="F141" s="1209"/>
      <c r="G141" s="1020"/>
      <c r="H141" s="1021"/>
      <c r="I141" s="1022"/>
      <c r="J141" s="1021"/>
      <c r="K141" s="1021"/>
      <c r="L141" s="1022"/>
      <c r="M141" s="1023"/>
      <c r="N141" s="1446"/>
      <c r="O141" s="8"/>
      <c r="P141" s="234"/>
      <c r="Q141" s="119"/>
      <c r="R141" s="234"/>
      <c r="S141" s="114"/>
      <c r="T141" s="235"/>
      <c r="U141" s="115"/>
      <c r="V141" s="821"/>
      <c r="W141" s="811"/>
      <c r="X141" s="821"/>
      <c r="Y141" s="811"/>
      <c r="Z141" s="236"/>
      <c r="AA141" s="116"/>
      <c r="AB141" s="234"/>
      <c r="AC141" s="116"/>
      <c r="AD141" s="237"/>
      <c r="AE141" s="117"/>
      <c r="AF141" s="1092"/>
      <c r="AG141" s="1092"/>
      <c r="AH141" s="1093"/>
      <c r="AI141" s="8"/>
    </row>
    <row r="142" spans="1:35" x14ac:dyDescent="0.2">
      <c r="A142" s="1208"/>
      <c r="B142" s="1042"/>
      <c r="C142" s="1051"/>
      <c r="D142" s="1040"/>
      <c r="E142" s="1052"/>
      <c r="F142" s="1209"/>
      <c r="G142" s="1020"/>
      <c r="H142" s="1021"/>
      <c r="I142" s="1022"/>
      <c r="J142" s="1021"/>
      <c r="K142" s="1021"/>
      <c r="L142" s="1022"/>
      <c r="M142" s="1023"/>
      <c r="N142" s="1446"/>
      <c r="O142" s="8"/>
      <c r="P142" s="234"/>
      <c r="Q142" s="119"/>
      <c r="R142" s="234"/>
      <c r="S142" s="114"/>
      <c r="T142" s="235"/>
      <c r="U142" s="115"/>
      <c r="V142" s="821"/>
      <c r="W142" s="811"/>
      <c r="X142" s="821"/>
      <c r="Y142" s="811"/>
      <c r="Z142" s="236"/>
      <c r="AA142" s="116"/>
      <c r="AB142" s="234"/>
      <c r="AC142" s="116"/>
      <c r="AD142" s="237"/>
      <c r="AE142" s="117"/>
      <c r="AF142" s="1092"/>
      <c r="AG142" s="1092"/>
      <c r="AH142" s="1093"/>
      <c r="AI142" s="8"/>
    </row>
    <row r="143" spans="1:35" x14ac:dyDescent="0.2">
      <c r="A143" s="1208"/>
      <c r="B143" s="1019"/>
      <c r="C143" s="1051"/>
      <c r="D143" s="1040"/>
      <c r="E143" s="1052"/>
      <c r="F143" s="1477"/>
      <c r="G143" s="1361"/>
      <c r="H143" s="1021"/>
      <c r="I143" s="1022"/>
      <c r="J143" s="1021"/>
      <c r="K143" s="1021"/>
      <c r="L143" s="1022"/>
      <c r="M143" s="1023"/>
      <c r="N143" s="1446"/>
      <c r="O143" s="8"/>
      <c r="P143" s="234"/>
      <c r="Q143" s="119"/>
      <c r="R143" s="234"/>
      <c r="S143" s="114"/>
      <c r="T143" s="235"/>
      <c r="U143" s="115"/>
      <c r="V143" s="821"/>
      <c r="W143" s="811"/>
      <c r="X143" s="821"/>
      <c r="Y143" s="811"/>
      <c r="Z143" s="236"/>
      <c r="AA143" s="116"/>
      <c r="AB143" s="234"/>
      <c r="AC143" s="116"/>
      <c r="AD143" s="237"/>
      <c r="AE143" s="117"/>
      <c r="AF143" s="1092"/>
      <c r="AG143" s="1092"/>
      <c r="AH143" s="1093"/>
      <c r="AI143" s="8"/>
    </row>
    <row r="144" spans="1:35" x14ac:dyDescent="0.2">
      <c r="A144" s="1208"/>
      <c r="B144" s="1019"/>
      <c r="C144" s="1051"/>
      <c r="D144" s="1040"/>
      <c r="E144" s="1052"/>
      <c r="F144" s="1477"/>
      <c r="G144" s="1361"/>
      <c r="H144" s="1021"/>
      <c r="I144" s="1022"/>
      <c r="J144" s="1021"/>
      <c r="K144" s="1021"/>
      <c r="L144" s="1022"/>
      <c r="M144" s="1023"/>
      <c r="N144" s="1446"/>
      <c r="O144" s="8"/>
      <c r="P144" s="234"/>
      <c r="Q144" s="119"/>
      <c r="R144" s="234"/>
      <c r="S144" s="114"/>
      <c r="T144" s="235"/>
      <c r="U144" s="115"/>
      <c r="V144" s="821"/>
      <c r="W144" s="811"/>
      <c r="X144" s="821"/>
      <c r="Y144" s="811"/>
      <c r="Z144" s="236"/>
      <c r="AA144" s="116"/>
      <c r="AB144" s="234"/>
      <c r="AC144" s="116"/>
      <c r="AD144" s="237"/>
      <c r="AE144" s="117"/>
      <c r="AF144" s="1092"/>
      <c r="AG144" s="1092"/>
      <c r="AH144" s="1093"/>
      <c r="AI144" s="8"/>
    </row>
    <row r="145" spans="1:35" x14ac:dyDescent="0.2">
      <c r="A145" s="1208"/>
      <c r="B145" s="1019"/>
      <c r="C145" s="1051"/>
      <c r="D145" s="1040"/>
      <c r="E145" s="1052"/>
      <c r="F145" s="1209"/>
      <c r="G145" s="1020"/>
      <c r="H145" s="1021"/>
      <c r="I145" s="1022"/>
      <c r="J145" s="1021"/>
      <c r="K145" s="1021"/>
      <c r="L145" s="1022"/>
      <c r="M145" s="1023"/>
      <c r="N145" s="1446"/>
      <c r="O145" s="8"/>
      <c r="P145" s="234"/>
      <c r="Q145" s="119"/>
      <c r="R145" s="234"/>
      <c r="S145" s="114"/>
      <c r="T145" s="235"/>
      <c r="U145" s="115"/>
      <c r="V145" s="821"/>
      <c r="W145" s="811"/>
      <c r="X145" s="821"/>
      <c r="Y145" s="811"/>
      <c r="Z145" s="236"/>
      <c r="AA145" s="116"/>
      <c r="AB145" s="234"/>
      <c r="AC145" s="116"/>
      <c r="AD145" s="237"/>
      <c r="AE145" s="117"/>
      <c r="AF145" s="1092"/>
      <c r="AG145" s="1092"/>
      <c r="AH145" s="1093"/>
      <c r="AI145" s="8"/>
    </row>
    <row r="146" spans="1:35" x14ac:dyDescent="0.2">
      <c r="A146" s="1208"/>
      <c r="B146" s="1019"/>
      <c r="C146" s="1051"/>
      <c r="D146" s="1040"/>
      <c r="E146" s="1052"/>
      <c r="F146" s="1209"/>
      <c r="G146" s="1020"/>
      <c r="H146" s="1021"/>
      <c r="I146" s="1022"/>
      <c r="J146" s="1021"/>
      <c r="K146" s="1021"/>
      <c r="L146" s="1022"/>
      <c r="M146" s="1023"/>
      <c r="N146" s="1446"/>
      <c r="O146" s="8"/>
      <c r="P146" s="234"/>
      <c r="Q146" s="119"/>
      <c r="R146" s="234"/>
      <c r="S146" s="114"/>
      <c r="T146" s="235"/>
      <c r="U146" s="115"/>
      <c r="V146" s="821"/>
      <c r="W146" s="811"/>
      <c r="X146" s="821"/>
      <c r="Y146" s="811"/>
      <c r="Z146" s="236"/>
      <c r="AA146" s="116"/>
      <c r="AB146" s="234"/>
      <c r="AC146" s="116"/>
      <c r="AD146" s="237"/>
      <c r="AE146" s="117"/>
      <c r="AF146" s="1092"/>
      <c r="AG146" s="1092"/>
      <c r="AH146" s="1093"/>
      <c r="AI146" s="8"/>
    </row>
    <row r="147" spans="1:35" x14ac:dyDescent="0.2">
      <c r="A147" s="1208"/>
      <c r="B147" s="1019"/>
      <c r="C147" s="1051"/>
      <c r="D147" s="1040"/>
      <c r="E147" s="1052"/>
      <c r="F147" s="1209"/>
      <c r="G147" s="1020"/>
      <c r="H147" s="1021"/>
      <c r="I147" s="1022"/>
      <c r="J147" s="1021"/>
      <c r="K147" s="1021"/>
      <c r="L147" s="1022"/>
      <c r="M147" s="1023"/>
      <c r="N147" s="1446"/>
      <c r="O147" s="8"/>
      <c r="P147" s="234"/>
      <c r="Q147" s="119"/>
      <c r="R147" s="234"/>
      <c r="S147" s="114"/>
      <c r="T147" s="235"/>
      <c r="U147" s="115"/>
      <c r="V147" s="821"/>
      <c r="W147" s="811"/>
      <c r="X147" s="821"/>
      <c r="Y147" s="811"/>
      <c r="Z147" s="236"/>
      <c r="AA147" s="116"/>
      <c r="AB147" s="234"/>
      <c r="AC147" s="116"/>
      <c r="AD147" s="237"/>
      <c r="AE147" s="117"/>
      <c r="AF147" s="1092"/>
      <c r="AG147" s="1092"/>
      <c r="AH147" s="1093"/>
      <c r="AI147" s="8"/>
    </row>
    <row r="148" spans="1:35" x14ac:dyDescent="0.2">
      <c r="A148" s="1208"/>
      <c r="B148" s="1019"/>
      <c r="C148" s="1051"/>
      <c r="D148" s="1040"/>
      <c r="E148" s="1052"/>
      <c r="F148" s="1209"/>
      <c r="G148" s="1020"/>
      <c r="H148" s="1021"/>
      <c r="I148" s="1022"/>
      <c r="J148" s="1021"/>
      <c r="K148" s="1021"/>
      <c r="L148" s="1022"/>
      <c r="M148" s="1023"/>
      <c r="N148" s="1446"/>
      <c r="O148" s="8"/>
      <c r="P148" s="234"/>
      <c r="Q148" s="119"/>
      <c r="R148" s="234"/>
      <c r="S148" s="114"/>
      <c r="T148" s="235"/>
      <c r="U148" s="115"/>
      <c r="V148" s="821"/>
      <c r="W148" s="811"/>
      <c r="X148" s="821"/>
      <c r="Y148" s="811"/>
      <c r="Z148" s="236"/>
      <c r="AA148" s="116"/>
      <c r="AB148" s="234"/>
      <c r="AC148" s="116"/>
      <c r="AD148" s="237"/>
      <c r="AE148" s="117"/>
      <c r="AF148" s="1092"/>
      <c r="AG148" s="1092"/>
      <c r="AH148" s="1093"/>
      <c r="AI148" s="8"/>
    </row>
    <row r="149" spans="1:35" x14ac:dyDescent="0.2">
      <c r="A149" s="1208"/>
      <c r="B149" s="1019"/>
      <c r="C149" s="1051"/>
      <c r="D149" s="1040"/>
      <c r="E149" s="1052"/>
      <c r="F149" s="1209"/>
      <c r="G149" s="1487"/>
      <c r="H149" s="1021"/>
      <c r="I149" s="1022"/>
      <c r="J149" s="1021"/>
      <c r="K149" s="1021"/>
      <c r="L149" s="1022"/>
      <c r="M149" s="1023"/>
      <c r="N149" s="1446"/>
      <c r="O149" s="8"/>
      <c r="P149" s="234"/>
      <c r="Q149" s="119"/>
      <c r="R149" s="234"/>
      <c r="S149" s="114"/>
      <c r="T149" s="235"/>
      <c r="U149" s="115"/>
      <c r="V149" s="821"/>
      <c r="W149" s="811"/>
      <c r="X149" s="821"/>
      <c r="Y149" s="811"/>
      <c r="Z149" s="236"/>
      <c r="AA149" s="116"/>
      <c r="AB149" s="234"/>
      <c r="AC149" s="116"/>
      <c r="AD149" s="237"/>
      <c r="AE149" s="117"/>
      <c r="AF149" s="1092"/>
      <c r="AG149" s="1092"/>
      <c r="AH149" s="1093"/>
      <c r="AI149" s="8"/>
    </row>
    <row r="150" spans="1:35" x14ac:dyDescent="0.2">
      <c r="A150" s="1208"/>
      <c r="B150" s="1067"/>
      <c r="C150" s="1051"/>
      <c r="D150" s="1040"/>
      <c r="E150" s="1052"/>
      <c r="F150" s="1209"/>
      <c r="G150" s="1501"/>
      <c r="H150" s="1021"/>
      <c r="I150" s="1022"/>
      <c r="J150" s="1021"/>
      <c r="K150" s="1021"/>
      <c r="L150" s="1022"/>
      <c r="M150" s="1023"/>
      <c r="N150" s="1446"/>
      <c r="O150" s="8"/>
      <c r="P150" s="234"/>
      <c r="Q150" s="119"/>
      <c r="R150" s="234"/>
      <c r="S150" s="114"/>
      <c r="T150" s="235"/>
      <c r="U150" s="115"/>
      <c r="V150" s="821"/>
      <c r="W150" s="811"/>
      <c r="X150" s="821"/>
      <c r="Y150" s="811"/>
      <c r="Z150" s="236"/>
      <c r="AA150" s="116"/>
      <c r="AB150" s="234"/>
      <c r="AC150" s="116"/>
      <c r="AD150" s="237"/>
      <c r="AE150" s="117"/>
      <c r="AF150" s="1092"/>
      <c r="AG150" s="1092"/>
      <c r="AH150" s="1093"/>
      <c r="AI150" s="8"/>
    </row>
    <row r="151" spans="1:35" x14ac:dyDescent="0.2">
      <c r="A151" s="1208"/>
      <c r="B151" s="1019"/>
      <c r="C151" s="1051"/>
      <c r="D151" s="1040"/>
      <c r="E151" s="1052"/>
      <c r="F151" s="1209"/>
      <c r="G151" s="1020"/>
      <c r="H151" s="1021"/>
      <c r="I151" s="1022"/>
      <c r="J151" s="1021"/>
      <c r="K151" s="1021"/>
      <c r="L151" s="1022"/>
      <c r="M151" s="1023"/>
      <c r="N151" s="1446"/>
      <c r="O151" s="8"/>
      <c r="P151" s="234"/>
      <c r="Q151" s="119"/>
      <c r="R151" s="234"/>
      <c r="S151" s="114"/>
      <c r="T151" s="235"/>
      <c r="U151" s="115"/>
      <c r="V151" s="821"/>
      <c r="W151" s="811"/>
      <c r="X151" s="821"/>
      <c r="Y151" s="811"/>
      <c r="Z151" s="236"/>
      <c r="AA151" s="116"/>
      <c r="AB151" s="234"/>
      <c r="AC151" s="116"/>
      <c r="AD151" s="237"/>
      <c r="AE151" s="117"/>
      <c r="AF151" s="1092"/>
      <c r="AG151" s="1092"/>
      <c r="AH151" s="1093"/>
      <c r="AI151" s="8"/>
    </row>
    <row r="152" spans="1:35" x14ac:dyDescent="0.2">
      <c r="A152" s="1208"/>
      <c r="B152" s="1019"/>
      <c r="C152" s="1051"/>
      <c r="D152" s="1040"/>
      <c r="E152" s="1052"/>
      <c r="F152" s="1209"/>
      <c r="G152" s="1020"/>
      <c r="H152" s="1021"/>
      <c r="I152" s="1022"/>
      <c r="J152" s="1021"/>
      <c r="K152" s="1021"/>
      <c r="L152" s="1022"/>
      <c r="M152" s="343"/>
      <c r="N152" s="1450"/>
      <c r="O152" s="8"/>
      <c r="P152" s="234"/>
      <c r="Q152" s="119"/>
      <c r="R152" s="234"/>
      <c r="S152" s="114"/>
      <c r="T152" s="235"/>
      <c r="U152" s="115"/>
      <c r="V152" s="821"/>
      <c r="W152" s="811"/>
      <c r="X152" s="821"/>
      <c r="Y152" s="811"/>
      <c r="Z152" s="236"/>
      <c r="AA152" s="116"/>
      <c r="AB152" s="234"/>
      <c r="AC152" s="116"/>
      <c r="AD152" s="237"/>
      <c r="AE152" s="117"/>
      <c r="AF152" s="1092"/>
      <c r="AG152" s="1092"/>
      <c r="AH152" s="1093"/>
      <c r="AI152" s="8"/>
    </row>
    <row r="153" spans="1:35" x14ac:dyDescent="0.2">
      <c r="A153" s="1208"/>
      <c r="B153" s="1019"/>
      <c r="C153" s="1051"/>
      <c r="D153" s="1040"/>
      <c r="E153" s="1052"/>
      <c r="F153" s="1209"/>
      <c r="G153" s="1020"/>
      <c r="H153" s="1021"/>
      <c r="I153" s="1022"/>
      <c r="J153" s="1021"/>
      <c r="K153" s="1021"/>
      <c r="L153" s="1022"/>
      <c r="M153" s="343"/>
      <c r="N153" s="1450"/>
      <c r="O153" s="8"/>
      <c r="P153" s="234"/>
      <c r="Q153" s="119"/>
      <c r="R153" s="234"/>
      <c r="S153" s="114"/>
      <c r="T153" s="235"/>
      <c r="U153" s="115"/>
      <c r="V153" s="821"/>
      <c r="W153" s="811"/>
      <c r="X153" s="821"/>
      <c r="Y153" s="811"/>
      <c r="Z153" s="236"/>
      <c r="AA153" s="116"/>
      <c r="AB153" s="234"/>
      <c r="AC153" s="116"/>
      <c r="AD153" s="237"/>
      <c r="AE153" s="117"/>
      <c r="AF153" s="1092"/>
      <c r="AG153" s="1092"/>
      <c r="AH153" s="1093"/>
      <c r="AI153" s="8"/>
    </row>
    <row r="154" spans="1:35" x14ac:dyDescent="0.2">
      <c r="A154" s="1208"/>
      <c r="B154" s="1019"/>
      <c r="C154" s="1051"/>
      <c r="D154" s="1040"/>
      <c r="E154" s="1052"/>
      <c r="F154" s="1209"/>
      <c r="G154" s="1159"/>
      <c r="H154" s="1021"/>
      <c r="I154" s="1022"/>
      <c r="J154" s="1021"/>
      <c r="K154" s="1021"/>
      <c r="L154" s="1022"/>
      <c r="M154" s="343"/>
      <c r="N154" s="1450"/>
      <c r="O154" s="8"/>
      <c r="P154" s="234"/>
      <c r="Q154" s="119"/>
      <c r="R154" s="234"/>
      <c r="S154" s="114"/>
      <c r="T154" s="235"/>
      <c r="U154" s="115"/>
      <c r="V154" s="821"/>
      <c r="W154" s="811"/>
      <c r="X154" s="821"/>
      <c r="Y154" s="811"/>
      <c r="Z154" s="236"/>
      <c r="AA154" s="116"/>
      <c r="AB154" s="234"/>
      <c r="AC154" s="116"/>
      <c r="AD154" s="237"/>
      <c r="AE154" s="117"/>
      <c r="AF154" s="1092"/>
      <c r="AG154" s="1092"/>
      <c r="AH154" s="1093"/>
      <c r="AI154" s="8"/>
    </row>
    <row r="155" spans="1:35" x14ac:dyDescent="0.2">
      <c r="A155" s="1208"/>
      <c r="B155" s="1019"/>
      <c r="C155" s="1051"/>
      <c r="D155" s="1040"/>
      <c r="E155" s="1052"/>
      <c r="F155" s="1209"/>
      <c r="G155" s="1159"/>
      <c r="H155" s="1021"/>
      <c r="I155" s="1022"/>
      <c r="J155" s="1021"/>
      <c r="K155" s="1021"/>
      <c r="L155" s="1022"/>
      <c r="M155" s="343"/>
      <c r="N155" s="1450"/>
      <c r="O155" s="8"/>
      <c r="P155" s="234"/>
      <c r="Q155" s="119"/>
      <c r="R155" s="234"/>
      <c r="S155" s="114"/>
      <c r="T155" s="235"/>
      <c r="U155" s="115"/>
      <c r="V155" s="821"/>
      <c r="W155" s="811"/>
      <c r="X155" s="821"/>
      <c r="Y155" s="811"/>
      <c r="Z155" s="236"/>
      <c r="AA155" s="116"/>
      <c r="AB155" s="234"/>
      <c r="AC155" s="116"/>
      <c r="AD155" s="237"/>
      <c r="AE155" s="117"/>
      <c r="AF155" s="1092"/>
      <c r="AG155" s="1092"/>
      <c r="AH155" s="1093"/>
      <c r="AI155" s="8"/>
    </row>
    <row r="156" spans="1:35" x14ac:dyDescent="0.2">
      <c r="A156" s="1208"/>
      <c r="B156" s="1019"/>
      <c r="C156" s="1051"/>
      <c r="D156" s="1040"/>
      <c r="E156" s="1052"/>
      <c r="F156" s="1209"/>
      <c r="G156" s="1020"/>
      <c r="H156" s="1021"/>
      <c r="I156" s="1022"/>
      <c r="J156" s="1021"/>
      <c r="K156" s="1021"/>
      <c r="L156" s="1022"/>
      <c r="M156" s="343"/>
      <c r="N156" s="1450"/>
      <c r="O156" s="8"/>
      <c r="P156" s="234"/>
      <c r="Q156" s="119"/>
      <c r="R156" s="234"/>
      <c r="S156" s="114"/>
      <c r="T156" s="235"/>
      <c r="U156" s="115"/>
      <c r="V156" s="821"/>
      <c r="W156" s="811"/>
      <c r="X156" s="821"/>
      <c r="Y156" s="811"/>
      <c r="Z156" s="236"/>
      <c r="AA156" s="116"/>
      <c r="AB156" s="234"/>
      <c r="AC156" s="116"/>
      <c r="AD156" s="237"/>
      <c r="AE156" s="117"/>
      <c r="AF156" s="1092"/>
      <c r="AG156" s="1092"/>
      <c r="AH156" s="1093"/>
      <c r="AI156" s="8"/>
    </row>
    <row r="157" spans="1:35" x14ac:dyDescent="0.2">
      <c r="A157" s="1208"/>
      <c r="B157" s="1019"/>
      <c r="C157" s="1051"/>
      <c r="D157" s="1040"/>
      <c r="E157" s="1052"/>
      <c r="F157" s="1209"/>
      <c r="G157" s="1159"/>
      <c r="H157" s="1021"/>
      <c r="I157" s="1022"/>
      <c r="J157" s="1021"/>
      <c r="K157" s="1021"/>
      <c r="L157" s="1022"/>
      <c r="M157" s="343"/>
      <c r="N157" s="1450"/>
      <c r="O157" s="8"/>
      <c r="P157" s="234"/>
      <c r="Q157" s="119"/>
      <c r="R157" s="234"/>
      <c r="S157" s="114"/>
      <c r="T157" s="235"/>
      <c r="U157" s="115"/>
      <c r="V157" s="821"/>
      <c r="W157" s="811"/>
      <c r="X157" s="821"/>
      <c r="Y157" s="811"/>
      <c r="Z157" s="236"/>
      <c r="AA157" s="116"/>
      <c r="AB157" s="234"/>
      <c r="AC157" s="116"/>
      <c r="AD157" s="237"/>
      <c r="AE157" s="117"/>
      <c r="AF157" s="1092"/>
      <c r="AG157" s="1092"/>
      <c r="AH157" s="1093"/>
      <c r="AI157" s="8"/>
    </row>
    <row r="158" spans="1:35" x14ac:dyDescent="0.2">
      <c r="A158" s="1208"/>
      <c r="B158" s="1244"/>
      <c r="C158" s="1051"/>
      <c r="D158" s="1040"/>
      <c r="E158" s="1052"/>
      <c r="F158" s="1209"/>
      <c r="G158" s="1159"/>
      <c r="H158" s="1021"/>
      <c r="I158" s="1022"/>
      <c r="J158" s="1021"/>
      <c r="K158" s="1021"/>
      <c r="L158" s="1022"/>
      <c r="M158" s="343"/>
      <c r="N158" s="1450"/>
      <c r="O158" s="8"/>
      <c r="P158" s="234"/>
      <c r="Q158" s="637"/>
      <c r="R158" s="234"/>
      <c r="S158" s="114"/>
      <c r="T158" s="235"/>
      <c r="U158" s="115"/>
      <c r="V158" s="821"/>
      <c r="W158" s="811"/>
      <c r="X158" s="821"/>
      <c r="Y158" s="811"/>
      <c r="Z158" s="236"/>
      <c r="AA158" s="116"/>
      <c r="AB158" s="234"/>
      <c r="AC158" s="116"/>
      <c r="AD158" s="237"/>
      <c r="AE158" s="117"/>
      <c r="AF158" s="1092"/>
      <c r="AG158" s="1092"/>
      <c r="AH158" s="1093"/>
      <c r="AI158" s="8"/>
    </row>
    <row r="159" spans="1:35" x14ac:dyDescent="0.2">
      <c r="A159" s="1208"/>
      <c r="B159" s="1244"/>
      <c r="C159" s="1051"/>
      <c r="D159" s="1040"/>
      <c r="E159" s="1052"/>
      <c r="F159" s="1209"/>
      <c r="G159" s="1159"/>
      <c r="H159" s="1021"/>
      <c r="I159" s="1022"/>
      <c r="J159" s="1021"/>
      <c r="K159" s="1021"/>
      <c r="L159" s="1022"/>
      <c r="M159" s="343"/>
      <c r="N159" s="1450"/>
      <c r="O159" s="8"/>
      <c r="P159" s="234"/>
      <c r="Q159" s="637"/>
      <c r="R159" s="234"/>
      <c r="S159" s="114"/>
      <c r="T159" s="235"/>
      <c r="U159" s="115"/>
      <c r="V159" s="821"/>
      <c r="W159" s="811"/>
      <c r="X159" s="821"/>
      <c r="Y159" s="811"/>
      <c r="Z159" s="236"/>
      <c r="AA159" s="116"/>
      <c r="AB159" s="234"/>
      <c r="AC159" s="116"/>
      <c r="AD159" s="237"/>
      <c r="AE159" s="117"/>
      <c r="AF159" s="1092"/>
      <c r="AG159" s="1092"/>
      <c r="AH159" s="1093"/>
      <c r="AI159" s="8"/>
    </row>
    <row r="160" spans="1:35" x14ac:dyDescent="0.2">
      <c r="A160" s="1208"/>
      <c r="B160" s="1242"/>
      <c r="C160" s="1423"/>
      <c r="D160" s="1040"/>
      <c r="E160" s="1052"/>
      <c r="F160" s="1209"/>
      <c r="G160" s="1159"/>
      <c r="H160" s="1021"/>
      <c r="I160" s="1022"/>
      <c r="J160" s="1021"/>
      <c r="K160" s="1021"/>
      <c r="L160" s="1022"/>
      <c r="M160" s="343"/>
      <c r="N160" s="1450"/>
      <c r="O160" s="8"/>
      <c r="P160" s="234"/>
      <c r="Q160" s="119"/>
      <c r="R160" s="234"/>
      <c r="S160" s="114"/>
      <c r="T160" s="235"/>
      <c r="U160" s="115"/>
      <c r="V160" s="821"/>
      <c r="W160" s="811"/>
      <c r="X160" s="821"/>
      <c r="Y160" s="811"/>
      <c r="Z160" s="236"/>
      <c r="AA160" s="116"/>
      <c r="AB160" s="234"/>
      <c r="AC160" s="116"/>
      <c r="AD160" s="237"/>
      <c r="AE160" s="117"/>
      <c r="AF160" s="1092"/>
      <c r="AG160" s="1092"/>
      <c r="AH160" s="1093"/>
      <c r="AI160" s="8"/>
    </row>
    <row r="161" spans="1:35" x14ac:dyDescent="0.2">
      <c r="A161" s="1208"/>
      <c r="B161" s="1019"/>
      <c r="C161" s="1051"/>
      <c r="D161" s="1040"/>
      <c r="E161" s="1052"/>
      <c r="F161" s="1209"/>
      <c r="G161" s="1159"/>
      <c r="H161" s="1021"/>
      <c r="I161" s="1022"/>
      <c r="J161" s="1021"/>
      <c r="K161" s="1021"/>
      <c r="L161" s="1022"/>
      <c r="M161" s="343"/>
      <c r="N161" s="1450"/>
      <c r="O161" s="8"/>
      <c r="P161" s="234"/>
      <c r="Q161" s="119"/>
      <c r="R161" s="234"/>
      <c r="S161" s="114"/>
      <c r="T161" s="235"/>
      <c r="U161" s="115"/>
      <c r="V161" s="821"/>
      <c r="W161" s="811"/>
      <c r="X161" s="821"/>
      <c r="Y161" s="811"/>
      <c r="Z161" s="236"/>
      <c r="AA161" s="116"/>
      <c r="AB161" s="234"/>
      <c r="AC161" s="116"/>
      <c r="AD161" s="237"/>
      <c r="AE161" s="117"/>
      <c r="AF161" s="1092"/>
      <c r="AG161" s="1092"/>
      <c r="AH161" s="1093"/>
      <c r="AI161" s="8"/>
    </row>
    <row r="162" spans="1:35" x14ac:dyDescent="0.2">
      <c r="A162" s="1208"/>
      <c r="B162" s="1019"/>
      <c r="C162" s="1051"/>
      <c r="D162" s="1040"/>
      <c r="E162" s="1052"/>
      <c r="F162" s="1209"/>
      <c r="G162" s="1020"/>
      <c r="H162" s="1021"/>
      <c r="I162" s="1022"/>
      <c r="J162" s="1021"/>
      <c r="K162" s="1021"/>
      <c r="L162" s="1022"/>
      <c r="M162" s="343"/>
      <c r="N162" s="1450"/>
      <c r="O162" s="8"/>
      <c r="P162" s="234"/>
      <c r="Q162" s="119"/>
      <c r="R162" s="234"/>
      <c r="S162" s="114"/>
      <c r="T162" s="235"/>
      <c r="U162" s="115"/>
      <c r="V162" s="821"/>
      <c r="W162" s="811"/>
      <c r="X162" s="821"/>
      <c r="Y162" s="811"/>
      <c r="Z162" s="236"/>
      <c r="AA162" s="116"/>
      <c r="AB162" s="234"/>
      <c r="AC162" s="116"/>
      <c r="AD162" s="237"/>
      <c r="AE162" s="117"/>
      <c r="AF162" s="1092"/>
      <c r="AG162" s="1092"/>
      <c r="AH162" s="1093"/>
      <c r="AI162" s="8"/>
    </row>
    <row r="163" spans="1:35" x14ac:dyDescent="0.2">
      <c r="A163" s="1208"/>
      <c r="B163" s="1019"/>
      <c r="C163" s="1051"/>
      <c r="D163" s="1040"/>
      <c r="E163" s="1052"/>
      <c r="F163" s="619"/>
      <c r="G163" s="1159"/>
      <c r="H163" s="1021"/>
      <c r="I163" s="1022"/>
      <c r="J163" s="1021"/>
      <c r="K163" s="1021"/>
      <c r="L163" s="1022"/>
      <c r="M163" s="343"/>
      <c r="N163" s="1450"/>
      <c r="O163" s="8"/>
      <c r="P163" s="234"/>
      <c r="Q163" s="119"/>
      <c r="R163" s="234"/>
      <c r="S163" s="114"/>
      <c r="T163" s="235"/>
      <c r="U163" s="115"/>
      <c r="V163" s="821"/>
      <c r="W163" s="811"/>
      <c r="X163" s="821"/>
      <c r="Y163" s="811"/>
      <c r="Z163" s="236"/>
      <c r="AA163" s="116"/>
      <c r="AB163" s="234"/>
      <c r="AC163" s="116"/>
      <c r="AD163" s="237"/>
      <c r="AE163" s="117"/>
      <c r="AF163" s="1092"/>
      <c r="AG163" s="1092"/>
      <c r="AH163" s="1093"/>
      <c r="AI163" s="8"/>
    </row>
    <row r="164" spans="1:35" x14ac:dyDescent="0.2">
      <c r="A164" s="1208"/>
      <c r="B164" s="1019"/>
      <c r="C164" s="1051"/>
      <c r="D164" s="1040"/>
      <c r="E164" s="1052"/>
      <c r="F164" s="619"/>
      <c r="G164" s="1159"/>
      <c r="H164" s="1021"/>
      <c r="I164" s="1022"/>
      <c r="J164" s="1021"/>
      <c r="K164" s="1021"/>
      <c r="L164" s="1022"/>
      <c r="M164" s="343"/>
      <c r="N164" s="1450"/>
      <c r="O164" s="8"/>
      <c r="P164" s="234"/>
      <c r="Q164" s="119"/>
      <c r="R164" s="234"/>
      <c r="S164" s="114"/>
      <c r="T164" s="235"/>
      <c r="U164" s="115"/>
      <c r="V164" s="821"/>
      <c r="W164" s="811"/>
      <c r="X164" s="821"/>
      <c r="Y164" s="811"/>
      <c r="Z164" s="236"/>
      <c r="AA164" s="116"/>
      <c r="AB164" s="234"/>
      <c r="AC164" s="116"/>
      <c r="AD164" s="237"/>
      <c r="AE164" s="117"/>
      <c r="AF164" s="1092"/>
      <c r="AG164" s="1092"/>
      <c r="AH164" s="1093"/>
      <c r="AI164" s="8"/>
    </row>
    <row r="165" spans="1:35" x14ac:dyDescent="0.2">
      <c r="A165" s="1208"/>
      <c r="B165" s="1019"/>
      <c r="C165" s="1051"/>
      <c r="D165" s="1040"/>
      <c r="E165" s="1052"/>
      <c r="F165" s="619"/>
      <c r="G165" s="1159"/>
      <c r="H165" s="1021"/>
      <c r="I165" s="1022"/>
      <c r="J165" s="1021"/>
      <c r="K165" s="1021"/>
      <c r="L165" s="1022"/>
      <c r="M165" s="343"/>
      <c r="N165" s="1450"/>
      <c r="O165" s="8"/>
      <c r="P165" s="234"/>
      <c r="Q165" s="119"/>
      <c r="R165" s="234"/>
      <c r="S165" s="114"/>
      <c r="T165" s="235"/>
      <c r="U165" s="115"/>
      <c r="V165" s="821"/>
      <c r="W165" s="811"/>
      <c r="X165" s="821"/>
      <c r="Y165" s="811"/>
      <c r="Z165" s="236"/>
      <c r="AA165" s="116"/>
      <c r="AB165" s="234"/>
      <c r="AC165" s="116"/>
      <c r="AD165" s="237"/>
      <c r="AE165" s="117"/>
      <c r="AF165" s="1092"/>
      <c r="AG165" s="1092"/>
      <c r="AH165" s="1093"/>
      <c r="AI165" s="8"/>
    </row>
    <row r="166" spans="1:35" x14ac:dyDescent="0.2">
      <c r="A166" s="1208"/>
      <c r="B166" s="1019"/>
      <c r="C166" s="1051"/>
      <c r="D166" s="1040"/>
      <c r="E166" s="1052"/>
      <c r="F166" s="619"/>
      <c r="G166" s="1020"/>
      <c r="H166" s="1021"/>
      <c r="I166" s="1022"/>
      <c r="J166" s="1021"/>
      <c r="K166" s="1021"/>
      <c r="L166" s="1022"/>
      <c r="M166" s="343"/>
      <c r="N166" s="1450"/>
      <c r="O166" s="8"/>
      <c r="P166" s="234"/>
      <c r="Q166" s="119"/>
      <c r="R166" s="234"/>
      <c r="S166" s="114"/>
      <c r="T166" s="235"/>
      <c r="U166" s="115"/>
      <c r="V166" s="821"/>
      <c r="W166" s="811"/>
      <c r="X166" s="821"/>
      <c r="Y166" s="811"/>
      <c r="Z166" s="236"/>
      <c r="AA166" s="116"/>
      <c r="AB166" s="234"/>
      <c r="AC166" s="116"/>
      <c r="AD166" s="237"/>
      <c r="AE166" s="117"/>
      <c r="AF166" s="1092"/>
      <c r="AG166" s="1092"/>
      <c r="AH166" s="1093"/>
      <c r="AI166" s="8"/>
    </row>
    <row r="167" spans="1:35" x14ac:dyDescent="0.2">
      <c r="A167" s="1208"/>
      <c r="B167" s="1019"/>
      <c r="C167" s="1051"/>
      <c r="D167" s="1040"/>
      <c r="E167" s="1052"/>
      <c r="F167" s="619"/>
      <c r="G167" s="1159"/>
      <c r="H167" s="1021"/>
      <c r="I167" s="1022"/>
      <c r="J167" s="1021"/>
      <c r="K167" s="1021"/>
      <c r="L167" s="1022"/>
      <c r="M167" s="343"/>
      <c r="N167" s="1450"/>
      <c r="O167" s="8"/>
      <c r="P167" s="234"/>
      <c r="Q167" s="119"/>
      <c r="R167" s="234"/>
      <c r="S167" s="114"/>
      <c r="T167" s="235"/>
      <c r="U167" s="115"/>
      <c r="V167" s="821"/>
      <c r="W167" s="811"/>
      <c r="X167" s="821"/>
      <c r="Y167" s="811"/>
      <c r="Z167" s="236"/>
      <c r="AA167" s="116"/>
      <c r="AB167" s="234"/>
      <c r="AC167" s="116"/>
      <c r="AD167" s="237"/>
      <c r="AE167" s="117"/>
      <c r="AF167" s="1092"/>
      <c r="AG167" s="1092"/>
      <c r="AH167" s="1093"/>
      <c r="AI167" s="8"/>
    </row>
    <row r="168" spans="1:35" x14ac:dyDescent="0.2">
      <c r="A168" s="1208"/>
      <c r="B168" s="1019"/>
      <c r="C168" s="1051"/>
      <c r="D168" s="1040"/>
      <c r="E168" s="1052"/>
      <c r="F168" s="1502"/>
      <c r="G168" s="1504"/>
      <c r="H168" s="1021"/>
      <c r="I168" s="1022"/>
      <c r="J168" s="1021"/>
      <c r="K168" s="1021"/>
      <c r="L168" s="1022"/>
      <c r="M168" s="343"/>
      <c r="N168" s="1450"/>
      <c r="O168" s="8"/>
      <c r="P168" s="234"/>
      <c r="Q168" s="119"/>
      <c r="R168" s="234"/>
      <c r="S168" s="114"/>
      <c r="T168" s="235"/>
      <c r="U168" s="115"/>
      <c r="V168" s="821"/>
      <c r="W168" s="811"/>
      <c r="X168" s="821"/>
      <c r="Y168" s="811"/>
      <c r="Z168" s="236"/>
      <c r="AA168" s="116"/>
      <c r="AB168" s="234"/>
      <c r="AC168" s="116"/>
      <c r="AD168" s="237"/>
      <c r="AE168" s="117"/>
      <c r="AF168" s="1092"/>
      <c r="AG168" s="1092"/>
      <c r="AH168" s="1093"/>
      <c r="AI168" s="8"/>
    </row>
    <row r="169" spans="1:35" x14ac:dyDescent="0.2">
      <c r="A169" s="1208"/>
      <c r="B169" s="1019"/>
      <c r="C169" s="1051"/>
      <c r="D169" s="1040"/>
      <c r="E169" s="1052"/>
      <c r="F169" s="619"/>
      <c r="G169" s="1020"/>
      <c r="H169" s="1021"/>
      <c r="I169" s="1022"/>
      <c r="J169" s="1021"/>
      <c r="K169" s="1021"/>
      <c r="L169" s="1022"/>
      <c r="M169" s="343"/>
      <c r="N169" s="1450"/>
      <c r="O169" s="8"/>
      <c r="P169" s="234"/>
      <c r="Q169" s="119"/>
      <c r="R169" s="234"/>
      <c r="S169" s="114"/>
      <c r="T169" s="235"/>
      <c r="U169" s="115"/>
      <c r="V169" s="821"/>
      <c r="W169" s="811"/>
      <c r="X169" s="821"/>
      <c r="Y169" s="811"/>
      <c r="Z169" s="236"/>
      <c r="AA169" s="116"/>
      <c r="AB169" s="234"/>
      <c r="AC169" s="116"/>
      <c r="AD169" s="237"/>
      <c r="AE169" s="117"/>
      <c r="AF169" s="1092"/>
      <c r="AG169" s="1092"/>
      <c r="AH169" s="1093"/>
      <c r="AI169" s="8"/>
    </row>
    <row r="170" spans="1:35" x14ac:dyDescent="0.2">
      <c r="A170" s="1208"/>
      <c r="B170" s="1019"/>
      <c r="C170" s="1051"/>
      <c r="D170" s="1040"/>
      <c r="E170" s="1052"/>
      <c r="F170" s="619"/>
      <c r="G170" s="1159"/>
      <c r="H170" s="1021"/>
      <c r="I170" s="1022"/>
      <c r="J170" s="1021"/>
      <c r="K170" s="1021"/>
      <c r="L170" s="1022"/>
      <c r="M170" s="343"/>
      <c r="N170" s="1450"/>
      <c r="O170" s="8"/>
      <c r="P170" s="234"/>
      <c r="Q170" s="119"/>
      <c r="R170" s="234"/>
      <c r="S170" s="114"/>
      <c r="T170" s="235"/>
      <c r="U170" s="115"/>
      <c r="V170" s="821"/>
      <c r="W170" s="811"/>
      <c r="X170" s="821"/>
      <c r="Y170" s="811"/>
      <c r="Z170" s="236"/>
      <c r="AA170" s="116"/>
      <c r="AB170" s="234"/>
      <c r="AC170" s="116"/>
      <c r="AD170" s="237"/>
      <c r="AE170" s="117"/>
      <c r="AF170" s="1092"/>
      <c r="AG170" s="1092"/>
      <c r="AH170" s="1093"/>
      <c r="AI170" s="8"/>
    </row>
    <row r="171" spans="1:35" x14ac:dyDescent="0.2">
      <c r="A171" s="1208"/>
      <c r="B171" s="1019"/>
      <c r="C171" s="1051"/>
      <c r="D171" s="1040"/>
      <c r="E171" s="1052"/>
      <c r="F171" s="619"/>
      <c r="G171" s="1159"/>
      <c r="H171" s="1021"/>
      <c r="I171" s="1022"/>
      <c r="J171" s="1021"/>
      <c r="K171" s="1021"/>
      <c r="L171" s="1022"/>
      <c r="M171" s="343"/>
      <c r="N171" s="1450"/>
      <c r="O171" s="8"/>
      <c r="P171" s="234"/>
      <c r="Q171" s="119"/>
      <c r="R171" s="234"/>
      <c r="S171" s="114"/>
      <c r="T171" s="235"/>
      <c r="U171" s="115"/>
      <c r="V171" s="821"/>
      <c r="W171" s="811"/>
      <c r="X171" s="821"/>
      <c r="Y171" s="811"/>
      <c r="Z171" s="236"/>
      <c r="AA171" s="116"/>
      <c r="AB171" s="234"/>
      <c r="AC171" s="116"/>
      <c r="AD171" s="237"/>
      <c r="AE171" s="117"/>
      <c r="AF171" s="1092"/>
      <c r="AG171" s="1092"/>
      <c r="AH171" s="1093"/>
      <c r="AI171" s="8"/>
    </row>
    <row r="172" spans="1:35" x14ac:dyDescent="0.2">
      <c r="A172" s="1208"/>
      <c r="B172" s="1019"/>
      <c r="C172" s="1051"/>
      <c r="D172" s="1040"/>
      <c r="E172" s="1052"/>
      <c r="F172" s="619"/>
      <c r="G172" s="1159"/>
      <c r="H172" s="1021"/>
      <c r="I172" s="1022"/>
      <c r="J172" s="1021"/>
      <c r="K172" s="1021"/>
      <c r="L172" s="1022"/>
      <c r="M172" s="343"/>
      <c r="N172" s="1450"/>
      <c r="O172" s="8"/>
      <c r="P172" s="234"/>
      <c r="Q172" s="119"/>
      <c r="R172" s="234"/>
      <c r="S172" s="114"/>
      <c r="T172" s="235"/>
      <c r="U172" s="115"/>
      <c r="V172" s="821"/>
      <c r="W172" s="811"/>
      <c r="X172" s="821"/>
      <c r="Y172" s="811"/>
      <c r="Z172" s="236"/>
      <c r="AA172" s="116"/>
      <c r="AB172" s="234"/>
      <c r="AC172" s="116"/>
      <c r="AD172" s="237"/>
      <c r="AE172" s="117"/>
      <c r="AF172" s="1092"/>
      <c r="AG172" s="1092"/>
      <c r="AH172" s="1093"/>
      <c r="AI172" s="8"/>
    </row>
    <row r="173" spans="1:35" x14ac:dyDescent="0.2">
      <c r="A173" s="1208"/>
      <c r="B173" s="1019"/>
      <c r="C173" s="1051"/>
      <c r="D173" s="1040"/>
      <c r="E173" s="1052"/>
      <c r="F173" s="619"/>
      <c r="G173" s="1020"/>
      <c r="H173" s="1021"/>
      <c r="I173" s="1022"/>
      <c r="J173" s="1021"/>
      <c r="K173" s="1021"/>
      <c r="L173" s="1022"/>
      <c r="M173" s="343"/>
      <c r="N173" s="1450"/>
      <c r="O173" s="8"/>
      <c r="P173" s="234"/>
      <c r="Q173" s="119"/>
      <c r="R173" s="821"/>
      <c r="S173" s="811"/>
      <c r="T173" s="821"/>
      <c r="U173" s="811"/>
      <c r="V173" s="821"/>
      <c r="W173" s="811"/>
      <c r="X173" s="821"/>
      <c r="Y173" s="811"/>
      <c r="Z173" s="821"/>
      <c r="AA173" s="811"/>
      <c r="AB173" s="821"/>
      <c r="AC173" s="811"/>
      <c r="AD173" s="821"/>
      <c r="AE173" s="811"/>
      <c r="AF173" s="811"/>
      <c r="AG173" s="811"/>
      <c r="AH173" s="1093"/>
      <c r="AI173" s="8"/>
    </row>
    <row r="174" spans="1:35" x14ac:dyDescent="0.2">
      <c r="A174" s="1208"/>
      <c r="B174" s="1019"/>
      <c r="C174" s="1051"/>
      <c r="D174" s="1040"/>
      <c r="E174" s="1052"/>
      <c r="F174" s="619"/>
      <c r="G174" s="1159"/>
      <c r="H174" s="1021"/>
      <c r="I174" s="1022"/>
      <c r="J174" s="1021"/>
      <c r="K174" s="1021"/>
      <c r="L174" s="1022"/>
      <c r="M174" s="343"/>
      <c r="N174" s="1450"/>
      <c r="O174" s="8"/>
      <c r="P174" s="234"/>
      <c r="Q174" s="119"/>
      <c r="R174" s="234"/>
      <c r="S174" s="114"/>
      <c r="T174" s="235"/>
      <c r="U174" s="115"/>
      <c r="V174" s="821"/>
      <c r="W174" s="811"/>
      <c r="X174" s="821"/>
      <c r="Y174" s="811"/>
      <c r="Z174" s="236"/>
      <c r="AA174" s="116"/>
      <c r="AB174" s="234"/>
      <c r="AC174" s="116"/>
      <c r="AD174" s="237"/>
      <c r="AE174" s="117"/>
      <c r="AF174" s="1092"/>
      <c r="AG174" s="1092"/>
      <c r="AH174" s="1093"/>
      <c r="AI174" s="8"/>
    </row>
    <row r="175" spans="1:35" x14ac:dyDescent="0.2">
      <c r="A175" s="1208"/>
      <c r="B175" s="1245"/>
      <c r="C175" s="1423"/>
      <c r="D175" s="1040"/>
      <c r="E175" s="1052"/>
      <c r="F175" s="619"/>
      <c r="G175" s="1159"/>
      <c r="H175" s="1021"/>
      <c r="I175" s="1022"/>
      <c r="J175" s="1021"/>
      <c r="K175" s="1021"/>
      <c r="L175" s="1022"/>
      <c r="M175" s="343"/>
      <c r="N175" s="1450"/>
      <c r="O175" s="8"/>
      <c r="P175" s="234"/>
      <c r="Q175" s="119"/>
      <c r="R175" s="234"/>
      <c r="S175" s="114"/>
      <c r="T175" s="235"/>
      <c r="U175" s="115"/>
      <c r="V175" s="821"/>
      <c r="W175" s="811"/>
      <c r="X175" s="821"/>
      <c r="Y175" s="811"/>
      <c r="Z175" s="236"/>
      <c r="AA175" s="116"/>
      <c r="AB175" s="234"/>
      <c r="AC175" s="116"/>
      <c r="AD175" s="237"/>
      <c r="AE175" s="117"/>
      <c r="AF175" s="1092"/>
      <c r="AG175" s="1092"/>
      <c r="AH175" s="1093"/>
      <c r="AI175" s="8"/>
    </row>
    <row r="176" spans="1:35" x14ac:dyDescent="0.2">
      <c r="A176" s="1208"/>
      <c r="B176" s="1019"/>
      <c r="C176" s="1051"/>
      <c r="D176" s="1040"/>
      <c r="E176" s="1052"/>
      <c r="F176" s="619"/>
      <c r="G176" s="1159"/>
      <c r="H176" s="1021"/>
      <c r="I176" s="1022"/>
      <c r="J176" s="1021"/>
      <c r="K176" s="1021"/>
      <c r="L176" s="1022"/>
      <c r="M176" s="343"/>
      <c r="N176" s="1450"/>
      <c r="O176" s="8"/>
      <c r="P176" s="234"/>
      <c r="Q176" s="119"/>
      <c r="R176" s="234"/>
      <c r="S176" s="114"/>
      <c r="T176" s="235"/>
      <c r="U176" s="115"/>
      <c r="V176" s="821"/>
      <c r="W176" s="811"/>
      <c r="X176" s="821"/>
      <c r="Y176" s="811"/>
      <c r="Z176" s="236"/>
      <c r="AA176" s="116"/>
      <c r="AB176" s="234"/>
      <c r="AC176" s="116"/>
      <c r="AD176" s="237"/>
      <c r="AE176" s="117"/>
      <c r="AF176" s="1092"/>
      <c r="AG176" s="1092"/>
      <c r="AH176" s="1093"/>
      <c r="AI176" s="8"/>
    </row>
    <row r="177" spans="1:35" x14ac:dyDescent="0.2">
      <c r="A177" s="1208"/>
      <c r="B177" s="1019"/>
      <c r="C177" s="1051"/>
      <c r="D177" s="1040"/>
      <c r="E177" s="1052"/>
      <c r="F177" s="619"/>
      <c r="G177" s="1159"/>
      <c r="H177" s="1021"/>
      <c r="I177" s="1022"/>
      <c r="J177" s="1021"/>
      <c r="K177" s="1021"/>
      <c r="L177" s="1022"/>
      <c r="M177" s="343"/>
      <c r="N177" s="1450"/>
      <c r="O177" s="8"/>
      <c r="P177" s="234"/>
      <c r="Q177" s="119"/>
      <c r="R177" s="234"/>
      <c r="S177" s="114"/>
      <c r="T177" s="235"/>
      <c r="U177" s="115"/>
      <c r="V177" s="821"/>
      <c r="W177" s="811"/>
      <c r="X177" s="821"/>
      <c r="Y177" s="811"/>
      <c r="Z177" s="236"/>
      <c r="AA177" s="116"/>
      <c r="AB177" s="234"/>
      <c r="AC177" s="116"/>
      <c r="AD177" s="237"/>
      <c r="AE177" s="117"/>
      <c r="AF177" s="1092"/>
      <c r="AG177" s="1092"/>
      <c r="AH177" s="1093"/>
      <c r="AI177" s="8"/>
    </row>
    <row r="178" spans="1:35" x14ac:dyDescent="0.2">
      <c r="A178" s="1208"/>
      <c r="B178" s="1019"/>
      <c r="C178" s="1051"/>
      <c r="D178" s="1040"/>
      <c r="E178" s="1052"/>
      <c r="F178" s="619">
        <f t="shared" ref="F178:F186" si="17">+AH178</f>
        <v>0</v>
      </c>
      <c r="G178" s="1159"/>
      <c r="H178" s="1021"/>
      <c r="I178" s="1022"/>
      <c r="J178" s="1021"/>
      <c r="K178" s="1021"/>
      <c r="L178" s="1138"/>
      <c r="M178" s="343"/>
      <c r="N178" s="1450"/>
      <c r="O178" s="8"/>
      <c r="P178" s="234"/>
      <c r="Q178" s="119">
        <f>ROUND(IF(P178="SI",SUMIF('C de C año anterior'!$B$8:$B$229,B178,'C de C año anterior'!$Q$8:$Q$229)*(100%+$Q$5),0),-3)+ROUND(IF(P178="SI",SUMIF('Facturas año anterior'!$B$8:$B$86,B178,'Facturas año anterior'!$V$8:$V$86)*(100%+$AA$5),0),-3)</f>
        <v>0</v>
      </c>
      <c r="R178" s="234"/>
      <c r="S178" s="114">
        <f t="shared" ref="S178:S186" si="18">ROUND(IF(R178="SI",Q178*$S$5,0),-3)</f>
        <v>0</v>
      </c>
      <c r="T178" s="235"/>
      <c r="U178" s="115">
        <f t="shared" ref="U178:U186" si="19">ROUND(IF(T178="SI",Q178*$U$5,0),-3)</f>
        <v>0</v>
      </c>
      <c r="V178" s="821"/>
      <c r="W178" s="811">
        <f t="shared" ref="W178:W186" si="20">ROUND(IF(V178="SI",Q178*$W$5,0),-3)</f>
        <v>0</v>
      </c>
      <c r="X178" s="821"/>
      <c r="Y178" s="811">
        <f t="shared" ref="Y178:Y186" si="21">ROUND(IF(X178="SI",Q178*$Y$5,0),-3)</f>
        <v>0</v>
      </c>
      <c r="Z178" s="236"/>
      <c r="AA178" s="116">
        <f t="shared" ref="AA178:AA186" si="22">ROUND(IF(Z178="SI",Q178*$AA$5,0),-3)</f>
        <v>0</v>
      </c>
      <c r="AB178" s="234"/>
      <c r="AC178" s="116">
        <f t="shared" ref="AC178:AC186" si="23">ROUND(IF(AB178="SI",Q178*$AC$5,0),-3)</f>
        <v>0</v>
      </c>
      <c r="AD178" s="237"/>
      <c r="AE178" s="117">
        <f t="shared" ref="AE178:AE186" si="24">IF(AD178="SI",Q178*$AE$5,0)</f>
        <v>0</v>
      </c>
      <c r="AF178" s="1092">
        <f>SUMIF('Otras Asesorías y Préstamos'!$B$7:$B$242,B178,'Otras Asesorías y Préstamos'!$F$7:$F$242)</f>
        <v>0</v>
      </c>
      <c r="AG178" s="1092">
        <f>SUMIF('Otras Asesorías y Préstamos'!$B$7:$B$242,B178,'Otras Asesorías y Préstamos'!$V$7:$V$242)</f>
        <v>0</v>
      </c>
      <c r="AH178" s="1093">
        <f t="shared" ref="AH178:AH186" si="25">ROUND(SUM(Q178:AG178),-4)</f>
        <v>0</v>
      </c>
      <c r="AI178" s="8"/>
    </row>
    <row r="179" spans="1:35" x14ac:dyDescent="0.2">
      <c r="A179" s="1208"/>
      <c r="B179" s="1451"/>
      <c r="C179" s="1452"/>
      <c r="D179" s="1453"/>
      <c r="E179" s="1454"/>
      <c r="F179" s="619">
        <f t="shared" ref="F179:F180" si="26">+AH179</f>
        <v>0</v>
      </c>
      <c r="G179" s="1159"/>
      <c r="H179" s="1021"/>
      <c r="I179" s="1022"/>
      <c r="J179" s="1021"/>
      <c r="K179" s="1021"/>
      <c r="L179" s="1138"/>
      <c r="M179" s="343"/>
      <c r="N179" s="1450"/>
      <c r="O179" s="8"/>
      <c r="P179" s="234"/>
      <c r="Q179" s="119">
        <f>ROUND(IF(P179="SI",SUMIF('C de C año anterior'!$B$8:$B$229,B179,'C de C año anterior'!$Q$8:$Q$229)*(100%+$Q$5),0),-3)+ROUND(IF(P179="SI",SUMIF('Facturas año anterior'!$B$8:$B$86,B179,'Facturas año anterior'!$V$8:$V$86)*(100%+$AA$5),0),-3)</f>
        <v>0</v>
      </c>
      <c r="R179" s="234"/>
      <c r="S179" s="114">
        <f t="shared" si="18"/>
        <v>0</v>
      </c>
      <c r="T179" s="235"/>
      <c r="U179" s="115">
        <f t="shared" si="19"/>
        <v>0</v>
      </c>
      <c r="V179" s="821"/>
      <c r="W179" s="811">
        <f t="shared" si="20"/>
        <v>0</v>
      </c>
      <c r="X179" s="821"/>
      <c r="Y179" s="811">
        <f t="shared" si="21"/>
        <v>0</v>
      </c>
      <c r="Z179" s="236"/>
      <c r="AA179" s="116">
        <f t="shared" si="22"/>
        <v>0</v>
      </c>
      <c r="AB179" s="234"/>
      <c r="AC179" s="116">
        <f t="shared" si="23"/>
        <v>0</v>
      </c>
      <c r="AD179" s="237"/>
      <c r="AE179" s="117">
        <f t="shared" si="24"/>
        <v>0</v>
      </c>
      <c r="AF179" s="1092">
        <f>SUMIF('Otras Asesorías y Préstamos'!$B$7:$B$242,B179,'Otras Asesorías y Préstamos'!$F$7:$F$242)</f>
        <v>0</v>
      </c>
      <c r="AG179" s="1092">
        <f>SUMIF('Otras Asesorías y Préstamos'!$B$7:$B$242,B179,'Otras Asesorías y Préstamos'!$V$7:$V$242)</f>
        <v>0</v>
      </c>
      <c r="AH179" s="1093">
        <f t="shared" si="25"/>
        <v>0</v>
      </c>
      <c r="AI179" s="8"/>
    </row>
    <row r="180" spans="1:35" x14ac:dyDescent="0.2">
      <c r="A180" s="1208"/>
      <c r="B180" s="1451"/>
      <c r="C180" s="1452"/>
      <c r="D180" s="1453"/>
      <c r="E180" s="1454"/>
      <c r="F180" s="619">
        <f t="shared" si="26"/>
        <v>0</v>
      </c>
      <c r="G180" s="1159"/>
      <c r="H180" s="1021"/>
      <c r="I180" s="1022"/>
      <c r="J180" s="1021"/>
      <c r="K180" s="1021"/>
      <c r="L180" s="1138"/>
      <c r="M180" s="343"/>
      <c r="N180" s="1450"/>
      <c r="O180" s="8"/>
      <c r="P180" s="234"/>
      <c r="Q180" s="119">
        <f>ROUND(IF(P180="SI",SUMIF('C de C año anterior'!$B$8:$B$229,B180,'C de C año anterior'!$Q$8:$Q$229)*(100%+$Q$5),0),-3)+ROUND(IF(P180="SI",SUMIF('Facturas año anterior'!$B$8:$B$86,B180,'Facturas año anterior'!$V$8:$V$86)*(100%+$AA$5),0),-3)</f>
        <v>0</v>
      </c>
      <c r="R180" s="234"/>
      <c r="S180" s="114">
        <f t="shared" si="18"/>
        <v>0</v>
      </c>
      <c r="T180" s="235"/>
      <c r="U180" s="115">
        <f t="shared" si="19"/>
        <v>0</v>
      </c>
      <c r="V180" s="821"/>
      <c r="W180" s="811">
        <f t="shared" si="20"/>
        <v>0</v>
      </c>
      <c r="X180" s="821"/>
      <c r="Y180" s="811">
        <f t="shared" si="21"/>
        <v>0</v>
      </c>
      <c r="Z180" s="236"/>
      <c r="AA180" s="116">
        <f t="shared" si="22"/>
        <v>0</v>
      </c>
      <c r="AB180" s="234"/>
      <c r="AC180" s="116">
        <f t="shared" si="23"/>
        <v>0</v>
      </c>
      <c r="AD180" s="237"/>
      <c r="AE180" s="117">
        <f t="shared" si="24"/>
        <v>0</v>
      </c>
      <c r="AF180" s="1092">
        <f>SUMIF('Otras Asesorías y Préstamos'!$B$7:$B$242,B180,'Otras Asesorías y Préstamos'!$F$7:$F$242)</f>
        <v>0</v>
      </c>
      <c r="AG180" s="1092">
        <f>SUMIF('Otras Asesorías y Préstamos'!$B$7:$B$242,B180,'Otras Asesorías y Préstamos'!$V$7:$V$242)</f>
        <v>0</v>
      </c>
      <c r="AH180" s="1093">
        <f t="shared" si="25"/>
        <v>0</v>
      </c>
      <c r="AI180" s="8"/>
    </row>
    <row r="181" spans="1:35" x14ac:dyDescent="0.2">
      <c r="A181" s="1208"/>
      <c r="B181" s="1451"/>
      <c r="C181" s="1452"/>
      <c r="D181" s="1453"/>
      <c r="E181" s="1454"/>
      <c r="F181" s="619">
        <f t="shared" si="17"/>
        <v>0</v>
      </c>
      <c r="G181" s="1159"/>
      <c r="H181" s="1021"/>
      <c r="I181" s="1022"/>
      <c r="J181" s="1021"/>
      <c r="K181" s="1021"/>
      <c r="L181" s="1138"/>
      <c r="M181" s="343"/>
      <c r="N181" s="1450"/>
      <c r="O181" s="8"/>
      <c r="P181" s="234"/>
      <c r="Q181" s="119">
        <f>ROUND(IF(P181="SI",SUMIF('C de C año anterior'!$B$8:$B$229,B181,'C de C año anterior'!$Q$8:$Q$229)*(100%+$Q$5),0),-3)+ROUND(IF(P181="SI",SUMIF('Facturas año anterior'!$B$8:$B$86,B181,'Facturas año anterior'!$V$8:$V$86)*(100%+$AA$5),0),-3)</f>
        <v>0</v>
      </c>
      <c r="R181" s="234"/>
      <c r="S181" s="114">
        <f t="shared" si="18"/>
        <v>0</v>
      </c>
      <c r="T181" s="235"/>
      <c r="U181" s="115">
        <f t="shared" si="19"/>
        <v>0</v>
      </c>
      <c r="V181" s="821"/>
      <c r="W181" s="811">
        <f t="shared" si="20"/>
        <v>0</v>
      </c>
      <c r="X181" s="821"/>
      <c r="Y181" s="811">
        <f t="shared" si="21"/>
        <v>0</v>
      </c>
      <c r="Z181" s="236"/>
      <c r="AA181" s="116">
        <f t="shared" si="22"/>
        <v>0</v>
      </c>
      <c r="AB181" s="234"/>
      <c r="AC181" s="116">
        <f t="shared" si="23"/>
        <v>0</v>
      </c>
      <c r="AD181" s="237"/>
      <c r="AE181" s="117">
        <f t="shared" si="24"/>
        <v>0</v>
      </c>
      <c r="AF181" s="1092">
        <f>SUMIF('Otras Asesorías y Préstamos'!$B$7:$B$242,B181,'Otras Asesorías y Préstamos'!$F$7:$F$242)</f>
        <v>0</v>
      </c>
      <c r="AG181" s="1092">
        <f>SUMIF('Otras Asesorías y Préstamos'!$B$7:$B$242,B181,'Otras Asesorías y Préstamos'!$V$7:$V$242)</f>
        <v>0</v>
      </c>
      <c r="AH181" s="1093">
        <f t="shared" si="25"/>
        <v>0</v>
      </c>
      <c r="AI181" s="8"/>
    </row>
    <row r="182" spans="1:35" x14ac:dyDescent="0.2">
      <c r="A182" s="1208"/>
      <c r="B182" s="1451"/>
      <c r="C182" s="1452"/>
      <c r="D182" s="1453"/>
      <c r="E182" s="1454"/>
      <c r="F182" s="619">
        <f t="shared" si="17"/>
        <v>0</v>
      </c>
      <c r="G182" s="1159"/>
      <c r="H182" s="1021"/>
      <c r="I182" s="1022"/>
      <c r="J182" s="1021"/>
      <c r="K182" s="1021"/>
      <c r="L182" s="1138"/>
      <c r="M182" s="343"/>
      <c r="N182" s="1450"/>
      <c r="O182" s="8"/>
      <c r="P182" s="234"/>
      <c r="Q182" s="119">
        <f>ROUND(IF(P182="SI",SUMIF('C de C año anterior'!$B$8:$B$229,B182,'C de C año anterior'!$Q$8:$Q$229)*(100%+$Q$5),0),-3)+ROUND(IF(P182="SI",SUMIF('Facturas año anterior'!$B$8:$B$86,B182,'Facturas año anterior'!$V$8:$V$86)*(100%+$AA$5),0),-3)</f>
        <v>0</v>
      </c>
      <c r="R182" s="234"/>
      <c r="S182" s="114">
        <f t="shared" si="18"/>
        <v>0</v>
      </c>
      <c r="T182" s="235"/>
      <c r="U182" s="115">
        <f t="shared" si="19"/>
        <v>0</v>
      </c>
      <c r="V182" s="821"/>
      <c r="W182" s="811">
        <f t="shared" si="20"/>
        <v>0</v>
      </c>
      <c r="X182" s="821"/>
      <c r="Y182" s="811">
        <f t="shared" si="21"/>
        <v>0</v>
      </c>
      <c r="Z182" s="236"/>
      <c r="AA182" s="116">
        <f t="shared" si="22"/>
        <v>0</v>
      </c>
      <c r="AB182" s="234"/>
      <c r="AC182" s="116">
        <f t="shared" si="23"/>
        <v>0</v>
      </c>
      <c r="AD182" s="237"/>
      <c r="AE182" s="117">
        <f t="shared" si="24"/>
        <v>0</v>
      </c>
      <c r="AF182" s="1092">
        <f>SUMIF('Otras Asesorías y Préstamos'!$B$7:$B$242,B182,'Otras Asesorías y Préstamos'!$F$7:$F$242)</f>
        <v>0</v>
      </c>
      <c r="AG182" s="1092">
        <f>SUMIF('Otras Asesorías y Préstamos'!$B$7:$B$242,B182,'Otras Asesorías y Préstamos'!$V$7:$V$242)</f>
        <v>0</v>
      </c>
      <c r="AH182" s="1093">
        <f t="shared" si="25"/>
        <v>0</v>
      </c>
      <c r="AI182" s="8"/>
    </row>
    <row r="183" spans="1:35" x14ac:dyDescent="0.2">
      <c r="A183" s="1208"/>
      <c r="B183" s="1451"/>
      <c r="C183" s="1452"/>
      <c r="D183" s="1453"/>
      <c r="E183" s="1454"/>
      <c r="F183" s="619">
        <f t="shared" si="17"/>
        <v>0</v>
      </c>
      <c r="G183" s="1159"/>
      <c r="H183" s="1021"/>
      <c r="I183" s="1022"/>
      <c r="J183" s="1021"/>
      <c r="K183" s="1021"/>
      <c r="L183" s="1138"/>
      <c r="M183" s="343"/>
      <c r="N183" s="1450"/>
      <c r="O183" s="8"/>
      <c r="P183" s="234"/>
      <c r="Q183" s="119">
        <f>ROUND(IF(P183="SI",SUMIF('C de C año anterior'!$B$8:$B$229,B183,'C de C año anterior'!$Q$8:$Q$229)*(100%+$Q$5),0),-3)+ROUND(IF(P183="SI",SUMIF('Facturas año anterior'!$B$8:$B$86,B183,'Facturas año anterior'!$V$8:$V$86)*(100%+$AA$5),0),-3)</f>
        <v>0</v>
      </c>
      <c r="R183" s="234"/>
      <c r="S183" s="114">
        <f t="shared" si="18"/>
        <v>0</v>
      </c>
      <c r="T183" s="235"/>
      <c r="U183" s="115">
        <f t="shared" si="19"/>
        <v>0</v>
      </c>
      <c r="V183" s="821"/>
      <c r="W183" s="811">
        <f t="shared" si="20"/>
        <v>0</v>
      </c>
      <c r="X183" s="821"/>
      <c r="Y183" s="811">
        <f t="shared" si="21"/>
        <v>0</v>
      </c>
      <c r="Z183" s="236"/>
      <c r="AA183" s="116">
        <f t="shared" si="22"/>
        <v>0</v>
      </c>
      <c r="AB183" s="234"/>
      <c r="AC183" s="116">
        <f t="shared" si="23"/>
        <v>0</v>
      </c>
      <c r="AD183" s="237"/>
      <c r="AE183" s="117">
        <f t="shared" si="24"/>
        <v>0</v>
      </c>
      <c r="AF183" s="1092">
        <f>SUMIF('Otras Asesorías y Préstamos'!$B$7:$B$242,B183,'Otras Asesorías y Préstamos'!$F$7:$F$242)</f>
        <v>0</v>
      </c>
      <c r="AG183" s="1092">
        <f>SUMIF('Otras Asesorías y Préstamos'!$B$7:$B$242,B183,'Otras Asesorías y Préstamos'!$V$7:$V$242)</f>
        <v>0</v>
      </c>
      <c r="AH183" s="1093">
        <f t="shared" si="25"/>
        <v>0</v>
      </c>
      <c r="AI183" s="8"/>
    </row>
    <row r="184" spans="1:35" x14ac:dyDescent="0.2">
      <c r="A184" s="1208"/>
      <c r="B184" s="1451"/>
      <c r="C184" s="1452"/>
      <c r="D184" s="1453"/>
      <c r="E184" s="1454"/>
      <c r="F184" s="619">
        <f t="shared" si="17"/>
        <v>0</v>
      </c>
      <c r="G184" s="1159"/>
      <c r="H184" s="1021"/>
      <c r="I184" s="1022"/>
      <c r="J184" s="1021"/>
      <c r="K184" s="1021"/>
      <c r="L184" s="1138"/>
      <c r="M184" s="343"/>
      <c r="N184" s="1450"/>
      <c r="O184" s="8"/>
      <c r="P184" s="1091"/>
      <c r="Q184" s="119">
        <f>ROUND(IF(P184="SI",SUMIF('C de C año anterior'!$B$8:$B$229,B184,'C de C año anterior'!$Q$8:$Q$229)*(100%+$Q$5),0),-3)+ROUND(IF(P184="SI",SUMIF('Facturas año anterior'!$B$8:$B$86,B184,'Facturas año anterior'!$V$8:$V$86)*(100%+$AA$5),0),-3)</f>
        <v>0</v>
      </c>
      <c r="R184" s="234"/>
      <c r="S184" s="114">
        <f t="shared" si="18"/>
        <v>0</v>
      </c>
      <c r="T184" s="235"/>
      <c r="U184" s="115">
        <f t="shared" si="19"/>
        <v>0</v>
      </c>
      <c r="V184" s="821"/>
      <c r="W184" s="811">
        <f t="shared" si="20"/>
        <v>0</v>
      </c>
      <c r="X184" s="821"/>
      <c r="Y184" s="811">
        <f t="shared" si="21"/>
        <v>0</v>
      </c>
      <c r="Z184" s="236"/>
      <c r="AA184" s="116">
        <f t="shared" si="22"/>
        <v>0</v>
      </c>
      <c r="AB184" s="234"/>
      <c r="AC184" s="116">
        <f t="shared" si="23"/>
        <v>0</v>
      </c>
      <c r="AD184" s="237"/>
      <c r="AE184" s="117">
        <f t="shared" si="24"/>
        <v>0</v>
      </c>
      <c r="AF184" s="1092">
        <f>SUMIF('Otras Asesorías y Préstamos'!$B$7:$B$242,B184,'Otras Asesorías y Préstamos'!$F$7:$F$242)</f>
        <v>0</v>
      </c>
      <c r="AG184" s="1092">
        <f>SUMIF('Otras Asesorías y Préstamos'!$B$7:$B$242,B184,'Otras Asesorías y Préstamos'!$V$7:$V$242)</f>
        <v>0</v>
      </c>
      <c r="AH184" s="1093">
        <f t="shared" si="25"/>
        <v>0</v>
      </c>
      <c r="AI184" s="8"/>
    </row>
    <row r="185" spans="1:35" x14ac:dyDescent="0.2">
      <c r="A185" s="1208"/>
      <c r="B185" s="1451"/>
      <c r="C185" s="1452"/>
      <c r="D185" s="1453"/>
      <c r="E185" s="1454"/>
      <c r="F185" s="619">
        <f t="shared" si="17"/>
        <v>0</v>
      </c>
      <c r="G185" s="1159"/>
      <c r="H185" s="1021"/>
      <c r="I185" s="1022"/>
      <c r="J185" s="1021"/>
      <c r="K185" s="1021"/>
      <c r="L185" s="1138"/>
      <c r="M185" s="343"/>
      <c r="N185" s="1450"/>
      <c r="O185" s="8"/>
      <c r="P185" s="1091"/>
      <c r="Q185" s="119">
        <f>ROUND(IF(P185="SI",SUMIF('C de C año anterior'!$B$8:$B$229,B185,'C de C año anterior'!$Q$8:$Q$229)*(100%+$Q$5),0),-3)+ROUND(IF(P185="SI",SUMIF('Facturas año anterior'!$B$8:$B$86,B185,'Facturas año anterior'!$V$8:$V$86)*(100%+$AA$5),0),-3)</f>
        <v>0</v>
      </c>
      <c r="R185" s="234"/>
      <c r="S185" s="114">
        <f t="shared" si="18"/>
        <v>0</v>
      </c>
      <c r="T185" s="235"/>
      <c r="U185" s="115">
        <f t="shared" si="19"/>
        <v>0</v>
      </c>
      <c r="V185" s="821"/>
      <c r="W185" s="811">
        <f t="shared" si="20"/>
        <v>0</v>
      </c>
      <c r="X185" s="821"/>
      <c r="Y185" s="811">
        <f t="shared" si="21"/>
        <v>0</v>
      </c>
      <c r="Z185" s="236"/>
      <c r="AA185" s="116">
        <f t="shared" si="22"/>
        <v>0</v>
      </c>
      <c r="AB185" s="234"/>
      <c r="AC185" s="116">
        <f t="shared" si="23"/>
        <v>0</v>
      </c>
      <c r="AD185" s="237"/>
      <c r="AE185" s="117">
        <f t="shared" si="24"/>
        <v>0</v>
      </c>
      <c r="AF185" s="1092">
        <f>SUMIF('Otras Asesorías y Préstamos'!$B$7:$B$242,B185,'Otras Asesorías y Préstamos'!$F$7:$F$242)</f>
        <v>0</v>
      </c>
      <c r="AG185" s="1092">
        <f>SUMIF('Otras Asesorías y Préstamos'!$B$7:$B$242,B185,'Otras Asesorías y Préstamos'!$V$7:$V$242)</f>
        <v>0</v>
      </c>
      <c r="AH185" s="1093">
        <f t="shared" si="25"/>
        <v>0</v>
      </c>
      <c r="AI185" s="8"/>
    </row>
    <row r="186" spans="1:35" x14ac:dyDescent="0.2">
      <c r="A186" s="1208"/>
      <c r="B186" s="1451"/>
      <c r="C186" s="1452"/>
      <c r="D186" s="1453"/>
      <c r="E186" s="1454"/>
      <c r="F186" s="619">
        <f t="shared" si="17"/>
        <v>0</v>
      </c>
      <c r="G186" s="1159"/>
      <c r="H186" s="1021"/>
      <c r="I186" s="1022"/>
      <c r="J186" s="1021"/>
      <c r="K186" s="1021"/>
      <c r="L186" s="1138"/>
      <c r="M186" s="343"/>
      <c r="N186" s="1450"/>
      <c r="O186" s="8"/>
      <c r="P186" s="1091"/>
      <c r="Q186" s="119">
        <f>ROUND(IF(P186="SI",SUMIF('C de C año anterior'!$B$8:$B$229,B186,'C de C año anterior'!$Q$8:$Q$229)*(100%+$Q$5),0),-3)+ROUND(IF(P186="SI",SUMIF('Facturas año anterior'!$B$8:$B$86,B186,'Facturas año anterior'!$V$8:$V$86)*(100%+$AA$5),0),-3)</f>
        <v>0</v>
      </c>
      <c r="R186" s="234"/>
      <c r="S186" s="114">
        <f t="shared" si="18"/>
        <v>0</v>
      </c>
      <c r="T186" s="235"/>
      <c r="U186" s="115">
        <f t="shared" si="19"/>
        <v>0</v>
      </c>
      <c r="V186" s="821"/>
      <c r="W186" s="811">
        <f t="shared" si="20"/>
        <v>0</v>
      </c>
      <c r="X186" s="821"/>
      <c r="Y186" s="811">
        <f t="shared" si="21"/>
        <v>0</v>
      </c>
      <c r="Z186" s="236"/>
      <c r="AA186" s="116">
        <f t="shared" si="22"/>
        <v>0</v>
      </c>
      <c r="AB186" s="234"/>
      <c r="AC186" s="116">
        <f t="shared" si="23"/>
        <v>0</v>
      </c>
      <c r="AD186" s="237"/>
      <c r="AE186" s="117">
        <f t="shared" si="24"/>
        <v>0</v>
      </c>
      <c r="AF186" s="1092">
        <f>SUMIF('Otras Asesorías y Préstamos'!$B$7:$B$242,B186,'Otras Asesorías y Préstamos'!$F$7:$F$242)</f>
        <v>0</v>
      </c>
      <c r="AG186" s="1092">
        <f>SUMIF('Otras Asesorías y Préstamos'!$B$7:$B$242,B186,'Otras Asesorías y Préstamos'!$V$7:$V$242)</f>
        <v>0</v>
      </c>
      <c r="AH186" s="1093">
        <f t="shared" si="25"/>
        <v>0</v>
      </c>
      <c r="AI186" s="8"/>
    </row>
    <row r="187" spans="1:35" ht="13.5" thickBot="1" x14ac:dyDescent="0.25">
      <c r="A187" s="633"/>
      <c r="B187" s="745"/>
      <c r="C187" s="505"/>
      <c r="D187" s="634"/>
      <c r="E187" s="635"/>
      <c r="F187" s="315"/>
      <c r="G187" s="583"/>
      <c r="H187" s="620"/>
      <c r="I187" s="621"/>
      <c r="J187" s="620"/>
      <c r="K187" s="620"/>
      <c r="L187" s="622"/>
      <c r="M187" s="623"/>
      <c r="N187" s="1455"/>
      <c r="O187" s="8"/>
      <c r="P187" s="301"/>
      <c r="Q187" s="183"/>
      <c r="R187" s="184"/>
      <c r="S187" s="185"/>
      <c r="T187" s="186"/>
      <c r="U187" s="187"/>
      <c r="V187" s="822"/>
      <c r="W187" s="812"/>
      <c r="X187" s="822"/>
      <c r="Y187" s="812"/>
      <c r="Z187" s="188"/>
      <c r="AA187" s="189"/>
      <c r="AB187" s="183"/>
      <c r="AC187" s="190"/>
      <c r="AD187" s="191"/>
      <c r="AE187" s="191"/>
      <c r="AF187" s="207"/>
      <c r="AG187" s="207"/>
      <c r="AH187" s="321"/>
      <c r="AI187" s="8"/>
    </row>
    <row r="188" spans="1:35" ht="13.5" thickBot="1" x14ac:dyDescent="0.25">
      <c r="A188" s="82"/>
      <c r="B188" s="353"/>
      <c r="D188" s="82"/>
      <c r="F188" s="90"/>
      <c r="L188" s="91"/>
      <c r="O188" s="8"/>
      <c r="Q188" s="99"/>
      <c r="R188" s="665"/>
      <c r="S188" s="196"/>
      <c r="T188" s="98"/>
      <c r="U188" s="146"/>
      <c r="V188" s="103"/>
      <c r="W188" s="148"/>
      <c r="X188" s="103"/>
      <c r="Y188" s="148"/>
      <c r="Z188" s="801"/>
      <c r="AA188" s="802"/>
      <c r="AB188" s="100"/>
      <c r="AC188" s="101"/>
      <c r="AD188" s="100"/>
      <c r="AE188" s="100"/>
      <c r="AF188" s="150"/>
      <c r="AG188" s="150"/>
      <c r="AH188" s="89"/>
      <c r="AI188" s="8"/>
    </row>
    <row r="189" spans="1:35" ht="13.5" thickBot="1" x14ac:dyDescent="0.25">
      <c r="A189" s="130" t="s">
        <v>68</v>
      </c>
      <c r="B189" s="746"/>
      <c r="C189" s="480"/>
      <c r="D189" s="271"/>
      <c r="E189" s="384"/>
      <c r="F189" s="239">
        <f>SUM(F9:F187)</f>
        <v>12180000</v>
      </c>
      <c r="H189" s="611"/>
      <c r="I189" s="612">
        <f>+F189</f>
        <v>12180000</v>
      </c>
      <c r="L189" s="23"/>
      <c r="O189" s="8"/>
      <c r="P189" s="1123"/>
      <c r="Q189" s="803">
        <f>SUM(Q9:Q187)</f>
        <v>10763000</v>
      </c>
      <c r="R189" s="804"/>
      <c r="S189" s="803">
        <f>SUM(S9:S187)</f>
        <v>929000</v>
      </c>
      <c r="T189" s="804"/>
      <c r="U189" s="803">
        <f>SUM(U9:U187)</f>
        <v>0</v>
      </c>
      <c r="V189" s="817"/>
      <c r="W189" s="806"/>
      <c r="X189" s="817"/>
      <c r="Y189" s="806"/>
      <c r="Z189" s="804"/>
      <c r="AA189" s="803">
        <f>SUM(AA9:AA187)</f>
        <v>0</v>
      </c>
      <c r="AB189" s="804"/>
      <c r="AC189" s="803">
        <f>SUM(AC9:AC187)</f>
        <v>0</v>
      </c>
      <c r="AD189" s="804"/>
      <c r="AE189" s="803">
        <f>SUM(AE9:AE187)</f>
        <v>0</v>
      </c>
      <c r="AF189" s="805">
        <f>SUM(AF9:AF187)</f>
        <v>484948.68328320002</v>
      </c>
      <c r="AG189" s="803">
        <f>SUM(AG9:AG187)</f>
        <v>0</v>
      </c>
      <c r="AH189" s="239">
        <f>SUM(AH9:AH187)</f>
        <v>12180000</v>
      </c>
      <c r="AI189" s="8"/>
    </row>
    <row r="190" spans="1:35" x14ac:dyDescent="0.2">
      <c r="A190" s="665"/>
      <c r="B190" s="747"/>
      <c r="C190" s="506"/>
      <c r="D190" s="82"/>
      <c r="F190" s="90"/>
      <c r="L190" s="91"/>
      <c r="O190" s="8"/>
      <c r="Q190" s="73"/>
      <c r="R190" s="83"/>
      <c r="S190" s="84"/>
      <c r="U190" s="85"/>
      <c r="W190" s="90"/>
      <c r="Y190" s="90"/>
      <c r="Z190" s="86"/>
      <c r="AA190" s="87"/>
      <c r="AB190" s="88"/>
      <c r="AD190" s="88"/>
      <c r="AE190" s="88"/>
      <c r="AF190" s="204"/>
      <c r="AG190" s="204"/>
      <c r="AH190" s="89"/>
      <c r="AI190" s="8"/>
    </row>
    <row r="191" spans="1:35" x14ac:dyDescent="0.2">
      <c r="A191" s="7"/>
      <c r="B191" s="748"/>
      <c r="C191" s="195">
        <f>+A177</f>
        <v>0</v>
      </c>
      <c r="D191" s="67"/>
      <c r="E191" s="208"/>
      <c r="F191" s="66"/>
      <c r="G191" s="176"/>
      <c r="H191" s="176"/>
      <c r="I191" s="598"/>
      <c r="J191" s="37"/>
      <c r="K191" s="37"/>
      <c r="L191" s="96"/>
      <c r="M191" s="195"/>
      <c r="N191" s="195"/>
      <c r="O191" s="8"/>
      <c r="P191" s="1124"/>
      <c r="Q191" s="93"/>
      <c r="R191" s="92"/>
      <c r="S191" s="69"/>
      <c r="T191" s="92"/>
      <c r="U191" s="69"/>
      <c r="V191" s="472"/>
      <c r="W191" s="66"/>
      <c r="X191" s="472"/>
      <c r="Y191" s="66"/>
      <c r="Z191" s="93"/>
      <c r="AA191" s="69"/>
      <c r="AB191" s="69"/>
      <c r="AC191" s="94"/>
      <c r="AD191" s="69"/>
      <c r="AE191" s="69"/>
      <c r="AF191" s="205"/>
      <c r="AG191" s="205"/>
      <c r="AH191" s="95"/>
      <c r="AI191" s="8"/>
    </row>
    <row r="192" spans="1:35" x14ac:dyDescent="0.2">
      <c r="A192" s="65"/>
      <c r="B192" s="156"/>
      <c r="C192" s="219"/>
      <c r="D192" s="61"/>
      <c r="E192" s="60"/>
      <c r="F192" s="103"/>
      <c r="G192" s="177"/>
      <c r="H192" s="177"/>
      <c r="I192" s="599"/>
      <c r="J192" s="44"/>
      <c r="K192" s="44"/>
      <c r="L192" s="104"/>
      <c r="M192" s="196"/>
      <c r="N192" s="196"/>
      <c r="O192" s="8"/>
      <c r="P192" s="665"/>
      <c r="Q192" s="99"/>
      <c r="R192" s="98"/>
      <c r="S192" s="100"/>
      <c r="T192" s="98"/>
      <c r="U192" s="100"/>
      <c r="V192" s="103"/>
      <c r="W192" s="148"/>
      <c r="X192" s="103"/>
      <c r="Y192" s="148"/>
      <c r="Z192" s="99"/>
      <c r="AA192" s="100"/>
      <c r="AB192" s="100"/>
      <c r="AC192" s="101"/>
      <c r="AD192" s="100"/>
      <c r="AE192" s="100"/>
      <c r="AF192" s="150"/>
      <c r="AG192" s="150"/>
      <c r="AH192" s="102"/>
      <c r="AI192" s="8"/>
    </row>
    <row r="193" spans="1:35" ht="15.75" thickBot="1" x14ac:dyDescent="0.25">
      <c r="A193" s="113" t="s">
        <v>3</v>
      </c>
      <c r="B193" s="353"/>
      <c r="D193" s="6"/>
      <c r="F193" s="65"/>
      <c r="G193" s="177"/>
      <c r="H193" s="177"/>
      <c r="I193" s="599"/>
      <c r="J193" s="44"/>
      <c r="K193" s="44"/>
      <c r="L193" s="105"/>
      <c r="M193" s="196"/>
      <c r="N193" s="196"/>
      <c r="O193" s="8"/>
      <c r="P193" s="665"/>
      <c r="Q193" s="320"/>
      <c r="R193" s="98"/>
      <c r="S193" s="320"/>
      <c r="T193" s="98"/>
      <c r="U193" s="320"/>
      <c r="V193" s="103"/>
      <c r="W193" s="65"/>
      <c r="X193" s="103"/>
      <c r="Y193" s="65"/>
      <c r="Z193" s="99"/>
      <c r="AA193" s="320"/>
      <c r="AB193" s="320"/>
      <c r="AC193" s="101"/>
      <c r="AD193" s="320"/>
      <c r="AE193" s="320"/>
      <c r="AF193" s="206"/>
      <c r="AG193" s="206"/>
      <c r="AH193" s="120"/>
      <c r="AI193" s="8"/>
    </row>
    <row r="194" spans="1:35" x14ac:dyDescent="0.2">
      <c r="A194" s="1391"/>
      <c r="B194" s="1426"/>
      <c r="C194" s="1418"/>
      <c r="D194" s="1420"/>
      <c r="E194" s="762"/>
      <c r="F194" s="615"/>
      <c r="G194" s="1020"/>
      <c r="H194" s="561"/>
      <c r="I194" s="843"/>
      <c r="J194" s="771"/>
      <c r="K194" s="771"/>
      <c r="L194" s="772"/>
      <c r="M194" s="1456"/>
      <c r="N194" s="1457"/>
      <c r="O194" s="80"/>
      <c r="P194" s="1089"/>
      <c r="Q194" s="179"/>
      <c r="R194" s="230"/>
      <c r="S194" s="180"/>
      <c r="T194" s="1392"/>
      <c r="U194" s="181"/>
      <c r="V194" s="820"/>
      <c r="W194" s="810"/>
      <c r="X194" s="820"/>
      <c r="Y194" s="810"/>
      <c r="Z194" s="230"/>
      <c r="AA194" s="182"/>
      <c r="AB194" s="230"/>
      <c r="AC194" s="182"/>
      <c r="AD194" s="233"/>
      <c r="AE194" s="259"/>
      <c r="AF194" s="203"/>
      <c r="AG194" s="203"/>
      <c r="AH194" s="1090"/>
      <c r="AI194" s="8"/>
    </row>
    <row r="195" spans="1:35" x14ac:dyDescent="0.2">
      <c r="A195" s="1458"/>
      <c r="B195" s="1042"/>
      <c r="C195" s="1051"/>
      <c r="D195" s="1053"/>
      <c r="E195" s="1052"/>
      <c r="F195" s="1209"/>
      <c r="G195" s="767"/>
      <c r="H195" s="144"/>
      <c r="I195" s="144"/>
      <c r="J195" s="1459"/>
      <c r="K195" s="1282"/>
      <c r="L195" s="1460"/>
      <c r="M195" s="1023"/>
      <c r="N195" s="1446"/>
      <c r="O195" s="8"/>
      <c r="P195" s="1091"/>
      <c r="Q195" s="119"/>
      <c r="R195" s="234"/>
      <c r="S195" s="114"/>
      <c r="T195" s="821"/>
      <c r="U195" s="115"/>
      <c r="V195" s="821"/>
      <c r="W195" s="811"/>
      <c r="X195" s="821"/>
      <c r="Y195" s="811"/>
      <c r="Z195" s="234"/>
      <c r="AA195" s="116"/>
      <c r="AB195" s="234"/>
      <c r="AC195" s="116"/>
      <c r="AD195" s="237"/>
      <c r="AE195" s="117"/>
      <c r="AF195" s="1092"/>
      <c r="AG195" s="1092"/>
      <c r="AH195" s="1093"/>
      <c r="AI195" s="8"/>
    </row>
    <row r="196" spans="1:35" x14ac:dyDescent="0.2">
      <c r="A196" s="1458"/>
      <c r="B196" s="1042"/>
      <c r="C196" s="1051"/>
      <c r="D196" s="1053"/>
      <c r="E196" s="1052"/>
      <c r="F196" s="1209"/>
      <c r="G196" s="1020"/>
      <c r="H196" s="144"/>
      <c r="I196" s="144"/>
      <c r="J196" s="1461"/>
      <c r="K196" s="1462"/>
      <c r="L196" s="1460"/>
      <c r="M196" s="1154"/>
      <c r="N196" s="1446"/>
      <c r="O196" s="80"/>
      <c r="P196" s="1091"/>
      <c r="Q196" s="119"/>
      <c r="R196" s="234"/>
      <c r="S196" s="114"/>
      <c r="T196" s="1393"/>
      <c r="U196" s="115"/>
      <c r="V196" s="821"/>
      <c r="W196" s="811"/>
      <c r="X196" s="821"/>
      <c r="Y196" s="811"/>
      <c r="Z196" s="235"/>
      <c r="AA196" s="116"/>
      <c r="AB196" s="234"/>
      <c r="AC196" s="116"/>
      <c r="AD196" s="237"/>
      <c r="AE196" s="117"/>
      <c r="AF196" s="1092"/>
      <c r="AG196" s="1092"/>
      <c r="AH196" s="1093"/>
      <c r="AI196" s="8"/>
    </row>
    <row r="197" spans="1:35" x14ac:dyDescent="0.2">
      <c r="A197" s="1458"/>
      <c r="B197" s="1042"/>
      <c r="C197" s="1051"/>
      <c r="D197" s="1053"/>
      <c r="E197" s="1052"/>
      <c r="F197" s="1209"/>
      <c r="G197" s="767"/>
      <c r="H197" s="144"/>
      <c r="I197" s="144"/>
      <c r="J197" s="1461"/>
      <c r="K197" s="1462"/>
      <c r="L197" s="1460"/>
      <c r="M197" s="1023"/>
      <c r="N197" s="1446"/>
      <c r="O197" s="80"/>
      <c r="P197" s="1091"/>
      <c r="Q197" s="119"/>
      <c r="R197" s="234"/>
      <c r="S197" s="114"/>
      <c r="T197" s="821"/>
      <c r="U197" s="115"/>
      <c r="V197" s="821"/>
      <c r="W197" s="811"/>
      <c r="X197" s="821"/>
      <c r="Y197" s="811"/>
      <c r="Z197" s="234"/>
      <c r="AA197" s="116"/>
      <c r="AB197" s="234"/>
      <c r="AC197" s="116"/>
      <c r="AD197" s="237"/>
      <c r="AE197" s="117"/>
      <c r="AF197" s="1092"/>
      <c r="AG197" s="1092"/>
      <c r="AH197" s="1093"/>
      <c r="AI197" s="8"/>
    </row>
    <row r="198" spans="1:35" x14ac:dyDescent="0.2">
      <c r="A198" s="1458"/>
      <c r="B198" s="1042"/>
      <c r="C198" s="1051"/>
      <c r="D198" s="1053"/>
      <c r="E198" s="1052"/>
      <c r="F198" s="1209"/>
      <c r="G198" s="767"/>
      <c r="H198" s="144"/>
      <c r="I198" s="144"/>
      <c r="J198" s="1461"/>
      <c r="K198" s="1462"/>
      <c r="L198" s="1460"/>
      <c r="M198" s="1023"/>
      <c r="N198" s="1446"/>
      <c r="O198" s="80"/>
      <c r="P198" s="1091"/>
      <c r="Q198" s="119"/>
      <c r="R198" s="234"/>
      <c r="S198" s="114"/>
      <c r="T198" s="235"/>
      <c r="U198" s="115"/>
      <c r="V198" s="821"/>
      <c r="W198" s="811"/>
      <c r="X198" s="821"/>
      <c r="Y198" s="811"/>
      <c r="Z198" s="234"/>
      <c r="AA198" s="116"/>
      <c r="AB198" s="234"/>
      <c r="AC198" s="116"/>
      <c r="AD198" s="237"/>
      <c r="AE198" s="117"/>
      <c r="AF198" s="1092"/>
      <c r="AG198" s="1092"/>
      <c r="AH198" s="1093"/>
      <c r="AI198" s="8"/>
    </row>
    <row r="199" spans="1:35" x14ac:dyDescent="0.2">
      <c r="A199" s="1458"/>
      <c r="B199" s="1042"/>
      <c r="C199" s="1051"/>
      <c r="D199" s="1053"/>
      <c r="E199" s="1052"/>
      <c r="F199" s="1209"/>
      <c r="G199" s="767"/>
      <c r="H199" s="144"/>
      <c r="I199" s="144"/>
      <c r="J199" s="1461"/>
      <c r="K199" s="1462"/>
      <c r="L199" s="1460"/>
      <c r="M199" s="1154"/>
      <c r="N199" s="1446"/>
      <c r="O199" s="80"/>
      <c r="P199" s="1091"/>
      <c r="Q199" s="119"/>
      <c r="R199" s="234"/>
      <c r="S199" s="114"/>
      <c r="T199" s="1393"/>
      <c r="U199" s="115"/>
      <c r="V199" s="821"/>
      <c r="W199" s="811"/>
      <c r="X199" s="821"/>
      <c r="Y199" s="811"/>
      <c r="Z199" s="234"/>
      <c r="AA199" s="116"/>
      <c r="AB199" s="234"/>
      <c r="AC199" s="116"/>
      <c r="AD199" s="237"/>
      <c r="AE199" s="117"/>
      <c r="AF199" s="1092"/>
      <c r="AG199" s="1092"/>
      <c r="AH199" s="1093"/>
      <c r="AI199" s="8"/>
    </row>
    <row r="200" spans="1:35" x14ac:dyDescent="0.2">
      <c r="A200" s="1458"/>
      <c r="B200" s="1042"/>
      <c r="C200" s="1051"/>
      <c r="D200" s="1053"/>
      <c r="E200" s="1052"/>
      <c r="F200" s="1209"/>
      <c r="G200" s="767"/>
      <c r="H200" s="144"/>
      <c r="I200" s="144"/>
      <c r="J200" s="1461"/>
      <c r="K200" s="1462"/>
      <c r="L200" s="1460"/>
      <c r="M200" s="1023"/>
      <c r="N200" s="1446"/>
      <c r="O200" s="80"/>
      <c r="P200" s="1091"/>
      <c r="Q200" s="119"/>
      <c r="R200" s="234"/>
      <c r="S200" s="114"/>
      <c r="T200" s="235"/>
      <c r="U200" s="115"/>
      <c r="V200" s="821"/>
      <c r="W200" s="811"/>
      <c r="X200" s="821"/>
      <c r="Y200" s="811"/>
      <c r="Z200" s="234"/>
      <c r="AA200" s="116"/>
      <c r="AB200" s="234"/>
      <c r="AC200" s="116"/>
      <c r="AD200" s="237"/>
      <c r="AE200" s="117"/>
      <c r="AF200" s="1092"/>
      <c r="AG200" s="1092"/>
      <c r="AH200" s="1093"/>
      <c r="AI200" s="8"/>
    </row>
    <row r="201" spans="1:35" x14ac:dyDescent="0.2">
      <c r="A201" s="1458"/>
      <c r="B201" s="1042"/>
      <c r="C201" s="1051"/>
      <c r="D201" s="1043"/>
      <c r="E201" s="1052"/>
      <c r="F201" s="1209"/>
      <c r="G201" s="767"/>
      <c r="H201" s="144"/>
      <c r="I201" s="144"/>
      <c r="J201" s="1461"/>
      <c r="K201" s="1462"/>
      <c r="L201" s="1460"/>
      <c r="M201" s="1023"/>
      <c r="N201" s="1446"/>
      <c r="O201" s="80"/>
      <c r="P201" s="1091"/>
      <c r="Q201" s="119"/>
      <c r="R201" s="234"/>
      <c r="S201" s="114"/>
      <c r="T201" s="235"/>
      <c r="U201" s="115"/>
      <c r="V201" s="821"/>
      <c r="W201" s="811"/>
      <c r="X201" s="821"/>
      <c r="Y201" s="811"/>
      <c r="Z201" s="234"/>
      <c r="AA201" s="116"/>
      <c r="AB201" s="234"/>
      <c r="AC201" s="116"/>
      <c r="AD201" s="237"/>
      <c r="AE201" s="117"/>
      <c r="AF201" s="1092"/>
      <c r="AG201" s="1092"/>
      <c r="AH201" s="1093"/>
      <c r="AI201" s="8"/>
    </row>
    <row r="202" spans="1:35" x14ac:dyDescent="0.2">
      <c r="A202" s="1458"/>
      <c r="B202" s="1042"/>
      <c r="C202" s="1051"/>
      <c r="D202" s="1043"/>
      <c r="E202" s="1052"/>
      <c r="F202" s="1209"/>
      <c r="G202" s="767"/>
      <c r="H202" s="144"/>
      <c r="I202" s="144"/>
      <c r="J202" s="1461"/>
      <c r="K202" s="1462"/>
      <c r="L202" s="1460"/>
      <c r="M202" s="1023"/>
      <c r="N202" s="1446"/>
      <c r="O202" s="80"/>
      <c r="P202" s="1091"/>
      <c r="Q202" s="119"/>
      <c r="R202" s="234"/>
      <c r="S202" s="114"/>
      <c r="T202" s="235"/>
      <c r="U202" s="115"/>
      <c r="V202" s="821"/>
      <c r="W202" s="811"/>
      <c r="X202" s="821"/>
      <c r="Y202" s="811"/>
      <c r="Z202" s="234"/>
      <c r="AA202" s="116"/>
      <c r="AB202" s="234"/>
      <c r="AC202" s="116"/>
      <c r="AD202" s="237"/>
      <c r="AE202" s="117"/>
      <c r="AF202" s="1092"/>
      <c r="AG202" s="1092"/>
      <c r="AH202" s="1093"/>
      <c r="AI202" s="8"/>
    </row>
    <row r="203" spans="1:35" x14ac:dyDescent="0.2">
      <c r="A203" s="1458"/>
      <c r="B203" s="1042"/>
      <c r="C203" s="1051"/>
      <c r="D203" s="1048"/>
      <c r="E203" s="1052"/>
      <c r="F203" s="1209"/>
      <c r="G203" s="767"/>
      <c r="H203" s="144"/>
      <c r="I203" s="144"/>
      <c r="J203" s="1461"/>
      <c r="K203" s="1462"/>
      <c r="L203" s="1460"/>
      <c r="M203" s="1023"/>
      <c r="N203" s="1446"/>
      <c r="O203" s="80"/>
      <c r="P203" s="1091"/>
      <c r="Q203" s="119"/>
      <c r="R203" s="234"/>
      <c r="S203" s="114"/>
      <c r="T203" s="235"/>
      <c r="U203" s="115"/>
      <c r="V203" s="821"/>
      <c r="W203" s="811"/>
      <c r="X203" s="821"/>
      <c r="Y203" s="811"/>
      <c r="Z203" s="234"/>
      <c r="AA203" s="116"/>
      <c r="AB203" s="234"/>
      <c r="AC203" s="116"/>
      <c r="AD203" s="237"/>
      <c r="AE203" s="117"/>
      <c r="AF203" s="1092"/>
      <c r="AG203" s="1092"/>
      <c r="AH203" s="1093"/>
      <c r="AI203" s="8"/>
    </row>
    <row r="204" spans="1:35" x14ac:dyDescent="0.2">
      <c r="A204" s="1458"/>
      <c r="B204" s="1042"/>
      <c r="C204" s="1051"/>
      <c r="D204" s="1043"/>
      <c r="E204" s="1052"/>
      <c r="F204" s="1209"/>
      <c r="G204" s="767"/>
      <c r="H204" s="144"/>
      <c r="I204" s="144"/>
      <c r="J204" s="1461"/>
      <c r="K204" s="1462"/>
      <c r="L204" s="1460"/>
      <c r="M204" s="1023"/>
      <c r="N204" s="1446"/>
      <c r="O204" s="80"/>
      <c r="P204" s="1091"/>
      <c r="Q204" s="119"/>
      <c r="R204" s="234"/>
      <c r="S204" s="114"/>
      <c r="T204" s="235"/>
      <c r="U204" s="115"/>
      <c r="V204" s="821"/>
      <c r="W204" s="811"/>
      <c r="X204" s="821"/>
      <c r="Y204" s="811"/>
      <c r="Z204" s="234"/>
      <c r="AA204" s="116"/>
      <c r="AB204" s="234"/>
      <c r="AC204" s="116"/>
      <c r="AD204" s="237"/>
      <c r="AE204" s="117"/>
      <c r="AF204" s="1092"/>
      <c r="AG204" s="1092"/>
      <c r="AH204" s="1093"/>
      <c r="AI204" s="8"/>
    </row>
    <row r="205" spans="1:35" x14ac:dyDescent="0.2">
      <c r="A205" s="1458"/>
      <c r="B205" s="1042"/>
      <c r="C205" s="1068"/>
      <c r="D205" s="1043"/>
      <c r="E205" s="1454"/>
      <c r="F205" s="1209"/>
      <c r="G205" s="767"/>
      <c r="H205" s="144"/>
      <c r="I205" s="144"/>
      <c r="J205" s="1461"/>
      <c r="K205" s="1462"/>
      <c r="L205" s="1460"/>
      <c r="M205" s="1023"/>
      <c r="N205" s="1446"/>
      <c r="O205" s="80"/>
      <c r="P205" s="1091"/>
      <c r="Q205" s="119"/>
      <c r="R205" s="234"/>
      <c r="S205" s="114"/>
      <c r="T205" s="235"/>
      <c r="U205" s="115"/>
      <c r="V205" s="821"/>
      <c r="W205" s="811"/>
      <c r="X205" s="821"/>
      <c r="Y205" s="811"/>
      <c r="Z205" s="234"/>
      <c r="AA205" s="116"/>
      <c r="AB205" s="234"/>
      <c r="AC205" s="116"/>
      <c r="AD205" s="237"/>
      <c r="AE205" s="117"/>
      <c r="AF205" s="1092"/>
      <c r="AG205" s="1092"/>
      <c r="AH205" s="1093"/>
      <c r="AI205" s="8"/>
    </row>
    <row r="206" spans="1:35" x14ac:dyDescent="0.2">
      <c r="A206" s="1458"/>
      <c r="B206" s="1042"/>
      <c r="C206" s="1068"/>
      <c r="D206" s="1043"/>
      <c r="E206" s="1454"/>
      <c r="F206" s="1209"/>
      <c r="G206" s="767"/>
      <c r="H206" s="144"/>
      <c r="I206" s="144"/>
      <c r="J206" s="1461"/>
      <c r="K206" s="1462"/>
      <c r="L206" s="1460"/>
      <c r="M206" s="1023"/>
      <c r="N206" s="1446"/>
      <c r="O206" s="80"/>
      <c r="P206" s="1091"/>
      <c r="Q206" s="119"/>
      <c r="R206" s="234"/>
      <c r="S206" s="114"/>
      <c r="T206" s="235"/>
      <c r="U206" s="115"/>
      <c r="V206" s="821"/>
      <c r="W206" s="811"/>
      <c r="X206" s="821"/>
      <c r="Y206" s="811"/>
      <c r="Z206" s="234"/>
      <c r="AA206" s="116"/>
      <c r="AB206" s="234"/>
      <c r="AC206" s="116"/>
      <c r="AD206" s="237"/>
      <c r="AE206" s="117"/>
      <c r="AF206" s="1092"/>
      <c r="AG206" s="1092"/>
      <c r="AH206" s="1093"/>
      <c r="AI206" s="8"/>
    </row>
    <row r="207" spans="1:35" x14ac:dyDescent="0.2">
      <c r="A207" s="1458"/>
      <c r="B207" s="1042"/>
      <c r="C207" s="1068"/>
      <c r="D207" s="1043"/>
      <c r="E207" s="1454"/>
      <c r="F207" s="1209"/>
      <c r="G207" s="767"/>
      <c r="H207" s="144"/>
      <c r="I207" s="144"/>
      <c r="J207" s="1461"/>
      <c r="K207" s="1462"/>
      <c r="L207" s="1460"/>
      <c r="M207" s="1023"/>
      <c r="N207" s="1446"/>
      <c r="O207" s="80"/>
      <c r="P207" s="1091"/>
      <c r="Q207" s="119"/>
      <c r="R207" s="234"/>
      <c r="S207" s="114"/>
      <c r="T207" s="235"/>
      <c r="U207" s="115"/>
      <c r="V207" s="821"/>
      <c r="W207" s="811"/>
      <c r="X207" s="821"/>
      <c r="Y207" s="811"/>
      <c r="Z207" s="234"/>
      <c r="AA207" s="116"/>
      <c r="AB207" s="234"/>
      <c r="AC207" s="116"/>
      <c r="AD207" s="237"/>
      <c r="AE207" s="117"/>
      <c r="AF207" s="1092"/>
      <c r="AG207" s="1092"/>
      <c r="AH207" s="1093"/>
      <c r="AI207" s="8"/>
    </row>
    <row r="208" spans="1:35" x14ac:dyDescent="0.2">
      <c r="A208" s="1458"/>
      <c r="B208" s="1042"/>
      <c r="C208" s="1068"/>
      <c r="D208" s="1043"/>
      <c r="E208" s="1454"/>
      <c r="F208" s="1209"/>
      <c r="G208" s="767"/>
      <c r="H208" s="144"/>
      <c r="I208" s="144"/>
      <c r="J208" s="1461"/>
      <c r="K208" s="1462"/>
      <c r="L208" s="1460"/>
      <c r="M208" s="1023"/>
      <c r="N208" s="1446"/>
      <c r="O208" s="80"/>
      <c r="P208" s="1091"/>
      <c r="Q208" s="119">
        <f>ROUND(IF(P208="SI",SUMIF('C de C año anterior'!$B$8:$B$229,B208,'C de C año anterior'!$F$8:$F$229)*(100%+$Q$5),0),-3)+ROUND(IF(P208="SI",SUMIF('Facturas año anterior'!$B$8:$B$86,B208,'Facturas año anterior'!$F$8:$F$86)*(100%+$AA$5),0),-3)</f>
        <v>0</v>
      </c>
      <c r="R208" s="234"/>
      <c r="S208" s="114">
        <f t="shared" ref="S208:S210" si="27">ROUND(IF(R208="SI",Q208*$S$5,0),-3)</f>
        <v>0</v>
      </c>
      <c r="T208" s="235"/>
      <c r="U208" s="115">
        <f t="shared" ref="U208:U210" si="28">ROUND(IF(T208="SI",Q208*$U$5,0),-3)</f>
        <v>0</v>
      </c>
      <c r="V208" s="821"/>
      <c r="W208" s="811">
        <f t="shared" ref="W208:W210" si="29">ROUND(IF(V208="SI",Q208*$W$5,0),-3)</f>
        <v>0</v>
      </c>
      <c r="X208" s="821"/>
      <c r="Y208" s="811">
        <f t="shared" ref="Y208:Y210" si="30">ROUND(IF(X208="SI",Q208*$Y$5,0),-3)</f>
        <v>0</v>
      </c>
      <c r="Z208" s="234"/>
      <c r="AA208" s="116">
        <f t="shared" ref="AA208:AA210" si="31">ROUND(IF(Z208="SI",Q208*$AA$5,0),-3)</f>
        <v>0</v>
      </c>
      <c r="AB208" s="234"/>
      <c r="AC208" s="116">
        <f t="shared" ref="AC208:AC210" si="32">ROUND(IF(AB208="SI",Q208*$AC$5,0),-3)</f>
        <v>0</v>
      </c>
      <c r="AD208" s="237"/>
      <c r="AE208" s="117">
        <f t="shared" ref="AE208:AE210" si="33">IF(AD208="SI",Q208*$AE$5,0)</f>
        <v>0</v>
      </c>
      <c r="AF208" s="1092">
        <f>SUMIF('Otras Asesorías y Préstamos'!$B$7:$B$242,B208,'Otras Asesorías y Préstamos'!$F$7:$F$242)</f>
        <v>0</v>
      </c>
      <c r="AG208" s="1092">
        <f>SUMIF('Otras Asesorías y Préstamos'!$B$7:$B$242,B208,'Otras Asesorías y Préstamos'!$V$7:$V$242)</f>
        <v>0</v>
      </c>
      <c r="AH208" s="1093">
        <f t="shared" ref="AH208:AH210" si="34">ROUND(SUM(Q208:AG208),-4)</f>
        <v>0</v>
      </c>
      <c r="AI208" s="8"/>
    </row>
    <row r="209" spans="1:35" x14ac:dyDescent="0.2">
      <c r="A209" s="1458"/>
      <c r="B209" s="1042"/>
      <c r="C209" s="1068"/>
      <c r="D209" s="1043"/>
      <c r="E209" s="1454"/>
      <c r="F209" s="1209"/>
      <c r="G209" s="767"/>
      <c r="H209" s="144"/>
      <c r="I209" s="144"/>
      <c r="J209" s="1461"/>
      <c r="K209" s="1462"/>
      <c r="L209" s="1460"/>
      <c r="M209" s="1023"/>
      <c r="N209" s="1446"/>
      <c r="O209" s="80"/>
      <c r="P209" s="1091"/>
      <c r="Q209" s="119">
        <f>ROUND(IF(P209="SI",SUMIF('C de C año anterior'!$B$8:$B$229,B209,'C de C año anterior'!$F$8:$F$229)*(100%+$Q$5),0),-3)+ROUND(IF(P209="SI",SUMIF('Facturas año anterior'!$B$8:$B$86,B209,'Facturas año anterior'!$F$8:$F$86)*(100%+$AA$5),0),-3)</f>
        <v>0</v>
      </c>
      <c r="R209" s="234"/>
      <c r="S209" s="114">
        <f t="shared" si="27"/>
        <v>0</v>
      </c>
      <c r="T209" s="235"/>
      <c r="U209" s="115">
        <f t="shared" si="28"/>
        <v>0</v>
      </c>
      <c r="V209" s="821"/>
      <c r="W209" s="811">
        <f t="shared" si="29"/>
        <v>0</v>
      </c>
      <c r="X209" s="821"/>
      <c r="Y209" s="811">
        <f t="shared" si="30"/>
        <v>0</v>
      </c>
      <c r="Z209" s="234"/>
      <c r="AA209" s="116">
        <f t="shared" si="31"/>
        <v>0</v>
      </c>
      <c r="AB209" s="234"/>
      <c r="AC209" s="116">
        <f t="shared" si="32"/>
        <v>0</v>
      </c>
      <c r="AD209" s="237"/>
      <c r="AE209" s="117">
        <f t="shared" si="33"/>
        <v>0</v>
      </c>
      <c r="AF209" s="1092">
        <f>SUMIF('Otras Asesorías y Préstamos'!$B$7:$B$242,B209,'Otras Asesorías y Préstamos'!$F$7:$F$242)</f>
        <v>0</v>
      </c>
      <c r="AG209" s="1092">
        <f>SUMIF('Otras Asesorías y Préstamos'!$B$7:$B$242,B209,'Otras Asesorías y Préstamos'!$V$7:$V$242)</f>
        <v>0</v>
      </c>
      <c r="AH209" s="1093">
        <f t="shared" si="34"/>
        <v>0</v>
      </c>
      <c r="AI209" s="8"/>
    </row>
    <row r="210" spans="1:35" x14ac:dyDescent="0.2">
      <c r="A210" s="1458"/>
      <c r="B210" s="1042"/>
      <c r="C210" s="1068"/>
      <c r="D210" s="1043"/>
      <c r="E210" s="1454"/>
      <c r="F210" s="1209"/>
      <c r="G210" s="767"/>
      <c r="H210" s="144"/>
      <c r="I210" s="144"/>
      <c r="J210" s="1461"/>
      <c r="K210" s="1462"/>
      <c r="L210" s="1460"/>
      <c r="M210" s="1023"/>
      <c r="N210" s="1446"/>
      <c r="O210" s="80"/>
      <c r="P210" s="1091"/>
      <c r="Q210" s="119">
        <f>ROUND(IF(P210="SI",SUMIF('C de C año anterior'!$B$8:$B$229,B210,'C de C año anterior'!$F$8:$F$229)*(100%+$Q$5),0),-3)+ROUND(IF(P210="SI",SUMIF('Facturas año anterior'!$B$8:$B$86,B210,'Facturas año anterior'!$F$8:$F$86)*(100%+$AA$5),0),-3)</f>
        <v>0</v>
      </c>
      <c r="R210" s="234"/>
      <c r="S210" s="114">
        <f t="shared" si="27"/>
        <v>0</v>
      </c>
      <c r="T210" s="235"/>
      <c r="U210" s="115">
        <f t="shared" si="28"/>
        <v>0</v>
      </c>
      <c r="V210" s="821"/>
      <c r="W210" s="811">
        <f t="shared" si="29"/>
        <v>0</v>
      </c>
      <c r="X210" s="821"/>
      <c r="Y210" s="811">
        <f t="shared" si="30"/>
        <v>0</v>
      </c>
      <c r="Z210" s="234"/>
      <c r="AA210" s="116">
        <f t="shared" si="31"/>
        <v>0</v>
      </c>
      <c r="AB210" s="234"/>
      <c r="AC210" s="116">
        <f t="shared" si="32"/>
        <v>0</v>
      </c>
      <c r="AD210" s="237"/>
      <c r="AE210" s="117">
        <f t="shared" si="33"/>
        <v>0</v>
      </c>
      <c r="AF210" s="1092">
        <f>SUMIF('Otras Asesorías y Préstamos'!$B$7:$B$242,B210,'Otras Asesorías y Préstamos'!$F$7:$F$242)</f>
        <v>0</v>
      </c>
      <c r="AG210" s="1092">
        <f>SUMIF('Otras Asesorías y Préstamos'!$B$7:$B$242,B210,'Otras Asesorías y Préstamos'!$V$7:$V$242)</f>
        <v>0</v>
      </c>
      <c r="AH210" s="1093">
        <f t="shared" si="34"/>
        <v>0</v>
      </c>
      <c r="AI210" s="8"/>
    </row>
    <row r="211" spans="1:35" ht="13.5" thickBot="1" x14ac:dyDescent="0.25">
      <c r="A211" s="641"/>
      <c r="B211" s="745"/>
      <c r="C211" s="510"/>
      <c r="D211" s="642"/>
      <c r="E211" s="635"/>
      <c r="F211" s="776"/>
      <c r="G211" s="768"/>
      <c r="H211" s="178"/>
      <c r="I211" s="600"/>
      <c r="J211" s="142"/>
      <c r="K211" s="605"/>
      <c r="L211" s="143"/>
      <c r="M211" s="1463"/>
      <c r="N211" s="1464"/>
      <c r="O211" s="80"/>
      <c r="P211" s="1125"/>
      <c r="Q211" s="129"/>
      <c r="R211" s="129"/>
      <c r="S211" s="129"/>
      <c r="T211" s="129"/>
      <c r="U211" s="129"/>
      <c r="V211" s="823"/>
      <c r="W211" s="813"/>
      <c r="X211" s="823"/>
      <c r="Y211" s="813"/>
      <c r="Z211" s="129"/>
      <c r="AA211" s="129"/>
      <c r="AB211" s="129"/>
      <c r="AC211" s="247"/>
      <c r="AD211" s="129"/>
      <c r="AE211" s="129"/>
      <c r="AF211" s="322"/>
      <c r="AG211" s="322"/>
      <c r="AH211" s="321"/>
      <c r="AI211" s="8"/>
    </row>
    <row r="212" spans="1:35" ht="13.5" thickBot="1" x14ac:dyDescent="0.25">
      <c r="D212" s="769"/>
      <c r="E212" s="770"/>
      <c r="O212" s="8"/>
      <c r="AI212" s="8"/>
    </row>
    <row r="213" spans="1:35" ht="13.5" thickBot="1" x14ac:dyDescent="0.25">
      <c r="A213" s="130" t="s">
        <v>69</v>
      </c>
      <c r="B213" s="746"/>
      <c r="C213" s="480"/>
      <c r="D213" s="271"/>
      <c r="E213" s="384"/>
      <c r="F213" s="225">
        <f>SUM(F194:F211)</f>
        <v>0</v>
      </c>
      <c r="L213" s="23"/>
      <c r="O213" s="8"/>
      <c r="P213" s="1126">
        <f t="shared" ref="P213:AH213" si="35">SUM(P194:P211)</f>
        <v>0</v>
      </c>
      <c r="Q213" s="225">
        <f t="shared" si="35"/>
        <v>0</v>
      </c>
      <c r="R213" s="225">
        <f t="shared" si="35"/>
        <v>0</v>
      </c>
      <c r="S213" s="225">
        <f t="shared" si="35"/>
        <v>0</v>
      </c>
      <c r="T213" s="225">
        <f t="shared" si="35"/>
        <v>0</v>
      </c>
      <c r="U213" s="225">
        <f t="shared" si="35"/>
        <v>0</v>
      </c>
      <c r="V213" s="818">
        <v>0</v>
      </c>
      <c r="W213" s="638"/>
      <c r="X213" s="818">
        <v>0</v>
      </c>
      <c r="Y213" s="638"/>
      <c r="Z213" s="225">
        <f t="shared" si="35"/>
        <v>0</v>
      </c>
      <c r="AA213" s="225">
        <f t="shared" si="35"/>
        <v>0</v>
      </c>
      <c r="AB213" s="225">
        <f t="shared" si="35"/>
        <v>0</v>
      </c>
      <c r="AC213" s="225">
        <f t="shared" si="35"/>
        <v>0</v>
      </c>
      <c r="AD213" s="225">
        <f t="shared" si="35"/>
        <v>0</v>
      </c>
      <c r="AE213" s="225">
        <f t="shared" si="35"/>
        <v>0</v>
      </c>
      <c r="AF213" s="501">
        <f t="shared" si="35"/>
        <v>0</v>
      </c>
      <c r="AG213" s="225">
        <f t="shared" si="35"/>
        <v>0</v>
      </c>
      <c r="AH213" s="225">
        <f t="shared" si="35"/>
        <v>0</v>
      </c>
      <c r="AI213" s="8"/>
    </row>
    <row r="214" spans="1:35" x14ac:dyDescent="0.2">
      <c r="A214" s="65"/>
      <c r="B214" s="750"/>
      <c r="C214" s="507"/>
      <c r="D214" s="65"/>
      <c r="E214" s="157"/>
      <c r="F214" s="145"/>
      <c r="G214" s="148"/>
      <c r="H214" s="148"/>
      <c r="I214" s="601"/>
      <c r="J214" s="65"/>
      <c r="K214" s="65"/>
      <c r="L214" s="65"/>
      <c r="M214" s="196"/>
      <c r="N214" s="196"/>
      <c r="O214" s="8"/>
      <c r="P214" s="145"/>
      <c r="Q214" s="65"/>
      <c r="R214" s="65"/>
      <c r="S214" s="65"/>
      <c r="T214" s="65"/>
      <c r="U214" s="65"/>
      <c r="V214" s="103"/>
      <c r="W214" s="65"/>
      <c r="X214" s="103"/>
      <c r="Y214" s="65"/>
      <c r="Z214" s="65"/>
      <c r="AA214" s="65"/>
      <c r="AB214" s="65"/>
      <c r="AC214" s="65"/>
      <c r="AD214" s="65"/>
      <c r="AE214" s="65"/>
      <c r="AF214" s="206"/>
      <c r="AG214" s="206"/>
      <c r="AH214" s="65"/>
      <c r="AI214" s="8"/>
    </row>
    <row r="215" spans="1:35" x14ac:dyDescent="0.2">
      <c r="A215" s="151" t="s">
        <v>70</v>
      </c>
      <c r="B215" s="152"/>
      <c r="C215" s="1274">
        <f>+A199</f>
        <v>0</v>
      </c>
      <c r="D215" s="1273">
        <f>+C191+C215</f>
        <v>0</v>
      </c>
      <c r="E215" s="209"/>
      <c r="F215" s="151">
        <f>F189+F213</f>
        <v>12180000</v>
      </c>
      <c r="G215" s="151"/>
      <c r="H215" s="151"/>
      <c r="I215" s="602"/>
      <c r="J215" s="151"/>
      <c r="K215" s="151"/>
      <c r="L215" s="151"/>
      <c r="M215" s="151"/>
      <c r="N215" s="151"/>
      <c r="O215" s="151"/>
      <c r="P215" s="195"/>
      <c r="Q215" s="151">
        <f>Q189+Q213</f>
        <v>10763000</v>
      </c>
      <c r="R215" s="151"/>
      <c r="S215" s="151">
        <f>S189+S213</f>
        <v>929000</v>
      </c>
      <c r="T215" s="151"/>
      <c r="U215" s="151">
        <f>U189+U213</f>
        <v>0</v>
      </c>
      <c r="V215" s="472"/>
      <c r="W215" s="66"/>
      <c r="X215" s="472"/>
      <c r="Y215" s="66"/>
      <c r="Z215" s="151"/>
      <c r="AA215" s="151">
        <f>AA189+AA213</f>
        <v>0</v>
      </c>
      <c r="AB215" s="151"/>
      <c r="AC215" s="151">
        <f>AC189+AC213</f>
        <v>0</v>
      </c>
      <c r="AD215" s="151"/>
      <c r="AE215" s="151">
        <f>AE189+AE213</f>
        <v>0</v>
      </c>
      <c r="AF215" s="205">
        <f>AF189+AF213</f>
        <v>484948.68328320002</v>
      </c>
      <c r="AG215" s="151">
        <f>AG189+AG213</f>
        <v>0</v>
      </c>
      <c r="AH215" s="151">
        <f>AH189+AH213</f>
        <v>12180000</v>
      </c>
      <c r="AI215" s="8"/>
    </row>
    <row r="216" spans="1:35" x14ac:dyDescent="0.2">
      <c r="A216" s="65"/>
      <c r="B216" s="345"/>
      <c r="C216" s="508"/>
      <c r="D216" s="78"/>
      <c r="E216" s="60"/>
      <c r="F216" s="148"/>
      <c r="G216" s="149"/>
      <c r="H216" s="149"/>
      <c r="I216" s="603"/>
      <c r="J216" s="149"/>
      <c r="K216" s="149"/>
      <c r="L216" s="150"/>
      <c r="M216" s="196"/>
      <c r="N216" s="196"/>
      <c r="O216" s="65"/>
      <c r="P216" s="196"/>
      <c r="Q216" s="100"/>
      <c r="R216" s="146"/>
      <c r="S216" s="100"/>
      <c r="T216" s="146"/>
      <c r="U216" s="100"/>
      <c r="V216" s="103"/>
      <c r="W216" s="148"/>
      <c r="X216" s="103"/>
      <c r="Y216" s="148"/>
      <c r="Z216" s="100"/>
      <c r="AA216" s="100"/>
      <c r="AB216" s="100"/>
      <c r="AC216" s="147"/>
      <c r="AD216" s="100"/>
      <c r="AE216" s="100"/>
      <c r="AF216" s="150"/>
      <c r="AG216" s="150"/>
      <c r="AH216" s="120"/>
      <c r="AI216" s="8"/>
    </row>
    <row r="217" spans="1:35" x14ac:dyDescent="0.2">
      <c r="A217" s="74" t="s">
        <v>131</v>
      </c>
      <c r="D217" s="70">
        <f>+A177+A199</f>
        <v>0</v>
      </c>
      <c r="F217" s="74">
        <f>+F189+F213</f>
        <v>12180000</v>
      </c>
      <c r="AI217" s="8"/>
    </row>
    <row r="218" spans="1:35" x14ac:dyDescent="0.2">
      <c r="AI218" s="8"/>
    </row>
    <row r="219" spans="1:35" x14ac:dyDescent="0.2">
      <c r="A219" s="74" t="s">
        <v>132</v>
      </c>
      <c r="D219" s="70">
        <f>+Facturas!D82</f>
        <v>29</v>
      </c>
      <c r="F219" s="74">
        <f>+Facturas!F49+Facturas!F80</f>
        <v>12810000</v>
      </c>
      <c r="AI219" s="8"/>
    </row>
    <row r="220" spans="1:35" x14ac:dyDescent="0.2">
      <c r="B220" s="863" t="s">
        <v>253</v>
      </c>
      <c r="C220" s="863"/>
      <c r="D220" s="863">
        <f>SUM(D217:D219)</f>
        <v>29</v>
      </c>
      <c r="F220" s="863">
        <f>SUM(F217:F219)</f>
        <v>24990000</v>
      </c>
      <c r="AI220" s="8"/>
    </row>
    <row r="221" spans="1:35" x14ac:dyDescent="0.2">
      <c r="A221" s="74" t="s">
        <v>135</v>
      </c>
      <c r="D221" s="70" t="e">
        <f>+#REF!</f>
        <v>#REF!</v>
      </c>
      <c r="AI221" s="8"/>
    </row>
    <row r="222" spans="1:35" x14ac:dyDescent="0.2">
      <c r="A222" s="74" t="s">
        <v>136</v>
      </c>
      <c r="D222" s="70" t="e">
        <f>+#REF!</f>
        <v>#REF!</v>
      </c>
      <c r="AI222" s="8"/>
    </row>
    <row r="223" spans="1:35" x14ac:dyDescent="0.2">
      <c r="D223" s="647" t="e">
        <f>+D221+D222</f>
        <v>#REF!</v>
      </c>
      <c r="AI223" s="8"/>
    </row>
    <row r="224" spans="1:35" x14ac:dyDescent="0.2">
      <c r="A224" s="74" t="s">
        <v>157</v>
      </c>
      <c r="D224" s="70" t="e">
        <f>-#REF!</f>
        <v>#REF!</v>
      </c>
      <c r="AI224" s="8"/>
    </row>
    <row r="225" spans="3:35" x14ac:dyDescent="0.2">
      <c r="D225" s="647" t="e">
        <f>+D223+D224</f>
        <v>#REF!</v>
      </c>
      <c r="AI225" s="8"/>
    </row>
    <row r="226" spans="3:35" ht="25.5" x14ac:dyDescent="0.2">
      <c r="C226" s="864" t="s">
        <v>158</v>
      </c>
      <c r="D226" s="862" t="e">
        <f>+D220-D225</f>
        <v>#REF!</v>
      </c>
      <c r="AI226" s="8"/>
    </row>
    <row r="227" spans="3:35" x14ac:dyDescent="0.2">
      <c r="AI227" s="8"/>
    </row>
  </sheetData>
  <mergeCells count="1">
    <mergeCell ref="F4:L4"/>
  </mergeCells>
  <phoneticPr fontId="97" type="noConversion"/>
  <conditionalFormatting sqref="J9:J20 J22:J178">
    <cfRule type="expression" dxfId="2" priority="4">
      <formula>$J9="OK/"</formula>
    </cfRule>
  </conditionalFormatting>
  <printOptions horizontalCentered="1"/>
  <pageMargins left="0.19685039370078741" right="0.19685039370078741" top="0.19685039370078741" bottom="0.19685039370078741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>
    <tabColor theme="3" tint="0.59999389629810485"/>
  </sheetPr>
  <dimension ref="A1:Z268"/>
  <sheetViews>
    <sheetView showGridLines="0" showOutlineSymbols="0"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10" sqref="B10:B17"/>
    </sheetView>
  </sheetViews>
  <sheetFormatPr baseColWidth="10" defaultColWidth="9.6640625" defaultRowHeight="12.75" x14ac:dyDescent="0.2"/>
  <cols>
    <col min="1" max="1" width="5.33203125" style="74" customWidth="1"/>
    <col min="2" max="2" width="45.77734375" style="74" customWidth="1"/>
    <col min="3" max="3" width="14" style="74" customWidth="1"/>
    <col min="4" max="4" width="3.88671875" style="158" customWidth="1"/>
    <col min="5" max="5" width="7.21875" style="158" bestFit="1" customWidth="1"/>
    <col min="6" max="10" width="12.77734375" style="74" customWidth="1"/>
    <col min="11" max="11" width="10.77734375" style="74" customWidth="1"/>
    <col min="12" max="12" width="12.77734375" style="74" customWidth="1"/>
    <col min="13" max="13" width="10.77734375" style="74" customWidth="1"/>
    <col min="14" max="14" width="15.88671875" style="492" customWidth="1"/>
    <col min="15" max="15" width="29.5546875" style="65" customWidth="1"/>
    <col min="16" max="16" width="25.77734375" style="65" customWidth="1"/>
    <col min="17" max="17" width="1.6640625" style="74" customWidth="1"/>
    <col min="18" max="18" width="53.88671875" style="65" bestFit="1" customWidth="1"/>
    <col min="19" max="19" width="7.44140625" style="65" bestFit="1" customWidth="1"/>
    <col min="20" max="20" width="6.88671875" style="65" bestFit="1" customWidth="1"/>
    <col min="21" max="21" width="7.21875" style="65" customWidth="1"/>
    <col min="22" max="22" width="10" style="65" bestFit="1" customWidth="1"/>
    <col min="23" max="23" width="6.88671875" style="65" bestFit="1" customWidth="1"/>
    <col min="24" max="16384" width="9.6640625" style="65"/>
  </cols>
  <sheetData>
    <row r="1" spans="1:26" ht="15" x14ac:dyDescent="0.2">
      <c r="A1" s="164" t="str">
        <f>+'Grupos Familiares'!$A$3</f>
        <v>PRESUPUESTO DE COBROS</v>
      </c>
      <c r="Q1" s="696"/>
    </row>
    <row r="2" spans="1:26" s="691" customFormat="1" ht="15" x14ac:dyDescent="0.2">
      <c r="A2" s="159" t="s">
        <v>146</v>
      </c>
      <c r="B2" s="159"/>
      <c r="C2" s="159"/>
      <c r="D2" s="687"/>
      <c r="E2" s="687"/>
      <c r="F2" s="159"/>
      <c r="G2" s="159"/>
      <c r="H2" s="159"/>
      <c r="I2" s="159"/>
      <c r="J2" s="159"/>
      <c r="K2" s="159"/>
      <c r="L2" s="159"/>
      <c r="M2" s="159"/>
      <c r="N2" s="1299"/>
      <c r="O2" s="689"/>
      <c r="P2" s="690"/>
      <c r="Q2" s="688"/>
      <c r="R2" s="65"/>
      <c r="S2" s="65"/>
      <c r="T2" s="65"/>
      <c r="U2" s="65"/>
      <c r="V2" s="65"/>
      <c r="W2" s="65"/>
      <c r="X2" s="65"/>
      <c r="Y2" s="65"/>
      <c r="Z2" s="9"/>
    </row>
    <row r="3" spans="1:26" s="691" customFormat="1" ht="15" x14ac:dyDescent="0.2">
      <c r="A3" s="260" t="str">
        <f>+'Grupos Familiares'!$A$4</f>
        <v>AÑO  GRAVABLE 2024</v>
      </c>
      <c r="B3" s="692"/>
      <c r="C3" s="692"/>
      <c r="D3" s="693"/>
      <c r="E3" s="693"/>
      <c r="F3" s="694"/>
      <c r="G3" s="695"/>
      <c r="H3" s="695"/>
      <c r="I3" s="695"/>
      <c r="J3" s="695"/>
      <c r="K3" s="695"/>
      <c r="L3" s="695"/>
      <c r="M3" s="695"/>
      <c r="N3" s="1299"/>
      <c r="O3" s="689"/>
      <c r="P3" s="690"/>
      <c r="Q3" s="696"/>
      <c r="R3" s="65"/>
      <c r="S3" s="65"/>
      <c r="T3" s="65"/>
      <c r="U3" s="65"/>
      <c r="V3" s="65"/>
      <c r="W3" s="65"/>
      <c r="X3" s="65"/>
      <c r="Y3" s="65"/>
    </row>
    <row r="4" spans="1:26" ht="13.5" thickBot="1" x14ac:dyDescent="0.25">
      <c r="A4" s="352" t="s">
        <v>0</v>
      </c>
      <c r="B4" s="157"/>
      <c r="C4" s="157"/>
      <c r="D4" s="228"/>
      <c r="E4" s="228"/>
      <c r="G4" s="103"/>
      <c r="H4" s="103"/>
      <c r="I4" s="103"/>
      <c r="J4" s="103"/>
      <c r="K4" s="103"/>
      <c r="L4" s="103"/>
      <c r="M4" s="103"/>
      <c r="N4" s="215"/>
      <c r="O4" s="145"/>
      <c r="P4" s="682"/>
      <c r="Q4" s="8"/>
    </row>
    <row r="5" spans="1:26" ht="27" customHeight="1" x14ac:dyDescent="0.2">
      <c r="A5" s="65"/>
      <c r="B5" s="157"/>
      <c r="C5" s="157"/>
      <c r="D5" s="228"/>
      <c r="E5" s="228"/>
      <c r="F5" s="1515" t="str">
        <f>+Facturas!F4</f>
        <v>VALORES A FACTURAR -PRESENTE AÑO-</v>
      </c>
      <c r="G5" s="1516"/>
      <c r="H5" s="1516"/>
      <c r="I5" s="1516"/>
      <c r="J5" s="1516"/>
      <c r="K5" s="1517"/>
      <c r="L5" s="1513" t="str">
        <f>+'Cuentas de Cobro'!F4</f>
        <v>VALORES CUENTAS DE COBRO 2023</v>
      </c>
      <c r="M5" s="1514"/>
      <c r="N5" s="216"/>
      <c r="O5" s="145"/>
      <c r="P5" s="682"/>
      <c r="Q5" s="8"/>
    </row>
    <row r="6" spans="1:26" ht="13.5" thickBot="1" x14ac:dyDescent="0.25">
      <c r="A6" s="103"/>
      <c r="B6" s="103"/>
      <c r="C6" s="103"/>
      <c r="D6" s="215"/>
      <c r="E6" s="215"/>
      <c r="F6" s="217"/>
      <c r="G6" s="257">
        <v>0.19</v>
      </c>
      <c r="H6" s="257"/>
      <c r="I6" s="648"/>
      <c r="J6" s="649"/>
      <c r="K6" s="218"/>
      <c r="L6" s="1088"/>
      <c r="M6" s="756"/>
      <c r="N6" s="352"/>
      <c r="Q6" s="8"/>
    </row>
    <row r="7" spans="1:26" s="9" customFormat="1" ht="42.75" thickBot="1" x14ac:dyDescent="0.25">
      <c r="A7" s="160" t="s">
        <v>2</v>
      </c>
      <c r="B7" s="779" t="s">
        <v>58</v>
      </c>
      <c r="C7" s="779" t="s">
        <v>59</v>
      </c>
      <c r="D7" s="761" t="s">
        <v>86</v>
      </c>
      <c r="E7" s="780" t="s">
        <v>111</v>
      </c>
      <c r="F7" s="138" t="s">
        <v>197</v>
      </c>
      <c r="G7" s="220" t="s">
        <v>56</v>
      </c>
      <c r="H7" s="515" t="s">
        <v>113</v>
      </c>
      <c r="I7" s="515" t="s">
        <v>115</v>
      </c>
      <c r="J7" s="139" t="s">
        <v>196</v>
      </c>
      <c r="K7" s="221" t="s">
        <v>57</v>
      </c>
      <c r="L7" s="1198" t="s">
        <v>214</v>
      </c>
      <c r="M7" s="757" t="s">
        <v>71</v>
      </c>
      <c r="N7" s="222" t="s">
        <v>199</v>
      </c>
      <c r="O7" s="1407" t="s">
        <v>9</v>
      </c>
      <c r="P7" s="1407" t="s">
        <v>67</v>
      </c>
      <c r="Q7" s="106"/>
      <c r="R7" s="65"/>
      <c r="S7" s="65"/>
      <c r="T7" s="65"/>
      <c r="U7" s="65"/>
      <c r="V7" s="65"/>
      <c r="W7" s="65"/>
      <c r="X7" s="65"/>
      <c r="Y7" s="65"/>
    </row>
    <row r="8" spans="1:26" x14ac:dyDescent="0.2">
      <c r="A8" s="1408"/>
      <c r="B8" s="103"/>
      <c r="C8" s="103"/>
      <c r="D8" s="215"/>
      <c r="E8" s="215"/>
      <c r="F8" s="763"/>
      <c r="G8" s="1409"/>
      <c r="H8" s="1410"/>
      <c r="I8" s="1410"/>
      <c r="J8" s="214"/>
      <c r="K8" s="753"/>
      <c r="L8" s="98"/>
      <c r="M8" s="758"/>
      <c r="N8" s="1410"/>
      <c r="O8" s="145"/>
      <c r="P8" s="1411"/>
      <c r="Q8" s="8"/>
    </row>
    <row r="9" spans="1:26" ht="13.5" thickBot="1" x14ac:dyDescent="0.25">
      <c r="A9" s="1412" t="s">
        <v>1</v>
      </c>
      <c r="B9" s="157"/>
      <c r="C9" s="157"/>
      <c r="D9" s="228"/>
      <c r="E9" s="228"/>
      <c r="F9" s="764"/>
      <c r="G9" s="1413"/>
      <c r="H9" s="1414"/>
      <c r="I9" s="1414"/>
      <c r="J9" s="1413"/>
      <c r="K9" s="754"/>
      <c r="L9" s="1415"/>
      <c r="M9" s="759"/>
      <c r="N9" s="1416"/>
      <c r="O9" s="145"/>
      <c r="P9" s="1411"/>
      <c r="Q9" s="8"/>
      <c r="R9" s="1180" t="s">
        <v>213</v>
      </c>
    </row>
    <row r="10" spans="1:26" ht="13.5" thickBot="1" x14ac:dyDescent="0.25">
      <c r="A10" s="782">
        <v>1</v>
      </c>
      <c r="B10" s="1528" t="s">
        <v>271</v>
      </c>
      <c r="C10" s="1417">
        <v>22126399</v>
      </c>
      <c r="D10" s="762">
        <f t="shared" ref="D10:D17" si="0">IF(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=0,0,IF(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=1,1,11-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))</f>
        <v>5</v>
      </c>
      <c r="E10" s="1418">
        <f>_xlfn.XLOOKUP(B10,Códigos!$B$8:$B$406,Códigos!$A$8:$A$406,"Verificar",0)</f>
        <v>41</v>
      </c>
      <c r="F10" s="1202">
        <f>SUMIF(Facturas!$B$9:$B$79,B10,Facturas!$F$9:$F$79)</f>
        <v>870000</v>
      </c>
      <c r="G10" s="1419">
        <f>SUMIF(Facturas!$B$9:$B$79,B10,Facturas!$G$9:$G$79)</f>
        <v>165300</v>
      </c>
      <c r="H10" s="1420">
        <f>SUMIF(Facturas!$B$9:$B$79,B10,Facturas!$I$9:$I$79)</f>
        <v>-95700</v>
      </c>
      <c r="I10" s="1420">
        <f>SUMIF(Facturas!$B$9:$B$79,B10,Facturas!$J$9:$J$79)</f>
        <v>1035300</v>
      </c>
      <c r="J10" s="1419">
        <f>SUMIF(Facturas!$B$9:$B$79,B10,Facturas!$K$9:$K$79)</f>
        <v>939600</v>
      </c>
      <c r="K10" s="755"/>
      <c r="L10" s="1199">
        <f>IF(J10&gt;0,0,SUMIF('Cuentas de Cobro'!$B$9:$B$214,B10,'Cuentas de Cobro'!$F$9:$F$214))</f>
        <v>0</v>
      </c>
      <c r="M10" s="760"/>
      <c r="N10" s="1300">
        <f t="shared" ref="N10" si="1">+J10+L10</f>
        <v>939600</v>
      </c>
      <c r="O10" s="1202"/>
      <c r="P10" s="1421"/>
      <c r="Q10" s="8"/>
      <c r="R10" s="1183"/>
    </row>
    <row r="11" spans="1:26" ht="13.5" thickBot="1" x14ac:dyDescent="0.25">
      <c r="A11" s="1050">
        <f>+A10+1</f>
        <v>2</v>
      </c>
      <c r="B11" s="1528" t="s">
        <v>281</v>
      </c>
      <c r="C11" s="1181">
        <v>71581755</v>
      </c>
      <c r="D11" s="1052">
        <f t="shared" si="0"/>
        <v>2</v>
      </c>
      <c r="E11" s="1051">
        <f>_xlfn.XLOOKUP(B11,Códigos!$B$8:$B$406,Códigos!$A$8:$A$406,"Verificar",0)</f>
        <v>346</v>
      </c>
      <c r="F11" s="1275">
        <f>SUMIF(Facturas!$B$9:$B$79,B11,Facturas!$F$9:$F$79)</f>
        <v>1000000</v>
      </c>
      <c r="G11" s="1043">
        <f>SUMIF(Facturas!$B$9:$B$79,B11,Facturas!$G$9:$G$79)</f>
        <v>190000</v>
      </c>
      <c r="H11" s="1053">
        <f>SUMIF(Facturas!$B$9:$B$79,B11,Facturas!$I$9:$I$79)</f>
        <v>0</v>
      </c>
      <c r="I11" s="1053">
        <f>SUMIF(Facturas!$B$9:$B$79,B11,Facturas!$J$9:$J$79)</f>
        <v>1190000</v>
      </c>
      <c r="J11" s="1043">
        <f>SUMIF(Facturas!$B$9:$B$79,B11,Facturas!$K$9:$K$79)</f>
        <v>1190000</v>
      </c>
      <c r="K11" s="1059"/>
      <c r="L11" s="1200">
        <f>IF(J11&gt;0,0,SUMIF('Cuentas de Cobro'!$B$9:$B$214,B11,'Cuentas de Cobro'!$F$9:$F$214))</f>
        <v>0</v>
      </c>
      <c r="M11" s="1422"/>
      <c r="N11" s="1301">
        <f t="shared" ref="N11:N17" si="2">+J11+L11</f>
        <v>1190000</v>
      </c>
      <c r="O11" s="1023"/>
      <c r="P11" s="1276"/>
      <c r="Q11" s="8"/>
      <c r="R11" s="351"/>
    </row>
    <row r="12" spans="1:26" ht="13.5" thickBot="1" x14ac:dyDescent="0.25">
      <c r="A12" s="1050">
        <f t="shared" ref="A12:A17" si="3">+A11+1</f>
        <v>3</v>
      </c>
      <c r="B12" s="1528" t="s">
        <v>282</v>
      </c>
      <c r="C12" s="1181">
        <v>70116694</v>
      </c>
      <c r="D12" s="1052">
        <f t="shared" si="0"/>
        <v>5</v>
      </c>
      <c r="E12" s="1051">
        <f>_xlfn.XLOOKUP(B12,Códigos!$B$8:$B$406,Códigos!$A$8:$A$406,"Verificar",0)</f>
        <v>300</v>
      </c>
      <c r="F12" s="1275">
        <f>SUMIF(Facturas!$B$9:$B$79,B12,Facturas!$F$9:$F$79)</f>
        <v>1080000</v>
      </c>
      <c r="G12" s="1043">
        <f>SUMIF(Facturas!$B$9:$B$79,B12,Facturas!$G$9:$G$79)</f>
        <v>205200</v>
      </c>
      <c r="H12" s="1053">
        <f>SUMIF(Facturas!$B$9:$B$79,B12,Facturas!$I$9:$I$79)</f>
        <v>-118800</v>
      </c>
      <c r="I12" s="1053">
        <f>SUMIF(Facturas!$B$9:$B$79,B12,Facturas!$J$9:$J$79)</f>
        <v>1285200</v>
      </c>
      <c r="J12" s="1043">
        <f>SUMIF(Facturas!$B$9:$B$79,B12,Facturas!$K$9:$K$79)</f>
        <v>1166400</v>
      </c>
      <c r="K12" s="1059"/>
      <c r="L12" s="1200">
        <f>IF(J12&gt;0,0,SUMIF('Cuentas de Cobro'!$B$9:$B$214,B12,'Cuentas de Cobro'!$F$9:$F$214))</f>
        <v>0</v>
      </c>
      <c r="M12" s="1422"/>
      <c r="N12" s="1301">
        <f t="shared" si="2"/>
        <v>1166400</v>
      </c>
      <c r="O12" s="1023"/>
      <c r="P12" s="1276"/>
      <c r="Q12" s="8"/>
      <c r="R12" s="686"/>
    </row>
    <row r="13" spans="1:26" ht="13.5" thickBot="1" x14ac:dyDescent="0.25">
      <c r="A13" s="1050">
        <f t="shared" si="3"/>
        <v>4</v>
      </c>
      <c r="B13" s="1528" t="s">
        <v>283</v>
      </c>
      <c r="C13" s="1181">
        <v>3349249</v>
      </c>
      <c r="D13" s="1052">
        <f t="shared" si="0"/>
        <v>7</v>
      </c>
      <c r="E13" s="1051">
        <f>_xlfn.XLOOKUP(B13,Códigos!$B$8:$B$406,Códigos!$A$8:$A$406,"Verificar",0)</f>
        <v>312</v>
      </c>
      <c r="F13" s="1275">
        <f>SUMIF(Facturas!$B$9:$B$79,B13,Facturas!$F$9:$F$79)</f>
        <v>2990000</v>
      </c>
      <c r="G13" s="1043">
        <f>SUMIF(Facturas!$B$9:$B$79,B13,Facturas!$G$9:$G$79)</f>
        <v>568100</v>
      </c>
      <c r="H13" s="1053">
        <f>SUMIF(Facturas!$B$9:$B$79,B13,Facturas!$I$9:$I$79)</f>
        <v>-328900</v>
      </c>
      <c r="I13" s="1053">
        <f>SUMIF(Facturas!$B$9:$B$79,B13,Facturas!$J$9:$J$79)</f>
        <v>3558100</v>
      </c>
      <c r="J13" s="1043">
        <f>SUMIF(Facturas!$B$9:$B$79,B13,Facturas!$K$9:$K$79)</f>
        <v>3229200</v>
      </c>
      <c r="K13" s="1059"/>
      <c r="L13" s="1200">
        <f>IF(J13&gt;0,0,SUMIF('Cuentas de Cobro'!$B$9:$B$214,B13,'Cuentas de Cobro'!$F$9:$F$214))</f>
        <v>0</v>
      </c>
      <c r="M13" s="1422"/>
      <c r="N13" s="1301">
        <f t="shared" si="2"/>
        <v>3229200</v>
      </c>
      <c r="O13" s="1023"/>
      <c r="P13" s="1276"/>
      <c r="Q13" s="8"/>
      <c r="R13" s="686"/>
    </row>
    <row r="14" spans="1:26" ht="13.5" thickBot="1" x14ac:dyDescent="0.25">
      <c r="A14" s="1050">
        <f t="shared" si="3"/>
        <v>5</v>
      </c>
      <c r="B14" s="1528" t="s">
        <v>284</v>
      </c>
      <c r="C14" s="1181">
        <v>71632774</v>
      </c>
      <c r="D14" s="1052">
        <f t="shared" si="0"/>
        <v>2</v>
      </c>
      <c r="E14" s="1423">
        <f>_xlfn.XLOOKUP(B14,Códigos!$B$8:$B$406,Códigos!$A$8:$A$406,"Verificar",0)</f>
        <v>217</v>
      </c>
      <c r="F14" s="1275">
        <f>SUMIF(Facturas!$B$9:$B$79,B14,Facturas!$F$9:$F$79)</f>
        <v>2430000</v>
      </c>
      <c r="G14" s="1043">
        <f>SUMIF(Facturas!$B$9:$B$79,B14,Facturas!$G$9:$G$79)</f>
        <v>461700</v>
      </c>
      <c r="H14" s="1053">
        <f>SUMIF(Facturas!$B$9:$B$79,B14,Facturas!$I$9:$I$79)</f>
        <v>-267300</v>
      </c>
      <c r="I14" s="1053">
        <f>SUMIF(Facturas!$B$9:$B$79,B14,Facturas!$J$9:$J$79)</f>
        <v>2891700</v>
      </c>
      <c r="J14" s="1043">
        <f>SUMIF(Facturas!$B$9:$B$79,B14,Facturas!$K$9:$K$79)</f>
        <v>2624400</v>
      </c>
      <c r="K14" s="1059"/>
      <c r="L14" s="1200">
        <f>IF(J14&gt;0,0,SUMIF('Cuentas de Cobro'!$B$9:$B$214,B14,'Cuentas de Cobro'!$F$9:$F$214))</f>
        <v>0</v>
      </c>
      <c r="M14" s="1422"/>
      <c r="N14" s="1301">
        <f t="shared" si="2"/>
        <v>2624400</v>
      </c>
      <c r="O14" s="1023"/>
      <c r="P14" s="1276"/>
      <c r="Q14" s="8"/>
      <c r="R14" s="1184"/>
    </row>
    <row r="15" spans="1:26" ht="13.5" thickBot="1" x14ac:dyDescent="0.25">
      <c r="A15" s="1050">
        <f t="shared" si="3"/>
        <v>6</v>
      </c>
      <c r="B15" s="1528" t="s">
        <v>272</v>
      </c>
      <c r="C15" s="1181">
        <v>21315528</v>
      </c>
      <c r="D15" s="1052">
        <f t="shared" si="0"/>
        <v>6</v>
      </c>
      <c r="E15" s="1051">
        <f>_xlfn.XLOOKUP(B15,Códigos!$B$8:$B$406,Códigos!$A$8:$A$406,"Verificar",0)</f>
        <v>42</v>
      </c>
      <c r="F15" s="1275">
        <f>SUMIF(Facturas!$B$9:$B$79,B15,Facturas!$F$9:$F$79)</f>
        <v>1830000</v>
      </c>
      <c r="G15" s="1043">
        <f>SUMIF(Facturas!$B$9:$B$79,B15,Facturas!$G$9:$G$79)</f>
        <v>347700</v>
      </c>
      <c r="H15" s="1053">
        <f>SUMIF(Facturas!$B$9:$B$79,B15,Facturas!$I$9:$I$79)</f>
        <v>-201300</v>
      </c>
      <c r="I15" s="1053">
        <f>SUMIF(Facturas!$B$9:$B$79,B15,Facturas!$J$9:$J$79)</f>
        <v>2177700</v>
      </c>
      <c r="J15" s="1043">
        <f>SUMIF(Facturas!$B$9:$B$79,B15,Facturas!$K$9:$K$79)</f>
        <v>1976400</v>
      </c>
      <c r="K15" s="1059"/>
      <c r="L15" s="1200">
        <f>IF(J15&gt;0,0,SUMIF('Cuentas de Cobro'!$B$9:$B$214,B15,'Cuentas de Cobro'!$F$9:$F$214))</f>
        <v>0</v>
      </c>
      <c r="M15" s="1422"/>
      <c r="N15" s="1301">
        <f t="shared" si="2"/>
        <v>1976400</v>
      </c>
      <c r="O15" s="1023"/>
      <c r="P15" s="1276"/>
      <c r="Q15" s="8"/>
      <c r="R15" s="686"/>
    </row>
    <row r="16" spans="1:26" ht="13.5" thickBot="1" x14ac:dyDescent="0.25">
      <c r="A16" s="1050">
        <f t="shared" si="3"/>
        <v>7</v>
      </c>
      <c r="B16" s="1528" t="s">
        <v>273</v>
      </c>
      <c r="C16" s="1181">
        <v>32336950</v>
      </c>
      <c r="D16" s="1052">
        <f t="shared" si="0"/>
        <v>1</v>
      </c>
      <c r="E16" s="1051">
        <f>_xlfn.XLOOKUP(B16,Códigos!$B$8:$B$406,Códigos!$A$8:$A$406,"Verificar",0)</f>
        <v>43</v>
      </c>
      <c r="F16" s="1275">
        <f>SUMIF(Facturas!$B$9:$B$79,B16,Facturas!$F$9:$F$79)</f>
        <v>2390000</v>
      </c>
      <c r="G16" s="1043">
        <f>SUMIF(Facturas!$B$9:$B$79,B16,Facturas!$G$9:$G$79)</f>
        <v>454100</v>
      </c>
      <c r="H16" s="1053">
        <f>SUMIF(Facturas!$B$9:$B$79,B16,Facturas!$I$9:$I$79)</f>
        <v>-262900</v>
      </c>
      <c r="I16" s="1053">
        <f>SUMIF(Facturas!$B$9:$B$79,B16,Facturas!$J$9:$J$79)</f>
        <v>2844100</v>
      </c>
      <c r="J16" s="1043">
        <f>SUMIF(Facturas!$B$9:$B$79,B16,Facturas!$K$9:$K$79)</f>
        <v>2581200</v>
      </c>
      <c r="K16" s="1059"/>
      <c r="L16" s="1200">
        <f>IF(J16&gt;0,0,SUMIF('Cuentas de Cobro'!$B$9:$B$214,B16,'Cuentas de Cobro'!$F$9:$F$214))</f>
        <v>0</v>
      </c>
      <c r="M16" s="1422"/>
      <c r="N16" s="1301">
        <f t="shared" si="2"/>
        <v>2581200</v>
      </c>
      <c r="O16" s="1023"/>
      <c r="P16" s="1276"/>
      <c r="Q16" s="8"/>
      <c r="R16" s="1185"/>
    </row>
    <row r="17" spans="1:18" x14ac:dyDescent="0.2">
      <c r="A17" s="1050">
        <f t="shared" si="3"/>
        <v>8</v>
      </c>
      <c r="B17" s="1528" t="s">
        <v>274</v>
      </c>
      <c r="C17" s="1181">
        <v>1152450831</v>
      </c>
      <c r="D17" s="1052">
        <f t="shared" si="0"/>
        <v>7</v>
      </c>
      <c r="E17" s="1051">
        <f>_xlfn.XLOOKUP(B17,Códigos!$B$8:$B$406,Códigos!$A$8:$A$406,"Verificar",0)</f>
        <v>44</v>
      </c>
      <c r="F17" s="1275">
        <f>SUMIF(Facturas!$B$9:$B$79,B17,Facturas!$F$9:$F$79)</f>
        <v>220000</v>
      </c>
      <c r="G17" s="1043">
        <f>SUMIF(Facturas!$B$9:$B$79,B17,Facturas!$G$9:$G$79)</f>
        <v>41800</v>
      </c>
      <c r="H17" s="1053">
        <f>SUMIF(Facturas!$B$9:$B$79,B17,Facturas!$I$9:$I$79)</f>
        <v>-24200</v>
      </c>
      <c r="I17" s="1053">
        <f>SUMIF(Facturas!$B$9:$B$79,B17,Facturas!$J$9:$J$79)</f>
        <v>261800</v>
      </c>
      <c r="J17" s="1043">
        <f>SUMIF(Facturas!$B$9:$B$79,B17,Facturas!$K$9:$K$79)</f>
        <v>237600</v>
      </c>
      <c r="K17" s="1059"/>
      <c r="L17" s="1200">
        <f>IF(J17&gt;0,0,SUMIF('Cuentas de Cobro'!$B$9:$B$214,B17,'Cuentas de Cobro'!$F$9:$F$214))</f>
        <v>0</v>
      </c>
      <c r="M17" s="1422"/>
      <c r="N17" s="1301">
        <f t="shared" si="2"/>
        <v>237600</v>
      </c>
      <c r="O17" s="1023"/>
      <c r="P17" s="1276"/>
      <c r="Q17" s="8"/>
      <c r="R17" s="1166"/>
    </row>
    <row r="18" spans="1:18" x14ac:dyDescent="0.2">
      <c r="A18" s="1050"/>
      <c r="B18" s="1185"/>
      <c r="C18" s="1181"/>
      <c r="D18" s="1052"/>
      <c r="E18" s="1051"/>
      <c r="F18" s="1275"/>
      <c r="G18" s="1043"/>
      <c r="H18" s="1053"/>
      <c r="I18" s="1053"/>
      <c r="J18" s="1043"/>
      <c r="K18" s="1059"/>
      <c r="L18" s="1200"/>
      <c r="M18" s="1422"/>
      <c r="N18" s="1301"/>
      <c r="O18" s="1023"/>
      <c r="P18" s="1276"/>
      <c r="Q18" s="8"/>
      <c r="R18" s="686"/>
    </row>
    <row r="19" spans="1:18" x14ac:dyDescent="0.2">
      <c r="A19" s="1050"/>
      <c r="B19" s="1019"/>
      <c r="C19" s="1181"/>
      <c r="D19" s="1052"/>
      <c r="E19" s="1051"/>
      <c r="F19" s="1275"/>
      <c r="G19" s="1043"/>
      <c r="H19" s="1053"/>
      <c r="I19" s="1053"/>
      <c r="J19" s="1043"/>
      <c r="K19" s="1059"/>
      <c r="L19" s="1200"/>
      <c r="M19" s="1422"/>
      <c r="N19" s="1301"/>
      <c r="O19" s="1023"/>
      <c r="P19" s="1276"/>
      <c r="Q19" s="8"/>
      <c r="R19" s="686"/>
    </row>
    <row r="20" spans="1:18" x14ac:dyDescent="0.2">
      <c r="A20" s="1050"/>
      <c r="B20" s="1019"/>
      <c r="C20" s="1181"/>
      <c r="D20" s="1052"/>
      <c r="E20" s="1051"/>
      <c r="F20" s="1275"/>
      <c r="G20" s="1043"/>
      <c r="H20" s="1053"/>
      <c r="I20" s="1053"/>
      <c r="J20" s="1043"/>
      <c r="K20" s="1059"/>
      <c r="L20" s="1200"/>
      <c r="M20" s="1422"/>
      <c r="N20" s="1301"/>
      <c r="O20" s="1023"/>
      <c r="P20" s="1276"/>
      <c r="Q20" s="8"/>
      <c r="R20" s="686"/>
    </row>
    <row r="21" spans="1:18" x14ac:dyDescent="0.2">
      <c r="A21" s="1050"/>
      <c r="B21" s="1019"/>
      <c r="C21" s="1181"/>
      <c r="D21" s="1052"/>
      <c r="E21" s="1051"/>
      <c r="F21" s="1275"/>
      <c r="G21" s="1043"/>
      <c r="H21" s="1053"/>
      <c r="I21" s="1053"/>
      <c r="J21" s="1043"/>
      <c r="K21" s="1059"/>
      <c r="L21" s="1200"/>
      <c r="M21" s="1422"/>
      <c r="N21" s="1301"/>
      <c r="O21" s="1023"/>
      <c r="P21" s="1276"/>
      <c r="Q21" s="8"/>
      <c r="R21" s="1166"/>
    </row>
    <row r="22" spans="1:18" x14ac:dyDescent="0.2">
      <c r="A22" s="1050"/>
      <c r="B22" s="1019"/>
      <c r="C22" s="1181"/>
      <c r="D22" s="1052"/>
      <c r="E22" s="1051"/>
      <c r="F22" s="1275"/>
      <c r="G22" s="1043"/>
      <c r="H22" s="1053"/>
      <c r="I22" s="1053"/>
      <c r="J22" s="1043"/>
      <c r="K22" s="1059"/>
      <c r="L22" s="1200"/>
      <c r="M22" s="1422"/>
      <c r="N22" s="1301"/>
      <c r="O22" s="1023"/>
      <c r="P22" s="1276"/>
      <c r="Q22" s="8"/>
      <c r="R22" s="1166"/>
    </row>
    <row r="23" spans="1:18" x14ac:dyDescent="0.2">
      <c r="A23" s="1050"/>
      <c r="B23" s="1019"/>
      <c r="C23" s="1181"/>
      <c r="D23" s="1052"/>
      <c r="E23" s="1051"/>
      <c r="F23" s="1275"/>
      <c r="G23" s="1043"/>
      <c r="H23" s="1053"/>
      <c r="I23" s="1053"/>
      <c r="J23" s="1043"/>
      <c r="K23" s="1059"/>
      <c r="L23" s="1200"/>
      <c r="M23" s="1422"/>
      <c r="N23" s="1301"/>
      <c r="O23" s="1023"/>
      <c r="P23" s="1276"/>
      <c r="Q23" s="8"/>
      <c r="R23" s="686"/>
    </row>
    <row r="24" spans="1:18" x14ac:dyDescent="0.2">
      <c r="A24" s="1050"/>
      <c r="B24" s="1019"/>
      <c r="C24" s="1181"/>
      <c r="D24" s="1052"/>
      <c r="E24" s="1051"/>
      <c r="F24" s="1275"/>
      <c r="G24" s="1043"/>
      <c r="H24" s="1053"/>
      <c r="I24" s="1053"/>
      <c r="J24" s="1043"/>
      <c r="K24" s="1059"/>
      <c r="L24" s="1200"/>
      <c r="M24" s="1422"/>
      <c r="N24" s="1301"/>
      <c r="O24" s="1023"/>
      <c r="P24" s="1276"/>
      <c r="Q24" s="8"/>
      <c r="R24" s="686"/>
    </row>
    <row r="25" spans="1:18" x14ac:dyDescent="0.2">
      <c r="A25" s="1050"/>
      <c r="B25" s="1019"/>
      <c r="C25" s="1181"/>
      <c r="D25" s="1052"/>
      <c r="E25" s="1051"/>
      <c r="F25" s="1275"/>
      <c r="G25" s="1043"/>
      <c r="H25" s="1053"/>
      <c r="I25" s="1053"/>
      <c r="J25" s="1043"/>
      <c r="K25" s="1059"/>
      <c r="L25" s="1200"/>
      <c r="M25" s="1422"/>
      <c r="N25" s="1301"/>
      <c r="O25" s="1023"/>
      <c r="P25" s="1276"/>
      <c r="Q25" s="8"/>
      <c r="R25" s="1166"/>
    </row>
    <row r="26" spans="1:18" x14ac:dyDescent="0.2">
      <c r="A26" s="1050"/>
      <c r="B26" s="1019"/>
      <c r="C26" s="1181"/>
      <c r="D26" s="1052"/>
      <c r="E26" s="1051"/>
      <c r="F26" s="1275"/>
      <c r="G26" s="1043"/>
      <c r="H26" s="1053"/>
      <c r="I26" s="1053"/>
      <c r="J26" s="1043"/>
      <c r="K26" s="1059"/>
      <c r="L26" s="1200"/>
      <c r="M26" s="1422"/>
      <c r="N26" s="1301"/>
      <c r="O26" s="1023"/>
      <c r="P26" s="1276"/>
      <c r="Q26" s="8"/>
      <c r="R26" s="1186"/>
    </row>
    <row r="27" spans="1:18" x14ac:dyDescent="0.2">
      <c r="A27" s="1050"/>
      <c r="B27" s="1019"/>
      <c r="C27" s="1181"/>
      <c r="D27" s="1052"/>
      <c r="E27" s="1051"/>
      <c r="F27" s="1275"/>
      <c r="G27" s="1043"/>
      <c r="H27" s="1053"/>
      <c r="I27" s="1053"/>
      <c r="J27" s="1043"/>
      <c r="K27" s="1059"/>
      <c r="L27" s="1200"/>
      <c r="M27" s="1422"/>
      <c r="N27" s="1301"/>
      <c r="O27" s="1023"/>
      <c r="P27" s="1276"/>
      <c r="Q27" s="8"/>
      <c r="R27" s="1169"/>
    </row>
    <row r="28" spans="1:18" x14ac:dyDescent="0.2">
      <c r="A28" s="1050"/>
      <c r="B28" s="1019"/>
      <c r="C28" s="1181"/>
      <c r="D28" s="1052"/>
      <c r="E28" s="1051"/>
      <c r="F28" s="1275"/>
      <c r="G28" s="1043"/>
      <c r="H28" s="1053"/>
      <c r="I28" s="1053"/>
      <c r="J28" s="1043"/>
      <c r="K28" s="1059"/>
      <c r="L28" s="1200"/>
      <c r="M28" s="1422"/>
      <c r="N28" s="1301"/>
      <c r="O28" s="1023"/>
      <c r="P28" s="1276"/>
      <c r="Q28" s="8"/>
      <c r="R28" s="1166"/>
    </row>
    <row r="29" spans="1:18" x14ac:dyDescent="0.2">
      <c r="A29" s="1050"/>
      <c r="B29" s="1242"/>
      <c r="C29" s="1181"/>
      <c r="D29" s="1052"/>
      <c r="E29" s="1423"/>
      <c r="F29" s="1275"/>
      <c r="G29" s="1043"/>
      <c r="H29" s="1053"/>
      <c r="I29" s="1053"/>
      <c r="J29" s="1043"/>
      <c r="K29" s="1059"/>
      <c r="L29" s="1200"/>
      <c r="M29" s="1422"/>
      <c r="N29" s="1301"/>
      <c r="O29" s="1023"/>
      <c r="P29" s="1276"/>
      <c r="Q29" s="8"/>
      <c r="R29" s="1186"/>
    </row>
    <row r="30" spans="1:18" x14ac:dyDescent="0.2">
      <c r="A30" s="1433"/>
      <c r="B30" s="1434"/>
      <c r="C30" s="1435"/>
      <c r="D30" s="1427"/>
      <c r="E30" s="1428"/>
      <c r="F30" s="1429"/>
      <c r="G30" s="1074"/>
      <c r="H30" s="1219"/>
      <c r="I30" s="1219"/>
      <c r="J30" s="1074"/>
      <c r="K30" s="1430"/>
      <c r="L30" s="1436"/>
      <c r="M30" s="1437"/>
      <c r="N30" s="1406"/>
      <c r="O30" s="1431"/>
      <c r="P30" s="1432"/>
      <c r="Q30" s="8"/>
      <c r="R30" s="1163"/>
    </row>
    <row r="31" spans="1:18" x14ac:dyDescent="0.2">
      <c r="A31" s="1050"/>
      <c r="B31" s="1019"/>
      <c r="C31" s="1181"/>
      <c r="D31" s="1052"/>
      <c r="E31" s="1051"/>
      <c r="F31" s="1275"/>
      <c r="G31" s="1043"/>
      <c r="H31" s="1053"/>
      <c r="I31" s="1053"/>
      <c r="J31" s="1043"/>
      <c r="K31" s="1059"/>
      <c r="L31" s="1200"/>
      <c r="M31" s="1422"/>
      <c r="N31" s="1301"/>
      <c r="O31" s="1023"/>
      <c r="P31" s="1276"/>
      <c r="Q31" s="8"/>
      <c r="R31" s="1007"/>
    </row>
    <row r="32" spans="1:18" x14ac:dyDescent="0.2">
      <c r="A32" s="1050"/>
      <c r="B32" s="1019"/>
      <c r="C32" s="1181"/>
      <c r="D32" s="1052"/>
      <c r="E32" s="1051"/>
      <c r="F32" s="1275"/>
      <c r="G32" s="1043"/>
      <c r="H32" s="1053"/>
      <c r="I32" s="1053"/>
      <c r="J32" s="1043"/>
      <c r="K32" s="1059"/>
      <c r="L32" s="1200"/>
      <c r="M32" s="1422"/>
      <c r="N32" s="1301"/>
      <c r="O32" s="1023"/>
      <c r="P32" s="1276"/>
      <c r="Q32" s="8"/>
      <c r="R32" s="1184"/>
    </row>
    <row r="33" spans="1:18" x14ac:dyDescent="0.2">
      <c r="A33" s="1433"/>
      <c r="B33" s="1434"/>
      <c r="C33" s="1435"/>
      <c r="D33" s="1427"/>
      <c r="E33" s="1428"/>
      <c r="F33" s="1429"/>
      <c r="G33" s="1074"/>
      <c r="H33" s="1219"/>
      <c r="I33" s="1219"/>
      <c r="J33" s="1074"/>
      <c r="K33" s="1430"/>
      <c r="L33" s="1436"/>
      <c r="M33" s="1437"/>
      <c r="N33" s="1406"/>
      <c r="O33" s="1431"/>
      <c r="P33" s="1432"/>
      <c r="Q33" s="8"/>
      <c r="R33" s="1163"/>
    </row>
    <row r="34" spans="1:18" x14ac:dyDescent="0.2">
      <c r="A34" s="1050"/>
      <c r="B34" s="1019"/>
      <c r="C34" s="1181"/>
      <c r="D34" s="1052"/>
      <c r="E34" s="1051"/>
      <c r="F34" s="1275"/>
      <c r="G34" s="1043"/>
      <c r="H34" s="1053"/>
      <c r="I34" s="1053"/>
      <c r="J34" s="1043"/>
      <c r="K34" s="1059"/>
      <c r="L34" s="1200"/>
      <c r="M34" s="1422"/>
      <c r="N34" s="1301"/>
      <c r="O34" s="1023"/>
      <c r="P34" s="1276"/>
      <c r="Q34" s="8"/>
      <c r="R34" s="1186"/>
    </row>
    <row r="35" spans="1:18" x14ac:dyDescent="0.2">
      <c r="A35" s="1050"/>
      <c r="B35" s="1019"/>
      <c r="C35" s="1181"/>
      <c r="D35" s="1052"/>
      <c r="E35" s="1051"/>
      <c r="F35" s="1275"/>
      <c r="G35" s="1043"/>
      <c r="H35" s="1053"/>
      <c r="I35" s="1053"/>
      <c r="J35" s="1043"/>
      <c r="K35" s="1059"/>
      <c r="L35" s="1200"/>
      <c r="M35" s="1422"/>
      <c r="N35" s="1301"/>
      <c r="O35" s="1023"/>
      <c r="P35" s="1276"/>
      <c r="Q35" s="8"/>
      <c r="R35" s="686"/>
    </row>
    <row r="36" spans="1:18" x14ac:dyDescent="0.2">
      <c r="A36" s="1050"/>
      <c r="B36" s="1019"/>
      <c r="C36" s="1181"/>
      <c r="D36" s="1052"/>
      <c r="E36" s="1051"/>
      <c r="F36" s="1275"/>
      <c r="G36" s="1043"/>
      <c r="H36" s="1053"/>
      <c r="I36" s="1053"/>
      <c r="J36" s="1043"/>
      <c r="K36" s="1059"/>
      <c r="L36" s="1200"/>
      <c r="M36" s="1422"/>
      <c r="N36" s="1301"/>
      <c r="O36" s="1023"/>
      <c r="P36" s="1276"/>
      <c r="Q36" s="8"/>
      <c r="R36" s="686"/>
    </row>
    <row r="37" spans="1:18" x14ac:dyDescent="0.2">
      <c r="A37" s="1050"/>
      <c r="B37" s="1019"/>
      <c r="C37" s="1181"/>
      <c r="D37" s="1052"/>
      <c r="E37" s="1051"/>
      <c r="F37" s="1275"/>
      <c r="G37" s="1043"/>
      <c r="H37" s="1053"/>
      <c r="I37" s="1053"/>
      <c r="J37" s="1043"/>
      <c r="K37" s="1059"/>
      <c r="L37" s="1200"/>
      <c r="M37" s="1422"/>
      <c r="N37" s="1301"/>
      <c r="O37" s="1023"/>
      <c r="P37" s="1276"/>
      <c r="Q37" s="8"/>
      <c r="R37" s="686"/>
    </row>
    <row r="38" spans="1:18" x14ac:dyDescent="0.2">
      <c r="A38" s="1050"/>
      <c r="B38" s="1019"/>
      <c r="C38" s="1181"/>
      <c r="D38" s="1052"/>
      <c r="E38" s="1051"/>
      <c r="F38" s="1275"/>
      <c r="G38" s="1043"/>
      <c r="H38" s="1053"/>
      <c r="I38" s="1053"/>
      <c r="J38" s="1043"/>
      <c r="K38" s="1059"/>
      <c r="L38" s="1200"/>
      <c r="M38" s="1422"/>
      <c r="N38" s="1301"/>
      <c r="O38" s="1023"/>
      <c r="P38" s="1276"/>
      <c r="Q38" s="8"/>
      <c r="R38" s="1187"/>
    </row>
    <row r="39" spans="1:18" x14ac:dyDescent="0.2">
      <c r="A39" s="1050"/>
      <c r="B39" s="1019"/>
      <c r="C39" s="1181"/>
      <c r="D39" s="1052"/>
      <c r="E39" s="1051"/>
      <c r="F39" s="1275"/>
      <c r="G39" s="1043"/>
      <c r="H39" s="1053"/>
      <c r="I39" s="1053"/>
      <c r="J39" s="1043"/>
      <c r="K39" s="1059"/>
      <c r="L39" s="1200"/>
      <c r="M39" s="1422"/>
      <c r="N39" s="1301"/>
      <c r="O39" s="1023"/>
      <c r="P39" s="1276"/>
      <c r="Q39" s="8"/>
      <c r="R39" s="686"/>
    </row>
    <row r="40" spans="1:18" x14ac:dyDescent="0.2">
      <c r="A40" s="1050"/>
      <c r="B40" s="1019"/>
      <c r="C40" s="1181"/>
      <c r="D40" s="1052"/>
      <c r="E40" s="1051"/>
      <c r="F40" s="1275"/>
      <c r="G40" s="1043"/>
      <c r="H40" s="1053"/>
      <c r="I40" s="1053"/>
      <c r="J40" s="1043"/>
      <c r="K40" s="1059"/>
      <c r="L40" s="1200"/>
      <c r="M40" s="1422"/>
      <c r="N40" s="1301"/>
      <c r="O40" s="1023"/>
      <c r="P40" s="1276"/>
      <c r="Q40" s="8"/>
      <c r="R40" s="686"/>
    </row>
    <row r="41" spans="1:18" x14ac:dyDescent="0.2">
      <c r="A41" s="1050"/>
      <c r="B41" s="1019"/>
      <c r="C41" s="1181"/>
      <c r="D41" s="1052"/>
      <c r="E41" s="1051"/>
      <c r="F41" s="1275"/>
      <c r="G41" s="1043"/>
      <c r="H41" s="1053"/>
      <c r="I41" s="1053"/>
      <c r="J41" s="1043"/>
      <c r="K41" s="1059"/>
      <c r="L41" s="1200"/>
      <c r="M41" s="1422"/>
      <c r="N41" s="1301"/>
      <c r="O41" s="1023"/>
      <c r="P41" s="1276"/>
      <c r="Q41" s="8"/>
      <c r="R41" s="686"/>
    </row>
    <row r="42" spans="1:18" x14ac:dyDescent="0.2">
      <c r="A42" s="1050"/>
      <c r="B42" s="1019"/>
      <c r="C42" s="1181"/>
      <c r="D42" s="1052"/>
      <c r="E42" s="1051"/>
      <c r="F42" s="1275"/>
      <c r="G42" s="1043"/>
      <c r="H42" s="1053"/>
      <c r="I42" s="1053"/>
      <c r="J42" s="1043"/>
      <c r="K42" s="1059"/>
      <c r="L42" s="1200"/>
      <c r="M42" s="1422"/>
      <c r="N42" s="1301"/>
      <c r="O42" s="1023"/>
      <c r="P42" s="1276"/>
      <c r="Q42" s="8"/>
      <c r="R42" s="686"/>
    </row>
    <row r="43" spans="1:18" x14ac:dyDescent="0.2">
      <c r="A43" s="1433"/>
      <c r="B43" s="1434"/>
      <c r="C43" s="1435"/>
      <c r="D43" s="1427"/>
      <c r="E43" s="1428"/>
      <c r="F43" s="1429"/>
      <c r="G43" s="1074"/>
      <c r="H43" s="1219"/>
      <c r="I43" s="1219"/>
      <c r="J43" s="1074"/>
      <c r="K43" s="1430"/>
      <c r="L43" s="1436"/>
      <c r="M43" s="1437"/>
      <c r="N43" s="1406"/>
      <c r="O43" s="1431"/>
      <c r="P43" s="1432"/>
      <c r="Q43" s="8"/>
      <c r="R43" s="1163"/>
    </row>
    <row r="44" spans="1:18" x14ac:dyDescent="0.2">
      <c r="A44" s="1050"/>
      <c r="B44" s="1019"/>
      <c r="C44" s="1181"/>
      <c r="D44" s="1052"/>
      <c r="E44" s="1051"/>
      <c r="F44" s="1275"/>
      <c r="G44" s="1043"/>
      <c r="H44" s="1053"/>
      <c r="I44" s="1053"/>
      <c r="J44" s="1043"/>
      <c r="K44" s="1059"/>
      <c r="L44" s="1200"/>
      <c r="M44" s="1422"/>
      <c r="N44" s="1301"/>
      <c r="O44" s="1023"/>
      <c r="P44" s="1276"/>
      <c r="Q44" s="8"/>
      <c r="R44" s="686"/>
    </row>
    <row r="45" spans="1:18" x14ac:dyDescent="0.2">
      <c r="A45" s="1050"/>
      <c r="B45" s="1019"/>
      <c r="C45" s="1181"/>
      <c r="D45" s="1052"/>
      <c r="E45" s="1051"/>
      <c r="F45" s="1275"/>
      <c r="G45" s="1043"/>
      <c r="H45" s="1053"/>
      <c r="I45" s="1053"/>
      <c r="J45" s="1043"/>
      <c r="K45" s="1059"/>
      <c r="L45" s="1200"/>
      <c r="M45" s="1422"/>
      <c r="N45" s="1301"/>
      <c r="O45" s="1023"/>
      <c r="P45" s="1276"/>
      <c r="Q45" s="8"/>
      <c r="R45" s="686"/>
    </row>
    <row r="46" spans="1:18" x14ac:dyDescent="0.2">
      <c r="A46" s="1050"/>
      <c r="B46" s="1019"/>
      <c r="C46" s="1181"/>
      <c r="D46" s="1052"/>
      <c r="E46" s="1051"/>
      <c r="F46" s="1275"/>
      <c r="G46" s="1043"/>
      <c r="H46" s="1053"/>
      <c r="I46" s="1053"/>
      <c r="J46" s="1043"/>
      <c r="K46" s="1059"/>
      <c r="L46" s="1200"/>
      <c r="M46" s="1422"/>
      <c r="N46" s="1301"/>
      <c r="O46" s="1023"/>
      <c r="P46" s="1276"/>
      <c r="Q46" s="8"/>
      <c r="R46" s="686"/>
    </row>
    <row r="47" spans="1:18" x14ac:dyDescent="0.2">
      <c r="A47" s="1050"/>
      <c r="B47" s="1019"/>
      <c r="C47" s="1181"/>
      <c r="D47" s="1052"/>
      <c r="E47" s="1051"/>
      <c r="F47" s="1275"/>
      <c r="G47" s="1043"/>
      <c r="H47" s="1053"/>
      <c r="I47" s="1053"/>
      <c r="J47" s="1043"/>
      <c r="K47" s="1059"/>
      <c r="L47" s="1200"/>
      <c r="M47" s="1422"/>
      <c r="N47" s="1301"/>
      <c r="O47" s="1023"/>
      <c r="P47" s="1276"/>
      <c r="Q47" s="8"/>
      <c r="R47" s="686"/>
    </row>
    <row r="48" spans="1:18" x14ac:dyDescent="0.2">
      <c r="A48" s="1050"/>
      <c r="B48" s="1019"/>
      <c r="C48" s="1181"/>
      <c r="D48" s="1052"/>
      <c r="E48" s="1051"/>
      <c r="F48" s="1275"/>
      <c r="G48" s="1043"/>
      <c r="H48" s="1053"/>
      <c r="I48" s="1053"/>
      <c r="J48" s="1043"/>
      <c r="K48" s="1059"/>
      <c r="L48" s="1200"/>
      <c r="M48" s="1422"/>
      <c r="N48" s="1301"/>
      <c r="O48" s="1023"/>
      <c r="P48" s="1276"/>
      <c r="Q48" s="8"/>
      <c r="R48" s="686"/>
    </row>
    <row r="49" spans="1:18" x14ac:dyDescent="0.2">
      <c r="A49" s="1050"/>
      <c r="B49" s="1019"/>
      <c r="C49" s="1181"/>
      <c r="D49" s="1052"/>
      <c r="E49" s="1051"/>
      <c r="F49" s="1275"/>
      <c r="G49" s="1043"/>
      <c r="H49" s="1053"/>
      <c r="I49" s="1053"/>
      <c r="J49" s="1043"/>
      <c r="K49" s="1059"/>
      <c r="L49" s="1200"/>
      <c r="M49" s="1422"/>
      <c r="N49" s="1301"/>
      <c r="O49" s="1023"/>
      <c r="P49" s="1276"/>
      <c r="Q49" s="8"/>
      <c r="R49" s="686"/>
    </row>
    <row r="50" spans="1:18" x14ac:dyDescent="0.2">
      <c r="A50" s="1050"/>
      <c r="B50" s="1019"/>
      <c r="C50" s="1181"/>
      <c r="D50" s="1052"/>
      <c r="E50" s="1051"/>
      <c r="F50" s="1275"/>
      <c r="G50" s="1043"/>
      <c r="H50" s="1053"/>
      <c r="I50" s="1053"/>
      <c r="J50" s="1043"/>
      <c r="K50" s="1059"/>
      <c r="L50" s="1200"/>
      <c r="M50" s="1422"/>
      <c r="N50" s="1301"/>
      <c r="O50" s="1023"/>
      <c r="P50" s="1276"/>
      <c r="Q50" s="8"/>
      <c r="R50" s="686"/>
    </row>
    <row r="51" spans="1:18" x14ac:dyDescent="0.2">
      <c r="A51" s="1050"/>
      <c r="B51" s="1019"/>
      <c r="C51" s="1181"/>
      <c r="D51" s="1052"/>
      <c r="E51" s="1051"/>
      <c r="F51" s="1275"/>
      <c r="G51" s="1043"/>
      <c r="H51" s="1053"/>
      <c r="I51" s="1053"/>
      <c r="J51" s="1043"/>
      <c r="K51" s="1059"/>
      <c r="L51" s="1200"/>
      <c r="M51" s="1422"/>
      <c r="N51" s="1301"/>
      <c r="O51" s="1023"/>
      <c r="P51" s="1276"/>
      <c r="Q51" s="8"/>
      <c r="R51" s="1188"/>
    </row>
    <row r="52" spans="1:18" x14ac:dyDescent="0.2">
      <c r="A52" s="1050"/>
      <c r="B52" s="1019"/>
      <c r="C52" s="1181"/>
      <c r="D52" s="1052"/>
      <c r="E52" s="1051"/>
      <c r="F52" s="1275"/>
      <c r="G52" s="1043"/>
      <c r="H52" s="1053"/>
      <c r="I52" s="1053"/>
      <c r="J52" s="1043"/>
      <c r="K52" s="1059"/>
      <c r="L52" s="1200"/>
      <c r="M52" s="1422"/>
      <c r="N52" s="1301"/>
      <c r="O52" s="1023"/>
      <c r="P52" s="1276"/>
      <c r="Q52" s="8"/>
      <c r="R52" s="686"/>
    </row>
    <row r="53" spans="1:18" x14ac:dyDescent="0.2">
      <c r="A53" s="1050"/>
      <c r="B53" s="1019"/>
      <c r="C53" s="1181"/>
      <c r="D53" s="1052"/>
      <c r="E53" s="1051"/>
      <c r="F53" s="1275"/>
      <c r="G53" s="1043"/>
      <c r="H53" s="1053"/>
      <c r="I53" s="1053"/>
      <c r="J53" s="1043"/>
      <c r="K53" s="1059"/>
      <c r="L53" s="1200"/>
      <c r="M53" s="1422"/>
      <c r="N53" s="1301"/>
      <c r="O53" s="1023"/>
      <c r="P53" s="1276"/>
      <c r="Q53" s="8"/>
      <c r="R53" s="686"/>
    </row>
    <row r="54" spans="1:18" x14ac:dyDescent="0.2">
      <c r="A54" s="1050"/>
      <c r="B54" s="1019"/>
      <c r="C54" s="1181"/>
      <c r="D54" s="1052"/>
      <c r="E54" s="1051"/>
      <c r="F54" s="1275"/>
      <c r="G54" s="1043"/>
      <c r="H54" s="1053"/>
      <c r="I54" s="1053"/>
      <c r="J54" s="1043"/>
      <c r="K54" s="1059"/>
      <c r="L54" s="1200"/>
      <c r="M54" s="1422"/>
      <c r="N54" s="1301"/>
      <c r="O54" s="1023"/>
      <c r="P54" s="1276"/>
      <c r="Q54" s="8"/>
      <c r="R54" s="686"/>
    </row>
    <row r="55" spans="1:18" x14ac:dyDescent="0.2">
      <c r="A55" s="1050"/>
      <c r="B55" s="1019"/>
      <c r="C55" s="1181"/>
      <c r="D55" s="1052"/>
      <c r="E55" s="1051"/>
      <c r="F55" s="1275"/>
      <c r="G55" s="1043"/>
      <c r="H55" s="1053"/>
      <c r="I55" s="1053"/>
      <c r="J55" s="1043"/>
      <c r="K55" s="1059"/>
      <c r="L55" s="1200"/>
      <c r="M55" s="1422"/>
      <c r="N55" s="1301"/>
      <c r="O55" s="1023"/>
      <c r="P55" s="1276"/>
      <c r="Q55" s="8"/>
      <c r="R55" s="686"/>
    </row>
    <row r="56" spans="1:18" x14ac:dyDescent="0.2">
      <c r="A56" s="1050"/>
      <c r="B56" s="1019"/>
      <c r="C56" s="1181"/>
      <c r="D56" s="1052"/>
      <c r="E56" s="1051"/>
      <c r="F56" s="1275"/>
      <c r="G56" s="1043"/>
      <c r="H56" s="1053"/>
      <c r="I56" s="1053"/>
      <c r="J56" s="1043"/>
      <c r="K56" s="1059"/>
      <c r="L56" s="1200"/>
      <c r="M56" s="1422"/>
      <c r="N56" s="1301"/>
      <c r="O56" s="1023"/>
      <c r="P56" s="1276"/>
      <c r="Q56" s="8"/>
      <c r="R56" s="686"/>
    </row>
    <row r="57" spans="1:18" x14ac:dyDescent="0.2">
      <c r="A57" s="1050"/>
      <c r="B57" s="1019"/>
      <c r="C57" s="1181"/>
      <c r="D57" s="1052"/>
      <c r="E57" s="1051"/>
      <c r="F57" s="1275"/>
      <c r="G57" s="1043"/>
      <c r="H57" s="1053"/>
      <c r="I57" s="1053"/>
      <c r="J57" s="1043"/>
      <c r="K57" s="1059"/>
      <c r="L57" s="1200"/>
      <c r="M57" s="1422"/>
      <c r="N57" s="1301"/>
      <c r="O57" s="1023"/>
      <c r="P57" s="1276"/>
      <c r="Q57" s="8"/>
      <c r="R57" s="686"/>
    </row>
    <row r="58" spans="1:18" x14ac:dyDescent="0.2">
      <c r="A58" s="1050"/>
      <c r="B58" s="1019"/>
      <c r="C58" s="1181"/>
      <c r="D58" s="1052"/>
      <c r="E58" s="1051"/>
      <c r="F58" s="1275"/>
      <c r="G58" s="1043"/>
      <c r="H58" s="1053"/>
      <c r="I58" s="1053"/>
      <c r="J58" s="1043"/>
      <c r="K58" s="1059"/>
      <c r="L58" s="1200"/>
      <c r="M58" s="1422"/>
      <c r="N58" s="1301"/>
      <c r="O58" s="1023"/>
      <c r="P58" s="1276"/>
      <c r="Q58" s="8"/>
      <c r="R58" s="686"/>
    </row>
    <row r="59" spans="1:18" x14ac:dyDescent="0.2">
      <c r="A59" s="1050"/>
      <c r="B59" s="1019"/>
      <c r="C59" s="1181"/>
      <c r="D59" s="1052"/>
      <c r="E59" s="1051"/>
      <c r="F59" s="1275"/>
      <c r="G59" s="1043"/>
      <c r="H59" s="1053"/>
      <c r="I59" s="1053"/>
      <c r="J59" s="1043"/>
      <c r="K59" s="1059"/>
      <c r="L59" s="1200"/>
      <c r="M59" s="1422"/>
      <c r="N59" s="1301"/>
      <c r="O59" s="1023"/>
      <c r="P59" s="1276"/>
      <c r="Q59" s="8"/>
      <c r="R59" s="686"/>
    </row>
    <row r="60" spans="1:18" x14ac:dyDescent="0.2">
      <c r="A60" s="1050"/>
      <c r="B60" s="1019"/>
      <c r="C60" s="1181"/>
      <c r="D60" s="1052"/>
      <c r="E60" s="1051"/>
      <c r="F60" s="1275"/>
      <c r="G60" s="1043"/>
      <c r="H60" s="1053"/>
      <c r="I60" s="1053"/>
      <c r="J60" s="1043"/>
      <c r="K60" s="1059"/>
      <c r="L60" s="1200"/>
      <c r="M60" s="1422"/>
      <c r="N60" s="1301"/>
      <c r="O60" s="1023"/>
      <c r="P60" s="1276"/>
      <c r="Q60" s="8"/>
      <c r="R60" s="686"/>
    </row>
    <row r="61" spans="1:18" x14ac:dyDescent="0.2">
      <c r="A61" s="1050"/>
      <c r="B61" s="1019"/>
      <c r="C61" s="1181"/>
      <c r="D61" s="1052"/>
      <c r="E61" s="1051"/>
      <c r="F61" s="1275"/>
      <c r="G61" s="1043"/>
      <c r="H61" s="1053"/>
      <c r="I61" s="1053"/>
      <c r="J61" s="1043"/>
      <c r="K61" s="1059"/>
      <c r="L61" s="1200"/>
      <c r="M61" s="1422"/>
      <c r="N61" s="1301"/>
      <c r="O61" s="1023"/>
      <c r="P61" s="1276"/>
      <c r="Q61" s="8"/>
      <c r="R61" s="686"/>
    </row>
    <row r="62" spans="1:18" x14ac:dyDescent="0.2">
      <c r="A62" s="1050"/>
      <c r="B62" s="1019"/>
      <c r="C62" s="1181"/>
      <c r="D62" s="1052"/>
      <c r="E62" s="1051"/>
      <c r="F62" s="1275"/>
      <c r="G62" s="1043"/>
      <c r="H62" s="1053"/>
      <c r="I62" s="1053"/>
      <c r="J62" s="1043"/>
      <c r="K62" s="1059"/>
      <c r="L62" s="1200"/>
      <c r="M62" s="1422"/>
      <c r="N62" s="1301"/>
      <c r="O62" s="1023"/>
      <c r="P62" s="1276"/>
      <c r="Q62" s="8"/>
      <c r="R62" s="1186"/>
    </row>
    <row r="63" spans="1:18" x14ac:dyDescent="0.2">
      <c r="A63" s="1050"/>
      <c r="B63" s="1019"/>
      <c r="C63" s="1181"/>
      <c r="D63" s="1052"/>
      <c r="E63" s="1051"/>
      <c r="F63" s="1275"/>
      <c r="G63" s="1043"/>
      <c r="H63" s="1053"/>
      <c r="I63" s="1053"/>
      <c r="J63" s="1043"/>
      <c r="K63" s="1059"/>
      <c r="L63" s="1200"/>
      <c r="M63" s="1422"/>
      <c r="N63" s="1301"/>
      <c r="O63" s="1023"/>
      <c r="P63" s="1276"/>
      <c r="Q63" s="8"/>
      <c r="R63" s="686"/>
    </row>
    <row r="64" spans="1:18" x14ac:dyDescent="0.2">
      <c r="A64" s="1050"/>
      <c r="B64" s="1019"/>
      <c r="C64" s="1181"/>
      <c r="D64" s="1052"/>
      <c r="E64" s="1051"/>
      <c r="F64" s="1275"/>
      <c r="G64" s="1043"/>
      <c r="H64" s="1053"/>
      <c r="I64" s="1053"/>
      <c r="J64" s="1043"/>
      <c r="K64" s="1059"/>
      <c r="L64" s="1200"/>
      <c r="M64" s="1422"/>
      <c r="N64" s="1301"/>
      <c r="O64" s="1023"/>
      <c r="P64" s="1276"/>
      <c r="Q64" s="8"/>
      <c r="R64" s="686"/>
    </row>
    <row r="65" spans="1:18" x14ac:dyDescent="0.2">
      <c r="A65" s="1050"/>
      <c r="B65" s="1019"/>
      <c r="C65" s="1181"/>
      <c r="D65" s="1052"/>
      <c r="E65" s="1051"/>
      <c r="F65" s="1275"/>
      <c r="G65" s="1043"/>
      <c r="H65" s="1053"/>
      <c r="I65" s="1053"/>
      <c r="J65" s="1043"/>
      <c r="K65" s="1059"/>
      <c r="L65" s="1200"/>
      <c r="M65" s="1422"/>
      <c r="N65" s="1301"/>
      <c r="O65" s="1023"/>
      <c r="P65" s="1276"/>
      <c r="Q65" s="8"/>
      <c r="R65" s="686"/>
    </row>
    <row r="66" spans="1:18" x14ac:dyDescent="0.2">
      <c r="A66" s="1050"/>
      <c r="B66" s="1019"/>
      <c r="C66" s="1181"/>
      <c r="D66" s="1052"/>
      <c r="E66" s="1051"/>
      <c r="F66" s="1275"/>
      <c r="G66" s="1043"/>
      <c r="H66" s="1053"/>
      <c r="I66" s="1053"/>
      <c r="J66" s="1043"/>
      <c r="K66" s="1059"/>
      <c r="L66" s="1200"/>
      <c r="M66" s="1422"/>
      <c r="N66" s="1301"/>
      <c r="O66" s="1023"/>
      <c r="P66" s="1276"/>
      <c r="Q66" s="8"/>
      <c r="R66" s="1185"/>
    </row>
    <row r="67" spans="1:18" x14ac:dyDescent="0.2">
      <c r="A67" s="1050"/>
      <c r="B67" s="1019"/>
      <c r="C67" s="1181"/>
      <c r="D67" s="1052"/>
      <c r="E67" s="1051"/>
      <c r="F67" s="1275"/>
      <c r="G67" s="1043"/>
      <c r="H67" s="1053"/>
      <c r="I67" s="1053"/>
      <c r="J67" s="1043"/>
      <c r="K67" s="1059"/>
      <c r="L67" s="1200"/>
      <c r="M67" s="1422"/>
      <c r="N67" s="1301"/>
      <c r="O67" s="1023"/>
      <c r="P67" s="1276"/>
      <c r="Q67" s="8"/>
      <c r="R67" s="686"/>
    </row>
    <row r="68" spans="1:18" x14ac:dyDescent="0.2">
      <c r="A68" s="1050"/>
      <c r="B68" s="1019"/>
      <c r="C68" s="1181"/>
      <c r="D68" s="1052"/>
      <c r="E68" s="1051"/>
      <c r="F68" s="1275"/>
      <c r="G68" s="1043"/>
      <c r="H68" s="1053"/>
      <c r="I68" s="1053"/>
      <c r="J68" s="1043"/>
      <c r="K68" s="1059"/>
      <c r="L68" s="1200"/>
      <c r="M68" s="1422"/>
      <c r="N68" s="1301"/>
      <c r="O68" s="1023"/>
      <c r="P68" s="1276"/>
      <c r="Q68" s="8"/>
      <c r="R68" s="686"/>
    </row>
    <row r="69" spans="1:18" x14ac:dyDescent="0.2">
      <c r="A69" s="1050"/>
      <c r="B69" s="1019"/>
      <c r="C69" s="1181"/>
      <c r="D69" s="1052"/>
      <c r="E69" s="1051"/>
      <c r="F69" s="1275"/>
      <c r="G69" s="1043"/>
      <c r="H69" s="1053"/>
      <c r="I69" s="1053"/>
      <c r="J69" s="1043"/>
      <c r="K69" s="1059"/>
      <c r="L69" s="1200"/>
      <c r="M69" s="1422"/>
      <c r="N69" s="1301"/>
      <c r="O69" s="1023"/>
      <c r="P69" s="1276"/>
      <c r="Q69" s="8"/>
      <c r="R69" s="686"/>
    </row>
    <row r="70" spans="1:18" x14ac:dyDescent="0.2">
      <c r="A70" s="1050"/>
      <c r="B70" s="1019"/>
      <c r="C70" s="1181"/>
      <c r="D70" s="1052"/>
      <c r="E70" s="1051"/>
      <c r="F70" s="1275"/>
      <c r="G70" s="1043"/>
      <c r="H70" s="1053"/>
      <c r="I70" s="1053"/>
      <c r="J70" s="1043"/>
      <c r="K70" s="1059"/>
      <c r="L70" s="1200"/>
      <c r="M70" s="1422"/>
      <c r="N70" s="1301"/>
      <c r="O70" s="1023"/>
      <c r="P70" s="1276"/>
      <c r="Q70" s="8"/>
      <c r="R70" s="686"/>
    </row>
    <row r="71" spans="1:18" x14ac:dyDescent="0.2">
      <c r="A71" s="1050"/>
      <c r="B71" s="1019"/>
      <c r="C71" s="1181"/>
      <c r="D71" s="1052"/>
      <c r="E71" s="1051"/>
      <c r="F71" s="1275"/>
      <c r="G71" s="1043"/>
      <c r="H71" s="1053"/>
      <c r="I71" s="1053"/>
      <c r="J71" s="1043"/>
      <c r="K71" s="1059"/>
      <c r="L71" s="1200"/>
      <c r="M71" s="1422"/>
      <c r="N71" s="1301"/>
      <c r="O71" s="1023"/>
      <c r="P71" s="1276"/>
      <c r="Q71" s="8"/>
      <c r="R71" s="1189"/>
    </row>
    <row r="72" spans="1:18" x14ac:dyDescent="0.2">
      <c r="A72" s="1050"/>
      <c r="B72" s="1019"/>
      <c r="C72" s="1181"/>
      <c r="D72" s="1052"/>
      <c r="E72" s="1051"/>
      <c r="F72" s="1275"/>
      <c r="G72" s="1043"/>
      <c r="H72" s="1053"/>
      <c r="I72" s="1053"/>
      <c r="J72" s="1043"/>
      <c r="K72" s="1059"/>
      <c r="L72" s="1200"/>
      <c r="M72" s="1422"/>
      <c r="N72" s="1301"/>
      <c r="O72" s="1023"/>
      <c r="P72" s="1276"/>
      <c r="Q72" s="8"/>
      <c r="R72" s="1166"/>
    </row>
    <row r="73" spans="1:18" x14ac:dyDescent="0.2">
      <c r="A73" s="1433"/>
      <c r="B73" s="1434"/>
      <c r="C73" s="1435"/>
      <c r="D73" s="1427"/>
      <c r="E73" s="1428"/>
      <c r="F73" s="1429"/>
      <c r="G73" s="1074"/>
      <c r="H73" s="1219"/>
      <c r="I73" s="1219"/>
      <c r="J73" s="1074"/>
      <c r="K73" s="1430"/>
      <c r="L73" s="1436"/>
      <c r="M73" s="1437"/>
      <c r="N73" s="1406"/>
      <c r="O73" s="1431"/>
      <c r="P73" s="1432"/>
      <c r="Q73" s="8"/>
      <c r="R73" s="1163"/>
    </row>
    <row r="74" spans="1:18" x14ac:dyDescent="0.2">
      <c r="A74" s="1433"/>
      <c r="B74" s="1434"/>
      <c r="C74" s="1435"/>
      <c r="D74" s="1427"/>
      <c r="E74" s="1428"/>
      <c r="F74" s="1429"/>
      <c r="G74" s="1074"/>
      <c r="H74" s="1219"/>
      <c r="I74" s="1219"/>
      <c r="J74" s="1074"/>
      <c r="K74" s="1430"/>
      <c r="L74" s="1436"/>
      <c r="M74" s="1437"/>
      <c r="N74" s="1406"/>
      <c r="O74" s="1431"/>
      <c r="P74" s="1432"/>
      <c r="Q74" s="8"/>
      <c r="R74" s="1163"/>
    </row>
    <row r="75" spans="1:18" x14ac:dyDescent="0.2">
      <c r="A75" s="1050"/>
      <c r="B75" s="1019"/>
      <c r="C75" s="1181"/>
      <c r="D75" s="1052"/>
      <c r="E75" s="1051"/>
      <c r="F75" s="1275"/>
      <c r="G75" s="1043"/>
      <c r="H75" s="1053"/>
      <c r="I75" s="1053"/>
      <c r="J75" s="1043"/>
      <c r="K75" s="1059"/>
      <c r="L75" s="1200"/>
      <c r="M75" s="1422"/>
      <c r="N75" s="1301"/>
      <c r="O75" s="1023"/>
      <c r="P75" s="1276"/>
      <c r="Q75" s="8"/>
      <c r="R75" s="1166"/>
    </row>
    <row r="76" spans="1:18" x14ac:dyDescent="0.2">
      <c r="A76" s="1050"/>
      <c r="B76" s="1019"/>
      <c r="C76" s="1181"/>
      <c r="D76" s="1052"/>
      <c r="E76" s="1051"/>
      <c r="F76" s="1275"/>
      <c r="G76" s="1043"/>
      <c r="H76" s="1053"/>
      <c r="I76" s="1053"/>
      <c r="J76" s="1043"/>
      <c r="K76" s="1059"/>
      <c r="L76" s="1200"/>
      <c r="M76" s="1422"/>
      <c r="N76" s="1301"/>
      <c r="O76" s="1023"/>
      <c r="P76" s="1276"/>
      <c r="Q76" s="8"/>
      <c r="R76" s="351"/>
    </row>
    <row r="77" spans="1:18" x14ac:dyDescent="0.2">
      <c r="A77" s="1050"/>
      <c r="B77" s="1019"/>
      <c r="C77" s="1181"/>
      <c r="D77" s="1052"/>
      <c r="E77" s="1051"/>
      <c r="F77" s="1275"/>
      <c r="G77" s="1043"/>
      <c r="H77" s="1053"/>
      <c r="I77" s="1053"/>
      <c r="J77" s="1043"/>
      <c r="K77" s="1059"/>
      <c r="L77" s="1200"/>
      <c r="M77" s="1422"/>
      <c r="N77" s="1301"/>
      <c r="O77" s="1023"/>
      <c r="P77" s="1276"/>
      <c r="Q77" s="8"/>
      <c r="R77" s="686"/>
    </row>
    <row r="78" spans="1:18" x14ac:dyDescent="0.2">
      <c r="A78" s="1050"/>
      <c r="B78" s="1019"/>
      <c r="C78" s="1181"/>
      <c r="D78" s="1052"/>
      <c r="E78" s="1051"/>
      <c r="F78" s="1275"/>
      <c r="G78" s="1043"/>
      <c r="H78" s="1053"/>
      <c r="I78" s="1053"/>
      <c r="J78" s="1043"/>
      <c r="K78" s="1059"/>
      <c r="L78" s="1200"/>
      <c r="M78" s="1422"/>
      <c r="N78" s="1301"/>
      <c r="O78" s="1023"/>
      <c r="P78" s="1276"/>
      <c r="Q78" s="8"/>
      <c r="R78" s="686"/>
    </row>
    <row r="79" spans="1:18" x14ac:dyDescent="0.2">
      <c r="A79" s="1050"/>
      <c r="B79" s="1019"/>
      <c r="C79" s="1181"/>
      <c r="D79" s="1052"/>
      <c r="E79" s="1051"/>
      <c r="F79" s="1275"/>
      <c r="G79" s="1043"/>
      <c r="H79" s="1053"/>
      <c r="I79" s="1053"/>
      <c r="J79" s="1043"/>
      <c r="K79" s="1059"/>
      <c r="L79" s="1200"/>
      <c r="M79" s="1422"/>
      <c r="N79" s="1301"/>
      <c r="O79" s="1023"/>
      <c r="P79" s="1276"/>
      <c r="Q79" s="8"/>
      <c r="R79" s="686"/>
    </row>
    <row r="80" spans="1:18" x14ac:dyDescent="0.2">
      <c r="A80" s="1050"/>
      <c r="B80" s="1019"/>
      <c r="C80" s="1181"/>
      <c r="D80" s="1052"/>
      <c r="E80" s="1051"/>
      <c r="F80" s="1275"/>
      <c r="G80" s="1043"/>
      <c r="H80" s="1053"/>
      <c r="I80" s="1053"/>
      <c r="J80" s="1043"/>
      <c r="K80" s="1059"/>
      <c r="L80" s="1200"/>
      <c r="M80" s="1422"/>
      <c r="N80" s="1301"/>
      <c r="O80" s="1023"/>
      <c r="P80" s="1276"/>
      <c r="Q80" s="8"/>
      <c r="R80" s="1166"/>
    </row>
    <row r="81" spans="1:18" x14ac:dyDescent="0.2">
      <c r="A81" s="1050"/>
      <c r="B81" s="1019"/>
      <c r="C81" s="1181"/>
      <c r="D81" s="1052"/>
      <c r="E81" s="1051"/>
      <c r="F81" s="1275"/>
      <c r="G81" s="1043"/>
      <c r="H81" s="1053"/>
      <c r="I81" s="1053"/>
      <c r="J81" s="1043"/>
      <c r="K81" s="1059"/>
      <c r="L81" s="1200"/>
      <c r="M81" s="1422"/>
      <c r="N81" s="1301"/>
      <c r="O81" s="1023"/>
      <c r="P81" s="1276"/>
      <c r="Q81" s="8"/>
      <c r="R81" s="686"/>
    </row>
    <row r="82" spans="1:18" x14ac:dyDescent="0.2">
      <c r="A82" s="1050"/>
      <c r="B82" s="1019"/>
      <c r="C82" s="1181"/>
      <c r="D82" s="1052"/>
      <c r="E82" s="1051"/>
      <c r="F82" s="1275"/>
      <c r="G82" s="1043"/>
      <c r="H82" s="1053"/>
      <c r="I82" s="1053"/>
      <c r="J82" s="1043"/>
      <c r="K82" s="1059"/>
      <c r="L82" s="1200"/>
      <c r="M82" s="1422"/>
      <c r="N82" s="1301"/>
      <c r="O82" s="1023"/>
      <c r="P82" s="1276"/>
      <c r="Q82" s="8"/>
      <c r="R82" s="1166"/>
    </row>
    <row r="83" spans="1:18" x14ac:dyDescent="0.2">
      <c r="A83" s="1050"/>
      <c r="B83" s="1019"/>
      <c r="C83" s="1181"/>
      <c r="D83" s="1052"/>
      <c r="E83" s="1051"/>
      <c r="F83" s="1275"/>
      <c r="G83" s="1043"/>
      <c r="H83" s="1053"/>
      <c r="I83" s="1053"/>
      <c r="J83" s="1043"/>
      <c r="K83" s="1059"/>
      <c r="L83" s="1200"/>
      <c r="M83" s="1422"/>
      <c r="N83" s="1301"/>
      <c r="O83" s="1023"/>
      <c r="P83" s="1276"/>
      <c r="Q83" s="8"/>
      <c r="R83" s="686"/>
    </row>
    <row r="84" spans="1:18" x14ac:dyDescent="0.2">
      <c r="A84" s="1050"/>
      <c r="B84" s="1019"/>
      <c r="C84" s="1181"/>
      <c r="D84" s="1052"/>
      <c r="E84" s="1051"/>
      <c r="F84" s="1275"/>
      <c r="G84" s="1043"/>
      <c r="H84" s="1053"/>
      <c r="I84" s="1053"/>
      <c r="J84" s="1043"/>
      <c r="K84" s="1059"/>
      <c r="L84" s="1200"/>
      <c r="M84" s="1422"/>
      <c r="N84" s="1301"/>
      <c r="O84" s="1023"/>
      <c r="P84" s="1276"/>
      <c r="Q84" s="8"/>
      <c r="R84" s="686"/>
    </row>
    <row r="85" spans="1:18" x14ac:dyDescent="0.2">
      <c r="A85" s="1050"/>
      <c r="B85" s="1019"/>
      <c r="C85" s="1181"/>
      <c r="D85" s="1052"/>
      <c r="E85" s="1051"/>
      <c r="F85" s="1275"/>
      <c r="G85" s="1043"/>
      <c r="H85" s="1053"/>
      <c r="I85" s="1053"/>
      <c r="J85" s="1043"/>
      <c r="K85" s="1059"/>
      <c r="L85" s="1200"/>
      <c r="M85" s="1422"/>
      <c r="N85" s="1301"/>
      <c r="O85" s="1023"/>
      <c r="P85" s="1276"/>
      <c r="Q85" s="8"/>
      <c r="R85" s="686"/>
    </row>
    <row r="86" spans="1:18" x14ac:dyDescent="0.2">
      <c r="A86" s="1050"/>
      <c r="B86" s="1019"/>
      <c r="C86" s="1181"/>
      <c r="D86" s="1052"/>
      <c r="E86" s="1051"/>
      <c r="F86" s="1275"/>
      <c r="G86" s="1043"/>
      <c r="H86" s="1053"/>
      <c r="I86" s="1053"/>
      <c r="J86" s="1043"/>
      <c r="K86" s="1059"/>
      <c r="L86" s="1200"/>
      <c r="M86" s="1422"/>
      <c r="N86" s="1301"/>
      <c r="O86" s="1023"/>
      <c r="P86" s="1276"/>
      <c r="Q86" s="8"/>
      <c r="R86" s="686"/>
    </row>
    <row r="87" spans="1:18" x14ac:dyDescent="0.2">
      <c r="A87" s="1050"/>
      <c r="B87" s="1019"/>
      <c r="C87" s="1181"/>
      <c r="D87" s="1052"/>
      <c r="E87" s="1051"/>
      <c r="F87" s="1275"/>
      <c r="G87" s="1043"/>
      <c r="H87" s="1053"/>
      <c r="I87" s="1053"/>
      <c r="J87" s="1043"/>
      <c r="K87" s="1059"/>
      <c r="L87" s="1200"/>
      <c r="M87" s="1422"/>
      <c r="N87" s="1301"/>
      <c r="O87" s="1023"/>
      <c r="P87" s="1276"/>
      <c r="Q87" s="8"/>
      <c r="R87" s="686"/>
    </row>
    <row r="88" spans="1:18" x14ac:dyDescent="0.2">
      <c r="A88" s="1050"/>
      <c r="B88" s="1019"/>
      <c r="C88" s="1181"/>
      <c r="D88" s="1052"/>
      <c r="E88" s="1051"/>
      <c r="F88" s="1275"/>
      <c r="G88" s="1043"/>
      <c r="H88" s="1053"/>
      <c r="I88" s="1053"/>
      <c r="J88" s="1043"/>
      <c r="K88" s="1059"/>
      <c r="L88" s="1200"/>
      <c r="M88" s="1422"/>
      <c r="N88" s="1301"/>
      <c r="O88" s="1023"/>
      <c r="P88" s="1276"/>
      <c r="Q88" s="8"/>
      <c r="R88" s="1186"/>
    </row>
    <row r="89" spans="1:18" x14ac:dyDescent="0.2">
      <c r="A89" s="1050"/>
      <c r="B89" s="1019"/>
      <c r="C89" s="1181"/>
      <c r="D89" s="1052"/>
      <c r="E89" s="1051"/>
      <c r="F89" s="1275"/>
      <c r="G89" s="1043"/>
      <c r="H89" s="1053"/>
      <c r="I89" s="1053"/>
      <c r="J89" s="1043"/>
      <c r="K89" s="1059"/>
      <c r="L89" s="1200"/>
      <c r="M89" s="1422"/>
      <c r="N89" s="1301"/>
      <c r="O89" s="1023"/>
      <c r="P89" s="1276"/>
      <c r="Q89" s="8"/>
      <c r="R89" s="1186"/>
    </row>
    <row r="90" spans="1:18" x14ac:dyDescent="0.2">
      <c r="A90" s="1433"/>
      <c r="B90" s="1434"/>
      <c r="C90" s="1435"/>
      <c r="D90" s="1427"/>
      <c r="E90" s="1428"/>
      <c r="F90" s="1429"/>
      <c r="G90" s="1074"/>
      <c r="H90" s="1219"/>
      <c r="I90" s="1219"/>
      <c r="J90" s="1074"/>
      <c r="K90" s="1430"/>
      <c r="L90" s="1436"/>
      <c r="M90" s="1437"/>
      <c r="N90" s="1406"/>
      <c r="O90" s="1431"/>
      <c r="P90" s="1432"/>
      <c r="Q90" s="8"/>
      <c r="R90" s="1163"/>
    </row>
    <row r="91" spans="1:18" x14ac:dyDescent="0.2">
      <c r="A91" s="1050"/>
      <c r="B91" s="1067"/>
      <c r="C91" s="1181"/>
      <c r="D91" s="1052"/>
      <c r="E91" s="1051"/>
      <c r="F91" s="1275"/>
      <c r="G91" s="1043"/>
      <c r="H91" s="1053"/>
      <c r="I91" s="1053"/>
      <c r="J91" s="1043"/>
      <c r="K91" s="1059"/>
      <c r="L91" s="1200"/>
      <c r="M91" s="1422"/>
      <c r="N91" s="1301"/>
      <c r="O91" s="1023"/>
      <c r="P91" s="1276"/>
      <c r="Q91" s="8"/>
      <c r="R91" s="351"/>
    </row>
    <row r="92" spans="1:18" x14ac:dyDescent="0.2">
      <c r="A92" s="1050"/>
      <c r="B92" s="1067"/>
      <c r="C92" s="1181"/>
      <c r="D92" s="1052"/>
      <c r="E92" s="1051"/>
      <c r="F92" s="1275"/>
      <c r="G92" s="1043"/>
      <c r="H92" s="1053"/>
      <c r="I92" s="1053"/>
      <c r="J92" s="1043"/>
      <c r="K92" s="1059"/>
      <c r="L92" s="1200"/>
      <c r="M92" s="1422"/>
      <c r="N92" s="1301"/>
      <c r="O92" s="1023"/>
      <c r="P92" s="1276"/>
      <c r="Q92" s="8"/>
      <c r="R92" s="686"/>
    </row>
    <row r="93" spans="1:18" x14ac:dyDescent="0.2">
      <c r="A93" s="1050"/>
      <c r="B93" s="1019"/>
      <c r="C93" s="1181"/>
      <c r="D93" s="1052"/>
      <c r="E93" s="1051"/>
      <c r="F93" s="1275"/>
      <c r="G93" s="1043"/>
      <c r="H93" s="1053"/>
      <c r="I93" s="1053"/>
      <c r="J93" s="1043"/>
      <c r="K93" s="1059"/>
      <c r="L93" s="1200"/>
      <c r="M93" s="1422"/>
      <c r="N93" s="1301"/>
      <c r="O93" s="1023"/>
      <c r="P93" s="1276"/>
      <c r="Q93" s="8"/>
      <c r="R93" s="686"/>
    </row>
    <row r="94" spans="1:18" x14ac:dyDescent="0.2">
      <c r="A94" s="1050"/>
      <c r="B94" s="1019"/>
      <c r="C94" s="1181"/>
      <c r="D94" s="1052"/>
      <c r="E94" s="1051"/>
      <c r="F94" s="1275"/>
      <c r="G94" s="1043"/>
      <c r="H94" s="1053"/>
      <c r="I94" s="1053"/>
      <c r="J94" s="1043"/>
      <c r="K94" s="1059"/>
      <c r="L94" s="1200"/>
      <c r="M94" s="1422"/>
      <c r="N94" s="1301"/>
      <c r="O94" s="1023"/>
      <c r="P94" s="1276"/>
      <c r="Q94" s="8"/>
      <c r="R94" s="686"/>
    </row>
    <row r="95" spans="1:18" x14ac:dyDescent="0.2">
      <c r="A95" s="1050"/>
      <c r="B95" s="1019"/>
      <c r="C95" s="1181"/>
      <c r="D95" s="1052"/>
      <c r="E95" s="1051"/>
      <c r="F95" s="1275"/>
      <c r="G95" s="1043"/>
      <c r="H95" s="1053"/>
      <c r="I95" s="1053"/>
      <c r="J95" s="1043"/>
      <c r="K95" s="1059"/>
      <c r="L95" s="1200"/>
      <c r="M95" s="1422"/>
      <c r="N95" s="1301"/>
      <c r="O95" s="1023"/>
      <c r="P95" s="1276"/>
      <c r="Q95" s="8"/>
      <c r="R95" s="686"/>
    </row>
    <row r="96" spans="1:18" x14ac:dyDescent="0.2">
      <c r="A96" s="1050"/>
      <c r="B96" s="1019"/>
      <c r="C96" s="1181"/>
      <c r="D96" s="1052"/>
      <c r="E96" s="1051"/>
      <c r="F96" s="1275"/>
      <c r="G96" s="1043"/>
      <c r="H96" s="1053"/>
      <c r="I96" s="1053"/>
      <c r="J96" s="1043"/>
      <c r="K96" s="1059"/>
      <c r="L96" s="1200"/>
      <c r="M96" s="1422"/>
      <c r="N96" s="1301"/>
      <c r="O96" s="1023"/>
      <c r="P96" s="1276"/>
      <c r="Q96" s="8"/>
      <c r="R96" s="686"/>
    </row>
    <row r="97" spans="1:18" x14ac:dyDescent="0.2">
      <c r="A97" s="1050"/>
      <c r="B97" s="1019"/>
      <c r="C97" s="1181"/>
      <c r="D97" s="1052"/>
      <c r="E97" s="1051"/>
      <c r="F97" s="1275"/>
      <c r="G97" s="1043"/>
      <c r="H97" s="1053"/>
      <c r="I97" s="1053"/>
      <c r="J97" s="1043"/>
      <c r="K97" s="1059"/>
      <c r="L97" s="1200"/>
      <c r="M97" s="1422"/>
      <c r="N97" s="1301"/>
      <c r="O97" s="1023"/>
      <c r="P97" s="1276"/>
      <c r="Q97" s="8"/>
      <c r="R97" s="686"/>
    </row>
    <row r="98" spans="1:18" x14ac:dyDescent="0.2">
      <c r="A98" s="1050"/>
      <c r="B98" s="1019"/>
      <c r="C98" s="1181"/>
      <c r="D98" s="1052"/>
      <c r="E98" s="1051"/>
      <c r="F98" s="1275"/>
      <c r="G98" s="1043"/>
      <c r="H98" s="1053"/>
      <c r="I98" s="1053"/>
      <c r="J98" s="1043"/>
      <c r="K98" s="1059"/>
      <c r="L98" s="1200"/>
      <c r="M98" s="1422"/>
      <c r="N98" s="1301"/>
      <c r="O98" s="1023"/>
      <c r="P98" s="1276"/>
      <c r="Q98" s="8"/>
      <c r="R98" s="686"/>
    </row>
    <row r="99" spans="1:18" x14ac:dyDescent="0.2">
      <c r="A99" s="1050"/>
      <c r="B99" s="1067"/>
      <c r="C99" s="1424"/>
      <c r="D99" s="1052"/>
      <c r="E99" s="1065"/>
      <c r="F99" s="1275"/>
      <c r="G99" s="1043"/>
      <c r="H99" s="1053"/>
      <c r="I99" s="1053"/>
      <c r="J99" s="1043"/>
      <c r="K99" s="1059"/>
      <c r="L99" s="1200"/>
      <c r="M99" s="1422"/>
      <c r="N99" s="1301"/>
      <c r="O99" s="1023"/>
      <c r="P99" s="1276"/>
      <c r="Q99" s="8"/>
      <c r="R99" s="686"/>
    </row>
    <row r="100" spans="1:18" x14ac:dyDescent="0.2">
      <c r="A100" s="1050"/>
      <c r="B100" s="1019"/>
      <c r="C100" s="1181"/>
      <c r="D100" s="1052"/>
      <c r="E100" s="1051"/>
      <c r="F100" s="1275"/>
      <c r="G100" s="1043"/>
      <c r="H100" s="1053"/>
      <c r="I100" s="1053"/>
      <c r="J100" s="1043"/>
      <c r="K100" s="1059"/>
      <c r="L100" s="1200"/>
      <c r="M100" s="1422"/>
      <c r="N100" s="1301"/>
      <c r="O100" s="1023"/>
      <c r="P100" s="1276"/>
      <c r="Q100" s="8"/>
      <c r="R100" s="686"/>
    </row>
    <row r="101" spans="1:18" x14ac:dyDescent="0.2">
      <c r="A101" s="1050"/>
      <c r="B101" s="1019"/>
      <c r="C101" s="1181"/>
      <c r="D101" s="1052"/>
      <c r="E101" s="1051"/>
      <c r="F101" s="1275"/>
      <c r="G101" s="1043"/>
      <c r="H101" s="1053"/>
      <c r="I101" s="1053"/>
      <c r="J101" s="1043"/>
      <c r="K101" s="1059"/>
      <c r="L101" s="1200"/>
      <c r="M101" s="1422"/>
      <c r="N101" s="1301"/>
      <c r="O101" s="1023"/>
      <c r="P101" s="1276"/>
      <c r="Q101" s="8"/>
      <c r="R101" s="686"/>
    </row>
    <row r="102" spans="1:18" x14ac:dyDescent="0.2">
      <c r="A102" s="1050"/>
      <c r="B102" s="1019"/>
      <c r="C102" s="1181"/>
      <c r="D102" s="1052"/>
      <c r="E102" s="1051"/>
      <c r="F102" s="1275"/>
      <c r="G102" s="1043"/>
      <c r="H102" s="1053"/>
      <c r="I102" s="1053"/>
      <c r="J102" s="1043"/>
      <c r="K102" s="1059"/>
      <c r="L102" s="1200"/>
      <c r="M102" s="1422"/>
      <c r="N102" s="1301"/>
      <c r="O102" s="1023"/>
      <c r="P102" s="1276"/>
      <c r="Q102" s="8"/>
      <c r="R102" s="1190"/>
    </row>
    <row r="103" spans="1:18" x14ac:dyDescent="0.2">
      <c r="A103" s="1050"/>
      <c r="B103" s="1242"/>
      <c r="C103" s="1181"/>
      <c r="D103" s="1052"/>
      <c r="E103" s="1423"/>
      <c r="F103" s="1275"/>
      <c r="G103" s="1043"/>
      <c r="H103" s="1053"/>
      <c r="I103" s="1053"/>
      <c r="J103" s="1043"/>
      <c r="K103" s="1059"/>
      <c r="L103" s="1200"/>
      <c r="M103" s="1422"/>
      <c r="N103" s="1301"/>
      <c r="O103" s="1023"/>
      <c r="P103" s="1276"/>
      <c r="Q103" s="8"/>
      <c r="R103" s="351"/>
    </row>
    <row r="104" spans="1:18" x14ac:dyDescent="0.2">
      <c r="A104" s="1050"/>
      <c r="B104" s="1242"/>
      <c r="C104" s="1066"/>
      <c r="D104" s="1052"/>
      <c r="E104" s="1423"/>
      <c r="F104" s="1275"/>
      <c r="G104" s="1043"/>
      <c r="H104" s="1053"/>
      <c r="I104" s="1053"/>
      <c r="J104" s="1043"/>
      <c r="K104" s="1059"/>
      <c r="L104" s="1200"/>
      <c r="M104" s="1422"/>
      <c r="N104" s="1301"/>
      <c r="O104" s="1023"/>
      <c r="P104" s="1276"/>
      <c r="Q104" s="8"/>
      <c r="R104" s="686"/>
    </row>
    <row r="105" spans="1:18" x14ac:dyDescent="0.2">
      <c r="A105" s="1050"/>
      <c r="B105" s="1019"/>
      <c r="C105" s="1181"/>
      <c r="D105" s="1052"/>
      <c r="E105" s="1051"/>
      <c r="F105" s="1275"/>
      <c r="G105" s="1043"/>
      <c r="H105" s="1053"/>
      <c r="I105" s="1053"/>
      <c r="J105" s="1043"/>
      <c r="K105" s="1059"/>
      <c r="L105" s="1200"/>
      <c r="M105" s="1422"/>
      <c r="N105" s="1301"/>
      <c r="O105" s="1023"/>
      <c r="P105" s="1276"/>
      <c r="Q105" s="8"/>
      <c r="R105" s="686"/>
    </row>
    <row r="106" spans="1:18" x14ac:dyDescent="0.2">
      <c r="A106" s="1050"/>
      <c r="B106" s="1019"/>
      <c r="C106" s="1181"/>
      <c r="D106" s="1052"/>
      <c r="E106" s="1051"/>
      <c r="F106" s="1275"/>
      <c r="G106" s="1043"/>
      <c r="H106" s="1053"/>
      <c r="I106" s="1053"/>
      <c r="J106" s="1043"/>
      <c r="K106" s="1059"/>
      <c r="L106" s="1200"/>
      <c r="M106" s="1422"/>
      <c r="N106" s="1301"/>
      <c r="O106" s="1023"/>
      <c r="P106" s="1276"/>
      <c r="Q106" s="8"/>
      <c r="R106" s="686"/>
    </row>
    <row r="107" spans="1:18" x14ac:dyDescent="0.2">
      <c r="A107" s="1050"/>
      <c r="B107" s="1019"/>
      <c r="C107" s="1181"/>
      <c r="D107" s="1052"/>
      <c r="E107" s="1051"/>
      <c r="F107" s="1275"/>
      <c r="G107" s="1043"/>
      <c r="H107" s="1053"/>
      <c r="I107" s="1053"/>
      <c r="J107" s="1043"/>
      <c r="K107" s="1059"/>
      <c r="L107" s="1200"/>
      <c r="M107" s="1422"/>
      <c r="N107" s="1301"/>
      <c r="O107" s="1023"/>
      <c r="P107" s="1276"/>
      <c r="Q107" s="8"/>
      <c r="R107" s="686"/>
    </row>
    <row r="108" spans="1:18" x14ac:dyDescent="0.2">
      <c r="A108" s="1050"/>
      <c r="B108" s="1185"/>
      <c r="C108" s="1181"/>
      <c r="D108" s="1052"/>
      <c r="E108" s="1051"/>
      <c r="F108" s="1275"/>
      <c r="G108" s="1043"/>
      <c r="H108" s="1053"/>
      <c r="I108" s="1053"/>
      <c r="J108" s="1043"/>
      <c r="K108" s="1059"/>
      <c r="L108" s="1200"/>
      <c r="M108" s="1422"/>
      <c r="N108" s="1301"/>
      <c r="O108" s="1023"/>
      <c r="P108" s="1276"/>
      <c r="Q108" s="8"/>
      <c r="R108" s="1166"/>
    </row>
    <row r="109" spans="1:18" x14ac:dyDescent="0.2">
      <c r="A109" s="1050"/>
      <c r="B109" s="1242"/>
      <c r="C109" s="1181"/>
      <c r="D109" s="1052"/>
      <c r="E109" s="1423"/>
      <c r="F109" s="1275"/>
      <c r="G109" s="1043"/>
      <c r="H109" s="1053"/>
      <c r="I109" s="1053"/>
      <c r="J109" s="1043"/>
      <c r="K109" s="1059"/>
      <c r="L109" s="1200"/>
      <c r="M109" s="1422"/>
      <c r="N109" s="1301"/>
      <c r="O109" s="1023"/>
      <c r="P109" s="1276"/>
      <c r="Q109" s="8"/>
      <c r="R109" s="686"/>
    </row>
    <row r="110" spans="1:18" x14ac:dyDescent="0.2">
      <c r="A110" s="1050"/>
      <c r="B110" s="1019"/>
      <c r="C110" s="1181"/>
      <c r="D110" s="1052"/>
      <c r="E110" s="1051"/>
      <c r="F110" s="1275"/>
      <c r="G110" s="1043"/>
      <c r="H110" s="1053"/>
      <c r="I110" s="1053"/>
      <c r="J110" s="1043"/>
      <c r="K110" s="1059"/>
      <c r="L110" s="1200"/>
      <c r="M110" s="1422"/>
      <c r="N110" s="1301"/>
      <c r="O110" s="1023"/>
      <c r="P110" s="1276"/>
      <c r="Q110" s="8"/>
      <c r="R110" s="1191"/>
    </row>
    <row r="111" spans="1:18" x14ac:dyDescent="0.2">
      <c r="A111" s="1433"/>
      <c r="B111" s="1434"/>
      <c r="C111" s="1435"/>
      <c r="D111" s="1427"/>
      <c r="E111" s="1428"/>
      <c r="F111" s="1429"/>
      <c r="G111" s="1074"/>
      <c r="H111" s="1219"/>
      <c r="I111" s="1219"/>
      <c r="J111" s="1074"/>
      <c r="K111" s="1430"/>
      <c r="L111" s="1436"/>
      <c r="M111" s="1437"/>
      <c r="N111" s="1406"/>
      <c r="O111" s="1431"/>
      <c r="P111" s="1432"/>
      <c r="Q111" s="8"/>
      <c r="R111" s="1163"/>
    </row>
    <row r="112" spans="1:18" x14ac:dyDescent="0.2">
      <c r="A112" s="1433"/>
      <c r="B112" s="1434"/>
      <c r="C112" s="1435"/>
      <c r="D112" s="1427"/>
      <c r="E112" s="1428"/>
      <c r="F112" s="1429"/>
      <c r="G112" s="1074"/>
      <c r="H112" s="1219"/>
      <c r="I112" s="1219"/>
      <c r="J112" s="1074"/>
      <c r="K112" s="1430"/>
      <c r="L112" s="1436"/>
      <c r="M112" s="1437"/>
      <c r="N112" s="1406"/>
      <c r="O112" s="1431"/>
      <c r="P112" s="1432"/>
      <c r="Q112" s="8"/>
      <c r="R112" s="1163"/>
    </row>
    <row r="113" spans="1:18" x14ac:dyDescent="0.2">
      <c r="A113" s="1050"/>
      <c r="B113" s="1019"/>
      <c r="C113" s="1181"/>
      <c r="D113" s="1052"/>
      <c r="E113" s="1051"/>
      <c r="F113" s="1275"/>
      <c r="G113" s="1043"/>
      <c r="H113" s="1053"/>
      <c r="I113" s="1053"/>
      <c r="J113" s="1043"/>
      <c r="K113" s="1059"/>
      <c r="L113" s="1200"/>
      <c r="M113" s="1422"/>
      <c r="N113" s="1301"/>
      <c r="O113" s="1023"/>
      <c r="P113" s="1276"/>
      <c r="Q113" s="8"/>
      <c r="R113" s="686"/>
    </row>
    <row r="114" spans="1:18" x14ac:dyDescent="0.2">
      <c r="A114" s="1050"/>
      <c r="B114" s="1019"/>
      <c r="C114" s="1181"/>
      <c r="D114" s="1052"/>
      <c r="E114" s="1051"/>
      <c r="F114" s="1275"/>
      <c r="G114" s="1043"/>
      <c r="H114" s="1053"/>
      <c r="I114" s="1053"/>
      <c r="J114" s="1043"/>
      <c r="K114" s="1059"/>
      <c r="L114" s="1200"/>
      <c r="M114" s="1422"/>
      <c r="N114" s="1301"/>
      <c r="O114" s="1023"/>
      <c r="P114" s="1276"/>
      <c r="Q114" s="8"/>
      <c r="R114" s="686"/>
    </row>
    <row r="115" spans="1:18" x14ac:dyDescent="0.2">
      <c r="A115" s="1050"/>
      <c r="B115" s="1019"/>
      <c r="C115" s="1181"/>
      <c r="D115" s="1052"/>
      <c r="E115" s="1051"/>
      <c r="F115" s="1275"/>
      <c r="G115" s="1043"/>
      <c r="H115" s="1053"/>
      <c r="I115" s="1053"/>
      <c r="J115" s="1043"/>
      <c r="K115" s="1059"/>
      <c r="L115" s="1200"/>
      <c r="M115" s="1422"/>
      <c r="N115" s="1301"/>
      <c r="O115" s="1023"/>
      <c r="P115" s="1276"/>
      <c r="Q115" s="8"/>
      <c r="R115" s="686"/>
    </row>
    <row r="116" spans="1:18" x14ac:dyDescent="0.2">
      <c r="A116" s="1050"/>
      <c r="B116" s="1019"/>
      <c r="C116" s="1181"/>
      <c r="D116" s="1052"/>
      <c r="E116" s="1051"/>
      <c r="F116" s="1275"/>
      <c r="G116" s="1043"/>
      <c r="H116" s="1053"/>
      <c r="I116" s="1053"/>
      <c r="J116" s="1043"/>
      <c r="K116" s="1059"/>
      <c r="L116" s="1200"/>
      <c r="M116" s="1422"/>
      <c r="N116" s="1301"/>
      <c r="O116" s="1023"/>
      <c r="P116" s="1276"/>
      <c r="Q116" s="8"/>
      <c r="R116" s="1184"/>
    </row>
    <row r="117" spans="1:18" x14ac:dyDescent="0.2">
      <c r="A117" s="1050"/>
      <c r="B117" s="1019"/>
      <c r="C117" s="1181"/>
      <c r="D117" s="1052"/>
      <c r="E117" s="1051"/>
      <c r="F117" s="1275"/>
      <c r="G117" s="1043"/>
      <c r="H117" s="1053"/>
      <c r="I117" s="1053"/>
      <c r="J117" s="1043"/>
      <c r="K117" s="1059"/>
      <c r="L117" s="1200"/>
      <c r="M117" s="1422"/>
      <c r="N117" s="1301"/>
      <c r="O117" s="1023"/>
      <c r="P117" s="1276"/>
      <c r="Q117" s="8"/>
      <c r="R117" s="351"/>
    </row>
    <row r="118" spans="1:18" x14ac:dyDescent="0.2">
      <c r="A118" s="1050"/>
      <c r="B118" s="630"/>
      <c r="C118" s="1181"/>
      <c r="D118" s="1052"/>
      <c r="E118" s="1051"/>
      <c r="F118" s="1275"/>
      <c r="G118" s="1043"/>
      <c r="H118" s="1053"/>
      <c r="I118" s="1053"/>
      <c r="J118" s="1043"/>
      <c r="K118" s="1059"/>
      <c r="L118" s="1200"/>
      <c r="M118" s="1422"/>
      <c r="N118" s="1301"/>
      <c r="O118" s="1023"/>
      <c r="P118" s="1276"/>
      <c r="Q118" s="8"/>
      <c r="R118" s="686"/>
    </row>
    <row r="119" spans="1:18" x14ac:dyDescent="0.2">
      <c r="A119" s="1050"/>
      <c r="B119" s="1019"/>
      <c r="C119" s="1181"/>
      <c r="D119" s="1052"/>
      <c r="E119" s="1051"/>
      <c r="F119" s="1275"/>
      <c r="G119" s="1043"/>
      <c r="H119" s="1053"/>
      <c r="I119" s="1053"/>
      <c r="J119" s="1043"/>
      <c r="K119" s="1059"/>
      <c r="L119" s="1200"/>
      <c r="M119" s="1422"/>
      <c r="N119" s="1301"/>
      <c r="O119" s="1023"/>
      <c r="P119" s="1276"/>
      <c r="Q119" s="8"/>
      <c r="R119" s="686"/>
    </row>
    <row r="120" spans="1:18" x14ac:dyDescent="0.2">
      <c r="A120" s="1050"/>
      <c r="B120" s="1019"/>
      <c r="C120" s="1181"/>
      <c r="D120" s="1052"/>
      <c r="E120" s="1051"/>
      <c r="F120" s="1275"/>
      <c r="G120" s="1043"/>
      <c r="H120" s="1053"/>
      <c r="I120" s="1053"/>
      <c r="J120" s="1043"/>
      <c r="K120" s="1059"/>
      <c r="L120" s="1200"/>
      <c r="M120" s="1422"/>
      <c r="N120" s="1301"/>
      <c r="O120" s="1023"/>
      <c r="P120" s="1276"/>
      <c r="Q120" s="8"/>
      <c r="R120" s="686"/>
    </row>
    <row r="121" spans="1:18" x14ac:dyDescent="0.2">
      <c r="A121" s="1050"/>
      <c r="B121" s="1019"/>
      <c r="C121" s="1181"/>
      <c r="D121" s="1052"/>
      <c r="E121" s="1051"/>
      <c r="F121" s="1275"/>
      <c r="G121" s="1043"/>
      <c r="H121" s="1053"/>
      <c r="I121" s="1053"/>
      <c r="J121" s="1043"/>
      <c r="K121" s="1059"/>
      <c r="L121" s="1200"/>
      <c r="M121" s="1422"/>
      <c r="N121" s="1301"/>
      <c r="O121" s="1023"/>
      <c r="P121" s="1276"/>
      <c r="Q121" s="8"/>
      <c r="R121" s="686"/>
    </row>
    <row r="122" spans="1:18" x14ac:dyDescent="0.2">
      <c r="A122" s="1050"/>
      <c r="B122" s="1019"/>
      <c r="C122" s="1181"/>
      <c r="D122" s="1052"/>
      <c r="E122" s="1051"/>
      <c r="F122" s="1275"/>
      <c r="G122" s="1043"/>
      <c r="H122" s="1053"/>
      <c r="I122" s="1053"/>
      <c r="J122" s="1043"/>
      <c r="K122" s="1059"/>
      <c r="L122" s="1200"/>
      <c r="M122" s="1422"/>
      <c r="N122" s="1301"/>
      <c r="O122" s="1023"/>
      <c r="P122" s="1276"/>
      <c r="Q122" s="8"/>
      <c r="R122" s="1184"/>
    </row>
    <row r="123" spans="1:18" x14ac:dyDescent="0.2">
      <c r="A123" s="1050"/>
      <c r="B123" s="1019"/>
      <c r="C123" s="1181"/>
      <c r="D123" s="1052"/>
      <c r="E123" s="1051"/>
      <c r="F123" s="1275"/>
      <c r="G123" s="1043"/>
      <c r="H123" s="1053"/>
      <c r="I123" s="1053"/>
      <c r="J123" s="1043"/>
      <c r="K123" s="1059"/>
      <c r="L123" s="1200"/>
      <c r="M123" s="1422"/>
      <c r="N123" s="1301"/>
      <c r="O123" s="1023"/>
      <c r="P123" s="1276"/>
      <c r="Q123" s="8"/>
      <c r="R123" s="686"/>
    </row>
    <row r="124" spans="1:18" x14ac:dyDescent="0.2">
      <c r="A124" s="1050"/>
      <c r="B124" s="1019"/>
      <c r="C124" s="1181"/>
      <c r="D124" s="1052"/>
      <c r="E124" s="1051"/>
      <c r="F124" s="1275"/>
      <c r="G124" s="1043"/>
      <c r="H124" s="1053"/>
      <c r="I124" s="1053"/>
      <c r="J124" s="1043"/>
      <c r="K124" s="1059"/>
      <c r="L124" s="1200"/>
      <c r="M124" s="1422"/>
      <c r="N124" s="1301"/>
      <c r="O124" s="1023"/>
      <c r="P124" s="1276"/>
      <c r="Q124" s="8"/>
      <c r="R124" s="683"/>
    </row>
    <row r="125" spans="1:18" x14ac:dyDescent="0.2">
      <c r="A125" s="1050"/>
      <c r="B125" s="1019"/>
      <c r="C125" s="1181"/>
      <c r="D125" s="1052"/>
      <c r="E125" s="1051"/>
      <c r="F125" s="1275"/>
      <c r="G125" s="1043"/>
      <c r="H125" s="1053"/>
      <c r="I125" s="1053"/>
      <c r="J125" s="1043"/>
      <c r="K125" s="1059"/>
      <c r="L125" s="1200"/>
      <c r="M125" s="1422"/>
      <c r="N125" s="1301"/>
      <c r="O125" s="1023"/>
      <c r="P125" s="1276"/>
      <c r="Q125" s="8"/>
      <c r="R125" s="686"/>
    </row>
    <row r="126" spans="1:18" x14ac:dyDescent="0.2">
      <c r="A126" s="1050"/>
      <c r="B126" s="1019"/>
      <c r="C126" s="1181"/>
      <c r="D126" s="1052"/>
      <c r="E126" s="1051"/>
      <c r="F126" s="1275"/>
      <c r="G126" s="1043"/>
      <c r="H126" s="1053"/>
      <c r="I126" s="1053"/>
      <c r="J126" s="1043"/>
      <c r="K126" s="1059"/>
      <c r="L126" s="1200"/>
      <c r="M126" s="1422"/>
      <c r="N126" s="1301"/>
      <c r="O126" s="1023"/>
      <c r="P126" s="1276"/>
      <c r="Q126" s="8"/>
      <c r="R126" s="351"/>
    </row>
    <row r="127" spans="1:18" x14ac:dyDescent="0.2">
      <c r="A127" s="1050"/>
      <c r="B127" s="1019"/>
      <c r="C127" s="1181"/>
      <c r="D127" s="1052"/>
      <c r="E127" s="1051"/>
      <c r="F127" s="1275"/>
      <c r="G127" s="1043"/>
      <c r="H127" s="1053"/>
      <c r="I127" s="1053"/>
      <c r="J127" s="1043"/>
      <c r="K127" s="1059"/>
      <c r="L127" s="1200"/>
      <c r="M127" s="1422"/>
      <c r="N127" s="1301"/>
      <c r="O127" s="1023"/>
      <c r="P127" s="1276"/>
      <c r="Q127" s="8"/>
      <c r="R127" s="686"/>
    </row>
    <row r="128" spans="1:18" x14ac:dyDescent="0.2">
      <c r="A128" s="1050"/>
      <c r="B128" s="1019"/>
      <c r="C128" s="1181"/>
      <c r="D128" s="1052"/>
      <c r="E128" s="1051"/>
      <c r="F128" s="1275"/>
      <c r="G128" s="1043"/>
      <c r="H128" s="1053"/>
      <c r="I128" s="1053"/>
      <c r="J128" s="1043"/>
      <c r="K128" s="1059"/>
      <c r="L128" s="1200"/>
      <c r="M128" s="1422"/>
      <c r="N128" s="1301"/>
      <c r="O128" s="1023"/>
      <c r="P128" s="1276"/>
      <c r="Q128" s="8"/>
      <c r="R128" s="686"/>
    </row>
    <row r="129" spans="1:18" x14ac:dyDescent="0.2">
      <c r="A129" s="1050"/>
      <c r="B129" s="1019"/>
      <c r="C129" s="1181"/>
      <c r="D129" s="1052"/>
      <c r="E129" s="1051"/>
      <c r="F129" s="1275"/>
      <c r="G129" s="1043"/>
      <c r="H129" s="1053"/>
      <c r="I129" s="1053"/>
      <c r="J129" s="1043"/>
      <c r="K129" s="1059"/>
      <c r="L129" s="1200"/>
      <c r="M129" s="1422"/>
      <c r="N129" s="1301"/>
      <c r="O129" s="1023"/>
      <c r="P129" s="1276"/>
      <c r="Q129" s="8"/>
      <c r="R129" s="686"/>
    </row>
    <row r="130" spans="1:18" x14ac:dyDescent="0.2">
      <c r="A130" s="1050"/>
      <c r="B130" s="1019"/>
      <c r="C130" s="1181"/>
      <c r="D130" s="1052"/>
      <c r="E130" s="1051"/>
      <c r="F130" s="1275"/>
      <c r="G130" s="1043"/>
      <c r="H130" s="1053"/>
      <c r="I130" s="1053"/>
      <c r="J130" s="1043"/>
      <c r="K130" s="1059"/>
      <c r="L130" s="1200"/>
      <c r="M130" s="1422"/>
      <c r="N130" s="1301"/>
      <c r="O130" s="1023"/>
      <c r="P130" s="1276"/>
      <c r="Q130" s="8"/>
      <c r="R130" s="686"/>
    </row>
    <row r="131" spans="1:18" x14ac:dyDescent="0.2">
      <c r="A131" s="1050"/>
      <c r="B131" s="1019"/>
      <c r="C131" s="1181"/>
      <c r="D131" s="1052"/>
      <c r="E131" s="1051"/>
      <c r="F131" s="1275"/>
      <c r="G131" s="1043"/>
      <c r="H131" s="1053"/>
      <c r="I131" s="1053"/>
      <c r="J131" s="1043"/>
      <c r="K131" s="1059"/>
      <c r="L131" s="1200"/>
      <c r="M131" s="1422"/>
      <c r="N131" s="1301"/>
      <c r="O131" s="1023"/>
      <c r="P131" s="1276"/>
      <c r="Q131" s="8"/>
      <c r="R131" s="1007"/>
    </row>
    <row r="132" spans="1:18" x14ac:dyDescent="0.2">
      <c r="A132" s="1050"/>
      <c r="B132" s="1019"/>
      <c r="C132" s="1181"/>
      <c r="D132" s="1052"/>
      <c r="E132" s="1051"/>
      <c r="F132" s="1275"/>
      <c r="G132" s="1043"/>
      <c r="H132" s="1053"/>
      <c r="I132" s="1053"/>
      <c r="J132" s="1043"/>
      <c r="K132" s="1059"/>
      <c r="L132" s="1200"/>
      <c r="M132" s="1422"/>
      <c r="N132" s="1301"/>
      <c r="O132" s="1023"/>
      <c r="P132" s="1276"/>
      <c r="Q132" s="8"/>
      <c r="R132" s="686"/>
    </row>
    <row r="133" spans="1:18" x14ac:dyDescent="0.2">
      <c r="A133" s="1433"/>
      <c r="B133" s="1434"/>
      <c r="C133" s="1435"/>
      <c r="D133" s="1427"/>
      <c r="E133" s="1428"/>
      <c r="F133" s="1429"/>
      <c r="G133" s="1074"/>
      <c r="H133" s="1219"/>
      <c r="I133" s="1219"/>
      <c r="J133" s="1074"/>
      <c r="K133" s="1430"/>
      <c r="L133" s="1436"/>
      <c r="M133" s="1437"/>
      <c r="N133" s="1406"/>
      <c r="O133" s="1431"/>
      <c r="P133" s="1432"/>
      <c r="Q133" s="8"/>
      <c r="R133" s="1163"/>
    </row>
    <row r="134" spans="1:18" x14ac:dyDescent="0.2">
      <c r="A134" s="1050"/>
      <c r="B134" s="1019"/>
      <c r="C134" s="1181"/>
      <c r="D134" s="1052"/>
      <c r="E134" s="1051"/>
      <c r="F134" s="1275"/>
      <c r="G134" s="1043"/>
      <c r="H134" s="1053"/>
      <c r="I134" s="1053"/>
      <c r="J134" s="1043"/>
      <c r="K134" s="1059"/>
      <c r="L134" s="1200"/>
      <c r="M134" s="1422"/>
      <c r="N134" s="1301"/>
      <c r="O134" s="1023"/>
      <c r="P134" s="1276"/>
      <c r="Q134" s="8"/>
      <c r="R134" s="686"/>
    </row>
    <row r="135" spans="1:18" x14ac:dyDescent="0.2">
      <c r="A135" s="1050"/>
      <c r="B135" s="1019"/>
      <c r="C135" s="1181"/>
      <c r="D135" s="1052"/>
      <c r="E135" s="1051"/>
      <c r="F135" s="1275"/>
      <c r="G135" s="1043"/>
      <c r="H135" s="1053"/>
      <c r="I135" s="1053"/>
      <c r="J135" s="1043"/>
      <c r="K135" s="1059"/>
      <c r="L135" s="1200"/>
      <c r="M135" s="1422"/>
      <c r="N135" s="1301"/>
      <c r="O135" s="1023"/>
      <c r="P135" s="1276"/>
      <c r="Q135" s="8"/>
      <c r="R135" s="686"/>
    </row>
    <row r="136" spans="1:18" x14ac:dyDescent="0.2">
      <c r="A136" s="1050"/>
      <c r="B136" s="1019"/>
      <c r="C136" s="1181"/>
      <c r="D136" s="1052"/>
      <c r="E136" s="1051"/>
      <c r="F136" s="1275"/>
      <c r="G136" s="1043"/>
      <c r="H136" s="1053"/>
      <c r="I136" s="1053"/>
      <c r="J136" s="1043"/>
      <c r="K136" s="1059"/>
      <c r="L136" s="1200"/>
      <c r="M136" s="1422"/>
      <c r="N136" s="1301"/>
      <c r="O136" s="1023"/>
      <c r="P136" s="1276"/>
      <c r="Q136" s="8"/>
      <c r="R136" s="1186"/>
    </row>
    <row r="137" spans="1:18" x14ac:dyDescent="0.2">
      <c r="A137" s="1050"/>
      <c r="B137" s="1019"/>
      <c r="C137" s="1181"/>
      <c r="D137" s="1052"/>
      <c r="E137" s="1051"/>
      <c r="F137" s="1275"/>
      <c r="G137" s="1043"/>
      <c r="H137" s="1053"/>
      <c r="I137" s="1053"/>
      <c r="J137" s="1043"/>
      <c r="K137" s="1059"/>
      <c r="L137" s="1200"/>
      <c r="M137" s="1422"/>
      <c r="N137" s="1301"/>
      <c r="O137" s="1023"/>
      <c r="P137" s="1276"/>
      <c r="Q137" s="8"/>
      <c r="R137" s="1186"/>
    </row>
    <row r="138" spans="1:18" x14ac:dyDescent="0.2">
      <c r="A138" s="1050"/>
      <c r="B138" s="630"/>
      <c r="C138" s="1181"/>
      <c r="D138" s="1052"/>
      <c r="E138" s="1051"/>
      <c r="F138" s="1275"/>
      <c r="G138" s="1043"/>
      <c r="H138" s="1053"/>
      <c r="I138" s="1053"/>
      <c r="J138" s="1043"/>
      <c r="K138" s="1059"/>
      <c r="L138" s="1200"/>
      <c r="M138" s="1422"/>
      <c r="N138" s="1301"/>
      <c r="O138" s="1023"/>
      <c r="P138" s="1276"/>
      <c r="Q138" s="8"/>
      <c r="R138" s="686"/>
    </row>
    <row r="139" spans="1:18" x14ac:dyDescent="0.2">
      <c r="A139" s="1050"/>
      <c r="B139" s="1067"/>
      <c r="C139" s="1181"/>
      <c r="D139" s="1052"/>
      <c r="E139" s="1051"/>
      <c r="F139" s="1275"/>
      <c r="G139" s="1043"/>
      <c r="H139" s="1053"/>
      <c r="I139" s="1053"/>
      <c r="J139" s="1043"/>
      <c r="K139" s="1059"/>
      <c r="L139" s="1200"/>
      <c r="M139" s="1422"/>
      <c r="N139" s="1301"/>
      <c r="O139" s="1023"/>
      <c r="P139" s="1276"/>
      <c r="Q139" s="8"/>
      <c r="R139" s="686"/>
    </row>
    <row r="140" spans="1:18" x14ac:dyDescent="0.2">
      <c r="A140" s="1050"/>
      <c r="B140" s="1019"/>
      <c r="C140" s="1181"/>
      <c r="D140" s="1052"/>
      <c r="E140" s="1051"/>
      <c r="F140" s="1275"/>
      <c r="G140" s="1043"/>
      <c r="H140" s="1053"/>
      <c r="I140" s="1053"/>
      <c r="J140" s="1043"/>
      <c r="K140" s="1059"/>
      <c r="L140" s="1200"/>
      <c r="M140" s="1422"/>
      <c r="N140" s="1301"/>
      <c r="O140" s="1023"/>
      <c r="P140" s="1276"/>
      <c r="Q140" s="8"/>
      <c r="R140" s="686"/>
    </row>
    <row r="141" spans="1:18" x14ac:dyDescent="0.2">
      <c r="A141" s="1050"/>
      <c r="B141" s="1019"/>
      <c r="C141" s="1181"/>
      <c r="D141" s="1052"/>
      <c r="E141" s="1051"/>
      <c r="F141" s="1275"/>
      <c r="G141" s="1043"/>
      <c r="H141" s="1053"/>
      <c r="I141" s="1053"/>
      <c r="J141" s="1043"/>
      <c r="K141" s="1059"/>
      <c r="L141" s="1200"/>
      <c r="M141" s="1422"/>
      <c r="N141" s="1301"/>
      <c r="O141" s="1023"/>
      <c r="P141" s="1276"/>
      <c r="Q141" s="8"/>
      <c r="R141" s="686"/>
    </row>
    <row r="142" spans="1:18" x14ac:dyDescent="0.2">
      <c r="A142" s="1050"/>
      <c r="B142" s="1019"/>
      <c r="C142" s="1181"/>
      <c r="D142" s="1052"/>
      <c r="E142" s="1051"/>
      <c r="F142" s="1275"/>
      <c r="G142" s="1043"/>
      <c r="H142" s="1053"/>
      <c r="I142" s="1053"/>
      <c r="J142" s="1043"/>
      <c r="K142" s="1059"/>
      <c r="L142" s="1200"/>
      <c r="M142" s="1422"/>
      <c r="N142" s="1301"/>
      <c r="O142" s="1023"/>
      <c r="P142" s="1276"/>
      <c r="Q142" s="8"/>
      <c r="R142" s="686"/>
    </row>
    <row r="143" spans="1:18" x14ac:dyDescent="0.2">
      <c r="A143" s="1050"/>
      <c r="B143" s="1019"/>
      <c r="C143" s="1181"/>
      <c r="D143" s="1052"/>
      <c r="E143" s="1051"/>
      <c r="F143" s="1275"/>
      <c r="G143" s="1043"/>
      <c r="H143" s="1053"/>
      <c r="I143" s="1053"/>
      <c r="J143" s="1043"/>
      <c r="K143" s="1059"/>
      <c r="L143" s="1200"/>
      <c r="M143" s="1422"/>
      <c r="N143" s="1301"/>
      <c r="O143" s="1023"/>
      <c r="P143" s="1276"/>
      <c r="Q143" s="8"/>
      <c r="R143" s="686"/>
    </row>
    <row r="144" spans="1:18" x14ac:dyDescent="0.2">
      <c r="A144" s="1433"/>
      <c r="B144" s="1434"/>
      <c r="C144" s="1435"/>
      <c r="D144" s="1427"/>
      <c r="E144" s="1428"/>
      <c r="F144" s="1429"/>
      <c r="G144" s="1074"/>
      <c r="H144" s="1219"/>
      <c r="I144" s="1219"/>
      <c r="J144" s="1074"/>
      <c r="K144" s="1430"/>
      <c r="L144" s="1436"/>
      <c r="M144" s="1437"/>
      <c r="N144" s="1406"/>
      <c r="O144" s="1431"/>
      <c r="P144" s="1432"/>
      <c r="Q144" s="8"/>
      <c r="R144" s="1163"/>
    </row>
    <row r="145" spans="1:18" x14ac:dyDescent="0.2">
      <c r="A145" s="1433"/>
      <c r="B145" s="1434"/>
      <c r="C145" s="1435"/>
      <c r="D145" s="1427"/>
      <c r="E145" s="1428"/>
      <c r="F145" s="1429"/>
      <c r="G145" s="1074"/>
      <c r="H145" s="1219"/>
      <c r="I145" s="1219"/>
      <c r="J145" s="1074"/>
      <c r="K145" s="1430"/>
      <c r="L145" s="1436"/>
      <c r="M145" s="1437"/>
      <c r="N145" s="1406"/>
      <c r="O145" s="1431"/>
      <c r="P145" s="1432"/>
      <c r="Q145" s="8"/>
      <c r="R145" s="1163"/>
    </row>
    <row r="146" spans="1:18" x14ac:dyDescent="0.2">
      <c r="A146" s="1050"/>
      <c r="B146" s="1019"/>
      <c r="C146" s="1181"/>
      <c r="D146" s="1052"/>
      <c r="E146" s="1051"/>
      <c r="F146" s="1275"/>
      <c r="G146" s="1043"/>
      <c r="H146" s="1053"/>
      <c r="I146" s="1053"/>
      <c r="J146" s="1043"/>
      <c r="K146" s="1059"/>
      <c r="L146" s="1200"/>
      <c r="M146" s="1422"/>
      <c r="N146" s="1301"/>
      <c r="O146" s="1023"/>
      <c r="P146" s="1276"/>
      <c r="Q146" s="8"/>
      <c r="R146" s="1185"/>
    </row>
    <row r="147" spans="1:18" x14ac:dyDescent="0.2">
      <c r="A147" s="1050"/>
      <c r="B147" s="1019"/>
      <c r="C147" s="1181"/>
      <c r="D147" s="1052"/>
      <c r="E147" s="1051"/>
      <c r="F147" s="1275"/>
      <c r="G147" s="1043"/>
      <c r="H147" s="1053"/>
      <c r="I147" s="1053"/>
      <c r="J147" s="1043"/>
      <c r="K147" s="1059"/>
      <c r="L147" s="1200"/>
      <c r="M147" s="1422"/>
      <c r="N147" s="1301"/>
      <c r="O147" s="1023"/>
      <c r="P147" s="1276"/>
      <c r="Q147" s="8"/>
      <c r="R147" s="686"/>
    </row>
    <row r="148" spans="1:18" x14ac:dyDescent="0.2">
      <c r="A148" s="1050"/>
      <c r="B148" s="1019"/>
      <c r="C148" s="1181"/>
      <c r="D148" s="1052"/>
      <c r="E148" s="1051"/>
      <c r="F148" s="1275"/>
      <c r="G148" s="1043"/>
      <c r="H148" s="1053"/>
      <c r="I148" s="1053"/>
      <c r="J148" s="1043"/>
      <c r="K148" s="1059"/>
      <c r="L148" s="1200"/>
      <c r="M148" s="1422"/>
      <c r="N148" s="1301"/>
      <c r="O148" s="1023"/>
      <c r="P148" s="1276"/>
      <c r="Q148" s="8"/>
      <c r="R148" s="686"/>
    </row>
    <row r="149" spans="1:18" x14ac:dyDescent="0.2">
      <c r="A149" s="1050"/>
      <c r="B149" s="1185"/>
      <c r="C149" s="1181"/>
      <c r="D149" s="1052"/>
      <c r="E149" s="1051"/>
      <c r="F149" s="1275"/>
      <c r="G149" s="1043"/>
      <c r="H149" s="1053"/>
      <c r="I149" s="1053"/>
      <c r="J149" s="1043"/>
      <c r="K149" s="1059"/>
      <c r="L149" s="1200"/>
      <c r="M149" s="1422"/>
      <c r="N149" s="1301"/>
      <c r="O149" s="1023"/>
      <c r="P149" s="1276"/>
      <c r="Q149" s="8"/>
      <c r="R149" s="686"/>
    </row>
    <row r="150" spans="1:18" x14ac:dyDescent="0.2">
      <c r="A150" s="1050"/>
      <c r="B150" s="1019"/>
      <c r="C150" s="1181"/>
      <c r="D150" s="1052"/>
      <c r="E150" s="1051"/>
      <c r="F150" s="1275"/>
      <c r="G150" s="1043"/>
      <c r="H150" s="1053"/>
      <c r="I150" s="1053"/>
      <c r="J150" s="1043"/>
      <c r="K150" s="1059"/>
      <c r="L150" s="1200"/>
      <c r="M150" s="1422"/>
      <c r="N150" s="1301"/>
      <c r="O150" s="1023"/>
      <c r="P150" s="1276"/>
      <c r="Q150" s="8"/>
      <c r="R150" s="686"/>
    </row>
    <row r="151" spans="1:18" x14ac:dyDescent="0.2">
      <c r="A151" s="1050"/>
      <c r="B151" s="1019"/>
      <c r="C151" s="1181"/>
      <c r="D151" s="1052"/>
      <c r="E151" s="1051"/>
      <c r="F151" s="1275"/>
      <c r="G151" s="1043"/>
      <c r="H151" s="1053"/>
      <c r="I151" s="1053"/>
      <c r="J151" s="1043"/>
      <c r="K151" s="1059"/>
      <c r="L151" s="1200"/>
      <c r="M151" s="1422"/>
      <c r="N151" s="1301"/>
      <c r="O151" s="1023"/>
      <c r="P151" s="1276"/>
      <c r="Q151" s="8"/>
      <c r="R151" s="1189"/>
    </row>
    <row r="152" spans="1:18" x14ac:dyDescent="0.2">
      <c r="A152" s="1050"/>
      <c r="B152" s="1019"/>
      <c r="C152" s="1181"/>
      <c r="D152" s="1052"/>
      <c r="E152" s="1051"/>
      <c r="F152" s="1275"/>
      <c r="G152" s="1043"/>
      <c r="H152" s="1053"/>
      <c r="I152" s="1053"/>
      <c r="J152" s="1043"/>
      <c r="K152" s="1059"/>
      <c r="L152" s="1200"/>
      <c r="M152" s="1422"/>
      <c r="N152" s="1301"/>
      <c r="O152" s="1023"/>
      <c r="P152" s="1276"/>
      <c r="Q152" s="8"/>
      <c r="R152" s="686"/>
    </row>
    <row r="153" spans="1:18" x14ac:dyDescent="0.2">
      <c r="A153" s="1050"/>
      <c r="B153" s="1019"/>
      <c r="C153" s="1181"/>
      <c r="D153" s="1052"/>
      <c r="E153" s="1051"/>
      <c r="F153" s="1275"/>
      <c r="G153" s="1043"/>
      <c r="H153" s="1053"/>
      <c r="I153" s="1053"/>
      <c r="J153" s="1043"/>
      <c r="K153" s="1059"/>
      <c r="L153" s="1200"/>
      <c r="M153" s="1422"/>
      <c r="N153" s="1301"/>
      <c r="O153" s="1023"/>
      <c r="P153" s="1276"/>
      <c r="Q153" s="8"/>
      <c r="R153" s="686"/>
    </row>
    <row r="154" spans="1:18" x14ac:dyDescent="0.2">
      <c r="A154" s="1050"/>
      <c r="B154" s="1019"/>
      <c r="C154" s="1181"/>
      <c r="D154" s="1052"/>
      <c r="E154" s="1051"/>
      <c r="F154" s="1275"/>
      <c r="G154" s="1043"/>
      <c r="H154" s="1053"/>
      <c r="I154" s="1053"/>
      <c r="J154" s="1043"/>
      <c r="K154" s="1059"/>
      <c r="L154" s="1200"/>
      <c r="M154" s="1422"/>
      <c r="N154" s="1301"/>
      <c r="O154" s="1023"/>
      <c r="P154" s="1276"/>
      <c r="Q154" s="8"/>
      <c r="R154" s="686"/>
    </row>
    <row r="155" spans="1:18" x14ac:dyDescent="0.2">
      <c r="A155" s="1050"/>
      <c r="B155" s="1019"/>
      <c r="C155" s="1181"/>
      <c r="D155" s="1052"/>
      <c r="E155" s="1051"/>
      <c r="F155" s="1275"/>
      <c r="G155" s="1043"/>
      <c r="H155" s="1053"/>
      <c r="I155" s="1053"/>
      <c r="J155" s="1043"/>
      <c r="K155" s="1059"/>
      <c r="L155" s="1200"/>
      <c r="M155" s="1422"/>
      <c r="N155" s="1301"/>
      <c r="O155" s="1023"/>
      <c r="P155" s="1276"/>
      <c r="Q155" s="8"/>
      <c r="R155" s="1007"/>
    </row>
    <row r="156" spans="1:18" x14ac:dyDescent="0.2">
      <c r="A156" s="1050"/>
      <c r="B156" s="1019"/>
      <c r="C156" s="1181"/>
      <c r="D156" s="1052"/>
      <c r="E156" s="1051"/>
      <c r="F156" s="1275"/>
      <c r="G156" s="1043"/>
      <c r="H156" s="1053"/>
      <c r="I156" s="1053"/>
      <c r="J156" s="1043"/>
      <c r="K156" s="1059"/>
      <c r="L156" s="1200"/>
      <c r="M156" s="1422"/>
      <c r="N156" s="1301"/>
      <c r="O156" s="1023"/>
      <c r="P156" s="1276"/>
      <c r="Q156" s="8"/>
      <c r="R156" s="1007"/>
    </row>
    <row r="157" spans="1:18" x14ac:dyDescent="0.2">
      <c r="A157" s="1050"/>
      <c r="B157" s="1019"/>
      <c r="C157" s="1181"/>
      <c r="D157" s="1052"/>
      <c r="E157" s="1051"/>
      <c r="F157" s="1275"/>
      <c r="G157" s="1043"/>
      <c r="H157" s="1053"/>
      <c r="I157" s="1053"/>
      <c r="J157" s="1043"/>
      <c r="K157" s="1059"/>
      <c r="L157" s="1200"/>
      <c r="M157" s="1422"/>
      <c r="N157" s="1301"/>
      <c r="O157" s="1023"/>
      <c r="P157" s="1276"/>
      <c r="Q157" s="8"/>
      <c r="R157" s="686"/>
    </row>
    <row r="158" spans="1:18" x14ac:dyDescent="0.2">
      <c r="A158" s="1050"/>
      <c r="B158" s="1019"/>
      <c r="C158" s="1181"/>
      <c r="D158" s="1052"/>
      <c r="E158" s="1051"/>
      <c r="F158" s="1275"/>
      <c r="G158" s="1043"/>
      <c r="H158" s="1053"/>
      <c r="I158" s="1053"/>
      <c r="J158" s="1043"/>
      <c r="K158" s="1059"/>
      <c r="L158" s="1200"/>
      <c r="M158" s="1422"/>
      <c r="N158" s="1301"/>
      <c r="O158" s="1023"/>
      <c r="P158" s="1276"/>
      <c r="Q158" s="8"/>
      <c r="R158" s="686"/>
    </row>
    <row r="159" spans="1:18" x14ac:dyDescent="0.2">
      <c r="A159" s="1050"/>
      <c r="B159" s="1019"/>
      <c r="C159" s="1181"/>
      <c r="D159" s="1052"/>
      <c r="E159" s="1051"/>
      <c r="F159" s="1275"/>
      <c r="G159" s="1043"/>
      <c r="H159" s="1053"/>
      <c r="I159" s="1053"/>
      <c r="J159" s="1043"/>
      <c r="K159" s="1059"/>
      <c r="L159" s="1200"/>
      <c r="M159" s="1422"/>
      <c r="N159" s="1301"/>
      <c r="O159" s="1023"/>
      <c r="P159" s="1276"/>
      <c r="Q159" s="8"/>
      <c r="R159" s="686"/>
    </row>
    <row r="160" spans="1:18" x14ac:dyDescent="0.2">
      <c r="A160" s="1050"/>
      <c r="B160" s="1019"/>
      <c r="C160" s="1181"/>
      <c r="D160" s="1052"/>
      <c r="E160" s="1051"/>
      <c r="F160" s="1275"/>
      <c r="G160" s="1043"/>
      <c r="H160" s="1053"/>
      <c r="I160" s="1053"/>
      <c r="J160" s="1043"/>
      <c r="K160" s="1059"/>
      <c r="L160" s="1200"/>
      <c r="M160" s="1422"/>
      <c r="N160" s="1301"/>
      <c r="O160" s="1023"/>
      <c r="P160" s="1276"/>
      <c r="Q160" s="8"/>
      <c r="R160" s="1166"/>
    </row>
    <row r="161" spans="1:18" x14ac:dyDescent="0.2">
      <c r="A161" s="1050"/>
      <c r="B161" s="1019"/>
      <c r="C161" s="1181"/>
      <c r="D161" s="1052"/>
      <c r="E161" s="1051"/>
      <c r="F161" s="1275"/>
      <c r="G161" s="1043"/>
      <c r="H161" s="1053"/>
      <c r="I161" s="1053"/>
      <c r="J161" s="1043"/>
      <c r="K161" s="1059"/>
      <c r="L161" s="1200"/>
      <c r="M161" s="1422"/>
      <c r="N161" s="1301"/>
      <c r="O161" s="1023"/>
      <c r="P161" s="1276"/>
      <c r="Q161" s="8"/>
      <c r="R161" s="686"/>
    </row>
    <row r="162" spans="1:18" x14ac:dyDescent="0.2">
      <c r="A162" s="1050"/>
      <c r="B162" s="1019"/>
      <c r="C162" s="1181"/>
      <c r="D162" s="1052"/>
      <c r="E162" s="1051"/>
      <c r="F162" s="1275"/>
      <c r="G162" s="1043"/>
      <c r="H162" s="1053"/>
      <c r="I162" s="1053"/>
      <c r="J162" s="1043"/>
      <c r="K162" s="1059"/>
      <c r="L162" s="1200"/>
      <c r="M162" s="1422"/>
      <c r="N162" s="1301"/>
      <c r="O162" s="1023"/>
      <c r="P162" s="1276"/>
      <c r="Q162" s="8"/>
      <c r="R162" s="686"/>
    </row>
    <row r="163" spans="1:18" x14ac:dyDescent="0.2">
      <c r="A163" s="1050"/>
      <c r="B163" s="1019"/>
      <c r="C163" s="1181"/>
      <c r="D163" s="1052"/>
      <c r="E163" s="1051"/>
      <c r="F163" s="1275"/>
      <c r="G163" s="1043"/>
      <c r="H163" s="1053"/>
      <c r="I163" s="1053"/>
      <c r="J163" s="1043"/>
      <c r="K163" s="1059"/>
      <c r="L163" s="1200"/>
      <c r="M163" s="1422"/>
      <c r="N163" s="1301"/>
      <c r="O163" s="1023"/>
      <c r="P163" s="1276"/>
      <c r="Q163" s="8"/>
      <c r="R163" s="1185"/>
    </row>
    <row r="164" spans="1:18" x14ac:dyDescent="0.2">
      <c r="A164" s="1050"/>
      <c r="B164" s="1019"/>
      <c r="C164" s="1181"/>
      <c r="D164" s="1052"/>
      <c r="E164" s="1051"/>
      <c r="F164" s="1275"/>
      <c r="G164" s="1043"/>
      <c r="H164" s="1053"/>
      <c r="I164" s="1053"/>
      <c r="J164" s="1043"/>
      <c r="K164" s="1059"/>
      <c r="L164" s="1200"/>
      <c r="M164" s="1422"/>
      <c r="N164" s="1301"/>
      <c r="O164" s="1023"/>
      <c r="P164" s="1276"/>
      <c r="Q164" s="8"/>
      <c r="R164" s="686"/>
    </row>
    <row r="165" spans="1:18" x14ac:dyDescent="0.2">
      <c r="A165" s="1050"/>
      <c r="B165" s="1019"/>
      <c r="C165" s="1181"/>
      <c r="D165" s="1052"/>
      <c r="E165" s="1051"/>
      <c r="F165" s="1275"/>
      <c r="G165" s="1043"/>
      <c r="H165" s="1053"/>
      <c r="I165" s="1053"/>
      <c r="J165" s="1043"/>
      <c r="K165" s="1059"/>
      <c r="L165" s="1200"/>
      <c r="M165" s="1422"/>
      <c r="N165" s="1301"/>
      <c r="O165" s="1023"/>
      <c r="P165" s="1276"/>
      <c r="Q165" s="8"/>
      <c r="R165" s="686"/>
    </row>
    <row r="166" spans="1:18" x14ac:dyDescent="0.2">
      <c r="A166" s="1050"/>
      <c r="B166" s="1042"/>
      <c r="C166" s="1181"/>
      <c r="D166" s="1052"/>
      <c r="E166" s="1051"/>
      <c r="F166" s="1275"/>
      <c r="G166" s="1043"/>
      <c r="H166" s="1053"/>
      <c r="I166" s="1053"/>
      <c r="J166" s="1043"/>
      <c r="K166" s="1059"/>
      <c r="L166" s="1200"/>
      <c r="M166" s="1422"/>
      <c r="N166" s="1301"/>
      <c r="O166" s="1023"/>
      <c r="P166" s="1276"/>
      <c r="Q166" s="8"/>
      <c r="R166" s="1166"/>
    </row>
    <row r="167" spans="1:18" x14ac:dyDescent="0.2">
      <c r="A167" s="1050"/>
      <c r="B167" s="1019"/>
      <c r="C167" s="1181"/>
      <c r="D167" s="1052"/>
      <c r="E167" s="1051"/>
      <c r="F167" s="1275"/>
      <c r="G167" s="1043"/>
      <c r="H167" s="1053"/>
      <c r="I167" s="1053"/>
      <c r="J167" s="1043"/>
      <c r="K167" s="1059"/>
      <c r="L167" s="1200"/>
      <c r="M167" s="1422"/>
      <c r="N167" s="1301"/>
      <c r="O167" s="1023"/>
      <c r="P167" s="1276"/>
      <c r="Q167" s="8"/>
      <c r="R167" s="686"/>
    </row>
    <row r="168" spans="1:18" x14ac:dyDescent="0.2">
      <c r="A168" s="1050"/>
      <c r="B168" s="1231"/>
      <c r="C168" s="1221"/>
      <c r="D168" s="1052"/>
      <c r="E168" s="1051"/>
      <c r="F168" s="1275"/>
      <c r="G168" s="1043"/>
      <c r="H168" s="1053"/>
      <c r="I168" s="1053"/>
      <c r="J168" s="1043"/>
      <c r="K168" s="1059"/>
      <c r="L168" s="1200"/>
      <c r="M168" s="1422"/>
      <c r="N168" s="1301"/>
      <c r="O168" s="1023"/>
      <c r="P168" s="1276"/>
      <c r="Q168" s="8"/>
      <c r="R168" s="686"/>
    </row>
    <row r="169" spans="1:18" x14ac:dyDescent="0.2">
      <c r="A169" s="1050"/>
      <c r="B169" s="1019"/>
      <c r="C169" s="1181"/>
      <c r="D169" s="1052"/>
      <c r="E169" s="1051"/>
      <c r="F169" s="1275"/>
      <c r="G169" s="1043"/>
      <c r="H169" s="1053"/>
      <c r="I169" s="1053"/>
      <c r="J169" s="1043"/>
      <c r="K169" s="1059"/>
      <c r="L169" s="1200"/>
      <c r="M169" s="1422"/>
      <c r="N169" s="1301"/>
      <c r="O169" s="1023"/>
      <c r="P169" s="1276"/>
      <c r="Q169" s="8"/>
      <c r="R169" s="686"/>
    </row>
    <row r="170" spans="1:18" x14ac:dyDescent="0.2">
      <c r="A170" s="1050"/>
      <c r="B170" s="1019"/>
      <c r="C170" s="1181"/>
      <c r="D170" s="1052"/>
      <c r="E170" s="1051"/>
      <c r="F170" s="1275"/>
      <c r="G170" s="1043"/>
      <c r="H170" s="1053"/>
      <c r="I170" s="1053"/>
      <c r="J170" s="1043"/>
      <c r="K170" s="1059"/>
      <c r="L170" s="1200"/>
      <c r="M170" s="1422"/>
      <c r="N170" s="1301"/>
      <c r="O170" s="1023"/>
      <c r="P170" s="1276"/>
      <c r="Q170" s="8"/>
      <c r="R170" s="1192"/>
    </row>
    <row r="171" spans="1:18" x14ac:dyDescent="0.2">
      <c r="A171" s="1050"/>
      <c r="B171" s="1019"/>
      <c r="C171" s="1181"/>
      <c r="D171" s="1052"/>
      <c r="E171" s="1051"/>
      <c r="F171" s="1275"/>
      <c r="G171" s="1043"/>
      <c r="H171" s="1053"/>
      <c r="I171" s="1053"/>
      <c r="J171" s="1043"/>
      <c r="K171" s="1059"/>
      <c r="L171" s="1200"/>
      <c r="M171" s="1422"/>
      <c r="N171" s="1301"/>
      <c r="O171" s="1023"/>
      <c r="P171" s="1276"/>
      <c r="Q171" s="8"/>
      <c r="R171" s="686"/>
    </row>
    <row r="172" spans="1:18" x14ac:dyDescent="0.2">
      <c r="A172" s="1050"/>
      <c r="B172" s="1019"/>
      <c r="C172" s="1181"/>
      <c r="D172" s="1052"/>
      <c r="E172" s="1051"/>
      <c r="F172" s="1275"/>
      <c r="G172" s="1043"/>
      <c r="H172" s="1053"/>
      <c r="I172" s="1053"/>
      <c r="J172" s="1043"/>
      <c r="K172" s="1059"/>
      <c r="L172" s="1200"/>
      <c r="M172" s="1422"/>
      <c r="N172" s="1301"/>
      <c r="O172" s="1023"/>
      <c r="P172" s="1276"/>
      <c r="Q172" s="8"/>
      <c r="R172" s="1186"/>
    </row>
    <row r="173" spans="1:18" x14ac:dyDescent="0.2">
      <c r="A173" s="1050"/>
      <c r="B173" s="1019"/>
      <c r="C173" s="1181"/>
      <c r="D173" s="1052"/>
      <c r="E173" s="1051"/>
      <c r="F173" s="1275"/>
      <c r="G173" s="1043"/>
      <c r="H173" s="1053"/>
      <c r="I173" s="1053"/>
      <c r="J173" s="1043"/>
      <c r="K173" s="1059"/>
      <c r="L173" s="1200"/>
      <c r="M173" s="1422"/>
      <c r="N173" s="1301"/>
      <c r="O173" s="1023"/>
      <c r="P173" s="1276"/>
      <c r="Q173" s="8"/>
      <c r="R173" s="1166"/>
    </row>
    <row r="174" spans="1:18" x14ac:dyDescent="0.2">
      <c r="A174" s="1050"/>
      <c r="B174" s="1019"/>
      <c r="C174" s="1181"/>
      <c r="D174" s="1052"/>
      <c r="E174" s="1051"/>
      <c r="F174" s="1275"/>
      <c r="G174" s="1043"/>
      <c r="H174" s="1053"/>
      <c r="I174" s="1053"/>
      <c r="J174" s="1043"/>
      <c r="K174" s="1059"/>
      <c r="L174" s="1200"/>
      <c r="M174" s="1422"/>
      <c r="N174" s="1301"/>
      <c r="O174" s="1023"/>
      <c r="P174" s="1276"/>
      <c r="Q174" s="8"/>
      <c r="R174" s="1186"/>
    </row>
    <row r="175" spans="1:18" x14ac:dyDescent="0.2">
      <c r="A175" s="1050"/>
      <c r="B175" s="1019"/>
      <c r="C175" s="1181"/>
      <c r="D175" s="1052"/>
      <c r="E175" s="1051"/>
      <c r="F175" s="1275"/>
      <c r="G175" s="1043"/>
      <c r="H175" s="1053"/>
      <c r="I175" s="1053"/>
      <c r="J175" s="1043"/>
      <c r="K175" s="1059"/>
      <c r="L175" s="1200"/>
      <c r="M175" s="1422"/>
      <c r="N175" s="1301"/>
      <c r="O175" s="1023"/>
      <c r="P175" s="1276"/>
      <c r="Q175" s="8"/>
      <c r="R175" s="686"/>
    </row>
    <row r="176" spans="1:18" x14ac:dyDescent="0.2">
      <c r="A176" s="1050"/>
      <c r="B176" s="1019"/>
      <c r="C176" s="1181"/>
      <c r="D176" s="1052"/>
      <c r="E176" s="1051"/>
      <c r="F176" s="1275"/>
      <c r="G176" s="1043"/>
      <c r="H176" s="1053"/>
      <c r="I176" s="1053"/>
      <c r="J176" s="1043"/>
      <c r="K176" s="1059"/>
      <c r="L176" s="1200"/>
      <c r="M176" s="1422"/>
      <c r="N176" s="1301"/>
      <c r="O176" s="1023"/>
      <c r="P176" s="1276"/>
      <c r="Q176" s="8"/>
      <c r="R176" s="686"/>
    </row>
    <row r="177" spans="1:18" x14ac:dyDescent="0.2">
      <c r="A177" s="1050"/>
      <c r="B177" s="1019"/>
      <c r="C177" s="1181"/>
      <c r="D177" s="1052"/>
      <c r="E177" s="1051"/>
      <c r="F177" s="1275"/>
      <c r="G177" s="1043"/>
      <c r="H177" s="1053"/>
      <c r="I177" s="1053"/>
      <c r="J177" s="1043"/>
      <c r="K177" s="1059"/>
      <c r="L177" s="1200"/>
      <c r="M177" s="1422"/>
      <c r="N177" s="1301"/>
      <c r="O177" s="1023"/>
      <c r="P177" s="1276"/>
      <c r="Q177" s="8"/>
      <c r="R177" s="1186"/>
    </row>
    <row r="178" spans="1:18" x14ac:dyDescent="0.2">
      <c r="A178" s="1050"/>
      <c r="B178" s="1019"/>
      <c r="C178" s="1181"/>
      <c r="D178" s="1052"/>
      <c r="E178" s="1051"/>
      <c r="F178" s="1275"/>
      <c r="G178" s="1043"/>
      <c r="H178" s="1053"/>
      <c r="I178" s="1053"/>
      <c r="J178" s="1043"/>
      <c r="K178" s="1059"/>
      <c r="L178" s="1200"/>
      <c r="M178" s="1422"/>
      <c r="N178" s="1301"/>
      <c r="O178" s="1023"/>
      <c r="P178" s="1276"/>
      <c r="Q178" s="8"/>
      <c r="R178" s="1193"/>
    </row>
    <row r="179" spans="1:18" x14ac:dyDescent="0.2">
      <c r="A179" s="1050"/>
      <c r="B179" s="1019"/>
      <c r="C179" s="1181"/>
      <c r="D179" s="1052"/>
      <c r="E179" s="1051"/>
      <c r="F179" s="1275"/>
      <c r="G179" s="1043"/>
      <c r="H179" s="1053"/>
      <c r="I179" s="1053"/>
      <c r="J179" s="1043"/>
      <c r="K179" s="1059"/>
      <c r="L179" s="1200"/>
      <c r="M179" s="1422"/>
      <c r="N179" s="1301"/>
      <c r="O179" s="1023"/>
      <c r="P179" s="1276"/>
      <c r="Q179" s="8"/>
      <c r="R179" s="1186"/>
    </row>
    <row r="180" spans="1:18" x14ac:dyDescent="0.2">
      <c r="A180" s="1050"/>
      <c r="B180" s="1019"/>
      <c r="C180" s="1181"/>
      <c r="D180" s="1052"/>
      <c r="E180" s="1051"/>
      <c r="F180" s="1275"/>
      <c r="G180" s="1043"/>
      <c r="H180" s="1053"/>
      <c r="I180" s="1053"/>
      <c r="J180" s="1043"/>
      <c r="K180" s="1059"/>
      <c r="L180" s="1200"/>
      <c r="M180" s="1422"/>
      <c r="N180" s="1301"/>
      <c r="O180" s="1023"/>
      <c r="P180" s="1276"/>
      <c r="Q180" s="8"/>
      <c r="R180" s="1186"/>
    </row>
    <row r="181" spans="1:18" x14ac:dyDescent="0.2">
      <c r="A181" s="1050"/>
      <c r="B181" s="1019"/>
      <c r="C181" s="1181"/>
      <c r="D181" s="1052"/>
      <c r="E181" s="1051"/>
      <c r="F181" s="1275"/>
      <c r="G181" s="1043"/>
      <c r="H181" s="1053"/>
      <c r="I181" s="1053"/>
      <c r="J181" s="1043"/>
      <c r="K181" s="1059"/>
      <c r="L181" s="1200"/>
      <c r="M181" s="1422"/>
      <c r="N181" s="1301"/>
      <c r="O181" s="1023"/>
      <c r="P181" s="1276"/>
      <c r="Q181" s="8"/>
      <c r="R181" s="1186"/>
    </row>
    <row r="182" spans="1:18" x14ac:dyDescent="0.2">
      <c r="A182" s="1050"/>
      <c r="B182" s="1019"/>
      <c r="C182" s="1181"/>
      <c r="D182" s="1052"/>
      <c r="E182" s="1051"/>
      <c r="F182" s="1275"/>
      <c r="G182" s="1043"/>
      <c r="H182" s="1053"/>
      <c r="I182" s="1053"/>
      <c r="J182" s="1043"/>
      <c r="K182" s="1059"/>
      <c r="L182" s="1200"/>
      <c r="M182" s="1422"/>
      <c r="N182" s="1301"/>
      <c r="O182" s="1023"/>
      <c r="P182" s="1276"/>
      <c r="Q182" s="8"/>
      <c r="R182" s="1186"/>
    </row>
    <row r="183" spans="1:18" x14ac:dyDescent="0.2">
      <c r="A183" s="1050"/>
      <c r="B183" s="1019"/>
      <c r="C183" s="1181"/>
      <c r="D183" s="1052"/>
      <c r="E183" s="1051"/>
      <c r="F183" s="1275"/>
      <c r="G183" s="1043"/>
      <c r="H183" s="1053"/>
      <c r="I183" s="1053"/>
      <c r="J183" s="1043"/>
      <c r="K183" s="1059"/>
      <c r="L183" s="1200"/>
      <c r="M183" s="1422"/>
      <c r="N183" s="1301"/>
      <c r="O183" s="1023"/>
      <c r="P183" s="1276"/>
      <c r="Q183" s="8"/>
      <c r="R183" s="1166"/>
    </row>
    <row r="184" spans="1:18" x14ac:dyDescent="0.2">
      <c r="A184" s="1050"/>
      <c r="B184" s="1019"/>
      <c r="C184" s="1181"/>
      <c r="D184" s="1052"/>
      <c r="E184" s="1051"/>
      <c r="F184" s="1275"/>
      <c r="G184" s="1043"/>
      <c r="H184" s="1053"/>
      <c r="I184" s="1053"/>
      <c r="J184" s="1043"/>
      <c r="K184" s="1059"/>
      <c r="L184" s="1200"/>
      <c r="M184" s="1422"/>
      <c r="N184" s="1301"/>
      <c r="O184" s="1023"/>
      <c r="P184" s="1276"/>
      <c r="Q184" s="8"/>
      <c r="R184" s="1189"/>
    </row>
    <row r="185" spans="1:18" x14ac:dyDescent="0.2">
      <c r="A185" s="1050"/>
      <c r="B185" s="1019"/>
      <c r="C185" s="1181"/>
      <c r="D185" s="1052"/>
      <c r="E185" s="1051"/>
      <c r="F185" s="1275"/>
      <c r="G185" s="1043"/>
      <c r="H185" s="1053"/>
      <c r="I185" s="1053"/>
      <c r="J185" s="1043"/>
      <c r="K185" s="1059"/>
      <c r="L185" s="1200"/>
      <c r="M185" s="1422"/>
      <c r="N185" s="1301"/>
      <c r="O185" s="1023"/>
      <c r="P185" s="1276"/>
      <c r="Q185" s="8"/>
      <c r="R185" s="1166"/>
    </row>
    <row r="186" spans="1:18" x14ac:dyDescent="0.2">
      <c r="A186" s="1050"/>
      <c r="B186" s="1019"/>
      <c r="C186" s="1181"/>
      <c r="D186" s="1052"/>
      <c r="E186" s="1051"/>
      <c r="F186" s="1275"/>
      <c r="G186" s="1043"/>
      <c r="H186" s="1053"/>
      <c r="I186" s="1053"/>
      <c r="J186" s="1043"/>
      <c r="K186" s="1059"/>
      <c r="L186" s="1200"/>
      <c r="M186" s="1422"/>
      <c r="N186" s="1301"/>
      <c r="O186" s="1023"/>
      <c r="P186" s="1276"/>
      <c r="Q186" s="8"/>
      <c r="R186" s="686"/>
    </row>
    <row r="187" spans="1:18" x14ac:dyDescent="0.2">
      <c r="A187" s="1050"/>
      <c r="B187" s="1019"/>
      <c r="C187" s="1181"/>
      <c r="D187" s="1052"/>
      <c r="E187" s="1051"/>
      <c r="F187" s="1275"/>
      <c r="G187" s="1043"/>
      <c r="H187" s="1053"/>
      <c r="I187" s="1053"/>
      <c r="J187" s="1043"/>
      <c r="K187" s="1059"/>
      <c r="L187" s="1200"/>
      <c r="M187" s="1422"/>
      <c r="N187" s="1301"/>
      <c r="O187" s="1023"/>
      <c r="P187" s="1276"/>
      <c r="Q187" s="8"/>
      <c r="R187" s="351"/>
    </row>
    <row r="188" spans="1:18" x14ac:dyDescent="0.2">
      <c r="A188" s="1050"/>
      <c r="B188" s="1019"/>
      <c r="C188" s="1181"/>
      <c r="D188" s="1052"/>
      <c r="E188" s="1051"/>
      <c r="F188" s="1275"/>
      <c r="G188" s="1043"/>
      <c r="H188" s="1053"/>
      <c r="I188" s="1053"/>
      <c r="J188" s="1043"/>
      <c r="K188" s="1059"/>
      <c r="L188" s="1200"/>
      <c r="M188" s="1422"/>
      <c r="N188" s="1301"/>
      <c r="O188" s="1023"/>
      <c r="P188" s="1276"/>
      <c r="Q188" s="8"/>
      <c r="R188" s="1188"/>
    </row>
    <row r="189" spans="1:18" x14ac:dyDescent="0.2">
      <c r="A189" s="1433"/>
      <c r="B189" s="1434"/>
      <c r="C189" s="1435"/>
      <c r="D189" s="1427"/>
      <c r="E189" s="1428"/>
      <c r="F189" s="1429"/>
      <c r="G189" s="1074"/>
      <c r="H189" s="1219"/>
      <c r="I189" s="1219"/>
      <c r="J189" s="1074"/>
      <c r="K189" s="1430"/>
      <c r="L189" s="1436"/>
      <c r="M189" s="1437"/>
      <c r="N189" s="1406"/>
      <c r="O189" s="1431"/>
      <c r="P189" s="1432"/>
      <c r="Q189" s="8"/>
      <c r="R189" s="1163"/>
    </row>
    <row r="190" spans="1:18" x14ac:dyDescent="0.2">
      <c r="A190" s="1050"/>
      <c r="B190" s="1067"/>
      <c r="C190" s="1181"/>
      <c r="D190" s="1052"/>
      <c r="E190" s="1051"/>
      <c r="F190" s="1275"/>
      <c r="G190" s="1043"/>
      <c r="H190" s="1053"/>
      <c r="I190" s="1053"/>
      <c r="J190" s="1043"/>
      <c r="K190" s="1059"/>
      <c r="L190" s="1200"/>
      <c r="M190" s="1422"/>
      <c r="N190" s="1301"/>
      <c r="O190" s="1023"/>
      <c r="P190" s="1276"/>
      <c r="Q190" s="8"/>
      <c r="R190" s="1166"/>
    </row>
    <row r="191" spans="1:18" x14ac:dyDescent="0.2">
      <c r="A191" s="1050"/>
      <c r="B191" s="1019"/>
      <c r="C191" s="1181"/>
      <c r="D191" s="1052"/>
      <c r="E191" s="1051"/>
      <c r="F191" s="1275"/>
      <c r="G191" s="1043"/>
      <c r="H191" s="1053"/>
      <c r="I191" s="1053"/>
      <c r="J191" s="1043"/>
      <c r="K191" s="1059"/>
      <c r="L191" s="1200"/>
      <c r="M191" s="1422"/>
      <c r="N191" s="1301"/>
      <c r="O191" s="1023"/>
      <c r="P191" s="1276"/>
      <c r="Q191" s="8"/>
      <c r="R191" s="1186"/>
    </row>
    <row r="192" spans="1:18" x14ac:dyDescent="0.2">
      <c r="A192" s="1050"/>
      <c r="B192" s="1242"/>
      <c r="C192" s="1181"/>
      <c r="D192" s="1052"/>
      <c r="E192" s="1423"/>
      <c r="F192" s="1275"/>
      <c r="G192" s="1043"/>
      <c r="H192" s="1053"/>
      <c r="I192" s="1053"/>
      <c r="J192" s="1043"/>
      <c r="K192" s="1059"/>
      <c r="L192" s="1200"/>
      <c r="M192" s="1422"/>
      <c r="N192" s="1301"/>
      <c r="O192" s="1023"/>
      <c r="P192" s="1276"/>
      <c r="Q192" s="8"/>
      <c r="R192" s="1167"/>
    </row>
    <row r="193" spans="1:18" x14ac:dyDescent="0.2">
      <c r="A193" s="1050"/>
      <c r="B193" s="1019"/>
      <c r="C193" s="1181"/>
      <c r="D193" s="1052"/>
      <c r="E193" s="1051"/>
      <c r="F193" s="1275"/>
      <c r="G193" s="1043"/>
      <c r="H193" s="1053"/>
      <c r="I193" s="1053"/>
      <c r="J193" s="1043"/>
      <c r="K193" s="1059"/>
      <c r="L193" s="1200"/>
      <c r="M193" s="1422"/>
      <c r="N193" s="1301"/>
      <c r="O193" s="1023"/>
      <c r="P193" s="1276"/>
      <c r="Q193" s="8"/>
      <c r="R193" s="686"/>
    </row>
    <row r="194" spans="1:18" x14ac:dyDescent="0.2">
      <c r="A194" s="1050"/>
      <c r="B194" s="1019"/>
      <c r="C194" s="1181"/>
      <c r="D194" s="1052"/>
      <c r="E194" s="1051"/>
      <c r="F194" s="1275"/>
      <c r="G194" s="1043"/>
      <c r="H194" s="1053"/>
      <c r="I194" s="1053"/>
      <c r="J194" s="1043"/>
      <c r="K194" s="1059"/>
      <c r="L194" s="1200"/>
      <c r="M194" s="1422"/>
      <c r="N194" s="1301"/>
      <c r="O194" s="1023"/>
      <c r="P194" s="1276"/>
      <c r="Q194" s="8"/>
      <c r="R194" s="686"/>
    </row>
    <row r="195" spans="1:18" x14ac:dyDescent="0.2">
      <c r="A195" s="1050"/>
      <c r="B195" s="1019"/>
      <c r="C195" s="1181"/>
      <c r="D195" s="1052"/>
      <c r="E195" s="1051"/>
      <c r="F195" s="1275"/>
      <c r="G195" s="1043"/>
      <c r="H195" s="1053"/>
      <c r="I195" s="1053"/>
      <c r="J195" s="1043"/>
      <c r="K195" s="1059"/>
      <c r="L195" s="1200"/>
      <c r="M195" s="1422"/>
      <c r="N195" s="1301"/>
      <c r="O195" s="1023"/>
      <c r="P195" s="1276"/>
      <c r="Q195" s="8"/>
      <c r="R195" s="686"/>
    </row>
    <row r="196" spans="1:18" x14ac:dyDescent="0.2">
      <c r="A196" s="1050"/>
      <c r="B196" s="1019"/>
      <c r="C196" s="1181"/>
      <c r="D196" s="1052"/>
      <c r="E196" s="1051"/>
      <c r="F196" s="1275"/>
      <c r="G196" s="1043"/>
      <c r="H196" s="1053"/>
      <c r="I196" s="1053"/>
      <c r="J196" s="1043"/>
      <c r="K196" s="1059"/>
      <c r="L196" s="1200"/>
      <c r="M196" s="1422"/>
      <c r="N196" s="1301"/>
      <c r="O196" s="1023"/>
      <c r="P196" s="1276"/>
      <c r="Q196" s="8"/>
      <c r="R196" s="686"/>
    </row>
    <row r="197" spans="1:18" x14ac:dyDescent="0.2">
      <c r="A197" s="1050"/>
      <c r="B197" s="1019"/>
      <c r="C197" s="1181"/>
      <c r="D197" s="1052"/>
      <c r="E197" s="1051"/>
      <c r="F197" s="1275"/>
      <c r="G197" s="1043"/>
      <c r="H197" s="1053"/>
      <c r="I197" s="1053"/>
      <c r="J197" s="1043"/>
      <c r="K197" s="1059"/>
      <c r="L197" s="1200"/>
      <c r="M197" s="1422"/>
      <c r="N197" s="1301"/>
      <c r="O197" s="1023"/>
      <c r="P197" s="1276"/>
      <c r="Q197" s="8"/>
      <c r="R197" s="686"/>
    </row>
    <row r="198" spans="1:18" x14ac:dyDescent="0.2">
      <c r="A198" s="1050"/>
      <c r="B198" s="1019"/>
      <c r="C198" s="1181"/>
      <c r="D198" s="1052"/>
      <c r="E198" s="1051"/>
      <c r="F198" s="1275"/>
      <c r="G198" s="1043"/>
      <c r="H198" s="1053"/>
      <c r="I198" s="1053"/>
      <c r="J198" s="1043"/>
      <c r="K198" s="1059"/>
      <c r="L198" s="1200"/>
      <c r="M198" s="1422"/>
      <c r="N198" s="1301"/>
      <c r="O198" s="1023"/>
      <c r="P198" s="1276"/>
      <c r="Q198" s="8"/>
      <c r="R198" s="1186"/>
    </row>
    <row r="199" spans="1:18" x14ac:dyDescent="0.2">
      <c r="A199" s="1050"/>
      <c r="B199" s="1019"/>
      <c r="C199" s="1181"/>
      <c r="D199" s="1052"/>
      <c r="E199" s="1051"/>
      <c r="F199" s="1275"/>
      <c r="G199" s="1043"/>
      <c r="H199" s="1053"/>
      <c r="I199" s="1053"/>
      <c r="J199" s="1043"/>
      <c r="K199" s="1059"/>
      <c r="L199" s="1200"/>
      <c r="M199" s="1422"/>
      <c r="N199" s="1301"/>
      <c r="O199" s="1023"/>
      <c r="P199" s="1276"/>
      <c r="Q199" s="8"/>
      <c r="R199" s="1186"/>
    </row>
    <row r="200" spans="1:18" x14ac:dyDescent="0.2">
      <c r="A200" s="1050"/>
      <c r="B200" s="1019"/>
      <c r="C200" s="1181"/>
      <c r="D200" s="1052"/>
      <c r="E200" s="1051"/>
      <c r="F200" s="1275"/>
      <c r="G200" s="1043"/>
      <c r="H200" s="1053"/>
      <c r="I200" s="1053"/>
      <c r="J200" s="1043"/>
      <c r="K200" s="1059"/>
      <c r="L200" s="1200"/>
      <c r="M200" s="1422"/>
      <c r="N200" s="1301"/>
      <c r="O200" s="1023"/>
      <c r="P200" s="1276"/>
      <c r="Q200" s="8"/>
      <c r="R200" s="1186"/>
    </row>
    <row r="201" spans="1:18" x14ac:dyDescent="0.2">
      <c r="A201" s="1050"/>
      <c r="B201" s="1019"/>
      <c r="C201" s="1181"/>
      <c r="D201" s="1052"/>
      <c r="E201" s="1051"/>
      <c r="F201" s="1275"/>
      <c r="G201" s="1043"/>
      <c r="H201" s="1053"/>
      <c r="I201" s="1053"/>
      <c r="J201" s="1043"/>
      <c r="K201" s="1059"/>
      <c r="L201" s="1200"/>
      <c r="M201" s="1422"/>
      <c r="N201" s="1301"/>
      <c r="O201" s="1023"/>
      <c r="P201" s="1276"/>
      <c r="Q201" s="8"/>
      <c r="R201" s="686"/>
    </row>
    <row r="202" spans="1:18" x14ac:dyDescent="0.2">
      <c r="A202" s="1050"/>
      <c r="B202" s="1019"/>
      <c r="C202" s="1181"/>
      <c r="D202" s="1052"/>
      <c r="E202" s="1051"/>
      <c r="F202" s="1275"/>
      <c r="G202" s="1043"/>
      <c r="H202" s="1053"/>
      <c r="I202" s="1053"/>
      <c r="J202" s="1043"/>
      <c r="K202" s="1059"/>
      <c r="L202" s="1200"/>
      <c r="M202" s="1422"/>
      <c r="N202" s="1301"/>
      <c r="O202" s="1023"/>
      <c r="P202" s="1276"/>
      <c r="Q202" s="8"/>
      <c r="R202" s="686"/>
    </row>
    <row r="203" spans="1:18" x14ac:dyDescent="0.2">
      <c r="A203" s="1050"/>
      <c r="B203" s="1019"/>
      <c r="C203" s="1181"/>
      <c r="D203" s="1052"/>
      <c r="E203" s="1051"/>
      <c r="F203" s="1275"/>
      <c r="G203" s="1043"/>
      <c r="H203" s="1053"/>
      <c r="I203" s="1053"/>
      <c r="J203" s="1043"/>
      <c r="K203" s="1059"/>
      <c r="L203" s="1200"/>
      <c r="M203" s="1422"/>
      <c r="N203" s="1301"/>
      <c r="O203" s="1023"/>
      <c r="P203" s="1276"/>
      <c r="Q203" s="8"/>
      <c r="R203" s="686"/>
    </row>
    <row r="204" spans="1:18" x14ac:dyDescent="0.2">
      <c r="A204" s="1050"/>
      <c r="B204" s="1067"/>
      <c r="C204" s="1181"/>
      <c r="D204" s="1052"/>
      <c r="E204" s="1051"/>
      <c r="F204" s="1275"/>
      <c r="G204" s="1043"/>
      <c r="H204" s="1053"/>
      <c r="I204" s="1053"/>
      <c r="J204" s="1043"/>
      <c r="K204" s="1059"/>
      <c r="L204" s="1200"/>
      <c r="M204" s="1422"/>
      <c r="N204" s="1301"/>
      <c r="O204" s="1023"/>
      <c r="P204" s="1276"/>
      <c r="Q204" s="8"/>
      <c r="R204" s="1067"/>
    </row>
    <row r="205" spans="1:18" x14ac:dyDescent="0.2">
      <c r="A205" s="1050"/>
      <c r="B205" s="1019"/>
      <c r="C205" s="1181"/>
      <c r="D205" s="1052"/>
      <c r="E205" s="1051"/>
      <c r="F205" s="1275"/>
      <c r="G205" s="1043"/>
      <c r="H205" s="1053"/>
      <c r="I205" s="1053"/>
      <c r="J205" s="1043"/>
      <c r="K205" s="1059"/>
      <c r="L205" s="1200"/>
      <c r="M205" s="1422"/>
      <c r="N205" s="1301"/>
      <c r="O205" s="1023"/>
      <c r="P205" s="1276"/>
      <c r="Q205" s="8"/>
      <c r="R205" s="686"/>
    </row>
    <row r="206" spans="1:18" x14ac:dyDescent="0.2">
      <c r="A206" s="1050"/>
      <c r="B206" s="1434"/>
      <c r="C206" s="1435"/>
      <c r="D206" s="1427"/>
      <c r="E206" s="1428"/>
      <c r="F206" s="1429"/>
      <c r="G206" s="1074"/>
      <c r="H206" s="1219"/>
      <c r="I206" s="1219"/>
      <c r="J206" s="1074"/>
      <c r="K206" s="1430"/>
      <c r="L206" s="1436"/>
      <c r="M206" s="1437"/>
      <c r="N206" s="1406"/>
      <c r="O206" s="1431"/>
      <c r="P206" s="1432"/>
      <c r="Q206" s="8"/>
      <c r="R206" s="1163"/>
    </row>
    <row r="207" spans="1:18" x14ac:dyDescent="0.2">
      <c r="A207" s="1433"/>
      <c r="B207" s="1434"/>
      <c r="C207" s="1435"/>
      <c r="D207" s="1427"/>
      <c r="E207" s="1428"/>
      <c r="F207" s="1429"/>
      <c r="G207" s="1074"/>
      <c r="H207" s="1219"/>
      <c r="I207" s="1219"/>
      <c r="J207" s="1074"/>
      <c r="K207" s="1430"/>
      <c r="L207" s="1436"/>
      <c r="M207" s="1437"/>
      <c r="N207" s="1406"/>
      <c r="O207" s="1431"/>
      <c r="P207" s="1432"/>
      <c r="Q207" s="8"/>
      <c r="R207" s="1163"/>
    </row>
    <row r="208" spans="1:18" x14ac:dyDescent="0.2">
      <c r="A208" s="1050"/>
      <c r="B208" s="1042"/>
      <c r="C208" s="1181"/>
      <c r="D208" s="1052"/>
      <c r="E208" s="1051"/>
      <c r="F208" s="1275"/>
      <c r="G208" s="1043"/>
      <c r="H208" s="1053"/>
      <c r="I208" s="1053"/>
      <c r="J208" s="1043"/>
      <c r="K208" s="1059"/>
      <c r="L208" s="1200"/>
      <c r="M208" s="1422"/>
      <c r="N208" s="1301"/>
      <c r="O208" s="343"/>
      <c r="P208" s="1182"/>
      <c r="Q208" s="8"/>
      <c r="R208" s="686"/>
    </row>
    <row r="209" spans="1:18" x14ac:dyDescent="0.2">
      <c r="A209" s="1050"/>
      <c r="B209" s="1042"/>
      <c r="C209" s="1181"/>
      <c r="D209" s="1052"/>
      <c r="E209" s="1051"/>
      <c r="F209" s="1275"/>
      <c r="G209" s="1043"/>
      <c r="H209" s="1053"/>
      <c r="I209" s="1053"/>
      <c r="J209" s="1043"/>
      <c r="K209" s="1059"/>
      <c r="L209" s="1200"/>
      <c r="M209" s="1422"/>
      <c r="N209" s="1301"/>
      <c r="O209" s="343"/>
      <c r="P209" s="1182"/>
      <c r="Q209" s="8"/>
      <c r="R209" s="1189"/>
    </row>
    <row r="210" spans="1:18" x14ac:dyDescent="0.2">
      <c r="A210" s="1050"/>
      <c r="B210" s="1019"/>
      <c r="C210" s="1181"/>
      <c r="D210" s="1052"/>
      <c r="E210" s="1051"/>
      <c r="F210" s="1275"/>
      <c r="G210" s="1043"/>
      <c r="H210" s="1053"/>
      <c r="I210" s="1053"/>
      <c r="J210" s="1043"/>
      <c r="K210" s="1059"/>
      <c r="L210" s="1200"/>
      <c r="M210" s="1422"/>
      <c r="N210" s="1301"/>
      <c r="O210" s="343"/>
      <c r="P210" s="1182"/>
      <c r="Q210" s="8"/>
      <c r="R210" s="686"/>
    </row>
    <row r="211" spans="1:18" x14ac:dyDescent="0.2">
      <c r="A211" s="1050"/>
      <c r="B211" s="1019"/>
      <c r="C211" s="1181"/>
      <c r="D211" s="1052"/>
      <c r="E211" s="1051"/>
      <c r="F211" s="1275"/>
      <c r="G211" s="1043"/>
      <c r="H211" s="1053"/>
      <c r="I211" s="1053"/>
      <c r="J211" s="1043"/>
      <c r="K211" s="1059"/>
      <c r="L211" s="1200"/>
      <c r="M211" s="1422"/>
      <c r="N211" s="1301"/>
      <c r="O211" s="343"/>
      <c r="P211" s="1182"/>
      <c r="Q211" s="8"/>
      <c r="R211" s="1185"/>
    </row>
    <row r="212" spans="1:18" x14ac:dyDescent="0.2">
      <c r="A212" s="1050"/>
      <c r="B212" s="1245"/>
      <c r="C212" s="1181"/>
      <c r="D212" s="1052"/>
      <c r="E212" s="1423"/>
      <c r="F212" s="1275"/>
      <c r="G212" s="1043"/>
      <c r="H212" s="1053"/>
      <c r="I212" s="1053"/>
      <c r="J212" s="1043"/>
      <c r="K212" s="1059"/>
      <c r="L212" s="1200"/>
      <c r="M212" s="1422"/>
      <c r="N212" s="1301"/>
      <c r="O212" s="343"/>
      <c r="P212" s="1182"/>
      <c r="Q212" s="8"/>
      <c r="R212" s="686"/>
    </row>
    <row r="213" spans="1:18" x14ac:dyDescent="0.2">
      <c r="A213" s="1050"/>
      <c r="B213" s="1019"/>
      <c r="C213" s="1181"/>
      <c r="D213" s="1052"/>
      <c r="E213" s="1051"/>
      <c r="F213" s="1275"/>
      <c r="G213" s="1043"/>
      <c r="H213" s="1053"/>
      <c r="I213" s="1053"/>
      <c r="J213" s="1043"/>
      <c r="K213" s="1059"/>
      <c r="L213" s="1200"/>
      <c r="M213" s="1422"/>
      <c r="N213" s="1301"/>
      <c r="O213" s="343"/>
      <c r="P213" s="1182"/>
      <c r="Q213" s="8"/>
      <c r="R213" s="686"/>
    </row>
    <row r="214" spans="1:18" x14ac:dyDescent="0.2">
      <c r="A214" s="1050"/>
      <c r="B214" s="1019"/>
      <c r="C214" s="1181"/>
      <c r="D214" s="1052"/>
      <c r="E214" s="1051"/>
      <c r="F214" s="1275"/>
      <c r="G214" s="1043"/>
      <c r="H214" s="1053"/>
      <c r="I214" s="1053"/>
      <c r="J214" s="1043"/>
      <c r="K214" s="1059"/>
      <c r="L214" s="1200"/>
      <c r="M214" s="1422"/>
      <c r="N214" s="1301"/>
      <c r="O214" s="343"/>
      <c r="P214" s="1182"/>
      <c r="Q214" s="8"/>
      <c r="R214" s="686"/>
    </row>
    <row r="215" spans="1:18" x14ac:dyDescent="0.2">
      <c r="A215" s="1050"/>
      <c r="B215" s="1019"/>
      <c r="C215" s="1181"/>
      <c r="D215" s="1052"/>
      <c r="E215" s="1051"/>
      <c r="F215" s="1275"/>
      <c r="G215" s="1043"/>
      <c r="H215" s="1053"/>
      <c r="I215" s="1053"/>
      <c r="J215" s="1043"/>
      <c r="K215" s="1059"/>
      <c r="L215" s="1200"/>
      <c r="M215" s="1422"/>
      <c r="N215" s="1301"/>
      <c r="O215" s="343"/>
      <c r="P215" s="1182"/>
      <c r="Q215" s="8"/>
      <c r="R215" s="1166"/>
    </row>
    <row r="216" spans="1:18" x14ac:dyDescent="0.2">
      <c r="A216" s="1050"/>
      <c r="B216" s="1019"/>
      <c r="C216" s="1181"/>
      <c r="D216" s="1052"/>
      <c r="E216" s="1051"/>
      <c r="F216" s="1275"/>
      <c r="G216" s="1043"/>
      <c r="H216" s="1053"/>
      <c r="I216" s="1053"/>
      <c r="J216" s="1043"/>
      <c r="K216" s="1059"/>
      <c r="L216" s="1200"/>
      <c r="M216" s="1422"/>
      <c r="N216" s="1301"/>
      <c r="O216" s="343"/>
      <c r="P216" s="1182"/>
      <c r="Q216" s="8"/>
      <c r="R216" s="1194"/>
    </row>
    <row r="217" spans="1:18" x14ac:dyDescent="0.2">
      <c r="A217" s="1050"/>
      <c r="B217" s="1019"/>
      <c r="C217" s="1181"/>
      <c r="D217" s="1052"/>
      <c r="E217" s="1051"/>
      <c r="F217" s="1275"/>
      <c r="G217" s="1043"/>
      <c r="H217" s="1053"/>
      <c r="I217" s="1053"/>
      <c r="J217" s="1043"/>
      <c r="K217" s="1059"/>
      <c r="L217" s="1200"/>
      <c r="M217" s="1422"/>
      <c r="N217" s="1301"/>
      <c r="O217" s="343"/>
      <c r="P217" s="1182"/>
      <c r="Q217" s="8"/>
      <c r="R217" s="1194"/>
    </row>
    <row r="218" spans="1:18" x14ac:dyDescent="0.2">
      <c r="A218" s="1050"/>
      <c r="B218" s="1019"/>
      <c r="C218" s="1181"/>
      <c r="D218" s="1052"/>
      <c r="E218" s="1051"/>
      <c r="F218" s="1275"/>
      <c r="G218" s="1043"/>
      <c r="H218" s="1053"/>
      <c r="I218" s="1053"/>
      <c r="J218" s="1043"/>
      <c r="K218" s="1059"/>
      <c r="L218" s="1200"/>
      <c r="M218" s="1422"/>
      <c r="N218" s="1301"/>
      <c r="O218" s="343"/>
      <c r="P218" s="1182"/>
      <c r="Q218" s="8"/>
      <c r="R218" s="686"/>
    </row>
    <row r="219" spans="1:18" x14ac:dyDescent="0.2">
      <c r="A219" s="1050"/>
      <c r="B219" s="1019"/>
      <c r="C219" s="1181"/>
      <c r="D219" s="1052"/>
      <c r="E219" s="1051"/>
      <c r="F219" s="1275"/>
      <c r="G219" s="1043"/>
      <c r="H219" s="1053"/>
      <c r="I219" s="1053"/>
      <c r="J219" s="1043"/>
      <c r="K219" s="1059"/>
      <c r="L219" s="1200"/>
      <c r="M219" s="1422"/>
      <c r="N219" s="1301"/>
      <c r="O219" s="343"/>
      <c r="P219" s="1182"/>
      <c r="Q219" s="8"/>
      <c r="R219" s="1188"/>
    </row>
    <row r="220" spans="1:18" x14ac:dyDescent="0.2">
      <c r="A220" s="1050"/>
      <c r="B220" s="1019"/>
      <c r="C220" s="1181"/>
      <c r="D220" s="1052"/>
      <c r="E220" s="1051"/>
      <c r="F220" s="1275"/>
      <c r="G220" s="1043"/>
      <c r="H220" s="1053"/>
      <c r="I220" s="1053"/>
      <c r="J220" s="1043"/>
      <c r="K220" s="1059"/>
      <c r="L220" s="1200"/>
      <c r="M220" s="1422"/>
      <c r="N220" s="1301"/>
      <c r="O220" s="343"/>
      <c r="P220" s="1182"/>
      <c r="Q220" s="8"/>
      <c r="R220" s="1166"/>
    </row>
    <row r="221" spans="1:18" x14ac:dyDescent="0.2">
      <c r="A221" s="1050"/>
      <c r="B221" s="1019"/>
      <c r="C221" s="1181"/>
      <c r="D221" s="1052"/>
      <c r="E221" s="1051"/>
      <c r="F221" s="1275"/>
      <c r="G221" s="1043"/>
      <c r="H221" s="1053"/>
      <c r="I221" s="1053"/>
      <c r="J221" s="1043"/>
      <c r="K221" s="1059"/>
      <c r="L221" s="1200"/>
      <c r="M221" s="1422"/>
      <c r="N221" s="1301"/>
      <c r="O221" s="343"/>
      <c r="P221" s="1182"/>
      <c r="Q221" s="8"/>
      <c r="R221" s="1184"/>
    </row>
    <row r="222" spans="1:18" x14ac:dyDescent="0.2">
      <c r="A222" s="1050"/>
      <c r="B222" s="1019"/>
      <c r="C222" s="1181"/>
      <c r="D222" s="1052"/>
      <c r="E222" s="1051"/>
      <c r="F222" s="1275"/>
      <c r="G222" s="1043"/>
      <c r="H222" s="1053"/>
      <c r="I222" s="1053"/>
      <c r="J222" s="1043"/>
      <c r="K222" s="1059"/>
      <c r="L222" s="1200"/>
      <c r="M222" s="1422"/>
      <c r="N222" s="1301"/>
      <c r="O222" s="343"/>
      <c r="P222" s="1182"/>
      <c r="Q222" s="8"/>
      <c r="R222" s="686"/>
    </row>
    <row r="223" spans="1:18" x14ac:dyDescent="0.2">
      <c r="A223" s="1050"/>
      <c r="B223" s="1019"/>
      <c r="C223" s="1181"/>
      <c r="D223" s="1052"/>
      <c r="E223" s="1051"/>
      <c r="F223" s="1275"/>
      <c r="G223" s="1043"/>
      <c r="H223" s="1053"/>
      <c r="I223" s="1053"/>
      <c r="J223" s="1043"/>
      <c r="K223" s="1059"/>
      <c r="L223" s="1200"/>
      <c r="M223" s="1422"/>
      <c r="N223" s="1301"/>
      <c r="O223" s="343"/>
      <c r="P223" s="1182"/>
      <c r="Q223" s="8"/>
      <c r="R223" s="686"/>
    </row>
    <row r="224" spans="1:18" x14ac:dyDescent="0.2">
      <c r="A224" s="1050"/>
      <c r="B224" s="1019"/>
      <c r="C224" s="1181"/>
      <c r="D224" s="1052"/>
      <c r="E224" s="1051"/>
      <c r="F224" s="1275"/>
      <c r="G224" s="1043"/>
      <c r="H224" s="1053"/>
      <c r="I224" s="1053"/>
      <c r="J224" s="1043"/>
      <c r="K224" s="1059"/>
      <c r="L224" s="1200"/>
      <c r="M224" s="1422"/>
      <c r="N224" s="1301"/>
      <c r="O224" s="343"/>
      <c r="P224" s="1182"/>
      <c r="Q224" s="8"/>
      <c r="R224" s="686"/>
    </row>
    <row r="225" spans="1:18" x14ac:dyDescent="0.2">
      <c r="A225" s="1050"/>
      <c r="B225" s="1019"/>
      <c r="C225" s="1181"/>
      <c r="D225" s="1052"/>
      <c r="E225" s="1051"/>
      <c r="F225" s="1275"/>
      <c r="G225" s="1043"/>
      <c r="H225" s="1053"/>
      <c r="I225" s="1053"/>
      <c r="J225" s="1043"/>
      <c r="K225" s="1059"/>
      <c r="L225" s="1200"/>
      <c r="M225" s="1422"/>
      <c r="N225" s="1301"/>
      <c r="O225" s="343"/>
      <c r="P225" s="1182"/>
      <c r="Q225" s="8"/>
      <c r="R225" s="686"/>
    </row>
    <row r="226" spans="1:18" x14ac:dyDescent="0.2">
      <c r="A226" s="1050"/>
      <c r="B226" s="1019"/>
      <c r="C226" s="1181"/>
      <c r="D226" s="1052"/>
      <c r="E226" s="1051"/>
      <c r="F226" s="1275"/>
      <c r="G226" s="1043"/>
      <c r="H226" s="1053"/>
      <c r="I226" s="1053"/>
      <c r="J226" s="1043"/>
      <c r="K226" s="1059"/>
      <c r="L226" s="1200"/>
      <c r="M226" s="1422"/>
      <c r="N226" s="1301"/>
      <c r="O226" s="343"/>
      <c r="P226" s="1182"/>
      <c r="Q226" s="8"/>
      <c r="R226" s="686"/>
    </row>
    <row r="227" spans="1:18" x14ac:dyDescent="0.2">
      <c r="A227" s="1050"/>
      <c r="B227" s="1019"/>
      <c r="C227" s="1181"/>
      <c r="D227" s="1052"/>
      <c r="E227" s="1051"/>
      <c r="F227" s="1275"/>
      <c r="G227" s="1043"/>
      <c r="H227" s="1053"/>
      <c r="I227" s="1053"/>
      <c r="J227" s="1043"/>
      <c r="K227" s="1059"/>
      <c r="L227" s="1200"/>
      <c r="M227" s="1422"/>
      <c r="N227" s="1301"/>
      <c r="O227" s="343"/>
      <c r="P227" s="1182"/>
      <c r="Q227" s="8"/>
      <c r="R227" s="686"/>
    </row>
    <row r="228" spans="1:18" x14ac:dyDescent="0.2">
      <c r="A228" s="1050"/>
      <c r="B228" s="1019"/>
      <c r="C228" s="1181"/>
      <c r="D228" s="1052"/>
      <c r="E228" s="1051"/>
      <c r="F228" s="1275"/>
      <c r="G228" s="1043"/>
      <c r="H228" s="1053"/>
      <c r="I228" s="1053"/>
      <c r="J228" s="1043"/>
      <c r="K228" s="1059"/>
      <c r="L228" s="1200"/>
      <c r="M228" s="1422"/>
      <c r="N228" s="1301"/>
      <c r="O228" s="343"/>
      <c r="P228" s="1182"/>
      <c r="Q228" s="8"/>
      <c r="R228" s="686"/>
    </row>
    <row r="229" spans="1:18" x14ac:dyDescent="0.2">
      <c r="A229" s="1050"/>
      <c r="B229" s="1019"/>
      <c r="C229" s="1181"/>
      <c r="D229" s="1052"/>
      <c r="E229" s="1051"/>
      <c r="F229" s="1275"/>
      <c r="G229" s="1043"/>
      <c r="H229" s="1053"/>
      <c r="I229" s="1053"/>
      <c r="J229" s="1043"/>
      <c r="K229" s="1059"/>
      <c r="L229" s="1200"/>
      <c r="M229" s="1422"/>
      <c r="N229" s="1301"/>
      <c r="O229" s="343"/>
      <c r="P229" s="1182"/>
      <c r="Q229" s="8"/>
      <c r="R229" s="686"/>
    </row>
    <row r="230" spans="1:18" x14ac:dyDescent="0.2">
      <c r="A230" s="1050"/>
      <c r="B230" s="1019"/>
      <c r="C230" s="1181"/>
      <c r="D230" s="1052"/>
      <c r="E230" s="1051"/>
      <c r="F230" s="1275"/>
      <c r="G230" s="1043"/>
      <c r="H230" s="1053"/>
      <c r="I230" s="1053"/>
      <c r="J230" s="1043"/>
      <c r="K230" s="1059"/>
      <c r="L230" s="1200"/>
      <c r="M230" s="1422"/>
      <c r="N230" s="1301"/>
      <c r="O230" s="343"/>
      <c r="P230" s="1182"/>
      <c r="Q230" s="8"/>
      <c r="R230" s="686"/>
    </row>
    <row r="231" spans="1:18" x14ac:dyDescent="0.2">
      <c r="A231" s="1050"/>
      <c r="B231" s="1019"/>
      <c r="C231" s="1181"/>
      <c r="D231" s="1052"/>
      <c r="E231" s="1051"/>
      <c r="F231" s="1275"/>
      <c r="G231" s="1043"/>
      <c r="H231" s="1053"/>
      <c r="I231" s="1053"/>
      <c r="J231" s="1043"/>
      <c r="K231" s="1059"/>
      <c r="L231" s="1200"/>
      <c r="M231" s="1422"/>
      <c r="N231" s="1301"/>
      <c r="O231" s="343"/>
      <c r="P231" s="1182"/>
      <c r="Q231" s="8"/>
      <c r="R231" s="686"/>
    </row>
    <row r="232" spans="1:18" x14ac:dyDescent="0.2">
      <c r="A232" s="1050"/>
      <c r="B232" s="1019"/>
      <c r="C232" s="1181"/>
      <c r="D232" s="1052"/>
      <c r="E232" s="1051"/>
      <c r="F232" s="1275"/>
      <c r="G232" s="1043"/>
      <c r="H232" s="1053"/>
      <c r="I232" s="1053"/>
      <c r="J232" s="1043"/>
      <c r="K232" s="1059"/>
      <c r="L232" s="1200"/>
      <c r="M232" s="1422"/>
      <c r="N232" s="1301"/>
      <c r="O232" s="343"/>
      <c r="P232" s="1182"/>
      <c r="Q232" s="8"/>
      <c r="R232" s="686"/>
    </row>
    <row r="233" spans="1:18" x14ac:dyDescent="0.2">
      <c r="A233" s="1050"/>
      <c r="B233" s="1019"/>
      <c r="C233" s="1181"/>
      <c r="D233" s="1052"/>
      <c r="E233" s="1051"/>
      <c r="F233" s="1275"/>
      <c r="G233" s="1043"/>
      <c r="H233" s="1053"/>
      <c r="I233" s="1053"/>
      <c r="J233" s="1043"/>
      <c r="K233" s="1059"/>
      <c r="L233" s="1200"/>
      <c r="M233" s="1422"/>
      <c r="N233" s="1301"/>
      <c r="O233" s="343"/>
      <c r="P233" s="1182"/>
      <c r="Q233" s="8"/>
      <c r="R233" s="686"/>
    </row>
    <row r="234" spans="1:18" x14ac:dyDescent="0.2">
      <c r="A234" s="1050"/>
      <c r="B234" s="1019"/>
      <c r="C234" s="1181"/>
      <c r="D234" s="1052"/>
      <c r="E234" s="1051"/>
      <c r="F234" s="1275"/>
      <c r="G234" s="1043"/>
      <c r="H234" s="1053"/>
      <c r="I234" s="1053"/>
      <c r="J234" s="1043"/>
      <c r="K234" s="1059"/>
      <c r="L234" s="1200"/>
      <c r="M234" s="1422"/>
      <c r="N234" s="1301"/>
      <c r="O234" s="343"/>
      <c r="P234" s="1182"/>
      <c r="Q234" s="8"/>
      <c r="R234" s="1195"/>
    </row>
    <row r="235" spans="1:18" x14ac:dyDescent="0.2">
      <c r="A235" s="1050"/>
      <c r="B235" s="1019"/>
      <c r="C235" s="1181"/>
      <c r="D235" s="1052"/>
      <c r="E235" s="1051"/>
      <c r="F235" s="1275"/>
      <c r="G235" s="1043"/>
      <c r="H235" s="1053"/>
      <c r="I235" s="1053"/>
      <c r="J235" s="1043"/>
      <c r="K235" s="1059"/>
      <c r="L235" s="1200"/>
      <c r="M235" s="1422"/>
      <c r="N235" s="1301"/>
      <c r="O235" s="343"/>
      <c r="P235" s="1182"/>
      <c r="Q235" s="8"/>
      <c r="R235" s="686"/>
    </row>
    <row r="236" spans="1:18" x14ac:dyDescent="0.2">
      <c r="A236" s="1050"/>
      <c r="B236" s="1019"/>
      <c r="C236" s="1181"/>
      <c r="D236" s="1052"/>
      <c r="E236" s="1051"/>
      <c r="F236" s="1275"/>
      <c r="G236" s="1043"/>
      <c r="H236" s="1053"/>
      <c r="I236" s="1053"/>
      <c r="J236" s="1043"/>
      <c r="K236" s="1059"/>
      <c r="L236" s="1200"/>
      <c r="M236" s="1422"/>
      <c r="N236" s="1301"/>
      <c r="O236" s="343"/>
      <c r="P236" s="1182"/>
      <c r="Q236" s="8"/>
      <c r="R236" s="1169"/>
    </row>
    <row r="237" spans="1:18" x14ac:dyDescent="0.2">
      <c r="A237" s="1050"/>
      <c r="B237" s="1019"/>
      <c r="C237" s="1181"/>
      <c r="D237" s="1052"/>
      <c r="E237" s="1051"/>
      <c r="F237" s="1275"/>
      <c r="G237" s="1043"/>
      <c r="H237" s="1053"/>
      <c r="I237" s="1053"/>
      <c r="J237" s="1043"/>
      <c r="K237" s="1059"/>
      <c r="L237" s="1200"/>
      <c r="M237" s="1422"/>
      <c r="N237" s="1301"/>
      <c r="O237" s="343"/>
      <c r="P237" s="1182"/>
      <c r="Q237" s="8"/>
      <c r="R237" s="351"/>
    </row>
    <row r="238" spans="1:18" x14ac:dyDescent="0.2">
      <c r="A238" s="1050"/>
      <c r="B238" s="1019"/>
      <c r="C238" s="1181"/>
      <c r="D238" s="1052"/>
      <c r="E238" s="1051"/>
      <c r="F238" s="1275"/>
      <c r="G238" s="1043"/>
      <c r="H238" s="1053"/>
      <c r="I238" s="1053"/>
      <c r="J238" s="1043"/>
      <c r="K238" s="1059"/>
      <c r="L238" s="1200"/>
      <c r="M238" s="1422"/>
      <c r="N238" s="1301"/>
      <c r="O238" s="343"/>
      <c r="P238" s="1182"/>
      <c r="Q238" s="8"/>
      <c r="R238" s="1186"/>
    </row>
    <row r="239" spans="1:18" x14ac:dyDescent="0.2">
      <c r="A239" s="1050"/>
      <c r="B239" s="1019"/>
      <c r="C239" s="1181"/>
      <c r="D239" s="1052"/>
      <c r="E239" s="1051"/>
      <c r="F239" s="1275"/>
      <c r="G239" s="1043"/>
      <c r="H239" s="1053"/>
      <c r="I239" s="1053"/>
      <c r="J239" s="1043"/>
      <c r="K239" s="1059"/>
      <c r="L239" s="1200"/>
      <c r="M239" s="1422"/>
      <c r="N239" s="1301"/>
      <c r="O239" s="343"/>
      <c r="P239" s="1182"/>
      <c r="Q239" s="8"/>
      <c r="R239" s="1186"/>
    </row>
    <row r="240" spans="1:18" x14ac:dyDescent="0.2">
      <c r="A240" s="1050"/>
      <c r="B240" s="1019"/>
      <c r="C240" s="1181"/>
      <c r="D240" s="1052"/>
      <c r="E240" s="1051"/>
      <c r="F240" s="1275"/>
      <c r="G240" s="1043"/>
      <c r="H240" s="1053"/>
      <c r="I240" s="1053"/>
      <c r="J240" s="1043"/>
      <c r="K240" s="1059"/>
      <c r="L240" s="1200"/>
      <c r="M240" s="1422"/>
      <c r="N240" s="1301"/>
      <c r="O240" s="343"/>
      <c r="P240" s="1182"/>
      <c r="Q240" s="8"/>
      <c r="R240" s="1196"/>
    </row>
    <row r="241" spans="1:18" x14ac:dyDescent="0.2">
      <c r="A241" s="1050"/>
      <c r="B241" s="1019"/>
      <c r="C241" s="1181"/>
      <c r="D241" s="1052"/>
      <c r="E241" s="1051"/>
      <c r="F241" s="1275"/>
      <c r="G241" s="1043"/>
      <c r="H241" s="1053"/>
      <c r="I241" s="1053"/>
      <c r="J241" s="1043"/>
      <c r="K241" s="1059"/>
      <c r="L241" s="1200"/>
      <c r="M241" s="1422"/>
      <c r="N241" s="1301"/>
      <c r="O241" s="343"/>
      <c r="P241" s="1182"/>
      <c r="Q241" s="8"/>
      <c r="R241" s="686"/>
    </row>
    <row r="242" spans="1:18" x14ac:dyDescent="0.2">
      <c r="A242" s="1050"/>
      <c r="B242" s="1019"/>
      <c r="C242" s="1181"/>
      <c r="D242" s="1052"/>
      <c r="E242" s="1051"/>
      <c r="F242" s="1275"/>
      <c r="G242" s="1043"/>
      <c r="H242" s="1053"/>
      <c r="I242" s="1053"/>
      <c r="J242" s="1043"/>
      <c r="K242" s="1059"/>
      <c r="L242" s="1200"/>
      <c r="M242" s="1422"/>
      <c r="N242" s="1301"/>
      <c r="O242" s="343"/>
      <c r="P242" s="1182"/>
      <c r="Q242" s="8"/>
      <c r="R242" s="1189"/>
    </row>
    <row r="243" spans="1:18" x14ac:dyDescent="0.2">
      <c r="A243" s="1433"/>
      <c r="B243" s="1434"/>
      <c r="C243" s="1435"/>
      <c r="D243" s="1427"/>
      <c r="E243" s="1428"/>
      <c r="F243" s="1429"/>
      <c r="G243" s="1074"/>
      <c r="H243" s="1219"/>
      <c r="I243" s="1219"/>
      <c r="J243" s="1074"/>
      <c r="K243" s="1430"/>
      <c r="L243" s="1436"/>
      <c r="M243" s="1437"/>
      <c r="N243" s="1406"/>
      <c r="O243" s="1438"/>
      <c r="P243" s="1439"/>
      <c r="Q243" s="8"/>
      <c r="R243" s="1163"/>
    </row>
    <row r="244" spans="1:18" x14ac:dyDescent="0.2">
      <c r="A244" s="1433"/>
      <c r="B244" s="1434"/>
      <c r="C244" s="1435"/>
      <c r="D244" s="1427"/>
      <c r="E244" s="1428"/>
      <c r="F244" s="1429"/>
      <c r="G244" s="1074"/>
      <c r="H244" s="1219"/>
      <c r="I244" s="1219"/>
      <c r="J244" s="1074"/>
      <c r="K244" s="1430"/>
      <c r="L244" s="1436"/>
      <c r="M244" s="1437"/>
      <c r="N244" s="1406"/>
      <c r="O244" s="1438"/>
      <c r="P244" s="1439"/>
      <c r="Q244" s="8"/>
      <c r="R244" s="1163"/>
    </row>
    <row r="245" spans="1:18" x14ac:dyDescent="0.2">
      <c r="A245" s="1050"/>
      <c r="B245" s="1019"/>
      <c r="C245" s="1181"/>
      <c r="D245" s="1052"/>
      <c r="E245" s="1051"/>
      <c r="F245" s="1275"/>
      <c r="G245" s="1043"/>
      <c r="H245" s="1053"/>
      <c r="I245" s="1053"/>
      <c r="J245" s="1043"/>
      <c r="K245" s="1059"/>
      <c r="L245" s="1200"/>
      <c r="M245" s="1422"/>
      <c r="N245" s="1301"/>
      <c r="O245" s="343"/>
      <c r="P245" s="1182"/>
      <c r="Q245" s="8"/>
    </row>
    <row r="246" spans="1:18" x14ac:dyDescent="0.2">
      <c r="A246" s="1050"/>
      <c r="B246" s="1019"/>
      <c r="C246" s="1181"/>
      <c r="D246" s="1052"/>
      <c r="E246" s="1051"/>
      <c r="F246" s="1275"/>
      <c r="G246" s="1043"/>
      <c r="H246" s="1053"/>
      <c r="I246" s="1053"/>
      <c r="J246" s="1043"/>
      <c r="K246" s="1059"/>
      <c r="L246" s="1200"/>
      <c r="M246" s="1422"/>
      <c r="N246" s="1301"/>
      <c r="O246" s="343"/>
      <c r="P246" s="1182"/>
      <c r="Q246" s="8"/>
    </row>
    <row r="247" spans="1:18" x14ac:dyDescent="0.2">
      <c r="A247" s="1050"/>
      <c r="B247" s="1019"/>
      <c r="C247" s="1181"/>
      <c r="D247" s="1052"/>
      <c r="E247" s="1051"/>
      <c r="F247" s="1275"/>
      <c r="G247" s="1043"/>
      <c r="H247" s="1053"/>
      <c r="I247" s="1053"/>
      <c r="J247" s="1043"/>
      <c r="K247" s="1059"/>
      <c r="L247" s="1200"/>
      <c r="M247" s="1422"/>
      <c r="N247" s="1301"/>
      <c r="O247" s="343"/>
      <c r="P247" s="1182"/>
      <c r="Q247" s="8"/>
    </row>
    <row r="248" spans="1:18" x14ac:dyDescent="0.2">
      <c r="A248" s="1050"/>
      <c r="B248" s="1019"/>
      <c r="C248" s="1181"/>
      <c r="D248" s="1052"/>
      <c r="E248" s="1051"/>
      <c r="F248" s="1275"/>
      <c r="G248" s="1043"/>
      <c r="H248" s="1053"/>
      <c r="I248" s="1053"/>
      <c r="J248" s="1043"/>
      <c r="K248" s="1059"/>
      <c r="L248" s="1200"/>
      <c r="M248" s="1422"/>
      <c r="N248" s="1301"/>
      <c r="O248" s="343"/>
      <c r="P248" s="1182"/>
      <c r="Q248" s="8"/>
    </row>
    <row r="249" spans="1:18" x14ac:dyDescent="0.2">
      <c r="A249" s="1050"/>
      <c r="B249" s="1019"/>
      <c r="C249" s="1181"/>
      <c r="D249" s="1052"/>
      <c r="E249" s="1051"/>
      <c r="F249" s="1275"/>
      <c r="G249" s="1043"/>
      <c r="H249" s="1053"/>
      <c r="I249" s="1053"/>
      <c r="J249" s="1043"/>
      <c r="K249" s="1059"/>
      <c r="L249" s="1200"/>
      <c r="M249" s="1422"/>
      <c r="N249" s="1301"/>
      <c r="O249" s="343"/>
      <c r="P249" s="1182"/>
      <c r="Q249" s="8"/>
    </row>
    <row r="250" spans="1:18" x14ac:dyDescent="0.2">
      <c r="A250" s="1050"/>
      <c r="B250" s="1019"/>
      <c r="C250" s="1181"/>
      <c r="D250" s="1052"/>
      <c r="E250" s="1051"/>
      <c r="F250" s="1275"/>
      <c r="G250" s="1043"/>
      <c r="H250" s="1053"/>
      <c r="I250" s="1053"/>
      <c r="J250" s="1043"/>
      <c r="K250" s="1059"/>
      <c r="L250" s="1200"/>
      <c r="M250" s="1422"/>
      <c r="N250" s="1301"/>
      <c r="O250" s="343"/>
      <c r="P250" s="1182"/>
      <c r="Q250" s="8"/>
    </row>
    <row r="251" spans="1:18" x14ac:dyDescent="0.2">
      <c r="A251" s="1050"/>
      <c r="B251" s="1019"/>
      <c r="C251" s="1181"/>
      <c r="D251" s="1052"/>
      <c r="E251" s="1051"/>
      <c r="F251" s="1275"/>
      <c r="G251" s="1043"/>
      <c r="H251" s="1053"/>
      <c r="I251" s="1053"/>
      <c r="J251" s="1043"/>
      <c r="K251" s="1059"/>
      <c r="L251" s="1200"/>
      <c r="M251" s="1422"/>
      <c r="N251" s="1301"/>
      <c r="O251" s="343"/>
      <c r="P251" s="1182"/>
      <c r="Q251" s="8"/>
    </row>
    <row r="252" spans="1:18" x14ac:dyDescent="0.2">
      <c r="A252" s="1050"/>
      <c r="B252" s="1019"/>
      <c r="C252" s="1181"/>
      <c r="D252" s="1052"/>
      <c r="E252" s="1051"/>
      <c r="F252" s="1275"/>
      <c r="G252" s="1043"/>
      <c r="H252" s="1053"/>
      <c r="I252" s="1053"/>
      <c r="J252" s="1043"/>
      <c r="K252" s="1059"/>
      <c r="L252" s="1200"/>
      <c r="M252" s="1422"/>
      <c r="N252" s="1301"/>
      <c r="O252" s="343"/>
      <c r="P252" s="1182"/>
      <c r="Q252" s="8"/>
    </row>
    <row r="253" spans="1:18" x14ac:dyDescent="0.2">
      <c r="A253" s="1050"/>
      <c r="B253" s="1019"/>
      <c r="C253" s="1181"/>
      <c r="D253" s="1052"/>
      <c r="E253" s="1051"/>
      <c r="F253" s="1275"/>
      <c r="G253" s="1043"/>
      <c r="H253" s="1053"/>
      <c r="I253" s="1053"/>
      <c r="J253" s="1043"/>
      <c r="K253" s="1059"/>
      <c r="L253" s="1200"/>
      <c r="M253" s="1422"/>
      <c r="N253" s="1301"/>
      <c r="O253" s="343"/>
      <c r="P253" s="1182"/>
      <c r="Q253" s="8"/>
    </row>
    <row r="254" spans="1:18" x14ac:dyDescent="0.2">
      <c r="A254" s="1050"/>
      <c r="B254" s="1019"/>
      <c r="C254" s="1181"/>
      <c r="D254" s="1052"/>
      <c r="E254" s="1051"/>
      <c r="F254" s="1275"/>
      <c r="G254" s="1043"/>
      <c r="H254" s="1053"/>
      <c r="I254" s="1053"/>
      <c r="J254" s="1043"/>
      <c r="K254" s="1059"/>
      <c r="L254" s="1200"/>
      <c r="M254" s="1422"/>
      <c r="N254" s="1301"/>
      <c r="O254" s="343"/>
      <c r="P254" s="1182"/>
      <c r="Q254" s="8"/>
    </row>
    <row r="255" spans="1:18" x14ac:dyDescent="0.2">
      <c r="A255" s="1050"/>
      <c r="B255" s="1019"/>
      <c r="C255" s="1181"/>
      <c r="D255" s="1052"/>
      <c r="E255" s="1051"/>
      <c r="F255" s="1275"/>
      <c r="G255" s="1043"/>
      <c r="H255" s="1053"/>
      <c r="I255" s="1053"/>
      <c r="J255" s="1043"/>
      <c r="K255" s="1059"/>
      <c r="L255" s="1200"/>
      <c r="M255" s="1422"/>
      <c r="N255" s="1301"/>
      <c r="O255" s="343"/>
      <c r="P255" s="1182"/>
      <c r="Q255" s="8"/>
    </row>
    <row r="256" spans="1:18" x14ac:dyDescent="0.2">
      <c r="A256" s="1050"/>
      <c r="B256" s="1019"/>
      <c r="C256" s="1181"/>
      <c r="D256" s="1052"/>
      <c r="E256" s="1051"/>
      <c r="F256" s="1275"/>
      <c r="G256" s="1043"/>
      <c r="H256" s="1053"/>
      <c r="I256" s="1053"/>
      <c r="J256" s="1043"/>
      <c r="K256" s="1059"/>
      <c r="L256" s="1200"/>
      <c r="M256" s="1422"/>
      <c r="N256" s="1301"/>
      <c r="O256" s="343"/>
      <c r="P256" s="1182"/>
      <c r="Q256" s="8"/>
    </row>
    <row r="257" spans="1:17" x14ac:dyDescent="0.2">
      <c r="A257" s="1050"/>
      <c r="B257" s="1019"/>
      <c r="C257" s="1181"/>
      <c r="D257" s="1052"/>
      <c r="E257" s="1051"/>
      <c r="F257" s="1275"/>
      <c r="G257" s="1043"/>
      <c r="H257" s="1053"/>
      <c r="I257" s="1053"/>
      <c r="J257" s="1043"/>
      <c r="K257" s="1059"/>
      <c r="L257" s="1200"/>
      <c r="M257" s="1422"/>
      <c r="N257" s="1301"/>
      <c r="O257" s="343"/>
      <c r="P257" s="1182"/>
      <c r="Q257" s="8"/>
    </row>
    <row r="258" spans="1:17" x14ac:dyDescent="0.2">
      <c r="A258" s="1050"/>
      <c r="B258" s="1019"/>
      <c r="C258" s="1181"/>
      <c r="D258" s="1052"/>
      <c r="E258" s="1051"/>
      <c r="F258" s="1275"/>
      <c r="G258" s="1043"/>
      <c r="H258" s="1053"/>
      <c r="I258" s="1053"/>
      <c r="J258" s="1043"/>
      <c r="K258" s="1059"/>
      <c r="L258" s="1200"/>
      <c r="M258" s="1422"/>
      <c r="N258" s="1301"/>
      <c r="O258" s="343"/>
      <c r="P258" s="1182"/>
      <c r="Q258" s="8"/>
    </row>
    <row r="259" spans="1:17" x14ac:dyDescent="0.2">
      <c r="A259" s="1050"/>
      <c r="B259" s="1019"/>
      <c r="C259" s="1181"/>
      <c r="D259" s="1052"/>
      <c r="E259" s="1051"/>
      <c r="F259" s="1275"/>
      <c r="G259" s="1043"/>
      <c r="H259" s="1053"/>
      <c r="I259" s="1053"/>
      <c r="J259" s="1043"/>
      <c r="K259" s="1059"/>
      <c r="L259" s="1200"/>
      <c r="M259" s="1422"/>
      <c r="N259" s="1301"/>
      <c r="O259" s="343"/>
      <c r="P259" s="1182"/>
      <c r="Q259" s="8"/>
    </row>
    <row r="260" spans="1:17" x14ac:dyDescent="0.2">
      <c r="A260" s="1050"/>
      <c r="B260" s="1019"/>
      <c r="C260" s="1181"/>
      <c r="D260" s="1052"/>
      <c r="E260" s="1051"/>
      <c r="F260" s="1275"/>
      <c r="G260" s="1043"/>
      <c r="H260" s="1053"/>
      <c r="I260" s="1053"/>
      <c r="J260" s="1043"/>
      <c r="K260" s="1059"/>
      <c r="L260" s="1200"/>
      <c r="M260" s="1422"/>
      <c r="N260" s="1301"/>
      <c r="O260" s="343"/>
      <c r="P260" s="1182"/>
      <c r="Q260" s="8"/>
    </row>
    <row r="261" spans="1:17" x14ac:dyDescent="0.2">
      <c r="A261" s="1050"/>
      <c r="B261" s="1019"/>
      <c r="C261" s="1181"/>
      <c r="D261" s="1052"/>
      <c r="E261" s="1051"/>
      <c r="F261" s="1275"/>
      <c r="G261" s="1043"/>
      <c r="H261" s="1053"/>
      <c r="I261" s="1053"/>
      <c r="J261" s="1043"/>
      <c r="K261" s="1059"/>
      <c r="L261" s="1200"/>
      <c r="M261" s="1422"/>
      <c r="N261" s="1301"/>
      <c r="O261" s="343"/>
      <c r="P261" s="1182"/>
      <c r="Q261" s="8"/>
    </row>
    <row r="262" spans="1:17" x14ac:dyDescent="0.2">
      <c r="A262" s="1050"/>
      <c r="B262" s="1019"/>
      <c r="C262" s="1181"/>
      <c r="D262" s="1052"/>
      <c r="E262" s="1051"/>
      <c r="F262" s="1275"/>
      <c r="G262" s="1043"/>
      <c r="H262" s="1053"/>
      <c r="I262" s="1053"/>
      <c r="J262" s="1043"/>
      <c r="K262" s="1059"/>
      <c r="L262" s="1200"/>
      <c r="M262" s="1422"/>
      <c r="N262" s="1301"/>
      <c r="O262" s="343"/>
      <c r="P262" s="1182"/>
      <c r="Q262" s="8"/>
    </row>
    <row r="263" spans="1:17" x14ac:dyDescent="0.2">
      <c r="A263" s="1050"/>
      <c r="B263" s="1019"/>
      <c r="C263" s="1181"/>
      <c r="D263" s="1052"/>
      <c r="E263" s="1051"/>
      <c r="F263" s="1275"/>
      <c r="G263" s="1043"/>
      <c r="H263" s="1053"/>
      <c r="I263" s="1053"/>
      <c r="J263" s="1043"/>
      <c r="K263" s="1059"/>
      <c r="L263" s="1200"/>
      <c r="M263" s="1422"/>
      <c r="N263" s="1301"/>
      <c r="O263" s="343"/>
      <c r="P263" s="1182"/>
      <c r="Q263" s="8"/>
    </row>
    <row r="264" spans="1:17" x14ac:dyDescent="0.2">
      <c r="A264" s="1050"/>
      <c r="B264" s="1019"/>
      <c r="C264" s="1181"/>
      <c r="D264" s="1052"/>
      <c r="E264" s="1051"/>
      <c r="F264" s="1275"/>
      <c r="G264" s="1043"/>
      <c r="H264" s="1053"/>
      <c r="I264" s="1053"/>
      <c r="J264" s="1043"/>
      <c r="K264" s="1059"/>
      <c r="L264" s="1200"/>
      <c r="M264" s="1422"/>
      <c r="N264" s="1301"/>
      <c r="O264" s="343"/>
      <c r="P264" s="1182"/>
      <c r="Q264" s="8"/>
    </row>
    <row r="265" spans="1:17" x14ac:dyDescent="0.2">
      <c r="A265" s="1050"/>
      <c r="B265" s="1019"/>
      <c r="C265" s="1181"/>
      <c r="D265" s="1052"/>
      <c r="E265" s="1051"/>
      <c r="F265" s="1275"/>
      <c r="G265" s="1043"/>
      <c r="H265" s="1053"/>
      <c r="I265" s="1053"/>
      <c r="J265" s="1043"/>
      <c r="K265" s="1059"/>
      <c r="L265" s="1200"/>
      <c r="M265" s="1422"/>
      <c r="N265" s="1301"/>
      <c r="O265" s="343"/>
      <c r="P265" s="1182"/>
      <c r="Q265" s="8"/>
    </row>
    <row r="266" spans="1:17" x14ac:dyDescent="0.2">
      <c r="A266" s="1050"/>
      <c r="B266" s="1019"/>
      <c r="C266" s="1181"/>
      <c r="D266" s="1052"/>
      <c r="E266" s="1051"/>
      <c r="F266" s="1275"/>
      <c r="G266" s="1043"/>
      <c r="H266" s="1053"/>
      <c r="I266" s="1053"/>
      <c r="J266" s="1043"/>
      <c r="K266" s="1059"/>
      <c r="L266" s="1200"/>
      <c r="M266" s="1422"/>
      <c r="N266" s="1301"/>
      <c r="O266" s="343"/>
      <c r="P266" s="1182"/>
      <c r="Q266" s="8"/>
    </row>
    <row r="267" spans="1:17" ht="13.5" thickBot="1" x14ac:dyDescent="0.25">
      <c r="A267" s="387"/>
      <c r="B267" s="731"/>
      <c r="C267" s="1033"/>
      <c r="D267" s="1034"/>
      <c r="E267" s="765"/>
      <c r="F267" s="1203"/>
      <c r="G267" s="386"/>
      <c r="H267" s="510"/>
      <c r="I267" s="510"/>
      <c r="J267" s="386"/>
      <c r="K267" s="736"/>
      <c r="L267" s="1201"/>
      <c r="M267" s="1035"/>
      <c r="N267" s="1302"/>
      <c r="O267" s="623"/>
      <c r="P267" s="1425"/>
      <c r="Q267" s="8"/>
    </row>
    <row r="268" spans="1:17" x14ac:dyDescent="0.2">
      <c r="A268" s="255"/>
      <c r="B268" s="65"/>
      <c r="C268" s="65"/>
      <c r="D268" s="219"/>
      <c r="E268" s="219"/>
      <c r="F268" s="145"/>
      <c r="G268" s="65"/>
      <c r="H268" s="65"/>
      <c r="I268" s="65"/>
      <c r="J268" s="65"/>
      <c r="K268" s="65"/>
      <c r="L268" s="662"/>
      <c r="M268" s="65"/>
      <c r="N268" s="1303"/>
      <c r="Q268" s="8"/>
    </row>
  </sheetData>
  <mergeCells count="2">
    <mergeCell ref="L5:M5"/>
    <mergeCell ref="F5:K5"/>
  </mergeCells>
  <phoneticPr fontId="97" type="noConversion"/>
  <printOptions horizontalCentered="1"/>
  <pageMargins left="0.19685039370078741" right="0.19685039370078741" top="0.19685039370078741" bottom="0.19685039370078741" header="0" footer="0"/>
  <pageSetup scale="7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3BCA-C6CC-4487-B96B-950EB984F478}">
  <sheetPr codeName="Hoja7">
    <tabColor rgb="FFFFFF00"/>
  </sheetPr>
  <dimension ref="A1:AZ248"/>
  <sheetViews>
    <sheetView showGridLines="0" zoomScale="80" zoomScaleNormal="8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3" sqref="B13:B14"/>
    </sheetView>
  </sheetViews>
  <sheetFormatPr baseColWidth="10" defaultColWidth="11.5546875" defaultRowHeight="12.75" x14ac:dyDescent="0.2"/>
  <cols>
    <col min="1" max="1" width="8.6640625" style="289" customWidth="1"/>
    <col min="2" max="2" width="39.33203125" style="288" customWidth="1"/>
    <col min="3" max="3" width="11.5546875" style="288" customWidth="1"/>
    <col min="4" max="4" width="15.5546875" style="288" customWidth="1"/>
    <col min="5" max="5" width="4.5546875" style="288" customWidth="1"/>
    <col min="6" max="6" width="16.88671875" style="291" customWidth="1"/>
    <col min="7" max="7" width="12.33203125" style="1113" customWidth="1"/>
    <col min="8" max="8" width="15" style="291" customWidth="1"/>
    <col min="9" max="9" width="5.77734375" style="665" customWidth="1"/>
    <col min="10" max="10" width="12.6640625" style="145" customWidth="1"/>
    <col min="11" max="11" width="12.21875" style="352" customWidth="1"/>
    <col min="12" max="12" width="12.6640625" style="219" customWidth="1"/>
    <col min="13" max="13" width="14.109375" style="98" customWidth="1"/>
    <col min="14" max="14" width="12.77734375" style="662" customWidth="1"/>
    <col min="15" max="15" width="14" style="667" customWidth="1"/>
    <col min="16" max="16" width="12.33203125" style="668" customWidth="1"/>
    <col min="17" max="17" width="12.33203125" style="672" customWidth="1"/>
    <col min="18" max="18" width="11.5546875" style="65" customWidth="1"/>
    <col min="19" max="19" width="20.77734375" style="156" customWidth="1"/>
    <col min="20" max="20" width="5.77734375" style="65" customWidth="1"/>
    <col min="21" max="21" width="11.5546875" style="65" customWidth="1"/>
    <col min="22" max="22" width="11.5546875" style="196" customWidth="1"/>
    <col min="23" max="23" width="5.77734375" style="196" customWidth="1"/>
    <col min="24" max="24" width="11.5546875" style="145" customWidth="1"/>
    <col min="25" max="25" width="5.77734375" style="196" customWidth="1"/>
    <col min="26" max="26" width="12.77734375" style="145" customWidth="1"/>
    <col min="27" max="27" width="5.77734375" style="196" customWidth="1"/>
    <col min="28" max="28" width="11.5546875" style="145" customWidth="1"/>
    <col min="29" max="29" width="1.77734375" style="65" customWidth="1"/>
    <col min="30" max="30" width="5.77734375" style="65" customWidth="1"/>
    <col min="31" max="31" width="13.44140625" style="287" customWidth="1"/>
    <col min="32" max="32" width="5.77734375" style="287" customWidth="1"/>
    <col min="33" max="33" width="13.44140625" style="287" customWidth="1"/>
    <col min="34" max="34" width="5.77734375" style="287" customWidth="1"/>
    <col min="35" max="35" width="11.5546875" style="287" customWidth="1"/>
    <col min="36" max="36" width="5.77734375" style="287" customWidth="1"/>
    <col min="37" max="37" width="13.44140625" style="287" customWidth="1"/>
    <col min="38" max="39" width="13.44140625" style="287" bestFit="1" customWidth="1"/>
    <col min="40" max="40" width="17.44140625" style="287" customWidth="1"/>
    <col min="41" max="44" width="11.5546875" style="287" customWidth="1"/>
    <col min="45" max="45" width="12.5546875" style="287" customWidth="1"/>
    <col min="46" max="49" width="11.5546875" style="287" customWidth="1"/>
    <col min="50" max="50" width="1.77734375" style="287" customWidth="1"/>
    <col min="51" max="51" width="11.5546875" style="287"/>
    <col min="52" max="53" width="13" style="287" bestFit="1" customWidth="1"/>
    <col min="54" max="54" width="12.109375" style="287" bestFit="1" customWidth="1"/>
    <col min="55" max="16384" width="11.5546875" style="287"/>
  </cols>
  <sheetData>
    <row r="1" spans="1:52" ht="15" x14ac:dyDescent="0.2">
      <c r="A1" s="790"/>
      <c r="AC1" s="290"/>
      <c r="AX1" s="331"/>
    </row>
    <row r="2" spans="1:52" ht="15.75" thickBot="1" x14ac:dyDescent="0.25">
      <c r="A2" s="292" t="s">
        <v>258</v>
      </c>
      <c r="P2" s="669"/>
      <c r="Q2" s="673"/>
      <c r="AC2" s="290"/>
      <c r="AD2" s="148"/>
      <c r="AX2" s="331"/>
    </row>
    <row r="3" spans="1:52" ht="15" x14ac:dyDescent="0.2">
      <c r="A3" s="260" t="str">
        <f>+'Grupos Familiares'!$A$4</f>
        <v>AÑO  GRAVABLE 2024</v>
      </c>
      <c r="H3" s="1109" t="s">
        <v>142</v>
      </c>
      <c r="I3" s="1098"/>
      <c r="J3" s="1098"/>
      <c r="K3" s="1098"/>
      <c r="L3" s="1098"/>
      <c r="M3" s="1098"/>
      <c r="N3" s="1098"/>
      <c r="O3" s="1098"/>
      <c r="P3" s="1098"/>
      <c r="Q3" s="1098"/>
      <c r="R3" s="1098"/>
      <c r="S3" s="1098"/>
      <c r="T3" s="1098"/>
      <c r="U3" s="1099"/>
      <c r="V3" s="1110" t="s">
        <v>101</v>
      </c>
      <c r="W3" s="1111"/>
      <c r="X3" s="1111"/>
      <c r="Y3" s="1111"/>
      <c r="Z3" s="1111"/>
      <c r="AA3" s="1111"/>
      <c r="AB3" s="1112"/>
      <c r="AC3" s="290"/>
      <c r="AD3" s="390" t="s">
        <v>200</v>
      </c>
      <c r="AX3" s="331"/>
    </row>
    <row r="4" spans="1:52" ht="13.5" thickBot="1" x14ac:dyDescent="0.25">
      <c r="A4" s="697"/>
      <c r="B4" s="698"/>
      <c r="C4" s="698"/>
      <c r="D4" s="698"/>
      <c r="E4" s="698"/>
      <c r="F4" s="330"/>
      <c r="G4" s="665"/>
      <c r="H4" s="1100" t="s">
        <v>193</v>
      </c>
      <c r="I4" s="1101"/>
      <c r="J4" s="1394">
        <f>+Facturas!V5</f>
        <v>5.1999999999999998E-2</v>
      </c>
      <c r="L4" s="1395">
        <f>+J4</f>
        <v>5.1999999999999998E-2</v>
      </c>
      <c r="P4" s="1396">
        <f>+J4</f>
        <v>5.1999999999999998E-2</v>
      </c>
      <c r="R4" s="1397">
        <f>+J4</f>
        <v>5.1999999999999998E-2</v>
      </c>
      <c r="U4" s="1398">
        <f>+J4</f>
        <v>5.1999999999999998E-2</v>
      </c>
      <c r="V4" s="738"/>
      <c r="AB4" s="706"/>
      <c r="AC4" s="331"/>
      <c r="AD4" s="157"/>
      <c r="AE4" s="1097"/>
      <c r="AF4" s="65"/>
      <c r="AG4" s="1097"/>
      <c r="AH4" s="65"/>
      <c r="AI4" s="65"/>
      <c r="AJ4" s="157"/>
      <c r="AK4" s="1097"/>
      <c r="AL4" s="65"/>
      <c r="AM4" s="1097"/>
      <c r="AX4" s="331"/>
    </row>
    <row r="5" spans="1:52" s="339" customFormat="1" ht="32.25" thickBot="1" x14ac:dyDescent="0.25">
      <c r="A5" s="1312" t="s">
        <v>2</v>
      </c>
      <c r="B5" s="1313" t="s">
        <v>92</v>
      </c>
      <c r="C5" s="780" t="s">
        <v>111</v>
      </c>
      <c r="D5" s="779" t="s">
        <v>59</v>
      </c>
      <c r="E5" s="780" t="s">
        <v>86</v>
      </c>
      <c r="F5" s="1266" t="s">
        <v>93</v>
      </c>
      <c r="G5" s="1314" t="s">
        <v>202</v>
      </c>
      <c r="H5" s="1315" t="s">
        <v>201</v>
      </c>
      <c r="I5" s="1316" t="s">
        <v>96</v>
      </c>
      <c r="J5" s="1316" t="s">
        <v>99</v>
      </c>
      <c r="K5" s="1317" t="s">
        <v>96</v>
      </c>
      <c r="L5" s="1317" t="s">
        <v>100</v>
      </c>
      <c r="M5" s="1318" t="s">
        <v>117</v>
      </c>
      <c r="N5" s="1318" t="s">
        <v>97</v>
      </c>
      <c r="O5" s="1319" t="s">
        <v>117</v>
      </c>
      <c r="P5" s="1319" t="s">
        <v>118</v>
      </c>
      <c r="Q5" s="1320" t="s">
        <v>120</v>
      </c>
      <c r="R5" s="220" t="s">
        <v>108</v>
      </c>
      <c r="S5" s="220" t="s">
        <v>109</v>
      </c>
      <c r="T5" s="1317" t="s">
        <v>96</v>
      </c>
      <c r="U5" s="1321" t="s">
        <v>95</v>
      </c>
      <c r="V5" s="1322" t="s">
        <v>107</v>
      </c>
      <c r="W5" s="1316" t="s">
        <v>96</v>
      </c>
      <c r="X5" s="1316" t="s">
        <v>141</v>
      </c>
      <c r="Y5" s="1316" t="s">
        <v>96</v>
      </c>
      <c r="Z5" s="1316" t="s">
        <v>140</v>
      </c>
      <c r="AA5" s="1316" t="s">
        <v>96</v>
      </c>
      <c r="AB5" s="1323" t="s">
        <v>145</v>
      </c>
      <c r="AC5" s="290"/>
      <c r="AD5" s="372" t="s">
        <v>96</v>
      </c>
      <c r="AE5" s="372" t="s">
        <v>99</v>
      </c>
      <c r="AF5" s="372" t="s">
        <v>96</v>
      </c>
      <c r="AG5" s="372" t="s">
        <v>100</v>
      </c>
      <c r="AH5" s="372" t="s">
        <v>96</v>
      </c>
      <c r="AI5" s="372" t="s">
        <v>97</v>
      </c>
      <c r="AJ5" s="372" t="s">
        <v>117</v>
      </c>
      <c r="AK5" s="372" t="s">
        <v>118</v>
      </c>
      <c r="AL5" s="372" t="s">
        <v>120</v>
      </c>
      <c r="AM5" s="372" t="s">
        <v>108</v>
      </c>
      <c r="AN5" s="373" t="s">
        <v>109</v>
      </c>
      <c r="AO5" s="372" t="s">
        <v>96</v>
      </c>
      <c r="AP5" s="372" t="s">
        <v>95</v>
      </c>
      <c r="AQ5" s="374" t="s">
        <v>107</v>
      </c>
      <c r="AR5" s="374" t="s">
        <v>96</v>
      </c>
      <c r="AS5" s="374" t="s">
        <v>106</v>
      </c>
      <c r="AT5" s="374" t="s">
        <v>96</v>
      </c>
      <c r="AU5" s="374" t="s">
        <v>104</v>
      </c>
      <c r="AV5" s="374" t="s">
        <v>96</v>
      </c>
      <c r="AW5" s="374" t="s">
        <v>105</v>
      </c>
      <c r="AX5" s="331"/>
    </row>
    <row r="6" spans="1:52" x14ac:dyDescent="0.2">
      <c r="A6" s="708"/>
      <c r="B6" s="699"/>
      <c r="C6" s="699"/>
      <c r="D6" s="699"/>
      <c r="E6" s="1269"/>
      <c r="F6" s="709"/>
      <c r="G6" s="1114"/>
      <c r="H6" s="1102"/>
      <c r="I6" s="1103"/>
      <c r="U6" s="218"/>
      <c r="V6" s="738"/>
      <c r="AB6" s="706"/>
      <c r="AC6" s="331"/>
      <c r="AD6" s="157"/>
      <c r="AE6" s="219"/>
      <c r="AF6" s="65"/>
      <c r="AG6" s="65"/>
      <c r="AH6" s="65"/>
      <c r="AI6" s="65"/>
      <c r="AJ6" s="157"/>
      <c r="AK6" s="65"/>
      <c r="AL6" s="65"/>
      <c r="AM6" s="65"/>
      <c r="AN6" s="156"/>
      <c r="AO6" s="65"/>
      <c r="AP6" s="65"/>
      <c r="AQ6" s="145"/>
      <c r="AR6" s="145"/>
      <c r="AS6" s="145"/>
      <c r="AT6" s="145"/>
      <c r="AU6" s="145"/>
      <c r="AV6" s="145"/>
      <c r="AW6" s="145"/>
      <c r="AX6" s="331"/>
    </row>
    <row r="7" spans="1:52" x14ac:dyDescent="0.2">
      <c r="A7" s="1050">
        <v>1</v>
      </c>
      <c r="B7" s="1493" t="s">
        <v>271</v>
      </c>
      <c r="C7" s="1051">
        <f>_xlfn.XLOOKUP(B7,Códigos!$B$8:$B$406,Códigos!$A$8:$A$406,"Verificar",0)</f>
        <v>41</v>
      </c>
      <c r="D7" s="1040">
        <f>_xlfn.XLOOKUP(B7,'Consolidado Cobros'!$B$10:$B$268,'Consolidado Cobros'!$C$10:$C$268,"Verificar",0)</f>
        <v>22126399</v>
      </c>
      <c r="E7" s="1270">
        <f t="shared" ref="E7" si="0">IF(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=0,0,IF(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=1,1,11-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))</f>
        <v>5</v>
      </c>
      <c r="F7" s="1267">
        <f>+IF(H7&gt;0,H7,0)</f>
        <v>0</v>
      </c>
      <c r="G7" s="1115">
        <f>+IF(V7&gt;0,V7,0)</f>
        <v>0</v>
      </c>
      <c r="H7" s="1104">
        <f>+J7+L7+N7+P7+Q7+R7+U7</f>
        <v>0</v>
      </c>
      <c r="I7" s="1046"/>
      <c r="J7" s="377">
        <f t="shared" ref="J7:J14" si="1">+(AE7/AD7*(100%+$J$4))*I7</f>
        <v>0</v>
      </c>
      <c r="K7" s="701"/>
      <c r="L7" s="482">
        <f t="shared" ref="L7" si="2">+(AG7/AF7*(100%+$J$4))*K7</f>
        <v>0</v>
      </c>
      <c r="M7" s="851"/>
      <c r="N7" s="663">
        <v>0</v>
      </c>
      <c r="O7" s="651"/>
      <c r="P7" s="1008">
        <f t="shared" ref="P7" si="3">ROUND(IF(O7="SI",AK7*(100%+$P$4),0),-4)</f>
        <v>0</v>
      </c>
      <c r="Q7" s="1009">
        <v>0</v>
      </c>
      <c r="R7" s="375">
        <v>0</v>
      </c>
      <c r="S7" s="376"/>
      <c r="T7" s="375"/>
      <c r="U7" s="625"/>
      <c r="V7" s="560">
        <f t="shared" ref="V7" si="4">+X7+Z7+AB7</f>
        <v>0</v>
      </c>
      <c r="W7" s="606"/>
      <c r="X7" s="377"/>
      <c r="Y7" s="606"/>
      <c r="Z7" s="377"/>
      <c r="AA7" s="606"/>
      <c r="AB7" s="707"/>
      <c r="AC7" s="331"/>
      <c r="AD7" s="377">
        <f>SUMIF('Asesorías AG anterior'!$B$7:$B$236,B7,'Asesorías AG anterior'!$I$7:$I$236)</f>
        <v>1E-3</v>
      </c>
      <c r="AE7" s="377">
        <f>SUMIF('Asesorías AG anterior'!$B$7:$B$236,B7,'Asesorías AG anterior'!$J$7:$J$236)</f>
        <v>0</v>
      </c>
      <c r="AF7" s="377">
        <f>SUMIF('Asesorías AG anterior'!$B$7:$B$236,B7,'Asesorías AG anterior'!$K$7:$K$236)</f>
        <v>1E-3</v>
      </c>
      <c r="AG7" s="377">
        <f>SUMIF('Asesorías AG anterior'!$B$7:$B$236,B7,'Asesorías AG anterior'!$L$7:$L$236)</f>
        <v>0</v>
      </c>
      <c r="AH7" s="377">
        <f>SUMIF('Asesorías AG anterior'!$B$7:$B$236,B7,'Asesorías AG anterior'!$M$7:$M$236)</f>
        <v>0</v>
      </c>
      <c r="AI7" s="377">
        <f>SUMIF('Asesorías AG anterior'!$B$7:$B$236,B7,'Asesorías AG anterior'!$N$7:$N$236)</f>
        <v>0</v>
      </c>
      <c r="AJ7" s="377">
        <f>SUMIF('Asesorías AG anterior'!$B$7:$B$236,B7,'Asesorías AG anterior'!$O$7:$O$236)</f>
        <v>1E-3</v>
      </c>
      <c r="AK7" s="377">
        <f>SUMIF('Asesorías AG anterior'!$B$7:$B$236,B7,'Asesorías AG anterior'!$P$7:$P$236)</f>
        <v>0</v>
      </c>
      <c r="AL7" s="377">
        <f>SUMIF('Asesorías AG anterior'!$B$7:$B$236,B7,'Asesorías AG anterior'!$Q$7:$Q$236)</f>
        <v>0</v>
      </c>
      <c r="AM7" s="377">
        <f>SUMIF('Asesorías AG anterior'!$B$7:$B$236,B7,'Asesorías AG anterior'!$R$7:$R$236)</f>
        <v>0</v>
      </c>
      <c r="AN7" s="377"/>
      <c r="AO7" s="377">
        <f>SUMIF('Asesorías AG anterior'!$B$7:$B$236,B7,'Asesorías AG anterior'!$T$7:$T$236)</f>
        <v>0</v>
      </c>
      <c r="AP7" s="377">
        <f>SUMIF('Asesorías AG anterior'!$B$7:$B$236,B7,'Asesorías AG anterior'!$U$7:$U$236)</f>
        <v>0</v>
      </c>
      <c r="AQ7" s="377">
        <f>SUMIF('Asesorías AG anterior'!$B$7:$B$236,B7,'Asesorías AG anterior'!$V$7:$V$236)</f>
        <v>0</v>
      </c>
      <c r="AR7" s="377">
        <f>SUMIF('Asesorías AG anterior'!$B$7:$B$236,B7,'Asesorías AG anterior'!$W$7:$W$236)</f>
        <v>0</v>
      </c>
      <c r="AS7" s="377">
        <f>SUMIF('Asesorías AG anterior'!$B$7:$B$236,B7,'Asesorías AG anterior'!$X$7:$X$236)</f>
        <v>0</v>
      </c>
      <c r="AT7" s="377">
        <f>SUMIF('Asesorías AG anterior'!$B$7:$B$236,B7,'Asesorías AG anterior'!$Y$7:$Y$236)</f>
        <v>0</v>
      </c>
      <c r="AU7" s="377">
        <f>SUMIF('Asesorías AG anterior'!$B$7:$B$236,B7,'Asesorías AG anterior'!$Z$7:$Z$236)</f>
        <v>0</v>
      </c>
      <c r="AV7" s="377">
        <f>SUMIF('Asesorías AG anterior'!$B$7:$B$236,B7,'Asesorías AG anterior'!$AA$7:$AA$236)</f>
        <v>0</v>
      </c>
      <c r="AW7" s="377">
        <f>SUMIF('Asesorías AG anterior'!$B$7:$B$236,B7,'Asesorías AG anterior'!$AB$7:$AB$236)</f>
        <v>0</v>
      </c>
      <c r="AX7" s="331"/>
    </row>
    <row r="8" spans="1:52" x14ac:dyDescent="0.2">
      <c r="A8" s="1050">
        <f>+A7+1</f>
        <v>2</v>
      </c>
      <c r="B8" s="1493" t="s">
        <v>281</v>
      </c>
      <c r="C8" s="1051">
        <f>_xlfn.XLOOKUP(B8,Códigos!$B$8:$B$406,Códigos!$A$8:$A$406,"Verificar",0)</f>
        <v>346</v>
      </c>
      <c r="D8" s="1040">
        <f>_xlfn.XLOOKUP(B8,'Consolidado Cobros'!$B$10:$B$268,'Consolidado Cobros'!$C$10:$C$268,"Verificar",0)</f>
        <v>71581755</v>
      </c>
      <c r="E8" s="1270">
        <f t="shared" ref="E8:E14" si="5">IF(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=0,0,IF(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=1,1,11-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))</f>
        <v>2</v>
      </c>
      <c r="F8" s="1267">
        <f t="shared" ref="F8:F14" si="6">+IF(H8&gt;0,H8,0)</f>
        <v>0</v>
      </c>
      <c r="G8" s="1115">
        <f t="shared" ref="G8:G14" si="7">+IF(V8&gt;0,V8,0)</f>
        <v>0</v>
      </c>
      <c r="H8" s="1104">
        <f t="shared" ref="H8:H14" si="8">+J8+L8+N8+P8+Q8+R8+U8</f>
        <v>0</v>
      </c>
      <c r="I8" s="1046"/>
      <c r="J8" s="377">
        <f t="shared" si="1"/>
        <v>0</v>
      </c>
      <c r="K8" s="701"/>
      <c r="L8" s="482">
        <f t="shared" ref="L8:L14" si="9">+(AG8/AF8*(100%+$J$4))*K8</f>
        <v>0</v>
      </c>
      <c r="M8" s="851"/>
      <c r="N8" s="663">
        <v>0</v>
      </c>
      <c r="O8" s="651"/>
      <c r="P8" s="1008">
        <f t="shared" ref="P8:P14" si="10">ROUND(IF(O8="SI",AK8*(100%+$P$4),0),-4)</f>
        <v>0</v>
      </c>
      <c r="Q8" s="1009">
        <v>0</v>
      </c>
      <c r="R8" s="375">
        <v>0</v>
      </c>
      <c r="S8" s="376"/>
      <c r="T8" s="375"/>
      <c r="U8" s="625"/>
      <c r="V8" s="560">
        <f t="shared" ref="V8:V14" si="11">+X8+Z8+AB8</f>
        <v>0</v>
      </c>
      <c r="W8" s="606"/>
      <c r="X8" s="377"/>
      <c r="Y8" s="606"/>
      <c r="Z8" s="377"/>
      <c r="AA8" s="606"/>
      <c r="AB8" s="707"/>
      <c r="AC8" s="331"/>
      <c r="AD8" s="377">
        <f>SUMIF('Asesorías AG anterior'!$B$7:$B$236,B8,'Asesorías AG anterior'!$I$7:$I$236)</f>
        <v>1E-3</v>
      </c>
      <c r="AE8" s="377">
        <f>SUMIF('Asesorías AG anterior'!$B$7:$B$236,B8,'Asesorías AG anterior'!$J$7:$J$236)</f>
        <v>0</v>
      </c>
      <c r="AF8" s="377">
        <f>SUMIF('Asesorías AG anterior'!$B$7:$B$236,B8,'Asesorías AG anterior'!$K$7:$K$236)</f>
        <v>1E-3</v>
      </c>
      <c r="AG8" s="377">
        <f>SUMIF('Asesorías AG anterior'!$B$7:$B$236,B8,'Asesorías AG anterior'!$L$7:$L$236)</f>
        <v>0</v>
      </c>
      <c r="AH8" s="377">
        <f>SUMIF('Asesorías AG anterior'!$B$7:$B$236,B8,'Asesorías AG anterior'!$M$7:$M$236)</f>
        <v>0</v>
      </c>
      <c r="AI8" s="377">
        <f>SUMIF('Asesorías AG anterior'!$B$7:$B$236,B8,'Asesorías AG anterior'!$N$7:$N$236)</f>
        <v>0</v>
      </c>
      <c r="AJ8" s="377">
        <f>SUMIF('Asesorías AG anterior'!$B$7:$B$236,B8,'Asesorías AG anterior'!$O$7:$O$236)</f>
        <v>1E-3</v>
      </c>
      <c r="AK8" s="377">
        <f>SUMIF('Asesorías AG anterior'!$B$7:$B$236,B8,'Asesorías AG anterior'!$P$7:$P$236)</f>
        <v>0</v>
      </c>
      <c r="AL8" s="377">
        <f>SUMIF('Asesorías AG anterior'!$B$7:$B$236,B8,'Asesorías AG anterior'!$Q$7:$Q$236)</f>
        <v>0</v>
      </c>
      <c r="AM8" s="377">
        <f>SUMIF('Asesorías AG anterior'!$B$7:$B$236,B8,'Asesorías AG anterior'!$R$7:$R$236)</f>
        <v>0</v>
      </c>
      <c r="AN8" s="377"/>
      <c r="AO8" s="377">
        <f>SUMIF('Asesorías AG anterior'!$B$7:$B$236,B8,'Asesorías AG anterior'!$T$7:$T$236)</f>
        <v>0</v>
      </c>
      <c r="AP8" s="377">
        <f>SUMIF('Asesorías AG anterior'!$B$7:$B$236,B8,'Asesorías AG anterior'!$U$7:$U$236)</f>
        <v>0</v>
      </c>
      <c r="AQ8" s="377">
        <f>SUMIF('Asesorías AG anterior'!$B$7:$B$236,B8,'Asesorías AG anterior'!$V$7:$V$236)</f>
        <v>0</v>
      </c>
      <c r="AR8" s="377">
        <f>SUMIF('Asesorías AG anterior'!$B$7:$B$236,B8,'Asesorías AG anterior'!$W$7:$W$236)</f>
        <v>0</v>
      </c>
      <c r="AS8" s="377">
        <f>SUMIF('Asesorías AG anterior'!$B$7:$B$236,B8,'Asesorías AG anterior'!$X$7:$X$236)</f>
        <v>0</v>
      </c>
      <c r="AT8" s="377">
        <f>SUMIF('Asesorías AG anterior'!$B$7:$B$236,B8,'Asesorías AG anterior'!$Y$7:$Y$236)</f>
        <v>0</v>
      </c>
      <c r="AU8" s="377">
        <f>SUMIF('Asesorías AG anterior'!$B$7:$B$236,B8,'Asesorías AG anterior'!$Z$7:$Z$236)</f>
        <v>0</v>
      </c>
      <c r="AV8" s="377">
        <f>SUMIF('Asesorías AG anterior'!$B$7:$B$236,B8,'Asesorías AG anterior'!$AA$7:$AA$236)</f>
        <v>0</v>
      </c>
      <c r="AW8" s="377">
        <f>SUMIF('Asesorías AG anterior'!$B$7:$B$236,B8,'Asesorías AG anterior'!$AB$7:$AB$236)</f>
        <v>0</v>
      </c>
      <c r="AX8" s="331"/>
    </row>
    <row r="9" spans="1:52" x14ac:dyDescent="0.2">
      <c r="A9" s="1050">
        <f t="shared" ref="A9:A14" si="12">+A8+1</f>
        <v>3</v>
      </c>
      <c r="B9" s="1493" t="s">
        <v>282</v>
      </c>
      <c r="C9" s="1051">
        <f>_xlfn.XLOOKUP(B9,Códigos!$B$8:$B$406,Códigos!$A$8:$A$406,"Verificar",0)</f>
        <v>300</v>
      </c>
      <c r="D9" s="1040">
        <f>_xlfn.XLOOKUP(B9,'Consolidado Cobros'!$B$10:$B$268,'Consolidado Cobros'!$C$10:$C$268,"Verificar",0)</f>
        <v>70116694</v>
      </c>
      <c r="E9" s="1270">
        <f t="shared" si="5"/>
        <v>5</v>
      </c>
      <c r="F9" s="1267">
        <f t="shared" si="6"/>
        <v>0</v>
      </c>
      <c r="G9" s="1115">
        <f t="shared" si="7"/>
        <v>0</v>
      </c>
      <c r="H9" s="1104">
        <f t="shared" si="8"/>
        <v>0</v>
      </c>
      <c r="I9" s="1046"/>
      <c r="J9" s="377">
        <f t="shared" si="1"/>
        <v>0</v>
      </c>
      <c r="K9" s="701"/>
      <c r="L9" s="482">
        <f t="shared" si="9"/>
        <v>0</v>
      </c>
      <c r="M9" s="851"/>
      <c r="N9" s="663">
        <v>0</v>
      </c>
      <c r="O9" s="651"/>
      <c r="P9" s="1008">
        <f t="shared" si="10"/>
        <v>0</v>
      </c>
      <c r="Q9" s="1009">
        <v>0</v>
      </c>
      <c r="R9" s="375">
        <v>0</v>
      </c>
      <c r="S9" s="376"/>
      <c r="T9" s="375"/>
      <c r="U9" s="625"/>
      <c r="V9" s="560">
        <f t="shared" si="11"/>
        <v>0</v>
      </c>
      <c r="W9" s="606"/>
      <c r="X9" s="377"/>
      <c r="Y9" s="606"/>
      <c r="Z9" s="377"/>
      <c r="AA9" s="606"/>
      <c r="AB9" s="707"/>
      <c r="AC9" s="331"/>
      <c r="AD9" s="377">
        <f>SUMIF('Asesorías AG anterior'!$B$7:$B$236,B9,'Asesorías AG anterior'!$I$7:$I$236)</f>
        <v>1E-3</v>
      </c>
      <c r="AE9" s="377">
        <f>SUMIF('Asesorías AG anterior'!$B$7:$B$236,B9,'Asesorías AG anterior'!$J$7:$J$236)</f>
        <v>0</v>
      </c>
      <c r="AF9" s="377">
        <f>SUMIF('Asesorías AG anterior'!$B$7:$B$236,B9,'Asesorías AG anterior'!$K$7:$K$236)</f>
        <v>1E-3</v>
      </c>
      <c r="AG9" s="377">
        <f>SUMIF('Asesorías AG anterior'!$B$7:$B$236,B9,'Asesorías AG anterior'!$L$7:$L$236)</f>
        <v>0</v>
      </c>
      <c r="AH9" s="377">
        <f>SUMIF('Asesorías AG anterior'!$B$7:$B$236,B9,'Asesorías AG anterior'!$M$7:$M$236)</f>
        <v>0</v>
      </c>
      <c r="AI9" s="377">
        <f>SUMIF('Asesorías AG anterior'!$B$7:$B$236,B9,'Asesorías AG anterior'!$N$7:$N$236)</f>
        <v>0</v>
      </c>
      <c r="AJ9" s="377">
        <f>SUMIF('Asesorías AG anterior'!$B$7:$B$236,B9,'Asesorías AG anterior'!$O$7:$O$236)</f>
        <v>1E-3</v>
      </c>
      <c r="AK9" s="377">
        <f>SUMIF('Asesorías AG anterior'!$B$7:$B$236,B9,'Asesorías AG anterior'!$P$7:$P$236)</f>
        <v>0</v>
      </c>
      <c r="AL9" s="377">
        <f>SUMIF('Asesorías AG anterior'!$B$7:$B$236,B9,'Asesorías AG anterior'!$Q$7:$Q$236)</f>
        <v>0</v>
      </c>
      <c r="AM9" s="377">
        <f>SUMIF('Asesorías AG anterior'!$B$7:$B$236,B9,'Asesorías AG anterior'!$R$7:$R$236)</f>
        <v>0</v>
      </c>
      <c r="AN9" s="377"/>
      <c r="AO9" s="377">
        <f>SUMIF('Asesorías AG anterior'!$B$7:$B$236,B9,'Asesorías AG anterior'!$T$7:$T$236)</f>
        <v>0</v>
      </c>
      <c r="AP9" s="377">
        <f>SUMIF('Asesorías AG anterior'!$B$7:$B$236,B9,'Asesorías AG anterior'!$U$7:$U$236)</f>
        <v>0</v>
      </c>
      <c r="AQ9" s="377">
        <f>SUMIF('Asesorías AG anterior'!$B$7:$B$236,B9,'Asesorías AG anterior'!$V$7:$V$236)</f>
        <v>0</v>
      </c>
      <c r="AR9" s="377">
        <f>SUMIF('Asesorías AG anterior'!$B$7:$B$236,B9,'Asesorías AG anterior'!$W$7:$W$236)</f>
        <v>0</v>
      </c>
      <c r="AS9" s="377">
        <f>SUMIF('Asesorías AG anterior'!$B$7:$B$236,B9,'Asesorías AG anterior'!$X$7:$X$236)</f>
        <v>0</v>
      </c>
      <c r="AT9" s="377">
        <f>SUMIF('Asesorías AG anterior'!$B$7:$B$236,B9,'Asesorías AG anterior'!$Y$7:$Y$236)</f>
        <v>0</v>
      </c>
      <c r="AU9" s="377">
        <f>SUMIF('Asesorías AG anterior'!$B$7:$B$236,B9,'Asesorías AG anterior'!$Z$7:$Z$236)</f>
        <v>0</v>
      </c>
      <c r="AV9" s="377">
        <f>SUMIF('Asesorías AG anterior'!$B$7:$B$236,B9,'Asesorías AG anterior'!$AA$7:$AA$236)</f>
        <v>0</v>
      </c>
      <c r="AW9" s="377">
        <f>SUMIF('Asesorías AG anterior'!$B$7:$B$236,B9,'Asesorías AG anterior'!$AB$7:$AB$236)</f>
        <v>0</v>
      </c>
      <c r="AX9" s="331"/>
    </row>
    <row r="10" spans="1:52" x14ac:dyDescent="0.2">
      <c r="A10" s="1050">
        <f t="shared" si="12"/>
        <v>4</v>
      </c>
      <c r="B10" s="1493" t="s">
        <v>283</v>
      </c>
      <c r="C10" s="1051">
        <f>_xlfn.XLOOKUP(B10,Códigos!$B$8:$B$406,Códigos!$A$8:$A$406,"Verificar",0)</f>
        <v>312</v>
      </c>
      <c r="D10" s="1040">
        <f>_xlfn.XLOOKUP(B10,'Consolidado Cobros'!$B$10:$B$268,'Consolidado Cobros'!$C$10:$C$268,"Verificar",0)</f>
        <v>3349249</v>
      </c>
      <c r="E10" s="1270">
        <f t="shared" si="5"/>
        <v>7</v>
      </c>
      <c r="F10" s="1267">
        <f t="shared" si="6"/>
        <v>0</v>
      </c>
      <c r="G10" s="1115">
        <f t="shared" si="7"/>
        <v>0</v>
      </c>
      <c r="H10" s="1104">
        <f t="shared" si="8"/>
        <v>0</v>
      </c>
      <c r="I10" s="1046"/>
      <c r="J10" s="377">
        <f t="shared" si="1"/>
        <v>0</v>
      </c>
      <c r="K10" s="701"/>
      <c r="L10" s="482">
        <f t="shared" si="9"/>
        <v>0</v>
      </c>
      <c r="M10" s="851"/>
      <c r="N10" s="663">
        <v>0</v>
      </c>
      <c r="O10" s="651"/>
      <c r="P10" s="1008">
        <f t="shared" si="10"/>
        <v>0</v>
      </c>
      <c r="Q10" s="1009">
        <v>0</v>
      </c>
      <c r="R10" s="375">
        <f t="shared" ref="R10:R14" si="13">+P10</f>
        <v>0</v>
      </c>
      <c r="S10" s="376"/>
      <c r="T10" s="375"/>
      <c r="U10" s="625"/>
      <c r="V10" s="560">
        <f t="shared" si="11"/>
        <v>0</v>
      </c>
      <c r="W10" s="606"/>
      <c r="X10" s="377"/>
      <c r="Y10" s="606"/>
      <c r="Z10" s="377"/>
      <c r="AA10" s="606"/>
      <c r="AB10" s="707"/>
      <c r="AC10" s="331"/>
      <c r="AD10" s="377">
        <f>SUMIF('Asesorías AG anterior'!$B$7:$B$236,B10,'Asesorías AG anterior'!$I$7:$I$236)</f>
        <v>1E-3</v>
      </c>
      <c r="AE10" s="377">
        <f>SUMIF('Asesorías AG anterior'!$B$7:$B$236,B10,'Asesorías AG anterior'!$J$7:$J$236)</f>
        <v>0</v>
      </c>
      <c r="AF10" s="377">
        <f>SUMIF('Asesorías AG anterior'!$B$7:$B$236,B10,'Asesorías AG anterior'!$K$7:$K$236)</f>
        <v>1E-3</v>
      </c>
      <c r="AG10" s="377">
        <f>SUMIF('Asesorías AG anterior'!$B$7:$B$236,B10,'Asesorías AG anterior'!$L$7:$L$236)</f>
        <v>0</v>
      </c>
      <c r="AH10" s="377">
        <f>SUMIF('Asesorías AG anterior'!$B$7:$B$236,B10,'Asesorías AG anterior'!$M$7:$M$236)</f>
        <v>0</v>
      </c>
      <c r="AI10" s="377">
        <f>SUMIF('Asesorías AG anterior'!$B$7:$B$236,B10,'Asesorías AG anterior'!$N$7:$N$236)</f>
        <v>0</v>
      </c>
      <c r="AJ10" s="377">
        <f>SUMIF('Asesorías AG anterior'!$B$7:$B$236,B10,'Asesorías AG anterior'!$O$7:$O$236)</f>
        <v>1E-3</v>
      </c>
      <c r="AK10" s="377">
        <f>SUMIF('Asesorías AG anterior'!$B$7:$B$236,B10,'Asesorías AG anterior'!$P$7:$P$236)</f>
        <v>0</v>
      </c>
      <c r="AL10" s="377">
        <f>SUMIF('Asesorías AG anterior'!$B$7:$B$236,B10,'Asesorías AG anterior'!$Q$7:$Q$236)</f>
        <v>0</v>
      </c>
      <c r="AM10" s="377">
        <f>SUMIF('Asesorías AG anterior'!$B$7:$B$236,B10,'Asesorías AG anterior'!$R$7:$R$236)</f>
        <v>0</v>
      </c>
      <c r="AN10" s="377"/>
      <c r="AO10" s="377">
        <f>SUMIF('Asesorías AG anterior'!$B$7:$B$236,B10,'Asesorías AG anterior'!$T$7:$T$236)</f>
        <v>0</v>
      </c>
      <c r="AP10" s="377">
        <f>SUMIF('Asesorías AG anterior'!$B$7:$B$236,B10,'Asesorías AG anterior'!$U$7:$U$236)</f>
        <v>0</v>
      </c>
      <c r="AQ10" s="377">
        <f>SUMIF('Asesorías AG anterior'!$B$7:$B$236,B10,'Asesorías AG anterior'!$V$7:$V$236)</f>
        <v>0</v>
      </c>
      <c r="AR10" s="377">
        <f>SUMIF('Asesorías AG anterior'!$B$7:$B$236,B10,'Asesorías AG anterior'!$W$7:$W$236)</f>
        <v>0</v>
      </c>
      <c r="AS10" s="377">
        <f>SUMIF('Asesorías AG anterior'!$B$7:$B$236,B10,'Asesorías AG anterior'!$X$7:$X$236)</f>
        <v>0</v>
      </c>
      <c r="AT10" s="377">
        <f>SUMIF('Asesorías AG anterior'!$B$7:$B$236,B10,'Asesorías AG anterior'!$Y$7:$Y$236)</f>
        <v>0</v>
      </c>
      <c r="AU10" s="377">
        <f>SUMIF('Asesorías AG anterior'!$B$7:$B$236,B10,'Asesorías AG anterior'!$Z$7:$Z$236)</f>
        <v>0</v>
      </c>
      <c r="AV10" s="377">
        <f>SUMIF('Asesorías AG anterior'!$B$7:$B$236,B10,'Asesorías AG anterior'!$AA$7:$AA$236)</f>
        <v>0</v>
      </c>
      <c r="AW10" s="377">
        <f>SUMIF('Asesorías AG anterior'!$B$7:$B$236,B10,'Asesorías AG anterior'!$AB$7:$AB$236)</f>
        <v>0</v>
      </c>
      <c r="AX10" s="331"/>
    </row>
    <row r="11" spans="1:52" x14ac:dyDescent="0.2">
      <c r="A11" s="1050">
        <f t="shared" si="12"/>
        <v>5</v>
      </c>
      <c r="B11" s="1493" t="s">
        <v>284</v>
      </c>
      <c r="C11" s="1051">
        <f>_xlfn.XLOOKUP(B11,Códigos!$B$8:$B$406,Códigos!$A$8:$A$406,"Verificar",0)</f>
        <v>217</v>
      </c>
      <c r="D11" s="1040">
        <f>_xlfn.XLOOKUP(B11,'Consolidado Cobros'!$B$10:$B$268,'Consolidado Cobros'!$C$10:$C$268,"Verificar",0)</f>
        <v>71632774</v>
      </c>
      <c r="E11" s="1270">
        <f t="shared" si="5"/>
        <v>2</v>
      </c>
      <c r="F11" s="1267">
        <f t="shared" si="6"/>
        <v>100000</v>
      </c>
      <c r="G11" s="1115">
        <f t="shared" si="7"/>
        <v>0</v>
      </c>
      <c r="H11" s="1104">
        <f t="shared" si="8"/>
        <v>100000</v>
      </c>
      <c r="I11" s="1046">
        <v>3</v>
      </c>
      <c r="J11" s="377">
        <f t="shared" si="1"/>
        <v>0</v>
      </c>
      <c r="K11" s="701"/>
      <c r="L11" s="482">
        <f t="shared" si="9"/>
        <v>0</v>
      </c>
      <c r="M11" s="851"/>
      <c r="N11" s="663">
        <v>0</v>
      </c>
      <c r="O11" s="651" t="s">
        <v>259</v>
      </c>
      <c r="P11" s="1008">
        <f>ROUND(IF(O11="SI",AK11*(100%+$P$4),0),-4)-20000</f>
        <v>50000</v>
      </c>
      <c r="Q11" s="1009">
        <v>0</v>
      </c>
      <c r="R11" s="375">
        <f t="shared" si="13"/>
        <v>50000</v>
      </c>
      <c r="S11" s="376"/>
      <c r="T11" s="375"/>
      <c r="U11" s="625"/>
      <c r="V11" s="560">
        <f t="shared" si="11"/>
        <v>0</v>
      </c>
      <c r="W11" s="606"/>
      <c r="X11" s="377"/>
      <c r="Y11" s="606"/>
      <c r="Z11" s="377"/>
      <c r="AA11" s="606"/>
      <c r="AB11" s="707"/>
      <c r="AC11" s="331"/>
      <c r="AD11" s="377">
        <f>SUMIF('Asesorías AG anterior'!$B$7:$B$236,B11,'Asesorías AG anterior'!$I$7:$I$236)</f>
        <v>1E-3</v>
      </c>
      <c r="AE11" s="377">
        <f>SUMIF('Asesorías AG anterior'!$B$7:$B$236,B11,'Asesorías AG anterior'!$J$7:$J$236)</f>
        <v>0</v>
      </c>
      <c r="AF11" s="377">
        <f>SUMIF('Asesorías AG anterior'!$B$7:$B$236,B11,'Asesorías AG anterior'!$K$7:$K$236)</f>
        <v>1E-3</v>
      </c>
      <c r="AG11" s="377">
        <f>SUMIF('Asesorías AG anterior'!$B$7:$B$236,B11,'Asesorías AG anterior'!$L$7:$L$236)</f>
        <v>0</v>
      </c>
      <c r="AH11" s="377">
        <f>SUMIF('Asesorías AG anterior'!$B$7:$B$236,B11,'Asesorías AG anterior'!$M$7:$M$236)</f>
        <v>0</v>
      </c>
      <c r="AI11" s="377">
        <f>SUMIF('Asesorías AG anterior'!$B$7:$B$236,B11,'Asesorías AG anterior'!$N$7:$N$236)</f>
        <v>0</v>
      </c>
      <c r="AJ11" s="377">
        <f>SUMIF('Asesorías AG anterior'!$B$7:$B$236,B11,'Asesorías AG anterior'!$O$7:$O$236)</f>
        <v>0</v>
      </c>
      <c r="AK11" s="377">
        <f>SUMIF('Asesorías AG anterior'!$B$7:$B$236,B11,'Asesorías AG anterior'!$P$7:$P$236)</f>
        <v>70000</v>
      </c>
      <c r="AL11" s="377">
        <f>SUMIF('Asesorías AG anterior'!$B$7:$B$236,B11,'Asesorías AG anterior'!$Q$7:$Q$236)</f>
        <v>0</v>
      </c>
      <c r="AM11" s="377">
        <f>SUMIF('Asesorías AG anterior'!$B$7:$B$236,B11,'Asesorías AG anterior'!$R$7:$R$236)</f>
        <v>0</v>
      </c>
      <c r="AN11" s="377"/>
      <c r="AO11" s="377">
        <f>SUMIF('Asesorías AG anterior'!$B$7:$B$236,B11,'Asesorías AG anterior'!$T$7:$T$236)</f>
        <v>0</v>
      </c>
      <c r="AP11" s="377">
        <f>SUMIF('Asesorías AG anterior'!$B$7:$B$236,B11,'Asesorías AG anterior'!$U$7:$U$236)</f>
        <v>0</v>
      </c>
      <c r="AQ11" s="377">
        <f>SUMIF('Asesorías AG anterior'!$B$7:$B$236,B11,'Asesorías AG anterior'!$V$7:$V$236)</f>
        <v>0</v>
      </c>
      <c r="AR11" s="377">
        <f>SUMIF('Asesorías AG anterior'!$B$7:$B$236,B11,'Asesorías AG anterior'!$W$7:$W$236)</f>
        <v>0</v>
      </c>
      <c r="AS11" s="377">
        <f>SUMIF('Asesorías AG anterior'!$B$7:$B$236,B11,'Asesorías AG anterior'!$X$7:$X$236)</f>
        <v>0</v>
      </c>
      <c r="AT11" s="377">
        <f>SUMIF('Asesorías AG anterior'!$B$7:$B$236,B11,'Asesorías AG anterior'!$Y$7:$Y$236)</f>
        <v>0</v>
      </c>
      <c r="AU11" s="377">
        <f>SUMIF('Asesorías AG anterior'!$B$7:$B$236,B11,'Asesorías AG anterior'!$Z$7:$Z$236)</f>
        <v>0</v>
      </c>
      <c r="AV11" s="377">
        <f>SUMIF('Asesorías AG anterior'!$B$7:$B$236,B11,'Asesorías AG anterior'!$AA$7:$AA$236)</f>
        <v>0</v>
      </c>
      <c r="AW11" s="377">
        <f>SUMIF('Asesorías AG anterior'!$B$7:$B$236,B11,'Asesorías AG anterior'!$AB$7:$AB$236)</f>
        <v>0</v>
      </c>
      <c r="AX11" s="331"/>
    </row>
    <row r="12" spans="1:52" x14ac:dyDescent="0.2">
      <c r="A12" s="1050">
        <f t="shared" si="12"/>
        <v>6</v>
      </c>
      <c r="B12" s="1493" t="s">
        <v>272</v>
      </c>
      <c r="C12" s="1051">
        <f>_xlfn.XLOOKUP(B12,Códigos!$B$8:$B$406,Códigos!$A$8:$A$406,"Verificar",0)</f>
        <v>42</v>
      </c>
      <c r="D12" s="1040">
        <f>_xlfn.XLOOKUP(B12,'Consolidado Cobros'!$B$10:$B$268,'Consolidado Cobros'!$C$10:$C$268,"Verificar",0)</f>
        <v>21315528</v>
      </c>
      <c r="E12" s="1270">
        <f t="shared" si="5"/>
        <v>6</v>
      </c>
      <c r="F12" s="1267">
        <f t="shared" si="6"/>
        <v>0</v>
      </c>
      <c r="G12" s="1115">
        <f t="shared" si="7"/>
        <v>0</v>
      </c>
      <c r="H12" s="1104">
        <f t="shared" si="8"/>
        <v>0</v>
      </c>
      <c r="I12" s="1046"/>
      <c r="J12" s="377">
        <f t="shared" si="1"/>
        <v>0</v>
      </c>
      <c r="K12" s="701"/>
      <c r="L12" s="482">
        <f t="shared" si="9"/>
        <v>0</v>
      </c>
      <c r="M12" s="851"/>
      <c r="N12" s="663">
        <v>0</v>
      </c>
      <c r="O12" s="651"/>
      <c r="P12" s="1008">
        <f t="shared" si="10"/>
        <v>0</v>
      </c>
      <c r="Q12" s="1009">
        <v>0</v>
      </c>
      <c r="R12" s="375">
        <f t="shared" si="13"/>
        <v>0</v>
      </c>
      <c r="S12" s="376"/>
      <c r="T12" s="375"/>
      <c r="U12" s="625"/>
      <c r="V12" s="560">
        <f t="shared" si="11"/>
        <v>0</v>
      </c>
      <c r="W12" s="606"/>
      <c r="X12" s="377"/>
      <c r="Y12" s="606"/>
      <c r="Z12" s="377"/>
      <c r="AA12" s="606"/>
      <c r="AB12" s="707"/>
      <c r="AC12" s="331"/>
      <c r="AD12" s="377">
        <f>SUMIF('Asesorías AG anterior'!$B$7:$B$236,B12,'Asesorías AG anterior'!$I$7:$I$236)</f>
        <v>1E-3</v>
      </c>
      <c r="AE12" s="377">
        <f>SUMIF('Asesorías AG anterior'!$B$7:$B$236,B12,'Asesorías AG anterior'!$J$7:$J$236)</f>
        <v>0</v>
      </c>
      <c r="AF12" s="377">
        <f>SUMIF('Asesorías AG anterior'!$B$7:$B$236,B12,'Asesorías AG anterior'!$K$7:$K$236)</f>
        <v>1E-3</v>
      </c>
      <c r="AG12" s="377">
        <f>SUMIF('Asesorías AG anterior'!$B$7:$B$236,B12,'Asesorías AG anterior'!$L$7:$L$236)</f>
        <v>0</v>
      </c>
      <c r="AH12" s="377">
        <f>SUMIF('Asesorías AG anterior'!$B$7:$B$236,B12,'Asesorías AG anterior'!$M$7:$M$236)</f>
        <v>0</v>
      </c>
      <c r="AI12" s="377">
        <f>SUMIF('Asesorías AG anterior'!$B$7:$B$236,B12,'Asesorías AG anterior'!$N$7:$N$236)</f>
        <v>0</v>
      </c>
      <c r="AJ12" s="377">
        <f>SUMIF('Asesorías AG anterior'!$B$7:$B$236,B12,'Asesorías AG anterior'!$O$7:$O$236)</f>
        <v>1E-3</v>
      </c>
      <c r="AK12" s="377">
        <f>SUMIF('Asesorías AG anterior'!$B$7:$B$236,B12,'Asesorías AG anterior'!$P$7:$P$236)</f>
        <v>0</v>
      </c>
      <c r="AL12" s="377">
        <f>SUMIF('Asesorías AG anterior'!$B$7:$B$236,B12,'Asesorías AG anterior'!$Q$7:$Q$236)</f>
        <v>0</v>
      </c>
      <c r="AM12" s="377">
        <f>SUMIF('Asesorías AG anterior'!$B$7:$B$236,B12,'Asesorías AG anterior'!$R$7:$R$236)</f>
        <v>0</v>
      </c>
      <c r="AN12" s="377"/>
      <c r="AO12" s="377">
        <f>SUMIF('Asesorías AG anterior'!$B$7:$B$236,B12,'Asesorías AG anterior'!$T$7:$T$236)</f>
        <v>0</v>
      </c>
      <c r="AP12" s="377">
        <f>SUMIF('Asesorías AG anterior'!$B$7:$B$236,B12,'Asesorías AG anterior'!$U$7:$U$236)</f>
        <v>0</v>
      </c>
      <c r="AQ12" s="377">
        <f>SUMIF('Asesorías AG anterior'!$B$7:$B$236,B12,'Asesorías AG anterior'!$V$7:$V$236)</f>
        <v>0</v>
      </c>
      <c r="AR12" s="377">
        <f>SUMIF('Asesorías AG anterior'!$B$7:$B$236,B12,'Asesorías AG anterior'!$W$7:$W$236)</f>
        <v>0</v>
      </c>
      <c r="AS12" s="377">
        <f>SUMIF('Asesorías AG anterior'!$B$7:$B$236,B12,'Asesorías AG anterior'!$X$7:$X$236)</f>
        <v>0</v>
      </c>
      <c r="AT12" s="377">
        <f>SUMIF('Asesorías AG anterior'!$B$7:$B$236,B12,'Asesorías AG anterior'!$Y$7:$Y$236)</f>
        <v>0</v>
      </c>
      <c r="AU12" s="377">
        <f>SUMIF('Asesorías AG anterior'!$B$7:$B$236,B12,'Asesorías AG anterior'!$Z$7:$Z$236)</f>
        <v>0</v>
      </c>
      <c r="AV12" s="377">
        <f>SUMIF('Asesorías AG anterior'!$B$7:$B$236,B12,'Asesorías AG anterior'!$AA$7:$AA$236)</f>
        <v>0</v>
      </c>
      <c r="AW12" s="377">
        <f>SUMIF('Asesorías AG anterior'!$B$7:$B$236,B12,'Asesorías AG anterior'!$AB$7:$AB$236)</f>
        <v>0</v>
      </c>
      <c r="AX12" s="331"/>
    </row>
    <row r="13" spans="1:52" x14ac:dyDescent="0.2">
      <c r="A13" s="1050">
        <f t="shared" si="12"/>
        <v>7</v>
      </c>
      <c r="B13" s="1493" t="s">
        <v>273</v>
      </c>
      <c r="C13" s="1051">
        <f>_xlfn.XLOOKUP(B13,Códigos!$B$8:$B$406,Códigos!$A$8:$A$406,"Verificar",0)</f>
        <v>43</v>
      </c>
      <c r="D13" s="1040">
        <f>_xlfn.XLOOKUP(B13,'Consolidado Cobros'!$B$10:$B$268,'Consolidado Cobros'!$C$10:$C$268,"Verificar",0)</f>
        <v>32336950</v>
      </c>
      <c r="E13" s="1270">
        <f t="shared" si="5"/>
        <v>1</v>
      </c>
      <c r="F13" s="1267">
        <f t="shared" si="6"/>
        <v>384948.68328320002</v>
      </c>
      <c r="G13" s="1115">
        <f t="shared" si="7"/>
        <v>0</v>
      </c>
      <c r="H13" s="1104">
        <f t="shared" si="8"/>
        <v>384948.68328320002</v>
      </c>
      <c r="I13" s="1046">
        <v>3</v>
      </c>
      <c r="J13" s="377">
        <f t="shared" si="1"/>
        <v>384948.68328320002</v>
      </c>
      <c r="K13" s="701"/>
      <c r="L13" s="482">
        <f t="shared" si="9"/>
        <v>0</v>
      </c>
      <c r="M13" s="851"/>
      <c r="N13" s="663">
        <v>0</v>
      </c>
      <c r="O13" s="651"/>
      <c r="P13" s="1008">
        <f t="shared" si="10"/>
        <v>0</v>
      </c>
      <c r="Q13" s="1009">
        <v>0</v>
      </c>
      <c r="R13" s="375">
        <f t="shared" si="13"/>
        <v>0</v>
      </c>
      <c r="S13" s="376"/>
      <c r="T13" s="375"/>
      <c r="U13" s="625"/>
      <c r="V13" s="560">
        <f t="shared" si="11"/>
        <v>0</v>
      </c>
      <c r="W13" s="606"/>
      <c r="X13" s="377"/>
      <c r="Y13" s="606"/>
      <c r="Z13" s="377"/>
      <c r="AA13" s="606"/>
      <c r="AB13" s="707"/>
      <c r="AC13" s="331"/>
      <c r="AD13" s="377">
        <f>SUMIF('Asesorías AG anterior'!$B$7:$B$236,B13,'Asesorías AG anterior'!$I$7:$I$236)</f>
        <v>3</v>
      </c>
      <c r="AE13" s="377">
        <f>SUMIF('Asesorías AG anterior'!$B$7:$B$236,B13,'Asesorías AG anterior'!$J$7:$J$236)</f>
        <v>365920.80160000001</v>
      </c>
      <c r="AF13" s="377">
        <f>SUMIF('Asesorías AG anterior'!$B$7:$B$236,B13,'Asesorías AG anterior'!$K$7:$K$236)</f>
        <v>1E-3</v>
      </c>
      <c r="AG13" s="377">
        <f>SUMIF('Asesorías AG anterior'!$B$7:$B$236,B13,'Asesorías AG anterior'!$L$7:$L$236)</f>
        <v>0</v>
      </c>
      <c r="AH13" s="377">
        <f>SUMIF('Asesorías AG anterior'!$B$7:$B$236,B13,'Asesorías AG anterior'!$M$7:$M$236)</f>
        <v>0</v>
      </c>
      <c r="AI13" s="377">
        <f>SUMIF('Asesorías AG anterior'!$B$7:$B$236,B13,'Asesorías AG anterior'!$N$7:$N$236)</f>
        <v>0</v>
      </c>
      <c r="AJ13" s="377">
        <f>SUMIF('Asesorías AG anterior'!$B$7:$B$236,B13,'Asesorías AG anterior'!$O$7:$O$236)</f>
        <v>1E-3</v>
      </c>
      <c r="AK13" s="377">
        <f>SUMIF('Asesorías AG anterior'!$B$7:$B$236,B13,'Asesorías AG anterior'!$P$7:$P$236)</f>
        <v>0</v>
      </c>
      <c r="AL13" s="377">
        <f>SUMIF('Asesorías AG anterior'!$B$7:$B$236,B13,'Asesorías AG anterior'!$Q$7:$Q$236)</f>
        <v>0</v>
      </c>
      <c r="AM13" s="377">
        <f>SUMIF('Asesorías AG anterior'!$B$7:$B$236,B13,'Asesorías AG anterior'!$R$7:$R$236)</f>
        <v>0</v>
      </c>
      <c r="AN13" s="377"/>
      <c r="AO13" s="377">
        <f>SUMIF('Asesorías AG anterior'!$B$7:$B$236,B13,'Asesorías AG anterior'!$T$7:$T$236)</f>
        <v>0</v>
      </c>
      <c r="AP13" s="377">
        <f>SUMIF('Asesorías AG anterior'!$B$7:$B$236,B13,'Asesorías AG anterior'!$U$7:$U$236)</f>
        <v>0</v>
      </c>
      <c r="AQ13" s="377">
        <f>SUMIF('Asesorías AG anterior'!$B$7:$B$236,B13,'Asesorías AG anterior'!$V$7:$V$236)</f>
        <v>0</v>
      </c>
      <c r="AR13" s="377">
        <f>SUMIF('Asesorías AG anterior'!$B$7:$B$236,B13,'Asesorías AG anterior'!$W$7:$W$236)</f>
        <v>0</v>
      </c>
      <c r="AS13" s="377">
        <f>SUMIF('Asesorías AG anterior'!$B$7:$B$236,B13,'Asesorías AG anterior'!$X$7:$X$236)</f>
        <v>0</v>
      </c>
      <c r="AT13" s="377">
        <f>SUMIF('Asesorías AG anterior'!$B$7:$B$236,B13,'Asesorías AG anterior'!$Y$7:$Y$236)</f>
        <v>0</v>
      </c>
      <c r="AU13" s="377">
        <f>SUMIF('Asesorías AG anterior'!$B$7:$B$236,B13,'Asesorías AG anterior'!$Z$7:$Z$236)</f>
        <v>0</v>
      </c>
      <c r="AV13" s="377">
        <f>SUMIF('Asesorías AG anterior'!$B$7:$B$236,B13,'Asesorías AG anterior'!$AA$7:$AA$236)</f>
        <v>0</v>
      </c>
      <c r="AW13" s="377">
        <f>SUMIF('Asesorías AG anterior'!$B$7:$B$236,B13,'Asesorías AG anterior'!$AB$7:$AB$236)</f>
        <v>0</v>
      </c>
      <c r="AX13" s="331"/>
    </row>
    <row r="14" spans="1:52" x14ac:dyDescent="0.2">
      <c r="A14" s="1050">
        <f t="shared" si="12"/>
        <v>8</v>
      </c>
      <c r="B14" s="1493" t="s">
        <v>274</v>
      </c>
      <c r="C14" s="1051">
        <f>_xlfn.XLOOKUP(B14,Códigos!$B$8:$B$406,Códigos!$A$8:$A$406,"Verificar",0)</f>
        <v>44</v>
      </c>
      <c r="D14" s="1040">
        <f>_xlfn.XLOOKUP(B14,'Consolidado Cobros'!$B$10:$B$268,'Consolidado Cobros'!$C$10:$C$268,"Verificar",0)</f>
        <v>1152450831</v>
      </c>
      <c r="E14" s="1270">
        <f t="shared" si="5"/>
        <v>7</v>
      </c>
      <c r="F14" s="1267">
        <f t="shared" si="6"/>
        <v>0</v>
      </c>
      <c r="G14" s="1115">
        <f t="shared" si="7"/>
        <v>0</v>
      </c>
      <c r="H14" s="1104">
        <f t="shared" si="8"/>
        <v>0</v>
      </c>
      <c r="I14" s="1046"/>
      <c r="J14" s="1045">
        <f t="shared" si="1"/>
        <v>0</v>
      </c>
      <c r="K14" s="1044"/>
      <c r="L14" s="1053">
        <f t="shared" si="9"/>
        <v>0</v>
      </c>
      <c r="M14" s="1054"/>
      <c r="N14" s="1055">
        <v>0</v>
      </c>
      <c r="O14" s="1049"/>
      <c r="P14" s="1056">
        <f t="shared" si="10"/>
        <v>0</v>
      </c>
      <c r="Q14" s="1057">
        <v>0</v>
      </c>
      <c r="R14" s="1043">
        <f t="shared" si="13"/>
        <v>0</v>
      </c>
      <c r="S14" s="1058"/>
      <c r="T14" s="1043"/>
      <c r="U14" s="1059"/>
      <c r="V14" s="1023">
        <f t="shared" si="11"/>
        <v>0</v>
      </c>
      <c r="W14" s="1060"/>
      <c r="X14" s="1045"/>
      <c r="Y14" s="1060"/>
      <c r="Z14" s="1045"/>
      <c r="AA14" s="1060"/>
      <c r="AB14" s="1061"/>
      <c r="AC14" s="331"/>
      <c r="AD14" s="377">
        <f>SUMIF('Asesorías AG anterior'!$B$7:$B$236,B14,'Asesorías AG anterior'!$I$7:$I$236)</f>
        <v>1E-3</v>
      </c>
      <c r="AE14" s="377">
        <f>SUMIF('Asesorías AG anterior'!$B$7:$B$236,B14,'Asesorías AG anterior'!$J$7:$J$236)</f>
        <v>0</v>
      </c>
      <c r="AF14" s="377">
        <f>SUMIF('Asesorías AG anterior'!$B$7:$B$236,B14,'Asesorías AG anterior'!$K$7:$K$236)</f>
        <v>1E-3</v>
      </c>
      <c r="AG14" s="377">
        <f>SUMIF('Asesorías AG anterior'!$B$7:$B$236,B14,'Asesorías AG anterior'!$L$7:$L$236)</f>
        <v>0</v>
      </c>
      <c r="AH14" s="377">
        <f>SUMIF('Asesorías AG anterior'!$B$7:$B$236,B14,'Asesorías AG anterior'!$M$7:$M$236)</f>
        <v>0</v>
      </c>
      <c r="AI14" s="377">
        <f>SUMIF('Asesorías AG anterior'!$B$7:$B$236,B14,'Asesorías AG anterior'!$N$7:$N$236)</f>
        <v>0</v>
      </c>
      <c r="AJ14" s="377">
        <f>SUMIF('Asesorías AG anterior'!$B$7:$B$236,B14,'Asesorías AG anterior'!$O$7:$O$236)</f>
        <v>1E-3</v>
      </c>
      <c r="AK14" s="377">
        <f>SUMIF('Asesorías AG anterior'!$B$7:$B$236,B14,'Asesorías AG anterior'!$P$7:$P$236)</f>
        <v>0</v>
      </c>
      <c r="AL14" s="377">
        <f>SUMIF('Asesorías AG anterior'!$B$7:$B$236,B14,'Asesorías AG anterior'!$Q$7:$Q$236)</f>
        <v>0</v>
      </c>
      <c r="AM14" s="377">
        <f>SUMIF('Asesorías AG anterior'!$B$7:$B$236,B14,'Asesorías AG anterior'!$R$7:$R$236)</f>
        <v>0</v>
      </c>
      <c r="AN14" s="377"/>
      <c r="AO14" s="377">
        <f>SUMIF('Asesorías AG anterior'!$B$7:$B$236,B14,'Asesorías AG anterior'!$T$7:$T$236)</f>
        <v>0</v>
      </c>
      <c r="AP14" s="377">
        <f>SUMIF('Asesorías AG anterior'!$B$7:$B$236,B14,'Asesorías AG anterior'!$U$7:$U$236)</f>
        <v>0</v>
      </c>
      <c r="AQ14" s="377">
        <f>SUMIF('Asesorías AG anterior'!$B$7:$B$236,B14,'Asesorías AG anterior'!$V$7:$V$236)</f>
        <v>0</v>
      </c>
      <c r="AR14" s="377">
        <f>SUMIF('Asesorías AG anterior'!$B$7:$B$236,B14,'Asesorías AG anterior'!$W$7:$W$236)</f>
        <v>0</v>
      </c>
      <c r="AS14" s="377">
        <f>SUMIF('Asesorías AG anterior'!$B$7:$B$236,B14,'Asesorías AG anterior'!$X$7:$X$236)</f>
        <v>0</v>
      </c>
      <c r="AT14" s="377">
        <f>SUMIF('Asesorías AG anterior'!$B$7:$B$236,B14,'Asesorías AG anterior'!$Y$7:$Y$236)</f>
        <v>0</v>
      </c>
      <c r="AU14" s="377">
        <f>SUMIF('Asesorías AG anterior'!$B$7:$B$236,B14,'Asesorías AG anterior'!$Z$7:$Z$236)</f>
        <v>0</v>
      </c>
      <c r="AV14" s="377">
        <f>SUMIF('Asesorías AG anterior'!$B$7:$B$236,B14,'Asesorías AG anterior'!$AA$7:$AA$236)</f>
        <v>0</v>
      </c>
      <c r="AW14" s="377">
        <f>SUMIF('Asesorías AG anterior'!$B$7:$B$236,B14,'Asesorías AG anterior'!$AB$7:$AB$236)</f>
        <v>0</v>
      </c>
      <c r="AX14" s="331"/>
      <c r="AZ14" s="1505" t="s">
        <v>121</v>
      </c>
    </row>
    <row r="15" spans="1:52" x14ac:dyDescent="0.2">
      <c r="A15" s="1050"/>
      <c r="B15" s="1185"/>
      <c r="C15" s="1051"/>
      <c r="D15" s="1040"/>
      <c r="E15" s="1270"/>
      <c r="F15" s="1267"/>
      <c r="G15" s="1115"/>
      <c r="H15" s="1104"/>
      <c r="I15" s="1046"/>
      <c r="J15" s="377"/>
      <c r="K15" s="701"/>
      <c r="L15" s="482"/>
      <c r="M15" s="851"/>
      <c r="N15" s="663"/>
      <c r="O15" s="651"/>
      <c r="P15" s="1008"/>
      <c r="Q15" s="1009"/>
      <c r="R15" s="375"/>
      <c r="S15" s="376"/>
      <c r="T15" s="375"/>
      <c r="U15" s="625"/>
      <c r="V15" s="560"/>
      <c r="W15" s="606"/>
      <c r="X15" s="377"/>
      <c r="Y15" s="606"/>
      <c r="Z15" s="377"/>
      <c r="AA15" s="606"/>
      <c r="AB15" s="707"/>
      <c r="AC15" s="331"/>
      <c r="AD15" s="377"/>
      <c r="AE15" s="377"/>
      <c r="AF15" s="377"/>
      <c r="AG15" s="377"/>
      <c r="AH15" s="377"/>
      <c r="AI15" s="377"/>
      <c r="AJ15" s="377"/>
      <c r="AK15" s="377"/>
      <c r="AL15" s="377"/>
      <c r="AM15" s="377"/>
      <c r="AN15" s="377"/>
      <c r="AO15" s="377"/>
      <c r="AP15" s="377"/>
      <c r="AQ15" s="377"/>
      <c r="AR15" s="377"/>
      <c r="AS15" s="377"/>
      <c r="AT15" s="377"/>
      <c r="AU15" s="377"/>
      <c r="AV15" s="377"/>
      <c r="AW15" s="377"/>
      <c r="AX15" s="331"/>
    </row>
    <row r="16" spans="1:52" x14ac:dyDescent="0.2">
      <c r="A16" s="1050"/>
      <c r="B16" s="1019"/>
      <c r="C16" s="1051"/>
      <c r="D16" s="1040"/>
      <c r="E16" s="1270"/>
      <c r="F16" s="1267"/>
      <c r="G16" s="1115"/>
      <c r="H16" s="1104"/>
      <c r="I16" s="1046"/>
      <c r="J16" s="377"/>
      <c r="K16" s="701"/>
      <c r="L16" s="482"/>
      <c r="M16" s="851"/>
      <c r="N16" s="663"/>
      <c r="O16" s="651"/>
      <c r="P16" s="1008"/>
      <c r="Q16" s="1009"/>
      <c r="R16" s="375"/>
      <c r="S16" s="376"/>
      <c r="T16" s="375"/>
      <c r="U16" s="625"/>
      <c r="V16" s="560"/>
      <c r="W16" s="606"/>
      <c r="X16" s="377"/>
      <c r="Y16" s="606"/>
      <c r="Z16" s="377"/>
      <c r="AA16" s="606"/>
      <c r="AB16" s="707"/>
      <c r="AC16" s="331"/>
      <c r="AD16" s="377"/>
      <c r="AE16" s="377"/>
      <c r="AF16" s="377"/>
      <c r="AG16" s="377"/>
      <c r="AH16" s="377"/>
      <c r="AI16" s="377"/>
      <c r="AJ16" s="377"/>
      <c r="AK16" s="377"/>
      <c r="AL16" s="377"/>
      <c r="AM16" s="377"/>
      <c r="AN16" s="377"/>
      <c r="AO16" s="377"/>
      <c r="AP16" s="377"/>
      <c r="AQ16" s="377"/>
      <c r="AR16" s="377"/>
      <c r="AS16" s="377"/>
      <c r="AT16" s="377"/>
      <c r="AU16" s="377"/>
      <c r="AV16" s="377"/>
      <c r="AW16" s="377"/>
      <c r="AX16" s="331"/>
    </row>
    <row r="17" spans="1:50" x14ac:dyDescent="0.2">
      <c r="A17" s="1050"/>
      <c r="B17" s="1019"/>
      <c r="C17" s="1051"/>
      <c r="D17" s="1040"/>
      <c r="E17" s="1270"/>
      <c r="F17" s="1267"/>
      <c r="G17" s="1115"/>
      <c r="H17" s="1104"/>
      <c r="I17" s="1046"/>
      <c r="J17" s="377"/>
      <c r="K17" s="701"/>
      <c r="L17" s="482"/>
      <c r="M17" s="851"/>
      <c r="N17" s="663"/>
      <c r="O17" s="651"/>
      <c r="P17" s="1008"/>
      <c r="Q17" s="1009"/>
      <c r="R17" s="375"/>
      <c r="S17" s="376"/>
      <c r="T17" s="375"/>
      <c r="U17" s="625"/>
      <c r="V17" s="560"/>
      <c r="W17" s="606"/>
      <c r="X17" s="377"/>
      <c r="Y17" s="606"/>
      <c r="Z17" s="377"/>
      <c r="AA17" s="606"/>
      <c r="AB17" s="707"/>
      <c r="AC17" s="331"/>
      <c r="AD17" s="377"/>
      <c r="AE17" s="377"/>
      <c r="AF17" s="377"/>
      <c r="AG17" s="377"/>
      <c r="AH17" s="377"/>
      <c r="AI17" s="377"/>
      <c r="AJ17" s="377"/>
      <c r="AK17" s="377"/>
      <c r="AL17" s="377"/>
      <c r="AM17" s="377"/>
      <c r="AN17" s="377"/>
      <c r="AO17" s="377"/>
      <c r="AP17" s="377"/>
      <c r="AQ17" s="377"/>
      <c r="AR17" s="377"/>
      <c r="AS17" s="377"/>
      <c r="AT17" s="377"/>
      <c r="AU17" s="377"/>
      <c r="AV17" s="377"/>
      <c r="AW17" s="377"/>
      <c r="AX17" s="331"/>
    </row>
    <row r="18" spans="1:50" x14ac:dyDescent="0.2">
      <c r="A18" s="1050"/>
      <c r="B18" s="1019"/>
      <c r="C18" s="1051"/>
      <c r="D18" s="1040"/>
      <c r="E18" s="1270"/>
      <c r="F18" s="1267"/>
      <c r="G18" s="1115"/>
      <c r="H18" s="1104"/>
      <c r="I18" s="1046"/>
      <c r="J18" s="377"/>
      <c r="K18" s="701"/>
      <c r="L18" s="482"/>
      <c r="M18" s="851"/>
      <c r="N18" s="663"/>
      <c r="O18" s="651"/>
      <c r="P18" s="1008"/>
      <c r="Q18" s="1009"/>
      <c r="R18" s="375"/>
      <c r="S18" s="376"/>
      <c r="T18" s="375"/>
      <c r="U18" s="625"/>
      <c r="V18" s="560"/>
      <c r="W18" s="606"/>
      <c r="X18" s="377"/>
      <c r="Y18" s="606"/>
      <c r="Z18" s="377"/>
      <c r="AA18" s="606"/>
      <c r="AB18" s="707"/>
      <c r="AC18" s="331"/>
      <c r="AD18" s="377"/>
      <c r="AE18" s="377"/>
      <c r="AF18" s="377"/>
      <c r="AG18" s="377"/>
      <c r="AH18" s="377"/>
      <c r="AI18" s="377"/>
      <c r="AJ18" s="377"/>
      <c r="AK18" s="377"/>
      <c r="AL18" s="377"/>
      <c r="AM18" s="377"/>
      <c r="AN18" s="377"/>
      <c r="AO18" s="377"/>
      <c r="AP18" s="377"/>
      <c r="AQ18" s="377"/>
      <c r="AR18" s="377"/>
      <c r="AS18" s="377"/>
      <c r="AT18" s="377"/>
      <c r="AU18" s="377"/>
      <c r="AV18" s="377"/>
      <c r="AW18" s="377"/>
      <c r="AX18" s="331"/>
    </row>
    <row r="19" spans="1:50" x14ac:dyDescent="0.2">
      <c r="A19" s="1050"/>
      <c r="B19" s="1019"/>
      <c r="C19" s="1051"/>
      <c r="D19" s="1040"/>
      <c r="E19" s="1270"/>
      <c r="F19" s="1267"/>
      <c r="G19" s="1115"/>
      <c r="H19" s="1104"/>
      <c r="I19" s="1046"/>
      <c r="J19" s="377"/>
      <c r="K19" s="701"/>
      <c r="L19" s="482"/>
      <c r="M19" s="851"/>
      <c r="N19" s="663"/>
      <c r="O19" s="651"/>
      <c r="P19" s="1008"/>
      <c r="Q19" s="1009"/>
      <c r="R19" s="375"/>
      <c r="S19" s="376"/>
      <c r="T19" s="375"/>
      <c r="U19" s="625"/>
      <c r="V19" s="560"/>
      <c r="W19" s="606"/>
      <c r="X19" s="377"/>
      <c r="Y19" s="606"/>
      <c r="Z19" s="377"/>
      <c r="AA19" s="606"/>
      <c r="AB19" s="707"/>
      <c r="AC19" s="331"/>
      <c r="AD19" s="377"/>
      <c r="AE19" s="377"/>
      <c r="AF19" s="377"/>
      <c r="AG19" s="377"/>
      <c r="AH19" s="377"/>
      <c r="AI19" s="377"/>
      <c r="AJ19" s="377"/>
      <c r="AK19" s="377"/>
      <c r="AL19" s="377"/>
      <c r="AM19" s="377"/>
      <c r="AN19" s="377"/>
      <c r="AO19" s="377"/>
      <c r="AP19" s="377"/>
      <c r="AQ19" s="377"/>
      <c r="AR19" s="377"/>
      <c r="AS19" s="377"/>
      <c r="AT19" s="377"/>
      <c r="AU19" s="377"/>
      <c r="AV19" s="377"/>
      <c r="AW19" s="377"/>
      <c r="AX19" s="331"/>
    </row>
    <row r="20" spans="1:50" x14ac:dyDescent="0.2">
      <c r="A20" s="1050"/>
      <c r="B20" s="1042"/>
      <c r="C20" s="1051"/>
      <c r="D20" s="1040"/>
      <c r="E20" s="1270"/>
      <c r="F20" s="1267"/>
      <c r="G20" s="1115"/>
      <c r="H20" s="1104"/>
      <c r="I20" s="1046"/>
      <c r="J20" s="377"/>
      <c r="K20" s="701"/>
      <c r="L20" s="482"/>
      <c r="M20" s="851"/>
      <c r="N20" s="663"/>
      <c r="O20" s="651"/>
      <c r="P20" s="1008"/>
      <c r="Q20" s="1009"/>
      <c r="R20" s="375"/>
      <c r="S20" s="376"/>
      <c r="T20" s="375"/>
      <c r="U20" s="625"/>
      <c r="V20" s="560"/>
      <c r="W20" s="606"/>
      <c r="X20" s="377"/>
      <c r="Y20" s="606"/>
      <c r="Z20" s="377"/>
      <c r="AA20" s="606"/>
      <c r="AB20" s="707"/>
      <c r="AC20" s="331"/>
      <c r="AD20" s="377"/>
      <c r="AE20" s="377"/>
      <c r="AF20" s="377"/>
      <c r="AG20" s="377"/>
      <c r="AH20" s="377"/>
      <c r="AI20" s="377"/>
      <c r="AJ20" s="377"/>
      <c r="AK20" s="377"/>
      <c r="AL20" s="377"/>
      <c r="AM20" s="377"/>
      <c r="AN20" s="377"/>
      <c r="AO20" s="377"/>
      <c r="AP20" s="377"/>
      <c r="AQ20" s="377"/>
      <c r="AR20" s="377"/>
      <c r="AS20" s="377"/>
      <c r="AT20" s="377"/>
      <c r="AU20" s="377"/>
      <c r="AV20" s="377"/>
      <c r="AW20" s="377"/>
      <c r="AX20" s="331"/>
    </row>
    <row r="21" spans="1:50" x14ac:dyDescent="0.2">
      <c r="A21" s="1050"/>
      <c r="B21" s="1042"/>
      <c r="C21" s="1051"/>
      <c r="D21" s="1040"/>
      <c r="E21" s="1270"/>
      <c r="F21" s="1267"/>
      <c r="G21" s="1115"/>
      <c r="H21" s="1104"/>
      <c r="I21" s="1046"/>
      <c r="J21" s="377"/>
      <c r="K21" s="701"/>
      <c r="L21" s="482"/>
      <c r="M21" s="851"/>
      <c r="N21" s="663"/>
      <c r="O21" s="651"/>
      <c r="P21" s="1008"/>
      <c r="Q21" s="1009"/>
      <c r="R21" s="375"/>
      <c r="S21" s="376"/>
      <c r="T21" s="375"/>
      <c r="U21" s="625"/>
      <c r="V21" s="560"/>
      <c r="W21" s="606"/>
      <c r="X21" s="377"/>
      <c r="Y21" s="606"/>
      <c r="Z21" s="377"/>
      <c r="AA21" s="606"/>
      <c r="AB21" s="707"/>
      <c r="AC21" s="331"/>
      <c r="AD21" s="377"/>
      <c r="AE21" s="377"/>
      <c r="AF21" s="377"/>
      <c r="AG21" s="377"/>
      <c r="AH21" s="377"/>
      <c r="AI21" s="377"/>
      <c r="AJ21" s="377"/>
      <c r="AK21" s="377"/>
      <c r="AL21" s="377"/>
      <c r="AM21" s="377"/>
      <c r="AN21" s="377"/>
      <c r="AO21" s="377"/>
      <c r="AP21" s="377"/>
      <c r="AQ21" s="377"/>
      <c r="AR21" s="377"/>
      <c r="AS21" s="377"/>
      <c r="AT21" s="377"/>
      <c r="AU21" s="377"/>
      <c r="AV21" s="377"/>
      <c r="AW21" s="377"/>
      <c r="AX21" s="331"/>
    </row>
    <row r="22" spans="1:50" x14ac:dyDescent="0.2">
      <c r="A22" s="1050"/>
      <c r="B22" s="1019"/>
      <c r="C22" s="1051"/>
      <c r="D22" s="1040"/>
      <c r="E22" s="1270"/>
      <c r="F22" s="1267"/>
      <c r="G22" s="1115"/>
      <c r="H22" s="1104"/>
      <c r="I22" s="1046"/>
      <c r="J22" s="377"/>
      <c r="K22" s="701"/>
      <c r="L22" s="482"/>
      <c r="M22" s="851"/>
      <c r="N22" s="663"/>
      <c r="O22" s="651"/>
      <c r="P22" s="1008"/>
      <c r="Q22" s="1009"/>
      <c r="R22" s="375"/>
      <c r="S22" s="376"/>
      <c r="T22" s="375"/>
      <c r="U22" s="625"/>
      <c r="V22" s="560"/>
      <c r="W22" s="606"/>
      <c r="X22" s="377"/>
      <c r="Y22" s="606"/>
      <c r="Z22" s="377"/>
      <c r="AA22" s="606"/>
      <c r="AB22" s="707"/>
      <c r="AC22" s="331"/>
      <c r="AD22" s="377"/>
      <c r="AE22" s="377"/>
      <c r="AF22" s="377"/>
      <c r="AG22" s="377"/>
      <c r="AH22" s="377"/>
      <c r="AI22" s="377"/>
      <c r="AJ22" s="377"/>
      <c r="AK22" s="377"/>
      <c r="AL22" s="377"/>
      <c r="AM22" s="377"/>
      <c r="AN22" s="377"/>
      <c r="AO22" s="377"/>
      <c r="AP22" s="377"/>
      <c r="AQ22" s="377"/>
      <c r="AR22" s="377"/>
      <c r="AS22" s="377"/>
      <c r="AT22" s="377"/>
      <c r="AU22" s="377"/>
      <c r="AV22" s="377"/>
      <c r="AW22" s="377"/>
      <c r="AX22" s="331"/>
    </row>
    <row r="23" spans="1:50" x14ac:dyDescent="0.2">
      <c r="A23" s="1050"/>
      <c r="B23" s="1019"/>
      <c r="C23" s="1051"/>
      <c r="D23" s="1040"/>
      <c r="E23" s="1270"/>
      <c r="F23" s="1267"/>
      <c r="G23" s="1115"/>
      <c r="H23" s="1104"/>
      <c r="I23" s="1046"/>
      <c r="J23" s="377"/>
      <c r="K23" s="701"/>
      <c r="L23" s="482"/>
      <c r="M23" s="851"/>
      <c r="N23" s="663"/>
      <c r="O23" s="651"/>
      <c r="P23" s="1008"/>
      <c r="Q23" s="1009"/>
      <c r="R23" s="375"/>
      <c r="S23" s="376"/>
      <c r="T23" s="375"/>
      <c r="U23" s="625"/>
      <c r="V23" s="560"/>
      <c r="W23" s="606"/>
      <c r="X23" s="377"/>
      <c r="Y23" s="606"/>
      <c r="Z23" s="377"/>
      <c r="AA23" s="606"/>
      <c r="AB23" s="707"/>
      <c r="AC23" s="331"/>
      <c r="AD23" s="377"/>
      <c r="AE23" s="377"/>
      <c r="AF23" s="377"/>
      <c r="AG23" s="377"/>
      <c r="AH23" s="377"/>
      <c r="AI23" s="377"/>
      <c r="AJ23" s="377"/>
      <c r="AK23" s="377"/>
      <c r="AL23" s="377"/>
      <c r="AM23" s="377"/>
      <c r="AN23" s="377"/>
      <c r="AO23" s="377"/>
      <c r="AP23" s="377"/>
      <c r="AQ23" s="377"/>
      <c r="AR23" s="377"/>
      <c r="AS23" s="377"/>
      <c r="AT23" s="377"/>
      <c r="AU23" s="377"/>
      <c r="AV23" s="377"/>
      <c r="AW23" s="377"/>
      <c r="AX23" s="331"/>
    </row>
    <row r="24" spans="1:50" x14ac:dyDescent="0.2">
      <c r="A24" s="1050"/>
      <c r="B24" s="1242"/>
      <c r="C24" s="1051"/>
      <c r="D24" s="1040"/>
      <c r="E24" s="1270"/>
      <c r="F24" s="1267"/>
      <c r="G24" s="1115"/>
      <c r="H24" s="1104"/>
      <c r="I24" s="1046"/>
      <c r="J24" s="377"/>
      <c r="K24" s="701"/>
      <c r="L24" s="482"/>
      <c r="M24" s="851"/>
      <c r="N24" s="663"/>
      <c r="O24" s="651"/>
      <c r="P24" s="1008"/>
      <c r="Q24" s="1009"/>
      <c r="R24" s="375"/>
      <c r="S24" s="376"/>
      <c r="T24" s="375"/>
      <c r="U24" s="625"/>
      <c r="V24" s="560"/>
      <c r="W24" s="606"/>
      <c r="X24" s="377"/>
      <c r="Y24" s="606"/>
      <c r="Z24" s="377"/>
      <c r="AA24" s="606"/>
      <c r="AB24" s="707"/>
      <c r="AC24" s="331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7"/>
      <c r="AQ24" s="377"/>
      <c r="AR24" s="377"/>
      <c r="AS24" s="377"/>
      <c r="AT24" s="377"/>
      <c r="AU24" s="377"/>
      <c r="AV24" s="377"/>
      <c r="AW24" s="377"/>
      <c r="AX24" s="331"/>
    </row>
    <row r="25" spans="1:50" x14ac:dyDescent="0.2">
      <c r="A25" s="1050"/>
      <c r="B25" s="1019"/>
      <c r="C25" s="1051"/>
      <c r="D25" s="1040"/>
      <c r="E25" s="1270"/>
      <c r="F25" s="1267"/>
      <c r="G25" s="1115"/>
      <c r="H25" s="1104"/>
      <c r="I25" s="1046"/>
      <c r="J25" s="377"/>
      <c r="K25" s="701"/>
      <c r="L25" s="482"/>
      <c r="M25" s="851"/>
      <c r="N25" s="663"/>
      <c r="O25" s="651"/>
      <c r="P25" s="1008"/>
      <c r="Q25" s="1009"/>
      <c r="R25" s="375"/>
      <c r="S25" s="376"/>
      <c r="T25" s="375"/>
      <c r="U25" s="625"/>
      <c r="V25" s="560"/>
      <c r="W25" s="606"/>
      <c r="X25" s="377"/>
      <c r="Y25" s="606"/>
      <c r="Z25" s="377"/>
      <c r="AA25" s="606"/>
      <c r="AB25" s="707"/>
      <c r="AC25" s="331"/>
      <c r="AD25" s="377"/>
      <c r="AE25" s="377"/>
      <c r="AF25" s="377"/>
      <c r="AG25" s="377"/>
      <c r="AH25" s="377"/>
      <c r="AI25" s="377"/>
      <c r="AJ25" s="377"/>
      <c r="AK25" s="377"/>
      <c r="AL25" s="377"/>
      <c r="AM25" s="377"/>
      <c r="AN25" s="377"/>
      <c r="AO25" s="377"/>
      <c r="AP25" s="377"/>
      <c r="AQ25" s="377"/>
      <c r="AR25" s="377"/>
      <c r="AS25" s="377"/>
      <c r="AT25" s="377"/>
      <c r="AU25" s="377"/>
      <c r="AV25" s="377"/>
      <c r="AW25" s="377"/>
      <c r="AX25" s="331"/>
    </row>
    <row r="26" spans="1:50" x14ac:dyDescent="0.2">
      <c r="A26" s="1050"/>
      <c r="B26" s="1019"/>
      <c r="C26" s="1051"/>
      <c r="D26" s="1040"/>
      <c r="E26" s="1270"/>
      <c r="F26" s="1267"/>
      <c r="G26" s="1115"/>
      <c r="H26" s="1104"/>
      <c r="I26" s="1046"/>
      <c r="J26" s="377"/>
      <c r="K26" s="701"/>
      <c r="L26" s="482"/>
      <c r="M26" s="851"/>
      <c r="N26" s="663"/>
      <c r="O26" s="651"/>
      <c r="P26" s="1008"/>
      <c r="Q26" s="1009"/>
      <c r="R26" s="375"/>
      <c r="S26" s="376"/>
      <c r="T26" s="375"/>
      <c r="U26" s="625"/>
      <c r="V26" s="560"/>
      <c r="W26" s="606"/>
      <c r="X26" s="377"/>
      <c r="Y26" s="606"/>
      <c r="Z26" s="377"/>
      <c r="AA26" s="606"/>
      <c r="AB26" s="707"/>
      <c r="AC26" s="331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7"/>
      <c r="AR26" s="377"/>
      <c r="AS26" s="377"/>
      <c r="AT26" s="377"/>
      <c r="AU26" s="377"/>
      <c r="AV26" s="377"/>
      <c r="AW26" s="377"/>
      <c r="AX26" s="331"/>
    </row>
    <row r="27" spans="1:50" x14ac:dyDescent="0.2">
      <c r="A27" s="1050"/>
      <c r="B27" s="1019"/>
      <c r="C27" s="1051"/>
      <c r="D27" s="1040"/>
      <c r="E27" s="1270"/>
      <c r="F27" s="1267"/>
      <c r="G27" s="1115"/>
      <c r="H27" s="1104"/>
      <c r="I27" s="1046"/>
      <c r="J27" s="377"/>
      <c r="K27" s="701"/>
      <c r="L27" s="482"/>
      <c r="M27" s="851"/>
      <c r="N27" s="663"/>
      <c r="O27" s="651"/>
      <c r="P27" s="1008"/>
      <c r="Q27" s="1009"/>
      <c r="R27" s="375"/>
      <c r="S27" s="376"/>
      <c r="T27" s="375"/>
      <c r="U27" s="625"/>
      <c r="V27" s="560"/>
      <c r="W27" s="606"/>
      <c r="X27" s="377"/>
      <c r="Y27" s="606"/>
      <c r="Z27" s="377"/>
      <c r="AA27" s="606"/>
      <c r="AB27" s="707"/>
      <c r="AC27" s="331"/>
      <c r="AD27" s="377"/>
      <c r="AE27" s="377"/>
      <c r="AF27" s="377"/>
      <c r="AG27" s="377"/>
      <c r="AH27" s="377"/>
      <c r="AI27" s="377"/>
      <c r="AJ27" s="377"/>
      <c r="AK27" s="377"/>
      <c r="AL27" s="377"/>
      <c r="AM27" s="377"/>
      <c r="AN27" s="377"/>
      <c r="AO27" s="377"/>
      <c r="AP27" s="377"/>
      <c r="AQ27" s="377"/>
      <c r="AR27" s="377"/>
      <c r="AS27" s="377"/>
      <c r="AT27" s="377"/>
      <c r="AU27" s="377"/>
      <c r="AV27" s="377"/>
      <c r="AW27" s="377"/>
      <c r="AX27" s="331"/>
    </row>
    <row r="28" spans="1:50" x14ac:dyDescent="0.2">
      <c r="A28" s="1050"/>
      <c r="B28" s="1019"/>
      <c r="C28" s="1051"/>
      <c r="D28" s="1040"/>
      <c r="E28" s="1270"/>
      <c r="F28" s="1267"/>
      <c r="G28" s="1115"/>
      <c r="H28" s="1104"/>
      <c r="I28" s="1046"/>
      <c r="J28" s="377"/>
      <c r="K28" s="701"/>
      <c r="L28" s="482"/>
      <c r="M28" s="851"/>
      <c r="N28" s="663"/>
      <c r="O28" s="651"/>
      <c r="P28" s="1008"/>
      <c r="Q28" s="1009"/>
      <c r="R28" s="375"/>
      <c r="S28" s="376"/>
      <c r="T28" s="375"/>
      <c r="U28" s="625"/>
      <c r="V28" s="560"/>
      <c r="W28" s="606"/>
      <c r="X28" s="377"/>
      <c r="Y28" s="606"/>
      <c r="Z28" s="377"/>
      <c r="AA28" s="606"/>
      <c r="AB28" s="707"/>
      <c r="AC28" s="331"/>
      <c r="AD28" s="377"/>
      <c r="AE28" s="377"/>
      <c r="AF28" s="377"/>
      <c r="AG28" s="377"/>
      <c r="AH28" s="377"/>
      <c r="AI28" s="377"/>
      <c r="AJ28" s="377"/>
      <c r="AK28" s="377"/>
      <c r="AL28" s="377"/>
      <c r="AM28" s="377"/>
      <c r="AN28" s="377"/>
      <c r="AO28" s="377"/>
      <c r="AP28" s="377"/>
      <c r="AQ28" s="377"/>
      <c r="AR28" s="377"/>
      <c r="AS28" s="377"/>
      <c r="AT28" s="377"/>
      <c r="AU28" s="377"/>
      <c r="AV28" s="377"/>
      <c r="AW28" s="377"/>
      <c r="AX28" s="331"/>
    </row>
    <row r="29" spans="1:50" x14ac:dyDescent="0.2">
      <c r="A29" s="1050"/>
      <c r="B29" s="1019"/>
      <c r="C29" s="1051"/>
      <c r="D29" s="1040"/>
      <c r="E29" s="1270"/>
      <c r="F29" s="1267"/>
      <c r="G29" s="1115"/>
      <c r="H29" s="1104"/>
      <c r="I29" s="1046"/>
      <c r="J29" s="377"/>
      <c r="K29" s="701"/>
      <c r="L29" s="482"/>
      <c r="M29" s="851"/>
      <c r="N29" s="663"/>
      <c r="O29" s="651"/>
      <c r="P29" s="1008"/>
      <c r="Q29" s="1009"/>
      <c r="R29" s="375"/>
      <c r="S29" s="376"/>
      <c r="T29" s="375"/>
      <c r="U29" s="625"/>
      <c r="V29" s="560"/>
      <c r="W29" s="606"/>
      <c r="X29" s="377"/>
      <c r="Y29" s="606"/>
      <c r="Z29" s="377"/>
      <c r="AA29" s="606"/>
      <c r="AB29" s="707"/>
      <c r="AC29" s="331"/>
      <c r="AD29" s="377"/>
      <c r="AE29" s="377"/>
      <c r="AF29" s="377"/>
      <c r="AG29" s="377"/>
      <c r="AH29" s="377"/>
      <c r="AI29" s="377"/>
      <c r="AJ29" s="377"/>
      <c r="AK29" s="377"/>
      <c r="AL29" s="377"/>
      <c r="AM29" s="377"/>
      <c r="AN29" s="377"/>
      <c r="AO29" s="377"/>
      <c r="AP29" s="377"/>
      <c r="AQ29" s="377"/>
      <c r="AR29" s="377"/>
      <c r="AS29" s="377"/>
      <c r="AT29" s="377"/>
      <c r="AU29" s="377"/>
      <c r="AV29" s="377"/>
      <c r="AW29" s="377"/>
      <c r="AX29" s="331"/>
    </row>
    <row r="30" spans="1:50" x14ac:dyDescent="0.2">
      <c r="A30" s="1050"/>
      <c r="B30" s="1042"/>
      <c r="C30" s="1051"/>
      <c r="D30" s="1040"/>
      <c r="E30" s="1270"/>
      <c r="F30" s="1267"/>
      <c r="G30" s="1115"/>
      <c r="H30" s="1104"/>
      <c r="I30" s="1046"/>
      <c r="J30" s="377"/>
      <c r="K30" s="701"/>
      <c r="L30" s="482"/>
      <c r="M30" s="851"/>
      <c r="N30" s="663"/>
      <c r="O30" s="651"/>
      <c r="P30" s="1008"/>
      <c r="Q30" s="1009"/>
      <c r="R30" s="375"/>
      <c r="S30" s="376"/>
      <c r="T30" s="375"/>
      <c r="U30" s="625"/>
      <c r="V30" s="560"/>
      <c r="W30" s="606"/>
      <c r="X30" s="377"/>
      <c r="Y30" s="606"/>
      <c r="Z30" s="377"/>
      <c r="AA30" s="606"/>
      <c r="AB30" s="707"/>
      <c r="AC30" s="331"/>
      <c r="AD30" s="377"/>
      <c r="AE30" s="377"/>
      <c r="AF30" s="377"/>
      <c r="AG30" s="377"/>
      <c r="AH30" s="377"/>
      <c r="AI30" s="377"/>
      <c r="AJ30" s="377"/>
      <c r="AK30" s="377"/>
      <c r="AL30" s="377"/>
      <c r="AM30" s="377"/>
      <c r="AN30" s="377"/>
      <c r="AO30" s="377"/>
      <c r="AP30" s="377"/>
      <c r="AQ30" s="377"/>
      <c r="AR30" s="377"/>
      <c r="AS30" s="377"/>
      <c r="AT30" s="377"/>
      <c r="AU30" s="377"/>
      <c r="AV30" s="377"/>
      <c r="AW30" s="377"/>
      <c r="AX30" s="331"/>
    </row>
    <row r="31" spans="1:50" x14ac:dyDescent="0.2">
      <c r="A31" s="1050"/>
      <c r="B31" s="1019"/>
      <c r="C31" s="1051"/>
      <c r="D31" s="1040"/>
      <c r="E31" s="1270"/>
      <c r="F31" s="1267"/>
      <c r="G31" s="1115"/>
      <c r="H31" s="1104"/>
      <c r="I31" s="1046"/>
      <c r="J31" s="377"/>
      <c r="K31" s="701"/>
      <c r="L31" s="482"/>
      <c r="M31" s="851"/>
      <c r="N31" s="663"/>
      <c r="O31" s="651"/>
      <c r="P31" s="1008"/>
      <c r="Q31" s="1009"/>
      <c r="R31" s="375"/>
      <c r="S31" s="376"/>
      <c r="T31" s="375"/>
      <c r="U31" s="625"/>
      <c r="V31" s="560"/>
      <c r="W31" s="606"/>
      <c r="X31" s="377"/>
      <c r="Y31" s="606"/>
      <c r="Z31" s="377"/>
      <c r="AA31" s="606"/>
      <c r="AB31" s="707"/>
      <c r="AC31" s="331"/>
      <c r="AD31" s="377"/>
      <c r="AE31" s="377"/>
      <c r="AF31" s="377"/>
      <c r="AG31" s="377"/>
      <c r="AH31" s="377"/>
      <c r="AI31" s="377"/>
      <c r="AJ31" s="377"/>
      <c r="AK31" s="377"/>
      <c r="AL31" s="377"/>
      <c r="AM31" s="377"/>
      <c r="AN31" s="377"/>
      <c r="AO31" s="377"/>
      <c r="AP31" s="377"/>
      <c r="AQ31" s="377"/>
      <c r="AR31" s="377"/>
      <c r="AS31" s="377"/>
      <c r="AT31" s="377"/>
      <c r="AU31" s="377"/>
      <c r="AV31" s="377"/>
      <c r="AW31" s="377"/>
      <c r="AX31" s="331"/>
    </row>
    <row r="32" spans="1:50" x14ac:dyDescent="0.2">
      <c r="A32" s="1050"/>
      <c r="B32" s="1019"/>
      <c r="C32" s="1051"/>
      <c r="D32" s="1040"/>
      <c r="E32" s="1270"/>
      <c r="F32" s="1267"/>
      <c r="G32" s="1115"/>
      <c r="H32" s="1104"/>
      <c r="I32" s="1046"/>
      <c r="J32" s="377"/>
      <c r="K32" s="701"/>
      <c r="L32" s="482"/>
      <c r="M32" s="851"/>
      <c r="N32" s="663"/>
      <c r="O32" s="651"/>
      <c r="P32" s="1008"/>
      <c r="Q32" s="1009"/>
      <c r="R32" s="375"/>
      <c r="S32" s="376"/>
      <c r="T32" s="375"/>
      <c r="U32" s="625"/>
      <c r="V32" s="560"/>
      <c r="W32" s="606"/>
      <c r="X32" s="377"/>
      <c r="Y32" s="606"/>
      <c r="Z32" s="377"/>
      <c r="AA32" s="606"/>
      <c r="AB32" s="707"/>
      <c r="AC32" s="331"/>
      <c r="AD32" s="377"/>
      <c r="AE32" s="377"/>
      <c r="AF32" s="377"/>
      <c r="AG32" s="377"/>
      <c r="AH32" s="377"/>
      <c r="AI32" s="377"/>
      <c r="AJ32" s="377"/>
      <c r="AK32" s="377"/>
      <c r="AL32" s="377"/>
      <c r="AM32" s="377"/>
      <c r="AN32" s="377"/>
      <c r="AO32" s="377"/>
      <c r="AP32" s="377"/>
      <c r="AQ32" s="377"/>
      <c r="AR32" s="377"/>
      <c r="AS32" s="377"/>
      <c r="AT32" s="377"/>
      <c r="AU32" s="377"/>
      <c r="AV32" s="377"/>
      <c r="AW32" s="377"/>
      <c r="AX32" s="331"/>
    </row>
    <row r="33" spans="1:50" x14ac:dyDescent="0.2">
      <c r="A33" s="1050"/>
      <c r="B33" s="1019"/>
      <c r="C33" s="1051"/>
      <c r="D33" s="1040"/>
      <c r="E33" s="1270"/>
      <c r="F33" s="1267"/>
      <c r="G33" s="1115"/>
      <c r="H33" s="1104"/>
      <c r="I33" s="1046"/>
      <c r="J33" s="377"/>
      <c r="K33" s="701"/>
      <c r="L33" s="482"/>
      <c r="M33" s="851"/>
      <c r="N33" s="663"/>
      <c r="O33" s="651"/>
      <c r="P33" s="1008"/>
      <c r="Q33" s="1009"/>
      <c r="R33" s="375"/>
      <c r="S33" s="376"/>
      <c r="T33" s="375"/>
      <c r="U33" s="625"/>
      <c r="V33" s="560"/>
      <c r="W33" s="606"/>
      <c r="X33" s="377"/>
      <c r="Y33" s="606"/>
      <c r="Z33" s="377"/>
      <c r="AA33" s="606"/>
      <c r="AB33" s="707"/>
      <c r="AC33" s="331"/>
      <c r="AD33" s="377"/>
      <c r="AE33" s="377"/>
      <c r="AF33" s="377"/>
      <c r="AG33" s="377"/>
      <c r="AH33" s="377"/>
      <c r="AI33" s="377"/>
      <c r="AJ33" s="377"/>
      <c r="AK33" s="377"/>
      <c r="AL33" s="377"/>
      <c r="AM33" s="377"/>
      <c r="AN33" s="377"/>
      <c r="AO33" s="377"/>
      <c r="AP33" s="377"/>
      <c r="AQ33" s="377"/>
      <c r="AR33" s="377"/>
      <c r="AS33" s="377"/>
      <c r="AT33" s="377"/>
      <c r="AU33" s="377"/>
      <c r="AV33" s="377"/>
      <c r="AW33" s="377"/>
      <c r="AX33" s="331"/>
    </row>
    <row r="34" spans="1:50" x14ac:dyDescent="0.2">
      <c r="A34" s="1050"/>
      <c r="B34" s="1019"/>
      <c r="C34" s="1051"/>
      <c r="D34" s="1040"/>
      <c r="E34" s="1270"/>
      <c r="F34" s="1267"/>
      <c r="G34" s="1115"/>
      <c r="H34" s="1104"/>
      <c r="I34" s="1046"/>
      <c r="J34" s="377"/>
      <c r="K34" s="701"/>
      <c r="L34" s="482"/>
      <c r="M34" s="851"/>
      <c r="N34" s="663"/>
      <c r="O34" s="651"/>
      <c r="P34" s="1008"/>
      <c r="Q34" s="1009"/>
      <c r="R34" s="375"/>
      <c r="S34" s="376"/>
      <c r="T34" s="375"/>
      <c r="U34" s="625"/>
      <c r="V34" s="560"/>
      <c r="W34" s="606"/>
      <c r="X34" s="377"/>
      <c r="Y34" s="606"/>
      <c r="Z34" s="377"/>
      <c r="AA34" s="606"/>
      <c r="AB34" s="707"/>
      <c r="AC34" s="331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31"/>
    </row>
    <row r="35" spans="1:50" x14ac:dyDescent="0.2">
      <c r="A35" s="1050"/>
      <c r="B35" s="1019"/>
      <c r="C35" s="1051"/>
      <c r="D35" s="1040"/>
      <c r="E35" s="1270"/>
      <c r="F35" s="1267"/>
      <c r="G35" s="1115"/>
      <c r="H35" s="1104"/>
      <c r="I35" s="1046"/>
      <c r="J35" s="377"/>
      <c r="K35" s="701"/>
      <c r="L35" s="482"/>
      <c r="M35" s="851"/>
      <c r="N35" s="663"/>
      <c r="O35" s="651"/>
      <c r="P35" s="1008"/>
      <c r="Q35" s="1009"/>
      <c r="R35" s="375"/>
      <c r="S35" s="376"/>
      <c r="T35" s="375"/>
      <c r="U35" s="625"/>
      <c r="V35" s="560"/>
      <c r="W35" s="606"/>
      <c r="X35" s="377"/>
      <c r="Y35" s="606"/>
      <c r="Z35" s="377"/>
      <c r="AA35" s="606"/>
      <c r="AB35" s="707"/>
      <c r="AC35" s="331"/>
      <c r="AD35" s="377"/>
      <c r="AE35" s="377"/>
      <c r="AF35" s="377"/>
      <c r="AG35" s="377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  <c r="AR35" s="377"/>
      <c r="AS35" s="377"/>
      <c r="AT35" s="377"/>
      <c r="AU35" s="377"/>
      <c r="AV35" s="377"/>
      <c r="AW35" s="377"/>
      <c r="AX35" s="331"/>
    </row>
    <row r="36" spans="1:50" x14ac:dyDescent="0.2">
      <c r="A36" s="1050"/>
      <c r="B36" s="1019"/>
      <c r="C36" s="1051"/>
      <c r="D36" s="1040"/>
      <c r="E36" s="1270"/>
      <c r="F36" s="1267"/>
      <c r="G36" s="1115"/>
      <c r="H36" s="1104"/>
      <c r="I36" s="1046"/>
      <c r="J36" s="377"/>
      <c r="K36" s="701"/>
      <c r="L36" s="482"/>
      <c r="M36" s="851"/>
      <c r="N36" s="663"/>
      <c r="O36" s="651"/>
      <c r="P36" s="1008"/>
      <c r="Q36" s="1009"/>
      <c r="R36" s="375"/>
      <c r="S36" s="376"/>
      <c r="T36" s="375"/>
      <c r="U36" s="625"/>
      <c r="V36" s="560"/>
      <c r="W36" s="606"/>
      <c r="X36" s="377"/>
      <c r="Y36" s="606"/>
      <c r="Z36" s="377"/>
      <c r="AA36" s="606"/>
      <c r="AB36" s="707"/>
      <c r="AC36" s="331"/>
      <c r="AD36" s="377"/>
      <c r="AE36" s="377"/>
      <c r="AF36" s="377"/>
      <c r="AG36" s="377"/>
      <c r="AH36" s="377"/>
      <c r="AI36" s="377"/>
      <c r="AJ36" s="377"/>
      <c r="AK36" s="377"/>
      <c r="AL36" s="377"/>
      <c r="AM36" s="377"/>
      <c r="AN36" s="377"/>
      <c r="AO36" s="377"/>
      <c r="AP36" s="377"/>
      <c r="AQ36" s="377"/>
      <c r="AR36" s="377"/>
      <c r="AS36" s="377"/>
      <c r="AT36" s="377"/>
      <c r="AU36" s="377"/>
      <c r="AV36" s="377"/>
      <c r="AW36" s="377"/>
      <c r="AX36" s="331"/>
    </row>
    <row r="37" spans="1:50" x14ac:dyDescent="0.2">
      <c r="A37" s="1050"/>
      <c r="B37" s="1019"/>
      <c r="C37" s="1051"/>
      <c r="D37" s="1040"/>
      <c r="E37" s="1270"/>
      <c r="F37" s="1267"/>
      <c r="G37" s="1115"/>
      <c r="H37" s="1104"/>
      <c r="I37" s="1046"/>
      <c r="J37" s="377"/>
      <c r="K37" s="701"/>
      <c r="L37" s="482"/>
      <c r="M37" s="851"/>
      <c r="N37" s="663"/>
      <c r="O37" s="651"/>
      <c r="P37" s="1008"/>
      <c r="Q37" s="1009"/>
      <c r="R37" s="375"/>
      <c r="S37" s="376"/>
      <c r="T37" s="375"/>
      <c r="U37" s="625"/>
      <c r="V37" s="560"/>
      <c r="W37" s="606"/>
      <c r="X37" s="377"/>
      <c r="Y37" s="606"/>
      <c r="Z37" s="377"/>
      <c r="AA37" s="606"/>
      <c r="AB37" s="707"/>
      <c r="AC37" s="331"/>
      <c r="AD37" s="377"/>
      <c r="AE37" s="377"/>
      <c r="AF37" s="377"/>
      <c r="AG37" s="377"/>
      <c r="AH37" s="377"/>
      <c r="AI37" s="377"/>
      <c r="AJ37" s="377"/>
      <c r="AK37" s="377"/>
      <c r="AL37" s="377"/>
      <c r="AM37" s="377"/>
      <c r="AN37" s="377"/>
      <c r="AO37" s="377"/>
      <c r="AP37" s="377"/>
      <c r="AQ37" s="377"/>
      <c r="AR37" s="377"/>
      <c r="AS37" s="377"/>
      <c r="AT37" s="377"/>
      <c r="AU37" s="377"/>
      <c r="AV37" s="377"/>
      <c r="AW37" s="377"/>
      <c r="AX37" s="331"/>
    </row>
    <row r="38" spans="1:50" x14ac:dyDescent="0.2">
      <c r="A38" s="1050"/>
      <c r="B38" s="1019"/>
      <c r="C38" s="1051"/>
      <c r="D38" s="1040"/>
      <c r="E38" s="1270"/>
      <c r="F38" s="1267"/>
      <c r="G38" s="1115"/>
      <c r="H38" s="1104"/>
      <c r="I38" s="1046"/>
      <c r="J38" s="377"/>
      <c r="K38" s="701"/>
      <c r="L38" s="482"/>
      <c r="M38" s="851"/>
      <c r="N38" s="663"/>
      <c r="O38" s="651"/>
      <c r="P38" s="1008"/>
      <c r="Q38" s="1009"/>
      <c r="R38" s="375"/>
      <c r="S38" s="376"/>
      <c r="T38" s="375"/>
      <c r="U38" s="625"/>
      <c r="V38" s="560"/>
      <c r="W38" s="606"/>
      <c r="X38" s="377"/>
      <c r="Y38" s="606"/>
      <c r="Z38" s="377"/>
      <c r="AA38" s="606"/>
      <c r="AB38" s="707"/>
      <c r="AC38" s="331"/>
      <c r="AD38" s="377"/>
      <c r="AE38" s="377"/>
      <c r="AF38" s="377"/>
      <c r="AG38" s="377"/>
      <c r="AH38" s="377"/>
      <c r="AI38" s="377"/>
      <c r="AJ38" s="377"/>
      <c r="AK38" s="377"/>
      <c r="AL38" s="377"/>
      <c r="AM38" s="377"/>
      <c r="AN38" s="377"/>
      <c r="AO38" s="377"/>
      <c r="AP38" s="377"/>
      <c r="AQ38" s="377"/>
      <c r="AR38" s="377"/>
      <c r="AS38" s="377"/>
      <c r="AT38" s="377"/>
      <c r="AU38" s="377"/>
      <c r="AV38" s="377"/>
      <c r="AW38" s="377"/>
      <c r="AX38" s="331"/>
    </row>
    <row r="39" spans="1:50" x14ac:dyDescent="0.2">
      <c r="A39" s="1050"/>
      <c r="B39" s="1019"/>
      <c r="C39" s="1051"/>
      <c r="D39" s="1040"/>
      <c r="E39" s="1270"/>
      <c r="F39" s="1267"/>
      <c r="G39" s="1115"/>
      <c r="H39" s="1104"/>
      <c r="I39" s="1046"/>
      <c r="J39" s="377"/>
      <c r="K39" s="701"/>
      <c r="L39" s="482"/>
      <c r="M39" s="851"/>
      <c r="N39" s="663"/>
      <c r="O39" s="651"/>
      <c r="P39" s="1008"/>
      <c r="Q39" s="1009"/>
      <c r="R39" s="375"/>
      <c r="S39" s="376"/>
      <c r="T39" s="375"/>
      <c r="U39" s="625"/>
      <c r="V39" s="560"/>
      <c r="W39" s="606"/>
      <c r="X39" s="377"/>
      <c r="Y39" s="606"/>
      <c r="Z39" s="377"/>
      <c r="AA39" s="606"/>
      <c r="AB39" s="707"/>
      <c r="AC39" s="331"/>
      <c r="AD39" s="377"/>
      <c r="AE39" s="377"/>
      <c r="AF39" s="377"/>
      <c r="AG39" s="377"/>
      <c r="AH39" s="377"/>
      <c r="AI39" s="377"/>
      <c r="AJ39" s="377"/>
      <c r="AK39" s="377"/>
      <c r="AL39" s="377"/>
      <c r="AM39" s="377"/>
      <c r="AN39" s="377"/>
      <c r="AO39" s="377"/>
      <c r="AP39" s="377"/>
      <c r="AQ39" s="377"/>
      <c r="AR39" s="377"/>
      <c r="AS39" s="377"/>
      <c r="AT39" s="377"/>
      <c r="AU39" s="377"/>
      <c r="AV39" s="377"/>
      <c r="AW39" s="377"/>
      <c r="AX39" s="331"/>
    </row>
    <row r="40" spans="1:50" x14ac:dyDescent="0.2">
      <c r="A40" s="1050"/>
      <c r="B40" s="1019"/>
      <c r="C40" s="1051"/>
      <c r="D40" s="1040"/>
      <c r="E40" s="1270"/>
      <c r="F40" s="1267"/>
      <c r="G40" s="1115"/>
      <c r="H40" s="1104"/>
      <c r="I40" s="1046"/>
      <c r="J40" s="377"/>
      <c r="K40" s="701"/>
      <c r="L40" s="482"/>
      <c r="M40" s="851"/>
      <c r="N40" s="663"/>
      <c r="O40" s="651"/>
      <c r="P40" s="1008"/>
      <c r="Q40" s="1009"/>
      <c r="R40" s="375"/>
      <c r="S40" s="376"/>
      <c r="T40" s="375"/>
      <c r="U40" s="625"/>
      <c r="V40" s="560"/>
      <c r="W40" s="606"/>
      <c r="X40" s="377"/>
      <c r="Y40" s="606"/>
      <c r="Z40" s="377"/>
      <c r="AA40" s="606"/>
      <c r="AB40" s="707"/>
      <c r="AC40" s="331"/>
      <c r="AD40" s="377"/>
      <c r="AE40" s="377"/>
      <c r="AF40" s="377"/>
      <c r="AG40" s="377"/>
      <c r="AH40" s="377"/>
      <c r="AI40" s="377"/>
      <c r="AJ40" s="377"/>
      <c r="AK40" s="377"/>
      <c r="AL40" s="377"/>
      <c r="AM40" s="377"/>
      <c r="AN40" s="377"/>
      <c r="AO40" s="377"/>
      <c r="AP40" s="377"/>
      <c r="AQ40" s="377"/>
      <c r="AR40" s="377"/>
      <c r="AS40" s="377"/>
      <c r="AT40" s="377"/>
      <c r="AU40" s="377"/>
      <c r="AV40" s="377"/>
      <c r="AW40" s="377"/>
      <c r="AX40" s="331"/>
    </row>
    <row r="41" spans="1:50" x14ac:dyDescent="0.2">
      <c r="A41" s="1050"/>
      <c r="B41" s="1019"/>
      <c r="C41" s="1051"/>
      <c r="D41" s="1040"/>
      <c r="E41" s="1270"/>
      <c r="F41" s="1267"/>
      <c r="G41" s="1115"/>
      <c r="H41" s="1104"/>
      <c r="I41" s="1046"/>
      <c r="J41" s="377"/>
      <c r="K41" s="701"/>
      <c r="L41" s="482"/>
      <c r="M41" s="851"/>
      <c r="N41" s="663"/>
      <c r="O41" s="651"/>
      <c r="P41" s="1008"/>
      <c r="Q41" s="1009"/>
      <c r="R41" s="375"/>
      <c r="S41" s="376"/>
      <c r="T41" s="375"/>
      <c r="U41" s="625"/>
      <c r="V41" s="560"/>
      <c r="W41" s="606"/>
      <c r="X41" s="377"/>
      <c r="Y41" s="606"/>
      <c r="Z41" s="377"/>
      <c r="AA41" s="606"/>
      <c r="AB41" s="707"/>
      <c r="AC41" s="331"/>
      <c r="AD41" s="377"/>
      <c r="AE41" s="377"/>
      <c r="AF41" s="377"/>
      <c r="AG41" s="377"/>
      <c r="AH41" s="377"/>
      <c r="AI41" s="377"/>
      <c r="AJ41" s="377"/>
      <c r="AK41" s="377"/>
      <c r="AL41" s="377"/>
      <c r="AM41" s="377"/>
      <c r="AN41" s="377"/>
      <c r="AO41" s="377"/>
      <c r="AP41" s="377"/>
      <c r="AQ41" s="377"/>
      <c r="AR41" s="377"/>
      <c r="AS41" s="377"/>
      <c r="AT41" s="377"/>
      <c r="AU41" s="377"/>
      <c r="AV41" s="377"/>
      <c r="AW41" s="377"/>
      <c r="AX41" s="331"/>
    </row>
    <row r="42" spans="1:50" x14ac:dyDescent="0.2">
      <c r="A42" s="1050"/>
      <c r="B42" s="1019"/>
      <c r="C42" s="1051"/>
      <c r="D42" s="1040"/>
      <c r="E42" s="1270"/>
      <c r="F42" s="1267"/>
      <c r="G42" s="1115"/>
      <c r="H42" s="1104"/>
      <c r="I42" s="1046"/>
      <c r="J42" s="377"/>
      <c r="K42" s="701"/>
      <c r="L42" s="482"/>
      <c r="M42" s="851"/>
      <c r="N42" s="663"/>
      <c r="O42" s="651"/>
      <c r="P42" s="1008"/>
      <c r="Q42" s="1009"/>
      <c r="R42" s="375"/>
      <c r="S42" s="376"/>
      <c r="T42" s="375"/>
      <c r="U42" s="625"/>
      <c r="V42" s="560"/>
      <c r="W42" s="606"/>
      <c r="X42" s="377"/>
      <c r="Y42" s="606"/>
      <c r="Z42" s="377"/>
      <c r="AA42" s="606"/>
      <c r="AB42" s="707"/>
      <c r="AC42" s="331"/>
      <c r="AD42" s="377"/>
      <c r="AE42" s="377"/>
      <c r="AF42" s="377"/>
      <c r="AG42" s="377"/>
      <c r="AH42" s="377"/>
      <c r="AI42" s="377"/>
      <c r="AJ42" s="377"/>
      <c r="AK42" s="377"/>
      <c r="AL42" s="377"/>
      <c r="AM42" s="377"/>
      <c r="AN42" s="377"/>
      <c r="AO42" s="377"/>
      <c r="AP42" s="377"/>
      <c r="AQ42" s="377"/>
      <c r="AR42" s="377"/>
      <c r="AS42" s="377"/>
      <c r="AT42" s="377"/>
      <c r="AU42" s="377"/>
      <c r="AV42" s="377"/>
      <c r="AW42" s="377"/>
      <c r="AX42" s="331"/>
    </row>
    <row r="43" spans="1:50" x14ac:dyDescent="0.2">
      <c r="A43" s="1050"/>
      <c r="B43" s="1019"/>
      <c r="C43" s="1051"/>
      <c r="D43" s="1040"/>
      <c r="E43" s="1270"/>
      <c r="F43" s="1267"/>
      <c r="G43" s="1115"/>
      <c r="H43" s="1104"/>
      <c r="I43" s="1046"/>
      <c r="J43" s="377"/>
      <c r="K43" s="701"/>
      <c r="L43" s="482"/>
      <c r="M43" s="851"/>
      <c r="N43" s="663"/>
      <c r="O43" s="651"/>
      <c r="P43" s="1008"/>
      <c r="Q43" s="1009"/>
      <c r="R43" s="375"/>
      <c r="S43" s="376"/>
      <c r="T43" s="375"/>
      <c r="U43" s="625"/>
      <c r="V43" s="560"/>
      <c r="W43" s="606"/>
      <c r="X43" s="377"/>
      <c r="Y43" s="606"/>
      <c r="Z43" s="377"/>
      <c r="AA43" s="606"/>
      <c r="AB43" s="707"/>
      <c r="AC43" s="331"/>
      <c r="AD43" s="377"/>
      <c r="AE43" s="377"/>
      <c r="AF43" s="377"/>
      <c r="AG43" s="377"/>
      <c r="AH43" s="377"/>
      <c r="AI43" s="377"/>
      <c r="AJ43" s="377"/>
      <c r="AK43" s="377"/>
      <c r="AL43" s="377"/>
      <c r="AM43" s="377"/>
      <c r="AN43" s="377"/>
      <c r="AO43" s="377"/>
      <c r="AP43" s="377"/>
      <c r="AQ43" s="377"/>
      <c r="AR43" s="377"/>
      <c r="AS43" s="377"/>
      <c r="AT43" s="377"/>
      <c r="AU43" s="377"/>
      <c r="AV43" s="377"/>
      <c r="AW43" s="377"/>
      <c r="AX43" s="331"/>
    </row>
    <row r="44" spans="1:50" x14ac:dyDescent="0.2">
      <c r="A44" s="1050"/>
      <c r="B44" s="1042"/>
      <c r="C44" s="1051"/>
      <c r="D44" s="1040"/>
      <c r="E44" s="1270"/>
      <c r="F44" s="1267"/>
      <c r="G44" s="1115"/>
      <c r="H44" s="1104"/>
      <c r="I44" s="1046"/>
      <c r="J44" s="377"/>
      <c r="K44" s="701"/>
      <c r="L44" s="482"/>
      <c r="M44" s="851"/>
      <c r="N44" s="663"/>
      <c r="O44" s="651"/>
      <c r="P44" s="1008"/>
      <c r="Q44" s="1009"/>
      <c r="R44" s="375"/>
      <c r="S44" s="376"/>
      <c r="T44" s="375"/>
      <c r="U44" s="625"/>
      <c r="V44" s="560"/>
      <c r="W44" s="606"/>
      <c r="X44" s="377"/>
      <c r="Y44" s="606"/>
      <c r="Z44" s="377"/>
      <c r="AA44" s="606"/>
      <c r="AB44" s="707"/>
      <c r="AC44" s="331"/>
      <c r="AD44" s="377"/>
      <c r="AE44" s="377"/>
      <c r="AF44" s="377"/>
      <c r="AG44" s="377"/>
      <c r="AH44" s="377"/>
      <c r="AI44" s="377"/>
      <c r="AJ44" s="377"/>
      <c r="AK44" s="377"/>
      <c r="AL44" s="377"/>
      <c r="AM44" s="377"/>
      <c r="AN44" s="377"/>
      <c r="AO44" s="377"/>
      <c r="AP44" s="377"/>
      <c r="AQ44" s="377"/>
      <c r="AR44" s="377"/>
      <c r="AS44" s="377"/>
      <c r="AT44" s="377"/>
      <c r="AU44" s="377"/>
      <c r="AV44" s="377"/>
      <c r="AW44" s="377"/>
      <c r="AX44" s="331"/>
    </row>
    <row r="45" spans="1:50" x14ac:dyDescent="0.2">
      <c r="A45" s="1050"/>
      <c r="B45" s="1042"/>
      <c r="C45" s="1051"/>
      <c r="D45" s="1040"/>
      <c r="E45" s="1270"/>
      <c r="F45" s="1267"/>
      <c r="G45" s="1115"/>
      <c r="H45" s="1104"/>
      <c r="I45" s="1046"/>
      <c r="J45" s="377"/>
      <c r="K45" s="701"/>
      <c r="L45" s="482"/>
      <c r="M45" s="851"/>
      <c r="N45" s="663"/>
      <c r="O45" s="651"/>
      <c r="P45" s="1008"/>
      <c r="Q45" s="1009"/>
      <c r="R45" s="375"/>
      <c r="S45" s="376"/>
      <c r="T45" s="375"/>
      <c r="U45" s="625"/>
      <c r="V45" s="560"/>
      <c r="W45" s="606"/>
      <c r="X45" s="377"/>
      <c r="Y45" s="606"/>
      <c r="Z45" s="377"/>
      <c r="AA45" s="606"/>
      <c r="AB45" s="707"/>
      <c r="AC45" s="331"/>
      <c r="AD45" s="377"/>
      <c r="AE45" s="377"/>
      <c r="AF45" s="377"/>
      <c r="AG45" s="377"/>
      <c r="AH45" s="377"/>
      <c r="AI45" s="377"/>
      <c r="AJ45" s="377"/>
      <c r="AK45" s="377"/>
      <c r="AL45" s="377"/>
      <c r="AM45" s="377"/>
      <c r="AN45" s="377"/>
      <c r="AO45" s="377"/>
      <c r="AP45" s="377"/>
      <c r="AQ45" s="377"/>
      <c r="AR45" s="377"/>
      <c r="AS45" s="377"/>
      <c r="AT45" s="377"/>
      <c r="AU45" s="377"/>
      <c r="AV45" s="377"/>
      <c r="AW45" s="377"/>
      <c r="AX45" s="331"/>
    </row>
    <row r="46" spans="1:50" x14ac:dyDescent="0.2">
      <c r="A46" s="1050"/>
      <c r="B46" s="1019"/>
      <c r="C46" s="1051"/>
      <c r="D46" s="1040"/>
      <c r="E46" s="1270"/>
      <c r="F46" s="1267"/>
      <c r="G46" s="1115"/>
      <c r="H46" s="1104"/>
      <c r="I46" s="1046"/>
      <c r="J46" s="377"/>
      <c r="K46" s="701"/>
      <c r="L46" s="482"/>
      <c r="M46" s="851"/>
      <c r="N46" s="663"/>
      <c r="O46" s="651"/>
      <c r="P46" s="1008"/>
      <c r="Q46" s="1009"/>
      <c r="R46" s="375"/>
      <c r="S46" s="376"/>
      <c r="T46" s="375"/>
      <c r="U46" s="625"/>
      <c r="V46" s="560"/>
      <c r="W46" s="606"/>
      <c r="X46" s="377"/>
      <c r="Y46" s="606"/>
      <c r="Z46" s="377"/>
      <c r="AA46" s="606"/>
      <c r="AB46" s="707"/>
      <c r="AC46" s="331"/>
      <c r="AD46" s="377"/>
      <c r="AE46" s="377"/>
      <c r="AF46" s="377"/>
      <c r="AG46" s="377"/>
      <c r="AH46" s="377"/>
      <c r="AI46" s="377"/>
      <c r="AJ46" s="377"/>
      <c r="AK46" s="377"/>
      <c r="AL46" s="377"/>
      <c r="AM46" s="377"/>
      <c r="AN46" s="377"/>
      <c r="AO46" s="377"/>
      <c r="AP46" s="377"/>
      <c r="AQ46" s="377"/>
      <c r="AR46" s="377"/>
      <c r="AS46" s="377"/>
      <c r="AT46" s="377"/>
      <c r="AU46" s="377"/>
      <c r="AV46" s="377"/>
      <c r="AW46" s="377"/>
      <c r="AX46" s="331"/>
    </row>
    <row r="47" spans="1:50" x14ac:dyDescent="0.2">
      <c r="A47" s="1050"/>
      <c r="B47" s="1019"/>
      <c r="C47" s="1051"/>
      <c r="D47" s="1040"/>
      <c r="E47" s="1270"/>
      <c r="F47" s="1267"/>
      <c r="G47" s="1115"/>
      <c r="H47" s="1104"/>
      <c r="I47" s="1046"/>
      <c r="J47" s="377"/>
      <c r="K47" s="701"/>
      <c r="L47" s="482"/>
      <c r="M47" s="851"/>
      <c r="N47" s="663"/>
      <c r="O47" s="651"/>
      <c r="P47" s="1008"/>
      <c r="Q47" s="1009"/>
      <c r="R47" s="375"/>
      <c r="S47" s="376"/>
      <c r="T47" s="375"/>
      <c r="U47" s="625"/>
      <c r="V47" s="560"/>
      <c r="W47" s="606"/>
      <c r="X47" s="377"/>
      <c r="Y47" s="606"/>
      <c r="Z47" s="377"/>
      <c r="AA47" s="606"/>
      <c r="AB47" s="707"/>
      <c r="AC47" s="331"/>
      <c r="AD47" s="377"/>
      <c r="AE47" s="377"/>
      <c r="AF47" s="377"/>
      <c r="AG47" s="377"/>
      <c r="AH47" s="377"/>
      <c r="AI47" s="377"/>
      <c r="AJ47" s="377"/>
      <c r="AK47" s="377"/>
      <c r="AL47" s="377"/>
      <c r="AM47" s="377"/>
      <c r="AN47" s="377"/>
      <c r="AO47" s="377"/>
      <c r="AP47" s="377"/>
      <c r="AQ47" s="377"/>
      <c r="AR47" s="377"/>
      <c r="AS47" s="377"/>
      <c r="AT47" s="377"/>
      <c r="AU47" s="377"/>
      <c r="AV47" s="377"/>
      <c r="AW47" s="377"/>
      <c r="AX47" s="331"/>
    </row>
    <row r="48" spans="1:50" x14ac:dyDescent="0.2">
      <c r="A48" s="1050"/>
      <c r="B48" s="1019"/>
      <c r="C48" s="1051"/>
      <c r="D48" s="1040"/>
      <c r="E48" s="1270"/>
      <c r="F48" s="1267"/>
      <c r="G48" s="1115"/>
      <c r="H48" s="1104"/>
      <c r="I48" s="1046"/>
      <c r="J48" s="377"/>
      <c r="K48" s="701"/>
      <c r="L48" s="482"/>
      <c r="M48" s="851"/>
      <c r="N48" s="663"/>
      <c r="O48" s="651"/>
      <c r="P48" s="1008"/>
      <c r="Q48" s="1009"/>
      <c r="R48" s="375"/>
      <c r="S48" s="376"/>
      <c r="T48" s="375"/>
      <c r="U48" s="625"/>
      <c r="V48" s="560"/>
      <c r="W48" s="606"/>
      <c r="X48" s="377"/>
      <c r="Y48" s="606"/>
      <c r="Z48" s="377"/>
      <c r="AA48" s="606"/>
      <c r="AB48" s="707"/>
      <c r="AC48" s="331"/>
      <c r="AD48" s="377"/>
      <c r="AE48" s="377"/>
      <c r="AF48" s="377"/>
      <c r="AG48" s="377"/>
      <c r="AH48" s="377"/>
      <c r="AI48" s="377"/>
      <c r="AJ48" s="377"/>
      <c r="AK48" s="377"/>
      <c r="AL48" s="377"/>
      <c r="AM48" s="377"/>
      <c r="AN48" s="377"/>
      <c r="AO48" s="377"/>
      <c r="AP48" s="377"/>
      <c r="AQ48" s="377"/>
      <c r="AR48" s="377"/>
      <c r="AS48" s="377"/>
      <c r="AT48" s="377"/>
      <c r="AU48" s="377"/>
      <c r="AV48" s="377"/>
      <c r="AW48" s="377"/>
      <c r="AX48" s="331"/>
    </row>
    <row r="49" spans="1:50" x14ac:dyDescent="0.2">
      <c r="A49" s="1050"/>
      <c r="B49" s="1019"/>
      <c r="C49" s="1051"/>
      <c r="D49" s="1040"/>
      <c r="E49" s="1270"/>
      <c r="F49" s="1267"/>
      <c r="G49" s="1115"/>
      <c r="H49" s="1104"/>
      <c r="I49" s="1046"/>
      <c r="J49" s="377"/>
      <c r="K49" s="701"/>
      <c r="L49" s="482"/>
      <c r="M49" s="851"/>
      <c r="N49" s="663"/>
      <c r="O49" s="651"/>
      <c r="P49" s="1008"/>
      <c r="Q49" s="1009"/>
      <c r="R49" s="375"/>
      <c r="S49" s="376"/>
      <c r="T49" s="375"/>
      <c r="U49" s="625"/>
      <c r="V49" s="560"/>
      <c r="W49" s="606"/>
      <c r="X49" s="377"/>
      <c r="Y49" s="606"/>
      <c r="Z49" s="377"/>
      <c r="AA49" s="606"/>
      <c r="AB49" s="707"/>
      <c r="AC49" s="331"/>
      <c r="AD49" s="377"/>
      <c r="AE49" s="377"/>
      <c r="AF49" s="377"/>
      <c r="AG49" s="377"/>
      <c r="AH49" s="377"/>
      <c r="AI49" s="377"/>
      <c r="AJ49" s="377"/>
      <c r="AK49" s="377"/>
      <c r="AL49" s="377"/>
      <c r="AM49" s="377"/>
      <c r="AN49" s="377"/>
      <c r="AO49" s="377"/>
      <c r="AP49" s="377"/>
      <c r="AQ49" s="377"/>
      <c r="AR49" s="377"/>
      <c r="AS49" s="377"/>
      <c r="AT49" s="377"/>
      <c r="AU49" s="377"/>
      <c r="AV49" s="377"/>
      <c r="AW49" s="377"/>
      <c r="AX49" s="331"/>
    </row>
    <row r="50" spans="1:50" x14ac:dyDescent="0.2">
      <c r="A50" s="1050"/>
      <c r="B50" s="1019"/>
      <c r="C50" s="1051"/>
      <c r="D50" s="1040"/>
      <c r="E50" s="1270"/>
      <c r="F50" s="1267"/>
      <c r="G50" s="1115"/>
      <c r="H50" s="1104"/>
      <c r="I50" s="1046"/>
      <c r="J50" s="377"/>
      <c r="K50" s="701"/>
      <c r="L50" s="482"/>
      <c r="M50" s="851"/>
      <c r="N50" s="663"/>
      <c r="O50" s="651"/>
      <c r="P50" s="1008"/>
      <c r="Q50" s="1009"/>
      <c r="R50" s="375"/>
      <c r="S50" s="376"/>
      <c r="T50" s="375"/>
      <c r="U50" s="625"/>
      <c r="V50" s="560"/>
      <c r="W50" s="606"/>
      <c r="X50" s="377"/>
      <c r="Y50" s="606"/>
      <c r="Z50" s="377"/>
      <c r="AA50" s="606"/>
      <c r="AB50" s="707"/>
      <c r="AC50" s="331"/>
      <c r="AD50" s="377"/>
      <c r="AE50" s="377"/>
      <c r="AF50" s="377"/>
      <c r="AG50" s="377"/>
      <c r="AH50" s="377"/>
      <c r="AI50" s="377"/>
      <c r="AJ50" s="377"/>
      <c r="AK50" s="377"/>
      <c r="AL50" s="377"/>
      <c r="AM50" s="377"/>
      <c r="AN50" s="377"/>
      <c r="AO50" s="377"/>
      <c r="AP50" s="377"/>
      <c r="AQ50" s="377"/>
      <c r="AR50" s="377"/>
      <c r="AS50" s="377"/>
      <c r="AT50" s="377"/>
      <c r="AU50" s="377"/>
      <c r="AV50" s="377"/>
      <c r="AW50" s="377"/>
      <c r="AX50" s="331"/>
    </row>
    <row r="51" spans="1:50" x14ac:dyDescent="0.2">
      <c r="A51" s="1050"/>
      <c r="B51" s="1019"/>
      <c r="C51" s="1051"/>
      <c r="D51" s="1040"/>
      <c r="E51" s="1270"/>
      <c r="F51" s="1267"/>
      <c r="G51" s="1115"/>
      <c r="H51" s="1104"/>
      <c r="I51" s="1046"/>
      <c r="J51" s="377"/>
      <c r="K51" s="701"/>
      <c r="L51" s="482"/>
      <c r="M51" s="851"/>
      <c r="N51" s="663"/>
      <c r="O51" s="651"/>
      <c r="P51" s="1008"/>
      <c r="Q51" s="1009"/>
      <c r="R51" s="375"/>
      <c r="S51" s="376"/>
      <c r="T51" s="375"/>
      <c r="U51" s="625"/>
      <c r="V51" s="560"/>
      <c r="W51" s="606"/>
      <c r="X51" s="377"/>
      <c r="Y51" s="606"/>
      <c r="Z51" s="377"/>
      <c r="AA51" s="606"/>
      <c r="AB51" s="707"/>
      <c r="AC51" s="331"/>
      <c r="AD51" s="377"/>
      <c r="AE51" s="377"/>
      <c r="AF51" s="377"/>
      <c r="AG51" s="377"/>
      <c r="AH51" s="377"/>
      <c r="AI51" s="377"/>
      <c r="AJ51" s="377"/>
      <c r="AK51" s="377"/>
      <c r="AL51" s="377"/>
      <c r="AM51" s="377"/>
      <c r="AN51" s="377"/>
      <c r="AO51" s="377"/>
      <c r="AP51" s="377"/>
      <c r="AQ51" s="377"/>
      <c r="AR51" s="377"/>
      <c r="AS51" s="377"/>
      <c r="AT51" s="377"/>
      <c r="AU51" s="377"/>
      <c r="AV51" s="377"/>
      <c r="AW51" s="377"/>
      <c r="AX51" s="331"/>
    </row>
    <row r="52" spans="1:50" x14ac:dyDescent="0.2">
      <c r="A52" s="1050"/>
      <c r="B52" s="1019"/>
      <c r="C52" s="1051"/>
      <c r="D52" s="1040"/>
      <c r="E52" s="1270"/>
      <c r="F52" s="1267"/>
      <c r="G52" s="1115"/>
      <c r="H52" s="1104"/>
      <c r="I52" s="1046"/>
      <c r="J52" s="377"/>
      <c r="K52" s="701"/>
      <c r="L52" s="482"/>
      <c r="M52" s="851"/>
      <c r="N52" s="663"/>
      <c r="O52" s="651"/>
      <c r="P52" s="1008"/>
      <c r="Q52" s="1009"/>
      <c r="R52" s="375"/>
      <c r="S52" s="376"/>
      <c r="T52" s="375"/>
      <c r="U52" s="625"/>
      <c r="V52" s="560"/>
      <c r="W52" s="606"/>
      <c r="X52" s="377"/>
      <c r="Y52" s="606"/>
      <c r="Z52" s="377"/>
      <c r="AA52" s="606"/>
      <c r="AB52" s="707"/>
      <c r="AC52" s="331"/>
      <c r="AD52" s="377"/>
      <c r="AE52" s="377"/>
      <c r="AF52" s="377"/>
      <c r="AG52" s="377"/>
      <c r="AH52" s="377"/>
      <c r="AI52" s="377"/>
      <c r="AJ52" s="377"/>
      <c r="AK52" s="377"/>
      <c r="AL52" s="377"/>
      <c r="AM52" s="377"/>
      <c r="AN52" s="377"/>
      <c r="AO52" s="377"/>
      <c r="AP52" s="377"/>
      <c r="AQ52" s="377"/>
      <c r="AR52" s="377"/>
      <c r="AS52" s="377"/>
      <c r="AT52" s="377"/>
      <c r="AU52" s="377"/>
      <c r="AV52" s="377"/>
      <c r="AW52" s="377"/>
      <c r="AX52" s="331"/>
    </row>
    <row r="53" spans="1:50" x14ac:dyDescent="0.2">
      <c r="A53" s="1050"/>
      <c r="B53" s="1019"/>
      <c r="C53" s="1051"/>
      <c r="D53" s="1040"/>
      <c r="E53" s="1270"/>
      <c r="F53" s="1267"/>
      <c r="G53" s="1115"/>
      <c r="H53" s="1104"/>
      <c r="I53" s="1046"/>
      <c r="J53" s="377"/>
      <c r="K53" s="701"/>
      <c r="L53" s="482"/>
      <c r="M53" s="851"/>
      <c r="N53" s="663"/>
      <c r="O53" s="651"/>
      <c r="P53" s="1008"/>
      <c r="Q53" s="1009"/>
      <c r="R53" s="375"/>
      <c r="S53" s="376"/>
      <c r="T53" s="375"/>
      <c r="U53" s="625"/>
      <c r="V53" s="560"/>
      <c r="W53" s="606"/>
      <c r="X53" s="377"/>
      <c r="Y53" s="606"/>
      <c r="Z53" s="377"/>
      <c r="AA53" s="606"/>
      <c r="AB53" s="707"/>
      <c r="AC53" s="331"/>
      <c r="AD53" s="377"/>
      <c r="AE53" s="377"/>
      <c r="AF53" s="377"/>
      <c r="AG53" s="377"/>
      <c r="AH53" s="377"/>
      <c r="AI53" s="377"/>
      <c r="AJ53" s="377"/>
      <c r="AK53" s="377"/>
      <c r="AL53" s="377"/>
      <c r="AM53" s="377"/>
      <c r="AN53" s="377"/>
      <c r="AO53" s="377"/>
      <c r="AP53" s="377"/>
      <c r="AQ53" s="377"/>
      <c r="AR53" s="377"/>
      <c r="AS53" s="377"/>
      <c r="AT53" s="377"/>
      <c r="AU53" s="377"/>
      <c r="AV53" s="377"/>
      <c r="AW53" s="377"/>
      <c r="AX53" s="331"/>
    </row>
    <row r="54" spans="1:50" x14ac:dyDescent="0.2">
      <c r="A54" s="1050"/>
      <c r="B54" s="1019"/>
      <c r="C54" s="1051"/>
      <c r="D54" s="1040"/>
      <c r="E54" s="1270"/>
      <c r="F54" s="1267"/>
      <c r="G54" s="1115"/>
      <c r="H54" s="1104"/>
      <c r="I54" s="1046"/>
      <c r="J54" s="377"/>
      <c r="K54" s="701"/>
      <c r="L54" s="482"/>
      <c r="M54" s="851"/>
      <c r="N54" s="663"/>
      <c r="O54" s="651"/>
      <c r="P54" s="1008"/>
      <c r="Q54" s="1009"/>
      <c r="R54" s="375"/>
      <c r="S54" s="376"/>
      <c r="T54" s="375"/>
      <c r="U54" s="625"/>
      <c r="V54" s="560"/>
      <c r="W54" s="606"/>
      <c r="X54" s="377"/>
      <c r="Y54" s="606"/>
      <c r="Z54" s="377"/>
      <c r="AA54" s="606"/>
      <c r="AB54" s="707"/>
      <c r="AC54" s="331"/>
      <c r="AD54" s="377"/>
      <c r="AE54" s="377"/>
      <c r="AF54" s="377"/>
      <c r="AG54" s="377"/>
      <c r="AH54" s="377"/>
      <c r="AI54" s="377"/>
      <c r="AJ54" s="377"/>
      <c r="AK54" s="377"/>
      <c r="AL54" s="377"/>
      <c r="AM54" s="377"/>
      <c r="AN54" s="377"/>
      <c r="AO54" s="377"/>
      <c r="AP54" s="377"/>
      <c r="AQ54" s="377"/>
      <c r="AR54" s="377"/>
      <c r="AS54" s="377"/>
      <c r="AT54" s="377"/>
      <c r="AU54" s="377"/>
      <c r="AV54" s="377"/>
      <c r="AW54" s="377"/>
      <c r="AX54" s="331"/>
    </row>
    <row r="55" spans="1:50" x14ac:dyDescent="0.2">
      <c r="A55" s="1050"/>
      <c r="B55" s="1019"/>
      <c r="C55" s="1051"/>
      <c r="D55" s="1040"/>
      <c r="E55" s="1270"/>
      <c r="F55" s="1267"/>
      <c r="G55" s="1115"/>
      <c r="H55" s="1104"/>
      <c r="I55" s="1046"/>
      <c r="J55" s="377"/>
      <c r="K55" s="701"/>
      <c r="L55" s="482"/>
      <c r="M55" s="851"/>
      <c r="N55" s="663"/>
      <c r="O55" s="651"/>
      <c r="P55" s="1008"/>
      <c r="Q55" s="1009"/>
      <c r="R55" s="375"/>
      <c r="S55" s="376"/>
      <c r="T55" s="375"/>
      <c r="U55" s="625"/>
      <c r="V55" s="560"/>
      <c r="W55" s="606"/>
      <c r="X55" s="377"/>
      <c r="Y55" s="606"/>
      <c r="Z55" s="377"/>
      <c r="AA55" s="606"/>
      <c r="AB55" s="707"/>
      <c r="AC55" s="331"/>
      <c r="AD55" s="377"/>
      <c r="AE55" s="377"/>
      <c r="AF55" s="377"/>
      <c r="AG55" s="377"/>
      <c r="AH55" s="377"/>
      <c r="AI55" s="377"/>
      <c r="AJ55" s="377"/>
      <c r="AK55" s="377"/>
      <c r="AL55" s="377"/>
      <c r="AM55" s="377"/>
      <c r="AN55" s="377"/>
      <c r="AO55" s="377"/>
      <c r="AP55" s="377"/>
      <c r="AQ55" s="377"/>
      <c r="AR55" s="377"/>
      <c r="AS55" s="377"/>
      <c r="AT55" s="377"/>
      <c r="AU55" s="377"/>
      <c r="AV55" s="377"/>
      <c r="AW55" s="377"/>
      <c r="AX55" s="331"/>
    </row>
    <row r="56" spans="1:50" x14ac:dyDescent="0.2">
      <c r="A56" s="1050"/>
      <c r="B56" s="1064"/>
      <c r="C56" s="1051"/>
      <c r="D56" s="1040"/>
      <c r="E56" s="1270"/>
      <c r="F56" s="1267"/>
      <c r="G56" s="1115"/>
      <c r="H56" s="1104"/>
      <c r="I56" s="1046"/>
      <c r="J56" s="377"/>
      <c r="K56" s="701"/>
      <c r="L56" s="482"/>
      <c r="M56" s="851"/>
      <c r="N56" s="663"/>
      <c r="O56" s="651"/>
      <c r="P56" s="1008"/>
      <c r="Q56" s="1009"/>
      <c r="R56" s="375"/>
      <c r="S56" s="376"/>
      <c r="T56" s="375"/>
      <c r="U56" s="625"/>
      <c r="V56" s="560"/>
      <c r="W56" s="606"/>
      <c r="X56" s="377"/>
      <c r="Y56" s="606"/>
      <c r="Z56" s="377"/>
      <c r="AA56" s="606"/>
      <c r="AB56" s="707"/>
      <c r="AC56" s="331"/>
      <c r="AD56" s="377"/>
      <c r="AE56" s="377"/>
      <c r="AF56" s="377"/>
      <c r="AG56" s="377"/>
      <c r="AH56" s="377"/>
      <c r="AI56" s="377"/>
      <c r="AJ56" s="377"/>
      <c r="AK56" s="377"/>
      <c r="AL56" s="377"/>
      <c r="AM56" s="377"/>
      <c r="AN56" s="377"/>
      <c r="AO56" s="377"/>
      <c r="AP56" s="377"/>
      <c r="AQ56" s="377"/>
      <c r="AR56" s="377"/>
      <c r="AS56" s="377"/>
      <c r="AT56" s="377"/>
      <c r="AU56" s="377"/>
      <c r="AV56" s="377"/>
      <c r="AW56" s="377"/>
      <c r="AX56" s="331"/>
    </row>
    <row r="57" spans="1:50" x14ac:dyDescent="0.2">
      <c r="A57" s="1050"/>
      <c r="B57" s="1019"/>
      <c r="C57" s="1051"/>
      <c r="D57" s="1040"/>
      <c r="E57" s="1270"/>
      <c r="F57" s="1267"/>
      <c r="G57" s="1115"/>
      <c r="H57" s="1104"/>
      <c r="I57" s="1046"/>
      <c r="J57" s="377"/>
      <c r="K57" s="701"/>
      <c r="L57" s="482"/>
      <c r="M57" s="851"/>
      <c r="N57" s="663"/>
      <c r="O57" s="651"/>
      <c r="P57" s="1008"/>
      <c r="Q57" s="1009"/>
      <c r="R57" s="375"/>
      <c r="S57" s="376"/>
      <c r="T57" s="375"/>
      <c r="U57" s="625"/>
      <c r="V57" s="560"/>
      <c r="W57" s="606"/>
      <c r="X57" s="377"/>
      <c r="Y57" s="606"/>
      <c r="Z57" s="377"/>
      <c r="AA57" s="606"/>
      <c r="AB57" s="707"/>
      <c r="AC57" s="331"/>
      <c r="AD57" s="377"/>
      <c r="AE57" s="377"/>
      <c r="AF57" s="377"/>
      <c r="AG57" s="377"/>
      <c r="AH57" s="377"/>
      <c r="AI57" s="377"/>
      <c r="AJ57" s="377"/>
      <c r="AK57" s="377"/>
      <c r="AL57" s="377"/>
      <c r="AM57" s="377"/>
      <c r="AN57" s="377"/>
      <c r="AO57" s="377"/>
      <c r="AP57" s="377"/>
      <c r="AQ57" s="377"/>
      <c r="AR57" s="377"/>
      <c r="AS57" s="377"/>
      <c r="AT57" s="377"/>
      <c r="AU57" s="377"/>
      <c r="AV57" s="377"/>
      <c r="AW57" s="377"/>
      <c r="AX57" s="331"/>
    </row>
    <row r="58" spans="1:50" x14ac:dyDescent="0.2">
      <c r="A58" s="1050"/>
      <c r="B58" s="1019"/>
      <c r="C58" s="1051"/>
      <c r="D58" s="1040"/>
      <c r="E58" s="1270"/>
      <c r="F58" s="1267"/>
      <c r="G58" s="1115"/>
      <c r="H58" s="1104"/>
      <c r="I58" s="1046"/>
      <c r="J58" s="377"/>
      <c r="K58" s="701"/>
      <c r="L58" s="482"/>
      <c r="M58" s="851"/>
      <c r="N58" s="663"/>
      <c r="O58" s="651"/>
      <c r="P58" s="1008"/>
      <c r="Q58" s="1009"/>
      <c r="R58" s="375"/>
      <c r="S58" s="376"/>
      <c r="T58" s="375"/>
      <c r="U58" s="625"/>
      <c r="V58" s="560"/>
      <c r="W58" s="606"/>
      <c r="X58" s="377"/>
      <c r="Y58" s="606"/>
      <c r="Z58" s="377"/>
      <c r="AA58" s="606"/>
      <c r="AB58" s="707"/>
      <c r="AC58" s="331"/>
      <c r="AD58" s="377"/>
      <c r="AE58" s="377"/>
      <c r="AF58" s="377"/>
      <c r="AG58" s="377"/>
      <c r="AH58" s="377"/>
      <c r="AI58" s="377"/>
      <c r="AJ58" s="377"/>
      <c r="AK58" s="377"/>
      <c r="AL58" s="377"/>
      <c r="AM58" s="377"/>
      <c r="AN58" s="377"/>
      <c r="AO58" s="377"/>
      <c r="AP58" s="377"/>
      <c r="AQ58" s="377"/>
      <c r="AR58" s="377"/>
      <c r="AS58" s="377"/>
      <c r="AT58" s="377"/>
      <c r="AU58" s="377"/>
      <c r="AV58" s="377"/>
      <c r="AW58" s="377"/>
      <c r="AX58" s="331"/>
    </row>
    <row r="59" spans="1:50" x14ac:dyDescent="0.2">
      <c r="A59" s="1050"/>
      <c r="B59" s="1019"/>
      <c r="C59" s="1051"/>
      <c r="D59" s="1040"/>
      <c r="E59" s="1270"/>
      <c r="F59" s="1267"/>
      <c r="G59" s="1115"/>
      <c r="H59" s="1104"/>
      <c r="I59" s="1046"/>
      <c r="J59" s="377"/>
      <c r="K59" s="701"/>
      <c r="L59" s="482"/>
      <c r="M59" s="851"/>
      <c r="N59" s="663"/>
      <c r="O59" s="651"/>
      <c r="P59" s="1008"/>
      <c r="Q59" s="1009"/>
      <c r="R59" s="375"/>
      <c r="S59" s="376"/>
      <c r="T59" s="375"/>
      <c r="U59" s="625"/>
      <c r="V59" s="560"/>
      <c r="W59" s="606"/>
      <c r="X59" s="377"/>
      <c r="Y59" s="606"/>
      <c r="Z59" s="377"/>
      <c r="AA59" s="606"/>
      <c r="AB59" s="707"/>
      <c r="AC59" s="331"/>
      <c r="AD59" s="377"/>
      <c r="AE59" s="377"/>
      <c r="AF59" s="377"/>
      <c r="AG59" s="377"/>
      <c r="AH59" s="377"/>
      <c r="AI59" s="377"/>
      <c r="AJ59" s="377"/>
      <c r="AK59" s="377"/>
      <c r="AL59" s="377"/>
      <c r="AM59" s="377"/>
      <c r="AN59" s="377"/>
      <c r="AO59" s="377"/>
      <c r="AP59" s="377"/>
      <c r="AQ59" s="377"/>
      <c r="AR59" s="377"/>
      <c r="AS59" s="377"/>
      <c r="AT59" s="377"/>
      <c r="AU59" s="377"/>
      <c r="AV59" s="377"/>
      <c r="AW59" s="377"/>
      <c r="AX59" s="331"/>
    </row>
    <row r="60" spans="1:50" x14ac:dyDescent="0.2">
      <c r="A60" s="1050"/>
      <c r="B60" s="1019"/>
      <c r="C60" s="1051"/>
      <c r="D60" s="1040"/>
      <c r="E60" s="1270"/>
      <c r="F60" s="1267"/>
      <c r="G60" s="1115"/>
      <c r="H60" s="1104"/>
      <c r="I60" s="1046"/>
      <c r="J60" s="377"/>
      <c r="K60" s="701"/>
      <c r="L60" s="482"/>
      <c r="M60" s="851"/>
      <c r="N60" s="663"/>
      <c r="O60" s="651"/>
      <c r="P60" s="1008"/>
      <c r="Q60" s="1009"/>
      <c r="R60" s="375"/>
      <c r="S60" s="376"/>
      <c r="T60" s="375"/>
      <c r="U60" s="625"/>
      <c r="V60" s="560"/>
      <c r="W60" s="606"/>
      <c r="X60" s="377"/>
      <c r="Y60" s="606"/>
      <c r="Z60" s="377"/>
      <c r="AA60" s="606"/>
      <c r="AB60" s="707"/>
      <c r="AC60" s="331"/>
      <c r="AD60" s="377"/>
      <c r="AE60" s="377"/>
      <c r="AF60" s="377"/>
      <c r="AG60" s="377"/>
      <c r="AH60" s="377"/>
      <c r="AI60" s="377"/>
      <c r="AJ60" s="377"/>
      <c r="AK60" s="377"/>
      <c r="AL60" s="377"/>
      <c r="AM60" s="377"/>
      <c r="AN60" s="377"/>
      <c r="AO60" s="377"/>
      <c r="AP60" s="377"/>
      <c r="AQ60" s="377"/>
      <c r="AR60" s="377"/>
      <c r="AS60" s="377"/>
      <c r="AT60" s="377"/>
      <c r="AU60" s="377"/>
      <c r="AV60" s="377"/>
      <c r="AW60" s="377"/>
      <c r="AX60" s="331"/>
    </row>
    <row r="61" spans="1:50" x14ac:dyDescent="0.2">
      <c r="A61" s="1050"/>
      <c r="B61" s="1019"/>
      <c r="C61" s="1051"/>
      <c r="D61" s="1040"/>
      <c r="E61" s="1270"/>
      <c r="F61" s="1267"/>
      <c r="G61" s="1115"/>
      <c r="H61" s="1104"/>
      <c r="I61" s="1046"/>
      <c r="J61" s="377"/>
      <c r="K61" s="701"/>
      <c r="L61" s="482"/>
      <c r="M61" s="851"/>
      <c r="N61" s="663"/>
      <c r="O61" s="651"/>
      <c r="P61" s="1008"/>
      <c r="Q61" s="1009"/>
      <c r="R61" s="375"/>
      <c r="S61" s="376"/>
      <c r="T61" s="375"/>
      <c r="U61" s="625"/>
      <c r="V61" s="560"/>
      <c r="W61" s="606"/>
      <c r="X61" s="377"/>
      <c r="Y61" s="606"/>
      <c r="Z61" s="377"/>
      <c r="AA61" s="606"/>
      <c r="AB61" s="707"/>
      <c r="AC61" s="331"/>
      <c r="AD61" s="377"/>
      <c r="AE61" s="377"/>
      <c r="AF61" s="377"/>
      <c r="AG61" s="377"/>
      <c r="AH61" s="377"/>
      <c r="AI61" s="377"/>
      <c r="AJ61" s="377"/>
      <c r="AK61" s="377"/>
      <c r="AL61" s="377"/>
      <c r="AM61" s="377"/>
      <c r="AN61" s="377"/>
      <c r="AO61" s="377"/>
      <c r="AP61" s="377"/>
      <c r="AQ61" s="377"/>
      <c r="AR61" s="377"/>
      <c r="AS61" s="377"/>
      <c r="AT61" s="377"/>
      <c r="AU61" s="377"/>
      <c r="AV61" s="377"/>
      <c r="AW61" s="377"/>
      <c r="AX61" s="331"/>
    </row>
    <row r="62" spans="1:50" x14ac:dyDescent="0.2">
      <c r="A62" s="1050"/>
      <c r="B62" s="1019"/>
      <c r="C62" s="1051"/>
      <c r="D62" s="1040"/>
      <c r="E62" s="1270"/>
      <c r="F62" s="1267"/>
      <c r="G62" s="1115"/>
      <c r="H62" s="1104"/>
      <c r="I62" s="1046"/>
      <c r="J62" s="377"/>
      <c r="K62" s="701"/>
      <c r="L62" s="482"/>
      <c r="M62" s="851"/>
      <c r="N62" s="663"/>
      <c r="O62" s="651"/>
      <c r="P62" s="1008"/>
      <c r="Q62" s="1009"/>
      <c r="R62" s="375"/>
      <c r="S62" s="376"/>
      <c r="T62" s="375"/>
      <c r="U62" s="625"/>
      <c r="V62" s="560"/>
      <c r="W62" s="606"/>
      <c r="X62" s="377"/>
      <c r="Y62" s="606"/>
      <c r="Z62" s="377"/>
      <c r="AA62" s="606"/>
      <c r="AB62" s="707"/>
      <c r="AC62" s="331"/>
      <c r="AD62" s="377"/>
      <c r="AE62" s="377"/>
      <c r="AF62" s="377"/>
      <c r="AG62" s="377"/>
      <c r="AH62" s="377"/>
      <c r="AI62" s="377"/>
      <c r="AJ62" s="377"/>
      <c r="AK62" s="377"/>
      <c r="AL62" s="377"/>
      <c r="AM62" s="377"/>
      <c r="AN62" s="377"/>
      <c r="AO62" s="377"/>
      <c r="AP62" s="377"/>
      <c r="AQ62" s="377"/>
      <c r="AR62" s="377"/>
      <c r="AS62" s="377"/>
      <c r="AT62" s="377"/>
      <c r="AU62" s="377"/>
      <c r="AV62" s="377"/>
      <c r="AW62" s="377"/>
      <c r="AX62" s="331"/>
    </row>
    <row r="63" spans="1:50" x14ac:dyDescent="0.2">
      <c r="A63" s="1050"/>
      <c r="B63" s="1019"/>
      <c r="C63" s="1051"/>
      <c r="D63" s="1040"/>
      <c r="E63" s="1270"/>
      <c r="F63" s="1267"/>
      <c r="G63" s="1115"/>
      <c r="H63" s="1104"/>
      <c r="I63" s="1046"/>
      <c r="J63" s="377"/>
      <c r="K63" s="701"/>
      <c r="L63" s="482"/>
      <c r="M63" s="851"/>
      <c r="N63" s="663"/>
      <c r="O63" s="651"/>
      <c r="P63" s="1008"/>
      <c r="Q63" s="1009"/>
      <c r="R63" s="375"/>
      <c r="S63" s="376"/>
      <c r="T63" s="375"/>
      <c r="U63" s="625"/>
      <c r="V63" s="560"/>
      <c r="W63" s="606"/>
      <c r="X63" s="377"/>
      <c r="Y63" s="606"/>
      <c r="Z63" s="377"/>
      <c r="AA63" s="606"/>
      <c r="AB63" s="707"/>
      <c r="AC63" s="331"/>
      <c r="AD63" s="377"/>
      <c r="AE63" s="377"/>
      <c r="AF63" s="377"/>
      <c r="AG63" s="377"/>
      <c r="AH63" s="377"/>
      <c r="AI63" s="377"/>
      <c r="AJ63" s="377"/>
      <c r="AK63" s="377"/>
      <c r="AL63" s="377"/>
      <c r="AM63" s="377"/>
      <c r="AN63" s="377"/>
      <c r="AO63" s="377"/>
      <c r="AP63" s="377"/>
      <c r="AQ63" s="377"/>
      <c r="AR63" s="377"/>
      <c r="AS63" s="377"/>
      <c r="AT63" s="377"/>
      <c r="AU63" s="377"/>
      <c r="AV63" s="377"/>
      <c r="AW63" s="377"/>
      <c r="AX63" s="331"/>
    </row>
    <row r="64" spans="1:50" x14ac:dyDescent="0.2">
      <c r="A64" s="1050"/>
      <c r="B64" s="1019"/>
      <c r="C64" s="1051"/>
      <c r="D64" s="1040"/>
      <c r="E64" s="1270"/>
      <c r="F64" s="1267"/>
      <c r="G64" s="1115"/>
      <c r="H64" s="1104"/>
      <c r="I64" s="1046"/>
      <c r="J64" s="377"/>
      <c r="K64" s="701"/>
      <c r="L64" s="482"/>
      <c r="M64" s="851"/>
      <c r="N64" s="663"/>
      <c r="O64" s="651"/>
      <c r="P64" s="1008"/>
      <c r="Q64" s="1009"/>
      <c r="R64" s="375"/>
      <c r="S64" s="376"/>
      <c r="T64" s="375"/>
      <c r="U64" s="625"/>
      <c r="V64" s="560"/>
      <c r="W64" s="606"/>
      <c r="X64" s="377"/>
      <c r="Y64" s="606"/>
      <c r="Z64" s="377"/>
      <c r="AA64" s="606"/>
      <c r="AB64" s="707"/>
      <c r="AC64" s="331"/>
      <c r="AD64" s="377"/>
      <c r="AE64" s="377"/>
      <c r="AF64" s="377"/>
      <c r="AG64" s="377"/>
      <c r="AH64" s="377"/>
      <c r="AI64" s="377"/>
      <c r="AJ64" s="377"/>
      <c r="AK64" s="377"/>
      <c r="AL64" s="377"/>
      <c r="AM64" s="377"/>
      <c r="AN64" s="377"/>
      <c r="AO64" s="377"/>
      <c r="AP64" s="377"/>
      <c r="AQ64" s="377"/>
      <c r="AR64" s="377"/>
      <c r="AS64" s="377"/>
      <c r="AT64" s="377"/>
      <c r="AU64" s="377"/>
      <c r="AV64" s="377"/>
      <c r="AW64" s="377"/>
      <c r="AX64" s="331"/>
    </row>
    <row r="65" spans="1:50" x14ac:dyDescent="0.2">
      <c r="A65" s="1050"/>
      <c r="B65" s="1019"/>
      <c r="C65" s="1051"/>
      <c r="D65" s="1040"/>
      <c r="E65" s="1270"/>
      <c r="F65" s="1267"/>
      <c r="G65" s="1115"/>
      <c r="H65" s="1104"/>
      <c r="I65" s="1046"/>
      <c r="J65" s="377"/>
      <c r="K65" s="701"/>
      <c r="L65" s="482"/>
      <c r="M65" s="851"/>
      <c r="N65" s="663"/>
      <c r="O65" s="651"/>
      <c r="P65" s="1008"/>
      <c r="Q65" s="1009"/>
      <c r="R65" s="375"/>
      <c r="S65" s="376"/>
      <c r="T65" s="375"/>
      <c r="U65" s="625"/>
      <c r="V65" s="560"/>
      <c r="W65" s="606"/>
      <c r="X65" s="377"/>
      <c r="Y65" s="606"/>
      <c r="Z65" s="377"/>
      <c r="AA65" s="606"/>
      <c r="AB65" s="707"/>
      <c r="AC65" s="331"/>
      <c r="AD65" s="377"/>
      <c r="AE65" s="377"/>
      <c r="AF65" s="377"/>
      <c r="AG65" s="377"/>
      <c r="AH65" s="377"/>
      <c r="AI65" s="377"/>
      <c r="AJ65" s="377"/>
      <c r="AK65" s="377"/>
      <c r="AL65" s="377"/>
      <c r="AM65" s="377"/>
      <c r="AN65" s="377"/>
      <c r="AO65" s="377"/>
      <c r="AP65" s="377"/>
      <c r="AQ65" s="377"/>
      <c r="AR65" s="377"/>
      <c r="AS65" s="377"/>
      <c r="AT65" s="377"/>
      <c r="AU65" s="377"/>
      <c r="AV65" s="377"/>
      <c r="AW65" s="377"/>
      <c r="AX65" s="331"/>
    </row>
    <row r="66" spans="1:50" x14ac:dyDescent="0.2">
      <c r="A66" s="1050"/>
      <c r="B66" s="1019"/>
      <c r="C66" s="1051"/>
      <c r="D66" s="1040"/>
      <c r="E66" s="1270"/>
      <c r="F66" s="1267"/>
      <c r="G66" s="1115"/>
      <c r="H66" s="1104"/>
      <c r="I66" s="1046"/>
      <c r="J66" s="377"/>
      <c r="K66" s="701"/>
      <c r="L66" s="482"/>
      <c r="M66" s="851"/>
      <c r="N66" s="663"/>
      <c r="O66" s="651"/>
      <c r="P66" s="1008"/>
      <c r="Q66" s="1009"/>
      <c r="R66" s="375"/>
      <c r="S66" s="376"/>
      <c r="T66" s="375"/>
      <c r="U66" s="625"/>
      <c r="V66" s="560"/>
      <c r="W66" s="606"/>
      <c r="X66" s="377"/>
      <c r="Y66" s="606"/>
      <c r="Z66" s="377"/>
      <c r="AA66" s="606"/>
      <c r="AB66" s="707"/>
      <c r="AC66" s="331"/>
      <c r="AD66" s="377"/>
      <c r="AE66" s="377"/>
      <c r="AF66" s="377"/>
      <c r="AG66" s="377"/>
      <c r="AH66" s="377"/>
      <c r="AI66" s="377"/>
      <c r="AJ66" s="377"/>
      <c r="AK66" s="377"/>
      <c r="AL66" s="377"/>
      <c r="AM66" s="377"/>
      <c r="AN66" s="377"/>
      <c r="AO66" s="377"/>
      <c r="AP66" s="377"/>
      <c r="AQ66" s="377"/>
      <c r="AR66" s="377"/>
      <c r="AS66" s="377"/>
      <c r="AT66" s="377"/>
      <c r="AU66" s="377"/>
      <c r="AV66" s="377"/>
      <c r="AW66" s="377"/>
      <c r="AX66" s="331"/>
    </row>
    <row r="67" spans="1:50" x14ac:dyDescent="0.2">
      <c r="A67" s="1050"/>
      <c r="B67" s="1019"/>
      <c r="C67" s="1051"/>
      <c r="D67" s="1040"/>
      <c r="E67" s="1270"/>
      <c r="F67" s="1267"/>
      <c r="G67" s="1115"/>
      <c r="H67" s="1104"/>
      <c r="I67" s="1046"/>
      <c r="J67" s="377"/>
      <c r="K67" s="701"/>
      <c r="L67" s="482"/>
      <c r="M67" s="851"/>
      <c r="N67" s="663"/>
      <c r="O67" s="651"/>
      <c r="P67" s="1008"/>
      <c r="Q67" s="1009"/>
      <c r="R67" s="375"/>
      <c r="S67" s="376"/>
      <c r="T67" s="375"/>
      <c r="U67" s="625"/>
      <c r="V67" s="560"/>
      <c r="W67" s="606"/>
      <c r="X67" s="377"/>
      <c r="Y67" s="606"/>
      <c r="Z67" s="377"/>
      <c r="AA67" s="606"/>
      <c r="AB67" s="707"/>
      <c r="AC67" s="331"/>
      <c r="AD67" s="377"/>
      <c r="AE67" s="377"/>
      <c r="AF67" s="377"/>
      <c r="AG67" s="377"/>
      <c r="AH67" s="377"/>
      <c r="AI67" s="377"/>
      <c r="AJ67" s="377"/>
      <c r="AK67" s="377"/>
      <c r="AL67" s="377"/>
      <c r="AM67" s="377"/>
      <c r="AN67" s="377"/>
      <c r="AO67" s="377"/>
      <c r="AP67" s="377"/>
      <c r="AQ67" s="377"/>
      <c r="AR67" s="377"/>
      <c r="AS67" s="377"/>
      <c r="AT67" s="377"/>
      <c r="AU67" s="377"/>
      <c r="AV67" s="377"/>
      <c r="AW67" s="377"/>
      <c r="AX67" s="331"/>
    </row>
    <row r="68" spans="1:50" x14ac:dyDescent="0.2">
      <c r="A68" s="1050"/>
      <c r="B68" s="1019"/>
      <c r="C68" s="1051"/>
      <c r="D68" s="1040"/>
      <c r="E68" s="1270"/>
      <c r="F68" s="1267"/>
      <c r="G68" s="1115"/>
      <c r="H68" s="1104"/>
      <c r="I68" s="1046"/>
      <c r="J68" s="377"/>
      <c r="K68" s="701"/>
      <c r="L68" s="482"/>
      <c r="M68" s="851"/>
      <c r="N68" s="663"/>
      <c r="O68" s="651"/>
      <c r="P68" s="1008"/>
      <c r="Q68" s="1009"/>
      <c r="R68" s="375"/>
      <c r="S68" s="376"/>
      <c r="T68" s="375"/>
      <c r="U68" s="625"/>
      <c r="V68" s="560"/>
      <c r="W68" s="606"/>
      <c r="X68" s="377"/>
      <c r="Y68" s="606"/>
      <c r="Z68" s="377"/>
      <c r="AA68" s="606"/>
      <c r="AB68" s="707"/>
      <c r="AC68" s="331"/>
      <c r="AD68" s="377"/>
      <c r="AE68" s="377"/>
      <c r="AF68" s="377"/>
      <c r="AG68" s="377"/>
      <c r="AH68" s="377"/>
      <c r="AI68" s="377"/>
      <c r="AJ68" s="377"/>
      <c r="AK68" s="377"/>
      <c r="AL68" s="377"/>
      <c r="AM68" s="377"/>
      <c r="AN68" s="377"/>
      <c r="AO68" s="377"/>
      <c r="AP68" s="377"/>
      <c r="AQ68" s="377"/>
      <c r="AR68" s="377"/>
      <c r="AS68" s="377"/>
      <c r="AT68" s="377"/>
      <c r="AU68" s="377"/>
      <c r="AV68" s="377"/>
      <c r="AW68" s="377"/>
      <c r="AX68" s="331"/>
    </row>
    <row r="69" spans="1:50" x14ac:dyDescent="0.2">
      <c r="A69" s="1050"/>
      <c r="B69" s="1019"/>
      <c r="C69" s="1051"/>
      <c r="D69" s="1040"/>
      <c r="E69" s="1270"/>
      <c r="F69" s="1267"/>
      <c r="G69" s="1115"/>
      <c r="H69" s="1104"/>
      <c r="I69" s="1046"/>
      <c r="J69" s="377"/>
      <c r="K69" s="701"/>
      <c r="L69" s="482"/>
      <c r="M69" s="851"/>
      <c r="N69" s="663"/>
      <c r="O69" s="651"/>
      <c r="P69" s="1008"/>
      <c r="Q69" s="1009"/>
      <c r="R69" s="375"/>
      <c r="S69" s="376"/>
      <c r="T69" s="375"/>
      <c r="U69" s="625"/>
      <c r="V69" s="560"/>
      <c r="W69" s="606"/>
      <c r="X69" s="377"/>
      <c r="Y69" s="606"/>
      <c r="Z69" s="377"/>
      <c r="AA69" s="606"/>
      <c r="AB69" s="707"/>
      <c r="AC69" s="331"/>
      <c r="AD69" s="377"/>
      <c r="AE69" s="377"/>
      <c r="AF69" s="377"/>
      <c r="AG69" s="377"/>
      <c r="AH69" s="377"/>
      <c r="AI69" s="377"/>
      <c r="AJ69" s="377"/>
      <c r="AK69" s="377"/>
      <c r="AL69" s="377"/>
      <c r="AM69" s="377"/>
      <c r="AN69" s="377"/>
      <c r="AO69" s="377"/>
      <c r="AP69" s="377"/>
      <c r="AQ69" s="377"/>
      <c r="AR69" s="377"/>
      <c r="AS69" s="377"/>
      <c r="AT69" s="377"/>
      <c r="AU69" s="377"/>
      <c r="AV69" s="377"/>
      <c r="AW69" s="377"/>
      <c r="AX69" s="331"/>
    </row>
    <row r="70" spans="1:50" x14ac:dyDescent="0.2">
      <c r="A70" s="1050"/>
      <c r="B70" s="1019"/>
      <c r="C70" s="1051"/>
      <c r="D70" s="1040"/>
      <c r="E70" s="1270"/>
      <c r="F70" s="1267"/>
      <c r="G70" s="1115"/>
      <c r="H70" s="1104"/>
      <c r="I70" s="1046"/>
      <c r="J70" s="377"/>
      <c r="K70" s="701"/>
      <c r="L70" s="482"/>
      <c r="M70" s="851"/>
      <c r="N70" s="663"/>
      <c r="O70" s="651"/>
      <c r="P70" s="1008"/>
      <c r="Q70" s="1009"/>
      <c r="R70" s="375"/>
      <c r="S70" s="376"/>
      <c r="T70" s="375"/>
      <c r="U70" s="625"/>
      <c r="V70" s="560"/>
      <c r="W70" s="606"/>
      <c r="X70" s="377"/>
      <c r="Y70" s="606"/>
      <c r="Z70" s="377"/>
      <c r="AA70" s="606"/>
      <c r="AB70" s="707"/>
      <c r="AC70" s="331"/>
      <c r="AD70" s="377"/>
      <c r="AE70" s="377"/>
      <c r="AF70" s="377"/>
      <c r="AG70" s="377"/>
      <c r="AH70" s="377"/>
      <c r="AI70" s="377"/>
      <c r="AJ70" s="377"/>
      <c r="AK70" s="377"/>
      <c r="AL70" s="377"/>
      <c r="AM70" s="377"/>
      <c r="AN70" s="377"/>
      <c r="AO70" s="377"/>
      <c r="AP70" s="377"/>
      <c r="AQ70" s="377"/>
      <c r="AR70" s="377"/>
      <c r="AS70" s="377"/>
      <c r="AT70" s="377"/>
      <c r="AU70" s="377"/>
      <c r="AV70" s="377"/>
      <c r="AW70" s="377"/>
      <c r="AX70" s="331"/>
    </row>
    <row r="71" spans="1:50" x14ac:dyDescent="0.2">
      <c r="A71" s="1050"/>
      <c r="B71" s="1019"/>
      <c r="C71" s="1051"/>
      <c r="D71" s="1040"/>
      <c r="E71" s="1270"/>
      <c r="F71" s="1267"/>
      <c r="G71" s="1115"/>
      <c r="H71" s="1104"/>
      <c r="I71" s="1046"/>
      <c r="J71" s="377"/>
      <c r="K71" s="701"/>
      <c r="L71" s="482"/>
      <c r="M71" s="851"/>
      <c r="N71" s="663"/>
      <c r="O71" s="651"/>
      <c r="P71" s="1008"/>
      <c r="Q71" s="1009"/>
      <c r="R71" s="375"/>
      <c r="S71" s="376"/>
      <c r="T71" s="375"/>
      <c r="U71" s="625"/>
      <c r="V71" s="560"/>
      <c r="W71" s="606"/>
      <c r="X71" s="377"/>
      <c r="Y71" s="606"/>
      <c r="Z71" s="377"/>
      <c r="AA71" s="606"/>
      <c r="AB71" s="707"/>
      <c r="AC71" s="331"/>
      <c r="AD71" s="377"/>
      <c r="AE71" s="377"/>
      <c r="AF71" s="377"/>
      <c r="AG71" s="377"/>
      <c r="AH71" s="377"/>
      <c r="AI71" s="377"/>
      <c r="AJ71" s="377"/>
      <c r="AK71" s="377"/>
      <c r="AL71" s="377"/>
      <c r="AM71" s="377"/>
      <c r="AN71" s="377"/>
      <c r="AO71" s="377"/>
      <c r="AP71" s="377"/>
      <c r="AQ71" s="377"/>
      <c r="AR71" s="377"/>
      <c r="AS71" s="377"/>
      <c r="AT71" s="377"/>
      <c r="AU71" s="377"/>
      <c r="AV71" s="377"/>
      <c r="AW71" s="377"/>
      <c r="AX71" s="331"/>
    </row>
    <row r="72" spans="1:50" x14ac:dyDescent="0.2">
      <c r="A72" s="1050"/>
      <c r="B72" s="1019"/>
      <c r="C72" s="1051"/>
      <c r="D72" s="1040"/>
      <c r="E72" s="1270"/>
      <c r="F72" s="1267"/>
      <c r="G72" s="1115"/>
      <c r="H72" s="1104"/>
      <c r="I72" s="1046"/>
      <c r="J72" s="377"/>
      <c r="K72" s="701"/>
      <c r="L72" s="482"/>
      <c r="M72" s="851"/>
      <c r="N72" s="663"/>
      <c r="O72" s="651"/>
      <c r="P72" s="1008"/>
      <c r="Q72" s="1009"/>
      <c r="R72" s="375"/>
      <c r="S72" s="376"/>
      <c r="T72" s="375"/>
      <c r="U72" s="625"/>
      <c r="V72" s="560"/>
      <c r="W72" s="606"/>
      <c r="X72" s="377"/>
      <c r="Y72" s="606"/>
      <c r="Z72" s="377"/>
      <c r="AA72" s="606"/>
      <c r="AB72" s="707"/>
      <c r="AC72" s="331"/>
      <c r="AD72" s="377"/>
      <c r="AE72" s="377"/>
      <c r="AF72" s="377"/>
      <c r="AG72" s="377"/>
      <c r="AH72" s="377"/>
      <c r="AI72" s="377"/>
      <c r="AJ72" s="377"/>
      <c r="AK72" s="377"/>
      <c r="AL72" s="377"/>
      <c r="AM72" s="377"/>
      <c r="AN72" s="377"/>
      <c r="AO72" s="377"/>
      <c r="AP72" s="377"/>
      <c r="AQ72" s="377"/>
      <c r="AR72" s="377"/>
      <c r="AS72" s="377"/>
      <c r="AT72" s="377"/>
      <c r="AU72" s="377"/>
      <c r="AV72" s="377"/>
      <c r="AW72" s="377"/>
      <c r="AX72" s="331"/>
    </row>
    <row r="73" spans="1:50" x14ac:dyDescent="0.2">
      <c r="A73" s="1050"/>
      <c r="B73" s="1019"/>
      <c r="C73" s="1051"/>
      <c r="D73" s="1040"/>
      <c r="E73" s="1270"/>
      <c r="F73" s="1267"/>
      <c r="G73" s="1115"/>
      <c r="H73" s="1104"/>
      <c r="I73" s="1046"/>
      <c r="J73" s="377"/>
      <c r="K73" s="701"/>
      <c r="L73" s="482"/>
      <c r="M73" s="851"/>
      <c r="N73" s="663"/>
      <c r="O73" s="651"/>
      <c r="P73" s="1008"/>
      <c r="Q73" s="1009"/>
      <c r="R73" s="375"/>
      <c r="S73" s="376"/>
      <c r="T73" s="375"/>
      <c r="U73" s="625"/>
      <c r="V73" s="560"/>
      <c r="W73" s="606"/>
      <c r="X73" s="377"/>
      <c r="Y73" s="606"/>
      <c r="Z73" s="377"/>
      <c r="AA73" s="606"/>
      <c r="AB73" s="707"/>
      <c r="AC73" s="331"/>
      <c r="AD73" s="377"/>
      <c r="AE73" s="377"/>
      <c r="AF73" s="377"/>
      <c r="AG73" s="377"/>
      <c r="AH73" s="377"/>
      <c r="AI73" s="377"/>
      <c r="AJ73" s="377"/>
      <c r="AK73" s="377"/>
      <c r="AL73" s="377"/>
      <c r="AM73" s="377"/>
      <c r="AN73" s="377"/>
      <c r="AO73" s="377"/>
      <c r="AP73" s="377"/>
      <c r="AQ73" s="377"/>
      <c r="AR73" s="377"/>
      <c r="AS73" s="377"/>
      <c r="AT73" s="377"/>
      <c r="AU73" s="377"/>
      <c r="AV73" s="377"/>
      <c r="AW73" s="377"/>
      <c r="AX73" s="331"/>
    </row>
    <row r="74" spans="1:50" x14ac:dyDescent="0.2">
      <c r="A74" s="1050"/>
      <c r="B74" s="1019"/>
      <c r="C74" s="1051"/>
      <c r="D74" s="1040"/>
      <c r="E74" s="1270"/>
      <c r="F74" s="1267"/>
      <c r="G74" s="1115"/>
      <c r="H74" s="1104"/>
      <c r="I74" s="1046"/>
      <c r="J74" s="377"/>
      <c r="K74" s="701"/>
      <c r="L74" s="482"/>
      <c r="M74" s="851"/>
      <c r="N74" s="663"/>
      <c r="O74" s="651"/>
      <c r="P74" s="1008"/>
      <c r="Q74" s="1009"/>
      <c r="R74" s="375"/>
      <c r="S74" s="376"/>
      <c r="T74" s="375"/>
      <c r="U74" s="625"/>
      <c r="V74" s="560"/>
      <c r="W74" s="606"/>
      <c r="X74" s="377"/>
      <c r="Y74" s="606"/>
      <c r="Z74" s="377"/>
      <c r="AA74" s="606"/>
      <c r="AB74" s="707"/>
      <c r="AC74" s="331"/>
      <c r="AD74" s="377"/>
      <c r="AE74" s="377"/>
      <c r="AF74" s="377"/>
      <c r="AG74" s="377"/>
      <c r="AH74" s="377"/>
      <c r="AI74" s="377"/>
      <c r="AJ74" s="377"/>
      <c r="AK74" s="377"/>
      <c r="AL74" s="377"/>
      <c r="AM74" s="377"/>
      <c r="AN74" s="377"/>
      <c r="AO74" s="377"/>
      <c r="AP74" s="377"/>
      <c r="AQ74" s="377"/>
      <c r="AR74" s="377"/>
      <c r="AS74" s="377"/>
      <c r="AT74" s="377"/>
      <c r="AU74" s="377"/>
      <c r="AV74" s="377"/>
      <c r="AW74" s="377"/>
      <c r="AX74" s="331"/>
    </row>
    <row r="75" spans="1:50" x14ac:dyDescent="0.2">
      <c r="A75" s="1050"/>
      <c r="B75" s="1042"/>
      <c r="C75" s="1051"/>
      <c r="D75" s="1040"/>
      <c r="E75" s="1270"/>
      <c r="F75" s="1267"/>
      <c r="G75" s="1115"/>
      <c r="H75" s="1104"/>
      <c r="I75" s="1046"/>
      <c r="J75" s="377"/>
      <c r="K75" s="701"/>
      <c r="L75" s="482"/>
      <c r="M75" s="851"/>
      <c r="N75" s="663"/>
      <c r="O75" s="651"/>
      <c r="P75" s="1008"/>
      <c r="Q75" s="1009"/>
      <c r="R75" s="375"/>
      <c r="S75" s="376"/>
      <c r="T75" s="375"/>
      <c r="U75" s="625"/>
      <c r="V75" s="560"/>
      <c r="W75" s="606"/>
      <c r="X75" s="377"/>
      <c r="Y75" s="606"/>
      <c r="Z75" s="377"/>
      <c r="AA75" s="606"/>
      <c r="AB75" s="707"/>
      <c r="AC75" s="331"/>
      <c r="AD75" s="377"/>
      <c r="AE75" s="377"/>
      <c r="AF75" s="377"/>
      <c r="AG75" s="377"/>
      <c r="AH75" s="377"/>
      <c r="AI75" s="377"/>
      <c r="AJ75" s="377"/>
      <c r="AK75" s="377"/>
      <c r="AL75" s="377"/>
      <c r="AM75" s="377"/>
      <c r="AN75" s="377"/>
      <c r="AO75" s="377"/>
      <c r="AP75" s="377"/>
      <c r="AQ75" s="377"/>
      <c r="AR75" s="377"/>
      <c r="AS75" s="377"/>
      <c r="AT75" s="377"/>
      <c r="AU75" s="377"/>
      <c r="AV75" s="377"/>
      <c r="AW75" s="377"/>
      <c r="AX75" s="331"/>
    </row>
    <row r="76" spans="1:50" x14ac:dyDescent="0.2">
      <c r="A76" s="1050"/>
      <c r="B76" s="1019"/>
      <c r="C76" s="1051"/>
      <c r="D76" s="1040"/>
      <c r="E76" s="1270"/>
      <c r="F76" s="1267"/>
      <c r="G76" s="1115"/>
      <c r="H76" s="1104"/>
      <c r="I76" s="1046"/>
      <c r="J76" s="377"/>
      <c r="K76" s="701"/>
      <c r="L76" s="482"/>
      <c r="M76" s="851"/>
      <c r="N76" s="663"/>
      <c r="O76" s="651"/>
      <c r="P76" s="1008"/>
      <c r="Q76" s="1009"/>
      <c r="R76" s="375"/>
      <c r="S76" s="376"/>
      <c r="T76" s="375"/>
      <c r="U76" s="625"/>
      <c r="V76" s="560"/>
      <c r="W76" s="606"/>
      <c r="X76" s="377"/>
      <c r="Y76" s="606"/>
      <c r="Z76" s="377"/>
      <c r="AA76" s="606"/>
      <c r="AB76" s="707"/>
      <c r="AC76" s="331"/>
      <c r="AD76" s="377"/>
      <c r="AE76" s="377"/>
      <c r="AF76" s="377"/>
      <c r="AG76" s="377"/>
      <c r="AH76" s="377"/>
      <c r="AI76" s="377"/>
      <c r="AJ76" s="377"/>
      <c r="AK76" s="377"/>
      <c r="AL76" s="377"/>
      <c r="AM76" s="377"/>
      <c r="AN76" s="377"/>
      <c r="AO76" s="377"/>
      <c r="AP76" s="377"/>
      <c r="AQ76" s="377"/>
      <c r="AR76" s="377"/>
      <c r="AS76" s="377"/>
      <c r="AT76" s="377"/>
      <c r="AU76" s="377"/>
      <c r="AV76" s="377"/>
      <c r="AW76" s="377"/>
      <c r="AX76" s="331"/>
    </row>
    <row r="77" spans="1:50" x14ac:dyDescent="0.2">
      <c r="A77" s="1050"/>
      <c r="B77" s="1019"/>
      <c r="C77" s="1051"/>
      <c r="D77" s="1040"/>
      <c r="E77" s="1270"/>
      <c r="F77" s="1267"/>
      <c r="G77" s="1115"/>
      <c r="H77" s="1104"/>
      <c r="I77" s="1046"/>
      <c r="J77" s="377"/>
      <c r="K77" s="701"/>
      <c r="L77" s="482"/>
      <c r="M77" s="851"/>
      <c r="N77" s="663"/>
      <c r="O77" s="651"/>
      <c r="P77" s="1008"/>
      <c r="Q77" s="1009"/>
      <c r="R77" s="375"/>
      <c r="S77" s="376"/>
      <c r="T77" s="375"/>
      <c r="U77" s="625"/>
      <c r="V77" s="560"/>
      <c r="W77" s="606"/>
      <c r="X77" s="377"/>
      <c r="Y77" s="606"/>
      <c r="Z77" s="377"/>
      <c r="AA77" s="606"/>
      <c r="AB77" s="707"/>
      <c r="AC77" s="331"/>
      <c r="AD77" s="377"/>
      <c r="AE77" s="377"/>
      <c r="AF77" s="377"/>
      <c r="AG77" s="377"/>
      <c r="AH77" s="377"/>
      <c r="AI77" s="377"/>
      <c r="AJ77" s="377"/>
      <c r="AK77" s="377"/>
      <c r="AL77" s="377"/>
      <c r="AM77" s="377"/>
      <c r="AN77" s="377"/>
      <c r="AO77" s="377"/>
      <c r="AP77" s="377"/>
      <c r="AQ77" s="377"/>
      <c r="AR77" s="377"/>
      <c r="AS77" s="377"/>
      <c r="AT77" s="377"/>
      <c r="AU77" s="377"/>
      <c r="AV77" s="377"/>
      <c r="AW77" s="377"/>
      <c r="AX77" s="331"/>
    </row>
    <row r="78" spans="1:50" x14ac:dyDescent="0.2">
      <c r="A78" s="1050"/>
      <c r="B78" s="1019"/>
      <c r="C78" s="1051"/>
      <c r="D78" s="1040"/>
      <c r="E78" s="1270"/>
      <c r="F78" s="1267"/>
      <c r="G78" s="1115"/>
      <c r="H78" s="1104"/>
      <c r="I78" s="1046"/>
      <c r="J78" s="377"/>
      <c r="K78" s="701"/>
      <c r="L78" s="482"/>
      <c r="M78" s="851"/>
      <c r="N78" s="663"/>
      <c r="O78" s="651"/>
      <c r="P78" s="1008"/>
      <c r="Q78" s="1009"/>
      <c r="R78" s="375"/>
      <c r="S78" s="376"/>
      <c r="T78" s="375"/>
      <c r="U78" s="625"/>
      <c r="V78" s="560"/>
      <c r="W78" s="606"/>
      <c r="X78" s="377"/>
      <c r="Y78" s="606"/>
      <c r="Z78" s="377"/>
      <c r="AA78" s="606"/>
      <c r="AB78" s="707"/>
      <c r="AC78" s="331"/>
      <c r="AD78" s="377"/>
      <c r="AE78" s="377"/>
      <c r="AF78" s="377"/>
      <c r="AG78" s="377"/>
      <c r="AH78" s="377"/>
      <c r="AI78" s="377"/>
      <c r="AJ78" s="377"/>
      <c r="AK78" s="377"/>
      <c r="AL78" s="377"/>
      <c r="AM78" s="377"/>
      <c r="AN78" s="377"/>
      <c r="AO78" s="377"/>
      <c r="AP78" s="377"/>
      <c r="AQ78" s="377"/>
      <c r="AR78" s="377"/>
      <c r="AS78" s="377"/>
      <c r="AT78" s="377"/>
      <c r="AU78" s="377"/>
      <c r="AV78" s="377"/>
      <c r="AW78" s="377"/>
      <c r="AX78" s="331"/>
    </row>
    <row r="79" spans="1:50" x14ac:dyDescent="0.2">
      <c r="A79" s="1050"/>
      <c r="B79" s="1019"/>
      <c r="C79" s="1051"/>
      <c r="D79" s="1040"/>
      <c r="E79" s="1270"/>
      <c r="F79" s="1267"/>
      <c r="G79" s="1115"/>
      <c r="H79" s="1104"/>
      <c r="I79" s="1046"/>
      <c r="J79" s="377"/>
      <c r="K79" s="701"/>
      <c r="L79" s="482"/>
      <c r="M79" s="851"/>
      <c r="N79" s="663"/>
      <c r="O79" s="651"/>
      <c r="P79" s="1008"/>
      <c r="Q79" s="1009"/>
      <c r="R79" s="375"/>
      <c r="S79" s="376"/>
      <c r="T79" s="375"/>
      <c r="U79" s="625"/>
      <c r="V79" s="560"/>
      <c r="W79" s="606"/>
      <c r="X79" s="377"/>
      <c r="Y79" s="606"/>
      <c r="Z79" s="377"/>
      <c r="AA79" s="606"/>
      <c r="AB79" s="707"/>
      <c r="AC79" s="331"/>
      <c r="AD79" s="377"/>
      <c r="AE79" s="377"/>
      <c r="AF79" s="377"/>
      <c r="AG79" s="377"/>
      <c r="AH79" s="377"/>
      <c r="AI79" s="377"/>
      <c r="AJ79" s="377"/>
      <c r="AK79" s="377"/>
      <c r="AL79" s="377"/>
      <c r="AM79" s="377"/>
      <c r="AN79" s="377"/>
      <c r="AO79" s="377"/>
      <c r="AP79" s="377"/>
      <c r="AQ79" s="377"/>
      <c r="AR79" s="377"/>
      <c r="AS79" s="377"/>
      <c r="AT79" s="377"/>
      <c r="AU79" s="377"/>
      <c r="AV79" s="377"/>
      <c r="AW79" s="377"/>
      <c r="AX79" s="331"/>
    </row>
    <row r="80" spans="1:50" x14ac:dyDescent="0.2">
      <c r="A80" s="1050"/>
      <c r="B80" s="1019"/>
      <c r="C80" s="1051"/>
      <c r="D80" s="1040"/>
      <c r="E80" s="1270"/>
      <c r="F80" s="1267"/>
      <c r="G80" s="1115"/>
      <c r="H80" s="1104"/>
      <c r="I80" s="1046"/>
      <c r="J80" s="377"/>
      <c r="K80" s="701"/>
      <c r="L80" s="482"/>
      <c r="M80" s="851"/>
      <c r="N80" s="663"/>
      <c r="O80" s="651"/>
      <c r="P80" s="1008"/>
      <c r="Q80" s="1009"/>
      <c r="R80" s="375"/>
      <c r="S80" s="376"/>
      <c r="T80" s="375"/>
      <c r="U80" s="625"/>
      <c r="V80" s="560"/>
      <c r="W80" s="606"/>
      <c r="X80" s="377"/>
      <c r="Y80" s="606"/>
      <c r="Z80" s="377"/>
      <c r="AA80" s="606"/>
      <c r="AB80" s="707"/>
      <c r="AC80" s="331"/>
      <c r="AD80" s="377"/>
      <c r="AE80" s="377"/>
      <c r="AF80" s="377"/>
      <c r="AG80" s="377"/>
      <c r="AH80" s="377"/>
      <c r="AI80" s="377"/>
      <c r="AJ80" s="377"/>
      <c r="AK80" s="377"/>
      <c r="AL80" s="377"/>
      <c r="AM80" s="377"/>
      <c r="AN80" s="377"/>
      <c r="AO80" s="377"/>
      <c r="AP80" s="377"/>
      <c r="AQ80" s="377"/>
      <c r="AR80" s="377"/>
      <c r="AS80" s="377"/>
      <c r="AT80" s="377"/>
      <c r="AU80" s="377"/>
      <c r="AV80" s="377"/>
      <c r="AW80" s="377"/>
      <c r="AX80" s="331"/>
    </row>
    <row r="81" spans="1:50" x14ac:dyDescent="0.2">
      <c r="A81" s="1050"/>
      <c r="B81" s="1019"/>
      <c r="C81" s="1051"/>
      <c r="D81" s="1040"/>
      <c r="E81" s="1270"/>
      <c r="F81" s="1267"/>
      <c r="G81" s="1115"/>
      <c r="H81" s="1104"/>
      <c r="I81" s="1046"/>
      <c r="J81" s="377"/>
      <c r="K81" s="701"/>
      <c r="L81" s="482"/>
      <c r="M81" s="851"/>
      <c r="N81" s="663"/>
      <c r="O81" s="651"/>
      <c r="P81" s="1008"/>
      <c r="Q81" s="1009"/>
      <c r="R81" s="375"/>
      <c r="S81" s="376"/>
      <c r="T81" s="375"/>
      <c r="U81" s="625"/>
      <c r="V81" s="560"/>
      <c r="W81" s="606"/>
      <c r="X81" s="377"/>
      <c r="Y81" s="606"/>
      <c r="Z81" s="377"/>
      <c r="AA81" s="606"/>
      <c r="AB81" s="707"/>
      <c r="AC81" s="331"/>
      <c r="AD81" s="377"/>
      <c r="AE81" s="377"/>
      <c r="AF81" s="377"/>
      <c r="AG81" s="377"/>
      <c r="AH81" s="377"/>
      <c r="AI81" s="377"/>
      <c r="AJ81" s="377"/>
      <c r="AK81" s="377"/>
      <c r="AL81" s="377"/>
      <c r="AM81" s="377"/>
      <c r="AN81" s="377"/>
      <c r="AO81" s="377"/>
      <c r="AP81" s="377"/>
      <c r="AQ81" s="377"/>
      <c r="AR81" s="377"/>
      <c r="AS81" s="377"/>
      <c r="AT81" s="377"/>
      <c r="AU81" s="377"/>
      <c r="AV81" s="377"/>
      <c r="AW81" s="377"/>
      <c r="AX81" s="331"/>
    </row>
    <row r="82" spans="1:50" x14ac:dyDescent="0.2">
      <c r="A82" s="1050"/>
      <c r="B82" s="1019"/>
      <c r="C82" s="1051"/>
      <c r="D82" s="1040"/>
      <c r="E82" s="1270"/>
      <c r="F82" s="1267"/>
      <c r="G82" s="1115"/>
      <c r="H82" s="1104"/>
      <c r="I82" s="1046"/>
      <c r="J82" s="377"/>
      <c r="K82" s="701"/>
      <c r="L82" s="482"/>
      <c r="M82" s="851"/>
      <c r="N82" s="663"/>
      <c r="O82" s="651"/>
      <c r="P82" s="1008"/>
      <c r="Q82" s="1009"/>
      <c r="R82" s="375"/>
      <c r="S82" s="376"/>
      <c r="T82" s="375"/>
      <c r="U82" s="625"/>
      <c r="V82" s="560"/>
      <c r="W82" s="606"/>
      <c r="X82" s="377"/>
      <c r="Y82" s="606"/>
      <c r="Z82" s="377"/>
      <c r="AA82" s="606"/>
      <c r="AB82" s="707"/>
      <c r="AC82" s="331"/>
      <c r="AD82" s="377"/>
      <c r="AE82" s="377"/>
      <c r="AF82" s="377"/>
      <c r="AG82" s="377"/>
      <c r="AH82" s="377"/>
      <c r="AI82" s="377"/>
      <c r="AJ82" s="377"/>
      <c r="AK82" s="377"/>
      <c r="AL82" s="377"/>
      <c r="AM82" s="377"/>
      <c r="AN82" s="377"/>
      <c r="AO82" s="377"/>
      <c r="AP82" s="377"/>
      <c r="AQ82" s="377"/>
      <c r="AR82" s="377"/>
      <c r="AS82" s="377"/>
      <c r="AT82" s="377"/>
      <c r="AU82" s="377"/>
      <c r="AV82" s="377"/>
      <c r="AW82" s="377"/>
      <c r="AX82" s="331"/>
    </row>
    <row r="83" spans="1:50" x14ac:dyDescent="0.2">
      <c r="A83" s="1050"/>
      <c r="B83" s="1019"/>
      <c r="C83" s="1051"/>
      <c r="D83" s="1040"/>
      <c r="E83" s="1270"/>
      <c r="F83" s="1267"/>
      <c r="G83" s="1115"/>
      <c r="H83" s="1104"/>
      <c r="I83" s="1046"/>
      <c r="J83" s="377"/>
      <c r="K83" s="701"/>
      <c r="L83" s="482"/>
      <c r="M83" s="851"/>
      <c r="N83" s="663"/>
      <c r="O83" s="651"/>
      <c r="P83" s="1008"/>
      <c r="Q83" s="1009"/>
      <c r="R83" s="375"/>
      <c r="S83" s="376"/>
      <c r="T83" s="375"/>
      <c r="U83" s="625"/>
      <c r="V83" s="560"/>
      <c r="W83" s="606"/>
      <c r="X83" s="377"/>
      <c r="Y83" s="606"/>
      <c r="Z83" s="377"/>
      <c r="AA83" s="606"/>
      <c r="AB83" s="707"/>
      <c r="AC83" s="331"/>
      <c r="AD83" s="377"/>
      <c r="AE83" s="377"/>
      <c r="AF83" s="377"/>
      <c r="AG83" s="377"/>
      <c r="AH83" s="377"/>
      <c r="AI83" s="377"/>
      <c r="AJ83" s="377"/>
      <c r="AK83" s="377"/>
      <c r="AL83" s="377"/>
      <c r="AM83" s="377"/>
      <c r="AN83" s="377"/>
      <c r="AO83" s="377"/>
      <c r="AP83" s="377"/>
      <c r="AQ83" s="377"/>
      <c r="AR83" s="377"/>
      <c r="AS83" s="377"/>
      <c r="AT83" s="377"/>
      <c r="AU83" s="377"/>
      <c r="AV83" s="377"/>
      <c r="AW83" s="377"/>
      <c r="AX83" s="331"/>
    </row>
    <row r="84" spans="1:50" x14ac:dyDescent="0.2">
      <c r="A84" s="1050"/>
      <c r="B84" s="1019"/>
      <c r="C84" s="1051"/>
      <c r="D84" s="1040"/>
      <c r="E84" s="1270"/>
      <c r="F84" s="1267"/>
      <c r="G84" s="1115"/>
      <c r="H84" s="1104"/>
      <c r="I84" s="1046"/>
      <c r="J84" s="377"/>
      <c r="K84" s="701"/>
      <c r="L84" s="482"/>
      <c r="M84" s="851"/>
      <c r="N84" s="663"/>
      <c r="O84" s="651"/>
      <c r="P84" s="1008"/>
      <c r="Q84" s="1009"/>
      <c r="R84" s="375"/>
      <c r="S84" s="376"/>
      <c r="T84" s="375"/>
      <c r="U84" s="625"/>
      <c r="V84" s="560"/>
      <c r="W84" s="606"/>
      <c r="X84" s="377"/>
      <c r="Y84" s="606"/>
      <c r="Z84" s="377"/>
      <c r="AA84" s="606"/>
      <c r="AB84" s="707"/>
      <c r="AC84" s="331"/>
      <c r="AD84" s="377"/>
      <c r="AE84" s="377"/>
      <c r="AF84" s="377"/>
      <c r="AG84" s="377"/>
      <c r="AH84" s="377"/>
      <c r="AI84" s="377"/>
      <c r="AJ84" s="377"/>
      <c r="AK84" s="377"/>
      <c r="AL84" s="377"/>
      <c r="AM84" s="377"/>
      <c r="AN84" s="377"/>
      <c r="AO84" s="377"/>
      <c r="AP84" s="377"/>
      <c r="AQ84" s="377"/>
      <c r="AR84" s="377"/>
      <c r="AS84" s="377"/>
      <c r="AT84" s="377"/>
      <c r="AU84" s="377"/>
      <c r="AV84" s="377"/>
      <c r="AW84" s="377"/>
      <c r="AX84" s="331"/>
    </row>
    <row r="85" spans="1:50" x14ac:dyDescent="0.2">
      <c r="A85" s="1050"/>
      <c r="B85" s="1019"/>
      <c r="C85" s="1051"/>
      <c r="D85" s="1040"/>
      <c r="E85" s="1270"/>
      <c r="F85" s="1267"/>
      <c r="G85" s="1115"/>
      <c r="H85" s="1104"/>
      <c r="I85" s="1046"/>
      <c r="J85" s="377"/>
      <c r="K85" s="701"/>
      <c r="L85" s="482"/>
      <c r="M85" s="851"/>
      <c r="N85" s="663"/>
      <c r="O85" s="651"/>
      <c r="P85" s="1008"/>
      <c r="Q85" s="1009"/>
      <c r="R85" s="375"/>
      <c r="S85" s="376"/>
      <c r="T85" s="375"/>
      <c r="U85" s="625"/>
      <c r="V85" s="560"/>
      <c r="W85" s="606"/>
      <c r="X85" s="377"/>
      <c r="Y85" s="606"/>
      <c r="Z85" s="377"/>
      <c r="AA85" s="606"/>
      <c r="AB85" s="707"/>
      <c r="AC85" s="331"/>
      <c r="AD85" s="377"/>
      <c r="AE85" s="377"/>
      <c r="AF85" s="377"/>
      <c r="AG85" s="377"/>
      <c r="AH85" s="377"/>
      <c r="AI85" s="377"/>
      <c r="AJ85" s="377"/>
      <c r="AK85" s="377"/>
      <c r="AL85" s="377"/>
      <c r="AM85" s="377"/>
      <c r="AN85" s="377"/>
      <c r="AO85" s="377"/>
      <c r="AP85" s="377"/>
      <c r="AQ85" s="377"/>
      <c r="AR85" s="377"/>
      <c r="AS85" s="377"/>
      <c r="AT85" s="377"/>
      <c r="AU85" s="377"/>
      <c r="AV85" s="377"/>
      <c r="AW85" s="377"/>
      <c r="AX85" s="331"/>
    </row>
    <row r="86" spans="1:50" x14ac:dyDescent="0.2">
      <c r="A86" s="1050"/>
      <c r="B86" s="1019"/>
      <c r="C86" s="1051"/>
      <c r="D86" s="1040"/>
      <c r="E86" s="1270"/>
      <c r="F86" s="1267"/>
      <c r="G86" s="1115"/>
      <c r="H86" s="1104"/>
      <c r="I86" s="1046"/>
      <c r="J86" s="377"/>
      <c r="K86" s="701"/>
      <c r="L86" s="482"/>
      <c r="M86" s="851"/>
      <c r="N86" s="663"/>
      <c r="O86" s="651"/>
      <c r="P86" s="1008"/>
      <c r="Q86" s="1009"/>
      <c r="R86" s="375"/>
      <c r="S86" s="376"/>
      <c r="T86" s="375"/>
      <c r="U86" s="625"/>
      <c r="V86" s="560"/>
      <c r="W86" s="606"/>
      <c r="X86" s="377"/>
      <c r="Y86" s="606"/>
      <c r="Z86" s="377"/>
      <c r="AA86" s="606"/>
      <c r="AB86" s="707"/>
      <c r="AC86" s="331"/>
      <c r="AD86" s="377"/>
      <c r="AE86" s="377"/>
      <c r="AF86" s="377"/>
      <c r="AG86" s="377"/>
      <c r="AH86" s="377"/>
      <c r="AI86" s="377"/>
      <c r="AJ86" s="377"/>
      <c r="AK86" s="377"/>
      <c r="AL86" s="377"/>
      <c r="AM86" s="377"/>
      <c r="AN86" s="377"/>
      <c r="AO86" s="377"/>
      <c r="AP86" s="377"/>
      <c r="AQ86" s="377"/>
      <c r="AR86" s="377"/>
      <c r="AS86" s="377"/>
      <c r="AT86" s="377"/>
      <c r="AU86" s="377"/>
      <c r="AV86" s="377"/>
      <c r="AW86" s="377"/>
      <c r="AX86" s="331"/>
    </row>
    <row r="87" spans="1:50" x14ac:dyDescent="0.2">
      <c r="A87" s="1050"/>
      <c r="B87" s="1019"/>
      <c r="C87" s="1051"/>
      <c r="D87" s="1040"/>
      <c r="E87" s="1270"/>
      <c r="F87" s="1267"/>
      <c r="G87" s="1115"/>
      <c r="H87" s="1104"/>
      <c r="I87" s="1046"/>
      <c r="J87" s="377"/>
      <c r="K87" s="701"/>
      <c r="L87" s="482"/>
      <c r="M87" s="851"/>
      <c r="N87" s="663"/>
      <c r="O87" s="651"/>
      <c r="P87" s="1008"/>
      <c r="Q87" s="1009"/>
      <c r="R87" s="375"/>
      <c r="S87" s="376"/>
      <c r="T87" s="375"/>
      <c r="U87" s="625"/>
      <c r="V87" s="560"/>
      <c r="W87" s="606"/>
      <c r="X87" s="377"/>
      <c r="Y87" s="606"/>
      <c r="Z87" s="377"/>
      <c r="AA87" s="606"/>
      <c r="AB87" s="707"/>
      <c r="AC87" s="331"/>
      <c r="AD87" s="377"/>
      <c r="AE87" s="377"/>
      <c r="AF87" s="377"/>
      <c r="AG87" s="377"/>
      <c r="AH87" s="377"/>
      <c r="AI87" s="377"/>
      <c r="AJ87" s="377"/>
      <c r="AK87" s="377"/>
      <c r="AL87" s="377"/>
      <c r="AM87" s="377"/>
      <c r="AN87" s="377"/>
      <c r="AO87" s="377"/>
      <c r="AP87" s="377"/>
      <c r="AQ87" s="377"/>
      <c r="AR87" s="377"/>
      <c r="AS87" s="377"/>
      <c r="AT87" s="377"/>
      <c r="AU87" s="377"/>
      <c r="AV87" s="377"/>
      <c r="AW87" s="377"/>
      <c r="AX87" s="331"/>
    </row>
    <row r="88" spans="1:50" x14ac:dyDescent="0.2">
      <c r="A88" s="1050"/>
      <c r="B88" s="1019"/>
      <c r="C88" s="1051"/>
      <c r="D88" s="1040"/>
      <c r="E88" s="1270"/>
      <c r="F88" s="1267"/>
      <c r="G88" s="1115"/>
      <c r="H88" s="1104"/>
      <c r="I88" s="1046"/>
      <c r="J88" s="377"/>
      <c r="K88" s="701"/>
      <c r="L88" s="482"/>
      <c r="M88" s="851"/>
      <c r="N88" s="663"/>
      <c r="O88" s="651"/>
      <c r="P88" s="1008"/>
      <c r="Q88" s="1009"/>
      <c r="R88" s="375"/>
      <c r="S88" s="376"/>
      <c r="T88" s="375"/>
      <c r="U88" s="625"/>
      <c r="V88" s="560"/>
      <c r="W88" s="606"/>
      <c r="X88" s="377"/>
      <c r="Y88" s="606"/>
      <c r="Z88" s="377"/>
      <c r="AA88" s="606"/>
      <c r="AB88" s="707"/>
      <c r="AC88" s="331"/>
      <c r="AD88" s="377"/>
      <c r="AE88" s="377"/>
      <c r="AF88" s="377"/>
      <c r="AG88" s="377"/>
      <c r="AH88" s="377"/>
      <c r="AI88" s="377"/>
      <c r="AJ88" s="377"/>
      <c r="AK88" s="377"/>
      <c r="AL88" s="377"/>
      <c r="AM88" s="377"/>
      <c r="AN88" s="377"/>
      <c r="AO88" s="377"/>
      <c r="AP88" s="377"/>
      <c r="AQ88" s="377"/>
      <c r="AR88" s="377"/>
      <c r="AS88" s="377"/>
      <c r="AT88" s="377"/>
      <c r="AU88" s="377"/>
      <c r="AV88" s="377"/>
      <c r="AW88" s="377"/>
      <c r="AX88" s="331"/>
    </row>
    <row r="89" spans="1:50" x14ac:dyDescent="0.2">
      <c r="A89" s="1050"/>
      <c r="B89" s="1019"/>
      <c r="C89" s="1051"/>
      <c r="D89" s="1040"/>
      <c r="E89" s="1270"/>
      <c r="F89" s="1267"/>
      <c r="G89" s="1115"/>
      <c r="H89" s="1104"/>
      <c r="I89" s="1046"/>
      <c r="J89" s="377"/>
      <c r="K89" s="701"/>
      <c r="L89" s="482"/>
      <c r="M89" s="851"/>
      <c r="N89" s="663"/>
      <c r="O89" s="651"/>
      <c r="P89" s="1008"/>
      <c r="Q89" s="1009"/>
      <c r="R89" s="375"/>
      <c r="S89" s="376"/>
      <c r="T89" s="375"/>
      <c r="U89" s="625"/>
      <c r="V89" s="560"/>
      <c r="W89" s="606"/>
      <c r="X89" s="377"/>
      <c r="Y89" s="606"/>
      <c r="Z89" s="377"/>
      <c r="AA89" s="606"/>
      <c r="AB89" s="707"/>
      <c r="AC89" s="331"/>
      <c r="AD89" s="377"/>
      <c r="AE89" s="377"/>
      <c r="AF89" s="377"/>
      <c r="AG89" s="377"/>
      <c r="AH89" s="377"/>
      <c r="AI89" s="377"/>
      <c r="AJ89" s="377"/>
      <c r="AK89" s="377"/>
      <c r="AL89" s="377"/>
      <c r="AM89" s="377"/>
      <c r="AN89" s="377"/>
      <c r="AO89" s="377"/>
      <c r="AP89" s="377"/>
      <c r="AQ89" s="377"/>
      <c r="AR89" s="377"/>
      <c r="AS89" s="377"/>
      <c r="AT89" s="377"/>
      <c r="AU89" s="377"/>
      <c r="AV89" s="377"/>
      <c r="AW89" s="377"/>
      <c r="AX89" s="331"/>
    </row>
    <row r="90" spans="1:50" x14ac:dyDescent="0.2">
      <c r="A90" s="1050"/>
      <c r="B90" s="1019"/>
      <c r="C90" s="1051"/>
      <c r="D90" s="1040"/>
      <c r="E90" s="1270"/>
      <c r="F90" s="1267"/>
      <c r="G90" s="1115"/>
      <c r="H90" s="1104"/>
      <c r="I90" s="1046"/>
      <c r="J90" s="377"/>
      <c r="K90" s="701"/>
      <c r="L90" s="482"/>
      <c r="M90" s="851"/>
      <c r="N90" s="663"/>
      <c r="O90" s="651"/>
      <c r="P90" s="1008"/>
      <c r="Q90" s="1009"/>
      <c r="R90" s="375"/>
      <c r="S90" s="376"/>
      <c r="T90" s="375"/>
      <c r="U90" s="625"/>
      <c r="V90" s="560"/>
      <c r="W90" s="606"/>
      <c r="X90" s="377"/>
      <c r="Y90" s="606"/>
      <c r="Z90" s="377"/>
      <c r="AA90" s="606"/>
      <c r="AB90" s="707"/>
      <c r="AC90" s="331"/>
      <c r="AD90" s="377"/>
      <c r="AE90" s="377"/>
      <c r="AF90" s="377"/>
      <c r="AG90" s="377"/>
      <c r="AH90" s="377"/>
      <c r="AI90" s="377"/>
      <c r="AJ90" s="377"/>
      <c r="AK90" s="377"/>
      <c r="AL90" s="377"/>
      <c r="AM90" s="377"/>
      <c r="AN90" s="377"/>
      <c r="AO90" s="377"/>
      <c r="AP90" s="377"/>
      <c r="AQ90" s="377"/>
      <c r="AR90" s="377"/>
      <c r="AS90" s="377"/>
      <c r="AT90" s="377"/>
      <c r="AU90" s="377"/>
      <c r="AV90" s="377"/>
      <c r="AW90" s="377"/>
      <c r="AX90" s="331"/>
    </row>
    <row r="91" spans="1:50" x14ac:dyDescent="0.2">
      <c r="A91" s="1050"/>
      <c r="B91" s="1019"/>
      <c r="C91" s="1051"/>
      <c r="D91" s="1040"/>
      <c r="E91" s="1270"/>
      <c r="F91" s="1267"/>
      <c r="G91" s="1115"/>
      <c r="H91" s="1104"/>
      <c r="I91" s="1046"/>
      <c r="J91" s="377"/>
      <c r="K91" s="701"/>
      <c r="L91" s="482"/>
      <c r="M91" s="851"/>
      <c r="N91" s="663"/>
      <c r="O91" s="651"/>
      <c r="P91" s="1008"/>
      <c r="Q91" s="1009"/>
      <c r="R91" s="375"/>
      <c r="S91" s="376"/>
      <c r="T91" s="375"/>
      <c r="U91" s="625"/>
      <c r="V91" s="560"/>
      <c r="W91" s="606"/>
      <c r="X91" s="377"/>
      <c r="Y91" s="606"/>
      <c r="Z91" s="377"/>
      <c r="AA91" s="606"/>
      <c r="AB91" s="707"/>
      <c r="AC91" s="331"/>
      <c r="AD91" s="377"/>
      <c r="AE91" s="377"/>
      <c r="AF91" s="377"/>
      <c r="AG91" s="377"/>
      <c r="AH91" s="377"/>
      <c r="AI91" s="377"/>
      <c r="AJ91" s="377"/>
      <c r="AK91" s="377"/>
      <c r="AL91" s="377"/>
      <c r="AM91" s="377"/>
      <c r="AN91" s="377"/>
      <c r="AO91" s="377"/>
      <c r="AP91" s="377"/>
      <c r="AQ91" s="377"/>
      <c r="AR91" s="377"/>
      <c r="AS91" s="377"/>
      <c r="AT91" s="377"/>
      <c r="AU91" s="377"/>
      <c r="AV91" s="377"/>
      <c r="AW91" s="377"/>
      <c r="AX91" s="331"/>
    </row>
    <row r="92" spans="1:50" x14ac:dyDescent="0.2">
      <c r="A92" s="1050"/>
      <c r="B92" s="1019"/>
      <c r="C92" s="1051"/>
      <c r="D92" s="1040"/>
      <c r="E92" s="1270"/>
      <c r="F92" s="1267"/>
      <c r="G92" s="1115"/>
      <c r="H92" s="1104"/>
      <c r="I92" s="1046"/>
      <c r="J92" s="377"/>
      <c r="K92" s="701"/>
      <c r="L92" s="482"/>
      <c r="M92" s="851"/>
      <c r="N92" s="663"/>
      <c r="O92" s="651"/>
      <c r="P92" s="1008"/>
      <c r="Q92" s="1009"/>
      <c r="R92" s="375"/>
      <c r="S92" s="376"/>
      <c r="T92" s="375"/>
      <c r="U92" s="625"/>
      <c r="V92" s="560"/>
      <c r="W92" s="606"/>
      <c r="X92" s="377"/>
      <c r="Y92" s="606"/>
      <c r="Z92" s="377"/>
      <c r="AA92" s="606"/>
      <c r="AB92" s="707"/>
      <c r="AC92" s="331"/>
      <c r="AD92" s="377"/>
      <c r="AE92" s="377"/>
      <c r="AF92" s="377"/>
      <c r="AG92" s="377"/>
      <c r="AH92" s="377"/>
      <c r="AI92" s="377"/>
      <c r="AJ92" s="377"/>
      <c r="AK92" s="377"/>
      <c r="AL92" s="377"/>
      <c r="AM92" s="377"/>
      <c r="AN92" s="377"/>
      <c r="AO92" s="377"/>
      <c r="AP92" s="377"/>
      <c r="AQ92" s="377"/>
      <c r="AR92" s="377"/>
      <c r="AS92" s="377"/>
      <c r="AT92" s="377"/>
      <c r="AU92" s="377"/>
      <c r="AV92" s="377"/>
      <c r="AW92" s="377"/>
      <c r="AX92" s="331"/>
    </row>
    <row r="93" spans="1:50" x14ac:dyDescent="0.2">
      <c r="A93" s="1050"/>
      <c r="B93" s="1019"/>
      <c r="C93" s="1051"/>
      <c r="D93" s="1040"/>
      <c r="E93" s="1270"/>
      <c r="F93" s="1267"/>
      <c r="G93" s="1115"/>
      <c r="H93" s="1104"/>
      <c r="I93" s="1046"/>
      <c r="J93" s="377"/>
      <c r="K93" s="701"/>
      <c r="L93" s="482"/>
      <c r="M93" s="851"/>
      <c r="N93" s="663"/>
      <c r="O93" s="651"/>
      <c r="P93" s="1008"/>
      <c r="Q93" s="1009"/>
      <c r="R93" s="375"/>
      <c r="S93" s="376"/>
      <c r="T93" s="375"/>
      <c r="U93" s="625"/>
      <c r="V93" s="560"/>
      <c r="W93" s="606"/>
      <c r="X93" s="377"/>
      <c r="Y93" s="606"/>
      <c r="Z93" s="377"/>
      <c r="AA93" s="606"/>
      <c r="AB93" s="707"/>
      <c r="AC93" s="331"/>
      <c r="AD93" s="377"/>
      <c r="AE93" s="377"/>
      <c r="AF93" s="377"/>
      <c r="AG93" s="377"/>
      <c r="AH93" s="377"/>
      <c r="AI93" s="377"/>
      <c r="AJ93" s="377"/>
      <c r="AK93" s="377"/>
      <c r="AL93" s="377"/>
      <c r="AM93" s="377"/>
      <c r="AN93" s="377"/>
      <c r="AO93" s="377"/>
      <c r="AP93" s="377"/>
      <c r="AQ93" s="377"/>
      <c r="AR93" s="377"/>
      <c r="AS93" s="377"/>
      <c r="AT93" s="377"/>
      <c r="AU93" s="377"/>
      <c r="AV93" s="377"/>
      <c r="AW93" s="377"/>
      <c r="AX93" s="331"/>
    </row>
    <row r="94" spans="1:50" x14ac:dyDescent="0.2">
      <c r="A94" s="1050"/>
      <c r="B94" s="1042"/>
      <c r="C94" s="1051"/>
      <c r="D94" s="1040"/>
      <c r="E94" s="1270"/>
      <c r="F94" s="1267"/>
      <c r="G94" s="1115"/>
      <c r="H94" s="1104"/>
      <c r="I94" s="1046"/>
      <c r="J94" s="377"/>
      <c r="K94" s="701"/>
      <c r="L94" s="482"/>
      <c r="M94" s="851"/>
      <c r="N94" s="663"/>
      <c r="O94" s="651"/>
      <c r="P94" s="1008"/>
      <c r="Q94" s="1009"/>
      <c r="R94" s="375"/>
      <c r="S94" s="376"/>
      <c r="T94" s="375"/>
      <c r="U94" s="625"/>
      <c r="V94" s="560"/>
      <c r="W94" s="606"/>
      <c r="X94" s="377"/>
      <c r="Y94" s="606"/>
      <c r="Z94" s="377"/>
      <c r="AA94" s="606"/>
      <c r="AB94" s="707"/>
      <c r="AC94" s="331"/>
      <c r="AD94" s="377"/>
      <c r="AE94" s="377"/>
      <c r="AF94" s="377"/>
      <c r="AG94" s="377"/>
      <c r="AH94" s="377"/>
      <c r="AI94" s="377"/>
      <c r="AJ94" s="377"/>
      <c r="AK94" s="377"/>
      <c r="AL94" s="377"/>
      <c r="AM94" s="377"/>
      <c r="AN94" s="377"/>
      <c r="AO94" s="377"/>
      <c r="AP94" s="377"/>
      <c r="AQ94" s="377"/>
      <c r="AR94" s="377"/>
      <c r="AS94" s="377"/>
      <c r="AT94" s="377"/>
      <c r="AU94" s="377"/>
      <c r="AV94" s="377"/>
      <c r="AW94" s="377"/>
      <c r="AX94" s="331"/>
    </row>
    <row r="95" spans="1:50" x14ac:dyDescent="0.2">
      <c r="A95" s="1050"/>
      <c r="B95" s="1019"/>
      <c r="C95" s="1051"/>
      <c r="D95" s="1040"/>
      <c r="E95" s="1270"/>
      <c r="F95" s="1267"/>
      <c r="G95" s="1115"/>
      <c r="H95" s="1104"/>
      <c r="I95" s="1046"/>
      <c r="J95" s="377"/>
      <c r="K95" s="701"/>
      <c r="L95" s="482"/>
      <c r="M95" s="851"/>
      <c r="N95" s="663"/>
      <c r="O95" s="651"/>
      <c r="P95" s="1008"/>
      <c r="Q95" s="1009"/>
      <c r="R95" s="375"/>
      <c r="S95" s="376"/>
      <c r="T95" s="375"/>
      <c r="U95" s="625"/>
      <c r="V95" s="560"/>
      <c r="W95" s="606"/>
      <c r="X95" s="377"/>
      <c r="Y95" s="606"/>
      <c r="Z95" s="377"/>
      <c r="AA95" s="606"/>
      <c r="AB95" s="707"/>
      <c r="AC95" s="331"/>
      <c r="AD95" s="377"/>
      <c r="AE95" s="377"/>
      <c r="AF95" s="377"/>
      <c r="AG95" s="377"/>
      <c r="AH95" s="377"/>
      <c r="AI95" s="377"/>
      <c r="AJ95" s="377"/>
      <c r="AK95" s="377"/>
      <c r="AL95" s="377"/>
      <c r="AM95" s="377"/>
      <c r="AN95" s="377"/>
      <c r="AO95" s="377"/>
      <c r="AP95" s="377"/>
      <c r="AQ95" s="377"/>
      <c r="AR95" s="377"/>
      <c r="AS95" s="377"/>
      <c r="AT95" s="377"/>
      <c r="AU95" s="377"/>
      <c r="AV95" s="377"/>
      <c r="AW95" s="377"/>
      <c r="AX95" s="331"/>
    </row>
    <row r="96" spans="1:50" x14ac:dyDescent="0.2">
      <c r="A96" s="1050"/>
      <c r="B96" s="1019"/>
      <c r="C96" s="1051"/>
      <c r="D96" s="1040"/>
      <c r="E96" s="1270"/>
      <c r="F96" s="1267"/>
      <c r="G96" s="1115"/>
      <c r="H96" s="1104"/>
      <c r="I96" s="1046"/>
      <c r="J96" s="377"/>
      <c r="K96" s="701"/>
      <c r="L96" s="482"/>
      <c r="M96" s="851"/>
      <c r="N96" s="663"/>
      <c r="O96" s="651"/>
      <c r="P96" s="1008"/>
      <c r="Q96" s="1009"/>
      <c r="R96" s="375"/>
      <c r="S96" s="376"/>
      <c r="T96" s="375"/>
      <c r="U96" s="625"/>
      <c r="V96" s="560"/>
      <c r="W96" s="606"/>
      <c r="X96" s="377"/>
      <c r="Y96" s="606"/>
      <c r="Z96" s="377"/>
      <c r="AA96" s="606"/>
      <c r="AB96" s="707"/>
      <c r="AC96" s="331"/>
      <c r="AD96" s="377"/>
      <c r="AE96" s="377"/>
      <c r="AF96" s="377"/>
      <c r="AG96" s="377"/>
      <c r="AH96" s="377"/>
      <c r="AI96" s="377"/>
      <c r="AJ96" s="377"/>
      <c r="AK96" s="377"/>
      <c r="AL96" s="377"/>
      <c r="AM96" s="377"/>
      <c r="AN96" s="377"/>
      <c r="AO96" s="377"/>
      <c r="AP96" s="377"/>
      <c r="AQ96" s="377"/>
      <c r="AR96" s="377"/>
      <c r="AS96" s="377"/>
      <c r="AT96" s="377"/>
      <c r="AU96" s="377"/>
      <c r="AV96" s="377"/>
      <c r="AW96" s="377"/>
      <c r="AX96" s="331"/>
    </row>
    <row r="97" spans="1:50" x14ac:dyDescent="0.2">
      <c r="A97" s="1050"/>
      <c r="B97" s="1019"/>
      <c r="C97" s="1051"/>
      <c r="D97" s="1040"/>
      <c r="E97" s="1270"/>
      <c r="F97" s="1267"/>
      <c r="G97" s="1115"/>
      <c r="H97" s="1104"/>
      <c r="I97" s="1046"/>
      <c r="J97" s="377"/>
      <c r="K97" s="701"/>
      <c r="L97" s="482"/>
      <c r="M97" s="851"/>
      <c r="N97" s="663"/>
      <c r="O97" s="651"/>
      <c r="P97" s="1008"/>
      <c r="Q97" s="1009"/>
      <c r="R97" s="375"/>
      <c r="S97" s="376"/>
      <c r="T97" s="375"/>
      <c r="U97" s="625"/>
      <c r="V97" s="560"/>
      <c r="W97" s="606"/>
      <c r="X97" s="377"/>
      <c r="Y97" s="606"/>
      <c r="Z97" s="377"/>
      <c r="AA97" s="606"/>
      <c r="AB97" s="707"/>
      <c r="AC97" s="331"/>
      <c r="AD97" s="377"/>
      <c r="AE97" s="377"/>
      <c r="AF97" s="377"/>
      <c r="AG97" s="377"/>
      <c r="AH97" s="377"/>
      <c r="AI97" s="377"/>
      <c r="AJ97" s="377"/>
      <c r="AK97" s="377"/>
      <c r="AL97" s="377"/>
      <c r="AM97" s="377"/>
      <c r="AN97" s="377"/>
      <c r="AO97" s="377"/>
      <c r="AP97" s="377"/>
      <c r="AQ97" s="377"/>
      <c r="AR97" s="377"/>
      <c r="AS97" s="377"/>
      <c r="AT97" s="377"/>
      <c r="AU97" s="377"/>
      <c r="AV97" s="377"/>
      <c r="AW97" s="377"/>
      <c r="AX97" s="331"/>
    </row>
    <row r="98" spans="1:50" x14ac:dyDescent="0.2">
      <c r="A98" s="1050"/>
      <c r="B98" s="1067"/>
      <c r="C98" s="1051"/>
      <c r="D98" s="1040"/>
      <c r="E98" s="1270"/>
      <c r="F98" s="1267"/>
      <c r="G98" s="1115"/>
      <c r="H98" s="1104"/>
      <c r="I98" s="1046"/>
      <c r="J98" s="377"/>
      <c r="K98" s="701"/>
      <c r="L98" s="482"/>
      <c r="M98" s="851"/>
      <c r="N98" s="663"/>
      <c r="O98" s="651"/>
      <c r="P98" s="1008"/>
      <c r="Q98" s="1009"/>
      <c r="R98" s="375"/>
      <c r="S98" s="376"/>
      <c r="T98" s="375"/>
      <c r="U98" s="625"/>
      <c r="V98" s="560"/>
      <c r="W98" s="606"/>
      <c r="X98" s="377"/>
      <c r="Y98" s="606"/>
      <c r="Z98" s="377"/>
      <c r="AA98" s="606"/>
      <c r="AB98" s="707"/>
      <c r="AC98" s="331"/>
      <c r="AD98" s="377"/>
      <c r="AE98" s="377"/>
      <c r="AF98" s="377"/>
      <c r="AG98" s="377"/>
      <c r="AH98" s="377"/>
      <c r="AI98" s="377"/>
      <c r="AJ98" s="377"/>
      <c r="AK98" s="377"/>
      <c r="AL98" s="377"/>
      <c r="AM98" s="377"/>
      <c r="AN98" s="377"/>
      <c r="AO98" s="377"/>
      <c r="AP98" s="377"/>
      <c r="AQ98" s="377"/>
      <c r="AR98" s="377"/>
      <c r="AS98" s="377"/>
      <c r="AT98" s="377"/>
      <c r="AU98" s="377"/>
      <c r="AV98" s="377"/>
      <c r="AW98" s="377"/>
      <c r="AX98" s="331"/>
    </row>
    <row r="99" spans="1:50" x14ac:dyDescent="0.2">
      <c r="A99" s="1050"/>
      <c r="B99" s="1019"/>
      <c r="C99" s="1051"/>
      <c r="D99" s="1040"/>
      <c r="E99" s="1270"/>
      <c r="F99" s="1267"/>
      <c r="G99" s="1115"/>
      <c r="H99" s="1104"/>
      <c r="I99" s="1046"/>
      <c r="J99" s="377"/>
      <c r="K99" s="701"/>
      <c r="L99" s="482"/>
      <c r="M99" s="851"/>
      <c r="N99" s="663"/>
      <c r="O99" s="651"/>
      <c r="P99" s="1008"/>
      <c r="Q99" s="1009"/>
      <c r="R99" s="375"/>
      <c r="S99" s="376"/>
      <c r="T99" s="375"/>
      <c r="U99" s="625"/>
      <c r="V99" s="560"/>
      <c r="W99" s="606"/>
      <c r="X99" s="377"/>
      <c r="Y99" s="606"/>
      <c r="Z99" s="377"/>
      <c r="AA99" s="606"/>
      <c r="AB99" s="707"/>
      <c r="AC99" s="331"/>
      <c r="AD99" s="377"/>
      <c r="AE99" s="377"/>
      <c r="AF99" s="377"/>
      <c r="AG99" s="377"/>
      <c r="AH99" s="377"/>
      <c r="AI99" s="377"/>
      <c r="AJ99" s="377"/>
      <c r="AK99" s="377"/>
      <c r="AL99" s="377"/>
      <c r="AM99" s="377"/>
      <c r="AN99" s="377"/>
      <c r="AO99" s="377"/>
      <c r="AP99" s="377"/>
      <c r="AQ99" s="377"/>
      <c r="AR99" s="377"/>
      <c r="AS99" s="377"/>
      <c r="AT99" s="377"/>
      <c r="AU99" s="377"/>
      <c r="AV99" s="377"/>
      <c r="AW99" s="377"/>
      <c r="AX99" s="331"/>
    </row>
    <row r="100" spans="1:50" x14ac:dyDescent="0.2">
      <c r="A100" s="1050"/>
      <c r="B100" s="1019"/>
      <c r="C100" s="1051"/>
      <c r="D100" s="1040"/>
      <c r="E100" s="1270"/>
      <c r="F100" s="1267"/>
      <c r="G100" s="1115"/>
      <c r="H100" s="1104"/>
      <c r="I100" s="1046"/>
      <c r="J100" s="377"/>
      <c r="K100" s="701"/>
      <c r="L100" s="482"/>
      <c r="M100" s="851"/>
      <c r="N100" s="663"/>
      <c r="O100" s="651"/>
      <c r="P100" s="1008"/>
      <c r="Q100" s="1009"/>
      <c r="R100" s="375"/>
      <c r="S100" s="376"/>
      <c r="T100" s="375"/>
      <c r="U100" s="625"/>
      <c r="V100" s="560"/>
      <c r="W100" s="606"/>
      <c r="X100" s="377"/>
      <c r="Y100" s="606"/>
      <c r="Z100" s="377"/>
      <c r="AA100" s="606"/>
      <c r="AB100" s="707"/>
      <c r="AC100" s="331"/>
      <c r="AD100" s="377"/>
      <c r="AE100" s="377"/>
      <c r="AF100" s="377"/>
      <c r="AG100" s="377"/>
      <c r="AH100" s="377"/>
      <c r="AI100" s="377"/>
      <c r="AJ100" s="377"/>
      <c r="AK100" s="377"/>
      <c r="AL100" s="377"/>
      <c r="AM100" s="377"/>
      <c r="AN100" s="377"/>
      <c r="AO100" s="377"/>
      <c r="AP100" s="377"/>
      <c r="AQ100" s="377"/>
      <c r="AR100" s="377"/>
      <c r="AS100" s="377"/>
      <c r="AT100" s="377"/>
      <c r="AU100" s="377"/>
      <c r="AV100" s="377"/>
      <c r="AW100" s="377"/>
      <c r="AX100" s="331"/>
    </row>
    <row r="101" spans="1:50" x14ac:dyDescent="0.2">
      <c r="A101" s="1050"/>
      <c r="B101" s="1019"/>
      <c r="C101" s="1051"/>
      <c r="D101" s="1040"/>
      <c r="E101" s="1270"/>
      <c r="F101" s="1267"/>
      <c r="G101" s="1115"/>
      <c r="H101" s="1104"/>
      <c r="I101" s="1046"/>
      <c r="J101" s="377"/>
      <c r="K101" s="701"/>
      <c r="L101" s="482"/>
      <c r="M101" s="851"/>
      <c r="N101" s="663"/>
      <c r="O101" s="651"/>
      <c r="P101" s="1008"/>
      <c r="Q101" s="1009"/>
      <c r="R101" s="375"/>
      <c r="S101" s="376"/>
      <c r="T101" s="375"/>
      <c r="U101" s="625"/>
      <c r="V101" s="560"/>
      <c r="W101" s="606"/>
      <c r="X101" s="377"/>
      <c r="Y101" s="606"/>
      <c r="Z101" s="377"/>
      <c r="AA101" s="606"/>
      <c r="AB101" s="707"/>
      <c r="AC101" s="331"/>
      <c r="AD101" s="377"/>
      <c r="AE101" s="377"/>
      <c r="AF101" s="377"/>
      <c r="AG101" s="377"/>
      <c r="AH101" s="377"/>
      <c r="AI101" s="377"/>
      <c r="AJ101" s="377"/>
      <c r="AK101" s="377"/>
      <c r="AL101" s="377"/>
      <c r="AM101" s="377"/>
      <c r="AN101" s="377"/>
      <c r="AO101" s="377"/>
      <c r="AP101" s="377"/>
      <c r="AQ101" s="377"/>
      <c r="AR101" s="377"/>
      <c r="AS101" s="377"/>
      <c r="AT101" s="377"/>
      <c r="AU101" s="377"/>
      <c r="AV101" s="377"/>
      <c r="AW101" s="377"/>
      <c r="AX101" s="331"/>
    </row>
    <row r="102" spans="1:50" x14ac:dyDescent="0.2">
      <c r="A102" s="1050"/>
      <c r="B102" s="1042"/>
      <c r="C102" s="1051"/>
      <c r="D102" s="1040"/>
      <c r="E102" s="1270"/>
      <c r="F102" s="1267"/>
      <c r="G102" s="1115"/>
      <c r="H102" s="1104"/>
      <c r="I102" s="1046"/>
      <c r="J102" s="377"/>
      <c r="K102" s="701"/>
      <c r="L102" s="482"/>
      <c r="M102" s="851"/>
      <c r="N102" s="663"/>
      <c r="O102" s="651"/>
      <c r="P102" s="1008"/>
      <c r="Q102" s="1009"/>
      <c r="R102" s="375"/>
      <c r="S102" s="376"/>
      <c r="T102" s="375"/>
      <c r="U102" s="625"/>
      <c r="V102" s="560"/>
      <c r="W102" s="606"/>
      <c r="X102" s="377"/>
      <c r="Y102" s="606"/>
      <c r="Z102" s="377"/>
      <c r="AA102" s="606"/>
      <c r="AB102" s="707"/>
      <c r="AC102" s="331"/>
      <c r="AD102" s="377"/>
      <c r="AE102" s="377"/>
      <c r="AF102" s="377"/>
      <c r="AG102" s="377"/>
      <c r="AH102" s="377"/>
      <c r="AI102" s="377"/>
      <c r="AJ102" s="377"/>
      <c r="AK102" s="377"/>
      <c r="AL102" s="377"/>
      <c r="AM102" s="377"/>
      <c r="AN102" s="377"/>
      <c r="AO102" s="377"/>
      <c r="AP102" s="377"/>
      <c r="AQ102" s="377"/>
      <c r="AR102" s="377"/>
      <c r="AS102" s="377"/>
      <c r="AT102" s="377"/>
      <c r="AU102" s="377"/>
      <c r="AV102" s="377"/>
      <c r="AW102" s="377"/>
      <c r="AX102" s="331"/>
    </row>
    <row r="103" spans="1:50" x14ac:dyDescent="0.2">
      <c r="A103" s="1050"/>
      <c r="B103" s="1042"/>
      <c r="C103" s="1051"/>
      <c r="D103" s="1040"/>
      <c r="E103" s="1270"/>
      <c r="F103" s="1267"/>
      <c r="G103" s="1115"/>
      <c r="H103" s="1104"/>
      <c r="I103" s="1046"/>
      <c r="J103" s="377"/>
      <c r="K103" s="701"/>
      <c r="L103" s="482"/>
      <c r="M103" s="851"/>
      <c r="N103" s="663"/>
      <c r="O103" s="651"/>
      <c r="P103" s="1008"/>
      <c r="Q103" s="1009"/>
      <c r="R103" s="375"/>
      <c r="S103" s="376"/>
      <c r="T103" s="375"/>
      <c r="U103" s="625"/>
      <c r="V103" s="560"/>
      <c r="W103" s="606"/>
      <c r="X103" s="377"/>
      <c r="Y103" s="606"/>
      <c r="Z103" s="377"/>
      <c r="AA103" s="606"/>
      <c r="AB103" s="707"/>
      <c r="AC103" s="331"/>
      <c r="AD103" s="377"/>
      <c r="AE103" s="377"/>
      <c r="AF103" s="377"/>
      <c r="AG103" s="377"/>
      <c r="AH103" s="377"/>
      <c r="AI103" s="377"/>
      <c r="AJ103" s="377"/>
      <c r="AK103" s="377"/>
      <c r="AL103" s="377"/>
      <c r="AM103" s="377"/>
      <c r="AN103" s="377"/>
      <c r="AO103" s="377"/>
      <c r="AP103" s="377"/>
      <c r="AQ103" s="377"/>
      <c r="AR103" s="377"/>
      <c r="AS103" s="377"/>
      <c r="AT103" s="377"/>
      <c r="AU103" s="377"/>
      <c r="AV103" s="377"/>
      <c r="AW103" s="377"/>
      <c r="AX103" s="331"/>
    </row>
    <row r="104" spans="1:50" x14ac:dyDescent="0.2">
      <c r="A104" s="1050"/>
      <c r="B104" s="1042"/>
      <c r="C104" s="1051"/>
      <c r="D104" s="1040"/>
      <c r="E104" s="1270"/>
      <c r="F104" s="1267"/>
      <c r="G104" s="1115"/>
      <c r="H104" s="1104"/>
      <c r="I104" s="1046"/>
      <c r="J104" s="377"/>
      <c r="K104" s="701"/>
      <c r="L104" s="482"/>
      <c r="M104" s="851"/>
      <c r="N104" s="663"/>
      <c r="O104" s="651"/>
      <c r="P104" s="1008"/>
      <c r="Q104" s="1009"/>
      <c r="R104" s="375"/>
      <c r="S104" s="376"/>
      <c r="T104" s="375"/>
      <c r="U104" s="625"/>
      <c r="V104" s="560"/>
      <c r="W104" s="606"/>
      <c r="X104" s="377"/>
      <c r="Y104" s="606"/>
      <c r="Z104" s="377"/>
      <c r="AA104" s="606"/>
      <c r="AB104" s="707"/>
      <c r="AC104" s="331"/>
      <c r="AD104" s="377"/>
      <c r="AE104" s="377"/>
      <c r="AF104" s="377"/>
      <c r="AG104" s="377"/>
      <c r="AH104" s="377"/>
      <c r="AI104" s="377"/>
      <c r="AJ104" s="377"/>
      <c r="AK104" s="377"/>
      <c r="AL104" s="377"/>
      <c r="AM104" s="377"/>
      <c r="AN104" s="377"/>
      <c r="AO104" s="377"/>
      <c r="AP104" s="377"/>
      <c r="AQ104" s="377"/>
      <c r="AR104" s="377"/>
      <c r="AS104" s="377"/>
      <c r="AT104" s="377"/>
      <c r="AU104" s="377"/>
      <c r="AV104" s="377"/>
      <c r="AW104" s="377"/>
      <c r="AX104" s="331"/>
    </row>
    <row r="105" spans="1:50" x14ac:dyDescent="0.2">
      <c r="A105" s="1050"/>
      <c r="B105" s="1047"/>
      <c r="C105" s="1051"/>
      <c r="D105" s="1040"/>
      <c r="E105" s="1270"/>
      <c r="F105" s="1267"/>
      <c r="G105" s="1115"/>
      <c r="H105" s="1104"/>
      <c r="I105" s="1046"/>
      <c r="J105" s="377"/>
      <c r="K105" s="701"/>
      <c r="L105" s="482"/>
      <c r="M105" s="851"/>
      <c r="N105" s="663"/>
      <c r="O105" s="651"/>
      <c r="P105" s="1008"/>
      <c r="Q105" s="1009"/>
      <c r="R105" s="375"/>
      <c r="S105" s="376"/>
      <c r="T105" s="375"/>
      <c r="U105" s="625"/>
      <c r="V105" s="560"/>
      <c r="W105" s="606"/>
      <c r="X105" s="377"/>
      <c r="Y105" s="606"/>
      <c r="Z105" s="377"/>
      <c r="AA105" s="606"/>
      <c r="AB105" s="707"/>
      <c r="AC105" s="331"/>
      <c r="AD105" s="377"/>
      <c r="AE105" s="377"/>
      <c r="AF105" s="377"/>
      <c r="AG105" s="377"/>
      <c r="AH105" s="377"/>
      <c r="AI105" s="377"/>
      <c r="AJ105" s="377"/>
      <c r="AK105" s="377"/>
      <c r="AL105" s="377"/>
      <c r="AM105" s="377"/>
      <c r="AN105" s="377"/>
      <c r="AO105" s="377"/>
      <c r="AP105" s="377"/>
      <c r="AQ105" s="377"/>
      <c r="AR105" s="377"/>
      <c r="AS105" s="377"/>
      <c r="AT105" s="377"/>
      <c r="AU105" s="377"/>
      <c r="AV105" s="377"/>
      <c r="AW105" s="377"/>
      <c r="AX105" s="331"/>
    </row>
    <row r="106" spans="1:50" x14ac:dyDescent="0.2">
      <c r="A106" s="1050"/>
      <c r="B106" s="1042"/>
      <c r="C106" s="1051"/>
      <c r="D106" s="1040"/>
      <c r="E106" s="1270"/>
      <c r="F106" s="1267"/>
      <c r="G106" s="1115"/>
      <c r="H106" s="1104"/>
      <c r="I106" s="1046"/>
      <c r="J106" s="377"/>
      <c r="K106" s="701"/>
      <c r="L106" s="482"/>
      <c r="M106" s="851"/>
      <c r="N106" s="663"/>
      <c r="O106" s="651"/>
      <c r="P106" s="1008"/>
      <c r="Q106" s="1009"/>
      <c r="R106" s="375"/>
      <c r="S106" s="376"/>
      <c r="T106" s="375"/>
      <c r="U106" s="625"/>
      <c r="V106" s="560"/>
      <c r="W106" s="606"/>
      <c r="X106" s="377"/>
      <c r="Y106" s="606"/>
      <c r="Z106" s="377"/>
      <c r="AA106" s="606"/>
      <c r="AB106" s="707"/>
      <c r="AC106" s="331"/>
      <c r="AD106" s="377"/>
      <c r="AE106" s="377"/>
      <c r="AF106" s="377"/>
      <c r="AG106" s="377"/>
      <c r="AH106" s="377"/>
      <c r="AI106" s="377"/>
      <c r="AJ106" s="377"/>
      <c r="AK106" s="377"/>
      <c r="AL106" s="377"/>
      <c r="AM106" s="377"/>
      <c r="AN106" s="377"/>
      <c r="AO106" s="377"/>
      <c r="AP106" s="377"/>
      <c r="AQ106" s="377"/>
      <c r="AR106" s="377"/>
      <c r="AS106" s="377"/>
      <c r="AT106" s="377"/>
      <c r="AU106" s="377"/>
      <c r="AV106" s="377"/>
      <c r="AW106" s="377"/>
      <c r="AX106" s="331"/>
    </row>
    <row r="107" spans="1:50" x14ac:dyDescent="0.2">
      <c r="A107" s="1050"/>
      <c r="B107" s="1042"/>
      <c r="C107" s="1051"/>
      <c r="D107" s="1040"/>
      <c r="E107" s="1270"/>
      <c r="F107" s="1267"/>
      <c r="G107" s="1115"/>
      <c r="H107" s="1104"/>
      <c r="I107" s="1046"/>
      <c r="J107" s="377"/>
      <c r="K107" s="701"/>
      <c r="L107" s="482"/>
      <c r="M107" s="851"/>
      <c r="N107" s="663"/>
      <c r="O107" s="651"/>
      <c r="P107" s="1008"/>
      <c r="Q107" s="1009"/>
      <c r="R107" s="375"/>
      <c r="S107" s="376"/>
      <c r="T107" s="375"/>
      <c r="U107" s="625"/>
      <c r="V107" s="560"/>
      <c r="W107" s="606"/>
      <c r="X107" s="377"/>
      <c r="Y107" s="606"/>
      <c r="Z107" s="377"/>
      <c r="AA107" s="606"/>
      <c r="AB107" s="707"/>
      <c r="AC107" s="331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31"/>
    </row>
    <row r="108" spans="1:50" x14ac:dyDescent="0.2">
      <c r="A108" s="1050"/>
      <c r="B108" s="1042"/>
      <c r="C108" s="1051"/>
      <c r="D108" s="1040"/>
      <c r="E108" s="1270"/>
      <c r="F108" s="1267"/>
      <c r="G108" s="1115"/>
      <c r="H108" s="1104"/>
      <c r="I108" s="1046"/>
      <c r="J108" s="377"/>
      <c r="K108" s="701"/>
      <c r="L108" s="482"/>
      <c r="M108" s="851"/>
      <c r="N108" s="663"/>
      <c r="O108" s="651"/>
      <c r="P108" s="1008"/>
      <c r="Q108" s="1009"/>
      <c r="R108" s="375"/>
      <c r="S108" s="376"/>
      <c r="T108" s="375"/>
      <c r="U108" s="625"/>
      <c r="V108" s="560"/>
      <c r="W108" s="606"/>
      <c r="X108" s="377"/>
      <c r="Y108" s="606"/>
      <c r="Z108" s="377"/>
      <c r="AA108" s="606"/>
      <c r="AB108" s="707"/>
      <c r="AC108" s="331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31"/>
    </row>
    <row r="109" spans="1:50" x14ac:dyDescent="0.2">
      <c r="A109" s="1050"/>
      <c r="B109" s="1042"/>
      <c r="C109" s="1051"/>
      <c r="D109" s="1040"/>
      <c r="E109" s="1270"/>
      <c r="F109" s="1267"/>
      <c r="G109" s="1115"/>
      <c r="H109" s="1104"/>
      <c r="I109" s="1046"/>
      <c r="J109" s="377"/>
      <c r="K109" s="701"/>
      <c r="L109" s="482"/>
      <c r="M109" s="851"/>
      <c r="N109" s="663"/>
      <c r="O109" s="651"/>
      <c r="P109" s="1008"/>
      <c r="Q109" s="1009"/>
      <c r="R109" s="375"/>
      <c r="S109" s="376"/>
      <c r="T109" s="375"/>
      <c r="U109" s="625"/>
      <c r="V109" s="560"/>
      <c r="W109" s="606"/>
      <c r="X109" s="377"/>
      <c r="Y109" s="606"/>
      <c r="Z109" s="377"/>
      <c r="AA109" s="606"/>
      <c r="AB109" s="707"/>
      <c r="AC109" s="331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31"/>
    </row>
    <row r="110" spans="1:50" x14ac:dyDescent="0.2">
      <c r="A110" s="1050"/>
      <c r="B110" s="1042"/>
      <c r="C110" s="1051"/>
      <c r="D110" s="1040"/>
      <c r="E110" s="1270"/>
      <c r="F110" s="1267"/>
      <c r="G110" s="1115"/>
      <c r="H110" s="1104"/>
      <c r="I110" s="1046"/>
      <c r="J110" s="377"/>
      <c r="K110" s="701"/>
      <c r="L110" s="482"/>
      <c r="M110" s="851"/>
      <c r="N110" s="663"/>
      <c r="O110" s="651"/>
      <c r="P110" s="1008"/>
      <c r="Q110" s="1009"/>
      <c r="R110" s="375"/>
      <c r="S110" s="375"/>
      <c r="T110" s="375"/>
      <c r="U110" s="625"/>
      <c r="V110" s="560"/>
      <c r="W110" s="606"/>
      <c r="X110" s="377"/>
      <c r="Y110" s="606"/>
      <c r="Z110" s="377"/>
      <c r="AA110" s="606"/>
      <c r="AB110" s="707"/>
      <c r="AC110" s="331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31"/>
    </row>
    <row r="111" spans="1:50" x14ac:dyDescent="0.2">
      <c r="A111" s="1050"/>
      <c r="B111" s="1042"/>
      <c r="C111" s="1051"/>
      <c r="D111" s="1040"/>
      <c r="E111" s="1270"/>
      <c r="F111" s="1267"/>
      <c r="G111" s="1115"/>
      <c r="H111" s="1104"/>
      <c r="I111" s="1046"/>
      <c r="J111" s="377"/>
      <c r="K111" s="701"/>
      <c r="L111" s="482"/>
      <c r="M111" s="851"/>
      <c r="N111" s="663"/>
      <c r="O111" s="651"/>
      <c r="P111" s="1008"/>
      <c r="Q111" s="1009"/>
      <c r="R111" s="375"/>
      <c r="S111" s="375"/>
      <c r="T111" s="375"/>
      <c r="U111" s="625"/>
      <c r="V111" s="560"/>
      <c r="W111" s="606"/>
      <c r="X111" s="377"/>
      <c r="Y111" s="606"/>
      <c r="Z111" s="377"/>
      <c r="AA111" s="606"/>
      <c r="AB111" s="707"/>
      <c r="AC111" s="331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31"/>
    </row>
    <row r="112" spans="1:50" x14ac:dyDescent="0.2">
      <c r="A112" s="1050"/>
      <c r="B112" s="1042"/>
      <c r="C112" s="1051"/>
      <c r="D112" s="1040"/>
      <c r="E112" s="1270"/>
      <c r="F112" s="1267"/>
      <c r="G112" s="1115"/>
      <c r="H112" s="1104"/>
      <c r="I112" s="1046"/>
      <c r="J112" s="377"/>
      <c r="K112" s="701"/>
      <c r="L112" s="482"/>
      <c r="M112" s="851"/>
      <c r="N112" s="663"/>
      <c r="O112" s="651"/>
      <c r="P112" s="1008"/>
      <c r="Q112" s="1009"/>
      <c r="R112" s="375"/>
      <c r="S112" s="376"/>
      <c r="T112" s="375"/>
      <c r="U112" s="625"/>
      <c r="V112" s="560"/>
      <c r="W112" s="606"/>
      <c r="X112" s="377"/>
      <c r="Y112" s="606"/>
      <c r="Z112" s="377"/>
      <c r="AA112" s="606"/>
      <c r="AB112" s="707"/>
      <c r="AC112" s="331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31"/>
    </row>
    <row r="113" spans="1:50" x14ac:dyDescent="0.2">
      <c r="A113" s="1050"/>
      <c r="B113" s="1042"/>
      <c r="C113" s="1051"/>
      <c r="D113" s="1040"/>
      <c r="E113" s="1270"/>
      <c r="F113" s="1267"/>
      <c r="G113" s="1115"/>
      <c r="H113" s="1104"/>
      <c r="I113" s="1046"/>
      <c r="J113" s="377"/>
      <c r="K113" s="701"/>
      <c r="L113" s="482"/>
      <c r="M113" s="851"/>
      <c r="N113" s="663"/>
      <c r="O113" s="651"/>
      <c r="P113" s="1008"/>
      <c r="Q113" s="1009"/>
      <c r="R113" s="375"/>
      <c r="S113" s="376"/>
      <c r="T113" s="375"/>
      <c r="U113" s="625"/>
      <c r="V113" s="560"/>
      <c r="W113" s="606"/>
      <c r="X113" s="377"/>
      <c r="Y113" s="606"/>
      <c r="Z113" s="377"/>
      <c r="AA113" s="606"/>
      <c r="AB113" s="707"/>
      <c r="AC113" s="331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31"/>
    </row>
    <row r="114" spans="1:50" x14ac:dyDescent="0.2">
      <c r="A114" s="1050"/>
      <c r="B114" s="1242"/>
      <c r="C114" s="1051"/>
      <c r="D114" s="1040"/>
      <c r="E114" s="1270"/>
      <c r="F114" s="1267"/>
      <c r="G114" s="1115"/>
      <c r="H114" s="1104"/>
      <c r="I114" s="1046"/>
      <c r="J114" s="377"/>
      <c r="K114" s="701"/>
      <c r="L114" s="482"/>
      <c r="M114" s="851"/>
      <c r="N114" s="663"/>
      <c r="O114" s="651"/>
      <c r="P114" s="1008"/>
      <c r="Q114" s="1009"/>
      <c r="R114" s="375"/>
      <c r="S114" s="376"/>
      <c r="T114" s="375"/>
      <c r="U114" s="625"/>
      <c r="V114" s="560"/>
      <c r="W114" s="606"/>
      <c r="X114" s="377"/>
      <c r="Y114" s="606"/>
      <c r="Z114" s="377"/>
      <c r="AA114" s="606"/>
      <c r="AB114" s="707"/>
      <c r="AC114" s="331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31"/>
    </row>
    <row r="115" spans="1:50" x14ac:dyDescent="0.2">
      <c r="A115" s="1050"/>
      <c r="B115" s="1042"/>
      <c r="C115" s="1051"/>
      <c r="D115" s="1040"/>
      <c r="E115" s="1270"/>
      <c r="F115" s="1267"/>
      <c r="G115" s="1115"/>
      <c r="H115" s="1104"/>
      <c r="I115" s="1046"/>
      <c r="J115" s="377"/>
      <c r="K115" s="701"/>
      <c r="L115" s="482"/>
      <c r="M115" s="851"/>
      <c r="N115" s="663"/>
      <c r="O115" s="651"/>
      <c r="P115" s="1008"/>
      <c r="Q115" s="1009"/>
      <c r="R115" s="375"/>
      <c r="S115" s="376"/>
      <c r="T115" s="375"/>
      <c r="U115" s="625"/>
      <c r="V115" s="560"/>
      <c r="W115" s="606"/>
      <c r="X115" s="377"/>
      <c r="Y115" s="606"/>
      <c r="Z115" s="377"/>
      <c r="AA115" s="606"/>
      <c r="AB115" s="707"/>
      <c r="AC115" s="331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31"/>
    </row>
    <row r="116" spans="1:50" x14ac:dyDescent="0.2">
      <c r="A116" s="1050"/>
      <c r="B116" s="1019"/>
      <c r="C116" s="1051"/>
      <c r="D116" s="1040"/>
      <c r="E116" s="1270"/>
      <c r="F116" s="1267"/>
      <c r="G116" s="1115"/>
      <c r="H116" s="1104"/>
      <c r="I116" s="1046"/>
      <c r="J116" s="377"/>
      <c r="K116" s="701"/>
      <c r="L116" s="482"/>
      <c r="M116" s="851"/>
      <c r="N116" s="663"/>
      <c r="O116" s="651"/>
      <c r="P116" s="1008"/>
      <c r="Q116" s="1009"/>
      <c r="R116" s="375"/>
      <c r="S116" s="376"/>
      <c r="T116" s="375"/>
      <c r="U116" s="625"/>
      <c r="V116" s="560"/>
      <c r="W116" s="606"/>
      <c r="X116" s="377"/>
      <c r="Y116" s="606"/>
      <c r="Z116" s="377"/>
      <c r="AA116" s="606"/>
      <c r="AB116" s="707"/>
      <c r="AC116" s="331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31"/>
    </row>
    <row r="117" spans="1:50" x14ac:dyDescent="0.2">
      <c r="A117" s="1050"/>
      <c r="B117" s="1019"/>
      <c r="C117" s="1051"/>
      <c r="D117" s="1040"/>
      <c r="E117" s="1270"/>
      <c r="F117" s="1267"/>
      <c r="G117" s="1115"/>
      <c r="H117" s="1104"/>
      <c r="I117" s="1046"/>
      <c r="J117" s="1045"/>
      <c r="K117" s="1044"/>
      <c r="L117" s="1053"/>
      <c r="M117" s="1054"/>
      <c r="N117" s="1055"/>
      <c r="O117" s="1049"/>
      <c r="P117" s="1056"/>
      <c r="Q117" s="1057"/>
      <c r="R117" s="375">
        <f t="shared" ref="R117:R118" si="14">+P117</f>
        <v>0</v>
      </c>
      <c r="S117" s="1058"/>
      <c r="T117" s="1043"/>
      <c r="U117" s="1059"/>
      <c r="V117" s="1023"/>
      <c r="W117" s="1060"/>
      <c r="X117" s="1045"/>
      <c r="Y117" s="1060"/>
      <c r="Z117" s="1045"/>
      <c r="AA117" s="1060"/>
      <c r="AB117" s="1061"/>
      <c r="AC117" s="331"/>
      <c r="AD117" s="377">
        <f>SUMIF('Asesorías AG anterior'!$B$7:$B$236,B117,'Asesorías AG anterior'!$I$7:$I$236)</f>
        <v>0</v>
      </c>
      <c r="AE117" s="377">
        <f>SUMIF('Asesorías AG anterior'!$B$7:$B$236,B117,'Asesorías AG anterior'!$J$7:$J$236)</f>
        <v>0</v>
      </c>
      <c r="AF117" s="377">
        <f>SUMIF('Asesorías AG anterior'!$B$7:$B$236,B117,'Asesorías AG anterior'!$K$7:$K$236)</f>
        <v>0</v>
      </c>
      <c r="AG117" s="377">
        <f>SUMIF('Asesorías AG anterior'!$B$7:$B$236,B117,'Asesorías AG anterior'!$L$7:$L$236)</f>
        <v>0</v>
      </c>
      <c r="AH117" s="377">
        <f>SUMIF('Asesorías AG anterior'!$B$7:$B$236,B117,'Asesorías AG anterior'!$M$7:$M$236)</f>
        <v>0</v>
      </c>
      <c r="AI117" s="377">
        <f>SUMIF('Asesorías AG anterior'!$B$7:$B$236,B117,'Asesorías AG anterior'!$N$7:$N$236)</f>
        <v>0</v>
      </c>
      <c r="AJ117" s="377">
        <f>SUMIF('Asesorías AG anterior'!$B$7:$B$236,B117,'Asesorías AG anterior'!$O$7:$O$236)</f>
        <v>0</v>
      </c>
      <c r="AK117" s="377">
        <f>SUMIF('Asesorías AG anterior'!$B$7:$B$236,B117,'Asesorías AG anterior'!$P$7:$P$236)</f>
        <v>0</v>
      </c>
      <c r="AL117" s="377">
        <f>SUMIF('Asesorías AG anterior'!$B$7:$B$236,B117,'Asesorías AG anterior'!$Q$7:$Q$236)</f>
        <v>0</v>
      </c>
      <c r="AM117" s="377">
        <f>SUMIF('Asesorías AG anterior'!$B$7:$B$236,B117,'Asesorías AG anterior'!$R$7:$R$236)</f>
        <v>0</v>
      </c>
      <c r="AN117" s="377"/>
      <c r="AO117" s="377">
        <f>SUMIF('Asesorías AG anterior'!$B$7:$B$236,B117,'Asesorías AG anterior'!$T$7:$T$236)</f>
        <v>0</v>
      </c>
      <c r="AP117" s="377">
        <f>SUMIF('Asesorías AG anterior'!$B$7:$B$236,B117,'Asesorías AG anterior'!$U$7:$U$236)</f>
        <v>0</v>
      </c>
      <c r="AQ117" s="377">
        <f>SUMIF('Asesorías AG anterior'!$B$7:$B$236,B117,'Asesorías AG anterior'!$V$7:$V$236)</f>
        <v>0</v>
      </c>
      <c r="AR117" s="377">
        <f>SUMIF('Asesorías AG anterior'!$B$7:$B$236,B117,'Asesorías AG anterior'!$W$7:$W$236)</f>
        <v>0</v>
      </c>
      <c r="AS117" s="377">
        <f>SUMIF('Asesorías AG anterior'!$B$7:$B$236,B117,'Asesorías AG anterior'!$X$7:$X$236)</f>
        <v>0</v>
      </c>
      <c r="AT117" s="377">
        <f>SUMIF('Asesorías AG anterior'!$B$7:$B$236,B117,'Asesorías AG anterior'!$Y$7:$Y$236)</f>
        <v>0</v>
      </c>
      <c r="AU117" s="377">
        <f>SUMIF('Asesorías AG anterior'!$B$7:$B$236,B117,'Asesorías AG anterior'!$Z$7:$Z$236)</f>
        <v>0</v>
      </c>
      <c r="AV117" s="377">
        <f>SUMIF('Asesorías AG anterior'!$B$7:$B$236,B117,'Asesorías AG anterior'!$AA$7:$AA$236)</f>
        <v>0</v>
      </c>
      <c r="AW117" s="377">
        <f>SUMIF('Asesorías AG anterior'!$B$7:$B$236,B117,'Asesorías AG anterior'!$AB$7:$AB$236)</f>
        <v>0</v>
      </c>
      <c r="AX117" s="331"/>
    </row>
    <row r="118" spans="1:50" ht="25.5" x14ac:dyDescent="0.2">
      <c r="A118" s="1050"/>
      <c r="B118" s="1019"/>
      <c r="C118" s="1051"/>
      <c r="D118" s="1040"/>
      <c r="E118" s="1270"/>
      <c r="F118" s="1267"/>
      <c r="G118" s="1115"/>
      <c r="H118" s="1104"/>
      <c r="I118" s="1046"/>
      <c r="J118" s="1350" t="s">
        <v>228</v>
      </c>
      <c r="K118" s="1350" t="s">
        <v>229</v>
      </c>
      <c r="L118" s="1350" t="s">
        <v>230</v>
      </c>
      <c r="M118" s="1350" t="s">
        <v>231</v>
      </c>
      <c r="N118" s="1350" t="s">
        <v>232</v>
      </c>
      <c r="O118" s="1350" t="s">
        <v>233</v>
      </c>
      <c r="P118" s="1056"/>
      <c r="Q118" s="1057"/>
      <c r="R118" s="375">
        <f t="shared" si="14"/>
        <v>0</v>
      </c>
      <c r="S118" s="1058"/>
      <c r="T118" s="1043"/>
      <c r="U118" s="1059"/>
      <c r="V118" s="1023"/>
      <c r="W118" s="1060"/>
      <c r="X118" s="1045"/>
      <c r="Y118" s="1060"/>
      <c r="Z118" s="1045"/>
      <c r="AA118" s="1060"/>
      <c r="AB118" s="1061"/>
      <c r="AC118" s="331"/>
      <c r="AD118" s="377">
        <f>SUMIF('Asesorías AG anterior'!$B$7:$B$236,B118,'Asesorías AG anterior'!$I$7:$I$236)</f>
        <v>0</v>
      </c>
      <c r="AE118" s="377">
        <f>SUMIF('Asesorías AG anterior'!$B$7:$B$236,B118,'Asesorías AG anterior'!$J$7:$J$236)</f>
        <v>0</v>
      </c>
      <c r="AF118" s="377">
        <f>SUMIF('Asesorías AG anterior'!$B$7:$B$236,B118,'Asesorías AG anterior'!$K$7:$K$236)</f>
        <v>0</v>
      </c>
      <c r="AG118" s="377">
        <f>SUMIF('Asesorías AG anterior'!$B$7:$B$236,B118,'Asesorías AG anterior'!$L$7:$L$236)</f>
        <v>0</v>
      </c>
      <c r="AH118" s="377">
        <f>SUMIF('Asesorías AG anterior'!$B$7:$B$236,B118,'Asesorías AG anterior'!$M$7:$M$236)</f>
        <v>0</v>
      </c>
      <c r="AI118" s="377">
        <f>SUMIF('Asesorías AG anterior'!$B$7:$B$236,B118,'Asesorías AG anterior'!$N$7:$N$236)</f>
        <v>0</v>
      </c>
      <c r="AJ118" s="377">
        <f>SUMIF('Asesorías AG anterior'!$B$7:$B$236,B118,'Asesorías AG anterior'!$O$7:$O$236)</f>
        <v>0</v>
      </c>
      <c r="AK118" s="377">
        <f>SUMIF('Asesorías AG anterior'!$B$7:$B$236,B118,'Asesorías AG anterior'!$P$7:$P$236)</f>
        <v>0</v>
      </c>
      <c r="AL118" s="377">
        <f>SUMIF('Asesorías AG anterior'!$B$7:$B$236,B118,'Asesorías AG anterior'!$Q$7:$Q$236)</f>
        <v>0</v>
      </c>
      <c r="AM118" s="377">
        <f>SUMIF('Asesorías AG anterior'!$B$7:$B$236,B118,'Asesorías AG anterior'!$R$7:$R$236)</f>
        <v>0</v>
      </c>
      <c r="AN118" s="377"/>
      <c r="AO118" s="377">
        <f>SUMIF('Asesorías AG anterior'!$B$7:$B$236,B118,'Asesorías AG anterior'!$T$7:$T$236)</f>
        <v>0</v>
      </c>
      <c r="AP118" s="377">
        <f>SUMIF('Asesorías AG anterior'!$B$7:$B$236,B118,'Asesorías AG anterior'!$U$7:$U$236)</f>
        <v>0</v>
      </c>
      <c r="AQ118" s="377">
        <f>SUMIF('Asesorías AG anterior'!$B$7:$B$236,B118,'Asesorías AG anterior'!$V$7:$V$236)</f>
        <v>0</v>
      </c>
      <c r="AR118" s="377">
        <f>SUMIF('Asesorías AG anterior'!$B$7:$B$236,B118,'Asesorías AG anterior'!$W$7:$W$236)</f>
        <v>0</v>
      </c>
      <c r="AS118" s="377">
        <f>SUMIF('Asesorías AG anterior'!$B$7:$B$236,B118,'Asesorías AG anterior'!$X$7:$X$236)</f>
        <v>0</v>
      </c>
      <c r="AT118" s="377">
        <f>SUMIF('Asesorías AG anterior'!$B$7:$B$236,B118,'Asesorías AG anterior'!$Y$7:$Y$236)</f>
        <v>0</v>
      </c>
      <c r="AU118" s="377">
        <f>SUMIF('Asesorías AG anterior'!$B$7:$B$236,B118,'Asesorías AG anterior'!$Z$7:$Z$236)</f>
        <v>0</v>
      </c>
      <c r="AV118" s="377">
        <f>SUMIF('Asesorías AG anterior'!$B$7:$B$236,B118,'Asesorías AG anterior'!$AA$7:$AA$236)</f>
        <v>0</v>
      </c>
      <c r="AW118" s="377">
        <f>SUMIF('Asesorías AG anterior'!$B$7:$B$236,B118,'Asesorías AG anterior'!$AB$7:$AB$236)</f>
        <v>0</v>
      </c>
      <c r="AX118" s="331"/>
    </row>
    <row r="119" spans="1:50" ht="35.25" customHeight="1" x14ac:dyDescent="0.2">
      <c r="A119" s="1050"/>
      <c r="B119" s="1042"/>
      <c r="C119" s="1051"/>
      <c r="D119" s="1040"/>
      <c r="E119" s="1270"/>
      <c r="F119" s="1267"/>
      <c r="G119" s="1115"/>
      <c r="H119" s="1104"/>
      <c r="I119" s="1046"/>
      <c r="J119" s="377"/>
      <c r="K119" s="701"/>
      <c r="L119" s="482"/>
      <c r="M119" s="851"/>
      <c r="N119" s="663"/>
      <c r="O119" s="651"/>
      <c r="P119" s="1008"/>
      <c r="Q119" s="1009"/>
      <c r="R119" s="375"/>
      <c r="S119" s="376"/>
      <c r="T119" s="375"/>
      <c r="U119" s="625"/>
      <c r="V119" s="560"/>
      <c r="W119" s="606"/>
      <c r="X119" s="377"/>
      <c r="Y119" s="606"/>
      <c r="Z119" s="377"/>
      <c r="AA119" s="606"/>
      <c r="AB119" s="707"/>
      <c r="AC119" s="331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31"/>
    </row>
    <row r="120" spans="1:50" x14ac:dyDescent="0.2">
      <c r="A120" s="1050"/>
      <c r="B120" s="1042"/>
      <c r="C120" s="1051"/>
      <c r="D120" s="1040"/>
      <c r="E120" s="1270"/>
      <c r="F120" s="1267"/>
      <c r="G120" s="1115"/>
      <c r="H120" s="1104"/>
      <c r="I120" s="1046"/>
      <c r="J120" s="377"/>
      <c r="K120" s="701"/>
      <c r="L120" s="482"/>
      <c r="M120" s="851"/>
      <c r="N120" s="663"/>
      <c r="O120" s="651"/>
      <c r="P120" s="1008"/>
      <c r="Q120" s="1009"/>
      <c r="R120" s="375"/>
      <c r="S120" s="376"/>
      <c r="T120" s="375"/>
      <c r="U120" s="625"/>
      <c r="V120" s="560"/>
      <c r="W120" s="606"/>
      <c r="X120" s="377"/>
      <c r="Y120" s="606"/>
      <c r="Z120" s="377"/>
      <c r="AA120" s="606"/>
      <c r="AB120" s="707"/>
      <c r="AC120" s="331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31"/>
    </row>
    <row r="121" spans="1:50" x14ac:dyDescent="0.2">
      <c r="A121" s="1050"/>
      <c r="B121" s="1019"/>
      <c r="C121" s="1051"/>
      <c r="D121" s="1040"/>
      <c r="E121" s="1270"/>
      <c r="F121" s="1267"/>
      <c r="G121" s="1115"/>
      <c r="H121" s="1104"/>
      <c r="I121" s="1046"/>
      <c r="J121" s="377"/>
      <c r="K121" s="701"/>
      <c r="L121" s="482"/>
      <c r="M121" s="851"/>
      <c r="N121" s="663"/>
      <c r="O121" s="651"/>
      <c r="P121" s="1008"/>
      <c r="Q121" s="1009"/>
      <c r="R121" s="375"/>
      <c r="S121" s="376"/>
      <c r="T121" s="375"/>
      <c r="U121" s="625"/>
      <c r="V121" s="560"/>
      <c r="W121" s="606"/>
      <c r="X121" s="377"/>
      <c r="Y121" s="606"/>
      <c r="Z121" s="377"/>
      <c r="AA121" s="606"/>
      <c r="AB121" s="707"/>
      <c r="AC121" s="331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31"/>
    </row>
    <row r="122" spans="1:50" x14ac:dyDescent="0.2">
      <c r="A122" s="1050"/>
      <c r="B122" s="1019"/>
      <c r="C122" s="1051"/>
      <c r="D122" s="1040"/>
      <c r="E122" s="1270"/>
      <c r="F122" s="1267"/>
      <c r="G122" s="1115"/>
      <c r="H122" s="1104"/>
      <c r="I122" s="1046"/>
      <c r="J122" s="377"/>
      <c r="K122" s="701"/>
      <c r="L122" s="482"/>
      <c r="M122" s="851"/>
      <c r="N122" s="663"/>
      <c r="O122" s="651"/>
      <c r="P122" s="1008"/>
      <c r="Q122" s="1009"/>
      <c r="R122" s="375"/>
      <c r="S122" s="376"/>
      <c r="T122" s="375"/>
      <c r="U122" s="625"/>
      <c r="V122" s="560"/>
      <c r="W122" s="606"/>
      <c r="X122" s="377"/>
      <c r="Y122" s="606"/>
      <c r="Z122" s="377"/>
      <c r="AA122" s="606"/>
      <c r="AB122" s="707"/>
      <c r="AC122" s="331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31"/>
    </row>
    <row r="123" spans="1:50" x14ac:dyDescent="0.2">
      <c r="A123" s="1050"/>
      <c r="B123" s="1185"/>
      <c r="C123" s="1051"/>
      <c r="D123" s="1040"/>
      <c r="E123" s="1270"/>
      <c r="F123" s="1267"/>
      <c r="G123" s="1115"/>
      <c r="H123" s="1104"/>
      <c r="I123" s="1046"/>
      <c r="J123" s="377"/>
      <c r="K123" s="701"/>
      <c r="L123" s="482"/>
      <c r="M123" s="851"/>
      <c r="N123" s="663"/>
      <c r="O123" s="651"/>
      <c r="P123" s="1008"/>
      <c r="Q123" s="1009"/>
      <c r="R123" s="375"/>
      <c r="S123" s="376"/>
      <c r="T123" s="375"/>
      <c r="U123" s="625"/>
      <c r="V123" s="560"/>
      <c r="W123" s="606"/>
      <c r="X123" s="377"/>
      <c r="Y123" s="606"/>
      <c r="Z123" s="377"/>
      <c r="AA123" s="606"/>
      <c r="AB123" s="707"/>
      <c r="AC123" s="331"/>
      <c r="AD123" s="377"/>
      <c r="AE123" s="377"/>
      <c r="AF123" s="377"/>
      <c r="AG123" s="377"/>
      <c r="AH123" s="377"/>
      <c r="AI123" s="377"/>
      <c r="AJ123" s="377"/>
      <c r="AK123" s="377"/>
      <c r="AL123" s="377"/>
      <c r="AM123" s="377"/>
      <c r="AN123" s="377"/>
      <c r="AO123" s="377"/>
      <c r="AP123" s="377"/>
      <c r="AQ123" s="377"/>
      <c r="AR123" s="377"/>
      <c r="AS123" s="377"/>
      <c r="AT123" s="377"/>
      <c r="AU123" s="377"/>
      <c r="AV123" s="377"/>
      <c r="AW123" s="377"/>
      <c r="AX123" s="331"/>
    </row>
    <row r="124" spans="1:50" x14ac:dyDescent="0.2">
      <c r="A124" s="1050"/>
      <c r="B124" s="1242"/>
      <c r="C124" s="1051"/>
      <c r="D124" s="1040"/>
      <c r="E124" s="1270"/>
      <c r="F124" s="1267"/>
      <c r="G124" s="1115"/>
      <c r="H124" s="1104"/>
      <c r="I124" s="1046"/>
      <c r="J124" s="377"/>
      <c r="K124" s="701"/>
      <c r="L124" s="482"/>
      <c r="M124" s="851"/>
      <c r="N124" s="663"/>
      <c r="O124" s="651"/>
      <c r="P124" s="1008"/>
      <c r="Q124" s="1009"/>
      <c r="R124" s="375"/>
      <c r="S124" s="376"/>
      <c r="T124" s="375"/>
      <c r="U124" s="625"/>
      <c r="V124" s="560"/>
      <c r="W124" s="606"/>
      <c r="X124" s="377"/>
      <c r="Y124" s="606"/>
      <c r="Z124" s="377"/>
      <c r="AA124" s="606"/>
      <c r="AB124" s="707"/>
      <c r="AC124" s="331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31"/>
    </row>
    <row r="125" spans="1:50" x14ac:dyDescent="0.2">
      <c r="A125" s="1050"/>
      <c r="B125" s="1019"/>
      <c r="C125" s="1051"/>
      <c r="D125" s="1040"/>
      <c r="E125" s="1270"/>
      <c r="F125" s="1267"/>
      <c r="G125" s="1115"/>
      <c r="H125" s="1104"/>
      <c r="I125" s="1046"/>
      <c r="J125" s="377"/>
      <c r="K125" s="701"/>
      <c r="L125" s="482"/>
      <c r="M125" s="851"/>
      <c r="N125" s="663"/>
      <c r="O125" s="651"/>
      <c r="P125" s="1008"/>
      <c r="Q125" s="1009"/>
      <c r="R125" s="375"/>
      <c r="S125" s="376"/>
      <c r="T125" s="375"/>
      <c r="U125" s="625"/>
      <c r="V125" s="560"/>
      <c r="W125" s="606"/>
      <c r="X125" s="377"/>
      <c r="Y125" s="606"/>
      <c r="Z125" s="377"/>
      <c r="AA125" s="606"/>
      <c r="AB125" s="707"/>
      <c r="AC125" s="331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31"/>
    </row>
    <row r="126" spans="1:50" x14ac:dyDescent="0.2">
      <c r="A126" s="1050"/>
      <c r="B126" s="1019"/>
      <c r="C126" s="1051"/>
      <c r="D126" s="1040"/>
      <c r="E126" s="1270"/>
      <c r="F126" s="1267"/>
      <c r="G126" s="1115"/>
      <c r="H126" s="1104"/>
      <c r="I126" s="1046"/>
      <c r="J126" s="377"/>
      <c r="K126" s="701"/>
      <c r="L126" s="482"/>
      <c r="M126" s="851"/>
      <c r="N126" s="663"/>
      <c r="O126" s="651"/>
      <c r="P126" s="1008"/>
      <c r="Q126" s="1009"/>
      <c r="R126" s="375"/>
      <c r="S126" s="376"/>
      <c r="T126" s="375"/>
      <c r="U126" s="625"/>
      <c r="V126" s="560"/>
      <c r="W126" s="606"/>
      <c r="X126" s="377"/>
      <c r="Y126" s="606"/>
      <c r="Z126" s="377"/>
      <c r="AA126" s="606"/>
      <c r="AB126" s="707"/>
      <c r="AC126" s="331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31"/>
    </row>
    <row r="127" spans="1:50" x14ac:dyDescent="0.2">
      <c r="A127" s="1050"/>
      <c r="B127" s="1019"/>
      <c r="C127" s="1051"/>
      <c r="D127" s="1040"/>
      <c r="E127" s="1270"/>
      <c r="F127" s="1267"/>
      <c r="G127" s="1115"/>
      <c r="H127" s="1104"/>
      <c r="I127" s="1046"/>
      <c r="J127" s="377"/>
      <c r="K127" s="701"/>
      <c r="L127" s="482"/>
      <c r="M127" s="851"/>
      <c r="N127" s="663"/>
      <c r="O127" s="651"/>
      <c r="P127" s="1008"/>
      <c r="Q127" s="1009"/>
      <c r="R127" s="375"/>
      <c r="S127" s="376"/>
      <c r="T127" s="375"/>
      <c r="U127" s="625"/>
      <c r="V127" s="560"/>
      <c r="W127" s="606"/>
      <c r="X127" s="377"/>
      <c r="Y127" s="606"/>
      <c r="Z127" s="377"/>
      <c r="AA127" s="606"/>
      <c r="AB127" s="707"/>
      <c r="AC127" s="331"/>
      <c r="AD127" s="377"/>
      <c r="AE127" s="377"/>
      <c r="AF127" s="377"/>
      <c r="AG127" s="377"/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7"/>
      <c r="AV127" s="377"/>
      <c r="AW127" s="377"/>
      <c r="AX127" s="331"/>
    </row>
    <row r="128" spans="1:50" x14ac:dyDescent="0.2">
      <c r="A128" s="1050"/>
      <c r="B128" s="1019"/>
      <c r="C128" s="1051"/>
      <c r="D128" s="1040"/>
      <c r="E128" s="1270"/>
      <c r="F128" s="1267"/>
      <c r="G128" s="1115"/>
      <c r="H128" s="1104"/>
      <c r="I128" s="1046"/>
      <c r="J128" s="377"/>
      <c r="K128" s="701"/>
      <c r="L128" s="482"/>
      <c r="M128" s="851"/>
      <c r="N128" s="663"/>
      <c r="O128" s="651"/>
      <c r="P128" s="1008"/>
      <c r="Q128" s="1009"/>
      <c r="R128" s="375"/>
      <c r="S128" s="376"/>
      <c r="T128" s="375"/>
      <c r="U128" s="625"/>
      <c r="V128" s="560"/>
      <c r="W128" s="606"/>
      <c r="X128" s="377"/>
      <c r="Y128" s="606"/>
      <c r="Z128" s="377"/>
      <c r="AA128" s="606"/>
      <c r="AB128" s="707"/>
      <c r="AC128" s="331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31"/>
    </row>
    <row r="129" spans="1:50" x14ac:dyDescent="0.2">
      <c r="A129" s="1050"/>
      <c r="B129" s="1019"/>
      <c r="C129" s="1051"/>
      <c r="D129" s="1040"/>
      <c r="E129" s="1270"/>
      <c r="F129" s="1267"/>
      <c r="G129" s="1115"/>
      <c r="H129" s="1104"/>
      <c r="I129" s="1046"/>
      <c r="J129" s="377"/>
      <c r="K129" s="701"/>
      <c r="L129" s="482"/>
      <c r="M129" s="851"/>
      <c r="N129" s="663"/>
      <c r="O129" s="651"/>
      <c r="P129" s="1008"/>
      <c r="Q129" s="1009"/>
      <c r="R129" s="375"/>
      <c r="S129" s="376"/>
      <c r="T129" s="375"/>
      <c r="U129" s="625"/>
      <c r="V129" s="560"/>
      <c r="W129" s="606"/>
      <c r="X129" s="377"/>
      <c r="Y129" s="606"/>
      <c r="Z129" s="377"/>
      <c r="AA129" s="606"/>
      <c r="AB129" s="707"/>
      <c r="AC129" s="331"/>
      <c r="AD129" s="377"/>
      <c r="AE129" s="377"/>
      <c r="AF129" s="377"/>
      <c r="AG129" s="377"/>
      <c r="AH129" s="377"/>
      <c r="AI129" s="377"/>
      <c r="AJ129" s="377"/>
      <c r="AK129" s="377"/>
      <c r="AL129" s="377"/>
      <c r="AM129" s="377"/>
      <c r="AN129" s="377"/>
      <c r="AO129" s="377"/>
      <c r="AP129" s="377"/>
      <c r="AQ129" s="377"/>
      <c r="AR129" s="377"/>
      <c r="AS129" s="377"/>
      <c r="AT129" s="377"/>
      <c r="AU129" s="377"/>
      <c r="AV129" s="377"/>
      <c r="AW129" s="377"/>
      <c r="AX129" s="331"/>
    </row>
    <row r="130" spans="1:50" x14ac:dyDescent="0.2">
      <c r="A130" s="1050"/>
      <c r="B130" s="1019"/>
      <c r="C130" s="1051"/>
      <c r="D130" s="1040"/>
      <c r="E130" s="1270"/>
      <c r="F130" s="1267"/>
      <c r="G130" s="1115"/>
      <c r="H130" s="1104"/>
      <c r="I130" s="1046"/>
      <c r="J130" s="377"/>
      <c r="K130" s="701"/>
      <c r="L130" s="482"/>
      <c r="M130" s="851"/>
      <c r="N130" s="663"/>
      <c r="O130" s="651"/>
      <c r="P130" s="1008"/>
      <c r="Q130" s="1009"/>
      <c r="R130" s="375"/>
      <c r="S130" s="376"/>
      <c r="T130" s="375"/>
      <c r="U130" s="625"/>
      <c r="V130" s="560"/>
      <c r="W130" s="606"/>
      <c r="X130" s="377"/>
      <c r="Y130" s="606"/>
      <c r="Z130" s="377"/>
      <c r="AA130" s="606"/>
      <c r="AB130" s="707"/>
      <c r="AC130" s="331"/>
      <c r="AD130" s="377"/>
      <c r="AE130" s="377"/>
      <c r="AF130" s="377"/>
      <c r="AG130" s="377"/>
      <c r="AH130" s="377"/>
      <c r="AI130" s="377"/>
      <c r="AJ130" s="377"/>
      <c r="AK130" s="377"/>
      <c r="AL130" s="377"/>
      <c r="AM130" s="377"/>
      <c r="AN130" s="377"/>
      <c r="AO130" s="377"/>
      <c r="AP130" s="377"/>
      <c r="AQ130" s="377"/>
      <c r="AR130" s="377"/>
      <c r="AS130" s="377"/>
      <c r="AT130" s="377"/>
      <c r="AU130" s="377"/>
      <c r="AV130" s="377"/>
      <c r="AW130" s="377"/>
      <c r="AX130" s="331"/>
    </row>
    <row r="131" spans="1:50" x14ac:dyDescent="0.2">
      <c r="A131" s="1050"/>
      <c r="B131" s="1019"/>
      <c r="C131" s="1051"/>
      <c r="D131" s="1040"/>
      <c r="E131" s="1270"/>
      <c r="F131" s="1267"/>
      <c r="G131" s="1115"/>
      <c r="H131" s="1104"/>
      <c r="I131" s="1046"/>
      <c r="J131" s="377"/>
      <c r="K131" s="701"/>
      <c r="L131" s="482"/>
      <c r="M131" s="851"/>
      <c r="N131" s="663"/>
      <c r="O131" s="651"/>
      <c r="P131" s="1008"/>
      <c r="Q131" s="1009"/>
      <c r="R131" s="375"/>
      <c r="S131" s="376"/>
      <c r="T131" s="375"/>
      <c r="U131" s="625"/>
      <c r="V131" s="560"/>
      <c r="W131" s="606"/>
      <c r="X131" s="377"/>
      <c r="Y131" s="606"/>
      <c r="Z131" s="377"/>
      <c r="AA131" s="606"/>
      <c r="AB131" s="707"/>
      <c r="AC131" s="331"/>
      <c r="AD131" s="377"/>
      <c r="AE131" s="377"/>
      <c r="AF131" s="377"/>
      <c r="AG131" s="377"/>
      <c r="AH131" s="377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31"/>
    </row>
    <row r="132" spans="1:50" x14ac:dyDescent="0.2">
      <c r="A132" s="1050"/>
      <c r="B132" s="1019"/>
      <c r="C132" s="1051"/>
      <c r="D132" s="1040"/>
      <c r="E132" s="1270"/>
      <c r="F132" s="1267"/>
      <c r="G132" s="1115"/>
      <c r="H132" s="1104"/>
      <c r="I132" s="1046"/>
      <c r="J132" s="377"/>
      <c r="K132" s="701"/>
      <c r="L132" s="482"/>
      <c r="M132" s="851"/>
      <c r="N132" s="663"/>
      <c r="O132" s="651"/>
      <c r="P132" s="1008"/>
      <c r="Q132" s="1009"/>
      <c r="R132" s="375"/>
      <c r="S132" s="376"/>
      <c r="T132" s="375"/>
      <c r="U132" s="625"/>
      <c r="V132" s="560"/>
      <c r="W132" s="606"/>
      <c r="X132" s="377"/>
      <c r="Y132" s="606"/>
      <c r="Z132" s="377"/>
      <c r="AA132" s="606"/>
      <c r="AB132" s="707"/>
      <c r="AC132" s="331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31"/>
    </row>
    <row r="133" spans="1:50" x14ac:dyDescent="0.2">
      <c r="A133" s="1050"/>
      <c r="B133" s="1067"/>
      <c r="C133" s="1051"/>
      <c r="D133" s="1040"/>
      <c r="E133" s="1270"/>
      <c r="F133" s="1267"/>
      <c r="G133" s="1115"/>
      <c r="H133" s="1104"/>
      <c r="I133" s="1046"/>
      <c r="J133" s="377"/>
      <c r="K133" s="701"/>
      <c r="L133" s="482"/>
      <c r="M133" s="851"/>
      <c r="N133" s="663"/>
      <c r="O133" s="651"/>
      <c r="P133" s="1008"/>
      <c r="Q133" s="1009"/>
      <c r="R133" s="375"/>
      <c r="S133" s="376"/>
      <c r="T133" s="375"/>
      <c r="U133" s="625"/>
      <c r="V133" s="560"/>
      <c r="W133" s="606"/>
      <c r="X133" s="377"/>
      <c r="Y133" s="606"/>
      <c r="Z133" s="377"/>
      <c r="AA133" s="606"/>
      <c r="AB133" s="707"/>
      <c r="AC133" s="331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31"/>
    </row>
    <row r="134" spans="1:50" x14ac:dyDescent="0.2">
      <c r="A134" s="1050"/>
      <c r="B134" s="1019"/>
      <c r="C134" s="1051"/>
      <c r="D134" s="1040"/>
      <c r="E134" s="1270"/>
      <c r="F134" s="1267"/>
      <c r="G134" s="1115"/>
      <c r="H134" s="1104"/>
      <c r="I134" s="1046"/>
      <c r="J134" s="377"/>
      <c r="K134" s="701"/>
      <c r="L134" s="482"/>
      <c r="M134" s="851"/>
      <c r="N134" s="663"/>
      <c r="O134" s="651"/>
      <c r="P134" s="1008"/>
      <c r="Q134" s="1009"/>
      <c r="R134" s="375"/>
      <c r="S134" s="376"/>
      <c r="T134" s="375"/>
      <c r="U134" s="625"/>
      <c r="V134" s="560"/>
      <c r="W134" s="606"/>
      <c r="X134" s="377"/>
      <c r="Y134" s="606"/>
      <c r="Z134" s="377"/>
      <c r="AA134" s="606"/>
      <c r="AB134" s="707"/>
      <c r="AC134" s="331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31"/>
    </row>
    <row r="135" spans="1:50" x14ac:dyDescent="0.2">
      <c r="A135" s="1050"/>
      <c r="B135" s="1019"/>
      <c r="C135" s="1051"/>
      <c r="D135" s="1040"/>
      <c r="E135" s="1270"/>
      <c r="F135" s="1267"/>
      <c r="G135" s="1115"/>
      <c r="H135" s="1104"/>
      <c r="I135" s="1046"/>
      <c r="J135" s="377"/>
      <c r="K135" s="701"/>
      <c r="L135" s="482"/>
      <c r="M135" s="851"/>
      <c r="N135" s="663"/>
      <c r="O135" s="651"/>
      <c r="P135" s="1008"/>
      <c r="Q135" s="1009"/>
      <c r="R135" s="375"/>
      <c r="S135" s="376"/>
      <c r="T135" s="375"/>
      <c r="U135" s="625"/>
      <c r="V135" s="560"/>
      <c r="W135" s="606"/>
      <c r="X135" s="377"/>
      <c r="Y135" s="606"/>
      <c r="Z135" s="377"/>
      <c r="AA135" s="606"/>
      <c r="AB135" s="707"/>
      <c r="AC135" s="331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31"/>
    </row>
    <row r="136" spans="1:50" x14ac:dyDescent="0.2">
      <c r="A136" s="1050"/>
      <c r="B136" s="1019"/>
      <c r="C136" s="1051"/>
      <c r="D136" s="1040"/>
      <c r="E136" s="1270"/>
      <c r="F136" s="1267"/>
      <c r="G136" s="1115"/>
      <c r="H136" s="1104"/>
      <c r="I136" s="1046"/>
      <c r="J136" s="377"/>
      <c r="K136" s="701"/>
      <c r="L136" s="482"/>
      <c r="M136" s="851"/>
      <c r="N136" s="663"/>
      <c r="O136" s="651"/>
      <c r="P136" s="1008"/>
      <c r="Q136" s="1009"/>
      <c r="R136" s="375"/>
      <c r="S136" s="376"/>
      <c r="T136" s="375"/>
      <c r="U136" s="625"/>
      <c r="V136" s="560"/>
      <c r="W136" s="606"/>
      <c r="X136" s="377"/>
      <c r="Y136" s="606"/>
      <c r="Z136" s="377"/>
      <c r="AA136" s="606"/>
      <c r="AB136" s="707"/>
      <c r="AC136" s="331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31"/>
    </row>
    <row r="137" spans="1:50" x14ac:dyDescent="0.2">
      <c r="A137" s="1050"/>
      <c r="B137" s="1019"/>
      <c r="C137" s="1051"/>
      <c r="D137" s="1040"/>
      <c r="E137" s="1270"/>
      <c r="F137" s="1267"/>
      <c r="G137" s="1115"/>
      <c r="H137" s="1104"/>
      <c r="I137" s="1046"/>
      <c r="J137" s="377"/>
      <c r="K137" s="701"/>
      <c r="L137" s="482"/>
      <c r="M137" s="851"/>
      <c r="N137" s="663"/>
      <c r="O137" s="651"/>
      <c r="P137" s="1008"/>
      <c r="Q137" s="1009"/>
      <c r="R137" s="375"/>
      <c r="S137" s="376"/>
      <c r="T137" s="375"/>
      <c r="U137" s="625"/>
      <c r="V137" s="560"/>
      <c r="W137" s="606"/>
      <c r="X137" s="377"/>
      <c r="Y137" s="606"/>
      <c r="Z137" s="377"/>
      <c r="AA137" s="606"/>
      <c r="AB137" s="707"/>
      <c r="AC137" s="331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31"/>
    </row>
    <row r="138" spans="1:50" x14ac:dyDescent="0.2">
      <c r="A138" s="1050"/>
      <c r="B138" s="1019"/>
      <c r="C138" s="1051"/>
      <c r="D138" s="1040"/>
      <c r="E138" s="1270"/>
      <c r="F138" s="1267"/>
      <c r="G138" s="1115"/>
      <c r="H138" s="1104"/>
      <c r="I138" s="1046"/>
      <c r="J138" s="377"/>
      <c r="K138" s="701"/>
      <c r="L138" s="482"/>
      <c r="M138" s="851"/>
      <c r="N138" s="663"/>
      <c r="O138" s="651"/>
      <c r="P138" s="1008"/>
      <c r="Q138" s="1009"/>
      <c r="R138" s="375"/>
      <c r="S138" s="376"/>
      <c r="T138" s="375"/>
      <c r="U138" s="625"/>
      <c r="V138" s="560"/>
      <c r="W138" s="606"/>
      <c r="X138" s="377"/>
      <c r="Y138" s="606"/>
      <c r="Z138" s="377"/>
      <c r="AA138" s="606"/>
      <c r="AB138" s="707"/>
      <c r="AC138" s="331"/>
      <c r="AD138" s="377"/>
      <c r="AE138" s="377"/>
      <c r="AF138" s="377"/>
      <c r="AG138" s="377"/>
      <c r="AH138" s="377"/>
      <c r="AI138" s="377"/>
      <c r="AJ138" s="377"/>
      <c r="AK138" s="377"/>
      <c r="AL138" s="377"/>
      <c r="AM138" s="377"/>
      <c r="AN138" s="377"/>
      <c r="AO138" s="377"/>
      <c r="AP138" s="377"/>
      <c r="AQ138" s="377"/>
      <c r="AR138" s="377"/>
      <c r="AS138" s="377"/>
      <c r="AT138" s="377"/>
      <c r="AU138" s="377"/>
      <c r="AV138" s="377"/>
      <c r="AW138" s="377"/>
      <c r="AX138" s="331"/>
    </row>
    <row r="139" spans="1:50" x14ac:dyDescent="0.2">
      <c r="A139" s="1050"/>
      <c r="B139" s="1019"/>
      <c r="C139" s="1051"/>
      <c r="D139" s="1040"/>
      <c r="E139" s="1270"/>
      <c r="F139" s="1267"/>
      <c r="G139" s="1115"/>
      <c r="H139" s="1104"/>
      <c r="I139" s="1046"/>
      <c r="J139" s="377"/>
      <c r="K139" s="701"/>
      <c r="L139" s="482"/>
      <c r="M139" s="851"/>
      <c r="N139" s="663"/>
      <c r="O139" s="651"/>
      <c r="P139" s="1008"/>
      <c r="Q139" s="1009"/>
      <c r="R139" s="375"/>
      <c r="S139" s="376"/>
      <c r="T139" s="375"/>
      <c r="U139" s="625"/>
      <c r="V139" s="560"/>
      <c r="W139" s="606"/>
      <c r="X139" s="377"/>
      <c r="Y139" s="606"/>
      <c r="Z139" s="377"/>
      <c r="AA139" s="606"/>
      <c r="AB139" s="707"/>
      <c r="AC139" s="331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31"/>
    </row>
    <row r="140" spans="1:50" x14ac:dyDescent="0.2">
      <c r="A140" s="1050"/>
      <c r="B140" s="1019"/>
      <c r="C140" s="1051"/>
      <c r="D140" s="1040"/>
      <c r="E140" s="1270"/>
      <c r="F140" s="1267"/>
      <c r="G140" s="1115"/>
      <c r="H140" s="1104"/>
      <c r="I140" s="1046"/>
      <c r="J140" s="377"/>
      <c r="K140" s="701"/>
      <c r="L140" s="482"/>
      <c r="M140" s="851"/>
      <c r="N140" s="663"/>
      <c r="O140" s="651"/>
      <c r="P140" s="1008"/>
      <c r="Q140" s="1009"/>
      <c r="R140" s="375"/>
      <c r="S140" s="376"/>
      <c r="T140" s="375"/>
      <c r="U140" s="625"/>
      <c r="V140" s="560"/>
      <c r="W140" s="606"/>
      <c r="X140" s="377"/>
      <c r="Y140" s="606"/>
      <c r="Z140" s="377"/>
      <c r="AA140" s="606"/>
      <c r="AB140" s="707"/>
      <c r="AC140" s="331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31"/>
    </row>
    <row r="141" spans="1:50" x14ac:dyDescent="0.2">
      <c r="A141" s="1050"/>
      <c r="B141" s="1019"/>
      <c r="C141" s="1051"/>
      <c r="D141" s="1040"/>
      <c r="E141" s="1270"/>
      <c r="F141" s="1267"/>
      <c r="G141" s="1115"/>
      <c r="H141" s="1104"/>
      <c r="I141" s="1046"/>
      <c r="J141" s="377"/>
      <c r="K141" s="701"/>
      <c r="L141" s="482"/>
      <c r="M141" s="851"/>
      <c r="N141" s="663"/>
      <c r="O141" s="651"/>
      <c r="P141" s="1008"/>
      <c r="Q141" s="1009"/>
      <c r="R141" s="375"/>
      <c r="S141" s="376"/>
      <c r="T141" s="375"/>
      <c r="U141" s="625"/>
      <c r="V141" s="560"/>
      <c r="W141" s="606"/>
      <c r="X141" s="377"/>
      <c r="Y141" s="606"/>
      <c r="Z141" s="377"/>
      <c r="AA141" s="606"/>
      <c r="AB141" s="707"/>
      <c r="AC141" s="331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31"/>
    </row>
    <row r="142" spans="1:50" x14ac:dyDescent="0.2">
      <c r="A142" s="1050"/>
      <c r="B142" s="1019"/>
      <c r="C142" s="1051"/>
      <c r="D142" s="1040"/>
      <c r="E142" s="1270"/>
      <c r="F142" s="1267"/>
      <c r="G142" s="1115"/>
      <c r="H142" s="1104"/>
      <c r="I142" s="1046"/>
      <c r="J142" s="377"/>
      <c r="K142" s="701"/>
      <c r="L142" s="482"/>
      <c r="M142" s="851"/>
      <c r="N142" s="663"/>
      <c r="O142" s="651"/>
      <c r="P142" s="1008"/>
      <c r="Q142" s="1009"/>
      <c r="R142" s="375"/>
      <c r="S142" s="376"/>
      <c r="T142" s="375"/>
      <c r="U142" s="625"/>
      <c r="V142" s="560"/>
      <c r="W142" s="606"/>
      <c r="X142" s="377"/>
      <c r="Y142" s="606"/>
      <c r="Z142" s="377"/>
      <c r="AA142" s="606"/>
      <c r="AB142" s="707"/>
      <c r="AC142" s="331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31"/>
    </row>
    <row r="143" spans="1:50" x14ac:dyDescent="0.2">
      <c r="A143" s="1050"/>
      <c r="B143" s="1019"/>
      <c r="C143" s="1051"/>
      <c r="D143" s="1040"/>
      <c r="E143" s="1270"/>
      <c r="F143" s="1267"/>
      <c r="G143" s="1115"/>
      <c r="H143" s="1104"/>
      <c r="I143" s="1046"/>
      <c r="J143" s="377"/>
      <c r="K143" s="701"/>
      <c r="L143" s="482"/>
      <c r="M143" s="851"/>
      <c r="N143" s="663"/>
      <c r="O143" s="651"/>
      <c r="P143" s="1008"/>
      <c r="Q143" s="1009"/>
      <c r="R143" s="375"/>
      <c r="S143" s="376"/>
      <c r="T143" s="375"/>
      <c r="U143" s="625"/>
      <c r="V143" s="560"/>
      <c r="W143" s="606"/>
      <c r="X143" s="377"/>
      <c r="Y143" s="606"/>
      <c r="Z143" s="377"/>
      <c r="AA143" s="606"/>
      <c r="AB143" s="707"/>
      <c r="AC143" s="331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31"/>
    </row>
    <row r="144" spans="1:50" x14ac:dyDescent="0.2">
      <c r="A144" s="1050"/>
      <c r="B144" s="1019"/>
      <c r="C144" s="1051"/>
      <c r="D144" s="1040"/>
      <c r="E144" s="1270"/>
      <c r="F144" s="1267"/>
      <c r="G144" s="1115"/>
      <c r="H144" s="1104"/>
      <c r="I144" s="1046"/>
      <c r="J144" s="377"/>
      <c r="K144" s="701"/>
      <c r="L144" s="482"/>
      <c r="M144" s="851"/>
      <c r="N144" s="663"/>
      <c r="O144" s="651"/>
      <c r="P144" s="1008"/>
      <c r="Q144" s="1009"/>
      <c r="R144" s="375"/>
      <c r="S144" s="376"/>
      <c r="T144" s="375"/>
      <c r="U144" s="625"/>
      <c r="V144" s="560"/>
      <c r="W144" s="606"/>
      <c r="X144" s="377"/>
      <c r="Y144" s="606"/>
      <c r="Z144" s="377"/>
      <c r="AA144" s="606"/>
      <c r="AB144" s="707"/>
      <c r="AC144" s="331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31"/>
    </row>
    <row r="145" spans="1:50" x14ac:dyDescent="0.2">
      <c r="A145" s="1050"/>
      <c r="B145" s="1019"/>
      <c r="C145" s="1051"/>
      <c r="D145" s="1040"/>
      <c r="E145" s="1270"/>
      <c r="F145" s="1267"/>
      <c r="G145" s="1115"/>
      <c r="H145" s="1104"/>
      <c r="I145" s="1046"/>
      <c r="J145" s="377"/>
      <c r="K145" s="701"/>
      <c r="L145" s="482"/>
      <c r="M145" s="851"/>
      <c r="N145" s="663"/>
      <c r="O145" s="651"/>
      <c r="P145" s="1008"/>
      <c r="Q145" s="1009"/>
      <c r="R145" s="375"/>
      <c r="S145" s="376"/>
      <c r="T145" s="375"/>
      <c r="U145" s="625"/>
      <c r="V145" s="560"/>
      <c r="W145" s="606"/>
      <c r="X145" s="377"/>
      <c r="Y145" s="606"/>
      <c r="Z145" s="377"/>
      <c r="AA145" s="606"/>
      <c r="AB145" s="707"/>
      <c r="AC145" s="331"/>
      <c r="AD145" s="377"/>
      <c r="AE145" s="377"/>
      <c r="AF145" s="377"/>
      <c r="AG145" s="377"/>
      <c r="AH145" s="377"/>
      <c r="AI145" s="377"/>
      <c r="AJ145" s="377"/>
      <c r="AK145" s="377"/>
      <c r="AL145" s="377"/>
      <c r="AM145" s="377"/>
      <c r="AN145" s="377"/>
      <c r="AO145" s="377"/>
      <c r="AP145" s="377"/>
      <c r="AQ145" s="377"/>
      <c r="AR145" s="377"/>
      <c r="AS145" s="377"/>
      <c r="AT145" s="377"/>
      <c r="AU145" s="377"/>
      <c r="AV145" s="377"/>
      <c r="AW145" s="377"/>
      <c r="AX145" s="331"/>
    </row>
    <row r="146" spans="1:50" x14ac:dyDescent="0.2">
      <c r="A146" s="1050"/>
      <c r="B146" s="1019"/>
      <c r="C146" s="1051"/>
      <c r="D146" s="1040"/>
      <c r="E146" s="1270"/>
      <c r="F146" s="1267"/>
      <c r="G146" s="1115"/>
      <c r="H146" s="1104"/>
      <c r="I146" s="1046"/>
      <c r="J146" s="377"/>
      <c r="K146" s="701"/>
      <c r="L146" s="482"/>
      <c r="M146" s="851"/>
      <c r="N146" s="663"/>
      <c r="O146" s="651"/>
      <c r="P146" s="1008"/>
      <c r="Q146" s="1009"/>
      <c r="R146" s="375"/>
      <c r="S146" s="376"/>
      <c r="T146" s="375"/>
      <c r="U146" s="625"/>
      <c r="V146" s="560"/>
      <c r="W146" s="606"/>
      <c r="X146" s="377"/>
      <c r="Y146" s="606"/>
      <c r="Z146" s="377"/>
      <c r="AA146" s="606"/>
      <c r="AB146" s="707"/>
      <c r="AC146" s="331"/>
      <c r="AD146" s="377"/>
      <c r="AE146" s="377"/>
      <c r="AF146" s="377"/>
      <c r="AG146" s="377"/>
      <c r="AH146" s="377"/>
      <c r="AI146" s="377"/>
      <c r="AJ146" s="377"/>
      <c r="AK146" s="377"/>
      <c r="AL146" s="377"/>
      <c r="AM146" s="377"/>
      <c r="AN146" s="377"/>
      <c r="AO146" s="377"/>
      <c r="AP146" s="377"/>
      <c r="AQ146" s="377"/>
      <c r="AR146" s="377"/>
      <c r="AS146" s="377"/>
      <c r="AT146" s="377"/>
      <c r="AU146" s="377"/>
      <c r="AV146" s="377"/>
      <c r="AW146" s="377"/>
      <c r="AX146" s="331"/>
    </row>
    <row r="147" spans="1:50" x14ac:dyDescent="0.2">
      <c r="A147" s="1050"/>
      <c r="B147" s="1019"/>
      <c r="C147" s="1051"/>
      <c r="D147" s="1040"/>
      <c r="E147" s="1270"/>
      <c r="F147" s="1267"/>
      <c r="G147" s="1115"/>
      <c r="H147" s="1104"/>
      <c r="I147" s="1046"/>
      <c r="J147" s="377"/>
      <c r="K147" s="701"/>
      <c r="L147" s="482"/>
      <c r="M147" s="851"/>
      <c r="N147" s="663"/>
      <c r="O147" s="651"/>
      <c r="P147" s="1008"/>
      <c r="Q147" s="1009"/>
      <c r="R147" s="375"/>
      <c r="S147" s="376"/>
      <c r="T147" s="375"/>
      <c r="U147" s="625"/>
      <c r="V147" s="560"/>
      <c r="W147" s="606"/>
      <c r="X147" s="377"/>
      <c r="Y147" s="606"/>
      <c r="Z147" s="377"/>
      <c r="AA147" s="606"/>
      <c r="AB147" s="707"/>
      <c r="AC147" s="331"/>
      <c r="AD147" s="377"/>
      <c r="AE147" s="377"/>
      <c r="AF147" s="377"/>
      <c r="AG147" s="377"/>
      <c r="AH147" s="377"/>
      <c r="AI147" s="377"/>
      <c r="AJ147" s="377"/>
      <c r="AK147" s="377"/>
      <c r="AL147" s="377"/>
      <c r="AM147" s="377"/>
      <c r="AN147" s="377"/>
      <c r="AO147" s="377"/>
      <c r="AP147" s="377"/>
      <c r="AQ147" s="377"/>
      <c r="AR147" s="377"/>
      <c r="AS147" s="377"/>
      <c r="AT147" s="377"/>
      <c r="AU147" s="377"/>
      <c r="AV147" s="377"/>
      <c r="AW147" s="377"/>
      <c r="AX147" s="331"/>
    </row>
    <row r="148" spans="1:50" x14ac:dyDescent="0.2">
      <c r="A148" s="1050"/>
      <c r="B148" s="1019"/>
      <c r="C148" s="1051"/>
      <c r="D148" s="1040"/>
      <c r="E148" s="1270"/>
      <c r="F148" s="1267"/>
      <c r="G148" s="1115"/>
      <c r="H148" s="1104"/>
      <c r="I148" s="1046"/>
      <c r="J148" s="377"/>
      <c r="K148" s="701"/>
      <c r="L148" s="482"/>
      <c r="M148" s="851"/>
      <c r="N148" s="663"/>
      <c r="O148" s="651"/>
      <c r="P148" s="1008"/>
      <c r="Q148" s="1009"/>
      <c r="R148" s="375"/>
      <c r="S148" s="376"/>
      <c r="T148" s="375"/>
      <c r="U148" s="625"/>
      <c r="V148" s="560"/>
      <c r="W148" s="606"/>
      <c r="X148" s="377"/>
      <c r="Y148" s="606"/>
      <c r="Z148" s="377"/>
      <c r="AA148" s="606"/>
      <c r="AB148" s="707"/>
      <c r="AC148" s="331"/>
      <c r="AD148" s="377"/>
      <c r="AE148" s="377"/>
      <c r="AF148" s="377"/>
      <c r="AG148" s="377"/>
      <c r="AH148" s="377"/>
      <c r="AI148" s="377"/>
      <c r="AJ148" s="377"/>
      <c r="AK148" s="377"/>
      <c r="AL148" s="377"/>
      <c r="AM148" s="377"/>
      <c r="AN148" s="377"/>
      <c r="AO148" s="377"/>
      <c r="AP148" s="377"/>
      <c r="AQ148" s="377"/>
      <c r="AR148" s="377"/>
      <c r="AS148" s="377"/>
      <c r="AT148" s="377"/>
      <c r="AU148" s="377"/>
      <c r="AV148" s="377"/>
      <c r="AW148" s="377"/>
      <c r="AX148" s="331"/>
    </row>
    <row r="149" spans="1:50" x14ac:dyDescent="0.2">
      <c r="A149" s="1050"/>
      <c r="B149" s="1019"/>
      <c r="C149" s="1051"/>
      <c r="D149" s="1040"/>
      <c r="E149" s="1270"/>
      <c r="F149" s="1267"/>
      <c r="G149" s="1115"/>
      <c r="H149" s="1104"/>
      <c r="I149" s="1046"/>
      <c r="J149" s="377"/>
      <c r="K149" s="701"/>
      <c r="L149" s="482"/>
      <c r="M149" s="851"/>
      <c r="N149" s="663"/>
      <c r="O149" s="651"/>
      <c r="P149" s="1008"/>
      <c r="Q149" s="1009"/>
      <c r="R149" s="375"/>
      <c r="S149" s="376"/>
      <c r="T149" s="375"/>
      <c r="U149" s="625"/>
      <c r="V149" s="560"/>
      <c r="W149" s="606"/>
      <c r="X149" s="377"/>
      <c r="Y149" s="606"/>
      <c r="Z149" s="377"/>
      <c r="AA149" s="606"/>
      <c r="AB149" s="707"/>
      <c r="AC149" s="331"/>
      <c r="AD149" s="377"/>
      <c r="AE149" s="377"/>
      <c r="AF149" s="377"/>
      <c r="AG149" s="377"/>
      <c r="AH149" s="377"/>
      <c r="AI149" s="377"/>
      <c r="AJ149" s="377"/>
      <c r="AK149" s="377"/>
      <c r="AL149" s="377"/>
      <c r="AM149" s="377"/>
      <c r="AN149" s="377"/>
      <c r="AO149" s="377"/>
      <c r="AP149" s="377"/>
      <c r="AQ149" s="377"/>
      <c r="AR149" s="377"/>
      <c r="AS149" s="377"/>
      <c r="AT149" s="377"/>
      <c r="AU149" s="377"/>
      <c r="AV149" s="377"/>
      <c r="AW149" s="377"/>
      <c r="AX149" s="331"/>
    </row>
    <row r="150" spans="1:50" x14ac:dyDescent="0.2">
      <c r="A150" s="1050"/>
      <c r="B150" s="1019"/>
      <c r="C150" s="1051"/>
      <c r="D150" s="1040"/>
      <c r="E150" s="1270"/>
      <c r="F150" s="1267"/>
      <c r="G150" s="1115"/>
      <c r="H150" s="1104"/>
      <c r="I150" s="1046"/>
      <c r="J150" s="377"/>
      <c r="K150" s="701"/>
      <c r="L150" s="482"/>
      <c r="M150" s="851"/>
      <c r="N150" s="663"/>
      <c r="O150" s="651"/>
      <c r="P150" s="1008"/>
      <c r="Q150" s="1009"/>
      <c r="R150" s="375"/>
      <c r="S150" s="376"/>
      <c r="T150" s="375"/>
      <c r="U150" s="625"/>
      <c r="V150" s="560"/>
      <c r="W150" s="606"/>
      <c r="X150" s="377"/>
      <c r="Y150" s="606"/>
      <c r="Z150" s="377"/>
      <c r="AA150" s="606"/>
      <c r="AB150" s="707"/>
      <c r="AC150" s="331"/>
      <c r="AD150" s="377"/>
      <c r="AE150" s="377"/>
      <c r="AF150" s="377"/>
      <c r="AG150" s="377"/>
      <c r="AH150" s="377"/>
      <c r="AI150" s="377"/>
      <c r="AJ150" s="377"/>
      <c r="AK150" s="377"/>
      <c r="AL150" s="377"/>
      <c r="AM150" s="377"/>
      <c r="AN150" s="377"/>
      <c r="AO150" s="377"/>
      <c r="AP150" s="377"/>
      <c r="AQ150" s="377"/>
      <c r="AR150" s="377"/>
      <c r="AS150" s="377"/>
      <c r="AT150" s="377"/>
      <c r="AU150" s="377"/>
      <c r="AV150" s="377"/>
      <c r="AW150" s="377"/>
      <c r="AX150" s="331"/>
    </row>
    <row r="151" spans="1:50" x14ac:dyDescent="0.2">
      <c r="A151" s="1050"/>
      <c r="B151" s="1019"/>
      <c r="C151" s="1051"/>
      <c r="D151" s="1040"/>
      <c r="E151" s="1270"/>
      <c r="F151" s="1267"/>
      <c r="G151" s="1115"/>
      <c r="H151" s="1104"/>
      <c r="I151" s="1046"/>
      <c r="J151" s="377"/>
      <c r="K151" s="701"/>
      <c r="L151" s="482"/>
      <c r="M151" s="851"/>
      <c r="N151" s="663"/>
      <c r="O151" s="651"/>
      <c r="P151" s="1008"/>
      <c r="Q151" s="1009"/>
      <c r="R151" s="375"/>
      <c r="S151" s="376"/>
      <c r="T151" s="375"/>
      <c r="U151" s="625"/>
      <c r="V151" s="560"/>
      <c r="W151" s="606"/>
      <c r="X151" s="377"/>
      <c r="Y151" s="606"/>
      <c r="Z151" s="377"/>
      <c r="AA151" s="606"/>
      <c r="AB151" s="707"/>
      <c r="AC151" s="331"/>
      <c r="AD151" s="377"/>
      <c r="AE151" s="377"/>
      <c r="AF151" s="377"/>
      <c r="AG151" s="377"/>
      <c r="AH151" s="377"/>
      <c r="AI151" s="377"/>
      <c r="AJ151" s="377"/>
      <c r="AK151" s="377"/>
      <c r="AL151" s="377"/>
      <c r="AM151" s="377"/>
      <c r="AN151" s="377"/>
      <c r="AO151" s="377"/>
      <c r="AP151" s="377"/>
      <c r="AQ151" s="377"/>
      <c r="AR151" s="377"/>
      <c r="AS151" s="377"/>
      <c r="AT151" s="377"/>
      <c r="AU151" s="377"/>
      <c r="AV151" s="377"/>
      <c r="AW151" s="377"/>
      <c r="AX151" s="331"/>
    </row>
    <row r="152" spans="1:50" x14ac:dyDescent="0.2">
      <c r="A152" s="1050"/>
      <c r="B152" s="1019"/>
      <c r="C152" s="1051"/>
      <c r="D152" s="1040"/>
      <c r="E152" s="1270"/>
      <c r="F152" s="1267"/>
      <c r="G152" s="1115"/>
      <c r="H152" s="1104"/>
      <c r="I152" s="1046"/>
      <c r="J152" s="377"/>
      <c r="K152" s="701"/>
      <c r="L152" s="482"/>
      <c r="M152" s="851"/>
      <c r="N152" s="663"/>
      <c r="O152" s="651"/>
      <c r="P152" s="1008"/>
      <c r="Q152" s="1009"/>
      <c r="R152" s="375"/>
      <c r="S152" s="376"/>
      <c r="T152" s="375"/>
      <c r="U152" s="625"/>
      <c r="V152" s="560"/>
      <c r="W152" s="606"/>
      <c r="X152" s="377"/>
      <c r="Y152" s="606"/>
      <c r="Z152" s="377"/>
      <c r="AA152" s="606"/>
      <c r="AB152" s="707"/>
      <c r="AC152" s="331"/>
      <c r="AD152" s="377"/>
      <c r="AE152" s="377"/>
      <c r="AF152" s="377"/>
      <c r="AG152" s="377"/>
      <c r="AH152" s="377"/>
      <c r="AI152" s="377"/>
      <c r="AJ152" s="377"/>
      <c r="AK152" s="377"/>
      <c r="AL152" s="377"/>
      <c r="AM152" s="377"/>
      <c r="AN152" s="377"/>
      <c r="AO152" s="377"/>
      <c r="AP152" s="377"/>
      <c r="AQ152" s="377"/>
      <c r="AR152" s="377"/>
      <c r="AS152" s="377"/>
      <c r="AT152" s="377"/>
      <c r="AU152" s="377"/>
      <c r="AV152" s="377"/>
      <c r="AW152" s="377"/>
      <c r="AX152" s="331"/>
    </row>
    <row r="153" spans="1:50" x14ac:dyDescent="0.2">
      <c r="A153" s="1050"/>
      <c r="B153" s="1019"/>
      <c r="C153" s="1051"/>
      <c r="D153" s="1040"/>
      <c r="E153" s="1270"/>
      <c r="F153" s="1267"/>
      <c r="G153" s="1115"/>
      <c r="H153" s="1104"/>
      <c r="I153" s="1046"/>
      <c r="J153" s="377"/>
      <c r="K153" s="701"/>
      <c r="L153" s="482"/>
      <c r="M153" s="851"/>
      <c r="N153" s="663"/>
      <c r="O153" s="651"/>
      <c r="P153" s="1008"/>
      <c r="Q153" s="1009"/>
      <c r="R153" s="375"/>
      <c r="S153" s="376"/>
      <c r="T153" s="375"/>
      <c r="U153" s="625"/>
      <c r="V153" s="560"/>
      <c r="W153" s="606"/>
      <c r="X153" s="377"/>
      <c r="Y153" s="606"/>
      <c r="Z153" s="377"/>
      <c r="AA153" s="606"/>
      <c r="AB153" s="707"/>
      <c r="AC153" s="331"/>
      <c r="AD153" s="377"/>
      <c r="AE153" s="377"/>
      <c r="AF153" s="377"/>
      <c r="AG153" s="377"/>
      <c r="AH153" s="377"/>
      <c r="AI153" s="377"/>
      <c r="AJ153" s="377"/>
      <c r="AK153" s="377"/>
      <c r="AL153" s="377"/>
      <c r="AM153" s="377"/>
      <c r="AN153" s="377"/>
      <c r="AO153" s="377"/>
      <c r="AP153" s="377"/>
      <c r="AQ153" s="377"/>
      <c r="AR153" s="377"/>
      <c r="AS153" s="377"/>
      <c r="AT153" s="377"/>
      <c r="AU153" s="377"/>
      <c r="AV153" s="377"/>
      <c r="AW153" s="377"/>
      <c r="AX153" s="331"/>
    </row>
    <row r="154" spans="1:50" x14ac:dyDescent="0.2">
      <c r="A154" s="1050"/>
      <c r="B154" s="1067"/>
      <c r="C154" s="1051"/>
      <c r="D154" s="1040"/>
      <c r="E154" s="1270"/>
      <c r="F154" s="1267"/>
      <c r="G154" s="1115"/>
      <c r="H154" s="1104"/>
      <c r="I154" s="1046"/>
      <c r="J154" s="377"/>
      <c r="K154" s="701"/>
      <c r="L154" s="482"/>
      <c r="M154" s="851"/>
      <c r="N154" s="663"/>
      <c r="O154" s="651"/>
      <c r="P154" s="1008"/>
      <c r="Q154" s="1009"/>
      <c r="R154" s="375"/>
      <c r="S154" s="376"/>
      <c r="T154" s="375"/>
      <c r="U154" s="625"/>
      <c r="V154" s="560"/>
      <c r="W154" s="606"/>
      <c r="X154" s="377"/>
      <c r="Y154" s="606"/>
      <c r="Z154" s="377"/>
      <c r="AA154" s="606"/>
      <c r="AB154" s="707"/>
      <c r="AC154" s="331"/>
      <c r="AD154" s="377"/>
      <c r="AE154" s="377"/>
      <c r="AF154" s="377"/>
      <c r="AG154" s="377"/>
      <c r="AH154" s="377"/>
      <c r="AI154" s="377"/>
      <c r="AJ154" s="377"/>
      <c r="AK154" s="377"/>
      <c r="AL154" s="377"/>
      <c r="AM154" s="377"/>
      <c r="AN154" s="377"/>
      <c r="AO154" s="377"/>
      <c r="AP154" s="377"/>
      <c r="AQ154" s="377"/>
      <c r="AR154" s="377"/>
      <c r="AS154" s="377"/>
      <c r="AT154" s="377"/>
      <c r="AU154" s="377"/>
      <c r="AV154" s="377"/>
      <c r="AW154" s="377"/>
      <c r="AX154" s="331"/>
    </row>
    <row r="155" spans="1:50" x14ac:dyDescent="0.2">
      <c r="A155" s="1050"/>
      <c r="B155" s="1067"/>
      <c r="C155" s="1051"/>
      <c r="D155" s="1040"/>
      <c r="E155" s="1270"/>
      <c r="F155" s="1267"/>
      <c r="G155" s="1115"/>
      <c r="H155" s="1104"/>
      <c r="I155" s="1046"/>
      <c r="J155" s="377"/>
      <c r="K155" s="701"/>
      <c r="L155" s="482"/>
      <c r="M155" s="851"/>
      <c r="N155" s="663"/>
      <c r="O155" s="651"/>
      <c r="P155" s="1008"/>
      <c r="Q155" s="1009"/>
      <c r="R155" s="375"/>
      <c r="S155" s="376"/>
      <c r="T155" s="375"/>
      <c r="U155" s="625"/>
      <c r="V155" s="560"/>
      <c r="W155" s="606"/>
      <c r="X155" s="377"/>
      <c r="Y155" s="606"/>
      <c r="Z155" s="377"/>
      <c r="AA155" s="606"/>
      <c r="AB155" s="707"/>
      <c r="AC155" s="331"/>
      <c r="AD155" s="377"/>
      <c r="AE155" s="377"/>
      <c r="AF155" s="377"/>
      <c r="AG155" s="377"/>
      <c r="AH155" s="377"/>
      <c r="AI155" s="377"/>
      <c r="AJ155" s="377"/>
      <c r="AK155" s="377"/>
      <c r="AL155" s="377"/>
      <c r="AM155" s="377"/>
      <c r="AN155" s="377"/>
      <c r="AO155" s="377"/>
      <c r="AP155" s="377"/>
      <c r="AQ155" s="377"/>
      <c r="AR155" s="377"/>
      <c r="AS155" s="377"/>
      <c r="AT155" s="377"/>
      <c r="AU155" s="377"/>
      <c r="AV155" s="377"/>
      <c r="AW155" s="377"/>
      <c r="AX155" s="331"/>
    </row>
    <row r="156" spans="1:50" x14ac:dyDescent="0.2">
      <c r="A156" s="1050"/>
      <c r="B156" s="1019"/>
      <c r="C156" s="1051"/>
      <c r="D156" s="1040"/>
      <c r="E156" s="1270"/>
      <c r="F156" s="1267"/>
      <c r="G156" s="1115"/>
      <c r="H156" s="1104"/>
      <c r="I156" s="1046"/>
      <c r="J156" s="377"/>
      <c r="K156" s="701"/>
      <c r="L156" s="482"/>
      <c r="M156" s="851"/>
      <c r="N156" s="663"/>
      <c r="O156" s="651"/>
      <c r="P156" s="1008"/>
      <c r="Q156" s="1009"/>
      <c r="R156" s="375"/>
      <c r="S156" s="376"/>
      <c r="T156" s="375"/>
      <c r="U156" s="625"/>
      <c r="V156" s="560"/>
      <c r="W156" s="606"/>
      <c r="X156" s="377"/>
      <c r="Y156" s="606"/>
      <c r="Z156" s="377"/>
      <c r="AA156" s="606"/>
      <c r="AB156" s="707"/>
      <c r="AC156" s="331"/>
      <c r="AD156" s="377"/>
      <c r="AE156" s="377"/>
      <c r="AF156" s="377"/>
      <c r="AG156" s="377"/>
      <c r="AH156" s="377"/>
      <c r="AI156" s="377"/>
      <c r="AJ156" s="377"/>
      <c r="AK156" s="377"/>
      <c r="AL156" s="377"/>
      <c r="AM156" s="377"/>
      <c r="AN156" s="377"/>
      <c r="AO156" s="377"/>
      <c r="AP156" s="377"/>
      <c r="AQ156" s="377"/>
      <c r="AR156" s="377"/>
      <c r="AS156" s="377"/>
      <c r="AT156" s="377"/>
      <c r="AU156" s="377"/>
      <c r="AV156" s="377"/>
      <c r="AW156" s="377"/>
      <c r="AX156" s="331"/>
    </row>
    <row r="157" spans="1:50" x14ac:dyDescent="0.2">
      <c r="A157" s="1050"/>
      <c r="B157" s="1019"/>
      <c r="C157" s="1051"/>
      <c r="D157" s="1040"/>
      <c r="E157" s="1270"/>
      <c r="F157" s="1267"/>
      <c r="G157" s="1115"/>
      <c r="H157" s="1104"/>
      <c r="I157" s="1046"/>
      <c r="J157" s="377"/>
      <c r="K157" s="701"/>
      <c r="L157" s="482"/>
      <c r="M157" s="851"/>
      <c r="N157" s="663"/>
      <c r="O157" s="651"/>
      <c r="P157" s="1008"/>
      <c r="Q157" s="1009"/>
      <c r="R157" s="375"/>
      <c r="S157" s="376"/>
      <c r="T157" s="375"/>
      <c r="U157" s="625"/>
      <c r="V157" s="560"/>
      <c r="W157" s="606"/>
      <c r="X157" s="377"/>
      <c r="Y157" s="606"/>
      <c r="Z157" s="377"/>
      <c r="AA157" s="606"/>
      <c r="AB157" s="707"/>
      <c r="AC157" s="331"/>
      <c r="AD157" s="377"/>
      <c r="AE157" s="377"/>
      <c r="AF157" s="377"/>
      <c r="AG157" s="377"/>
      <c r="AH157" s="377"/>
      <c r="AI157" s="377"/>
      <c r="AJ157" s="377"/>
      <c r="AK157" s="377"/>
      <c r="AL157" s="377"/>
      <c r="AM157" s="377"/>
      <c r="AN157" s="377"/>
      <c r="AO157" s="377"/>
      <c r="AP157" s="377"/>
      <c r="AQ157" s="377"/>
      <c r="AR157" s="377"/>
      <c r="AS157" s="377"/>
      <c r="AT157" s="377"/>
      <c r="AU157" s="377"/>
      <c r="AV157" s="377"/>
      <c r="AW157" s="377"/>
      <c r="AX157" s="331"/>
    </row>
    <row r="158" spans="1:50" x14ac:dyDescent="0.2">
      <c r="A158" s="1050"/>
      <c r="B158" s="1019"/>
      <c r="C158" s="1051"/>
      <c r="D158" s="1040"/>
      <c r="E158" s="1270"/>
      <c r="F158" s="1267"/>
      <c r="G158" s="1115"/>
      <c r="H158" s="1104"/>
      <c r="I158" s="1046"/>
      <c r="J158" s="377"/>
      <c r="K158" s="701"/>
      <c r="L158" s="482"/>
      <c r="M158" s="851"/>
      <c r="N158" s="663"/>
      <c r="O158" s="651"/>
      <c r="P158" s="1008"/>
      <c r="Q158" s="1009"/>
      <c r="R158" s="375"/>
      <c r="S158" s="376"/>
      <c r="T158" s="375"/>
      <c r="U158" s="625"/>
      <c r="V158" s="560"/>
      <c r="W158" s="606"/>
      <c r="X158" s="377"/>
      <c r="Y158" s="606"/>
      <c r="Z158" s="377"/>
      <c r="AA158" s="606"/>
      <c r="AB158" s="707"/>
      <c r="AC158" s="331"/>
      <c r="AD158" s="377"/>
      <c r="AE158" s="377"/>
      <c r="AF158" s="377"/>
      <c r="AG158" s="377"/>
      <c r="AH158" s="377"/>
      <c r="AI158" s="377"/>
      <c r="AJ158" s="377"/>
      <c r="AK158" s="377"/>
      <c r="AL158" s="377"/>
      <c r="AM158" s="377"/>
      <c r="AN158" s="377"/>
      <c r="AO158" s="377"/>
      <c r="AP158" s="377"/>
      <c r="AQ158" s="377"/>
      <c r="AR158" s="377"/>
      <c r="AS158" s="377"/>
      <c r="AT158" s="377"/>
      <c r="AU158" s="377"/>
      <c r="AV158" s="377"/>
      <c r="AW158" s="377"/>
      <c r="AX158" s="331"/>
    </row>
    <row r="159" spans="1:50" x14ac:dyDescent="0.2">
      <c r="A159" s="1050"/>
      <c r="B159" s="1019"/>
      <c r="C159" s="1051"/>
      <c r="D159" s="1040"/>
      <c r="E159" s="1270"/>
      <c r="F159" s="1267"/>
      <c r="G159" s="1115"/>
      <c r="H159" s="1104"/>
      <c r="I159" s="1046"/>
      <c r="J159" s="377"/>
      <c r="K159" s="701"/>
      <c r="L159" s="482"/>
      <c r="M159" s="851"/>
      <c r="N159" s="663"/>
      <c r="O159" s="651"/>
      <c r="P159" s="1008"/>
      <c r="Q159" s="1009"/>
      <c r="R159" s="375"/>
      <c r="S159" s="376"/>
      <c r="T159" s="375"/>
      <c r="U159" s="625"/>
      <c r="V159" s="560"/>
      <c r="W159" s="606"/>
      <c r="X159" s="377"/>
      <c r="Y159" s="606"/>
      <c r="Z159" s="377"/>
      <c r="AA159" s="606"/>
      <c r="AB159" s="707"/>
      <c r="AC159" s="331"/>
      <c r="AD159" s="377"/>
      <c r="AE159" s="377"/>
      <c r="AF159" s="377"/>
      <c r="AG159" s="377"/>
      <c r="AH159" s="377"/>
      <c r="AI159" s="377"/>
      <c r="AJ159" s="377"/>
      <c r="AK159" s="377"/>
      <c r="AL159" s="377"/>
      <c r="AM159" s="377"/>
      <c r="AN159" s="377"/>
      <c r="AO159" s="377"/>
      <c r="AP159" s="377"/>
      <c r="AQ159" s="377"/>
      <c r="AR159" s="377"/>
      <c r="AS159" s="377"/>
      <c r="AT159" s="377"/>
      <c r="AU159" s="377"/>
      <c r="AV159" s="377"/>
      <c r="AW159" s="377"/>
      <c r="AX159" s="331"/>
    </row>
    <row r="160" spans="1:50" x14ac:dyDescent="0.2">
      <c r="A160" s="1050"/>
      <c r="B160" s="1019"/>
      <c r="C160" s="1051"/>
      <c r="D160" s="1040"/>
      <c r="E160" s="1270"/>
      <c r="F160" s="1267"/>
      <c r="G160" s="1115"/>
      <c r="H160" s="1104"/>
      <c r="I160" s="1046"/>
      <c r="J160" s="377"/>
      <c r="K160" s="701"/>
      <c r="L160" s="482"/>
      <c r="M160" s="851"/>
      <c r="N160" s="663"/>
      <c r="O160" s="651"/>
      <c r="P160" s="1008"/>
      <c r="Q160" s="1009"/>
      <c r="R160" s="375"/>
      <c r="S160" s="376"/>
      <c r="T160" s="375"/>
      <c r="U160" s="625"/>
      <c r="V160" s="560"/>
      <c r="W160" s="606"/>
      <c r="X160" s="377"/>
      <c r="Y160" s="606"/>
      <c r="Z160" s="377"/>
      <c r="AA160" s="606"/>
      <c r="AB160" s="707"/>
      <c r="AC160" s="331"/>
      <c r="AD160" s="377"/>
      <c r="AE160" s="377"/>
      <c r="AF160" s="377"/>
      <c r="AG160" s="377"/>
      <c r="AH160" s="377"/>
      <c r="AI160" s="377"/>
      <c r="AJ160" s="377"/>
      <c r="AK160" s="377"/>
      <c r="AL160" s="377"/>
      <c r="AM160" s="377"/>
      <c r="AN160" s="377"/>
      <c r="AO160" s="377"/>
      <c r="AP160" s="377"/>
      <c r="AQ160" s="377"/>
      <c r="AR160" s="377"/>
      <c r="AS160" s="377"/>
      <c r="AT160" s="377"/>
      <c r="AU160" s="377"/>
      <c r="AV160" s="377"/>
      <c r="AW160" s="377"/>
      <c r="AX160" s="331"/>
    </row>
    <row r="161" spans="1:50" x14ac:dyDescent="0.2">
      <c r="A161" s="1050"/>
      <c r="B161" s="1019"/>
      <c r="C161" s="1051"/>
      <c r="D161" s="1040"/>
      <c r="E161" s="1270"/>
      <c r="F161" s="1267"/>
      <c r="G161" s="1115"/>
      <c r="H161" s="1104"/>
      <c r="I161" s="1046"/>
      <c r="J161" s="377"/>
      <c r="K161" s="701"/>
      <c r="L161" s="482"/>
      <c r="M161" s="851"/>
      <c r="N161" s="663"/>
      <c r="O161" s="651"/>
      <c r="P161" s="1008"/>
      <c r="Q161" s="1009"/>
      <c r="R161" s="375"/>
      <c r="S161" s="376"/>
      <c r="T161" s="375"/>
      <c r="U161" s="625"/>
      <c r="V161" s="560"/>
      <c r="W161" s="606"/>
      <c r="X161" s="377"/>
      <c r="Y161" s="606"/>
      <c r="Z161" s="377"/>
      <c r="AA161" s="606"/>
      <c r="AB161" s="707"/>
      <c r="AC161" s="331"/>
      <c r="AD161" s="377"/>
      <c r="AE161" s="377"/>
      <c r="AF161" s="377"/>
      <c r="AG161" s="377"/>
      <c r="AH161" s="377"/>
      <c r="AI161" s="377"/>
      <c r="AJ161" s="377"/>
      <c r="AK161" s="377"/>
      <c r="AL161" s="377"/>
      <c r="AM161" s="377"/>
      <c r="AN161" s="377"/>
      <c r="AO161" s="377"/>
      <c r="AP161" s="377"/>
      <c r="AQ161" s="377"/>
      <c r="AR161" s="377"/>
      <c r="AS161" s="377"/>
      <c r="AT161" s="377"/>
      <c r="AU161" s="377"/>
      <c r="AV161" s="377"/>
      <c r="AW161" s="377"/>
      <c r="AX161" s="331"/>
    </row>
    <row r="162" spans="1:50" x14ac:dyDescent="0.2">
      <c r="A162" s="1050"/>
      <c r="B162" s="1019"/>
      <c r="C162" s="1051"/>
      <c r="D162" s="1040"/>
      <c r="E162" s="1270"/>
      <c r="F162" s="1267"/>
      <c r="G162" s="1115"/>
      <c r="H162" s="1104"/>
      <c r="I162" s="1046"/>
      <c r="J162" s="377"/>
      <c r="K162" s="701"/>
      <c r="L162" s="482"/>
      <c r="M162" s="851"/>
      <c r="N162" s="663"/>
      <c r="O162" s="651"/>
      <c r="P162" s="1008"/>
      <c r="Q162" s="1009"/>
      <c r="R162" s="375"/>
      <c r="S162" s="376"/>
      <c r="T162" s="375"/>
      <c r="U162" s="625"/>
      <c r="V162" s="560"/>
      <c r="W162" s="606"/>
      <c r="X162" s="377"/>
      <c r="Y162" s="606"/>
      <c r="Z162" s="377"/>
      <c r="AA162" s="606"/>
      <c r="AB162" s="707"/>
      <c r="AC162" s="331"/>
      <c r="AD162" s="377"/>
      <c r="AE162" s="377"/>
      <c r="AF162" s="377"/>
      <c r="AG162" s="377"/>
      <c r="AH162" s="377"/>
      <c r="AI162" s="377"/>
      <c r="AJ162" s="377"/>
      <c r="AK162" s="377"/>
      <c r="AL162" s="377"/>
      <c r="AM162" s="377"/>
      <c r="AN162" s="377"/>
      <c r="AO162" s="377"/>
      <c r="AP162" s="377"/>
      <c r="AQ162" s="377"/>
      <c r="AR162" s="377"/>
      <c r="AS162" s="377"/>
      <c r="AT162" s="377"/>
      <c r="AU162" s="377"/>
      <c r="AV162" s="377"/>
      <c r="AW162" s="377"/>
      <c r="AX162" s="331"/>
    </row>
    <row r="163" spans="1:50" x14ac:dyDescent="0.2">
      <c r="A163" s="1050"/>
      <c r="B163" s="1019"/>
      <c r="C163" s="1051"/>
      <c r="D163" s="1040"/>
      <c r="E163" s="1270"/>
      <c r="F163" s="1267"/>
      <c r="G163" s="1115"/>
      <c r="H163" s="1104"/>
      <c r="I163" s="1046"/>
      <c r="J163" s="377"/>
      <c r="K163" s="701"/>
      <c r="L163" s="482"/>
      <c r="M163" s="851"/>
      <c r="N163" s="663"/>
      <c r="O163" s="651"/>
      <c r="P163" s="1008"/>
      <c r="Q163" s="1009"/>
      <c r="R163" s="375"/>
      <c r="S163" s="376"/>
      <c r="T163" s="375"/>
      <c r="U163" s="625"/>
      <c r="V163" s="560"/>
      <c r="W163" s="606"/>
      <c r="X163" s="377"/>
      <c r="Y163" s="606"/>
      <c r="Z163" s="377"/>
      <c r="AA163" s="606"/>
      <c r="AB163" s="707"/>
      <c r="AC163" s="331"/>
      <c r="AD163" s="377"/>
      <c r="AE163" s="377"/>
      <c r="AF163" s="377"/>
      <c r="AG163" s="377"/>
      <c r="AH163" s="377"/>
      <c r="AI163" s="377"/>
      <c r="AJ163" s="377"/>
      <c r="AK163" s="377"/>
      <c r="AL163" s="377"/>
      <c r="AM163" s="377"/>
      <c r="AN163" s="377"/>
      <c r="AO163" s="377"/>
      <c r="AP163" s="377"/>
      <c r="AQ163" s="377"/>
      <c r="AR163" s="377"/>
      <c r="AS163" s="377"/>
      <c r="AT163" s="377"/>
      <c r="AU163" s="377"/>
      <c r="AV163" s="377"/>
      <c r="AW163" s="377"/>
      <c r="AX163" s="331"/>
    </row>
    <row r="164" spans="1:50" x14ac:dyDescent="0.2">
      <c r="A164" s="1050"/>
      <c r="B164" s="1019"/>
      <c r="C164" s="1051"/>
      <c r="D164" s="1040"/>
      <c r="E164" s="1270"/>
      <c r="F164" s="1267"/>
      <c r="G164" s="1115"/>
      <c r="H164" s="1104"/>
      <c r="I164" s="1046"/>
      <c r="J164" s="377"/>
      <c r="K164" s="701"/>
      <c r="L164" s="482"/>
      <c r="M164" s="851"/>
      <c r="N164" s="663"/>
      <c r="O164" s="651"/>
      <c r="P164" s="1008"/>
      <c r="Q164" s="1009"/>
      <c r="R164" s="375"/>
      <c r="S164" s="376"/>
      <c r="T164" s="375"/>
      <c r="U164" s="625"/>
      <c r="V164" s="560"/>
      <c r="W164" s="606"/>
      <c r="X164" s="377"/>
      <c r="Y164" s="606"/>
      <c r="Z164" s="377"/>
      <c r="AA164" s="606"/>
      <c r="AB164" s="707"/>
      <c r="AC164" s="331"/>
      <c r="AD164" s="377"/>
      <c r="AE164" s="377"/>
      <c r="AF164" s="377"/>
      <c r="AG164" s="377"/>
      <c r="AH164" s="377"/>
      <c r="AI164" s="377"/>
      <c r="AJ164" s="377"/>
      <c r="AK164" s="377"/>
      <c r="AL164" s="377"/>
      <c r="AM164" s="377"/>
      <c r="AN164" s="377"/>
      <c r="AO164" s="377"/>
      <c r="AP164" s="377"/>
      <c r="AQ164" s="377"/>
      <c r="AR164" s="377"/>
      <c r="AS164" s="377"/>
      <c r="AT164" s="377"/>
      <c r="AU164" s="377"/>
      <c r="AV164" s="377"/>
      <c r="AW164" s="377"/>
      <c r="AX164" s="331"/>
    </row>
    <row r="165" spans="1:50" x14ac:dyDescent="0.2">
      <c r="A165" s="1050"/>
      <c r="B165" s="1019"/>
      <c r="C165" s="1051"/>
      <c r="D165" s="1040"/>
      <c r="E165" s="1270"/>
      <c r="F165" s="1267"/>
      <c r="G165" s="1115"/>
      <c r="H165" s="1104"/>
      <c r="I165" s="1046"/>
      <c r="J165" s="377"/>
      <c r="K165" s="701"/>
      <c r="L165" s="482"/>
      <c r="M165" s="851"/>
      <c r="N165" s="663"/>
      <c r="O165" s="651"/>
      <c r="P165" s="1008"/>
      <c r="Q165" s="1009"/>
      <c r="R165" s="375"/>
      <c r="S165" s="376"/>
      <c r="T165" s="375"/>
      <c r="U165" s="625"/>
      <c r="V165" s="560"/>
      <c r="W165" s="606"/>
      <c r="X165" s="377"/>
      <c r="Y165" s="606"/>
      <c r="Z165" s="377"/>
      <c r="AA165" s="606"/>
      <c r="AB165" s="707"/>
      <c r="AC165" s="331"/>
      <c r="AD165" s="377"/>
      <c r="AE165" s="377"/>
      <c r="AF165" s="377"/>
      <c r="AG165" s="377"/>
      <c r="AH165" s="377"/>
      <c r="AI165" s="377"/>
      <c r="AJ165" s="377"/>
      <c r="AK165" s="377"/>
      <c r="AL165" s="377"/>
      <c r="AM165" s="377"/>
      <c r="AN165" s="377"/>
      <c r="AO165" s="377"/>
      <c r="AP165" s="377"/>
      <c r="AQ165" s="377"/>
      <c r="AR165" s="377"/>
      <c r="AS165" s="377"/>
      <c r="AT165" s="377"/>
      <c r="AU165" s="377"/>
      <c r="AV165" s="377"/>
      <c r="AW165" s="377"/>
      <c r="AX165" s="331"/>
    </row>
    <row r="166" spans="1:50" x14ac:dyDescent="0.2">
      <c r="A166" s="1050"/>
      <c r="B166" s="1019"/>
      <c r="C166" s="1051"/>
      <c r="D166" s="1040"/>
      <c r="E166" s="1270"/>
      <c r="F166" s="1267"/>
      <c r="G166" s="1115"/>
      <c r="H166" s="1104"/>
      <c r="I166" s="1046"/>
      <c r="J166" s="377"/>
      <c r="K166" s="701"/>
      <c r="L166" s="482"/>
      <c r="M166" s="851"/>
      <c r="N166" s="663"/>
      <c r="O166" s="651"/>
      <c r="P166" s="1008"/>
      <c r="Q166" s="1009"/>
      <c r="R166" s="375"/>
      <c r="S166" s="376"/>
      <c r="T166" s="375"/>
      <c r="U166" s="625"/>
      <c r="V166" s="560"/>
      <c r="W166" s="606"/>
      <c r="X166" s="377"/>
      <c r="Y166" s="606"/>
      <c r="Z166" s="377"/>
      <c r="AA166" s="606"/>
      <c r="AB166" s="707"/>
      <c r="AC166" s="331"/>
      <c r="AD166" s="377"/>
      <c r="AE166" s="377"/>
      <c r="AF166" s="377"/>
      <c r="AG166" s="377"/>
      <c r="AH166" s="377"/>
      <c r="AI166" s="377"/>
      <c r="AJ166" s="377"/>
      <c r="AK166" s="377"/>
      <c r="AL166" s="377"/>
      <c r="AM166" s="377"/>
      <c r="AN166" s="377"/>
      <c r="AO166" s="377"/>
      <c r="AP166" s="377"/>
      <c r="AQ166" s="377"/>
      <c r="AR166" s="377"/>
      <c r="AS166" s="377"/>
      <c r="AT166" s="377"/>
      <c r="AU166" s="377"/>
      <c r="AV166" s="377"/>
      <c r="AW166" s="377"/>
      <c r="AX166" s="331"/>
    </row>
    <row r="167" spans="1:50" x14ac:dyDescent="0.2">
      <c r="A167" s="1050"/>
      <c r="B167" s="1042"/>
      <c r="C167" s="1051"/>
      <c r="D167" s="1040"/>
      <c r="E167" s="1270"/>
      <c r="F167" s="1267"/>
      <c r="G167" s="1115"/>
      <c r="H167" s="1104"/>
      <c r="I167" s="1046"/>
      <c r="J167" s="377"/>
      <c r="K167" s="701"/>
      <c r="L167" s="482"/>
      <c r="M167" s="851"/>
      <c r="N167" s="663"/>
      <c r="O167" s="651"/>
      <c r="P167" s="1008"/>
      <c r="Q167" s="1009"/>
      <c r="R167" s="375"/>
      <c r="S167" s="376"/>
      <c r="T167" s="375"/>
      <c r="U167" s="625"/>
      <c r="V167" s="560"/>
      <c r="W167" s="606"/>
      <c r="X167" s="377"/>
      <c r="Y167" s="606"/>
      <c r="Z167" s="377"/>
      <c r="AA167" s="606"/>
      <c r="AB167" s="707"/>
      <c r="AC167" s="331"/>
      <c r="AD167" s="377"/>
      <c r="AE167" s="377"/>
      <c r="AF167" s="377"/>
      <c r="AG167" s="377"/>
      <c r="AH167" s="377"/>
      <c r="AI167" s="377"/>
      <c r="AJ167" s="377"/>
      <c r="AK167" s="377"/>
      <c r="AL167" s="377"/>
      <c r="AM167" s="377"/>
      <c r="AN167" s="377"/>
      <c r="AO167" s="377"/>
      <c r="AP167" s="377"/>
      <c r="AQ167" s="377"/>
      <c r="AR167" s="377"/>
      <c r="AS167" s="377"/>
      <c r="AT167" s="377"/>
      <c r="AU167" s="377"/>
      <c r="AV167" s="377"/>
      <c r="AW167" s="377"/>
      <c r="AX167" s="331"/>
    </row>
    <row r="168" spans="1:50" x14ac:dyDescent="0.2">
      <c r="A168" s="1050"/>
      <c r="B168" s="1019"/>
      <c r="C168" s="1051"/>
      <c r="D168" s="1040"/>
      <c r="E168" s="1270"/>
      <c r="F168" s="1267"/>
      <c r="G168" s="1115"/>
      <c r="H168" s="1104"/>
      <c r="I168" s="1046"/>
      <c r="J168" s="377"/>
      <c r="K168" s="701"/>
      <c r="L168" s="482"/>
      <c r="M168" s="851"/>
      <c r="N168" s="663"/>
      <c r="O168" s="651"/>
      <c r="P168" s="1008"/>
      <c r="Q168" s="1009"/>
      <c r="R168" s="375"/>
      <c r="S168" s="376"/>
      <c r="T168" s="375"/>
      <c r="U168" s="625"/>
      <c r="V168" s="560"/>
      <c r="W168" s="606"/>
      <c r="X168" s="377"/>
      <c r="Y168" s="606"/>
      <c r="Z168" s="377"/>
      <c r="AA168" s="606"/>
      <c r="AB168" s="707"/>
      <c r="AC168" s="331"/>
      <c r="AD168" s="377"/>
      <c r="AE168" s="377"/>
      <c r="AF168" s="377"/>
      <c r="AG168" s="377"/>
      <c r="AH168" s="377"/>
      <c r="AI168" s="377"/>
      <c r="AJ168" s="377"/>
      <c r="AK168" s="377"/>
      <c r="AL168" s="377"/>
      <c r="AM168" s="377"/>
      <c r="AN168" s="377"/>
      <c r="AO168" s="377"/>
      <c r="AP168" s="377"/>
      <c r="AQ168" s="377"/>
      <c r="AR168" s="377"/>
      <c r="AS168" s="377"/>
      <c r="AT168" s="377"/>
      <c r="AU168" s="377"/>
      <c r="AV168" s="377"/>
      <c r="AW168" s="377"/>
      <c r="AX168" s="331"/>
    </row>
    <row r="169" spans="1:50" x14ac:dyDescent="0.2">
      <c r="A169" s="1050"/>
      <c r="B169" s="1042"/>
      <c r="C169" s="1051"/>
      <c r="D169" s="1040"/>
      <c r="E169" s="1270"/>
      <c r="F169" s="1267"/>
      <c r="G169" s="1115"/>
      <c r="H169" s="1104"/>
      <c r="I169" s="1046"/>
      <c r="J169" s="377"/>
      <c r="K169" s="701"/>
      <c r="L169" s="482"/>
      <c r="M169" s="851"/>
      <c r="N169" s="663"/>
      <c r="O169" s="651"/>
      <c r="P169" s="1008"/>
      <c r="Q169" s="1009"/>
      <c r="R169" s="375"/>
      <c r="S169" s="376"/>
      <c r="T169" s="375"/>
      <c r="U169" s="625"/>
      <c r="V169" s="560"/>
      <c r="W169" s="606"/>
      <c r="X169" s="377"/>
      <c r="Y169" s="606"/>
      <c r="Z169" s="377"/>
      <c r="AA169" s="606"/>
      <c r="AB169" s="707"/>
      <c r="AC169" s="331"/>
      <c r="AD169" s="377"/>
      <c r="AE169" s="377"/>
      <c r="AF169" s="377"/>
      <c r="AG169" s="377"/>
      <c r="AH169" s="377"/>
      <c r="AI169" s="377"/>
      <c r="AJ169" s="377"/>
      <c r="AK169" s="377"/>
      <c r="AL169" s="377"/>
      <c r="AM169" s="377"/>
      <c r="AN169" s="377"/>
      <c r="AO169" s="377"/>
      <c r="AP169" s="377"/>
      <c r="AQ169" s="377"/>
      <c r="AR169" s="377"/>
      <c r="AS169" s="377"/>
      <c r="AT169" s="377"/>
      <c r="AU169" s="377"/>
      <c r="AV169" s="377"/>
      <c r="AW169" s="377"/>
      <c r="AX169" s="331"/>
    </row>
    <row r="170" spans="1:50" x14ac:dyDescent="0.2">
      <c r="A170" s="1050"/>
      <c r="B170" s="1019"/>
      <c r="C170" s="1051"/>
      <c r="D170" s="1040"/>
      <c r="E170" s="1270"/>
      <c r="F170" s="1267"/>
      <c r="G170" s="1115"/>
      <c r="H170" s="1104"/>
      <c r="I170" s="1046"/>
      <c r="J170" s="377"/>
      <c r="K170" s="701"/>
      <c r="L170" s="482"/>
      <c r="M170" s="851"/>
      <c r="N170" s="663"/>
      <c r="O170" s="651"/>
      <c r="P170" s="1008"/>
      <c r="Q170" s="1009"/>
      <c r="R170" s="375"/>
      <c r="S170" s="376"/>
      <c r="T170" s="375"/>
      <c r="U170" s="625"/>
      <c r="V170" s="560"/>
      <c r="W170" s="606"/>
      <c r="X170" s="377"/>
      <c r="Y170" s="606"/>
      <c r="Z170" s="377"/>
      <c r="AA170" s="606"/>
      <c r="AB170" s="707"/>
      <c r="AC170" s="331"/>
      <c r="AD170" s="377"/>
      <c r="AE170" s="377"/>
      <c r="AF170" s="377"/>
      <c r="AG170" s="377"/>
      <c r="AH170" s="377"/>
      <c r="AI170" s="377"/>
      <c r="AJ170" s="377"/>
      <c r="AK170" s="377"/>
      <c r="AL170" s="377"/>
      <c r="AM170" s="377"/>
      <c r="AN170" s="377"/>
      <c r="AO170" s="377"/>
      <c r="AP170" s="377"/>
      <c r="AQ170" s="377"/>
      <c r="AR170" s="377"/>
      <c r="AS170" s="377"/>
      <c r="AT170" s="377"/>
      <c r="AU170" s="377"/>
      <c r="AV170" s="377"/>
      <c r="AW170" s="377"/>
      <c r="AX170" s="331"/>
    </row>
    <row r="171" spans="1:50" x14ac:dyDescent="0.2">
      <c r="A171" s="1050"/>
      <c r="B171" s="1019"/>
      <c r="C171" s="1051"/>
      <c r="D171" s="1040"/>
      <c r="E171" s="1270"/>
      <c r="F171" s="1267"/>
      <c r="G171" s="1115"/>
      <c r="H171" s="1104"/>
      <c r="I171" s="1046"/>
      <c r="J171" s="377"/>
      <c r="K171" s="701"/>
      <c r="L171" s="482"/>
      <c r="M171" s="851"/>
      <c r="N171" s="663"/>
      <c r="O171" s="651"/>
      <c r="P171" s="1008"/>
      <c r="Q171" s="1009"/>
      <c r="R171" s="375"/>
      <c r="S171" s="376"/>
      <c r="T171" s="375"/>
      <c r="U171" s="625"/>
      <c r="V171" s="560"/>
      <c r="W171" s="606"/>
      <c r="X171" s="377"/>
      <c r="Y171" s="606"/>
      <c r="Z171" s="377"/>
      <c r="AA171" s="606"/>
      <c r="AB171" s="707"/>
      <c r="AC171" s="331"/>
      <c r="AD171" s="377"/>
      <c r="AE171" s="377"/>
      <c r="AF171" s="377"/>
      <c r="AG171" s="377"/>
      <c r="AH171" s="377"/>
      <c r="AI171" s="377"/>
      <c r="AJ171" s="377"/>
      <c r="AK171" s="377"/>
      <c r="AL171" s="377"/>
      <c r="AM171" s="377"/>
      <c r="AN171" s="377"/>
      <c r="AO171" s="377"/>
      <c r="AP171" s="377"/>
      <c r="AQ171" s="377"/>
      <c r="AR171" s="377"/>
      <c r="AS171" s="377"/>
      <c r="AT171" s="377"/>
      <c r="AU171" s="377"/>
      <c r="AV171" s="377"/>
      <c r="AW171" s="377"/>
      <c r="AX171" s="331"/>
    </row>
    <row r="172" spans="1:50" x14ac:dyDescent="0.2">
      <c r="A172" s="1050"/>
      <c r="B172" s="1019"/>
      <c r="C172" s="1051"/>
      <c r="D172" s="1040"/>
      <c r="E172" s="1270"/>
      <c r="F172" s="1267"/>
      <c r="G172" s="1115"/>
      <c r="H172" s="1104"/>
      <c r="I172" s="1046"/>
      <c r="J172" s="377"/>
      <c r="K172" s="701"/>
      <c r="L172" s="482"/>
      <c r="M172" s="851"/>
      <c r="N172" s="663"/>
      <c r="O172" s="651"/>
      <c r="P172" s="1008"/>
      <c r="Q172" s="1009"/>
      <c r="R172" s="375"/>
      <c r="S172" s="376"/>
      <c r="T172" s="375"/>
      <c r="U172" s="625"/>
      <c r="V172" s="560"/>
      <c r="W172" s="606"/>
      <c r="X172" s="377"/>
      <c r="Y172" s="606"/>
      <c r="Z172" s="377"/>
      <c r="AA172" s="606"/>
      <c r="AB172" s="707"/>
      <c r="AC172" s="331"/>
      <c r="AD172" s="377"/>
      <c r="AE172" s="377"/>
      <c r="AF172" s="377"/>
      <c r="AG172" s="377"/>
      <c r="AH172" s="377"/>
      <c r="AI172" s="377"/>
      <c r="AJ172" s="377"/>
      <c r="AK172" s="377"/>
      <c r="AL172" s="377"/>
      <c r="AM172" s="377"/>
      <c r="AN172" s="377"/>
      <c r="AO172" s="377"/>
      <c r="AP172" s="377"/>
      <c r="AQ172" s="377"/>
      <c r="AR172" s="377"/>
      <c r="AS172" s="377"/>
      <c r="AT172" s="377"/>
      <c r="AU172" s="377"/>
      <c r="AV172" s="377"/>
      <c r="AW172" s="377"/>
      <c r="AX172" s="331"/>
    </row>
    <row r="173" spans="1:50" x14ac:dyDescent="0.2">
      <c r="A173" s="1050"/>
      <c r="B173" s="1019"/>
      <c r="C173" s="1051"/>
      <c r="D173" s="1040"/>
      <c r="E173" s="1270"/>
      <c r="F173" s="1267"/>
      <c r="G173" s="1115"/>
      <c r="H173" s="1104"/>
      <c r="I173" s="1046"/>
      <c r="J173" s="377"/>
      <c r="K173" s="701"/>
      <c r="L173" s="482"/>
      <c r="M173" s="851"/>
      <c r="N173" s="663"/>
      <c r="O173" s="651"/>
      <c r="P173" s="1008"/>
      <c r="Q173" s="1009"/>
      <c r="R173" s="375"/>
      <c r="S173" s="376"/>
      <c r="T173" s="375"/>
      <c r="U173" s="625"/>
      <c r="V173" s="560"/>
      <c r="W173" s="606"/>
      <c r="X173" s="377"/>
      <c r="Y173" s="606"/>
      <c r="Z173" s="377"/>
      <c r="AA173" s="606"/>
      <c r="AB173" s="707"/>
      <c r="AC173" s="331"/>
      <c r="AD173" s="377"/>
      <c r="AE173" s="377"/>
      <c r="AF173" s="377"/>
      <c r="AG173" s="377"/>
      <c r="AH173" s="377"/>
      <c r="AI173" s="377"/>
      <c r="AJ173" s="377"/>
      <c r="AK173" s="377"/>
      <c r="AL173" s="377"/>
      <c r="AM173" s="377"/>
      <c r="AN173" s="377"/>
      <c r="AO173" s="377"/>
      <c r="AP173" s="377"/>
      <c r="AQ173" s="377"/>
      <c r="AR173" s="377"/>
      <c r="AS173" s="377"/>
      <c r="AT173" s="377"/>
      <c r="AU173" s="377"/>
      <c r="AV173" s="377"/>
      <c r="AW173" s="377"/>
      <c r="AX173" s="331"/>
    </row>
    <row r="174" spans="1:50" x14ac:dyDescent="0.2">
      <c r="A174" s="1050"/>
      <c r="B174" s="1019"/>
      <c r="C174" s="1051"/>
      <c r="D174" s="1040"/>
      <c r="E174" s="1270"/>
      <c r="F174" s="1267"/>
      <c r="G174" s="1115"/>
      <c r="H174" s="1104"/>
      <c r="I174" s="1046"/>
      <c r="J174" s="377"/>
      <c r="K174" s="701"/>
      <c r="L174" s="482"/>
      <c r="M174" s="851"/>
      <c r="N174" s="663"/>
      <c r="O174" s="651"/>
      <c r="P174" s="1008"/>
      <c r="Q174" s="1009"/>
      <c r="R174" s="375"/>
      <c r="S174" s="376"/>
      <c r="T174" s="375"/>
      <c r="U174" s="625"/>
      <c r="V174" s="560"/>
      <c r="W174" s="606"/>
      <c r="X174" s="377"/>
      <c r="Y174" s="606"/>
      <c r="Z174" s="377"/>
      <c r="AA174" s="606"/>
      <c r="AB174" s="707"/>
      <c r="AC174" s="331"/>
      <c r="AD174" s="377"/>
      <c r="AE174" s="377"/>
      <c r="AF174" s="377"/>
      <c r="AG174" s="377"/>
      <c r="AH174" s="377"/>
      <c r="AI174" s="377"/>
      <c r="AJ174" s="377"/>
      <c r="AK174" s="377"/>
      <c r="AL174" s="377"/>
      <c r="AM174" s="377"/>
      <c r="AN174" s="377"/>
      <c r="AO174" s="377"/>
      <c r="AP174" s="377"/>
      <c r="AQ174" s="377"/>
      <c r="AR174" s="377"/>
      <c r="AS174" s="377"/>
      <c r="AT174" s="377"/>
      <c r="AU174" s="377"/>
      <c r="AV174" s="377"/>
      <c r="AW174" s="377"/>
      <c r="AX174" s="331"/>
    </row>
    <row r="175" spans="1:50" x14ac:dyDescent="0.2">
      <c r="A175" s="1050"/>
      <c r="B175" s="1019"/>
      <c r="C175" s="1051"/>
      <c r="D175" s="1040"/>
      <c r="E175" s="1270"/>
      <c r="F175" s="1267"/>
      <c r="G175" s="1115"/>
      <c r="H175" s="1104"/>
      <c r="I175" s="1046"/>
      <c r="J175" s="377"/>
      <c r="K175" s="701"/>
      <c r="L175" s="482"/>
      <c r="M175" s="851"/>
      <c r="N175" s="663"/>
      <c r="O175" s="651"/>
      <c r="P175" s="1008"/>
      <c r="Q175" s="1009"/>
      <c r="R175" s="375"/>
      <c r="S175" s="376"/>
      <c r="T175" s="375"/>
      <c r="U175" s="625"/>
      <c r="V175" s="560"/>
      <c r="W175" s="606"/>
      <c r="X175" s="377"/>
      <c r="Y175" s="606"/>
      <c r="Z175" s="377"/>
      <c r="AA175" s="606"/>
      <c r="AB175" s="707"/>
      <c r="AC175" s="331"/>
      <c r="AD175" s="377"/>
      <c r="AE175" s="377"/>
      <c r="AF175" s="377"/>
      <c r="AG175" s="377"/>
      <c r="AH175" s="377"/>
      <c r="AI175" s="377"/>
      <c r="AJ175" s="377"/>
      <c r="AK175" s="377"/>
      <c r="AL175" s="377"/>
      <c r="AM175" s="377"/>
      <c r="AN175" s="377"/>
      <c r="AO175" s="377"/>
      <c r="AP175" s="377"/>
      <c r="AQ175" s="377"/>
      <c r="AR175" s="377"/>
      <c r="AS175" s="377"/>
      <c r="AT175" s="377"/>
      <c r="AU175" s="377"/>
      <c r="AV175" s="377"/>
      <c r="AW175" s="377"/>
      <c r="AX175" s="331"/>
    </row>
    <row r="176" spans="1:50" x14ac:dyDescent="0.2">
      <c r="A176" s="1050"/>
      <c r="B176" s="1019"/>
      <c r="C176" s="1051"/>
      <c r="D176" s="1040"/>
      <c r="E176" s="1270"/>
      <c r="F176" s="1267"/>
      <c r="G176" s="1115"/>
      <c r="H176" s="1104"/>
      <c r="I176" s="1046"/>
      <c r="J176" s="377"/>
      <c r="K176" s="701"/>
      <c r="L176" s="482"/>
      <c r="M176" s="851"/>
      <c r="N176" s="663"/>
      <c r="O176" s="651"/>
      <c r="P176" s="1008"/>
      <c r="Q176" s="1009"/>
      <c r="R176" s="375"/>
      <c r="S176" s="376"/>
      <c r="T176" s="375"/>
      <c r="U176" s="625"/>
      <c r="V176" s="560"/>
      <c r="W176" s="606"/>
      <c r="X176" s="377"/>
      <c r="Y176" s="606"/>
      <c r="Z176" s="377"/>
      <c r="AA176" s="606"/>
      <c r="AB176" s="707"/>
      <c r="AC176" s="331"/>
      <c r="AD176" s="377"/>
      <c r="AE176" s="377"/>
      <c r="AF176" s="377"/>
      <c r="AG176" s="377"/>
      <c r="AH176" s="377"/>
      <c r="AI176" s="377"/>
      <c r="AJ176" s="377"/>
      <c r="AK176" s="377"/>
      <c r="AL176" s="377"/>
      <c r="AM176" s="377"/>
      <c r="AN176" s="377"/>
      <c r="AO176" s="377"/>
      <c r="AP176" s="377"/>
      <c r="AQ176" s="377"/>
      <c r="AR176" s="377"/>
      <c r="AS176" s="377"/>
      <c r="AT176" s="377"/>
      <c r="AU176" s="377"/>
      <c r="AV176" s="377"/>
      <c r="AW176" s="377"/>
      <c r="AX176" s="331"/>
    </row>
    <row r="177" spans="1:50" x14ac:dyDescent="0.2">
      <c r="A177" s="1050"/>
      <c r="B177" s="1019"/>
      <c r="C177" s="1051"/>
      <c r="D177" s="1040"/>
      <c r="E177" s="1270"/>
      <c r="F177" s="1267"/>
      <c r="G177" s="1115"/>
      <c r="H177" s="1104"/>
      <c r="I177" s="1046"/>
      <c r="J177" s="377"/>
      <c r="K177" s="701"/>
      <c r="L177" s="482"/>
      <c r="M177" s="851"/>
      <c r="N177" s="663"/>
      <c r="O177" s="651"/>
      <c r="P177" s="1008"/>
      <c r="Q177" s="1009"/>
      <c r="R177" s="375"/>
      <c r="S177" s="376"/>
      <c r="T177" s="375"/>
      <c r="U177" s="625"/>
      <c r="V177" s="560"/>
      <c r="W177" s="606"/>
      <c r="X177" s="377"/>
      <c r="Y177" s="606"/>
      <c r="Z177" s="377"/>
      <c r="AA177" s="606"/>
      <c r="AB177" s="707"/>
      <c r="AC177" s="331"/>
      <c r="AD177" s="377"/>
      <c r="AE177" s="377"/>
      <c r="AF177" s="377"/>
      <c r="AG177" s="377"/>
      <c r="AH177" s="377"/>
      <c r="AI177" s="377"/>
      <c r="AJ177" s="377"/>
      <c r="AK177" s="377"/>
      <c r="AL177" s="377"/>
      <c r="AM177" s="377"/>
      <c r="AN177" s="377"/>
      <c r="AO177" s="377"/>
      <c r="AP177" s="377"/>
      <c r="AQ177" s="377"/>
      <c r="AR177" s="377"/>
      <c r="AS177" s="377"/>
      <c r="AT177" s="377"/>
      <c r="AU177" s="377"/>
      <c r="AV177" s="377"/>
      <c r="AW177" s="377"/>
      <c r="AX177" s="331"/>
    </row>
    <row r="178" spans="1:50" x14ac:dyDescent="0.2">
      <c r="A178" s="1050"/>
      <c r="B178" s="1019"/>
      <c r="C178" s="1051"/>
      <c r="D178" s="1040"/>
      <c r="E178" s="1270"/>
      <c r="F178" s="1267"/>
      <c r="G178" s="1115"/>
      <c r="H178" s="1104"/>
      <c r="I178" s="1046"/>
      <c r="J178" s="377"/>
      <c r="K178" s="701"/>
      <c r="L178" s="482"/>
      <c r="M178" s="851"/>
      <c r="N178" s="663"/>
      <c r="O178" s="651"/>
      <c r="P178" s="1008"/>
      <c r="Q178" s="1009"/>
      <c r="R178" s="375"/>
      <c r="S178" s="376"/>
      <c r="T178" s="375"/>
      <c r="U178" s="625"/>
      <c r="V178" s="560"/>
      <c r="W178" s="606"/>
      <c r="X178" s="377"/>
      <c r="Y178" s="606"/>
      <c r="Z178" s="377"/>
      <c r="AA178" s="606"/>
      <c r="AB178" s="707"/>
      <c r="AC178" s="331"/>
      <c r="AD178" s="377"/>
      <c r="AE178" s="377"/>
      <c r="AF178" s="377"/>
      <c r="AG178" s="377"/>
      <c r="AH178" s="377"/>
      <c r="AI178" s="377"/>
      <c r="AJ178" s="377"/>
      <c r="AK178" s="377"/>
      <c r="AL178" s="377"/>
      <c r="AM178" s="377"/>
      <c r="AN178" s="377"/>
      <c r="AO178" s="377"/>
      <c r="AP178" s="377"/>
      <c r="AQ178" s="377"/>
      <c r="AR178" s="377"/>
      <c r="AS178" s="377"/>
      <c r="AT178" s="377"/>
      <c r="AU178" s="377"/>
      <c r="AV178" s="377"/>
      <c r="AW178" s="377"/>
      <c r="AX178" s="331"/>
    </row>
    <row r="179" spans="1:50" x14ac:dyDescent="0.2">
      <c r="A179" s="1050"/>
      <c r="B179" s="1019"/>
      <c r="C179" s="1051"/>
      <c r="D179" s="1040"/>
      <c r="E179" s="1270"/>
      <c r="F179" s="1267"/>
      <c r="G179" s="1115"/>
      <c r="H179" s="1104"/>
      <c r="I179" s="1046"/>
      <c r="J179" s="377"/>
      <c r="K179" s="701"/>
      <c r="L179" s="482"/>
      <c r="M179" s="851"/>
      <c r="N179" s="663"/>
      <c r="O179" s="651"/>
      <c r="P179" s="1008"/>
      <c r="Q179" s="1009"/>
      <c r="R179" s="375"/>
      <c r="S179" s="376"/>
      <c r="T179" s="375"/>
      <c r="U179" s="625"/>
      <c r="V179" s="560"/>
      <c r="W179" s="606"/>
      <c r="X179" s="377"/>
      <c r="Y179" s="606"/>
      <c r="Z179" s="377"/>
      <c r="AA179" s="606"/>
      <c r="AB179" s="707"/>
      <c r="AC179" s="331"/>
      <c r="AD179" s="377"/>
      <c r="AE179" s="377"/>
      <c r="AF179" s="377"/>
      <c r="AG179" s="377"/>
      <c r="AH179" s="377"/>
      <c r="AI179" s="377"/>
      <c r="AJ179" s="377"/>
      <c r="AK179" s="377"/>
      <c r="AL179" s="377"/>
      <c r="AM179" s="377"/>
      <c r="AN179" s="377"/>
      <c r="AO179" s="377"/>
      <c r="AP179" s="377"/>
      <c r="AQ179" s="377"/>
      <c r="AR179" s="377"/>
      <c r="AS179" s="377"/>
      <c r="AT179" s="377"/>
      <c r="AU179" s="377"/>
      <c r="AV179" s="377"/>
      <c r="AW179" s="377"/>
      <c r="AX179" s="331"/>
    </row>
    <row r="180" spans="1:50" x14ac:dyDescent="0.2">
      <c r="A180" s="1050"/>
      <c r="B180" s="1042"/>
      <c r="C180" s="1051"/>
      <c r="D180" s="1040"/>
      <c r="E180" s="1270"/>
      <c r="F180" s="1267"/>
      <c r="G180" s="1115"/>
      <c r="H180" s="1104"/>
      <c r="I180" s="1046"/>
      <c r="J180" s="377"/>
      <c r="K180" s="701"/>
      <c r="L180" s="482"/>
      <c r="M180" s="851"/>
      <c r="N180" s="663"/>
      <c r="P180" s="1008"/>
      <c r="Q180" s="1009"/>
      <c r="R180" s="375"/>
      <c r="S180" s="376"/>
      <c r="T180" s="375"/>
      <c r="U180" s="625"/>
      <c r="V180" s="560"/>
      <c r="W180" s="606"/>
      <c r="X180" s="377"/>
      <c r="Y180" s="606"/>
      <c r="Z180" s="377"/>
      <c r="AA180" s="606"/>
      <c r="AB180" s="707"/>
      <c r="AC180" s="331"/>
      <c r="AD180" s="377"/>
      <c r="AE180" s="377"/>
      <c r="AF180" s="377"/>
      <c r="AG180" s="377"/>
      <c r="AH180" s="377"/>
      <c r="AI180" s="377"/>
      <c r="AJ180" s="377"/>
      <c r="AK180" s="377"/>
      <c r="AL180" s="377"/>
      <c r="AM180" s="377"/>
      <c r="AN180" s="377"/>
      <c r="AO180" s="377"/>
      <c r="AP180" s="377"/>
      <c r="AQ180" s="377"/>
      <c r="AR180" s="377"/>
      <c r="AS180" s="377"/>
      <c r="AT180" s="377"/>
      <c r="AU180" s="377"/>
      <c r="AV180" s="377"/>
      <c r="AW180" s="377"/>
      <c r="AX180" s="331"/>
    </row>
    <row r="181" spans="1:50" x14ac:dyDescent="0.2">
      <c r="A181" s="1050"/>
      <c r="B181" s="1019"/>
      <c r="C181" s="1051"/>
      <c r="D181" s="1040"/>
      <c r="E181" s="1270"/>
      <c r="F181" s="1267"/>
      <c r="G181" s="1115"/>
      <c r="H181" s="1104"/>
      <c r="I181" s="1046"/>
      <c r="J181" s="377"/>
      <c r="K181" s="701"/>
      <c r="L181" s="482"/>
      <c r="M181" s="851"/>
      <c r="N181" s="663"/>
      <c r="O181" s="651"/>
      <c r="P181" s="1008"/>
      <c r="Q181" s="1009"/>
      <c r="R181" s="375"/>
      <c r="S181" s="376"/>
      <c r="T181" s="375"/>
      <c r="U181" s="625"/>
      <c r="V181" s="560"/>
      <c r="W181" s="606"/>
      <c r="X181" s="377"/>
      <c r="Y181" s="606"/>
      <c r="Z181" s="377"/>
      <c r="AA181" s="606"/>
      <c r="AB181" s="707"/>
      <c r="AC181" s="331"/>
      <c r="AD181" s="377"/>
      <c r="AE181" s="377"/>
      <c r="AF181" s="377"/>
      <c r="AG181" s="377"/>
      <c r="AH181" s="377"/>
      <c r="AI181" s="377"/>
      <c r="AJ181" s="377"/>
      <c r="AK181" s="377"/>
      <c r="AL181" s="377"/>
      <c r="AM181" s="377"/>
      <c r="AN181" s="377"/>
      <c r="AO181" s="377"/>
      <c r="AP181" s="377"/>
      <c r="AQ181" s="377"/>
      <c r="AR181" s="377"/>
      <c r="AS181" s="377"/>
      <c r="AT181" s="377"/>
      <c r="AU181" s="377"/>
      <c r="AV181" s="377"/>
      <c r="AW181" s="377"/>
      <c r="AX181" s="331"/>
    </row>
    <row r="182" spans="1:50" x14ac:dyDescent="0.2">
      <c r="A182" s="1050"/>
      <c r="B182" s="1019"/>
      <c r="C182" s="1051"/>
      <c r="D182" s="1040"/>
      <c r="E182" s="1270"/>
      <c r="F182" s="1267"/>
      <c r="G182" s="1115"/>
      <c r="H182" s="1104"/>
      <c r="I182" s="1046"/>
      <c r="J182" s="377"/>
      <c r="K182" s="701"/>
      <c r="L182" s="482"/>
      <c r="M182" s="851"/>
      <c r="N182" s="663"/>
      <c r="O182" s="651"/>
      <c r="P182" s="1008"/>
      <c r="Q182" s="1009"/>
      <c r="R182" s="375"/>
      <c r="S182" s="376"/>
      <c r="T182" s="375"/>
      <c r="U182" s="625"/>
      <c r="V182" s="560"/>
      <c r="W182" s="606"/>
      <c r="X182" s="377"/>
      <c r="Y182" s="606"/>
      <c r="Z182" s="377"/>
      <c r="AA182" s="606"/>
      <c r="AB182" s="707"/>
      <c r="AC182" s="331"/>
      <c r="AD182" s="377"/>
      <c r="AE182" s="377"/>
      <c r="AF182" s="377"/>
      <c r="AG182" s="377"/>
      <c r="AH182" s="377"/>
      <c r="AI182" s="377"/>
      <c r="AJ182" s="377"/>
      <c r="AK182" s="377"/>
      <c r="AL182" s="377"/>
      <c r="AM182" s="377"/>
      <c r="AN182" s="377"/>
      <c r="AO182" s="377"/>
      <c r="AP182" s="377"/>
      <c r="AQ182" s="377"/>
      <c r="AR182" s="377"/>
      <c r="AS182" s="377"/>
      <c r="AT182" s="377"/>
      <c r="AU182" s="377"/>
      <c r="AV182" s="377"/>
      <c r="AW182" s="377"/>
      <c r="AX182" s="331"/>
    </row>
    <row r="183" spans="1:50" x14ac:dyDescent="0.2">
      <c r="A183" s="1050"/>
      <c r="B183" s="1042"/>
      <c r="C183" s="1051"/>
      <c r="D183" s="1040"/>
      <c r="E183" s="1270"/>
      <c r="F183" s="1267"/>
      <c r="G183" s="1115"/>
      <c r="H183" s="1104"/>
      <c r="I183" s="1046"/>
      <c r="J183" s="377"/>
      <c r="K183" s="701"/>
      <c r="L183" s="482"/>
      <c r="M183" s="851"/>
      <c r="N183" s="663"/>
      <c r="O183" s="651"/>
      <c r="P183" s="1008"/>
      <c r="Q183" s="1009"/>
      <c r="R183" s="375"/>
      <c r="S183" s="376"/>
      <c r="T183" s="375"/>
      <c r="U183" s="625"/>
      <c r="V183" s="560"/>
      <c r="W183" s="606"/>
      <c r="X183" s="377"/>
      <c r="Y183" s="606"/>
      <c r="Z183" s="377"/>
      <c r="AA183" s="606"/>
      <c r="AB183" s="707"/>
      <c r="AC183" s="331"/>
      <c r="AD183" s="377"/>
      <c r="AE183" s="377"/>
      <c r="AF183" s="377"/>
      <c r="AG183" s="377"/>
      <c r="AH183" s="377"/>
      <c r="AI183" s="377"/>
      <c r="AJ183" s="377"/>
      <c r="AK183" s="377"/>
      <c r="AL183" s="377"/>
      <c r="AM183" s="377"/>
      <c r="AN183" s="377"/>
      <c r="AO183" s="377"/>
      <c r="AP183" s="377"/>
      <c r="AQ183" s="377"/>
      <c r="AR183" s="377"/>
      <c r="AS183" s="377"/>
      <c r="AT183" s="377"/>
      <c r="AU183" s="377"/>
      <c r="AV183" s="377"/>
      <c r="AW183" s="377"/>
      <c r="AX183" s="331"/>
    </row>
    <row r="184" spans="1:50" x14ac:dyDescent="0.2">
      <c r="A184" s="1050"/>
      <c r="B184" s="1019"/>
      <c r="C184" s="1051"/>
      <c r="D184" s="1040"/>
      <c r="E184" s="1270"/>
      <c r="F184" s="1267"/>
      <c r="G184" s="1115"/>
      <c r="H184" s="1104"/>
      <c r="I184" s="1046"/>
      <c r="J184" s="377"/>
      <c r="K184" s="701"/>
      <c r="L184" s="482"/>
      <c r="M184" s="851"/>
      <c r="N184" s="663"/>
      <c r="O184" s="651"/>
      <c r="P184" s="1008"/>
      <c r="Q184" s="1009"/>
      <c r="R184" s="375"/>
      <c r="S184" s="376"/>
      <c r="T184" s="375"/>
      <c r="U184" s="625"/>
      <c r="V184" s="560"/>
      <c r="W184" s="606"/>
      <c r="X184" s="377"/>
      <c r="Y184" s="606"/>
      <c r="Z184" s="377"/>
      <c r="AA184" s="606"/>
      <c r="AB184" s="707"/>
      <c r="AC184" s="331"/>
      <c r="AD184" s="377"/>
      <c r="AE184" s="377"/>
      <c r="AF184" s="377"/>
      <c r="AG184" s="377"/>
      <c r="AH184" s="377"/>
      <c r="AI184" s="377"/>
      <c r="AJ184" s="377"/>
      <c r="AK184" s="377"/>
      <c r="AL184" s="377"/>
      <c r="AM184" s="377"/>
      <c r="AN184" s="377"/>
      <c r="AO184" s="377"/>
      <c r="AP184" s="377"/>
      <c r="AQ184" s="377"/>
      <c r="AR184" s="377"/>
      <c r="AS184" s="377"/>
      <c r="AT184" s="377"/>
      <c r="AU184" s="377"/>
      <c r="AV184" s="377"/>
      <c r="AW184" s="377"/>
      <c r="AX184" s="331"/>
    </row>
    <row r="185" spans="1:50" x14ac:dyDescent="0.2">
      <c r="A185" s="1050"/>
      <c r="B185" s="1019"/>
      <c r="C185" s="1051"/>
      <c r="D185" s="1040"/>
      <c r="E185" s="1270"/>
      <c r="F185" s="1267"/>
      <c r="G185" s="1115"/>
      <c r="H185" s="1104"/>
      <c r="I185" s="1046"/>
      <c r="J185" s="377"/>
      <c r="K185" s="701"/>
      <c r="L185" s="482"/>
      <c r="M185" s="851"/>
      <c r="N185" s="663"/>
      <c r="O185" s="651"/>
      <c r="P185" s="1008"/>
      <c r="Q185" s="1009"/>
      <c r="R185" s="375"/>
      <c r="S185" s="376"/>
      <c r="T185" s="375"/>
      <c r="U185" s="625"/>
      <c r="V185" s="560"/>
      <c r="W185" s="606"/>
      <c r="X185" s="377"/>
      <c r="Y185" s="606"/>
      <c r="Z185" s="377"/>
      <c r="AA185" s="606"/>
      <c r="AB185" s="707"/>
      <c r="AC185" s="331"/>
      <c r="AD185" s="377"/>
      <c r="AE185" s="377"/>
      <c r="AF185" s="377"/>
      <c r="AG185" s="377"/>
      <c r="AH185" s="377"/>
      <c r="AI185" s="377"/>
      <c r="AJ185" s="377"/>
      <c r="AK185" s="377"/>
      <c r="AL185" s="377"/>
      <c r="AM185" s="377"/>
      <c r="AN185" s="377"/>
      <c r="AO185" s="377"/>
      <c r="AP185" s="377"/>
      <c r="AQ185" s="377"/>
      <c r="AR185" s="377"/>
      <c r="AS185" s="377"/>
      <c r="AT185" s="377"/>
      <c r="AU185" s="377"/>
      <c r="AV185" s="377"/>
      <c r="AW185" s="377"/>
      <c r="AX185" s="331"/>
    </row>
    <row r="186" spans="1:50" x14ac:dyDescent="0.2">
      <c r="A186" s="1050"/>
      <c r="B186" s="1019"/>
      <c r="C186" s="1051"/>
      <c r="D186" s="1040"/>
      <c r="E186" s="1270"/>
      <c r="F186" s="1267"/>
      <c r="G186" s="1115"/>
      <c r="H186" s="1104"/>
      <c r="I186" s="1046"/>
      <c r="J186" s="377"/>
      <c r="K186" s="701"/>
      <c r="L186" s="482"/>
      <c r="M186" s="851"/>
      <c r="N186" s="663"/>
      <c r="O186" s="651"/>
      <c r="P186" s="1008"/>
      <c r="Q186" s="1009"/>
      <c r="R186" s="375"/>
      <c r="S186" s="376"/>
      <c r="T186" s="375"/>
      <c r="U186" s="625"/>
      <c r="V186" s="560"/>
      <c r="W186" s="606"/>
      <c r="X186" s="377"/>
      <c r="Y186" s="606"/>
      <c r="Z186" s="377"/>
      <c r="AA186" s="606"/>
      <c r="AB186" s="707"/>
      <c r="AC186" s="331"/>
      <c r="AD186" s="377"/>
      <c r="AE186" s="377"/>
      <c r="AF186" s="377"/>
      <c r="AG186" s="377"/>
      <c r="AH186" s="377"/>
      <c r="AI186" s="377"/>
      <c r="AJ186" s="377"/>
      <c r="AK186" s="377"/>
      <c r="AL186" s="377"/>
      <c r="AM186" s="377"/>
      <c r="AN186" s="377"/>
      <c r="AO186" s="377"/>
      <c r="AP186" s="377"/>
      <c r="AQ186" s="377"/>
      <c r="AR186" s="377"/>
      <c r="AS186" s="377"/>
      <c r="AT186" s="377"/>
      <c r="AU186" s="377"/>
      <c r="AV186" s="377"/>
      <c r="AW186" s="377"/>
      <c r="AX186" s="331"/>
    </row>
    <row r="187" spans="1:50" x14ac:dyDescent="0.2">
      <c r="A187" s="1050"/>
      <c r="B187" s="1019"/>
      <c r="C187" s="1051"/>
      <c r="D187" s="1040"/>
      <c r="E187" s="1270"/>
      <c r="F187" s="1267"/>
      <c r="G187" s="1115"/>
      <c r="H187" s="1104"/>
      <c r="I187" s="1046"/>
      <c r="J187" s="377"/>
      <c r="K187" s="701"/>
      <c r="L187" s="482"/>
      <c r="M187" s="851"/>
      <c r="N187" s="663"/>
      <c r="O187" s="651"/>
      <c r="P187" s="1008"/>
      <c r="Q187" s="1009"/>
      <c r="R187" s="375"/>
      <c r="S187" s="376"/>
      <c r="T187" s="375"/>
      <c r="U187" s="625"/>
      <c r="V187" s="560"/>
      <c r="W187" s="606"/>
      <c r="X187" s="377"/>
      <c r="Y187" s="606"/>
      <c r="Z187" s="377"/>
      <c r="AA187" s="606"/>
      <c r="AB187" s="707"/>
      <c r="AC187" s="331"/>
      <c r="AD187" s="377"/>
      <c r="AE187" s="377"/>
      <c r="AF187" s="377"/>
      <c r="AG187" s="377"/>
      <c r="AH187" s="377"/>
      <c r="AI187" s="377"/>
      <c r="AJ187" s="377"/>
      <c r="AK187" s="377"/>
      <c r="AL187" s="377"/>
      <c r="AM187" s="377"/>
      <c r="AN187" s="377"/>
      <c r="AO187" s="377"/>
      <c r="AP187" s="377"/>
      <c r="AQ187" s="377"/>
      <c r="AR187" s="377"/>
      <c r="AS187" s="377"/>
      <c r="AT187" s="377"/>
      <c r="AU187" s="377"/>
      <c r="AV187" s="377"/>
      <c r="AW187" s="377"/>
      <c r="AX187" s="331"/>
    </row>
    <row r="188" spans="1:50" x14ac:dyDescent="0.2">
      <c r="A188" s="1050"/>
      <c r="B188" s="1019"/>
      <c r="C188" s="1051"/>
      <c r="D188" s="1040"/>
      <c r="E188" s="1270"/>
      <c r="F188" s="1267"/>
      <c r="G188" s="1115"/>
      <c r="H188" s="1104"/>
      <c r="I188" s="1046"/>
      <c r="J188" s="377"/>
      <c r="K188" s="701"/>
      <c r="L188" s="482"/>
      <c r="M188" s="851"/>
      <c r="N188" s="663"/>
      <c r="O188" s="651"/>
      <c r="P188" s="1008"/>
      <c r="Q188" s="1009"/>
      <c r="R188" s="375"/>
      <c r="S188" s="376"/>
      <c r="T188" s="375"/>
      <c r="U188" s="625"/>
      <c r="V188" s="560"/>
      <c r="W188" s="606"/>
      <c r="X188" s="377"/>
      <c r="Y188" s="606"/>
      <c r="Z188" s="377"/>
      <c r="AA188" s="606"/>
      <c r="AB188" s="707"/>
      <c r="AC188" s="331"/>
      <c r="AD188" s="377"/>
      <c r="AE188" s="377"/>
      <c r="AF188" s="377"/>
      <c r="AG188" s="377"/>
      <c r="AH188" s="377"/>
      <c r="AI188" s="377"/>
      <c r="AJ188" s="377"/>
      <c r="AK188" s="377"/>
      <c r="AL188" s="377"/>
      <c r="AM188" s="377"/>
      <c r="AN188" s="377"/>
      <c r="AO188" s="377"/>
      <c r="AP188" s="377"/>
      <c r="AQ188" s="377"/>
      <c r="AR188" s="377"/>
      <c r="AS188" s="377"/>
      <c r="AT188" s="377"/>
      <c r="AU188" s="377"/>
      <c r="AV188" s="377"/>
      <c r="AW188" s="377"/>
      <c r="AX188" s="331"/>
    </row>
    <row r="189" spans="1:50" x14ac:dyDescent="0.2">
      <c r="A189" s="1050"/>
      <c r="B189" s="1019"/>
      <c r="C189" s="1051"/>
      <c r="D189" s="1040"/>
      <c r="E189" s="1270"/>
      <c r="F189" s="1267"/>
      <c r="G189" s="1115"/>
      <c r="H189" s="1104"/>
      <c r="I189" s="1046"/>
      <c r="J189" s="377"/>
      <c r="K189" s="701"/>
      <c r="L189" s="482"/>
      <c r="M189" s="851"/>
      <c r="N189" s="663"/>
      <c r="O189" s="651"/>
      <c r="P189" s="1008"/>
      <c r="Q189" s="1009"/>
      <c r="R189" s="375"/>
      <c r="S189" s="376"/>
      <c r="T189" s="375"/>
      <c r="U189" s="625"/>
      <c r="V189" s="560"/>
      <c r="W189" s="606"/>
      <c r="X189" s="377"/>
      <c r="Y189" s="606"/>
      <c r="Z189" s="377"/>
      <c r="AA189" s="606"/>
      <c r="AB189" s="707"/>
      <c r="AC189" s="331"/>
      <c r="AD189" s="377"/>
      <c r="AE189" s="377"/>
      <c r="AF189" s="377"/>
      <c r="AG189" s="377"/>
      <c r="AH189" s="377"/>
      <c r="AI189" s="377"/>
      <c r="AJ189" s="377"/>
      <c r="AK189" s="377"/>
      <c r="AL189" s="377"/>
      <c r="AM189" s="377"/>
      <c r="AN189" s="377"/>
      <c r="AO189" s="377"/>
      <c r="AP189" s="377"/>
      <c r="AQ189" s="377"/>
      <c r="AR189" s="377"/>
      <c r="AS189" s="377"/>
      <c r="AT189" s="377"/>
      <c r="AU189" s="377"/>
      <c r="AV189" s="377"/>
      <c r="AW189" s="377"/>
      <c r="AX189" s="331"/>
    </row>
    <row r="190" spans="1:50" x14ac:dyDescent="0.2">
      <c r="A190" s="1050"/>
      <c r="B190" s="1019"/>
      <c r="C190" s="1051"/>
      <c r="D190" s="1040"/>
      <c r="E190" s="1270"/>
      <c r="F190" s="1267"/>
      <c r="G190" s="1115"/>
      <c r="H190" s="1104"/>
      <c r="I190" s="1046"/>
      <c r="J190" s="377"/>
      <c r="K190" s="701"/>
      <c r="L190" s="482"/>
      <c r="M190" s="851"/>
      <c r="N190" s="663"/>
      <c r="O190" s="651"/>
      <c r="P190" s="1008"/>
      <c r="Q190" s="1009"/>
      <c r="R190" s="375"/>
      <c r="S190" s="376"/>
      <c r="T190" s="375"/>
      <c r="U190" s="625"/>
      <c r="V190" s="560"/>
      <c r="W190" s="606"/>
      <c r="X190" s="377"/>
      <c r="Y190" s="606"/>
      <c r="Z190" s="377"/>
      <c r="AA190" s="606"/>
      <c r="AB190" s="707"/>
      <c r="AC190" s="331"/>
      <c r="AD190" s="377"/>
      <c r="AE190" s="377"/>
      <c r="AF190" s="377"/>
      <c r="AG190" s="377"/>
      <c r="AH190" s="377"/>
      <c r="AI190" s="377"/>
      <c r="AJ190" s="377"/>
      <c r="AK190" s="377"/>
      <c r="AL190" s="377"/>
      <c r="AM190" s="377"/>
      <c r="AN190" s="377"/>
      <c r="AO190" s="377"/>
      <c r="AP190" s="377"/>
      <c r="AQ190" s="377"/>
      <c r="AR190" s="377"/>
      <c r="AS190" s="377"/>
      <c r="AT190" s="377"/>
      <c r="AU190" s="377"/>
      <c r="AV190" s="377"/>
      <c r="AW190" s="377"/>
      <c r="AX190" s="331"/>
    </row>
    <row r="191" spans="1:50" x14ac:dyDescent="0.2">
      <c r="A191" s="1050"/>
      <c r="B191" s="1042"/>
      <c r="C191" s="1051"/>
      <c r="D191" s="1040"/>
      <c r="E191" s="1270"/>
      <c r="F191" s="1267"/>
      <c r="G191" s="1115"/>
      <c r="H191" s="1104"/>
      <c r="I191" s="1046"/>
      <c r="J191" s="377"/>
      <c r="K191" s="701"/>
      <c r="L191" s="482"/>
      <c r="M191" s="851"/>
      <c r="N191" s="663"/>
      <c r="O191" s="651"/>
      <c r="P191" s="1008"/>
      <c r="Q191" s="1009"/>
      <c r="R191" s="375"/>
      <c r="S191" s="376"/>
      <c r="T191" s="375"/>
      <c r="U191" s="625"/>
      <c r="V191" s="560"/>
      <c r="W191" s="606"/>
      <c r="X191" s="377"/>
      <c r="Y191" s="606"/>
      <c r="Z191" s="377"/>
      <c r="AA191" s="606"/>
      <c r="AB191" s="707"/>
      <c r="AC191" s="331"/>
      <c r="AD191" s="377"/>
      <c r="AE191" s="377"/>
      <c r="AF191" s="377"/>
      <c r="AG191" s="377"/>
      <c r="AH191" s="377"/>
      <c r="AI191" s="377"/>
      <c r="AJ191" s="377"/>
      <c r="AK191" s="377"/>
      <c r="AL191" s="377"/>
      <c r="AM191" s="377"/>
      <c r="AN191" s="377"/>
      <c r="AO191" s="377"/>
      <c r="AP191" s="377"/>
      <c r="AQ191" s="377"/>
      <c r="AR191" s="377"/>
      <c r="AS191" s="377"/>
      <c r="AT191" s="377"/>
      <c r="AU191" s="377"/>
      <c r="AV191" s="377"/>
      <c r="AW191" s="377"/>
      <c r="AX191" s="331"/>
    </row>
    <row r="192" spans="1:50" x14ac:dyDescent="0.2">
      <c r="A192" s="1050"/>
      <c r="B192" s="1019"/>
      <c r="C192" s="1051"/>
      <c r="D192" s="1040"/>
      <c r="E192" s="1270"/>
      <c r="F192" s="1267"/>
      <c r="G192" s="1115"/>
      <c r="H192" s="1104"/>
      <c r="I192" s="1046"/>
      <c r="J192" s="377"/>
      <c r="K192" s="701"/>
      <c r="L192" s="482"/>
      <c r="M192" s="851"/>
      <c r="N192" s="663"/>
      <c r="O192" s="651"/>
      <c r="P192" s="1008"/>
      <c r="Q192" s="1009"/>
      <c r="R192" s="375"/>
      <c r="S192" s="376"/>
      <c r="T192" s="375"/>
      <c r="U192" s="625"/>
      <c r="V192" s="560"/>
      <c r="W192" s="606"/>
      <c r="X192" s="377"/>
      <c r="Y192" s="606"/>
      <c r="Z192" s="377"/>
      <c r="AA192" s="606"/>
      <c r="AB192" s="707"/>
      <c r="AC192" s="331"/>
      <c r="AD192" s="377"/>
      <c r="AE192" s="377"/>
      <c r="AF192" s="377"/>
      <c r="AG192" s="377"/>
      <c r="AH192" s="377"/>
      <c r="AI192" s="377"/>
      <c r="AJ192" s="377"/>
      <c r="AK192" s="377"/>
      <c r="AL192" s="377"/>
      <c r="AM192" s="377"/>
      <c r="AN192" s="377"/>
      <c r="AO192" s="377"/>
      <c r="AP192" s="377"/>
      <c r="AQ192" s="377"/>
      <c r="AR192" s="377"/>
      <c r="AS192" s="377"/>
      <c r="AT192" s="377"/>
      <c r="AU192" s="377"/>
      <c r="AV192" s="377"/>
      <c r="AW192" s="377"/>
      <c r="AX192" s="331"/>
    </row>
    <row r="193" spans="1:50" x14ac:dyDescent="0.2">
      <c r="A193" s="1050"/>
      <c r="B193" s="1019"/>
      <c r="C193" s="1051"/>
      <c r="D193" s="1040"/>
      <c r="E193" s="1270"/>
      <c r="F193" s="1267"/>
      <c r="G193" s="1115"/>
      <c r="H193" s="1104"/>
      <c r="I193" s="1046"/>
      <c r="J193" s="377"/>
      <c r="K193" s="701"/>
      <c r="L193" s="482"/>
      <c r="M193" s="851"/>
      <c r="N193" s="663"/>
      <c r="O193" s="651"/>
      <c r="P193" s="1008"/>
      <c r="Q193" s="1009"/>
      <c r="R193" s="375"/>
      <c r="S193" s="376"/>
      <c r="T193" s="375"/>
      <c r="U193" s="625"/>
      <c r="V193" s="560"/>
      <c r="W193" s="606"/>
      <c r="X193" s="377"/>
      <c r="Y193" s="606"/>
      <c r="Z193" s="377"/>
      <c r="AA193" s="606"/>
      <c r="AB193" s="707"/>
      <c r="AC193" s="331"/>
      <c r="AD193" s="377"/>
      <c r="AE193" s="377"/>
      <c r="AF193" s="377"/>
      <c r="AG193" s="377"/>
      <c r="AH193" s="377"/>
      <c r="AI193" s="377"/>
      <c r="AJ193" s="377"/>
      <c r="AK193" s="377"/>
      <c r="AL193" s="377"/>
      <c r="AM193" s="377"/>
      <c r="AN193" s="377"/>
      <c r="AO193" s="377"/>
      <c r="AP193" s="377"/>
      <c r="AQ193" s="377"/>
      <c r="AR193" s="377"/>
      <c r="AS193" s="377"/>
      <c r="AT193" s="377"/>
      <c r="AU193" s="377"/>
      <c r="AV193" s="377"/>
      <c r="AW193" s="377"/>
      <c r="AX193" s="331"/>
    </row>
    <row r="194" spans="1:50" x14ac:dyDescent="0.2">
      <c r="A194" s="1050"/>
      <c r="B194" s="1019"/>
      <c r="C194" s="1051"/>
      <c r="D194" s="1040"/>
      <c r="E194" s="1270"/>
      <c r="F194" s="1267"/>
      <c r="G194" s="1115"/>
      <c r="H194" s="1104"/>
      <c r="I194" s="1046"/>
      <c r="J194" s="377"/>
      <c r="K194" s="701"/>
      <c r="L194" s="482"/>
      <c r="M194" s="851"/>
      <c r="N194" s="663"/>
      <c r="O194" s="651"/>
      <c r="P194" s="1008"/>
      <c r="Q194" s="1009"/>
      <c r="R194" s="375"/>
      <c r="S194" s="376"/>
      <c r="T194" s="375"/>
      <c r="U194" s="625"/>
      <c r="V194" s="560"/>
      <c r="W194" s="606"/>
      <c r="X194" s="377"/>
      <c r="Y194" s="606"/>
      <c r="Z194" s="377"/>
      <c r="AA194" s="606"/>
      <c r="AB194" s="707"/>
      <c r="AC194" s="331"/>
      <c r="AD194" s="377"/>
      <c r="AE194" s="377"/>
      <c r="AF194" s="377"/>
      <c r="AG194" s="377"/>
      <c r="AH194" s="377"/>
      <c r="AI194" s="377"/>
      <c r="AJ194" s="377"/>
      <c r="AK194" s="377"/>
      <c r="AL194" s="377"/>
      <c r="AM194" s="377"/>
      <c r="AN194" s="377"/>
      <c r="AO194" s="377"/>
      <c r="AP194" s="377"/>
      <c r="AQ194" s="377"/>
      <c r="AR194" s="377"/>
      <c r="AS194" s="377"/>
      <c r="AT194" s="377"/>
      <c r="AU194" s="377"/>
      <c r="AV194" s="377"/>
      <c r="AW194" s="377"/>
      <c r="AX194" s="331"/>
    </row>
    <row r="195" spans="1:50" x14ac:dyDescent="0.2">
      <c r="A195" s="1050"/>
      <c r="B195" s="1019"/>
      <c r="C195" s="1051"/>
      <c r="D195" s="1040"/>
      <c r="E195" s="1270"/>
      <c r="F195" s="1267"/>
      <c r="G195" s="1115"/>
      <c r="H195" s="1104"/>
      <c r="I195" s="1046"/>
      <c r="J195" s="377"/>
      <c r="K195" s="701"/>
      <c r="L195" s="482"/>
      <c r="M195" s="851"/>
      <c r="N195" s="663"/>
      <c r="O195" s="651"/>
      <c r="P195" s="1008"/>
      <c r="Q195" s="1009"/>
      <c r="R195" s="375"/>
      <c r="S195" s="376"/>
      <c r="T195" s="375"/>
      <c r="U195" s="625"/>
      <c r="V195" s="560"/>
      <c r="W195" s="606"/>
      <c r="X195" s="377"/>
      <c r="Y195" s="606"/>
      <c r="Z195" s="377"/>
      <c r="AA195" s="606"/>
      <c r="AB195" s="707"/>
      <c r="AC195" s="331"/>
      <c r="AD195" s="377"/>
      <c r="AE195" s="377"/>
      <c r="AF195" s="377"/>
      <c r="AG195" s="377"/>
      <c r="AH195" s="377"/>
      <c r="AI195" s="377"/>
      <c r="AJ195" s="377"/>
      <c r="AK195" s="377"/>
      <c r="AL195" s="377"/>
      <c r="AM195" s="377"/>
      <c r="AN195" s="377"/>
      <c r="AO195" s="377"/>
      <c r="AP195" s="377"/>
      <c r="AQ195" s="377"/>
      <c r="AR195" s="377"/>
      <c r="AS195" s="377"/>
      <c r="AT195" s="377"/>
      <c r="AU195" s="377"/>
      <c r="AV195" s="377"/>
      <c r="AW195" s="377"/>
      <c r="AX195" s="331"/>
    </row>
    <row r="196" spans="1:50" x14ac:dyDescent="0.2">
      <c r="A196" s="1050"/>
      <c r="B196" s="1019"/>
      <c r="C196" s="1051"/>
      <c r="D196" s="1040"/>
      <c r="E196" s="1270"/>
      <c r="F196" s="1267"/>
      <c r="G196" s="1115"/>
      <c r="H196" s="1104"/>
      <c r="I196" s="1046"/>
      <c r="J196" s="377"/>
      <c r="K196" s="701"/>
      <c r="L196" s="482"/>
      <c r="M196" s="851"/>
      <c r="N196" s="663"/>
      <c r="O196" s="651"/>
      <c r="P196" s="1008"/>
      <c r="Q196" s="1009"/>
      <c r="R196" s="375"/>
      <c r="S196" s="376"/>
      <c r="T196" s="375"/>
      <c r="U196" s="625"/>
      <c r="V196" s="560"/>
      <c r="W196" s="606"/>
      <c r="X196" s="377"/>
      <c r="Y196" s="606"/>
      <c r="Z196" s="377"/>
      <c r="AA196" s="606"/>
      <c r="AB196" s="707"/>
      <c r="AC196" s="331"/>
      <c r="AD196" s="377"/>
      <c r="AE196" s="377"/>
      <c r="AF196" s="377"/>
      <c r="AG196" s="377"/>
      <c r="AH196" s="377"/>
      <c r="AI196" s="377"/>
      <c r="AJ196" s="377"/>
      <c r="AK196" s="377"/>
      <c r="AL196" s="377"/>
      <c r="AM196" s="377"/>
      <c r="AN196" s="377"/>
      <c r="AO196" s="377"/>
      <c r="AP196" s="377"/>
      <c r="AQ196" s="377"/>
      <c r="AR196" s="377"/>
      <c r="AS196" s="377"/>
      <c r="AT196" s="377"/>
      <c r="AU196" s="377"/>
      <c r="AV196" s="377"/>
      <c r="AW196" s="377"/>
      <c r="AX196" s="331"/>
    </row>
    <row r="197" spans="1:50" x14ac:dyDescent="0.2">
      <c r="A197" s="1050"/>
      <c r="B197" s="1019"/>
      <c r="C197" s="1051"/>
      <c r="D197" s="1040"/>
      <c r="E197" s="1270"/>
      <c r="F197" s="1267"/>
      <c r="G197" s="1115"/>
      <c r="H197" s="1104"/>
      <c r="I197" s="1046"/>
      <c r="J197" s="377"/>
      <c r="K197" s="701"/>
      <c r="L197" s="482"/>
      <c r="M197" s="851"/>
      <c r="N197" s="663"/>
      <c r="O197" s="651"/>
      <c r="P197" s="1008"/>
      <c r="Q197" s="1009"/>
      <c r="R197" s="375"/>
      <c r="S197" s="376"/>
      <c r="T197" s="375"/>
      <c r="U197" s="625"/>
      <c r="V197" s="560"/>
      <c r="W197" s="606"/>
      <c r="X197" s="377"/>
      <c r="Y197" s="606"/>
      <c r="Z197" s="377"/>
      <c r="AA197" s="606"/>
      <c r="AB197" s="707"/>
      <c r="AC197" s="331"/>
      <c r="AD197" s="377"/>
      <c r="AE197" s="377"/>
      <c r="AF197" s="377"/>
      <c r="AG197" s="377"/>
      <c r="AH197" s="377"/>
      <c r="AI197" s="377"/>
      <c r="AJ197" s="377"/>
      <c r="AK197" s="377"/>
      <c r="AL197" s="377"/>
      <c r="AM197" s="377"/>
      <c r="AN197" s="377"/>
      <c r="AO197" s="377"/>
      <c r="AP197" s="377"/>
      <c r="AQ197" s="377"/>
      <c r="AR197" s="377"/>
      <c r="AS197" s="377"/>
      <c r="AT197" s="377"/>
      <c r="AU197" s="377"/>
      <c r="AV197" s="377"/>
      <c r="AW197" s="377"/>
      <c r="AX197" s="331"/>
    </row>
    <row r="198" spans="1:50" x14ac:dyDescent="0.2">
      <c r="A198" s="1050"/>
      <c r="B198" s="1019"/>
      <c r="C198" s="1051"/>
      <c r="D198" s="1040"/>
      <c r="E198" s="1270"/>
      <c r="F198" s="1267"/>
      <c r="G198" s="1115"/>
      <c r="H198" s="1104"/>
      <c r="I198" s="1046"/>
      <c r="J198" s="377"/>
      <c r="K198" s="701"/>
      <c r="L198" s="482"/>
      <c r="M198" s="851"/>
      <c r="N198" s="663"/>
      <c r="O198" s="651"/>
      <c r="P198" s="1008"/>
      <c r="Q198" s="1009"/>
      <c r="R198" s="375"/>
      <c r="S198" s="376"/>
      <c r="T198" s="375"/>
      <c r="U198" s="625"/>
      <c r="V198" s="560"/>
      <c r="W198" s="606"/>
      <c r="X198" s="377"/>
      <c r="Y198" s="606"/>
      <c r="Z198" s="377"/>
      <c r="AA198" s="606"/>
      <c r="AB198" s="707"/>
      <c r="AC198" s="331"/>
      <c r="AD198" s="377"/>
      <c r="AE198" s="377"/>
      <c r="AF198" s="377"/>
      <c r="AG198" s="377"/>
      <c r="AH198" s="377"/>
      <c r="AI198" s="377"/>
      <c r="AJ198" s="377"/>
      <c r="AK198" s="377"/>
      <c r="AL198" s="377"/>
      <c r="AM198" s="377"/>
      <c r="AN198" s="377"/>
      <c r="AO198" s="377"/>
      <c r="AP198" s="377"/>
      <c r="AQ198" s="377"/>
      <c r="AR198" s="377"/>
      <c r="AS198" s="377"/>
      <c r="AT198" s="377"/>
      <c r="AU198" s="377"/>
      <c r="AV198" s="377"/>
      <c r="AW198" s="377"/>
      <c r="AX198" s="331"/>
    </row>
    <row r="199" spans="1:50" x14ac:dyDescent="0.2">
      <c r="A199" s="1050"/>
      <c r="B199" s="1019"/>
      <c r="C199" s="1051"/>
      <c r="D199" s="1040"/>
      <c r="E199" s="1270"/>
      <c r="F199" s="1267"/>
      <c r="G199" s="1115"/>
      <c r="H199" s="1104"/>
      <c r="I199" s="1046"/>
      <c r="J199" s="377"/>
      <c r="K199" s="701"/>
      <c r="L199" s="482"/>
      <c r="M199" s="851"/>
      <c r="N199" s="663"/>
      <c r="O199" s="651"/>
      <c r="P199" s="1008"/>
      <c r="Q199" s="1009"/>
      <c r="R199" s="375"/>
      <c r="S199" s="376"/>
      <c r="T199" s="375"/>
      <c r="U199" s="625"/>
      <c r="V199" s="560"/>
      <c r="W199" s="606"/>
      <c r="X199" s="377"/>
      <c r="Y199" s="606"/>
      <c r="Z199" s="377"/>
      <c r="AA199" s="606"/>
      <c r="AB199" s="707"/>
      <c r="AC199" s="331"/>
      <c r="AD199" s="377"/>
      <c r="AE199" s="377"/>
      <c r="AF199" s="377"/>
      <c r="AG199" s="377"/>
      <c r="AH199" s="377"/>
      <c r="AI199" s="377"/>
      <c r="AJ199" s="377"/>
      <c r="AK199" s="377"/>
      <c r="AL199" s="377"/>
      <c r="AM199" s="377"/>
      <c r="AN199" s="377"/>
      <c r="AO199" s="377"/>
      <c r="AP199" s="377"/>
      <c r="AQ199" s="377"/>
      <c r="AR199" s="377"/>
      <c r="AS199" s="377"/>
      <c r="AT199" s="377"/>
      <c r="AU199" s="377"/>
      <c r="AV199" s="377"/>
      <c r="AW199" s="377"/>
      <c r="AX199" s="331"/>
    </row>
    <row r="200" spans="1:50" x14ac:dyDescent="0.2">
      <c r="A200" s="1050"/>
      <c r="B200" s="1042"/>
      <c r="C200" s="1051"/>
      <c r="D200" s="1040"/>
      <c r="E200" s="1270"/>
      <c r="F200" s="1267"/>
      <c r="G200" s="1115"/>
      <c r="H200" s="1104"/>
      <c r="I200" s="1046"/>
      <c r="J200" s="377"/>
      <c r="K200" s="701"/>
      <c r="L200" s="482"/>
      <c r="M200" s="851"/>
      <c r="N200" s="663"/>
      <c r="O200" s="651"/>
      <c r="P200" s="1008"/>
      <c r="Q200" s="1009"/>
      <c r="R200" s="375"/>
      <c r="S200" s="376"/>
      <c r="T200" s="375"/>
      <c r="U200" s="625"/>
      <c r="V200" s="560"/>
      <c r="W200" s="606"/>
      <c r="X200" s="377"/>
      <c r="Y200" s="606"/>
      <c r="Z200" s="377"/>
      <c r="AA200" s="606"/>
      <c r="AB200" s="707"/>
      <c r="AC200" s="331"/>
      <c r="AD200" s="377"/>
      <c r="AE200" s="377"/>
      <c r="AF200" s="377"/>
      <c r="AG200" s="377"/>
      <c r="AH200" s="377"/>
      <c r="AI200" s="377"/>
      <c r="AJ200" s="377"/>
      <c r="AK200" s="377"/>
      <c r="AL200" s="377"/>
      <c r="AM200" s="377"/>
      <c r="AN200" s="377"/>
      <c r="AO200" s="377"/>
      <c r="AP200" s="377"/>
      <c r="AQ200" s="377"/>
      <c r="AR200" s="377"/>
      <c r="AS200" s="377"/>
      <c r="AT200" s="377"/>
      <c r="AU200" s="377"/>
      <c r="AV200" s="377"/>
      <c r="AW200" s="377"/>
      <c r="AX200" s="331"/>
    </row>
    <row r="201" spans="1:50" x14ac:dyDescent="0.2">
      <c r="A201" s="1050"/>
      <c r="B201" s="1042"/>
      <c r="C201" s="1051"/>
      <c r="D201" s="1040"/>
      <c r="E201" s="1270"/>
      <c r="F201" s="1267"/>
      <c r="G201" s="1115"/>
      <c r="H201" s="1104"/>
      <c r="I201" s="1046"/>
      <c r="J201" s="377"/>
      <c r="K201" s="701"/>
      <c r="L201" s="482"/>
      <c r="M201" s="851"/>
      <c r="N201" s="663"/>
      <c r="O201" s="651"/>
      <c r="P201" s="1008"/>
      <c r="Q201" s="1009"/>
      <c r="R201" s="375"/>
      <c r="S201" s="376"/>
      <c r="T201" s="375"/>
      <c r="U201" s="625"/>
      <c r="V201" s="560"/>
      <c r="W201" s="606"/>
      <c r="X201" s="377"/>
      <c r="Y201" s="606"/>
      <c r="Z201" s="377"/>
      <c r="AA201" s="606"/>
      <c r="AB201" s="707"/>
      <c r="AC201" s="331"/>
      <c r="AD201" s="377"/>
      <c r="AE201" s="377"/>
      <c r="AF201" s="377"/>
      <c r="AG201" s="377"/>
      <c r="AH201" s="377"/>
      <c r="AI201" s="377"/>
      <c r="AJ201" s="377"/>
      <c r="AK201" s="377"/>
      <c r="AL201" s="377"/>
      <c r="AM201" s="377"/>
      <c r="AN201" s="377"/>
      <c r="AO201" s="377"/>
      <c r="AP201" s="377"/>
      <c r="AQ201" s="377"/>
      <c r="AR201" s="377"/>
      <c r="AS201" s="377"/>
      <c r="AT201" s="377"/>
      <c r="AU201" s="377"/>
      <c r="AV201" s="377"/>
      <c r="AW201" s="377"/>
      <c r="AX201" s="331"/>
    </row>
    <row r="202" spans="1:50" x14ac:dyDescent="0.2">
      <c r="A202" s="1050"/>
      <c r="B202" s="1019"/>
      <c r="C202" s="1051"/>
      <c r="D202" s="1040"/>
      <c r="E202" s="1270"/>
      <c r="F202" s="1267"/>
      <c r="G202" s="1115"/>
      <c r="H202" s="1104"/>
      <c r="I202" s="1046"/>
      <c r="J202" s="377"/>
      <c r="K202" s="701"/>
      <c r="L202" s="482"/>
      <c r="M202" s="851"/>
      <c r="N202" s="663"/>
      <c r="O202" s="651"/>
      <c r="P202" s="1008"/>
      <c r="Q202" s="1009"/>
      <c r="R202" s="375"/>
      <c r="S202" s="376"/>
      <c r="T202" s="375"/>
      <c r="U202" s="625"/>
      <c r="V202" s="560"/>
      <c r="W202" s="606"/>
      <c r="X202" s="377"/>
      <c r="Y202" s="606"/>
      <c r="Z202" s="377"/>
      <c r="AA202" s="606"/>
      <c r="AB202" s="707"/>
      <c r="AC202" s="331"/>
      <c r="AD202" s="377"/>
      <c r="AE202" s="377"/>
      <c r="AF202" s="377"/>
      <c r="AG202" s="377"/>
      <c r="AH202" s="377"/>
      <c r="AI202" s="377"/>
      <c r="AJ202" s="377"/>
      <c r="AK202" s="377"/>
      <c r="AL202" s="377"/>
      <c r="AM202" s="377"/>
      <c r="AN202" s="377"/>
      <c r="AO202" s="377"/>
      <c r="AP202" s="377"/>
      <c r="AQ202" s="377"/>
      <c r="AR202" s="377"/>
      <c r="AS202" s="377"/>
      <c r="AT202" s="377"/>
      <c r="AU202" s="377"/>
      <c r="AV202" s="377"/>
      <c r="AW202" s="377"/>
      <c r="AX202" s="331"/>
    </row>
    <row r="203" spans="1:50" x14ac:dyDescent="0.2">
      <c r="A203" s="1050"/>
      <c r="B203" s="1019"/>
      <c r="C203" s="1051"/>
      <c r="D203" s="1040"/>
      <c r="E203" s="1270"/>
      <c r="F203" s="1267"/>
      <c r="G203" s="1115"/>
      <c r="H203" s="1104"/>
      <c r="I203" s="1046"/>
      <c r="J203" s="377"/>
      <c r="K203" s="701"/>
      <c r="L203" s="482"/>
      <c r="M203" s="851"/>
      <c r="N203" s="663"/>
      <c r="O203" s="651"/>
      <c r="P203" s="1008"/>
      <c r="Q203" s="1009"/>
      <c r="R203" s="375"/>
      <c r="S203" s="376"/>
      <c r="T203" s="375"/>
      <c r="U203" s="625"/>
      <c r="V203" s="560"/>
      <c r="W203" s="606"/>
      <c r="X203" s="377"/>
      <c r="Y203" s="606"/>
      <c r="Z203" s="377"/>
      <c r="AA203" s="606"/>
      <c r="AB203" s="707"/>
      <c r="AC203" s="331"/>
      <c r="AD203" s="377"/>
      <c r="AE203" s="377"/>
      <c r="AF203" s="377"/>
      <c r="AG203" s="377"/>
      <c r="AH203" s="377"/>
      <c r="AI203" s="377"/>
      <c r="AJ203" s="377"/>
      <c r="AK203" s="377"/>
      <c r="AL203" s="377"/>
      <c r="AM203" s="377"/>
      <c r="AN203" s="377"/>
      <c r="AO203" s="377"/>
      <c r="AP203" s="377"/>
      <c r="AQ203" s="377"/>
      <c r="AR203" s="377"/>
      <c r="AS203" s="377"/>
      <c r="AT203" s="377"/>
      <c r="AU203" s="377"/>
      <c r="AV203" s="377"/>
      <c r="AW203" s="377"/>
      <c r="AX203" s="331"/>
    </row>
    <row r="204" spans="1:50" x14ac:dyDescent="0.2">
      <c r="A204" s="1050"/>
      <c r="B204" s="1019"/>
      <c r="C204" s="1051"/>
      <c r="D204" s="1040"/>
      <c r="E204" s="1270"/>
      <c r="F204" s="1267"/>
      <c r="G204" s="1115"/>
      <c r="H204" s="1104"/>
      <c r="I204" s="1046"/>
      <c r="J204" s="377"/>
      <c r="K204" s="701"/>
      <c r="L204" s="482"/>
      <c r="M204" s="851"/>
      <c r="N204" s="663"/>
      <c r="O204" s="651"/>
      <c r="P204" s="1008"/>
      <c r="Q204" s="1009"/>
      <c r="R204" s="375"/>
      <c r="S204" s="376"/>
      <c r="T204" s="375"/>
      <c r="U204" s="625"/>
      <c r="V204" s="560"/>
      <c r="W204" s="606"/>
      <c r="X204" s="377"/>
      <c r="Y204" s="606"/>
      <c r="Z204" s="377"/>
      <c r="AA204" s="606"/>
      <c r="AB204" s="707"/>
      <c r="AC204" s="331"/>
      <c r="AD204" s="377"/>
      <c r="AE204" s="377"/>
      <c r="AF204" s="377"/>
      <c r="AG204" s="377"/>
      <c r="AH204" s="377"/>
      <c r="AI204" s="377"/>
      <c r="AJ204" s="377"/>
      <c r="AK204" s="377"/>
      <c r="AL204" s="377"/>
      <c r="AM204" s="377"/>
      <c r="AN204" s="377"/>
      <c r="AO204" s="377"/>
      <c r="AP204" s="377"/>
      <c r="AQ204" s="377"/>
      <c r="AR204" s="377"/>
      <c r="AS204" s="377"/>
      <c r="AT204" s="377"/>
      <c r="AU204" s="377"/>
      <c r="AV204" s="377"/>
      <c r="AW204" s="377"/>
      <c r="AX204" s="331"/>
    </row>
    <row r="205" spans="1:50" x14ac:dyDescent="0.2">
      <c r="A205" s="1050"/>
      <c r="B205" s="1019"/>
      <c r="C205" s="1051"/>
      <c r="D205" s="1040"/>
      <c r="E205" s="1270"/>
      <c r="F205" s="1267"/>
      <c r="G205" s="1115"/>
      <c r="H205" s="1104"/>
      <c r="I205" s="1046"/>
      <c r="J205" s="377"/>
      <c r="K205" s="701"/>
      <c r="L205" s="482"/>
      <c r="M205" s="851"/>
      <c r="N205" s="663"/>
      <c r="O205" s="651"/>
      <c r="P205" s="1008"/>
      <c r="Q205" s="1009"/>
      <c r="R205" s="375"/>
      <c r="S205" s="376"/>
      <c r="T205" s="375"/>
      <c r="U205" s="625"/>
      <c r="V205" s="560"/>
      <c r="W205" s="606"/>
      <c r="X205" s="377"/>
      <c r="Y205" s="606"/>
      <c r="Z205" s="377"/>
      <c r="AA205" s="606"/>
      <c r="AB205" s="707"/>
      <c r="AC205" s="331"/>
      <c r="AD205" s="377"/>
      <c r="AE205" s="377"/>
      <c r="AF205" s="377"/>
      <c r="AG205" s="377"/>
      <c r="AH205" s="377"/>
      <c r="AI205" s="377"/>
      <c r="AJ205" s="377"/>
      <c r="AK205" s="377"/>
      <c r="AL205" s="377"/>
      <c r="AM205" s="377"/>
      <c r="AN205" s="377"/>
      <c r="AO205" s="377"/>
      <c r="AP205" s="377"/>
      <c r="AQ205" s="377"/>
      <c r="AR205" s="377"/>
      <c r="AS205" s="377"/>
      <c r="AT205" s="377"/>
      <c r="AU205" s="377"/>
      <c r="AV205" s="377"/>
      <c r="AW205" s="377"/>
      <c r="AX205" s="331"/>
    </row>
    <row r="206" spans="1:50" x14ac:dyDescent="0.2">
      <c r="A206" s="1050"/>
      <c r="B206" s="1019"/>
      <c r="C206" s="1051"/>
      <c r="D206" s="1040"/>
      <c r="E206" s="1270"/>
      <c r="F206" s="1267"/>
      <c r="G206" s="1115"/>
      <c r="H206" s="1104"/>
      <c r="I206" s="1046"/>
      <c r="J206" s="377"/>
      <c r="K206" s="701"/>
      <c r="L206" s="482"/>
      <c r="M206" s="851"/>
      <c r="N206" s="663"/>
      <c r="O206" s="651"/>
      <c r="P206" s="1008"/>
      <c r="Q206" s="1009"/>
      <c r="R206" s="375"/>
      <c r="S206" s="376"/>
      <c r="T206" s="375"/>
      <c r="U206" s="625"/>
      <c r="V206" s="560"/>
      <c r="W206" s="606"/>
      <c r="X206" s="377"/>
      <c r="Y206" s="606"/>
      <c r="Z206" s="377"/>
      <c r="AA206" s="606"/>
      <c r="AB206" s="707"/>
      <c r="AC206" s="331"/>
      <c r="AD206" s="377"/>
      <c r="AE206" s="377"/>
      <c r="AF206" s="377"/>
      <c r="AG206" s="377"/>
      <c r="AH206" s="377"/>
      <c r="AI206" s="377"/>
      <c r="AJ206" s="377"/>
      <c r="AK206" s="377"/>
      <c r="AL206" s="377"/>
      <c r="AM206" s="377"/>
      <c r="AN206" s="377"/>
      <c r="AO206" s="377"/>
      <c r="AP206" s="377"/>
      <c r="AQ206" s="377"/>
      <c r="AR206" s="377"/>
      <c r="AS206" s="377"/>
      <c r="AT206" s="377"/>
      <c r="AU206" s="377"/>
      <c r="AV206" s="377"/>
      <c r="AW206" s="377"/>
      <c r="AX206" s="331"/>
    </row>
    <row r="207" spans="1:50" x14ac:dyDescent="0.2">
      <c r="A207" s="1050"/>
      <c r="B207" s="1019"/>
      <c r="C207" s="1051"/>
      <c r="D207" s="1040"/>
      <c r="E207" s="1270"/>
      <c r="F207" s="1267"/>
      <c r="G207" s="1115"/>
      <c r="H207" s="1104"/>
      <c r="I207" s="1046"/>
      <c r="J207" s="377"/>
      <c r="K207" s="701"/>
      <c r="L207" s="482"/>
      <c r="M207" s="851"/>
      <c r="N207" s="663"/>
      <c r="O207" s="651"/>
      <c r="P207" s="1008"/>
      <c r="Q207" s="1009"/>
      <c r="R207" s="375"/>
      <c r="S207" s="376"/>
      <c r="T207" s="375"/>
      <c r="U207" s="625"/>
      <c r="V207" s="560"/>
      <c r="W207" s="606"/>
      <c r="X207" s="377"/>
      <c r="Y207" s="606"/>
      <c r="Z207" s="377"/>
      <c r="AA207" s="606"/>
      <c r="AB207" s="707"/>
      <c r="AC207" s="331"/>
      <c r="AD207" s="377"/>
      <c r="AE207" s="377"/>
      <c r="AF207" s="377"/>
      <c r="AG207" s="377"/>
      <c r="AH207" s="377"/>
      <c r="AI207" s="377"/>
      <c r="AJ207" s="377"/>
      <c r="AK207" s="377"/>
      <c r="AL207" s="377"/>
      <c r="AM207" s="377"/>
      <c r="AN207" s="377"/>
      <c r="AO207" s="377"/>
      <c r="AP207" s="377"/>
      <c r="AQ207" s="377"/>
      <c r="AR207" s="377"/>
      <c r="AS207" s="377"/>
      <c r="AT207" s="377"/>
      <c r="AU207" s="377"/>
      <c r="AV207" s="377"/>
      <c r="AW207" s="377"/>
      <c r="AX207" s="331"/>
    </row>
    <row r="208" spans="1:50" x14ac:dyDescent="0.2">
      <c r="A208" s="1050"/>
      <c r="B208" s="1019"/>
      <c r="C208" s="1051"/>
      <c r="D208" s="1040"/>
      <c r="E208" s="1270"/>
      <c r="F208" s="1267"/>
      <c r="G208" s="1115"/>
      <c r="H208" s="1104"/>
      <c r="I208" s="1046"/>
      <c r="J208" s="377"/>
      <c r="K208" s="701"/>
      <c r="L208" s="482"/>
      <c r="M208" s="851"/>
      <c r="N208" s="663"/>
      <c r="O208" s="651"/>
      <c r="P208" s="1008"/>
      <c r="Q208" s="1009"/>
      <c r="R208" s="375"/>
      <c r="S208" s="376"/>
      <c r="T208" s="375"/>
      <c r="U208" s="625"/>
      <c r="V208" s="560"/>
      <c r="W208" s="606"/>
      <c r="X208" s="377"/>
      <c r="Y208" s="606"/>
      <c r="Z208" s="377"/>
      <c r="AA208" s="606"/>
      <c r="AB208" s="707"/>
      <c r="AC208" s="331"/>
      <c r="AD208" s="377"/>
      <c r="AE208" s="377"/>
      <c r="AF208" s="377"/>
      <c r="AG208" s="377"/>
      <c r="AH208" s="377"/>
      <c r="AI208" s="377"/>
      <c r="AJ208" s="377"/>
      <c r="AK208" s="377"/>
      <c r="AL208" s="377"/>
      <c r="AM208" s="377"/>
      <c r="AN208" s="377"/>
      <c r="AO208" s="377"/>
      <c r="AP208" s="377"/>
      <c r="AQ208" s="377"/>
      <c r="AR208" s="377"/>
      <c r="AS208" s="377"/>
      <c r="AT208" s="377"/>
      <c r="AU208" s="377"/>
      <c r="AV208" s="377"/>
      <c r="AW208" s="377"/>
      <c r="AX208" s="331"/>
    </row>
    <row r="209" spans="1:50" x14ac:dyDescent="0.2">
      <c r="A209" s="1050"/>
      <c r="B209" s="1019"/>
      <c r="C209" s="1051"/>
      <c r="D209" s="1040"/>
      <c r="E209" s="1270"/>
      <c r="F209" s="1267"/>
      <c r="G209" s="1115"/>
      <c r="H209" s="1104"/>
      <c r="I209" s="1046"/>
      <c r="J209" s="377"/>
      <c r="K209" s="701"/>
      <c r="L209" s="482"/>
      <c r="M209" s="851"/>
      <c r="N209" s="663"/>
      <c r="O209" s="651"/>
      <c r="P209" s="1008"/>
      <c r="Q209" s="1009"/>
      <c r="R209" s="375"/>
      <c r="S209" s="376"/>
      <c r="T209" s="375"/>
      <c r="U209" s="625"/>
      <c r="V209" s="560"/>
      <c r="W209" s="606"/>
      <c r="X209" s="377"/>
      <c r="Y209" s="606"/>
      <c r="Z209" s="377"/>
      <c r="AA209" s="606"/>
      <c r="AB209" s="707"/>
      <c r="AC209" s="331"/>
      <c r="AD209" s="377"/>
      <c r="AE209" s="377"/>
      <c r="AF209" s="377"/>
      <c r="AG209" s="377"/>
      <c r="AH209" s="377"/>
      <c r="AI209" s="377"/>
      <c r="AJ209" s="377"/>
      <c r="AK209" s="377"/>
      <c r="AL209" s="377"/>
      <c r="AM209" s="377"/>
      <c r="AN209" s="377"/>
      <c r="AO209" s="377"/>
      <c r="AP209" s="377"/>
      <c r="AQ209" s="377"/>
      <c r="AR209" s="377"/>
      <c r="AS209" s="377"/>
      <c r="AT209" s="377"/>
      <c r="AU209" s="377"/>
      <c r="AV209" s="377"/>
      <c r="AW209" s="377"/>
      <c r="AX209" s="331"/>
    </row>
    <row r="210" spans="1:50" x14ac:dyDescent="0.2">
      <c r="A210" s="1050"/>
      <c r="B210" s="1019"/>
      <c r="C210" s="1051"/>
      <c r="D210" s="1040"/>
      <c r="E210" s="1270"/>
      <c r="F210" s="1267"/>
      <c r="G210" s="1115"/>
      <c r="H210" s="1104"/>
      <c r="I210" s="1046"/>
      <c r="J210" s="377"/>
      <c r="K210" s="701"/>
      <c r="L210" s="482"/>
      <c r="M210" s="851"/>
      <c r="N210" s="663"/>
      <c r="O210" s="651"/>
      <c r="P210" s="1008"/>
      <c r="Q210" s="1009"/>
      <c r="R210" s="375"/>
      <c r="S210" s="376"/>
      <c r="T210" s="375"/>
      <c r="U210" s="625"/>
      <c r="V210" s="560"/>
      <c r="W210" s="606"/>
      <c r="X210" s="377"/>
      <c r="Y210" s="606"/>
      <c r="Z210" s="377"/>
      <c r="AA210" s="606"/>
      <c r="AB210" s="707"/>
      <c r="AC210" s="331"/>
      <c r="AD210" s="377"/>
      <c r="AE210" s="377"/>
      <c r="AF210" s="377"/>
      <c r="AG210" s="377"/>
      <c r="AH210" s="377"/>
      <c r="AI210" s="377"/>
      <c r="AJ210" s="377"/>
      <c r="AK210" s="377"/>
      <c r="AL210" s="377"/>
      <c r="AM210" s="377"/>
      <c r="AN210" s="377"/>
      <c r="AO210" s="377"/>
      <c r="AP210" s="377"/>
      <c r="AQ210" s="377"/>
      <c r="AR210" s="377"/>
      <c r="AS210" s="377"/>
      <c r="AT210" s="377"/>
      <c r="AU210" s="377"/>
      <c r="AV210" s="377"/>
      <c r="AW210" s="377"/>
      <c r="AX210" s="331"/>
    </row>
    <row r="211" spans="1:50" x14ac:dyDescent="0.2">
      <c r="A211" s="1050"/>
      <c r="B211" s="1019"/>
      <c r="C211" s="1051"/>
      <c r="D211" s="1040"/>
      <c r="E211" s="1270"/>
      <c r="F211" s="1267"/>
      <c r="G211" s="1115"/>
      <c r="H211" s="1104"/>
      <c r="I211" s="1046"/>
      <c r="J211" s="377"/>
      <c r="K211" s="701"/>
      <c r="L211" s="482"/>
      <c r="M211" s="851"/>
      <c r="N211" s="663"/>
      <c r="O211" s="651"/>
      <c r="P211" s="1008"/>
      <c r="Q211" s="1009"/>
      <c r="R211" s="375"/>
      <c r="S211" s="376"/>
      <c r="T211" s="375"/>
      <c r="U211" s="625"/>
      <c r="V211" s="560"/>
      <c r="W211" s="606"/>
      <c r="X211" s="377"/>
      <c r="Y211" s="606"/>
      <c r="Z211" s="377"/>
      <c r="AA211" s="606"/>
      <c r="AB211" s="707"/>
      <c r="AC211" s="331"/>
      <c r="AD211" s="377"/>
      <c r="AE211" s="377"/>
      <c r="AF211" s="377"/>
      <c r="AG211" s="377"/>
      <c r="AH211" s="377"/>
      <c r="AI211" s="377"/>
      <c r="AJ211" s="377"/>
      <c r="AK211" s="377"/>
      <c r="AL211" s="377"/>
      <c r="AM211" s="377"/>
      <c r="AN211" s="377"/>
      <c r="AO211" s="377"/>
      <c r="AP211" s="377"/>
      <c r="AQ211" s="377"/>
      <c r="AR211" s="377"/>
      <c r="AS211" s="377"/>
      <c r="AT211" s="377"/>
      <c r="AU211" s="377"/>
      <c r="AV211" s="377"/>
      <c r="AW211" s="377"/>
      <c r="AX211" s="331"/>
    </row>
    <row r="212" spans="1:50" x14ac:dyDescent="0.2">
      <c r="A212" s="1050"/>
      <c r="B212" s="1019"/>
      <c r="C212" s="1051"/>
      <c r="D212" s="1040"/>
      <c r="E212" s="1270"/>
      <c r="F212" s="1267"/>
      <c r="G212" s="1115"/>
      <c r="H212" s="1104"/>
      <c r="I212" s="1046"/>
      <c r="J212" s="377"/>
      <c r="K212" s="701"/>
      <c r="L212" s="482"/>
      <c r="M212" s="851"/>
      <c r="N212" s="663"/>
      <c r="O212" s="651"/>
      <c r="P212" s="1008"/>
      <c r="Q212" s="1009"/>
      <c r="R212" s="375"/>
      <c r="S212" s="376"/>
      <c r="T212" s="375"/>
      <c r="U212" s="625"/>
      <c r="V212" s="560"/>
      <c r="W212" s="606"/>
      <c r="X212" s="377"/>
      <c r="Y212" s="606"/>
      <c r="Z212" s="377"/>
      <c r="AA212" s="606"/>
      <c r="AB212" s="707"/>
      <c r="AC212" s="331"/>
      <c r="AD212" s="377"/>
      <c r="AE212" s="377"/>
      <c r="AF212" s="377"/>
      <c r="AG212" s="377"/>
      <c r="AH212" s="377"/>
      <c r="AI212" s="377"/>
      <c r="AJ212" s="377"/>
      <c r="AK212" s="377"/>
      <c r="AL212" s="377"/>
      <c r="AM212" s="377"/>
      <c r="AN212" s="377"/>
      <c r="AO212" s="377"/>
      <c r="AP212" s="377"/>
      <c r="AQ212" s="377"/>
      <c r="AR212" s="377"/>
      <c r="AS212" s="377"/>
      <c r="AT212" s="377"/>
      <c r="AU212" s="377"/>
      <c r="AV212" s="377"/>
      <c r="AW212" s="377"/>
      <c r="AX212" s="331"/>
    </row>
    <row r="213" spans="1:50" x14ac:dyDescent="0.2">
      <c r="A213" s="1050"/>
      <c r="B213" s="1242"/>
      <c r="C213" s="1051"/>
      <c r="D213" s="1040"/>
      <c r="E213" s="1270"/>
      <c r="F213" s="1267"/>
      <c r="G213" s="1115"/>
      <c r="H213" s="1104"/>
      <c r="I213" s="1046"/>
      <c r="J213" s="377"/>
      <c r="K213" s="701"/>
      <c r="L213" s="482"/>
      <c r="M213" s="851"/>
      <c r="N213" s="663"/>
      <c r="O213" s="651"/>
      <c r="P213" s="1008"/>
      <c r="Q213" s="1009"/>
      <c r="R213" s="375"/>
      <c r="S213" s="376"/>
      <c r="T213" s="375"/>
      <c r="U213" s="625"/>
      <c r="V213" s="560"/>
      <c r="W213" s="606"/>
      <c r="X213" s="377"/>
      <c r="Y213" s="606"/>
      <c r="Z213" s="377"/>
      <c r="AA213" s="606"/>
      <c r="AB213" s="707"/>
      <c r="AC213" s="331"/>
      <c r="AD213" s="377"/>
      <c r="AE213" s="377"/>
      <c r="AF213" s="377"/>
      <c r="AG213" s="377"/>
      <c r="AH213" s="377"/>
      <c r="AI213" s="377"/>
      <c r="AJ213" s="377"/>
      <c r="AK213" s="377"/>
      <c r="AL213" s="377"/>
      <c r="AM213" s="377"/>
      <c r="AN213" s="377"/>
      <c r="AO213" s="377"/>
      <c r="AP213" s="377"/>
      <c r="AQ213" s="377"/>
      <c r="AR213" s="377"/>
      <c r="AS213" s="377"/>
      <c r="AT213" s="377"/>
      <c r="AU213" s="377"/>
      <c r="AV213" s="377"/>
      <c r="AW213" s="377"/>
      <c r="AX213" s="331"/>
    </row>
    <row r="214" spans="1:50" x14ac:dyDescent="0.2">
      <c r="A214" s="1050"/>
      <c r="B214" s="1067"/>
      <c r="C214" s="1051"/>
      <c r="D214" s="1040"/>
      <c r="E214" s="1270"/>
      <c r="F214" s="1267"/>
      <c r="G214" s="1115"/>
      <c r="H214" s="1104"/>
      <c r="I214" s="1046"/>
      <c r="J214" s="377"/>
      <c r="K214" s="701"/>
      <c r="L214" s="482"/>
      <c r="M214" s="851"/>
      <c r="N214" s="663"/>
      <c r="O214" s="651"/>
      <c r="P214" s="1008"/>
      <c r="Q214" s="1009"/>
      <c r="R214" s="375"/>
      <c r="S214" s="376"/>
      <c r="T214" s="375"/>
      <c r="U214" s="625"/>
      <c r="V214" s="560"/>
      <c r="W214" s="606"/>
      <c r="X214" s="377"/>
      <c r="Y214" s="606"/>
      <c r="Z214" s="377"/>
      <c r="AA214" s="606"/>
      <c r="AB214" s="707"/>
      <c r="AC214" s="331"/>
      <c r="AD214" s="377"/>
      <c r="AE214" s="377"/>
      <c r="AF214" s="377"/>
      <c r="AG214" s="377"/>
      <c r="AH214" s="377"/>
      <c r="AI214" s="377"/>
      <c r="AJ214" s="377"/>
      <c r="AK214" s="377"/>
      <c r="AL214" s="377"/>
      <c r="AM214" s="377"/>
      <c r="AN214" s="377"/>
      <c r="AO214" s="377"/>
      <c r="AP214" s="377"/>
      <c r="AQ214" s="377"/>
      <c r="AR214" s="377"/>
      <c r="AS214" s="377"/>
      <c r="AT214" s="377"/>
      <c r="AU214" s="377"/>
      <c r="AV214" s="377"/>
      <c r="AW214" s="377"/>
      <c r="AX214" s="331"/>
    </row>
    <row r="215" spans="1:50" x14ac:dyDescent="0.2">
      <c r="A215" s="1050"/>
      <c r="B215" s="1019"/>
      <c r="C215" s="1051"/>
      <c r="D215" s="1040"/>
      <c r="E215" s="1270"/>
      <c r="F215" s="1267"/>
      <c r="G215" s="1115"/>
      <c r="H215" s="1104"/>
      <c r="I215" s="1046"/>
      <c r="J215" s="377"/>
      <c r="K215" s="701"/>
      <c r="L215" s="482"/>
      <c r="M215" s="851"/>
      <c r="N215" s="663"/>
      <c r="O215" s="651"/>
      <c r="P215" s="1008"/>
      <c r="Q215" s="1009"/>
      <c r="R215" s="375"/>
      <c r="S215" s="376"/>
      <c r="T215" s="375"/>
      <c r="U215" s="625"/>
      <c r="V215" s="560"/>
      <c r="W215" s="606"/>
      <c r="X215" s="377"/>
      <c r="Y215" s="606"/>
      <c r="Z215" s="377"/>
      <c r="AA215" s="606"/>
      <c r="AB215" s="707"/>
      <c r="AC215" s="331"/>
      <c r="AD215" s="377"/>
      <c r="AE215" s="377"/>
      <c r="AF215" s="377"/>
      <c r="AG215" s="377"/>
      <c r="AH215" s="377"/>
      <c r="AI215" s="377"/>
      <c r="AJ215" s="377"/>
      <c r="AK215" s="377"/>
      <c r="AL215" s="377"/>
      <c r="AM215" s="377"/>
      <c r="AN215" s="377"/>
      <c r="AO215" s="377"/>
      <c r="AP215" s="377"/>
      <c r="AQ215" s="377"/>
      <c r="AR215" s="377"/>
      <c r="AS215" s="377"/>
      <c r="AT215" s="377"/>
      <c r="AU215" s="377"/>
      <c r="AV215" s="377"/>
      <c r="AW215" s="377"/>
      <c r="AX215" s="331"/>
    </row>
    <row r="216" spans="1:50" x14ac:dyDescent="0.2">
      <c r="A216" s="1050"/>
      <c r="B216" s="1042"/>
      <c r="C216" s="1051"/>
      <c r="D216" s="1040"/>
      <c r="E216" s="1270"/>
      <c r="F216" s="1267"/>
      <c r="G216" s="1115"/>
      <c r="H216" s="1104"/>
      <c r="I216" s="1046"/>
      <c r="J216" s="377"/>
      <c r="K216" s="701"/>
      <c r="L216" s="482"/>
      <c r="M216" s="851"/>
      <c r="N216" s="663"/>
      <c r="O216" s="651"/>
      <c r="P216" s="1008"/>
      <c r="Q216" s="1009"/>
      <c r="R216" s="375"/>
      <c r="S216" s="376"/>
      <c r="T216" s="375"/>
      <c r="U216" s="625"/>
      <c r="V216" s="560"/>
      <c r="W216" s="606"/>
      <c r="X216" s="377"/>
      <c r="Y216" s="606"/>
      <c r="Z216" s="377"/>
      <c r="AA216" s="606"/>
      <c r="AB216" s="707"/>
      <c r="AC216" s="331"/>
      <c r="AD216" s="377"/>
      <c r="AE216" s="377"/>
      <c r="AF216" s="377"/>
      <c r="AG216" s="377"/>
      <c r="AH216" s="377"/>
      <c r="AI216" s="377"/>
      <c r="AJ216" s="377"/>
      <c r="AK216" s="377"/>
      <c r="AL216" s="377"/>
      <c r="AM216" s="377"/>
      <c r="AN216" s="377"/>
      <c r="AO216" s="377"/>
      <c r="AP216" s="377"/>
      <c r="AQ216" s="377"/>
      <c r="AR216" s="377"/>
      <c r="AS216" s="377"/>
      <c r="AT216" s="377"/>
      <c r="AU216" s="377"/>
      <c r="AV216" s="377"/>
      <c r="AW216" s="377"/>
      <c r="AX216" s="331"/>
    </row>
    <row r="217" spans="1:50" x14ac:dyDescent="0.2">
      <c r="A217" s="1050"/>
      <c r="B217" s="1019"/>
      <c r="C217" s="1051"/>
      <c r="D217" s="1040"/>
      <c r="E217" s="1270"/>
      <c r="F217" s="1267"/>
      <c r="G217" s="1115"/>
      <c r="H217" s="1104"/>
      <c r="I217" s="1046"/>
      <c r="J217" s="377"/>
      <c r="K217" s="701"/>
      <c r="L217" s="482"/>
      <c r="M217" s="851"/>
      <c r="N217" s="663"/>
      <c r="O217" s="651"/>
      <c r="P217" s="1008"/>
      <c r="Q217" s="1009"/>
      <c r="R217" s="375"/>
      <c r="S217" s="376"/>
      <c r="T217" s="375"/>
      <c r="U217" s="625"/>
      <c r="V217" s="560"/>
      <c r="W217" s="606"/>
      <c r="X217" s="377"/>
      <c r="Y217" s="606"/>
      <c r="Z217" s="377"/>
      <c r="AA217" s="606"/>
      <c r="AB217" s="707"/>
      <c r="AC217" s="331"/>
      <c r="AD217" s="377"/>
      <c r="AE217" s="377"/>
      <c r="AF217" s="377"/>
      <c r="AG217" s="377"/>
      <c r="AH217" s="377"/>
      <c r="AI217" s="377"/>
      <c r="AJ217" s="377"/>
      <c r="AK217" s="377"/>
      <c r="AL217" s="377"/>
      <c r="AM217" s="377"/>
      <c r="AN217" s="377"/>
      <c r="AO217" s="377"/>
      <c r="AP217" s="377"/>
      <c r="AQ217" s="377"/>
      <c r="AR217" s="377"/>
      <c r="AS217" s="377"/>
      <c r="AT217" s="377"/>
      <c r="AU217" s="377"/>
      <c r="AV217" s="377"/>
      <c r="AW217" s="377"/>
      <c r="AX217" s="331"/>
    </row>
    <row r="218" spans="1:50" x14ac:dyDescent="0.2">
      <c r="A218" s="1050"/>
      <c r="B218" s="1019"/>
      <c r="C218" s="1051"/>
      <c r="D218" s="1040"/>
      <c r="E218" s="1270"/>
      <c r="F218" s="1267"/>
      <c r="G218" s="1115"/>
      <c r="H218" s="1104"/>
      <c r="I218" s="1046"/>
      <c r="J218" s="377"/>
      <c r="K218" s="701"/>
      <c r="L218" s="482"/>
      <c r="M218" s="851"/>
      <c r="N218" s="663"/>
      <c r="O218" s="651"/>
      <c r="P218" s="1008"/>
      <c r="Q218" s="1009"/>
      <c r="R218" s="375"/>
      <c r="S218" s="376"/>
      <c r="T218" s="375"/>
      <c r="U218" s="625"/>
      <c r="V218" s="560"/>
      <c r="W218" s="606"/>
      <c r="X218" s="377"/>
      <c r="Y218" s="606"/>
      <c r="Z218" s="377"/>
      <c r="AA218" s="606"/>
      <c r="AB218" s="707"/>
      <c r="AC218" s="331"/>
      <c r="AD218" s="377"/>
      <c r="AE218" s="377"/>
      <c r="AF218" s="377"/>
      <c r="AG218" s="377"/>
      <c r="AH218" s="377"/>
      <c r="AI218" s="377"/>
      <c r="AJ218" s="377"/>
      <c r="AK218" s="377"/>
      <c r="AL218" s="377"/>
      <c r="AM218" s="377"/>
      <c r="AN218" s="377"/>
      <c r="AO218" s="377"/>
      <c r="AP218" s="377"/>
      <c r="AQ218" s="377"/>
      <c r="AR218" s="377"/>
      <c r="AS218" s="377"/>
      <c r="AT218" s="377"/>
      <c r="AU218" s="377"/>
      <c r="AV218" s="377"/>
      <c r="AW218" s="377"/>
      <c r="AX218" s="331"/>
    </row>
    <row r="219" spans="1:50" x14ac:dyDescent="0.2">
      <c r="A219" s="1050"/>
      <c r="B219" s="1019"/>
      <c r="C219" s="1051"/>
      <c r="D219" s="1040"/>
      <c r="E219" s="1270"/>
      <c r="F219" s="1267"/>
      <c r="G219" s="1115"/>
      <c r="H219" s="1104"/>
      <c r="I219" s="1046"/>
      <c r="J219" s="377"/>
      <c r="K219" s="701"/>
      <c r="L219" s="482"/>
      <c r="M219" s="851"/>
      <c r="N219" s="663"/>
      <c r="O219" s="651"/>
      <c r="P219" s="1008"/>
      <c r="Q219" s="1009"/>
      <c r="R219" s="375"/>
      <c r="S219" s="376"/>
      <c r="T219" s="375"/>
      <c r="U219" s="625"/>
      <c r="V219" s="560"/>
      <c r="W219" s="606"/>
      <c r="X219" s="377"/>
      <c r="Y219" s="606"/>
      <c r="Z219" s="377"/>
      <c r="AA219" s="606"/>
      <c r="AB219" s="707"/>
      <c r="AC219" s="331"/>
      <c r="AD219" s="377"/>
      <c r="AE219" s="377"/>
      <c r="AF219" s="377"/>
      <c r="AG219" s="377"/>
      <c r="AH219" s="377"/>
      <c r="AI219" s="377"/>
      <c r="AJ219" s="377"/>
      <c r="AK219" s="377"/>
      <c r="AL219" s="377"/>
      <c r="AM219" s="377"/>
      <c r="AN219" s="377"/>
      <c r="AO219" s="377"/>
      <c r="AP219" s="377"/>
      <c r="AQ219" s="377"/>
      <c r="AR219" s="377"/>
      <c r="AS219" s="377"/>
      <c r="AT219" s="377"/>
      <c r="AU219" s="377"/>
      <c r="AV219" s="377"/>
      <c r="AW219" s="377"/>
      <c r="AX219" s="331"/>
    </row>
    <row r="220" spans="1:50" x14ac:dyDescent="0.2">
      <c r="A220" s="1050"/>
      <c r="B220" s="1019"/>
      <c r="C220" s="1051"/>
      <c r="D220" s="1040"/>
      <c r="E220" s="1270"/>
      <c r="F220" s="1267"/>
      <c r="G220" s="1115"/>
      <c r="H220" s="1104"/>
      <c r="I220" s="1046"/>
      <c r="J220" s="377"/>
      <c r="K220" s="701"/>
      <c r="L220" s="482"/>
      <c r="M220" s="851"/>
      <c r="N220" s="663"/>
      <c r="O220" s="651"/>
      <c r="P220" s="1008"/>
      <c r="Q220" s="1009"/>
      <c r="R220" s="375"/>
      <c r="S220" s="376"/>
      <c r="T220" s="375"/>
      <c r="U220" s="625"/>
      <c r="V220" s="560"/>
      <c r="W220" s="606"/>
      <c r="X220" s="377"/>
      <c r="Y220" s="606"/>
      <c r="Z220" s="377"/>
      <c r="AA220" s="606"/>
      <c r="AB220" s="707"/>
      <c r="AC220" s="331"/>
      <c r="AD220" s="377"/>
      <c r="AE220" s="377"/>
      <c r="AF220" s="377"/>
      <c r="AG220" s="377"/>
      <c r="AH220" s="377"/>
      <c r="AI220" s="377"/>
      <c r="AJ220" s="377"/>
      <c r="AK220" s="377"/>
      <c r="AL220" s="377"/>
      <c r="AM220" s="377"/>
      <c r="AN220" s="377"/>
      <c r="AO220" s="377"/>
      <c r="AP220" s="377"/>
      <c r="AQ220" s="377"/>
      <c r="AR220" s="377"/>
      <c r="AS220" s="377"/>
      <c r="AT220" s="377"/>
      <c r="AU220" s="377"/>
      <c r="AV220" s="377"/>
      <c r="AW220" s="377"/>
      <c r="AX220" s="331"/>
    </row>
    <row r="221" spans="1:50" x14ac:dyDescent="0.2">
      <c r="A221" s="1050"/>
      <c r="B221" s="1019"/>
      <c r="C221" s="1051"/>
      <c r="D221" s="1040"/>
      <c r="E221" s="1270"/>
      <c r="F221" s="1267"/>
      <c r="G221" s="1115"/>
      <c r="H221" s="1104"/>
      <c r="I221" s="1046"/>
      <c r="J221" s="377"/>
      <c r="K221" s="701"/>
      <c r="L221" s="482"/>
      <c r="M221" s="851"/>
      <c r="N221" s="663"/>
      <c r="O221" s="651"/>
      <c r="P221" s="1008"/>
      <c r="Q221" s="1009"/>
      <c r="R221" s="375"/>
      <c r="S221" s="376"/>
      <c r="T221" s="375"/>
      <c r="U221" s="625"/>
      <c r="V221" s="560"/>
      <c r="W221" s="606"/>
      <c r="X221" s="377"/>
      <c r="Y221" s="606"/>
      <c r="Z221" s="377"/>
      <c r="AA221" s="606"/>
      <c r="AB221" s="707"/>
      <c r="AC221" s="331"/>
      <c r="AD221" s="377"/>
      <c r="AE221" s="377"/>
      <c r="AF221" s="377"/>
      <c r="AG221" s="377"/>
      <c r="AH221" s="377"/>
      <c r="AI221" s="377"/>
      <c r="AJ221" s="377"/>
      <c r="AK221" s="377"/>
      <c r="AL221" s="377"/>
      <c r="AM221" s="377"/>
      <c r="AN221" s="377"/>
      <c r="AO221" s="377"/>
      <c r="AP221" s="377"/>
      <c r="AQ221" s="377"/>
      <c r="AR221" s="377"/>
      <c r="AS221" s="377"/>
      <c r="AT221" s="377"/>
      <c r="AU221" s="377"/>
      <c r="AV221" s="377"/>
      <c r="AW221" s="377"/>
      <c r="AX221" s="331"/>
    </row>
    <row r="222" spans="1:50" x14ac:dyDescent="0.2">
      <c r="A222" s="1050"/>
      <c r="B222" s="1019"/>
      <c r="C222" s="1051"/>
      <c r="D222" s="1040"/>
      <c r="E222" s="1270"/>
      <c r="F222" s="1267"/>
      <c r="G222" s="1115"/>
      <c r="H222" s="1104"/>
      <c r="I222" s="1046"/>
      <c r="J222" s="377"/>
      <c r="K222" s="701"/>
      <c r="L222" s="482"/>
      <c r="M222" s="851"/>
      <c r="N222" s="663"/>
      <c r="O222" s="651"/>
      <c r="P222" s="1008"/>
      <c r="Q222" s="1009"/>
      <c r="R222" s="375"/>
      <c r="S222" s="376"/>
      <c r="T222" s="375"/>
      <c r="U222" s="625"/>
      <c r="V222" s="560"/>
      <c r="W222" s="606"/>
      <c r="X222" s="377"/>
      <c r="Y222" s="606"/>
      <c r="Z222" s="377"/>
      <c r="AA222" s="606"/>
      <c r="AB222" s="707"/>
      <c r="AC222" s="331"/>
      <c r="AD222" s="377"/>
      <c r="AE222" s="377"/>
      <c r="AF222" s="377"/>
      <c r="AG222" s="377"/>
      <c r="AH222" s="377"/>
      <c r="AI222" s="377"/>
      <c r="AJ222" s="377"/>
      <c r="AK222" s="377"/>
      <c r="AL222" s="377"/>
      <c r="AM222" s="377"/>
      <c r="AN222" s="377"/>
      <c r="AO222" s="377"/>
      <c r="AP222" s="377"/>
      <c r="AQ222" s="377"/>
      <c r="AR222" s="377"/>
      <c r="AS222" s="377"/>
      <c r="AT222" s="377"/>
      <c r="AU222" s="377"/>
      <c r="AV222" s="377"/>
      <c r="AW222" s="377"/>
      <c r="AX222" s="331"/>
    </row>
    <row r="223" spans="1:50" x14ac:dyDescent="0.2">
      <c r="A223" s="1050"/>
      <c r="B223" s="1019"/>
      <c r="C223" s="1051"/>
      <c r="D223" s="1040"/>
      <c r="E223" s="1270"/>
      <c r="F223" s="1267"/>
      <c r="G223" s="1115"/>
      <c r="H223" s="1104"/>
      <c r="I223" s="1046"/>
      <c r="J223" s="377"/>
      <c r="K223" s="701"/>
      <c r="L223" s="482"/>
      <c r="M223" s="851"/>
      <c r="N223" s="663"/>
      <c r="O223" s="651"/>
      <c r="P223" s="1008"/>
      <c r="Q223" s="1009"/>
      <c r="R223" s="375"/>
      <c r="S223" s="376"/>
      <c r="T223" s="375"/>
      <c r="U223" s="625"/>
      <c r="V223" s="560"/>
      <c r="W223" s="606"/>
      <c r="X223" s="377"/>
      <c r="Y223" s="606"/>
      <c r="Z223" s="377"/>
      <c r="AA223" s="606"/>
      <c r="AB223" s="707"/>
      <c r="AC223" s="331"/>
      <c r="AD223" s="377"/>
      <c r="AE223" s="377"/>
      <c r="AF223" s="377"/>
      <c r="AG223" s="377"/>
      <c r="AH223" s="377"/>
      <c r="AI223" s="377"/>
      <c r="AJ223" s="377"/>
      <c r="AK223" s="377"/>
      <c r="AL223" s="377"/>
      <c r="AM223" s="377"/>
      <c r="AN223" s="377"/>
      <c r="AO223" s="377"/>
      <c r="AP223" s="377"/>
      <c r="AQ223" s="377"/>
      <c r="AR223" s="377"/>
      <c r="AS223" s="377"/>
      <c r="AT223" s="377"/>
      <c r="AU223" s="377"/>
      <c r="AV223" s="377"/>
      <c r="AW223" s="377"/>
      <c r="AX223" s="331"/>
    </row>
    <row r="224" spans="1:50" x14ac:dyDescent="0.2">
      <c r="A224" s="1050"/>
      <c r="B224" s="1019"/>
      <c r="C224" s="1051"/>
      <c r="D224" s="1040"/>
      <c r="E224" s="1270"/>
      <c r="F224" s="1267"/>
      <c r="G224" s="1115"/>
      <c r="H224" s="1104"/>
      <c r="I224" s="1046"/>
      <c r="J224" s="377"/>
      <c r="K224" s="701"/>
      <c r="L224" s="482"/>
      <c r="M224" s="851"/>
      <c r="N224" s="663"/>
      <c r="O224" s="651"/>
      <c r="P224" s="1008"/>
      <c r="Q224" s="1009"/>
      <c r="R224" s="375"/>
      <c r="S224" s="376"/>
      <c r="T224" s="375"/>
      <c r="U224" s="625"/>
      <c r="V224" s="560"/>
      <c r="W224" s="606"/>
      <c r="X224" s="377"/>
      <c r="Y224" s="606"/>
      <c r="Z224" s="377"/>
      <c r="AA224" s="606"/>
      <c r="AB224" s="707"/>
      <c r="AC224" s="331"/>
      <c r="AD224" s="377"/>
      <c r="AE224" s="377"/>
      <c r="AF224" s="377"/>
      <c r="AG224" s="377"/>
      <c r="AH224" s="377"/>
      <c r="AI224" s="377"/>
      <c r="AJ224" s="377"/>
      <c r="AK224" s="377"/>
      <c r="AL224" s="377"/>
      <c r="AM224" s="377"/>
      <c r="AN224" s="377"/>
      <c r="AO224" s="377"/>
      <c r="AP224" s="377"/>
      <c r="AQ224" s="377"/>
      <c r="AR224" s="377"/>
      <c r="AS224" s="377"/>
      <c r="AT224" s="377"/>
      <c r="AU224" s="377"/>
      <c r="AV224" s="377"/>
      <c r="AW224" s="377"/>
      <c r="AX224" s="331"/>
    </row>
    <row r="225" spans="1:50" x14ac:dyDescent="0.2">
      <c r="A225" s="1050"/>
      <c r="B225" s="1019"/>
      <c r="C225" s="1051"/>
      <c r="D225" s="1040"/>
      <c r="E225" s="1270"/>
      <c r="F225" s="1267"/>
      <c r="G225" s="1115"/>
      <c r="H225" s="1104"/>
      <c r="I225" s="1046"/>
      <c r="J225" s="377"/>
      <c r="K225" s="701"/>
      <c r="L225" s="482"/>
      <c r="M225" s="851"/>
      <c r="N225" s="663"/>
      <c r="O225" s="651"/>
      <c r="P225" s="1008"/>
      <c r="Q225" s="1009"/>
      <c r="R225" s="375"/>
      <c r="S225" s="376"/>
      <c r="T225" s="375"/>
      <c r="U225" s="625"/>
      <c r="V225" s="560"/>
      <c r="W225" s="606"/>
      <c r="X225" s="377"/>
      <c r="Y225" s="606"/>
      <c r="Z225" s="377"/>
      <c r="AA225" s="606"/>
      <c r="AB225" s="707"/>
      <c r="AC225" s="331"/>
      <c r="AD225" s="377"/>
      <c r="AE225" s="377"/>
      <c r="AF225" s="377"/>
      <c r="AG225" s="377"/>
      <c r="AH225" s="377"/>
      <c r="AI225" s="377"/>
      <c r="AJ225" s="377"/>
      <c r="AK225" s="377"/>
      <c r="AL225" s="377"/>
      <c r="AM225" s="377"/>
      <c r="AN225" s="377"/>
      <c r="AO225" s="377"/>
      <c r="AP225" s="377"/>
      <c r="AQ225" s="377"/>
      <c r="AR225" s="377"/>
      <c r="AS225" s="377"/>
      <c r="AT225" s="377"/>
      <c r="AU225" s="377"/>
      <c r="AV225" s="377"/>
      <c r="AW225" s="377"/>
      <c r="AX225" s="331"/>
    </row>
    <row r="226" spans="1:50" x14ac:dyDescent="0.2">
      <c r="A226" s="1050"/>
      <c r="B226" s="1019"/>
      <c r="C226" s="1051"/>
      <c r="D226" s="1040"/>
      <c r="E226" s="1270"/>
      <c r="F226" s="1267"/>
      <c r="G226" s="1115"/>
      <c r="H226" s="1104"/>
      <c r="I226" s="1046"/>
      <c r="J226" s="377"/>
      <c r="K226" s="701"/>
      <c r="L226" s="482"/>
      <c r="M226" s="851"/>
      <c r="N226" s="663"/>
      <c r="O226" s="651"/>
      <c r="P226" s="1008"/>
      <c r="Q226" s="1009"/>
      <c r="R226" s="375"/>
      <c r="S226" s="376"/>
      <c r="T226" s="375"/>
      <c r="U226" s="625"/>
      <c r="V226" s="560"/>
      <c r="W226" s="606"/>
      <c r="X226" s="377"/>
      <c r="Y226" s="606"/>
      <c r="Z226" s="377"/>
      <c r="AA226" s="606"/>
      <c r="AB226" s="707"/>
      <c r="AC226" s="331"/>
      <c r="AD226" s="377"/>
      <c r="AE226" s="377"/>
      <c r="AF226" s="377"/>
      <c r="AG226" s="377"/>
      <c r="AH226" s="377"/>
      <c r="AI226" s="377"/>
      <c r="AJ226" s="377"/>
      <c r="AK226" s="377"/>
      <c r="AL226" s="377"/>
      <c r="AM226" s="377"/>
      <c r="AN226" s="377"/>
      <c r="AO226" s="377"/>
      <c r="AP226" s="377"/>
      <c r="AQ226" s="377"/>
      <c r="AR226" s="377"/>
      <c r="AS226" s="377"/>
      <c r="AT226" s="377"/>
      <c r="AU226" s="377"/>
      <c r="AV226" s="377"/>
      <c r="AW226" s="377"/>
      <c r="AX226" s="331"/>
    </row>
    <row r="227" spans="1:50" x14ac:dyDescent="0.2">
      <c r="A227" s="1050"/>
      <c r="B227" s="1019"/>
      <c r="C227" s="1051"/>
      <c r="D227" s="1040"/>
      <c r="E227" s="1270"/>
      <c r="F227" s="1267"/>
      <c r="G227" s="1115"/>
      <c r="H227" s="1104"/>
      <c r="I227" s="1046"/>
      <c r="J227" s="377"/>
      <c r="K227" s="701"/>
      <c r="L227" s="482"/>
      <c r="M227" s="851"/>
      <c r="N227" s="663"/>
      <c r="O227" s="651"/>
      <c r="P227" s="1008"/>
      <c r="Q227" s="1009"/>
      <c r="R227" s="375"/>
      <c r="S227" s="376"/>
      <c r="T227" s="375"/>
      <c r="U227" s="625"/>
      <c r="V227" s="560"/>
      <c r="W227" s="606"/>
      <c r="X227" s="377"/>
      <c r="Y227" s="606"/>
      <c r="Z227" s="377"/>
      <c r="AA227" s="606"/>
      <c r="AB227" s="707"/>
      <c r="AC227" s="331"/>
      <c r="AD227" s="377"/>
      <c r="AE227" s="377"/>
      <c r="AF227" s="377"/>
      <c r="AG227" s="377"/>
      <c r="AH227" s="377"/>
      <c r="AI227" s="377"/>
      <c r="AJ227" s="377"/>
      <c r="AK227" s="377"/>
      <c r="AL227" s="377"/>
      <c r="AM227" s="377"/>
      <c r="AN227" s="377"/>
      <c r="AO227" s="377"/>
      <c r="AP227" s="377"/>
      <c r="AQ227" s="377"/>
      <c r="AR227" s="377"/>
      <c r="AS227" s="377"/>
      <c r="AT227" s="377"/>
      <c r="AU227" s="377"/>
      <c r="AV227" s="377"/>
      <c r="AW227" s="377"/>
      <c r="AX227" s="331"/>
    </row>
    <row r="228" spans="1:50" x14ac:dyDescent="0.2">
      <c r="A228" s="1050"/>
      <c r="B228" s="1019"/>
      <c r="C228" s="1051"/>
      <c r="D228" s="1040"/>
      <c r="E228" s="1270"/>
      <c r="F228" s="1267"/>
      <c r="G228" s="1115"/>
      <c r="H228" s="1104"/>
      <c r="I228" s="1046"/>
      <c r="J228" s="377"/>
      <c r="K228" s="701"/>
      <c r="L228" s="482"/>
      <c r="M228" s="851"/>
      <c r="N228" s="663"/>
      <c r="O228" s="651"/>
      <c r="P228" s="1008"/>
      <c r="Q228" s="1009"/>
      <c r="R228" s="375"/>
      <c r="S228" s="376"/>
      <c r="T228" s="375"/>
      <c r="U228" s="625"/>
      <c r="V228" s="560"/>
      <c r="W228" s="606"/>
      <c r="X228" s="377"/>
      <c r="Y228" s="606"/>
      <c r="Z228" s="377"/>
      <c r="AA228" s="606"/>
      <c r="AB228" s="707"/>
      <c r="AC228" s="331"/>
      <c r="AD228" s="377"/>
      <c r="AE228" s="377"/>
      <c r="AF228" s="377"/>
      <c r="AG228" s="377"/>
      <c r="AH228" s="377"/>
      <c r="AI228" s="377"/>
      <c r="AJ228" s="377"/>
      <c r="AK228" s="377"/>
      <c r="AL228" s="377"/>
      <c r="AM228" s="377"/>
      <c r="AN228" s="377"/>
      <c r="AO228" s="377"/>
      <c r="AP228" s="377"/>
      <c r="AQ228" s="377"/>
      <c r="AR228" s="377"/>
      <c r="AS228" s="377"/>
      <c r="AT228" s="377"/>
      <c r="AU228" s="377"/>
      <c r="AV228" s="377"/>
      <c r="AW228" s="377"/>
      <c r="AX228" s="331"/>
    </row>
    <row r="229" spans="1:50" x14ac:dyDescent="0.2">
      <c r="A229" s="1050"/>
      <c r="B229" s="1042"/>
      <c r="C229" s="1051"/>
      <c r="D229" s="1040"/>
      <c r="E229" s="1270"/>
      <c r="F229" s="1267"/>
      <c r="G229" s="1115"/>
      <c r="H229" s="1104"/>
      <c r="I229" s="1046"/>
      <c r="J229" s="377"/>
      <c r="K229" s="701"/>
      <c r="L229" s="482"/>
      <c r="M229" s="851"/>
      <c r="N229" s="663"/>
      <c r="O229" s="651"/>
      <c r="P229" s="1008"/>
      <c r="Q229" s="1009"/>
      <c r="R229" s="375"/>
      <c r="S229" s="376"/>
      <c r="T229" s="375"/>
      <c r="U229" s="625"/>
      <c r="V229" s="560"/>
      <c r="W229" s="606"/>
      <c r="X229" s="377"/>
      <c r="Y229" s="606"/>
      <c r="Z229" s="377"/>
      <c r="AA229" s="606"/>
      <c r="AB229" s="707"/>
      <c r="AC229" s="331"/>
      <c r="AD229" s="377"/>
      <c r="AE229" s="377"/>
      <c r="AF229" s="377"/>
      <c r="AG229" s="377"/>
      <c r="AH229" s="377"/>
      <c r="AI229" s="377"/>
      <c r="AJ229" s="377"/>
      <c r="AK229" s="377"/>
      <c r="AL229" s="377"/>
      <c r="AM229" s="377"/>
      <c r="AN229" s="377"/>
      <c r="AO229" s="377"/>
      <c r="AP229" s="377"/>
      <c r="AQ229" s="377"/>
      <c r="AR229" s="377"/>
      <c r="AS229" s="377"/>
      <c r="AT229" s="377"/>
      <c r="AU229" s="377"/>
      <c r="AV229" s="377"/>
      <c r="AW229" s="377"/>
      <c r="AX229" s="331"/>
    </row>
    <row r="230" spans="1:50" x14ac:dyDescent="0.2">
      <c r="A230" s="1050"/>
      <c r="B230" s="1019"/>
      <c r="C230" s="1051"/>
      <c r="D230" s="1040"/>
      <c r="E230" s="1270"/>
      <c r="F230" s="1267"/>
      <c r="G230" s="1115"/>
      <c r="H230" s="1104"/>
      <c r="I230" s="1046"/>
      <c r="J230" s="377"/>
      <c r="K230" s="701"/>
      <c r="L230" s="482"/>
      <c r="M230" s="851"/>
      <c r="N230" s="663"/>
      <c r="O230" s="651"/>
      <c r="P230" s="1008"/>
      <c r="Q230" s="1009"/>
      <c r="R230" s="375"/>
      <c r="S230" s="376"/>
      <c r="T230" s="375"/>
      <c r="U230" s="625"/>
      <c r="V230" s="560"/>
      <c r="W230" s="606"/>
      <c r="X230" s="377"/>
      <c r="Y230" s="606"/>
      <c r="Z230" s="377"/>
      <c r="AA230" s="606"/>
      <c r="AB230" s="707"/>
      <c r="AC230" s="331"/>
      <c r="AD230" s="377"/>
      <c r="AE230" s="377"/>
      <c r="AF230" s="377"/>
      <c r="AG230" s="377"/>
      <c r="AH230" s="377"/>
      <c r="AI230" s="377"/>
      <c r="AJ230" s="377"/>
      <c r="AK230" s="377"/>
      <c r="AL230" s="377"/>
      <c r="AM230" s="377"/>
      <c r="AN230" s="377"/>
      <c r="AO230" s="377"/>
      <c r="AP230" s="377"/>
      <c r="AQ230" s="377"/>
      <c r="AR230" s="377"/>
      <c r="AS230" s="377"/>
      <c r="AT230" s="377"/>
      <c r="AU230" s="377"/>
      <c r="AV230" s="377"/>
      <c r="AW230" s="377"/>
      <c r="AX230" s="331"/>
    </row>
    <row r="231" spans="1:50" x14ac:dyDescent="0.2">
      <c r="A231" s="1050"/>
      <c r="B231" s="1019"/>
      <c r="C231" s="1051"/>
      <c r="D231" s="1040"/>
      <c r="E231" s="1270"/>
      <c r="F231" s="1267"/>
      <c r="G231" s="1115"/>
      <c r="H231" s="1104"/>
      <c r="I231" s="1046"/>
      <c r="J231" s="377"/>
      <c r="K231" s="701"/>
      <c r="L231" s="482"/>
      <c r="M231" s="851"/>
      <c r="N231" s="663"/>
      <c r="O231" s="651"/>
      <c r="P231" s="1008"/>
      <c r="Q231" s="1009"/>
      <c r="R231" s="375"/>
      <c r="S231" s="376"/>
      <c r="T231" s="375"/>
      <c r="U231" s="625"/>
      <c r="V231" s="560"/>
      <c r="W231" s="606"/>
      <c r="X231" s="377"/>
      <c r="Y231" s="606"/>
      <c r="Z231" s="377"/>
      <c r="AA231" s="606"/>
      <c r="AB231" s="707"/>
      <c r="AC231" s="331"/>
      <c r="AD231" s="377"/>
      <c r="AE231" s="377"/>
      <c r="AF231" s="377"/>
      <c r="AG231" s="377"/>
      <c r="AH231" s="377"/>
      <c r="AI231" s="377"/>
      <c r="AJ231" s="377"/>
      <c r="AK231" s="377"/>
      <c r="AL231" s="377"/>
      <c r="AM231" s="377"/>
      <c r="AN231" s="377"/>
      <c r="AO231" s="377"/>
      <c r="AP231" s="377"/>
      <c r="AQ231" s="377"/>
      <c r="AR231" s="377"/>
      <c r="AS231" s="377"/>
      <c r="AT231" s="377"/>
      <c r="AU231" s="377"/>
      <c r="AV231" s="377"/>
      <c r="AW231" s="377"/>
      <c r="AX231" s="331"/>
    </row>
    <row r="232" spans="1:50" x14ac:dyDescent="0.2">
      <c r="A232" s="1050"/>
      <c r="B232" s="1019"/>
      <c r="C232" s="1051"/>
      <c r="D232" s="1040"/>
      <c r="E232" s="1270"/>
      <c r="F232" s="1267"/>
      <c r="G232" s="1115"/>
      <c r="H232" s="1104"/>
      <c r="I232" s="1046"/>
      <c r="J232" s="377"/>
      <c r="K232" s="701"/>
      <c r="L232" s="482"/>
      <c r="M232" s="851"/>
      <c r="N232" s="663"/>
      <c r="O232" s="651"/>
      <c r="P232" s="1008"/>
      <c r="Q232" s="1009"/>
      <c r="R232" s="375"/>
      <c r="S232" s="376"/>
      <c r="T232" s="375"/>
      <c r="U232" s="625"/>
      <c r="V232" s="560"/>
      <c r="W232" s="606"/>
      <c r="X232" s="377"/>
      <c r="Y232" s="606"/>
      <c r="Z232" s="377"/>
      <c r="AA232" s="606"/>
      <c r="AB232" s="707"/>
      <c r="AC232" s="331"/>
      <c r="AD232" s="377"/>
      <c r="AE232" s="377"/>
      <c r="AF232" s="377"/>
      <c r="AG232" s="377"/>
      <c r="AH232" s="377"/>
      <c r="AI232" s="377"/>
      <c r="AJ232" s="377"/>
      <c r="AK232" s="377"/>
      <c r="AL232" s="377"/>
      <c r="AM232" s="377"/>
      <c r="AN232" s="377"/>
      <c r="AO232" s="377"/>
      <c r="AP232" s="377"/>
      <c r="AQ232" s="377"/>
      <c r="AR232" s="377"/>
      <c r="AS232" s="377"/>
      <c r="AT232" s="377"/>
      <c r="AU232" s="377"/>
      <c r="AV232" s="377"/>
      <c r="AW232" s="377"/>
      <c r="AX232" s="331"/>
    </row>
    <row r="233" spans="1:50" x14ac:dyDescent="0.2">
      <c r="A233" s="1050"/>
      <c r="B233" s="1019"/>
      <c r="C233" s="1051"/>
      <c r="D233" s="1040"/>
      <c r="E233" s="1270"/>
      <c r="F233" s="1267"/>
      <c r="G233" s="1115"/>
      <c r="H233" s="1104"/>
      <c r="I233" s="1046"/>
      <c r="J233" s="377"/>
      <c r="K233" s="701"/>
      <c r="L233" s="482"/>
      <c r="M233" s="851"/>
      <c r="N233" s="663"/>
      <c r="O233" s="651"/>
      <c r="P233" s="1008"/>
      <c r="Q233" s="1009"/>
      <c r="R233" s="375"/>
      <c r="S233" s="376"/>
      <c r="T233" s="375"/>
      <c r="U233" s="625"/>
      <c r="V233" s="560"/>
      <c r="W233" s="606"/>
      <c r="X233" s="377"/>
      <c r="Y233" s="606"/>
      <c r="Z233" s="377"/>
      <c r="AA233" s="606"/>
      <c r="AB233" s="707"/>
      <c r="AC233" s="331"/>
      <c r="AD233" s="377"/>
      <c r="AE233" s="377"/>
      <c r="AF233" s="377"/>
      <c r="AG233" s="377"/>
      <c r="AH233" s="377"/>
      <c r="AI233" s="377"/>
      <c r="AJ233" s="377"/>
      <c r="AK233" s="377"/>
      <c r="AL233" s="377"/>
      <c r="AM233" s="377"/>
      <c r="AN233" s="377"/>
      <c r="AO233" s="377"/>
      <c r="AP233" s="377"/>
      <c r="AQ233" s="377"/>
      <c r="AR233" s="377"/>
      <c r="AS233" s="377"/>
      <c r="AT233" s="377"/>
      <c r="AU233" s="377"/>
      <c r="AV233" s="377"/>
      <c r="AW233" s="377"/>
      <c r="AX233" s="331"/>
    </row>
    <row r="234" spans="1:50" x14ac:dyDescent="0.2">
      <c r="A234" s="1050"/>
      <c r="B234" s="1019"/>
      <c r="C234" s="1051"/>
      <c r="D234" s="1040"/>
      <c r="E234" s="1270"/>
      <c r="F234" s="1267"/>
      <c r="G234" s="1115"/>
      <c r="H234" s="1104"/>
      <c r="I234" s="1046"/>
      <c r="J234" s="377"/>
      <c r="K234" s="701"/>
      <c r="L234" s="482"/>
      <c r="M234" s="851"/>
      <c r="N234" s="663"/>
      <c r="O234" s="651"/>
      <c r="P234" s="1008"/>
      <c r="Q234" s="1009"/>
      <c r="R234" s="375"/>
      <c r="S234" s="376"/>
      <c r="T234" s="375"/>
      <c r="U234" s="625"/>
      <c r="V234" s="560"/>
      <c r="W234" s="606"/>
      <c r="X234" s="377"/>
      <c r="Y234" s="606"/>
      <c r="Z234" s="377"/>
      <c r="AA234" s="606"/>
      <c r="AB234" s="707"/>
      <c r="AC234" s="331"/>
      <c r="AD234" s="377"/>
      <c r="AE234" s="377"/>
      <c r="AF234" s="377"/>
      <c r="AG234" s="377"/>
      <c r="AH234" s="377"/>
      <c r="AI234" s="377"/>
      <c r="AJ234" s="377"/>
      <c r="AK234" s="377"/>
      <c r="AL234" s="377"/>
      <c r="AM234" s="377"/>
      <c r="AN234" s="377"/>
      <c r="AO234" s="377"/>
      <c r="AP234" s="377"/>
      <c r="AQ234" s="377"/>
      <c r="AR234" s="377"/>
      <c r="AS234" s="377"/>
      <c r="AT234" s="377"/>
      <c r="AU234" s="377"/>
      <c r="AV234" s="377"/>
      <c r="AW234" s="377"/>
      <c r="AX234" s="331"/>
    </row>
    <row r="235" spans="1:50" x14ac:dyDescent="0.2">
      <c r="A235" s="1050"/>
      <c r="B235" s="1019"/>
      <c r="C235" s="1019"/>
      <c r="D235" s="1019"/>
      <c r="E235" s="1271"/>
      <c r="F235" s="1267"/>
      <c r="G235" s="1115"/>
      <c r="H235" s="1104"/>
      <c r="I235" s="1046"/>
      <c r="J235" s="377"/>
      <c r="K235" s="701"/>
      <c r="L235" s="482"/>
      <c r="M235" s="851"/>
      <c r="N235" s="663">
        <v>0</v>
      </c>
      <c r="O235" s="702"/>
      <c r="P235" s="1008">
        <f t="shared" ref="P235:P236" si="15">ROUND(IF(O235="SI",AK235*(100%+$P$4),0),-4)</f>
        <v>0</v>
      </c>
      <c r="Q235" s="1009">
        <v>0</v>
      </c>
      <c r="R235" s="375">
        <v>0</v>
      </c>
      <c r="S235" s="376"/>
      <c r="T235" s="375"/>
      <c r="U235" s="625"/>
      <c r="V235" s="560">
        <f t="shared" ref="V235" si="16">+X235+Z235+AB235</f>
        <v>0</v>
      </c>
      <c r="W235" s="606"/>
      <c r="X235" s="377"/>
      <c r="Y235" s="606"/>
      <c r="Z235" s="377"/>
      <c r="AA235" s="606"/>
      <c r="AB235" s="707"/>
      <c r="AC235" s="331"/>
      <c r="AD235" s="377">
        <f>SUMIF('Asesorías AG anterior'!$B$7:$B$236,B235,'Asesorías AG anterior'!$I$7:$I$236)</f>
        <v>0</v>
      </c>
      <c r="AE235" s="377">
        <f>SUMIF('Asesorías AG anterior'!$B$7:$B$236,B235,'Asesorías AG anterior'!$J$7:$J$236)</f>
        <v>0</v>
      </c>
      <c r="AF235" s="377">
        <f>SUMIF('Asesorías AG anterior'!$B$7:$B$236,B235,'Asesorías AG anterior'!$K$7:$K$236)</f>
        <v>0</v>
      </c>
      <c r="AG235" s="377">
        <f>SUMIF('Asesorías AG anterior'!$B$7:$B$236,B235,'Asesorías AG anterior'!$L$7:$L$236)</f>
        <v>0</v>
      </c>
      <c r="AH235" s="377">
        <f>SUMIF('Asesorías AG anterior'!$B$7:$B$236,B235,'Asesorías AG anterior'!$M$7:$M$236)</f>
        <v>0</v>
      </c>
      <c r="AI235" s="377">
        <f>SUMIF('Asesorías AG anterior'!$B$7:$B$236,B235,'Asesorías AG anterior'!$N$7:$N$236)</f>
        <v>0</v>
      </c>
      <c r="AJ235" s="377">
        <f>SUMIF('Asesorías AG anterior'!$B$7:$B$236,B235,'Asesorías AG anterior'!$O$7:$O$236)</f>
        <v>0</v>
      </c>
      <c r="AK235" s="377">
        <f>SUMIF('Asesorías AG anterior'!$B$7:$B$236,B235,'Asesorías AG anterior'!$P$7:$P$236)</f>
        <v>0</v>
      </c>
      <c r="AL235" s="377">
        <f>SUMIF('Asesorías AG anterior'!$B$7:$B$236,B235,'Asesorías AG anterior'!$Q$7:$Q$236)</f>
        <v>0</v>
      </c>
      <c r="AM235" s="377">
        <f>SUMIF('Asesorías AG anterior'!$B$7:$B$236,B235,'Asesorías AG anterior'!$R$7:$R$236)</f>
        <v>0</v>
      </c>
      <c r="AN235" s="377"/>
      <c r="AO235" s="377">
        <f>SUMIF('Asesorías AG anterior'!$B$7:$B$236,B235,'Asesorías AG anterior'!$T$7:$T$236)</f>
        <v>0</v>
      </c>
      <c r="AP235" s="377">
        <f>SUMIF('Asesorías AG anterior'!$B$7:$B$236,B235,'Asesorías AG anterior'!$U$7:$U$236)</f>
        <v>0</v>
      </c>
      <c r="AQ235" s="377">
        <f>SUMIF('Asesorías AG anterior'!$B$7:$B$236,B235,'Asesorías AG anterior'!$V$7:$V$236)</f>
        <v>0</v>
      </c>
      <c r="AR235" s="377">
        <f>SUMIF('Asesorías AG anterior'!$B$7:$B$236,B235,'Asesorías AG anterior'!$W$7:$W$236)</f>
        <v>0</v>
      </c>
      <c r="AS235" s="377">
        <f>SUMIF('Asesorías AG anterior'!$B$7:$B$236,B235,'Asesorías AG anterior'!$X$7:$X$236)</f>
        <v>0</v>
      </c>
      <c r="AT235" s="377">
        <f>SUMIF('Asesorías AG anterior'!$B$7:$B$236,B235,'Asesorías AG anterior'!$Y$7:$Y$236)</f>
        <v>0</v>
      </c>
      <c r="AU235" s="377">
        <f>SUMIF('Asesorías AG anterior'!$B$7:$B$236,B235,'Asesorías AG anterior'!$Z$7:$Z$236)</f>
        <v>0</v>
      </c>
      <c r="AV235" s="377">
        <f>SUMIF('Asesorías AG anterior'!$B$7:$B$236,B235,'Asesorías AG anterior'!$AA$7:$AA$236)</f>
        <v>0</v>
      </c>
      <c r="AW235" s="377">
        <f>SUMIF('Asesorías AG anterior'!$B$7:$B$236,B235,'Asesorías AG anterior'!$AB$7:$AB$236)</f>
        <v>0</v>
      </c>
      <c r="AX235" s="331"/>
    </row>
    <row r="236" spans="1:50" x14ac:dyDescent="0.2">
      <c r="A236" s="1050"/>
      <c r="B236" s="1019"/>
      <c r="C236" s="1019"/>
      <c r="D236" s="1019"/>
      <c r="E236" s="1271"/>
      <c r="F236" s="1267"/>
      <c r="G236" s="1115"/>
      <c r="H236" s="1104"/>
      <c r="I236" s="1046"/>
      <c r="J236" s="377"/>
      <c r="K236" s="701"/>
      <c r="L236" s="482"/>
      <c r="M236" s="851"/>
      <c r="N236" s="663">
        <v>0</v>
      </c>
      <c r="O236" s="702"/>
      <c r="P236" s="1008">
        <f t="shared" si="15"/>
        <v>0</v>
      </c>
      <c r="Q236" s="1009">
        <v>0</v>
      </c>
      <c r="R236" s="375">
        <v>0</v>
      </c>
      <c r="S236" s="376"/>
      <c r="T236" s="375"/>
      <c r="U236" s="625"/>
      <c r="V236" s="560">
        <f t="shared" ref="V236:V238" si="17">+X236+Z236+AB236</f>
        <v>0</v>
      </c>
      <c r="W236" s="606"/>
      <c r="X236" s="377"/>
      <c r="Y236" s="606"/>
      <c r="Z236" s="377"/>
      <c r="AA236" s="606"/>
      <c r="AB236" s="707"/>
      <c r="AC236" s="331"/>
      <c r="AD236" s="377">
        <f>SUMIF('Asesorías AG anterior'!$B$7:$B$236,B236,'Asesorías AG anterior'!$I$7:$I$236)</f>
        <v>0</v>
      </c>
      <c r="AE236" s="377">
        <f>SUMIF('Asesorías AG anterior'!$B$7:$B$236,B236,'Asesorías AG anterior'!$J$7:$J$236)</f>
        <v>0</v>
      </c>
      <c r="AF236" s="377">
        <f>SUMIF('Asesorías AG anterior'!$B$7:$B$236,B236,'Asesorías AG anterior'!$K$7:$K$236)</f>
        <v>0</v>
      </c>
      <c r="AG236" s="377">
        <f>SUMIF('Asesorías AG anterior'!$B$7:$B$236,B236,'Asesorías AG anterior'!$L$7:$L$236)</f>
        <v>0</v>
      </c>
      <c r="AH236" s="377">
        <f>SUMIF('Asesorías AG anterior'!$B$7:$B$236,B236,'Asesorías AG anterior'!$M$7:$M$236)</f>
        <v>0</v>
      </c>
      <c r="AI236" s="377">
        <f>SUMIF('Asesorías AG anterior'!$B$7:$B$236,B236,'Asesorías AG anterior'!$N$7:$N$236)</f>
        <v>0</v>
      </c>
      <c r="AJ236" s="377">
        <f>SUMIF('Asesorías AG anterior'!$B$7:$B$236,B236,'Asesorías AG anterior'!$O$7:$O$236)</f>
        <v>0</v>
      </c>
      <c r="AK236" s="377">
        <f>SUMIF('Asesorías AG anterior'!$B$7:$B$236,B236,'Asesorías AG anterior'!$P$7:$P$236)</f>
        <v>0</v>
      </c>
      <c r="AL236" s="377">
        <f>SUMIF('Asesorías AG anterior'!$B$7:$B$236,B236,'Asesorías AG anterior'!$Q$7:$Q$236)</f>
        <v>0</v>
      </c>
      <c r="AM236" s="377">
        <f>SUMIF('Asesorías AG anterior'!$B$7:$B$236,B236,'Asesorías AG anterior'!$R$7:$R$236)</f>
        <v>0</v>
      </c>
      <c r="AN236" s="377"/>
      <c r="AO236" s="377">
        <f>SUMIF('Asesorías AG anterior'!$B$7:$B$236,B236,'Asesorías AG anterior'!$T$7:$T$236)</f>
        <v>0</v>
      </c>
      <c r="AP236" s="377">
        <f>SUMIF('Asesorías AG anterior'!$B$7:$B$236,B236,'Asesorías AG anterior'!$U$7:$U$236)</f>
        <v>0</v>
      </c>
      <c r="AQ236" s="377">
        <f>SUMIF('Asesorías AG anterior'!$B$7:$B$236,B236,'Asesorías AG anterior'!$V$7:$V$236)</f>
        <v>0</v>
      </c>
      <c r="AR236" s="377">
        <f>SUMIF('Asesorías AG anterior'!$B$7:$B$236,B236,'Asesorías AG anterior'!$W$7:$W$236)</f>
        <v>0</v>
      </c>
      <c r="AS236" s="377">
        <f>SUMIF('Asesorías AG anterior'!$B$7:$B$236,B236,'Asesorías AG anterior'!$X$7:$X$236)</f>
        <v>0</v>
      </c>
      <c r="AT236" s="377">
        <f>SUMIF('Asesorías AG anterior'!$B$7:$B$236,B236,'Asesorías AG anterior'!$Y$7:$Y$236)</f>
        <v>0</v>
      </c>
      <c r="AU236" s="377">
        <f>SUMIF('Asesorías AG anterior'!$B$7:$B$236,B236,'Asesorías AG anterior'!$Z$7:$Z$236)</f>
        <v>0</v>
      </c>
      <c r="AV236" s="377">
        <f>SUMIF('Asesorías AG anterior'!$B$7:$B$236,B236,'Asesorías AG anterior'!$AA$7:$AA$236)</f>
        <v>0</v>
      </c>
      <c r="AW236" s="377">
        <f>SUMIF('Asesorías AG anterior'!$B$7:$B$236,B236,'Asesorías AG anterior'!$AB$7:$AB$236)</f>
        <v>0</v>
      </c>
      <c r="AX236" s="331"/>
    </row>
    <row r="237" spans="1:50" x14ac:dyDescent="0.2">
      <c r="A237" s="1050"/>
      <c r="B237" s="1019"/>
      <c r="C237" s="1019"/>
      <c r="D237" s="1019"/>
      <c r="E237" s="1271"/>
      <c r="F237" s="1267"/>
      <c r="G237" s="1115"/>
      <c r="H237" s="1104"/>
      <c r="I237" s="1046"/>
      <c r="J237" s="377"/>
      <c r="K237" s="701"/>
      <c r="L237" s="482"/>
      <c r="M237" s="851"/>
      <c r="N237" s="663">
        <v>0</v>
      </c>
      <c r="O237" s="702"/>
      <c r="P237" s="1008">
        <f t="shared" ref="P237:P238" si="18">ROUND(IF(O237="SI",AK237*(100%+$P$4),0),-4)</f>
        <v>0</v>
      </c>
      <c r="Q237" s="1009">
        <v>0</v>
      </c>
      <c r="R237" s="375">
        <v>0</v>
      </c>
      <c r="S237" s="376"/>
      <c r="T237" s="375"/>
      <c r="U237" s="625"/>
      <c r="V237" s="560">
        <f t="shared" si="17"/>
        <v>0</v>
      </c>
      <c r="W237" s="606"/>
      <c r="X237" s="377"/>
      <c r="Y237" s="606"/>
      <c r="Z237" s="377"/>
      <c r="AA237" s="606"/>
      <c r="AB237" s="707"/>
      <c r="AC237" s="331"/>
      <c r="AD237" s="377">
        <f>SUMIF('Asesorías AG anterior'!$B$7:$B$236,B237,'Asesorías AG anterior'!$I$7:$I$236)</f>
        <v>0</v>
      </c>
      <c r="AE237" s="377">
        <f>SUMIF('Asesorías AG anterior'!$B$7:$B$236,B237,'Asesorías AG anterior'!$J$7:$J$236)</f>
        <v>0</v>
      </c>
      <c r="AF237" s="377">
        <f>SUMIF('Asesorías AG anterior'!$B$7:$B$236,B237,'Asesorías AG anterior'!$K$7:$K$236)</f>
        <v>0</v>
      </c>
      <c r="AG237" s="377">
        <f>SUMIF('Asesorías AG anterior'!$B$7:$B$236,B237,'Asesorías AG anterior'!$L$7:$L$236)</f>
        <v>0</v>
      </c>
      <c r="AH237" s="377">
        <f>SUMIF('Asesorías AG anterior'!$B$7:$B$236,B237,'Asesorías AG anterior'!$M$7:$M$236)</f>
        <v>0</v>
      </c>
      <c r="AI237" s="377">
        <f>SUMIF('Asesorías AG anterior'!$B$7:$B$236,B237,'Asesorías AG anterior'!$N$7:$N$236)</f>
        <v>0</v>
      </c>
      <c r="AJ237" s="377">
        <f>SUMIF('Asesorías AG anterior'!$B$7:$B$236,B237,'Asesorías AG anterior'!$O$7:$O$236)</f>
        <v>0</v>
      </c>
      <c r="AK237" s="377">
        <f>SUMIF('Asesorías AG anterior'!$B$7:$B$236,B237,'Asesorías AG anterior'!$P$7:$P$236)</f>
        <v>0</v>
      </c>
      <c r="AL237" s="377">
        <f>SUMIF('Asesorías AG anterior'!$B$7:$B$236,B237,'Asesorías AG anterior'!$Q$7:$Q$236)</f>
        <v>0</v>
      </c>
      <c r="AM237" s="377">
        <f>SUMIF('Asesorías AG anterior'!$B$7:$B$236,B237,'Asesorías AG anterior'!$R$7:$R$236)</f>
        <v>0</v>
      </c>
      <c r="AN237" s="377"/>
      <c r="AO237" s="377">
        <f>SUMIF('Asesorías AG anterior'!$B$7:$B$236,B237,'Asesorías AG anterior'!$T$7:$T$236)</f>
        <v>0</v>
      </c>
      <c r="AP237" s="377">
        <f>SUMIF('Asesorías AG anterior'!$B$7:$B$236,B237,'Asesorías AG anterior'!$U$7:$U$236)</f>
        <v>0</v>
      </c>
      <c r="AQ237" s="377">
        <f>SUMIF('Asesorías AG anterior'!$B$7:$B$236,B237,'Asesorías AG anterior'!$V$7:$V$236)</f>
        <v>0</v>
      </c>
      <c r="AR237" s="377">
        <f>SUMIF('Asesorías AG anterior'!$B$7:$B$236,B237,'Asesorías AG anterior'!$W$7:$W$236)</f>
        <v>0</v>
      </c>
      <c r="AS237" s="377">
        <f>SUMIF('Asesorías AG anterior'!$B$7:$B$236,B237,'Asesorías AG anterior'!$X$7:$X$236)</f>
        <v>0</v>
      </c>
      <c r="AT237" s="377">
        <f>SUMIF('Asesorías AG anterior'!$B$7:$B$236,B237,'Asesorías AG anterior'!$Y$7:$Y$236)</f>
        <v>0</v>
      </c>
      <c r="AU237" s="377">
        <f>SUMIF('Asesorías AG anterior'!$B$7:$B$236,B237,'Asesorías AG anterior'!$Z$7:$Z$236)</f>
        <v>0</v>
      </c>
      <c r="AV237" s="377">
        <f>SUMIF('Asesorías AG anterior'!$B$7:$B$236,B237,'Asesorías AG anterior'!$AA$7:$AA$236)</f>
        <v>0</v>
      </c>
      <c r="AW237" s="377">
        <f>SUMIF('Asesorías AG anterior'!$B$7:$B$236,B237,'Asesorías AG anterior'!$AB$7:$AB$236)</f>
        <v>0</v>
      </c>
      <c r="AX237" s="331"/>
    </row>
    <row r="238" spans="1:50" x14ac:dyDescent="0.2">
      <c r="A238" s="1050"/>
      <c r="B238" s="1019"/>
      <c r="C238" s="1019"/>
      <c r="D238" s="1019"/>
      <c r="E238" s="1271"/>
      <c r="F238" s="1267"/>
      <c r="G238" s="1115"/>
      <c r="H238" s="1104"/>
      <c r="I238" s="1046"/>
      <c r="J238" s="377"/>
      <c r="K238" s="701"/>
      <c r="L238" s="482"/>
      <c r="M238" s="851"/>
      <c r="N238" s="663">
        <v>0</v>
      </c>
      <c r="O238" s="702"/>
      <c r="P238" s="1008">
        <f t="shared" si="18"/>
        <v>0</v>
      </c>
      <c r="Q238" s="1009">
        <v>0</v>
      </c>
      <c r="R238" s="375">
        <v>0</v>
      </c>
      <c r="S238" s="376"/>
      <c r="T238" s="375"/>
      <c r="U238" s="625"/>
      <c r="V238" s="560">
        <f t="shared" si="17"/>
        <v>0</v>
      </c>
      <c r="W238" s="606"/>
      <c r="X238" s="377"/>
      <c r="Y238" s="606"/>
      <c r="Z238" s="377"/>
      <c r="AA238" s="606"/>
      <c r="AB238" s="707"/>
      <c r="AC238" s="331"/>
      <c r="AD238" s="377">
        <f>SUMIF('Asesorías AG anterior'!$B$7:$B$236,B238,'Asesorías AG anterior'!$I$7:$I$236)</f>
        <v>0</v>
      </c>
      <c r="AE238" s="377">
        <f>SUMIF('Asesorías AG anterior'!$B$7:$B$236,B238,'Asesorías AG anterior'!$J$7:$J$236)</f>
        <v>0</v>
      </c>
      <c r="AF238" s="377">
        <f>SUMIF('Asesorías AG anterior'!$B$7:$B$236,B238,'Asesorías AG anterior'!$K$7:$K$236)</f>
        <v>0</v>
      </c>
      <c r="AG238" s="377">
        <f>SUMIF('Asesorías AG anterior'!$B$7:$B$236,B238,'Asesorías AG anterior'!$L$7:$L$236)</f>
        <v>0</v>
      </c>
      <c r="AH238" s="377">
        <f>SUMIF('Asesorías AG anterior'!$B$7:$B$236,B238,'Asesorías AG anterior'!$M$7:$M$236)</f>
        <v>0</v>
      </c>
      <c r="AI238" s="377">
        <f>SUMIF('Asesorías AG anterior'!$B$7:$B$236,B238,'Asesorías AG anterior'!$N$7:$N$236)</f>
        <v>0</v>
      </c>
      <c r="AJ238" s="377">
        <f>SUMIF('Asesorías AG anterior'!$B$7:$B$236,B238,'Asesorías AG anterior'!$O$7:$O$236)</f>
        <v>0</v>
      </c>
      <c r="AK238" s="377">
        <f>SUMIF('Asesorías AG anterior'!$B$7:$B$236,B238,'Asesorías AG anterior'!$P$7:$P$236)</f>
        <v>0</v>
      </c>
      <c r="AL238" s="377">
        <f>SUMIF('Asesorías AG anterior'!$B$7:$B$236,B238,'Asesorías AG anterior'!$Q$7:$Q$236)</f>
        <v>0</v>
      </c>
      <c r="AM238" s="377">
        <f>SUMIF('Asesorías AG anterior'!$B$7:$B$236,B238,'Asesorías AG anterior'!$R$7:$R$236)</f>
        <v>0</v>
      </c>
      <c r="AN238" s="377"/>
      <c r="AO238" s="377">
        <f>SUMIF('Asesorías AG anterior'!$B$7:$B$236,B238,'Asesorías AG anterior'!$T$7:$T$236)</f>
        <v>0</v>
      </c>
      <c r="AP238" s="377">
        <f>SUMIF('Asesorías AG anterior'!$B$7:$B$236,B238,'Asesorías AG anterior'!$U$7:$U$236)</f>
        <v>0</v>
      </c>
      <c r="AQ238" s="377">
        <f>SUMIF('Asesorías AG anterior'!$B$7:$B$236,B238,'Asesorías AG anterior'!$V$7:$V$236)</f>
        <v>0</v>
      </c>
      <c r="AR238" s="377">
        <f>SUMIF('Asesorías AG anterior'!$B$7:$B$236,B238,'Asesorías AG anterior'!$W$7:$W$236)</f>
        <v>0</v>
      </c>
      <c r="AS238" s="377">
        <f>SUMIF('Asesorías AG anterior'!$B$7:$B$236,B238,'Asesorías AG anterior'!$X$7:$X$236)</f>
        <v>0</v>
      </c>
      <c r="AT238" s="377">
        <f>SUMIF('Asesorías AG anterior'!$B$7:$B$236,B238,'Asesorías AG anterior'!$Y$7:$Y$236)</f>
        <v>0</v>
      </c>
      <c r="AU238" s="377">
        <f>SUMIF('Asesorías AG anterior'!$B$7:$B$236,B238,'Asesorías AG anterior'!$Z$7:$Z$236)</f>
        <v>0</v>
      </c>
      <c r="AV238" s="377">
        <f>SUMIF('Asesorías AG anterior'!$B$7:$B$236,B238,'Asesorías AG anterior'!$AA$7:$AA$236)</f>
        <v>0</v>
      </c>
      <c r="AW238" s="377">
        <f>SUMIF('Asesorías AG anterior'!$B$7:$B$236,B238,'Asesorías AG anterior'!$AB$7:$AB$236)</f>
        <v>0</v>
      </c>
      <c r="AX238" s="331"/>
    </row>
    <row r="239" spans="1:50" ht="13.5" thickBot="1" x14ac:dyDescent="0.25">
      <c r="A239" s="387"/>
      <c r="B239" s="731"/>
      <c r="C239" s="777"/>
      <c r="D239" s="777"/>
      <c r="E239" s="1272"/>
      <c r="F239" s="1268"/>
      <c r="G239" s="1116"/>
      <c r="H239" s="1105"/>
      <c r="I239" s="1106"/>
      <c r="J239" s="732"/>
      <c r="K239" s="703"/>
      <c r="L239" s="510"/>
      <c r="M239" s="852"/>
      <c r="N239" s="704"/>
      <c r="O239" s="705"/>
      <c r="P239" s="733"/>
      <c r="Q239" s="734"/>
      <c r="R239" s="386"/>
      <c r="S239" s="735"/>
      <c r="T239" s="386"/>
      <c r="U239" s="736"/>
      <c r="V239" s="623"/>
      <c r="W239" s="624"/>
      <c r="X239" s="732"/>
      <c r="Y239" s="624"/>
      <c r="Z239" s="732"/>
      <c r="AA239" s="624"/>
      <c r="AB239" s="737"/>
      <c r="AC239" s="331"/>
      <c r="AD239" s="375"/>
      <c r="AE239" s="375"/>
      <c r="AF239" s="375"/>
      <c r="AG239" s="375"/>
      <c r="AH239" s="375"/>
      <c r="AI239" s="375"/>
      <c r="AJ239" s="375"/>
      <c r="AK239" s="375"/>
      <c r="AL239" s="375"/>
      <c r="AM239" s="375"/>
      <c r="AN239" s="376"/>
      <c r="AO239" s="375"/>
      <c r="AP239" s="375"/>
      <c r="AQ239" s="377"/>
      <c r="AR239" s="377"/>
      <c r="AS239" s="377"/>
      <c r="AT239" s="377"/>
      <c r="AU239" s="377"/>
      <c r="AV239" s="377"/>
      <c r="AW239" s="377"/>
      <c r="AX239" s="331"/>
    </row>
    <row r="240" spans="1:50" ht="13.5" thickBot="1" x14ac:dyDescent="0.25">
      <c r="A240" s="716"/>
      <c r="B240" s="717" t="s">
        <v>103</v>
      </c>
      <c r="C240" s="778"/>
      <c r="D240" s="778"/>
      <c r="E240" s="778"/>
      <c r="F240" s="718">
        <f>SUM(F6:F239)</f>
        <v>484948.68328320002</v>
      </c>
      <c r="G240" s="1117"/>
      <c r="H240" s="1107"/>
      <c r="I240" s="1108"/>
      <c r="J240" s="719">
        <f>SUM(J6:J239)</f>
        <v>384948.68328320002</v>
      </c>
      <c r="K240" s="720"/>
      <c r="L240" s="721">
        <f>SUM(L6:L239)</f>
        <v>0</v>
      </c>
      <c r="M240" s="853"/>
      <c r="N240" s="722">
        <f>SUM(N6:N239)</f>
        <v>0</v>
      </c>
      <c r="O240" s="723"/>
      <c r="P240" s="724">
        <f>SUM(P6:P239)</f>
        <v>50000</v>
      </c>
      <c r="Q240" s="725">
        <f>SUM(Q6:Q239)</f>
        <v>0</v>
      </c>
      <c r="R240" s="726">
        <f>SUM(R6:R239)</f>
        <v>50000</v>
      </c>
      <c r="S240" s="727"/>
      <c r="T240" s="229"/>
      <c r="U240" s="718">
        <f>SUM(U7:U239)</f>
        <v>0</v>
      </c>
      <c r="V240" s="728">
        <f>SUM(V7:V239)</f>
        <v>0</v>
      </c>
      <c r="W240" s="729"/>
      <c r="X240" s="719">
        <f>SUM(X7:X239)</f>
        <v>0</v>
      </c>
      <c r="Y240" s="729"/>
      <c r="Z240" s="719">
        <f>SUM(Z7:Z239)</f>
        <v>0</v>
      </c>
      <c r="AA240" s="729"/>
      <c r="AB240" s="730">
        <f>SUM(AB7:AB239)</f>
        <v>0</v>
      </c>
      <c r="AC240" s="331"/>
      <c r="AD240" s="383"/>
      <c r="AE240" s="675">
        <f>SUM(AE7:AE239)</f>
        <v>365920.80160000001</v>
      </c>
      <c r="AF240" s="375"/>
      <c r="AG240" s="675">
        <f>SUM(AG7:AG239)</f>
        <v>0</v>
      </c>
      <c r="AH240" s="375"/>
      <c r="AI240" s="675">
        <f>SUM(AI7:AI239)</f>
        <v>0</v>
      </c>
      <c r="AJ240" s="383"/>
      <c r="AK240" s="675">
        <f>SUM(AK7:AK239)</f>
        <v>70000</v>
      </c>
      <c r="AL240" s="675">
        <f>SUM(AL7:AL239)</f>
        <v>0</v>
      </c>
      <c r="AM240" s="675">
        <f>SUM(AM7:AM239)</f>
        <v>0</v>
      </c>
      <c r="AN240" s="675">
        <f>SUM(AN7:AN239)</f>
        <v>0</v>
      </c>
      <c r="AO240" s="375"/>
      <c r="AP240" s="675">
        <f t="shared" ref="AP240:AW240" si="19">SUM(AP7:AP239)</f>
        <v>0</v>
      </c>
      <c r="AQ240" s="675">
        <f t="shared" si="19"/>
        <v>0</v>
      </c>
      <c r="AR240" s="675">
        <f t="shared" si="19"/>
        <v>0</v>
      </c>
      <c r="AS240" s="675">
        <f t="shared" si="19"/>
        <v>0</v>
      </c>
      <c r="AT240" s="675">
        <f t="shared" si="19"/>
        <v>0</v>
      </c>
      <c r="AU240" s="675">
        <f t="shared" si="19"/>
        <v>0</v>
      </c>
      <c r="AV240" s="675">
        <f t="shared" si="19"/>
        <v>0</v>
      </c>
      <c r="AW240" s="675">
        <f t="shared" si="19"/>
        <v>0</v>
      </c>
      <c r="AX240" s="331"/>
    </row>
    <row r="241" spans="1:50" x14ac:dyDescent="0.2">
      <c r="A241" s="683"/>
      <c r="B241" s="333"/>
      <c r="C241" s="333"/>
      <c r="D241" s="333"/>
      <c r="E241" s="333"/>
      <c r="F241" s="332"/>
      <c r="G241" s="1114"/>
      <c r="H241" s="332"/>
      <c r="AC241" s="331"/>
      <c r="AD241" s="677"/>
      <c r="AE241" s="678"/>
      <c r="AF241" s="679"/>
      <c r="AG241" s="678"/>
      <c r="AH241" s="679"/>
      <c r="AI241" s="679"/>
      <c r="AJ241" s="679"/>
      <c r="AK241" s="679"/>
      <c r="AL241" s="679"/>
      <c r="AM241" s="680"/>
      <c r="AN241" s="678"/>
      <c r="AO241" s="679"/>
      <c r="AP241" s="681"/>
      <c r="AX241" s="331"/>
    </row>
    <row r="242" spans="1:50" x14ac:dyDescent="0.2">
      <c r="A242" s="334"/>
      <c r="B242" s="335"/>
      <c r="C242" s="335"/>
      <c r="D242" s="335"/>
      <c r="E242" s="335"/>
      <c r="F242" s="336"/>
      <c r="G242" s="700"/>
      <c r="H242" s="336"/>
      <c r="I242" s="666"/>
      <c r="J242" s="340"/>
      <c r="K242" s="336"/>
      <c r="L242" s="331"/>
      <c r="M242" s="854"/>
      <c r="N242" s="664"/>
      <c r="O242" s="670"/>
      <c r="P242" s="671"/>
      <c r="Q242" s="674"/>
      <c r="R242" s="676"/>
      <c r="S242" s="342"/>
      <c r="T242" s="331"/>
      <c r="U242" s="331"/>
      <c r="V242" s="700"/>
      <c r="W242" s="700"/>
      <c r="X242" s="340"/>
      <c r="Y242" s="700"/>
      <c r="Z242" s="340"/>
      <c r="AA242" s="700"/>
      <c r="AB242" s="340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</row>
    <row r="243" spans="1:50" x14ac:dyDescent="0.2">
      <c r="A243" s="846">
        <f>+Facturas!D82+'Cuentas de Cobro'!D215</f>
        <v>29</v>
      </c>
      <c r="C243" s="699"/>
      <c r="D243" s="699"/>
      <c r="E243" s="699"/>
      <c r="F243" s="332"/>
      <c r="G243" s="1114"/>
      <c r="H243" s="332"/>
    </row>
    <row r="244" spans="1:50" x14ac:dyDescent="0.2">
      <c r="A244" s="847">
        <f>+A234-A243</f>
        <v>-29</v>
      </c>
      <c r="B244" s="699"/>
      <c r="C244" s="699"/>
      <c r="D244" s="699"/>
      <c r="E244" s="699"/>
      <c r="F244" s="332"/>
      <c r="G244" s="1114"/>
      <c r="H244" s="332"/>
    </row>
    <row r="248" spans="1:50" x14ac:dyDescent="0.2">
      <c r="A248" s="1265" t="s">
        <v>254</v>
      </c>
      <c r="B248" s="1246"/>
    </row>
  </sheetData>
  <phoneticPr fontId="97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FCA3-1316-4A15-B32F-587711932475}">
  <sheetPr codeName="Hoja8">
    <tabColor rgb="FFFF0000"/>
  </sheetPr>
  <dimension ref="A1:IT93"/>
  <sheetViews>
    <sheetView showGridLines="0"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15" sqref="A15"/>
    </sheetView>
  </sheetViews>
  <sheetFormatPr baseColWidth="10" defaultColWidth="9.6640625" defaultRowHeight="12.75" x14ac:dyDescent="0.2"/>
  <cols>
    <col min="1" max="1" width="4.6640625" style="171" customWidth="1"/>
    <col min="2" max="2" width="41.5546875" style="22" customWidth="1"/>
    <col min="3" max="3" width="7.6640625" style="486" bestFit="1" customWidth="1"/>
    <col min="4" max="4" width="13.77734375" style="213" customWidth="1"/>
    <col min="5" max="5" width="2.77734375" style="28" customWidth="1"/>
    <col min="6" max="7" width="12.77734375" style="22" customWidth="1"/>
    <col min="8" max="8" width="12.77734375" style="1279" customWidth="1"/>
    <col min="9" max="9" width="13.88671875" style="493" customWidth="1"/>
    <col min="10" max="10" width="12.77734375" style="481" customWidth="1"/>
    <col min="11" max="11" width="12.77734375" style="22" customWidth="1"/>
    <col min="12" max="12" width="10.33203125" style="980" customWidth="1"/>
    <col min="13" max="13" width="10.44140625" style="985" customWidth="1"/>
    <col min="14" max="14" width="20.33203125" style="985" customWidth="1"/>
    <col min="15" max="15" width="16.33203125" style="985" customWidth="1"/>
    <col min="16" max="16" width="12.5546875" style="985" customWidth="1"/>
    <col min="17" max="17" width="13.44140625" style="110" bestFit="1" customWidth="1"/>
    <col min="18" max="18" width="7.77734375" style="110" customWidth="1"/>
    <col min="19" max="19" width="35.77734375" style="325" bestFit="1" customWidth="1"/>
    <col min="20" max="20" width="4.77734375" style="22" customWidth="1"/>
    <col min="21" max="21" width="4.77734375" style="52" customWidth="1"/>
    <col min="22" max="22" width="13.77734375" style="51" customWidth="1"/>
    <col min="23" max="23" width="4.77734375" style="52" customWidth="1"/>
    <col min="24" max="24" width="13.77734375" style="51" customWidth="1"/>
    <col min="25" max="25" width="4.77734375" style="52" customWidth="1"/>
    <col min="26" max="26" width="13.77734375" style="51" customWidth="1"/>
    <col min="27" max="27" width="4.77734375" style="838" customWidth="1"/>
    <col min="28" max="28" width="13.77734375" style="337" customWidth="1"/>
    <col min="29" max="29" width="4.77734375" style="838" customWidth="1"/>
    <col min="30" max="30" width="13.77734375" style="337" customWidth="1"/>
    <col min="31" max="31" width="4.77734375" style="53" customWidth="1"/>
    <col min="32" max="32" width="13.77734375" style="51" customWidth="1"/>
    <col min="33" max="33" width="4.77734375" style="53" customWidth="1"/>
    <col min="34" max="34" width="13.77734375" style="51" customWidth="1"/>
    <col min="35" max="35" width="4.77734375" style="54" customWidth="1"/>
    <col min="36" max="36" width="13.77734375" style="51" customWidth="1"/>
    <col min="37" max="37" width="14.109375" style="493" customWidth="1"/>
    <col min="38" max="38" width="13.77734375" style="51" customWidth="1"/>
    <col min="39" max="39" width="14.88671875" style="55" customWidth="1"/>
    <col min="40" max="40" width="1.6640625" style="22" customWidth="1"/>
    <col min="41" max="41" width="15" style="346" customWidth="1"/>
    <col min="42" max="42" width="11.6640625" style="346" bestFit="1" customWidth="1"/>
    <col min="43" max="43" width="12.77734375" style="346" customWidth="1"/>
    <col min="44" max="64" width="9.6640625" style="346"/>
    <col min="65" max="94" width="9.6640625" style="337"/>
    <col min="95" max="254" width="9.6640625" style="22"/>
    <col min="255" max="16384" width="9.6640625" style="870"/>
  </cols>
  <sheetData>
    <row r="1" spans="1:254" ht="20.100000000000001" customHeight="1" x14ac:dyDescent="0.2">
      <c r="A1" s="164"/>
      <c r="T1" s="24"/>
    </row>
    <row r="2" spans="1:254" ht="25.5" x14ac:dyDescent="0.2">
      <c r="A2" s="164" t="s">
        <v>138</v>
      </c>
      <c r="B2" s="18"/>
      <c r="C2" s="483"/>
      <c r="D2" s="866"/>
      <c r="E2" s="18"/>
      <c r="F2" s="18"/>
      <c r="G2" s="18"/>
      <c r="H2" s="1280"/>
      <c r="I2" s="172"/>
      <c r="J2" s="475"/>
      <c r="K2" s="18"/>
      <c r="L2" s="979"/>
      <c r="M2" s="833"/>
      <c r="N2" s="833"/>
      <c r="O2" s="833"/>
      <c r="P2" s="833"/>
      <c r="Q2" s="785" t="s">
        <v>149</v>
      </c>
      <c r="S2" s="557" t="s">
        <v>150</v>
      </c>
      <c r="T2" s="24"/>
      <c r="U2" s="18" t="s">
        <v>89</v>
      </c>
      <c r="V2" s="18"/>
      <c r="W2" s="18"/>
      <c r="X2" s="18"/>
      <c r="Y2" s="18"/>
      <c r="Z2" s="18"/>
      <c r="AA2" s="837"/>
      <c r="AB2" s="833"/>
      <c r="AC2" s="837"/>
      <c r="AD2" s="833"/>
      <c r="AE2" s="18"/>
      <c r="AF2" s="18"/>
      <c r="AG2" s="18"/>
      <c r="AH2" s="18"/>
      <c r="AI2" s="18"/>
      <c r="AJ2" s="18"/>
      <c r="AK2" s="172"/>
      <c r="AL2" s="18"/>
      <c r="AM2" s="18"/>
      <c r="AN2" s="640"/>
      <c r="AO2" s="552" t="s">
        <v>191</v>
      </c>
      <c r="AP2" s="1362" t="s">
        <v>152</v>
      </c>
      <c r="AQ2" s="788" t="s">
        <v>151</v>
      </c>
    </row>
    <row r="3" spans="1:254" ht="15" x14ac:dyDescent="0.2">
      <c r="A3" s="260" t="s">
        <v>192</v>
      </c>
      <c r="B3" s="20"/>
      <c r="C3" s="476"/>
      <c r="D3" s="867"/>
      <c r="E3" s="1363"/>
      <c r="Q3" s="1364">
        <v>220000</v>
      </c>
      <c r="R3" s="860"/>
      <c r="S3" s="1364">
        <v>350000</v>
      </c>
      <c r="T3" s="24"/>
      <c r="V3" s="550"/>
      <c r="X3" s="550"/>
      <c r="Z3" s="550"/>
      <c r="AE3" s="551"/>
      <c r="AF3" s="550"/>
      <c r="AG3" s="551"/>
      <c r="AH3" s="550"/>
      <c r="AJ3" s="550"/>
      <c r="AL3" s="550"/>
      <c r="AN3" s="640"/>
      <c r="AO3" s="553">
        <v>9.2799999999999994E-2</v>
      </c>
      <c r="AP3" s="1365">
        <v>200000</v>
      </c>
      <c r="AQ3" s="1365">
        <v>320000</v>
      </c>
      <c r="AS3" s="553"/>
    </row>
    <row r="4" spans="1:254" x14ac:dyDescent="0.2">
      <c r="A4" s="61" t="s">
        <v>90</v>
      </c>
      <c r="B4" s="26"/>
      <c r="C4" s="477"/>
      <c r="D4" s="167"/>
      <c r="E4" s="58"/>
      <c r="F4" s="1369" t="s">
        <v>236</v>
      </c>
      <c r="G4" s="1370"/>
      <c r="H4" s="1371"/>
      <c r="I4" s="1370"/>
      <c r="J4" s="1370"/>
      <c r="K4" s="1370"/>
      <c r="L4" s="1370"/>
      <c r="M4" s="1370"/>
      <c r="N4" s="1371"/>
      <c r="O4" s="1371"/>
      <c r="P4" s="1371"/>
      <c r="Q4" s="1370"/>
      <c r="R4" s="1372"/>
      <c r="S4" s="1366"/>
      <c r="T4" s="24"/>
      <c r="U4" s="824" t="s">
        <v>237</v>
      </c>
      <c r="V4" s="825"/>
      <c r="W4" s="825"/>
      <c r="X4" s="825"/>
      <c r="Y4" s="825"/>
      <c r="Z4" s="825"/>
      <c r="AA4" s="839"/>
      <c r="AB4" s="834"/>
      <c r="AC4" s="839"/>
      <c r="AD4" s="834"/>
      <c r="AE4" s="825"/>
      <c r="AF4" s="825"/>
      <c r="AG4" s="825"/>
      <c r="AH4" s="825"/>
      <c r="AI4" s="825"/>
      <c r="AJ4" s="825"/>
      <c r="AK4" s="825"/>
      <c r="AL4" s="825"/>
      <c r="AM4" s="826"/>
      <c r="AN4" s="640"/>
      <c r="AO4" s="844" t="s">
        <v>153</v>
      </c>
      <c r="AP4" s="789">
        <v>218560</v>
      </c>
      <c r="AQ4" s="789">
        <v>349696</v>
      </c>
    </row>
    <row r="5" spans="1:254" ht="13.5" thickBot="1" x14ac:dyDescent="0.25">
      <c r="A5" s="165"/>
      <c r="B5" s="26"/>
      <c r="C5" s="477"/>
      <c r="D5" s="167"/>
      <c r="E5" s="58"/>
      <c r="F5" s="302"/>
      <c r="G5" s="303">
        <v>0.19</v>
      </c>
      <c r="H5" s="1281"/>
      <c r="I5" s="1281">
        <v>0.11</v>
      </c>
      <c r="J5" s="514"/>
      <c r="K5" s="303"/>
      <c r="L5" s="981"/>
      <c r="M5" s="986"/>
      <c r="N5" s="986"/>
      <c r="O5" s="986"/>
      <c r="P5" s="986"/>
      <c r="Q5" s="304"/>
      <c r="R5" s="305"/>
      <c r="S5" s="1366"/>
      <c r="T5" s="24"/>
      <c r="U5" s="1085" t="s">
        <v>193</v>
      </c>
      <c r="V5" s="1086">
        <v>9.2799999999999994E-2</v>
      </c>
      <c r="W5" s="276"/>
      <c r="X5" s="277">
        <v>0.5</v>
      </c>
      <c r="Y5" s="276"/>
      <c r="Z5" s="276">
        <v>0.75</v>
      </c>
      <c r="AA5" s="808"/>
      <c r="AB5" s="808">
        <v>0.15</v>
      </c>
      <c r="AC5" s="808"/>
      <c r="AD5" s="808">
        <v>0.2</v>
      </c>
      <c r="AE5" s="277"/>
      <c r="AF5" s="278">
        <v>0.1</v>
      </c>
      <c r="AG5" s="278"/>
      <c r="AH5" s="278">
        <v>0.2</v>
      </c>
      <c r="AI5" s="279"/>
      <c r="AJ5" s="279">
        <v>0.3</v>
      </c>
      <c r="AK5" s="280"/>
      <c r="AL5" s="279"/>
      <c r="AM5" s="815"/>
      <c r="AN5" s="24"/>
    </row>
    <row r="6" spans="1:254" s="871" customFormat="1" ht="42.75" thickBot="1" x14ac:dyDescent="0.25">
      <c r="A6" s="166" t="s">
        <v>2</v>
      </c>
      <c r="B6" s="127" t="s">
        <v>58</v>
      </c>
      <c r="C6" s="478" t="s">
        <v>111</v>
      </c>
      <c r="D6" s="211" t="s">
        <v>59</v>
      </c>
      <c r="E6" s="306" t="s">
        <v>86</v>
      </c>
      <c r="F6" s="138" t="s">
        <v>238</v>
      </c>
      <c r="G6" s="139" t="s">
        <v>56</v>
      </c>
      <c r="H6" s="918" t="s">
        <v>122</v>
      </c>
      <c r="I6" s="1290" t="s">
        <v>113</v>
      </c>
      <c r="J6" s="515" t="s">
        <v>114</v>
      </c>
      <c r="K6" s="139" t="s">
        <v>239</v>
      </c>
      <c r="L6" s="996" t="s">
        <v>189</v>
      </c>
      <c r="M6" s="307" t="s">
        <v>57</v>
      </c>
      <c r="N6" s="307" t="s">
        <v>222</v>
      </c>
      <c r="O6" s="307" t="s">
        <v>67</v>
      </c>
      <c r="P6" s="307" t="s">
        <v>223</v>
      </c>
      <c r="Q6" s="827" t="s">
        <v>102</v>
      </c>
      <c r="R6" s="830" t="s">
        <v>71</v>
      </c>
      <c r="S6" s="125" t="s">
        <v>9</v>
      </c>
      <c r="T6" s="1367"/>
      <c r="U6" s="296" t="s">
        <v>64</v>
      </c>
      <c r="V6" s="132" t="s">
        <v>60</v>
      </c>
      <c r="W6" s="133" t="s">
        <v>64</v>
      </c>
      <c r="X6" s="133" t="s">
        <v>240</v>
      </c>
      <c r="Y6" s="134" t="s">
        <v>64</v>
      </c>
      <c r="Z6" s="134" t="s">
        <v>61</v>
      </c>
      <c r="AA6" s="636" t="s">
        <v>64</v>
      </c>
      <c r="AB6" s="636" t="s">
        <v>154</v>
      </c>
      <c r="AC6" s="636" t="s">
        <v>64</v>
      </c>
      <c r="AD6" s="636" t="s">
        <v>155</v>
      </c>
      <c r="AE6" s="135" t="s">
        <v>64</v>
      </c>
      <c r="AF6" s="135" t="s">
        <v>241</v>
      </c>
      <c r="AG6" s="135" t="s">
        <v>64</v>
      </c>
      <c r="AH6" s="135" t="s">
        <v>242</v>
      </c>
      <c r="AI6" s="136" t="s">
        <v>64</v>
      </c>
      <c r="AJ6" s="136" t="s">
        <v>62</v>
      </c>
      <c r="AK6" s="201" t="s">
        <v>63</v>
      </c>
      <c r="AL6" s="201" t="s">
        <v>101</v>
      </c>
      <c r="AM6" s="295" t="s">
        <v>65</v>
      </c>
      <c r="AN6" s="1367"/>
      <c r="AO6" s="629" t="s">
        <v>133</v>
      </c>
      <c r="AP6" s="333"/>
      <c r="AQ6" s="333"/>
      <c r="AR6" s="333"/>
      <c r="AS6" s="333"/>
      <c r="AT6" s="333"/>
      <c r="AU6" s="333"/>
      <c r="AV6" s="333"/>
      <c r="AW6" s="333"/>
      <c r="AX6" s="333"/>
      <c r="AY6" s="333"/>
      <c r="AZ6" s="333"/>
      <c r="BA6" s="333"/>
      <c r="BB6" s="333"/>
      <c r="BC6" s="333"/>
      <c r="BD6" s="333"/>
      <c r="BE6" s="333"/>
      <c r="BF6" s="333"/>
      <c r="BG6" s="333"/>
      <c r="BH6" s="333"/>
      <c r="BI6" s="333"/>
      <c r="BJ6" s="333"/>
      <c r="BK6" s="333"/>
      <c r="BL6" s="333"/>
      <c r="BM6" s="338"/>
      <c r="BN6" s="338"/>
      <c r="BO6" s="338"/>
      <c r="BP6" s="338"/>
      <c r="BQ6" s="338"/>
      <c r="BR6" s="338"/>
      <c r="BS6" s="338"/>
      <c r="BT6" s="338"/>
      <c r="BU6" s="338"/>
      <c r="BV6" s="338"/>
      <c r="BW6" s="338"/>
      <c r="BX6" s="338"/>
      <c r="BY6" s="338"/>
      <c r="BZ6" s="338"/>
      <c r="CA6" s="338"/>
      <c r="CB6" s="338"/>
      <c r="CC6" s="338"/>
      <c r="CD6" s="338"/>
      <c r="CE6" s="338"/>
      <c r="CF6" s="338"/>
      <c r="CG6" s="338"/>
      <c r="CH6" s="338"/>
      <c r="CI6" s="338"/>
      <c r="CJ6" s="338"/>
      <c r="CK6" s="338"/>
      <c r="CL6" s="338"/>
      <c r="CM6" s="338"/>
      <c r="CN6" s="338"/>
      <c r="CO6" s="338"/>
      <c r="CP6" s="338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</row>
    <row r="7" spans="1:254" x14ac:dyDescent="0.2">
      <c r="A7" s="167"/>
      <c r="B7" s="25"/>
      <c r="C7" s="477"/>
      <c r="D7" s="167"/>
      <c r="E7" s="58"/>
      <c r="F7" s="308"/>
      <c r="G7" s="58"/>
      <c r="H7" s="173"/>
      <c r="I7" s="173"/>
      <c r="J7" s="490"/>
      <c r="K7" s="58"/>
      <c r="L7" s="982"/>
      <c r="M7" s="987"/>
      <c r="N7" s="992"/>
      <c r="O7" s="992"/>
      <c r="P7" s="992"/>
      <c r="Q7" s="828"/>
      <c r="R7" s="831"/>
      <c r="S7" s="194"/>
      <c r="T7" s="24"/>
      <c r="U7" s="58"/>
      <c r="V7" s="58"/>
      <c r="W7" s="58"/>
      <c r="X7" s="58"/>
      <c r="Y7" s="58"/>
      <c r="Z7" s="58"/>
      <c r="AA7" s="751"/>
      <c r="AB7" s="752"/>
      <c r="AC7" s="751"/>
      <c r="AD7" s="752"/>
      <c r="AE7" s="58"/>
      <c r="AF7" s="58"/>
      <c r="AG7" s="58"/>
      <c r="AH7" s="58"/>
      <c r="AI7" s="58"/>
      <c r="AJ7" s="58"/>
      <c r="AK7" s="173"/>
      <c r="AL7" s="58"/>
      <c r="AM7" s="118"/>
      <c r="AN7" s="24"/>
    </row>
    <row r="8" spans="1:254" ht="15.75" thickBot="1" x14ac:dyDescent="0.25">
      <c r="A8" s="112" t="s">
        <v>1</v>
      </c>
      <c r="B8" s="26"/>
      <c r="C8" s="477"/>
      <c r="D8" s="167"/>
      <c r="E8" s="58"/>
      <c r="F8" s="308"/>
      <c r="G8" s="58"/>
      <c r="H8" s="173"/>
      <c r="I8" s="173"/>
      <c r="J8" s="490"/>
      <c r="K8" s="58"/>
      <c r="L8" s="982"/>
      <c r="M8" s="987"/>
      <c r="N8" s="992"/>
      <c r="O8" s="992"/>
      <c r="P8" s="992"/>
      <c r="Q8" s="828"/>
      <c r="R8" s="831"/>
      <c r="S8" s="194"/>
      <c r="T8" s="24"/>
      <c r="U8" s="58"/>
      <c r="V8" s="58"/>
      <c r="W8" s="58"/>
      <c r="X8" s="58"/>
      <c r="Y8" s="58"/>
      <c r="Z8" s="58"/>
      <c r="AA8" s="751"/>
      <c r="AB8" s="752"/>
      <c r="AC8" s="751"/>
      <c r="AD8" s="752"/>
      <c r="AE8" s="58"/>
      <c r="AF8" s="58"/>
      <c r="AG8" s="58"/>
      <c r="AH8" s="58"/>
      <c r="AI8" s="58"/>
      <c r="AJ8" s="58"/>
      <c r="AK8" s="173"/>
      <c r="AL8" s="58"/>
      <c r="AM8" s="118"/>
      <c r="AN8" s="24"/>
    </row>
    <row r="9" spans="1:254" ht="13.5" thickBot="1" x14ac:dyDescent="0.25">
      <c r="A9" s="613">
        <v>1</v>
      </c>
      <c r="B9" s="1529" t="s">
        <v>271</v>
      </c>
      <c r="C9" s="614">
        <v>52</v>
      </c>
      <c r="D9" s="1229">
        <v>43431768</v>
      </c>
      <c r="E9" s="614">
        <v>3</v>
      </c>
      <c r="F9" s="615">
        <v>490000</v>
      </c>
      <c r="G9" s="1230">
        <v>93100</v>
      </c>
      <c r="H9" s="1278" t="s">
        <v>124</v>
      </c>
      <c r="I9" s="1291">
        <v>-53900</v>
      </c>
      <c r="J9" s="1204">
        <v>583100</v>
      </c>
      <c r="K9" s="511">
        <v>529200</v>
      </c>
      <c r="L9" s="1082"/>
      <c r="M9" s="1357" t="s">
        <v>225</v>
      </c>
      <c r="N9" s="1334" t="s">
        <v>207</v>
      </c>
      <c r="O9" s="1338">
        <v>45614</v>
      </c>
      <c r="P9" s="1356" t="s">
        <v>112</v>
      </c>
      <c r="Q9" s="1205">
        <v>0</v>
      </c>
      <c r="R9" s="1206"/>
      <c r="S9" s="1207" t="s">
        <v>243</v>
      </c>
      <c r="T9" s="24"/>
      <c r="U9" s="1094" t="s">
        <v>82</v>
      </c>
      <c r="V9" s="119">
        <v>488000</v>
      </c>
      <c r="W9" s="234"/>
      <c r="X9" s="114">
        <v>0</v>
      </c>
      <c r="Y9" s="235"/>
      <c r="Z9" s="115">
        <v>0</v>
      </c>
      <c r="AA9" s="821"/>
      <c r="AB9" s="811">
        <v>0</v>
      </c>
      <c r="AC9" s="821"/>
      <c r="AD9" s="811">
        <v>0</v>
      </c>
      <c r="AE9" s="236"/>
      <c r="AF9" s="116">
        <v>0</v>
      </c>
      <c r="AG9" s="234"/>
      <c r="AH9" s="116">
        <v>0</v>
      </c>
      <c r="AI9" s="237"/>
      <c r="AJ9" s="117">
        <v>0</v>
      </c>
      <c r="AK9" s="1092">
        <v>0</v>
      </c>
      <c r="AL9" s="1092">
        <v>0</v>
      </c>
      <c r="AM9" s="1095">
        <v>490000</v>
      </c>
      <c r="AN9" s="24"/>
    </row>
    <row r="10" spans="1:254" ht="13.5" thickBot="1" x14ac:dyDescent="0.25">
      <c r="A10" s="1208">
        <v>2</v>
      </c>
      <c r="B10" s="1529" t="s">
        <v>281</v>
      </c>
      <c r="C10" s="1068">
        <v>56</v>
      </c>
      <c r="D10" s="1040">
        <v>87082052990</v>
      </c>
      <c r="E10" s="1068">
        <v>2</v>
      </c>
      <c r="F10" s="1209">
        <v>1830000</v>
      </c>
      <c r="G10" s="1210">
        <v>347700</v>
      </c>
      <c r="H10" s="1049" t="s">
        <v>52</v>
      </c>
      <c r="I10" s="1298" t="s">
        <v>244</v>
      </c>
      <c r="J10" s="1211">
        <v>2177700</v>
      </c>
      <c r="K10" s="1212">
        <v>2177700</v>
      </c>
      <c r="L10" s="1054"/>
      <c r="M10" s="1359"/>
      <c r="N10" s="1335"/>
      <c r="O10" s="1339"/>
      <c r="P10" s="1335"/>
      <c r="Q10" s="1214">
        <v>0</v>
      </c>
      <c r="R10" s="1215"/>
      <c r="S10" s="323" t="s">
        <v>4</v>
      </c>
      <c r="T10" s="24"/>
      <c r="U10" s="1094" t="s">
        <v>82</v>
      </c>
      <c r="V10" s="119">
        <v>582000</v>
      </c>
      <c r="W10" s="234"/>
      <c r="X10" s="114">
        <v>0</v>
      </c>
      <c r="Y10" s="235" t="s">
        <v>82</v>
      </c>
      <c r="Z10" s="115">
        <v>437000</v>
      </c>
      <c r="AA10" s="821"/>
      <c r="AB10" s="811">
        <v>0</v>
      </c>
      <c r="AC10" s="821"/>
      <c r="AD10" s="811">
        <v>0</v>
      </c>
      <c r="AE10" s="236"/>
      <c r="AF10" s="116">
        <v>0</v>
      </c>
      <c r="AG10" s="234"/>
      <c r="AH10" s="116">
        <v>0</v>
      </c>
      <c r="AI10" s="237" t="s">
        <v>82</v>
      </c>
      <c r="AJ10" s="117">
        <v>174600</v>
      </c>
      <c r="AK10" s="1092">
        <v>631552</v>
      </c>
      <c r="AL10" s="1092">
        <v>0</v>
      </c>
      <c r="AM10" s="1095">
        <v>1830000</v>
      </c>
      <c r="AN10" s="24"/>
    </row>
    <row r="11" spans="1:254" ht="13.5" thickBot="1" x14ac:dyDescent="0.25">
      <c r="A11" s="1208">
        <v>3</v>
      </c>
      <c r="B11" s="1529" t="s">
        <v>282</v>
      </c>
      <c r="C11" s="1068">
        <v>59</v>
      </c>
      <c r="D11" s="1040">
        <v>43255512</v>
      </c>
      <c r="E11" s="1068">
        <v>0</v>
      </c>
      <c r="F11" s="1209">
        <v>580000</v>
      </c>
      <c r="G11" s="1210">
        <v>110200</v>
      </c>
      <c r="H11" s="1282" t="s">
        <v>124</v>
      </c>
      <c r="I11" s="1292">
        <v>-63800</v>
      </c>
      <c r="J11" s="1211">
        <v>690200</v>
      </c>
      <c r="K11" s="1212">
        <v>626400</v>
      </c>
      <c r="L11" s="1054"/>
      <c r="M11" s="1213" t="s">
        <v>226</v>
      </c>
      <c r="N11" s="1335" t="s">
        <v>207</v>
      </c>
      <c r="O11" s="1339">
        <v>45615</v>
      </c>
      <c r="P11" s="1335"/>
      <c r="Q11" s="1214">
        <v>0</v>
      </c>
      <c r="R11" s="1215"/>
      <c r="S11" s="293" t="s">
        <v>245</v>
      </c>
      <c r="T11" s="24"/>
      <c r="U11" s="1094" t="s">
        <v>82</v>
      </c>
      <c r="V11" s="119">
        <v>582000</v>
      </c>
      <c r="W11" s="234"/>
      <c r="X11" s="114">
        <v>0</v>
      </c>
      <c r="Y11" s="235"/>
      <c r="Z11" s="115">
        <v>0</v>
      </c>
      <c r="AA11" s="821"/>
      <c r="AB11" s="811">
        <v>0</v>
      </c>
      <c r="AC11" s="821"/>
      <c r="AD11" s="811">
        <v>0</v>
      </c>
      <c r="AE11" s="236"/>
      <c r="AF11" s="116">
        <v>0</v>
      </c>
      <c r="AG11" s="234"/>
      <c r="AH11" s="116">
        <v>0</v>
      </c>
      <c r="AI11" s="237"/>
      <c r="AJ11" s="117">
        <v>0</v>
      </c>
      <c r="AK11" s="1092">
        <v>0</v>
      </c>
      <c r="AL11" s="1092">
        <v>0</v>
      </c>
      <c r="AM11" s="1095">
        <v>580000</v>
      </c>
      <c r="AN11" s="24"/>
    </row>
    <row r="12" spans="1:254" ht="13.5" thickBot="1" x14ac:dyDescent="0.25">
      <c r="A12" s="1208">
        <v>4</v>
      </c>
      <c r="B12" s="1529" t="s">
        <v>283</v>
      </c>
      <c r="C12" s="1068">
        <v>75</v>
      </c>
      <c r="D12" s="1040">
        <v>21829209</v>
      </c>
      <c r="E12" s="1068">
        <v>8</v>
      </c>
      <c r="F12" s="1209">
        <v>1420000</v>
      </c>
      <c r="G12" s="1210">
        <v>269800</v>
      </c>
      <c r="H12" s="1282" t="s">
        <v>124</v>
      </c>
      <c r="I12" s="1292">
        <v>-156200</v>
      </c>
      <c r="J12" s="1211">
        <v>1689800</v>
      </c>
      <c r="K12" s="1212">
        <v>1533600</v>
      </c>
      <c r="L12" s="1054"/>
      <c r="M12" s="1213" t="s">
        <v>234</v>
      </c>
      <c r="N12" s="1335" t="s">
        <v>207</v>
      </c>
      <c r="O12" s="1339">
        <v>45621</v>
      </c>
      <c r="P12" s="1335"/>
      <c r="Q12" s="1214">
        <v>0</v>
      </c>
      <c r="R12" s="1215"/>
      <c r="S12" s="293" t="s">
        <v>246</v>
      </c>
      <c r="T12" s="24"/>
      <c r="U12" s="1094" t="s">
        <v>82</v>
      </c>
      <c r="V12" s="1233">
        <v>946000</v>
      </c>
      <c r="W12" s="234" t="s">
        <v>82</v>
      </c>
      <c r="X12" s="1234">
        <v>473000</v>
      </c>
      <c r="Y12" s="235"/>
      <c r="Z12" s="115">
        <v>0</v>
      </c>
      <c r="AA12" s="821"/>
      <c r="AB12" s="811">
        <v>0</v>
      </c>
      <c r="AC12" s="821"/>
      <c r="AD12" s="811">
        <v>0</v>
      </c>
      <c r="AE12" s="236"/>
      <c r="AF12" s="116">
        <v>0</v>
      </c>
      <c r="AG12" s="234"/>
      <c r="AH12" s="116">
        <v>0</v>
      </c>
      <c r="AI12" s="237"/>
      <c r="AJ12" s="117">
        <v>0</v>
      </c>
      <c r="AK12" s="1092">
        <v>0</v>
      </c>
      <c r="AL12" s="1092">
        <v>0</v>
      </c>
      <c r="AM12" s="1095">
        <v>1420000</v>
      </c>
      <c r="AN12" s="24"/>
    </row>
    <row r="13" spans="1:254" ht="13.5" thickBot="1" x14ac:dyDescent="0.25">
      <c r="A13" s="1208">
        <v>5</v>
      </c>
      <c r="B13" s="1529" t="s">
        <v>284</v>
      </c>
      <c r="C13" s="1068">
        <v>81</v>
      </c>
      <c r="D13" s="1040">
        <v>21378780</v>
      </c>
      <c r="E13" s="1068">
        <v>6</v>
      </c>
      <c r="F13" s="1209">
        <v>1810000</v>
      </c>
      <c r="G13" s="1210">
        <v>343900</v>
      </c>
      <c r="H13" s="1282" t="s">
        <v>124</v>
      </c>
      <c r="I13" s="1292">
        <v>-199100</v>
      </c>
      <c r="J13" s="1211">
        <v>2153900</v>
      </c>
      <c r="K13" s="1212">
        <v>1954800</v>
      </c>
      <c r="L13" s="1217" t="s">
        <v>82</v>
      </c>
      <c r="M13" s="1359" t="s">
        <v>235</v>
      </c>
      <c r="N13" s="1335"/>
      <c r="O13" s="1339"/>
      <c r="P13" s="1335"/>
      <c r="Q13" s="1214">
        <v>0</v>
      </c>
      <c r="R13" s="1215"/>
      <c r="S13" s="293" t="s">
        <v>247</v>
      </c>
      <c r="T13" s="24"/>
      <c r="U13" s="1094" t="s">
        <v>82</v>
      </c>
      <c r="V13" s="119">
        <v>1812000</v>
      </c>
      <c r="W13" s="234"/>
      <c r="X13" s="114">
        <v>0</v>
      </c>
      <c r="Y13" s="235"/>
      <c r="Z13" s="115">
        <v>0</v>
      </c>
      <c r="AA13" s="821"/>
      <c r="AB13" s="811">
        <v>0</v>
      </c>
      <c r="AC13" s="821"/>
      <c r="AD13" s="811">
        <v>0</v>
      </c>
      <c r="AE13" s="236"/>
      <c r="AF13" s="116">
        <v>0</v>
      </c>
      <c r="AG13" s="234"/>
      <c r="AH13" s="116">
        <v>0</v>
      </c>
      <c r="AI13" s="237"/>
      <c r="AJ13" s="117">
        <v>0</v>
      </c>
      <c r="AK13" s="1092">
        <v>0</v>
      </c>
      <c r="AL13" s="1092">
        <v>0</v>
      </c>
      <c r="AM13" s="1095">
        <v>1810000</v>
      </c>
      <c r="AN13" s="24"/>
    </row>
    <row r="14" spans="1:254" s="346" customFormat="1" ht="13.5" thickBot="1" x14ac:dyDescent="0.25">
      <c r="A14" s="1208">
        <v>6</v>
      </c>
      <c r="B14" s="1529" t="s">
        <v>272</v>
      </c>
      <c r="C14" s="1068">
        <v>54</v>
      </c>
      <c r="D14" s="1040">
        <v>43422834</v>
      </c>
      <c r="E14" s="1068">
        <v>3</v>
      </c>
      <c r="F14" s="1506">
        <v>580000</v>
      </c>
      <c r="G14" s="1298">
        <v>110200</v>
      </c>
      <c r="H14" s="1282" t="s">
        <v>124</v>
      </c>
      <c r="I14" s="1292">
        <v>-63800</v>
      </c>
      <c r="J14" s="1211">
        <v>690200</v>
      </c>
      <c r="K14" s="1531">
        <v>626400</v>
      </c>
      <c r="L14" s="1054"/>
      <c r="M14" s="1213" t="s">
        <v>226</v>
      </c>
      <c r="N14" s="1335" t="s">
        <v>207</v>
      </c>
      <c r="O14" s="1339">
        <v>45615</v>
      </c>
      <c r="P14" s="1335"/>
      <c r="Q14" s="1214">
        <v>0</v>
      </c>
      <c r="R14" s="1215"/>
      <c r="S14" s="293" t="s">
        <v>245</v>
      </c>
      <c r="T14" s="640"/>
      <c r="U14" s="1094" t="s">
        <v>82</v>
      </c>
      <c r="V14" s="637">
        <v>582000</v>
      </c>
      <c r="W14" s="234"/>
      <c r="X14" s="114">
        <v>0</v>
      </c>
      <c r="Y14" s="235"/>
      <c r="Z14" s="115">
        <v>0</v>
      </c>
      <c r="AA14" s="821"/>
      <c r="AB14" s="811">
        <v>0</v>
      </c>
      <c r="AC14" s="821"/>
      <c r="AD14" s="811">
        <v>0</v>
      </c>
      <c r="AE14" s="236"/>
      <c r="AF14" s="116">
        <v>0</v>
      </c>
      <c r="AG14" s="234"/>
      <c r="AH14" s="116">
        <v>0</v>
      </c>
      <c r="AI14" s="237"/>
      <c r="AJ14" s="117">
        <v>0</v>
      </c>
      <c r="AK14" s="1092">
        <v>0</v>
      </c>
      <c r="AL14" s="1092">
        <v>0</v>
      </c>
      <c r="AM14" s="1095">
        <v>580000</v>
      </c>
      <c r="AN14" s="640"/>
      <c r="BM14" s="337"/>
      <c r="BN14" s="337"/>
      <c r="BO14" s="337"/>
      <c r="BP14" s="337"/>
      <c r="BQ14" s="337"/>
      <c r="BR14" s="337"/>
      <c r="BS14" s="337"/>
      <c r="BT14" s="337"/>
      <c r="BU14" s="337"/>
      <c r="BV14" s="337"/>
      <c r="BW14" s="337"/>
      <c r="BX14" s="337"/>
      <c r="BY14" s="337"/>
      <c r="BZ14" s="337"/>
      <c r="CA14" s="337"/>
      <c r="CB14" s="337"/>
      <c r="CC14" s="337"/>
      <c r="CD14" s="337"/>
      <c r="CE14" s="337"/>
      <c r="CF14" s="337"/>
      <c r="CG14" s="337"/>
      <c r="CH14" s="337"/>
      <c r="CI14" s="337"/>
      <c r="CJ14" s="337"/>
      <c r="CK14" s="337"/>
      <c r="CL14" s="337"/>
      <c r="CM14" s="337"/>
      <c r="CN14" s="337"/>
      <c r="CO14" s="337"/>
      <c r="CP14" s="337"/>
      <c r="CQ14" s="337"/>
      <c r="CR14" s="337"/>
      <c r="CS14" s="337"/>
      <c r="CT14" s="337"/>
      <c r="CU14" s="337"/>
      <c r="CV14" s="337"/>
      <c r="CW14" s="337"/>
      <c r="CX14" s="337"/>
      <c r="CY14" s="337"/>
      <c r="CZ14" s="337"/>
      <c r="DA14" s="337"/>
      <c r="DB14" s="337"/>
      <c r="DC14" s="337"/>
      <c r="DD14" s="337"/>
      <c r="DE14" s="337"/>
      <c r="DF14" s="337"/>
      <c r="DG14" s="337"/>
      <c r="DH14" s="337"/>
      <c r="DI14" s="337"/>
      <c r="DJ14" s="337"/>
      <c r="DK14" s="337"/>
      <c r="DL14" s="337"/>
      <c r="DM14" s="337"/>
      <c r="DN14" s="337"/>
      <c r="DO14" s="337"/>
      <c r="DP14" s="337"/>
      <c r="DQ14" s="337"/>
      <c r="DR14" s="337"/>
      <c r="DS14" s="337"/>
      <c r="DT14" s="337"/>
      <c r="DU14" s="337"/>
      <c r="DV14" s="337"/>
      <c r="DW14" s="337"/>
      <c r="DX14" s="337"/>
      <c r="DY14" s="337"/>
      <c r="DZ14" s="337"/>
      <c r="EA14" s="337"/>
      <c r="EB14" s="337"/>
      <c r="EC14" s="337"/>
      <c r="ED14" s="337"/>
      <c r="EE14" s="337"/>
      <c r="EF14" s="337"/>
      <c r="EG14" s="337"/>
      <c r="EH14" s="337"/>
      <c r="EI14" s="337"/>
      <c r="EJ14" s="337"/>
      <c r="EK14" s="337"/>
      <c r="EL14" s="337"/>
      <c r="EM14" s="337"/>
      <c r="EN14" s="337"/>
      <c r="EO14" s="337"/>
      <c r="EP14" s="337"/>
      <c r="EQ14" s="337"/>
      <c r="ER14" s="337"/>
      <c r="ES14" s="337"/>
      <c r="ET14" s="337"/>
      <c r="EU14" s="337"/>
      <c r="EV14" s="337"/>
      <c r="EW14" s="337"/>
      <c r="EX14" s="337"/>
      <c r="EY14" s="337"/>
      <c r="EZ14" s="337"/>
      <c r="FA14" s="337"/>
      <c r="FB14" s="337"/>
      <c r="FC14" s="337"/>
      <c r="FD14" s="337"/>
      <c r="FE14" s="337"/>
      <c r="FF14" s="337"/>
      <c r="FG14" s="337"/>
      <c r="FH14" s="337"/>
      <c r="FI14" s="337"/>
      <c r="FJ14" s="337"/>
      <c r="FK14" s="337"/>
      <c r="FL14" s="337"/>
      <c r="FM14" s="337"/>
      <c r="FN14" s="337"/>
      <c r="FO14" s="337"/>
      <c r="FP14" s="337"/>
      <c r="FQ14" s="337"/>
      <c r="FR14" s="337"/>
      <c r="FS14" s="337"/>
      <c r="FT14" s="337"/>
      <c r="FU14" s="337"/>
      <c r="FV14" s="337"/>
      <c r="FW14" s="337"/>
      <c r="FX14" s="337"/>
      <c r="FY14" s="337"/>
      <c r="FZ14" s="337"/>
      <c r="GA14" s="337"/>
      <c r="GB14" s="337"/>
      <c r="GC14" s="337"/>
      <c r="GD14" s="337"/>
      <c r="GE14" s="337"/>
      <c r="GF14" s="337"/>
      <c r="GG14" s="337"/>
      <c r="GH14" s="337"/>
      <c r="GI14" s="337"/>
      <c r="GJ14" s="337"/>
      <c r="GK14" s="337"/>
      <c r="GL14" s="337"/>
      <c r="GM14" s="337"/>
      <c r="GN14" s="337"/>
      <c r="GO14" s="337"/>
      <c r="GP14" s="337"/>
      <c r="GQ14" s="337"/>
      <c r="GR14" s="337"/>
      <c r="GS14" s="337"/>
      <c r="GT14" s="337"/>
      <c r="GU14" s="337"/>
      <c r="GV14" s="337"/>
      <c r="GW14" s="337"/>
      <c r="GX14" s="337"/>
      <c r="GY14" s="337"/>
      <c r="GZ14" s="337"/>
      <c r="HA14" s="337"/>
      <c r="HB14" s="337"/>
      <c r="HC14" s="337"/>
      <c r="HD14" s="337"/>
      <c r="HE14" s="337"/>
      <c r="HF14" s="337"/>
      <c r="HG14" s="337"/>
      <c r="HH14" s="337"/>
      <c r="HI14" s="337"/>
      <c r="HJ14" s="337"/>
      <c r="HK14" s="337"/>
      <c r="HL14" s="337"/>
      <c r="HM14" s="337"/>
      <c r="HN14" s="337"/>
      <c r="HO14" s="337"/>
      <c r="HP14" s="337"/>
      <c r="HQ14" s="337"/>
      <c r="HR14" s="337"/>
      <c r="HS14" s="337"/>
      <c r="HT14" s="337"/>
      <c r="HU14" s="337"/>
      <c r="HV14" s="337"/>
      <c r="HW14" s="337"/>
      <c r="HX14" s="337"/>
      <c r="HY14" s="337"/>
      <c r="HZ14" s="337"/>
      <c r="IA14" s="337"/>
      <c r="IB14" s="337"/>
      <c r="IC14" s="337"/>
      <c r="ID14" s="337"/>
      <c r="IE14" s="337"/>
      <c r="IF14" s="337"/>
      <c r="IG14" s="337"/>
      <c r="IH14" s="337"/>
      <c r="II14" s="337"/>
      <c r="IJ14" s="337"/>
      <c r="IK14" s="337"/>
      <c r="IL14" s="337"/>
      <c r="IM14" s="337"/>
      <c r="IN14" s="337"/>
      <c r="IO14" s="337"/>
      <c r="IP14" s="337"/>
      <c r="IQ14" s="337"/>
      <c r="IR14" s="337"/>
      <c r="IS14" s="337"/>
      <c r="IT14" s="337"/>
    </row>
    <row r="15" spans="1:254" s="346" customFormat="1" ht="13.5" thickBot="1" x14ac:dyDescent="0.25">
      <c r="A15" s="1208">
        <v>7</v>
      </c>
      <c r="B15" s="1529" t="s">
        <v>273</v>
      </c>
      <c r="C15" s="1068">
        <v>99</v>
      </c>
      <c r="D15" s="1040">
        <v>43422711</v>
      </c>
      <c r="E15" s="1068">
        <v>6</v>
      </c>
      <c r="F15" s="1506">
        <v>1340000</v>
      </c>
      <c r="G15" s="1298">
        <v>254600</v>
      </c>
      <c r="H15" s="1282" t="s">
        <v>124</v>
      </c>
      <c r="I15" s="1292">
        <v>-147400</v>
      </c>
      <c r="J15" s="1211">
        <v>1594600</v>
      </c>
      <c r="K15" s="1531">
        <v>1447200</v>
      </c>
      <c r="L15" s="1054"/>
      <c r="M15" s="1213" t="s">
        <v>226</v>
      </c>
      <c r="N15" s="1335" t="s">
        <v>207</v>
      </c>
      <c r="O15" s="1339">
        <v>45615</v>
      </c>
      <c r="P15" s="1335"/>
      <c r="Q15" s="1214">
        <v>0</v>
      </c>
      <c r="R15" s="1215"/>
      <c r="S15" s="293" t="s">
        <v>245</v>
      </c>
      <c r="T15" s="640"/>
      <c r="U15" s="1094" t="s">
        <v>82</v>
      </c>
      <c r="V15" s="637">
        <v>1342000</v>
      </c>
      <c r="W15" s="234"/>
      <c r="X15" s="114">
        <v>0</v>
      </c>
      <c r="Y15" s="235"/>
      <c r="Z15" s="115">
        <v>0</v>
      </c>
      <c r="AA15" s="821"/>
      <c r="AB15" s="811">
        <v>0</v>
      </c>
      <c r="AC15" s="821"/>
      <c r="AD15" s="811">
        <v>0</v>
      </c>
      <c r="AE15" s="236"/>
      <c r="AF15" s="116">
        <v>0</v>
      </c>
      <c r="AG15" s="234"/>
      <c r="AH15" s="116">
        <v>0</v>
      </c>
      <c r="AI15" s="237"/>
      <c r="AJ15" s="117">
        <v>0</v>
      </c>
      <c r="AK15" s="1092">
        <v>0</v>
      </c>
      <c r="AL15" s="1092">
        <v>0</v>
      </c>
      <c r="AM15" s="1095">
        <v>1340000</v>
      </c>
      <c r="AN15" s="640"/>
      <c r="BM15" s="337"/>
      <c r="BN15" s="337"/>
      <c r="BO15" s="337"/>
      <c r="BP15" s="337"/>
      <c r="BQ15" s="337"/>
      <c r="BR15" s="337"/>
      <c r="BS15" s="337"/>
      <c r="BT15" s="337"/>
      <c r="BU15" s="337"/>
      <c r="BV15" s="337"/>
      <c r="BW15" s="337"/>
      <c r="BX15" s="337"/>
      <c r="BY15" s="337"/>
      <c r="BZ15" s="337"/>
      <c r="CA15" s="337"/>
      <c r="CB15" s="337"/>
      <c r="CC15" s="337"/>
      <c r="CD15" s="337"/>
      <c r="CE15" s="337"/>
      <c r="CF15" s="337"/>
      <c r="CG15" s="337"/>
      <c r="CH15" s="337"/>
      <c r="CI15" s="337"/>
      <c r="CJ15" s="337"/>
      <c r="CK15" s="337"/>
      <c r="CL15" s="337"/>
      <c r="CM15" s="337"/>
      <c r="CN15" s="337"/>
      <c r="CO15" s="337"/>
      <c r="CP15" s="337"/>
      <c r="CQ15" s="337"/>
      <c r="CR15" s="337"/>
      <c r="CS15" s="337"/>
      <c r="CT15" s="337"/>
      <c r="CU15" s="337"/>
      <c r="CV15" s="337"/>
      <c r="CW15" s="337"/>
      <c r="CX15" s="337"/>
      <c r="CY15" s="337"/>
      <c r="CZ15" s="337"/>
      <c r="DA15" s="337"/>
      <c r="DB15" s="337"/>
      <c r="DC15" s="337"/>
      <c r="DD15" s="337"/>
      <c r="DE15" s="337"/>
      <c r="DF15" s="337"/>
      <c r="DG15" s="337"/>
      <c r="DH15" s="337"/>
      <c r="DI15" s="337"/>
      <c r="DJ15" s="337"/>
      <c r="DK15" s="337"/>
      <c r="DL15" s="337"/>
      <c r="DM15" s="337"/>
      <c r="DN15" s="337"/>
      <c r="DO15" s="337"/>
      <c r="DP15" s="337"/>
      <c r="DQ15" s="337"/>
      <c r="DR15" s="337"/>
      <c r="DS15" s="337"/>
      <c r="DT15" s="337"/>
      <c r="DU15" s="337"/>
      <c r="DV15" s="337"/>
      <c r="DW15" s="337"/>
      <c r="DX15" s="337"/>
      <c r="DY15" s="337"/>
      <c r="DZ15" s="337"/>
      <c r="EA15" s="337"/>
      <c r="EB15" s="337"/>
      <c r="EC15" s="337"/>
      <c r="ED15" s="337"/>
      <c r="EE15" s="337"/>
      <c r="EF15" s="337"/>
      <c r="EG15" s="337"/>
      <c r="EH15" s="337"/>
      <c r="EI15" s="337"/>
      <c r="EJ15" s="337"/>
      <c r="EK15" s="337"/>
      <c r="EL15" s="337"/>
      <c r="EM15" s="337"/>
      <c r="EN15" s="337"/>
      <c r="EO15" s="337"/>
      <c r="EP15" s="337"/>
      <c r="EQ15" s="337"/>
      <c r="ER15" s="337"/>
      <c r="ES15" s="337"/>
      <c r="ET15" s="337"/>
      <c r="EU15" s="337"/>
      <c r="EV15" s="337"/>
      <c r="EW15" s="337"/>
      <c r="EX15" s="337"/>
      <c r="EY15" s="337"/>
      <c r="EZ15" s="337"/>
      <c r="FA15" s="337"/>
      <c r="FB15" s="337"/>
      <c r="FC15" s="337"/>
      <c r="FD15" s="337"/>
      <c r="FE15" s="337"/>
      <c r="FF15" s="337"/>
      <c r="FG15" s="337"/>
      <c r="FH15" s="337"/>
      <c r="FI15" s="337"/>
      <c r="FJ15" s="337"/>
      <c r="FK15" s="337"/>
      <c r="FL15" s="337"/>
      <c r="FM15" s="337"/>
      <c r="FN15" s="337"/>
      <c r="FO15" s="337"/>
      <c r="FP15" s="337"/>
      <c r="FQ15" s="337"/>
      <c r="FR15" s="337"/>
      <c r="FS15" s="337"/>
      <c r="FT15" s="337"/>
      <c r="FU15" s="337"/>
      <c r="FV15" s="337"/>
      <c r="FW15" s="337"/>
      <c r="FX15" s="337"/>
      <c r="FY15" s="337"/>
      <c r="FZ15" s="337"/>
      <c r="GA15" s="337"/>
      <c r="GB15" s="337"/>
      <c r="GC15" s="337"/>
      <c r="GD15" s="337"/>
      <c r="GE15" s="337"/>
      <c r="GF15" s="337"/>
      <c r="GG15" s="337"/>
      <c r="GH15" s="337"/>
      <c r="GI15" s="337"/>
      <c r="GJ15" s="337"/>
      <c r="GK15" s="337"/>
      <c r="GL15" s="337"/>
      <c r="GM15" s="337"/>
      <c r="GN15" s="337"/>
      <c r="GO15" s="337"/>
      <c r="GP15" s="337"/>
      <c r="GQ15" s="337"/>
      <c r="GR15" s="337"/>
      <c r="GS15" s="337"/>
      <c r="GT15" s="337"/>
      <c r="GU15" s="337"/>
      <c r="GV15" s="337"/>
      <c r="GW15" s="337"/>
      <c r="GX15" s="337"/>
      <c r="GY15" s="337"/>
      <c r="GZ15" s="337"/>
      <c r="HA15" s="337"/>
      <c r="HB15" s="337"/>
      <c r="HC15" s="337"/>
      <c r="HD15" s="337"/>
      <c r="HE15" s="337"/>
      <c r="HF15" s="337"/>
      <c r="HG15" s="337"/>
      <c r="HH15" s="337"/>
      <c r="HI15" s="337"/>
      <c r="HJ15" s="337"/>
      <c r="HK15" s="337"/>
      <c r="HL15" s="337"/>
      <c r="HM15" s="337"/>
      <c r="HN15" s="337"/>
      <c r="HO15" s="337"/>
      <c r="HP15" s="337"/>
      <c r="HQ15" s="337"/>
      <c r="HR15" s="337"/>
      <c r="HS15" s="337"/>
      <c r="HT15" s="337"/>
      <c r="HU15" s="337"/>
      <c r="HV15" s="337"/>
      <c r="HW15" s="337"/>
      <c r="HX15" s="337"/>
      <c r="HY15" s="337"/>
      <c r="HZ15" s="337"/>
      <c r="IA15" s="337"/>
      <c r="IB15" s="337"/>
      <c r="IC15" s="337"/>
      <c r="ID15" s="337"/>
      <c r="IE15" s="337"/>
      <c r="IF15" s="337"/>
      <c r="IG15" s="337"/>
      <c r="IH15" s="337"/>
      <c r="II15" s="337"/>
      <c r="IJ15" s="337"/>
      <c r="IK15" s="337"/>
      <c r="IL15" s="337"/>
      <c r="IM15" s="337"/>
      <c r="IN15" s="337"/>
      <c r="IO15" s="337"/>
      <c r="IP15" s="337"/>
      <c r="IQ15" s="337"/>
      <c r="IR15" s="337"/>
      <c r="IS15" s="337"/>
      <c r="IT15" s="337"/>
    </row>
    <row r="16" spans="1:254" s="346" customFormat="1" x14ac:dyDescent="0.2">
      <c r="A16" s="1208">
        <v>8</v>
      </c>
      <c r="B16" s="1529" t="s">
        <v>274</v>
      </c>
      <c r="C16" s="1068">
        <v>80</v>
      </c>
      <c r="D16" s="1040">
        <v>1037630601</v>
      </c>
      <c r="E16" s="1068">
        <v>5</v>
      </c>
      <c r="F16" s="1506">
        <v>210000</v>
      </c>
      <c r="G16" s="1298">
        <v>39900</v>
      </c>
      <c r="H16" s="1282" t="s">
        <v>124</v>
      </c>
      <c r="I16" s="1292">
        <v>-23100</v>
      </c>
      <c r="J16" s="1211">
        <v>249900</v>
      </c>
      <c r="K16" s="1531">
        <v>226800</v>
      </c>
      <c r="L16" s="1054"/>
      <c r="M16" s="1532" t="s">
        <v>225</v>
      </c>
      <c r="N16" s="1335" t="s">
        <v>207</v>
      </c>
      <c r="O16" s="1339">
        <v>45614</v>
      </c>
      <c r="P16" s="1335" t="s">
        <v>224</v>
      </c>
      <c r="Q16" s="1214">
        <v>0</v>
      </c>
      <c r="R16" s="1215"/>
      <c r="S16" s="293" t="s">
        <v>243</v>
      </c>
      <c r="T16" s="640"/>
      <c r="U16" s="1094" t="s">
        <v>82</v>
      </c>
      <c r="V16" s="637">
        <v>210000</v>
      </c>
      <c r="W16" s="234"/>
      <c r="X16" s="114">
        <v>0</v>
      </c>
      <c r="Y16" s="235"/>
      <c r="Z16" s="115">
        <v>0</v>
      </c>
      <c r="AA16" s="821"/>
      <c r="AB16" s="811">
        <v>0</v>
      </c>
      <c r="AC16" s="821"/>
      <c r="AD16" s="811">
        <v>0</v>
      </c>
      <c r="AE16" s="236"/>
      <c r="AF16" s="116">
        <v>0</v>
      </c>
      <c r="AG16" s="234"/>
      <c r="AH16" s="116">
        <v>0</v>
      </c>
      <c r="AI16" s="237"/>
      <c r="AJ16" s="117">
        <v>0</v>
      </c>
      <c r="AK16" s="1092">
        <v>0</v>
      </c>
      <c r="AL16" s="1092">
        <v>0</v>
      </c>
      <c r="AM16" s="1095">
        <v>210000</v>
      </c>
      <c r="AN16" s="640"/>
      <c r="BM16" s="337"/>
      <c r="BN16" s="337"/>
      <c r="BO16" s="337"/>
      <c r="BP16" s="337"/>
      <c r="BQ16" s="337"/>
      <c r="BR16" s="337"/>
      <c r="BS16" s="337"/>
      <c r="BT16" s="337"/>
      <c r="BU16" s="337"/>
      <c r="BV16" s="337"/>
      <c r="BW16" s="337"/>
      <c r="BX16" s="337"/>
      <c r="BY16" s="337"/>
      <c r="BZ16" s="337"/>
      <c r="CA16" s="337"/>
      <c r="CB16" s="337"/>
      <c r="CC16" s="337"/>
      <c r="CD16" s="337"/>
      <c r="CE16" s="337"/>
      <c r="CF16" s="337"/>
      <c r="CG16" s="337"/>
      <c r="CH16" s="337"/>
      <c r="CI16" s="337"/>
      <c r="CJ16" s="337"/>
      <c r="CK16" s="337"/>
      <c r="CL16" s="337"/>
      <c r="CM16" s="337"/>
      <c r="CN16" s="337"/>
      <c r="CO16" s="337"/>
      <c r="CP16" s="337"/>
      <c r="CQ16" s="337"/>
      <c r="CR16" s="337"/>
      <c r="CS16" s="337"/>
      <c r="CT16" s="337"/>
      <c r="CU16" s="337"/>
      <c r="CV16" s="337"/>
      <c r="CW16" s="337"/>
      <c r="CX16" s="337"/>
      <c r="CY16" s="337"/>
      <c r="CZ16" s="337"/>
      <c r="DA16" s="337"/>
      <c r="DB16" s="337"/>
      <c r="DC16" s="337"/>
      <c r="DD16" s="337"/>
      <c r="DE16" s="337"/>
      <c r="DF16" s="337"/>
      <c r="DG16" s="337"/>
      <c r="DH16" s="337"/>
      <c r="DI16" s="337"/>
      <c r="DJ16" s="337"/>
      <c r="DK16" s="337"/>
      <c r="DL16" s="337"/>
      <c r="DM16" s="337"/>
      <c r="DN16" s="337"/>
      <c r="DO16" s="337"/>
      <c r="DP16" s="337"/>
      <c r="DQ16" s="337"/>
      <c r="DR16" s="337"/>
      <c r="DS16" s="337"/>
      <c r="DT16" s="337"/>
      <c r="DU16" s="337"/>
      <c r="DV16" s="337"/>
      <c r="DW16" s="337"/>
      <c r="DX16" s="337"/>
      <c r="DY16" s="337"/>
      <c r="DZ16" s="337"/>
      <c r="EA16" s="337"/>
      <c r="EB16" s="337"/>
      <c r="EC16" s="337"/>
      <c r="ED16" s="337"/>
      <c r="EE16" s="337"/>
      <c r="EF16" s="337"/>
      <c r="EG16" s="337"/>
      <c r="EH16" s="337"/>
      <c r="EI16" s="337"/>
      <c r="EJ16" s="337"/>
      <c r="EK16" s="337"/>
      <c r="EL16" s="337"/>
      <c r="EM16" s="337"/>
      <c r="EN16" s="337"/>
      <c r="EO16" s="337"/>
      <c r="EP16" s="337"/>
      <c r="EQ16" s="337"/>
      <c r="ER16" s="337"/>
      <c r="ES16" s="337"/>
      <c r="ET16" s="337"/>
      <c r="EU16" s="337"/>
      <c r="EV16" s="337"/>
      <c r="EW16" s="337"/>
      <c r="EX16" s="337"/>
      <c r="EY16" s="337"/>
      <c r="EZ16" s="337"/>
      <c r="FA16" s="337"/>
      <c r="FB16" s="337"/>
      <c r="FC16" s="337"/>
      <c r="FD16" s="337"/>
      <c r="FE16" s="337"/>
      <c r="FF16" s="337"/>
      <c r="FG16" s="337"/>
      <c r="FH16" s="337"/>
      <c r="FI16" s="337"/>
      <c r="FJ16" s="337"/>
      <c r="FK16" s="337"/>
      <c r="FL16" s="337"/>
      <c r="FM16" s="337"/>
      <c r="FN16" s="337"/>
      <c r="FO16" s="337"/>
      <c r="FP16" s="337"/>
      <c r="FQ16" s="337"/>
      <c r="FR16" s="337"/>
      <c r="FS16" s="337"/>
      <c r="FT16" s="337"/>
      <c r="FU16" s="337"/>
      <c r="FV16" s="337"/>
      <c r="FW16" s="337"/>
      <c r="FX16" s="337"/>
      <c r="FY16" s="337"/>
      <c r="FZ16" s="337"/>
      <c r="GA16" s="337"/>
      <c r="GB16" s="337"/>
      <c r="GC16" s="337"/>
      <c r="GD16" s="337"/>
      <c r="GE16" s="337"/>
      <c r="GF16" s="337"/>
      <c r="GG16" s="337"/>
      <c r="GH16" s="337"/>
      <c r="GI16" s="337"/>
      <c r="GJ16" s="337"/>
      <c r="GK16" s="337"/>
      <c r="GL16" s="337"/>
      <c r="GM16" s="337"/>
      <c r="GN16" s="337"/>
      <c r="GO16" s="337"/>
      <c r="GP16" s="337"/>
      <c r="GQ16" s="337"/>
      <c r="GR16" s="337"/>
      <c r="GS16" s="337"/>
      <c r="GT16" s="337"/>
      <c r="GU16" s="337"/>
      <c r="GV16" s="337"/>
      <c r="GW16" s="337"/>
      <c r="GX16" s="337"/>
      <c r="GY16" s="337"/>
      <c r="GZ16" s="337"/>
      <c r="HA16" s="337"/>
      <c r="HB16" s="337"/>
      <c r="HC16" s="337"/>
      <c r="HD16" s="337"/>
      <c r="HE16" s="337"/>
      <c r="HF16" s="337"/>
      <c r="HG16" s="337"/>
      <c r="HH16" s="337"/>
      <c r="HI16" s="337"/>
      <c r="HJ16" s="337"/>
      <c r="HK16" s="337"/>
      <c r="HL16" s="337"/>
      <c r="HM16" s="337"/>
      <c r="HN16" s="337"/>
      <c r="HO16" s="337"/>
      <c r="HP16" s="337"/>
      <c r="HQ16" s="337"/>
      <c r="HR16" s="337"/>
      <c r="HS16" s="337"/>
      <c r="HT16" s="337"/>
      <c r="HU16" s="337"/>
      <c r="HV16" s="337"/>
      <c r="HW16" s="337"/>
      <c r="HX16" s="337"/>
      <c r="HY16" s="337"/>
      <c r="HZ16" s="337"/>
      <c r="IA16" s="337"/>
      <c r="IB16" s="337"/>
      <c r="IC16" s="337"/>
      <c r="ID16" s="337"/>
      <c r="IE16" s="337"/>
      <c r="IF16" s="337"/>
      <c r="IG16" s="337"/>
      <c r="IH16" s="337"/>
      <c r="II16" s="337"/>
      <c r="IJ16" s="337"/>
      <c r="IK16" s="337"/>
      <c r="IL16" s="337"/>
      <c r="IM16" s="337"/>
      <c r="IN16" s="337"/>
      <c r="IO16" s="337"/>
      <c r="IP16" s="337"/>
      <c r="IQ16" s="337"/>
      <c r="IR16" s="337"/>
      <c r="IS16" s="337"/>
      <c r="IT16" s="337"/>
    </row>
    <row r="17" spans="1:40" x14ac:dyDescent="0.2">
      <c r="A17" s="1208"/>
      <c r="B17" s="1168"/>
      <c r="C17" s="1068"/>
      <c r="D17" s="1040"/>
      <c r="E17" s="1068"/>
      <c r="F17" s="1209"/>
      <c r="G17" s="1210"/>
      <c r="H17" s="1282"/>
      <c r="I17" s="1292"/>
      <c r="J17" s="1211"/>
      <c r="K17" s="1212"/>
      <c r="L17" s="1054"/>
      <c r="M17" s="1359"/>
      <c r="N17" s="1335"/>
      <c r="O17" s="1339"/>
      <c r="P17" s="1335"/>
      <c r="Q17" s="1214"/>
      <c r="R17" s="1215"/>
      <c r="S17" s="1232"/>
      <c r="T17" s="24"/>
      <c r="U17" s="1094"/>
      <c r="V17" s="119"/>
      <c r="W17" s="234"/>
      <c r="X17" s="114"/>
      <c r="Y17" s="235"/>
      <c r="Z17" s="115"/>
      <c r="AA17" s="821"/>
      <c r="AB17" s="811"/>
      <c r="AC17" s="821"/>
      <c r="AD17" s="811"/>
      <c r="AE17" s="236"/>
      <c r="AF17" s="116"/>
      <c r="AG17" s="234"/>
      <c r="AH17" s="116"/>
      <c r="AI17" s="237"/>
      <c r="AJ17" s="117"/>
      <c r="AK17" s="1092"/>
      <c r="AL17" s="1092"/>
      <c r="AM17" s="1095"/>
      <c r="AN17" s="24"/>
    </row>
    <row r="18" spans="1:40" x14ac:dyDescent="0.2">
      <c r="A18" s="1208"/>
      <c r="B18" s="1168"/>
      <c r="C18" s="1068"/>
      <c r="D18" s="1040"/>
      <c r="E18" s="1068"/>
      <c r="F18" s="1209"/>
      <c r="G18" s="1210"/>
      <c r="H18" s="1282"/>
      <c r="I18" s="1292"/>
      <c r="J18" s="1211"/>
      <c r="K18" s="1212"/>
      <c r="L18" s="1054"/>
      <c r="M18" s="1359"/>
      <c r="N18" s="1335"/>
      <c r="O18" s="1339"/>
      <c r="P18" s="1335"/>
      <c r="Q18" s="1214"/>
      <c r="R18" s="1215"/>
      <c r="S18" s="293"/>
      <c r="T18" s="24"/>
      <c r="U18" s="1094"/>
      <c r="V18" s="119"/>
      <c r="W18" s="234"/>
      <c r="X18" s="114"/>
      <c r="Y18" s="235"/>
      <c r="Z18" s="115"/>
      <c r="AA18" s="821"/>
      <c r="AB18" s="811"/>
      <c r="AC18" s="821"/>
      <c r="AD18" s="811"/>
      <c r="AE18" s="236"/>
      <c r="AF18" s="116"/>
      <c r="AG18" s="234"/>
      <c r="AH18" s="116"/>
      <c r="AI18" s="237"/>
      <c r="AJ18" s="117"/>
      <c r="AK18" s="1092"/>
      <c r="AL18" s="1092"/>
      <c r="AM18" s="1095"/>
      <c r="AN18" s="24"/>
    </row>
    <row r="19" spans="1:40" x14ac:dyDescent="0.2">
      <c r="A19" s="1208"/>
      <c r="B19" s="1168"/>
      <c r="C19" s="1068"/>
      <c r="D19" s="1040"/>
      <c r="E19" s="1068"/>
      <c r="F19" s="1209"/>
      <c r="G19" s="1210"/>
      <c r="H19" s="1049"/>
      <c r="I19" s="1298"/>
      <c r="J19" s="1211"/>
      <c r="K19" s="1212"/>
      <c r="L19" s="1054"/>
      <c r="M19" s="1359"/>
      <c r="N19" s="1335"/>
      <c r="O19" s="1339"/>
      <c r="P19" s="1335"/>
      <c r="Q19" s="1214"/>
      <c r="R19" s="1215"/>
      <c r="S19" s="293"/>
      <c r="T19" s="24"/>
      <c r="U19" s="1094"/>
      <c r="V19" s="119"/>
      <c r="W19" s="234"/>
      <c r="X19" s="114"/>
      <c r="Y19" s="235"/>
      <c r="Z19" s="115"/>
      <c r="AA19" s="821"/>
      <c r="AB19" s="811"/>
      <c r="AC19" s="821"/>
      <c r="AD19" s="811"/>
      <c r="AE19" s="236"/>
      <c r="AF19" s="116"/>
      <c r="AG19" s="234"/>
      <c r="AH19" s="116"/>
      <c r="AI19" s="237"/>
      <c r="AJ19" s="117"/>
      <c r="AK19" s="1092"/>
      <c r="AL19" s="1092"/>
      <c r="AM19" s="1095"/>
      <c r="AN19" s="24"/>
    </row>
    <row r="20" spans="1:40" x14ac:dyDescent="0.2">
      <c r="A20" s="1208"/>
      <c r="B20" s="1168"/>
      <c r="C20" s="1068"/>
      <c r="D20" s="1040"/>
      <c r="E20" s="1068"/>
      <c r="F20" s="1209"/>
      <c r="G20" s="1210"/>
      <c r="H20" s="1282"/>
      <c r="I20" s="1292"/>
      <c r="J20" s="1211"/>
      <c r="K20" s="1212"/>
      <c r="L20" s="1054"/>
      <c r="M20" s="989"/>
      <c r="N20" s="1335"/>
      <c r="O20" s="1339"/>
      <c r="P20" s="1335"/>
      <c r="Q20" s="1214"/>
      <c r="R20" s="1215"/>
      <c r="S20" s="293"/>
      <c r="T20" s="24"/>
      <c r="U20" s="1094"/>
      <c r="V20" s="119"/>
      <c r="W20" s="234"/>
      <c r="X20" s="114"/>
      <c r="Y20" s="235"/>
      <c r="Z20" s="115"/>
      <c r="AA20" s="821"/>
      <c r="AB20" s="811"/>
      <c r="AC20" s="821"/>
      <c r="AD20" s="811"/>
      <c r="AE20" s="236"/>
      <c r="AF20" s="116"/>
      <c r="AG20" s="234"/>
      <c r="AH20" s="116"/>
      <c r="AI20" s="237"/>
      <c r="AJ20" s="117"/>
      <c r="AK20" s="1092"/>
      <c r="AL20" s="1092"/>
      <c r="AM20" s="1095"/>
      <c r="AN20" s="24"/>
    </row>
    <row r="21" spans="1:40" x14ac:dyDescent="0.2">
      <c r="A21" s="1208"/>
      <c r="B21" s="1168"/>
      <c r="C21" s="1068"/>
      <c r="D21" s="1040"/>
      <c r="E21" s="1068"/>
      <c r="F21" s="1209"/>
      <c r="G21" s="1210"/>
      <c r="H21" s="1282"/>
      <c r="I21" s="1292"/>
      <c r="J21" s="1211"/>
      <c r="K21" s="1212"/>
      <c r="L21" s="1054"/>
      <c r="M21" s="989"/>
      <c r="N21" s="1335"/>
      <c r="O21" s="1339"/>
      <c r="P21" s="1335"/>
      <c r="Q21" s="1214"/>
      <c r="R21" s="1215"/>
      <c r="S21" s="293"/>
      <c r="T21" s="24"/>
      <c r="U21" s="1094"/>
      <c r="V21" s="119"/>
      <c r="W21" s="234"/>
      <c r="X21" s="114"/>
      <c r="Y21" s="235"/>
      <c r="Z21" s="115"/>
      <c r="AA21" s="821"/>
      <c r="AB21" s="811"/>
      <c r="AC21" s="821"/>
      <c r="AD21" s="811"/>
      <c r="AE21" s="236"/>
      <c r="AF21" s="116"/>
      <c r="AG21" s="234"/>
      <c r="AH21" s="116"/>
      <c r="AI21" s="237"/>
      <c r="AJ21" s="117"/>
      <c r="AK21" s="1092"/>
      <c r="AL21" s="1092"/>
      <c r="AM21" s="1095"/>
      <c r="AN21" s="24"/>
    </row>
    <row r="22" spans="1:40" x14ac:dyDescent="0.2">
      <c r="A22" s="1208"/>
      <c r="B22" s="1168"/>
      <c r="C22" s="1068"/>
      <c r="D22" s="1040"/>
      <c r="E22" s="1068"/>
      <c r="F22" s="1209"/>
      <c r="G22" s="1210"/>
      <c r="H22" s="1282"/>
      <c r="I22" s="1292"/>
      <c r="J22" s="1211"/>
      <c r="K22" s="1212"/>
      <c r="L22" s="1054"/>
      <c r="M22" s="1359"/>
      <c r="N22" s="1335"/>
      <c r="O22" s="1339"/>
      <c r="P22" s="1335"/>
      <c r="Q22" s="1214"/>
      <c r="R22" s="1215"/>
      <c r="S22" s="323"/>
      <c r="T22" s="24"/>
      <c r="U22" s="1094"/>
      <c r="V22" s="119"/>
      <c r="W22" s="234"/>
      <c r="X22" s="114"/>
      <c r="Y22" s="235"/>
      <c r="Z22" s="115"/>
      <c r="AA22" s="821"/>
      <c r="AB22" s="811"/>
      <c r="AC22" s="821"/>
      <c r="AD22" s="811"/>
      <c r="AE22" s="236"/>
      <c r="AF22" s="116"/>
      <c r="AG22" s="234"/>
      <c r="AH22" s="116"/>
      <c r="AI22" s="237"/>
      <c r="AJ22" s="117"/>
      <c r="AK22" s="1092"/>
      <c r="AL22" s="1092"/>
      <c r="AM22" s="1095"/>
      <c r="AN22" s="24"/>
    </row>
    <row r="23" spans="1:40" x14ac:dyDescent="0.2">
      <c r="A23" s="1208"/>
      <c r="B23" s="1168"/>
      <c r="C23" s="1068"/>
      <c r="D23" s="1040"/>
      <c r="E23" s="1068"/>
      <c r="F23" s="1209"/>
      <c r="G23" s="1210"/>
      <c r="H23" s="1282"/>
      <c r="I23" s="1292"/>
      <c r="J23" s="1211"/>
      <c r="K23" s="1212"/>
      <c r="L23" s="1054"/>
      <c r="M23" s="1213"/>
      <c r="N23" s="1335"/>
      <c r="O23" s="1339"/>
      <c r="P23" s="1335"/>
      <c r="Q23" s="1214"/>
      <c r="R23" s="1215"/>
      <c r="S23" s="293"/>
      <c r="T23" s="24"/>
      <c r="U23" s="1094"/>
      <c r="V23" s="119"/>
      <c r="W23" s="234"/>
      <c r="X23" s="114"/>
      <c r="Y23" s="235"/>
      <c r="Z23" s="115"/>
      <c r="AA23" s="821"/>
      <c r="AB23" s="811"/>
      <c r="AC23" s="821"/>
      <c r="AD23" s="811"/>
      <c r="AE23" s="236"/>
      <c r="AF23" s="116"/>
      <c r="AG23" s="234"/>
      <c r="AH23" s="116"/>
      <c r="AI23" s="237"/>
      <c r="AJ23" s="117"/>
      <c r="AK23" s="1092"/>
      <c r="AL23" s="1092"/>
      <c r="AM23" s="1095"/>
      <c r="AN23" s="24"/>
    </row>
    <row r="24" spans="1:40" x14ac:dyDescent="0.2">
      <c r="A24" s="1208"/>
      <c r="B24" s="1168"/>
      <c r="C24" s="1068"/>
      <c r="D24" s="1040"/>
      <c r="E24" s="1068"/>
      <c r="F24" s="1209"/>
      <c r="G24" s="1210"/>
      <c r="H24" s="1282"/>
      <c r="I24" s="1292"/>
      <c r="J24" s="1211"/>
      <c r="K24" s="1212"/>
      <c r="L24" s="1054"/>
      <c r="M24" s="989"/>
      <c r="N24" s="1335"/>
      <c r="O24" s="1339"/>
      <c r="P24" s="1335"/>
      <c r="Q24" s="1214"/>
      <c r="R24" s="1215"/>
      <c r="S24" s="293"/>
      <c r="T24" s="24"/>
      <c r="U24" s="1094"/>
      <c r="V24" s="119"/>
      <c r="W24" s="234"/>
      <c r="X24" s="114"/>
      <c r="Y24" s="235"/>
      <c r="Z24" s="115"/>
      <c r="AA24" s="821"/>
      <c r="AB24" s="811"/>
      <c r="AC24" s="821"/>
      <c r="AD24" s="811"/>
      <c r="AE24" s="236"/>
      <c r="AF24" s="116"/>
      <c r="AG24" s="234"/>
      <c r="AH24" s="116"/>
      <c r="AI24" s="237"/>
      <c r="AJ24" s="117"/>
      <c r="AK24" s="1092"/>
      <c r="AL24" s="1092"/>
      <c r="AM24" s="1095"/>
      <c r="AN24" s="24"/>
    </row>
    <row r="25" spans="1:40" x14ac:dyDescent="0.2">
      <c r="A25" s="1208"/>
      <c r="B25" s="1168"/>
      <c r="C25" s="1068"/>
      <c r="D25" s="1040"/>
      <c r="E25" s="1068"/>
      <c r="F25" s="1209"/>
      <c r="G25" s="1210"/>
      <c r="H25" s="1049"/>
      <c r="I25" s="1298"/>
      <c r="J25" s="1211"/>
      <c r="K25" s="1212"/>
      <c r="L25" s="1054"/>
      <c r="M25" s="1359"/>
      <c r="N25" s="1335"/>
      <c r="O25" s="1339"/>
      <c r="P25" s="1335"/>
      <c r="Q25" s="1214"/>
      <c r="R25" s="1215"/>
      <c r="S25" s="323"/>
      <c r="T25" s="24"/>
      <c r="U25" s="1094"/>
      <c r="V25" s="119"/>
      <c r="W25" s="234"/>
      <c r="X25" s="114"/>
      <c r="Y25" s="235"/>
      <c r="Z25" s="115"/>
      <c r="AA25" s="821"/>
      <c r="AB25" s="811"/>
      <c r="AC25" s="821"/>
      <c r="AD25" s="811"/>
      <c r="AE25" s="236"/>
      <c r="AF25" s="116"/>
      <c r="AG25" s="234"/>
      <c r="AH25" s="116"/>
      <c r="AI25" s="237"/>
      <c r="AJ25" s="117"/>
      <c r="AK25" s="1092"/>
      <c r="AL25" s="1092"/>
      <c r="AM25" s="1095"/>
      <c r="AN25" s="24"/>
    </row>
    <row r="26" spans="1:40" x14ac:dyDescent="0.2">
      <c r="A26" s="1208"/>
      <c r="B26" s="1216"/>
      <c r="C26" s="1068"/>
      <c r="D26" s="1040"/>
      <c r="E26" s="1068"/>
      <c r="F26" s="1209"/>
      <c r="G26" s="1210"/>
      <c r="H26" s="1282"/>
      <c r="I26" s="1292"/>
      <c r="J26" s="1211"/>
      <c r="K26" s="1212"/>
      <c r="L26" s="1054"/>
      <c r="M26" s="1213"/>
      <c r="N26" s="1335"/>
      <c r="O26" s="1339"/>
      <c r="P26" s="1335"/>
      <c r="Q26" s="1214"/>
      <c r="R26" s="1215"/>
      <c r="S26" s="293"/>
      <c r="T26" s="24"/>
      <c r="U26" s="1094"/>
      <c r="V26" s="1233"/>
      <c r="W26" s="234"/>
      <c r="X26" s="114"/>
      <c r="Y26" s="235"/>
      <c r="Z26" s="115"/>
      <c r="AA26" s="821"/>
      <c r="AB26" s="811"/>
      <c r="AC26" s="821"/>
      <c r="AD26" s="811"/>
      <c r="AE26" s="236"/>
      <c r="AF26" s="116"/>
      <c r="AG26" s="234"/>
      <c r="AH26" s="116"/>
      <c r="AI26" s="237"/>
      <c r="AJ26" s="117"/>
      <c r="AK26" s="1092"/>
      <c r="AL26" s="1092"/>
      <c r="AM26" s="1095"/>
      <c r="AN26" s="24"/>
    </row>
    <row r="27" spans="1:40" x14ac:dyDescent="0.2">
      <c r="A27" s="1208"/>
      <c r="B27" s="1168"/>
      <c r="C27" s="1068"/>
      <c r="D27" s="1040"/>
      <c r="E27" s="1068"/>
      <c r="F27" s="1209"/>
      <c r="G27" s="1210"/>
      <c r="H27" s="1282"/>
      <c r="I27" s="1292"/>
      <c r="J27" s="1211"/>
      <c r="K27" s="1212"/>
      <c r="L27" s="1054"/>
      <c r="M27" s="1358"/>
      <c r="N27" s="1335"/>
      <c r="O27" s="1339"/>
      <c r="P27" s="1335"/>
      <c r="Q27" s="1214"/>
      <c r="R27" s="1215"/>
      <c r="S27" s="293"/>
      <c r="T27" s="24"/>
      <c r="U27" s="1094"/>
      <c r="V27" s="119"/>
      <c r="W27" s="234"/>
      <c r="X27" s="114"/>
      <c r="Y27" s="235"/>
      <c r="Z27" s="115"/>
      <c r="AA27" s="821"/>
      <c r="AB27" s="811"/>
      <c r="AC27" s="821"/>
      <c r="AD27" s="811"/>
      <c r="AE27" s="236"/>
      <c r="AF27" s="116"/>
      <c r="AG27" s="234"/>
      <c r="AH27" s="116"/>
      <c r="AI27" s="237"/>
      <c r="AJ27" s="117"/>
      <c r="AK27" s="1092"/>
      <c r="AL27" s="1092"/>
      <c r="AM27" s="1095"/>
      <c r="AN27" s="24"/>
    </row>
    <row r="28" spans="1:40" x14ac:dyDescent="0.2">
      <c r="A28" s="1208"/>
      <c r="B28" s="1231"/>
      <c r="C28" s="1068"/>
      <c r="D28" s="1040"/>
      <c r="E28" s="1068"/>
      <c r="F28" s="1209"/>
      <c r="G28" s="1210"/>
      <c r="H28" s="1282"/>
      <c r="I28" s="1292"/>
      <c r="J28" s="1211"/>
      <c r="K28" s="1212"/>
      <c r="L28" s="1054"/>
      <c r="M28" s="1358"/>
      <c r="N28" s="1335"/>
      <c r="O28" s="1339"/>
      <c r="P28" s="1335"/>
      <c r="Q28" s="1214"/>
      <c r="R28" s="1215"/>
      <c r="S28" s="293"/>
      <c r="T28" s="24"/>
      <c r="U28" s="1094"/>
      <c r="V28" s="1234"/>
      <c r="W28" s="234"/>
      <c r="X28" s="114"/>
      <c r="Y28" s="235"/>
      <c r="Z28" s="115"/>
      <c r="AA28" s="821"/>
      <c r="AB28" s="811"/>
      <c r="AC28" s="821"/>
      <c r="AD28" s="811"/>
      <c r="AE28" s="236"/>
      <c r="AF28" s="116"/>
      <c r="AG28" s="234"/>
      <c r="AH28" s="116"/>
      <c r="AI28" s="237"/>
      <c r="AJ28" s="117"/>
      <c r="AK28" s="1092"/>
      <c r="AL28" s="1092"/>
      <c r="AM28" s="1095"/>
      <c r="AN28" s="24"/>
    </row>
    <row r="29" spans="1:40" x14ac:dyDescent="0.2">
      <c r="A29" s="1208"/>
      <c r="B29" s="1019"/>
      <c r="C29" s="1068"/>
      <c r="D29" s="1040"/>
      <c r="E29" s="1068"/>
      <c r="F29" s="1209"/>
      <c r="G29" s="1210"/>
      <c r="H29" s="1282"/>
      <c r="I29" s="1292"/>
      <c r="J29" s="1211"/>
      <c r="K29" s="1212"/>
      <c r="L29" s="1054"/>
      <c r="M29" s="1358"/>
      <c r="N29" s="1335"/>
      <c r="O29" s="1339"/>
      <c r="P29" s="1335"/>
      <c r="Q29" s="1214"/>
      <c r="R29" s="1215"/>
      <c r="S29" s="293"/>
      <c r="T29" s="24"/>
      <c r="U29" s="1094"/>
      <c r="V29" s="119"/>
      <c r="W29" s="234"/>
      <c r="X29" s="114"/>
      <c r="Y29" s="235"/>
      <c r="Z29" s="115"/>
      <c r="AA29" s="821"/>
      <c r="AB29" s="811"/>
      <c r="AC29" s="821"/>
      <c r="AD29" s="811"/>
      <c r="AE29" s="236"/>
      <c r="AF29" s="116"/>
      <c r="AG29" s="234"/>
      <c r="AH29" s="116"/>
      <c r="AI29" s="237"/>
      <c r="AJ29" s="117"/>
      <c r="AK29" s="1092"/>
      <c r="AL29" s="1092"/>
      <c r="AM29" s="1095"/>
      <c r="AN29" s="24"/>
    </row>
    <row r="30" spans="1:40" x14ac:dyDescent="0.2">
      <c r="A30" s="1208"/>
      <c r="B30" s="1344"/>
      <c r="C30" s="1068"/>
      <c r="D30" s="1040"/>
      <c r="E30" s="1068"/>
      <c r="F30" s="1209"/>
      <c r="G30" s="1210"/>
      <c r="H30" s="1049"/>
      <c r="I30" s="1298"/>
      <c r="J30" s="1211"/>
      <c r="K30" s="1212"/>
      <c r="L30" s="1054"/>
      <c r="M30" s="1359"/>
      <c r="N30" s="1335"/>
      <c r="O30" s="1339"/>
      <c r="P30" s="1335"/>
      <c r="Q30" s="1214"/>
      <c r="R30" s="1215"/>
      <c r="S30" s="293"/>
      <c r="T30" s="24"/>
      <c r="U30" s="1094"/>
      <c r="V30" s="119"/>
      <c r="W30" s="234"/>
      <c r="X30" s="114"/>
      <c r="Y30" s="235"/>
      <c r="Z30" s="115"/>
      <c r="AA30" s="821"/>
      <c r="AB30" s="811"/>
      <c r="AC30" s="821"/>
      <c r="AD30" s="811"/>
      <c r="AE30" s="236"/>
      <c r="AF30" s="116"/>
      <c r="AG30" s="234"/>
      <c r="AH30" s="116"/>
      <c r="AI30" s="237"/>
      <c r="AJ30" s="117"/>
      <c r="AK30" s="1092"/>
      <c r="AL30" s="1092"/>
      <c r="AM30" s="1095"/>
      <c r="AN30" s="24"/>
    </row>
    <row r="31" spans="1:40" x14ac:dyDescent="0.2">
      <c r="A31" s="1208"/>
      <c r="B31" s="1344"/>
      <c r="C31" s="1068"/>
      <c r="D31" s="1040"/>
      <c r="E31" s="1068"/>
      <c r="F31" s="1209"/>
      <c r="G31" s="1210"/>
      <c r="H31" s="1049"/>
      <c r="I31" s="1298"/>
      <c r="J31" s="1211"/>
      <c r="K31" s="1212"/>
      <c r="L31" s="1054"/>
      <c r="M31" s="1359"/>
      <c r="N31" s="1335"/>
      <c r="O31" s="1339"/>
      <c r="P31" s="1335"/>
      <c r="Q31" s="1214"/>
      <c r="R31" s="1215"/>
      <c r="S31" s="293"/>
      <c r="T31" s="24"/>
      <c r="U31" s="1094"/>
      <c r="V31" s="119"/>
      <c r="W31" s="234"/>
      <c r="X31" s="114"/>
      <c r="Y31" s="235"/>
      <c r="Z31" s="115"/>
      <c r="AA31" s="821"/>
      <c r="AB31" s="811"/>
      <c r="AC31" s="821"/>
      <c r="AD31" s="811"/>
      <c r="AE31" s="236"/>
      <c r="AF31" s="116"/>
      <c r="AG31" s="234"/>
      <c r="AH31" s="116"/>
      <c r="AI31" s="237"/>
      <c r="AJ31" s="117"/>
      <c r="AK31" s="1092"/>
      <c r="AL31" s="1092"/>
      <c r="AM31" s="1095"/>
      <c r="AN31" s="24"/>
    </row>
    <row r="32" spans="1:40" x14ac:dyDescent="0.2">
      <c r="A32" s="1208"/>
      <c r="B32" s="1168"/>
      <c r="C32" s="1068"/>
      <c r="D32" s="1040"/>
      <c r="E32" s="1068"/>
      <c r="F32" s="1209"/>
      <c r="G32" s="1210"/>
      <c r="H32" s="1049"/>
      <c r="I32" s="1298"/>
      <c r="J32" s="1211"/>
      <c r="K32" s="1212"/>
      <c r="L32" s="1054"/>
      <c r="M32" s="1359"/>
      <c r="N32" s="1335"/>
      <c r="O32" s="1339"/>
      <c r="P32" s="1335"/>
      <c r="Q32" s="1214"/>
      <c r="R32" s="1215"/>
      <c r="S32" s="293"/>
      <c r="T32" s="24"/>
      <c r="U32" s="1094"/>
      <c r="V32" s="119"/>
      <c r="W32" s="234"/>
      <c r="X32" s="114"/>
      <c r="Y32" s="235"/>
      <c r="Z32" s="115"/>
      <c r="AA32" s="821"/>
      <c r="AB32" s="811"/>
      <c r="AC32" s="821"/>
      <c r="AD32" s="811"/>
      <c r="AE32" s="236"/>
      <c r="AF32" s="116"/>
      <c r="AG32" s="234"/>
      <c r="AH32" s="116"/>
      <c r="AI32" s="237"/>
      <c r="AJ32" s="117"/>
      <c r="AK32" s="1092"/>
      <c r="AL32" s="1092"/>
      <c r="AM32" s="1095"/>
      <c r="AN32" s="24"/>
    </row>
    <row r="33" spans="1:40" x14ac:dyDescent="0.2">
      <c r="A33" s="1208"/>
      <c r="B33" s="1216"/>
      <c r="C33" s="1068"/>
      <c r="D33" s="1040"/>
      <c r="E33" s="1068"/>
      <c r="F33" s="1209"/>
      <c r="G33" s="1210"/>
      <c r="H33" s="1282"/>
      <c r="I33" s="1292"/>
      <c r="J33" s="1211"/>
      <c r="K33" s="1212"/>
      <c r="L33" s="1217"/>
      <c r="M33" s="1213"/>
      <c r="N33" s="1335"/>
      <c r="O33" s="1339"/>
      <c r="P33" s="1335"/>
      <c r="Q33" s="1214"/>
      <c r="R33" s="1215"/>
      <c r="S33" s="293"/>
      <c r="T33" s="24"/>
      <c r="U33" s="1094"/>
      <c r="V33" s="119"/>
      <c r="W33" s="234"/>
      <c r="X33" s="114"/>
      <c r="Y33" s="235"/>
      <c r="Z33" s="115"/>
      <c r="AA33" s="821"/>
      <c r="AB33" s="811"/>
      <c r="AC33" s="821"/>
      <c r="AD33" s="811"/>
      <c r="AE33" s="236"/>
      <c r="AF33" s="116"/>
      <c r="AG33" s="234"/>
      <c r="AH33" s="116"/>
      <c r="AI33" s="237"/>
      <c r="AJ33" s="117"/>
      <c r="AK33" s="1092"/>
      <c r="AL33" s="1092"/>
      <c r="AM33" s="1095"/>
      <c r="AN33" s="24"/>
    </row>
    <row r="34" spans="1:40" x14ac:dyDescent="0.2">
      <c r="A34" s="1218"/>
      <c r="B34" s="1006"/>
      <c r="C34" s="1073"/>
      <c r="D34" s="1219"/>
      <c r="E34" s="1073"/>
      <c r="F34" s="1170"/>
      <c r="G34" s="1171"/>
      <c r="H34" s="1283"/>
      <c r="I34" s="1293"/>
      <c r="J34" s="1172"/>
      <c r="K34" s="1173"/>
      <c r="L34" s="1174"/>
      <c r="M34" s="1175"/>
      <c r="N34" s="1336"/>
      <c r="O34" s="1345"/>
      <c r="P34" s="1336"/>
      <c r="Q34" s="1176"/>
      <c r="R34" s="1177"/>
      <c r="S34" s="1232"/>
      <c r="T34" s="24"/>
      <c r="U34" s="1094"/>
      <c r="V34" s="119"/>
      <c r="W34" s="234"/>
      <c r="X34" s="114"/>
      <c r="Y34" s="235"/>
      <c r="Z34" s="115"/>
      <c r="AA34" s="821"/>
      <c r="AB34" s="811"/>
      <c r="AC34" s="821"/>
      <c r="AD34" s="811"/>
      <c r="AE34" s="236"/>
      <c r="AF34" s="116"/>
      <c r="AG34" s="234"/>
      <c r="AH34" s="116"/>
      <c r="AI34" s="237"/>
      <c r="AJ34" s="117"/>
      <c r="AK34" s="1092"/>
      <c r="AL34" s="1092"/>
      <c r="AM34" s="1095"/>
      <c r="AN34" s="24"/>
    </row>
    <row r="35" spans="1:40" x14ac:dyDescent="0.2">
      <c r="A35" s="1208"/>
      <c r="B35" s="1042"/>
      <c r="C35" s="1068"/>
      <c r="D35" s="1040"/>
      <c r="E35" s="1068"/>
      <c r="F35" s="1209"/>
      <c r="G35" s="1210"/>
      <c r="H35" s="1282"/>
      <c r="I35" s="1292"/>
      <c r="J35" s="1211"/>
      <c r="K35" s="1212"/>
      <c r="L35" s="1217"/>
      <c r="M35" s="1359"/>
      <c r="N35" s="1335"/>
      <c r="O35" s="1339"/>
      <c r="P35" s="1335"/>
      <c r="Q35" s="1214"/>
      <c r="R35" s="1215"/>
      <c r="S35" s="293"/>
      <c r="T35" s="24"/>
      <c r="U35" s="1094"/>
      <c r="V35" s="119"/>
      <c r="W35" s="234"/>
      <c r="X35" s="114"/>
      <c r="Y35" s="235"/>
      <c r="Z35" s="115"/>
      <c r="AA35" s="821"/>
      <c r="AB35" s="811"/>
      <c r="AC35" s="821"/>
      <c r="AD35" s="811"/>
      <c r="AE35" s="236"/>
      <c r="AF35" s="116"/>
      <c r="AG35" s="234"/>
      <c r="AH35" s="116"/>
      <c r="AI35" s="237"/>
      <c r="AJ35" s="117"/>
      <c r="AK35" s="1092"/>
      <c r="AL35" s="1092"/>
      <c r="AM35" s="1095"/>
      <c r="AN35" s="24"/>
    </row>
    <row r="36" spans="1:40" x14ac:dyDescent="0.2">
      <c r="A36" s="1208"/>
      <c r="B36" s="1168"/>
      <c r="C36" s="1068"/>
      <c r="D36" s="1040"/>
      <c r="E36" s="1068"/>
      <c r="F36" s="1209"/>
      <c r="G36" s="1210"/>
      <c r="H36" s="1282"/>
      <c r="I36" s="1292"/>
      <c r="J36" s="1211"/>
      <c r="K36" s="1212"/>
      <c r="L36" s="1217"/>
      <c r="M36" s="1359"/>
      <c r="N36" s="1335"/>
      <c r="O36" s="1339"/>
      <c r="P36" s="1335"/>
      <c r="Q36" s="1214"/>
      <c r="R36" s="1215"/>
      <c r="S36" s="293"/>
      <c r="T36" s="24"/>
      <c r="U36" s="1094"/>
      <c r="V36" s="119"/>
      <c r="W36" s="234"/>
      <c r="X36" s="114"/>
      <c r="Y36" s="235"/>
      <c r="Z36" s="115"/>
      <c r="AA36" s="821"/>
      <c r="AB36" s="811"/>
      <c r="AC36" s="821"/>
      <c r="AD36" s="811"/>
      <c r="AE36" s="236"/>
      <c r="AF36" s="116"/>
      <c r="AG36" s="234"/>
      <c r="AH36" s="116"/>
      <c r="AI36" s="237"/>
      <c r="AJ36" s="117"/>
      <c r="AK36" s="1092"/>
      <c r="AL36" s="1092"/>
      <c r="AM36" s="1095"/>
      <c r="AN36" s="24"/>
    </row>
    <row r="37" spans="1:40" x14ac:dyDescent="0.2">
      <c r="A37" s="1208"/>
      <c r="B37" s="1168"/>
      <c r="C37" s="1068"/>
      <c r="D37" s="1040"/>
      <c r="E37" s="1068"/>
      <c r="F37" s="1209"/>
      <c r="G37" s="1210"/>
      <c r="H37" s="1282"/>
      <c r="I37" s="1292"/>
      <c r="J37" s="1211"/>
      <c r="K37" s="1212"/>
      <c r="L37" s="1217"/>
      <c r="M37" s="1359"/>
      <c r="N37" s="1335"/>
      <c r="O37" s="1339"/>
      <c r="P37" s="1335"/>
      <c r="Q37" s="1214"/>
      <c r="R37" s="1215"/>
      <c r="S37" s="293"/>
      <c r="T37" s="24"/>
      <c r="U37" s="1094"/>
      <c r="V37" s="119"/>
      <c r="W37" s="234"/>
      <c r="X37" s="114"/>
      <c r="Y37" s="235"/>
      <c r="Z37" s="115"/>
      <c r="AA37" s="821"/>
      <c r="AB37" s="811"/>
      <c r="AC37" s="821"/>
      <c r="AD37" s="811"/>
      <c r="AE37" s="236"/>
      <c r="AF37" s="116"/>
      <c r="AG37" s="234"/>
      <c r="AH37" s="116"/>
      <c r="AI37" s="237"/>
      <c r="AJ37" s="117"/>
      <c r="AK37" s="1092"/>
      <c r="AL37" s="1092"/>
      <c r="AM37" s="1095"/>
      <c r="AN37" s="24"/>
    </row>
    <row r="38" spans="1:40" x14ac:dyDescent="0.2">
      <c r="A38" s="1208"/>
      <c r="B38" s="1220"/>
      <c r="C38" s="1068"/>
      <c r="D38" s="1221"/>
      <c r="E38" s="1068"/>
      <c r="F38" s="1209"/>
      <c r="G38" s="1210"/>
      <c r="H38" s="1282"/>
      <c r="I38" s="1292"/>
      <c r="J38" s="1211"/>
      <c r="K38" s="1212"/>
      <c r="L38" s="1054"/>
      <c r="M38" s="1213"/>
      <c r="N38" s="1335"/>
      <c r="O38" s="1339"/>
      <c r="P38" s="1335"/>
      <c r="Q38" s="1214"/>
      <c r="R38" s="1215"/>
      <c r="S38" s="293"/>
      <c r="T38" s="24"/>
      <c r="U38" s="1094"/>
      <c r="V38" s="119"/>
      <c r="W38" s="234"/>
      <c r="X38" s="114"/>
      <c r="Y38" s="235"/>
      <c r="Z38" s="115"/>
      <c r="AA38" s="821"/>
      <c r="AB38" s="811"/>
      <c r="AC38" s="821"/>
      <c r="AD38" s="811"/>
      <c r="AE38" s="236"/>
      <c r="AF38" s="116"/>
      <c r="AG38" s="234"/>
      <c r="AH38" s="116"/>
      <c r="AI38" s="237"/>
      <c r="AJ38" s="117"/>
      <c r="AK38" s="1092"/>
      <c r="AL38" s="1092"/>
      <c r="AM38" s="1095"/>
      <c r="AN38" s="24"/>
    </row>
    <row r="39" spans="1:40" x14ac:dyDescent="0.2">
      <c r="A39" s="1208"/>
      <c r="B39" s="1220"/>
      <c r="C39" s="1068"/>
      <c r="D39" s="1221"/>
      <c r="E39" s="1068"/>
      <c r="F39" s="1209"/>
      <c r="G39" s="1210"/>
      <c r="H39" s="1282"/>
      <c r="I39" s="1292"/>
      <c r="J39" s="1211"/>
      <c r="K39" s="1212"/>
      <c r="L39" s="1054"/>
      <c r="M39" s="1213"/>
      <c r="N39" s="1335"/>
      <c r="O39" s="1339"/>
      <c r="P39" s="1335"/>
      <c r="Q39" s="1214"/>
      <c r="R39" s="1215"/>
      <c r="S39" s="293"/>
      <c r="T39" s="24"/>
      <c r="U39" s="1094"/>
      <c r="V39" s="119"/>
      <c r="W39" s="234"/>
      <c r="X39" s="114"/>
      <c r="Y39" s="235"/>
      <c r="Z39" s="115"/>
      <c r="AA39" s="821"/>
      <c r="AB39" s="811"/>
      <c r="AC39" s="821"/>
      <c r="AD39" s="811"/>
      <c r="AE39" s="236"/>
      <c r="AF39" s="116"/>
      <c r="AG39" s="234"/>
      <c r="AH39" s="116"/>
      <c r="AI39" s="237"/>
      <c r="AJ39" s="117"/>
      <c r="AK39" s="1092"/>
      <c r="AL39" s="1092"/>
      <c r="AM39" s="1095"/>
      <c r="AN39" s="24"/>
    </row>
    <row r="40" spans="1:40" x14ac:dyDescent="0.2">
      <c r="A40" s="1208"/>
      <c r="B40" s="1220"/>
      <c r="C40" s="1068"/>
      <c r="D40" s="1221"/>
      <c r="E40" s="1068"/>
      <c r="F40" s="1209"/>
      <c r="G40" s="1210"/>
      <c r="H40" s="1282"/>
      <c r="I40" s="1292"/>
      <c r="J40" s="1211"/>
      <c r="K40" s="1212"/>
      <c r="L40" s="1054"/>
      <c r="M40" s="1213"/>
      <c r="N40" s="1335"/>
      <c r="O40" s="1339"/>
      <c r="P40" s="1335"/>
      <c r="Q40" s="1214"/>
      <c r="R40" s="1215"/>
      <c r="S40" s="293"/>
      <c r="T40" s="24"/>
      <c r="U40" s="1094"/>
      <c r="V40" s="119"/>
      <c r="W40" s="234"/>
      <c r="X40" s="114"/>
      <c r="Y40" s="235"/>
      <c r="Z40" s="115"/>
      <c r="AA40" s="821"/>
      <c r="AB40" s="811"/>
      <c r="AC40" s="821"/>
      <c r="AD40" s="811"/>
      <c r="AE40" s="236"/>
      <c r="AF40" s="116"/>
      <c r="AG40" s="234"/>
      <c r="AH40" s="116"/>
      <c r="AI40" s="237"/>
      <c r="AJ40" s="117"/>
      <c r="AK40" s="1092"/>
      <c r="AL40" s="1092"/>
      <c r="AM40" s="1095"/>
      <c r="AN40" s="24"/>
    </row>
    <row r="41" spans="1:40" x14ac:dyDescent="0.2">
      <c r="A41" s="1208"/>
      <c r="B41" s="1220"/>
      <c r="C41" s="1068"/>
      <c r="D41" s="1221"/>
      <c r="E41" s="1068"/>
      <c r="F41" s="1209"/>
      <c r="G41" s="1210"/>
      <c r="H41" s="1282"/>
      <c r="I41" s="1292"/>
      <c r="J41" s="1211"/>
      <c r="K41" s="1212"/>
      <c r="L41" s="1054"/>
      <c r="M41" s="1213"/>
      <c r="N41" s="1335"/>
      <c r="O41" s="1339"/>
      <c r="P41" s="1335"/>
      <c r="Q41" s="1214"/>
      <c r="R41" s="1215"/>
      <c r="S41" s="293"/>
      <c r="T41" s="24"/>
      <c r="U41" s="1094"/>
      <c r="V41" s="119"/>
      <c r="W41" s="234"/>
      <c r="X41" s="114"/>
      <c r="Y41" s="235"/>
      <c r="Z41" s="115"/>
      <c r="AA41" s="821"/>
      <c r="AB41" s="811"/>
      <c r="AC41" s="821"/>
      <c r="AD41" s="811"/>
      <c r="AE41" s="236"/>
      <c r="AF41" s="116"/>
      <c r="AG41" s="234"/>
      <c r="AH41" s="116"/>
      <c r="AI41" s="237"/>
      <c r="AJ41" s="117"/>
      <c r="AK41" s="1092"/>
      <c r="AL41" s="1092"/>
      <c r="AM41" s="1095"/>
      <c r="AN41" s="24"/>
    </row>
    <row r="42" spans="1:40" x14ac:dyDescent="0.2">
      <c r="A42" s="1208"/>
      <c r="B42" s="1220"/>
      <c r="C42" s="1068"/>
      <c r="D42" s="1221"/>
      <c r="E42" s="1068"/>
      <c r="F42" s="1209"/>
      <c r="G42" s="1210"/>
      <c r="H42" s="1282"/>
      <c r="I42" s="1292"/>
      <c r="J42" s="1211"/>
      <c r="K42" s="1212"/>
      <c r="L42" s="1054"/>
      <c r="M42" s="1213"/>
      <c r="N42" s="1335"/>
      <c r="O42" s="1339"/>
      <c r="P42" s="1335"/>
      <c r="Q42" s="1214"/>
      <c r="R42" s="1215"/>
      <c r="S42" s="293"/>
      <c r="T42" s="24"/>
      <c r="U42" s="1094"/>
      <c r="V42" s="119"/>
      <c r="W42" s="234"/>
      <c r="X42" s="114"/>
      <c r="Y42" s="235"/>
      <c r="Z42" s="115"/>
      <c r="AA42" s="821"/>
      <c r="AB42" s="811"/>
      <c r="AC42" s="821"/>
      <c r="AD42" s="811"/>
      <c r="AE42" s="236"/>
      <c r="AF42" s="116"/>
      <c r="AG42" s="234"/>
      <c r="AH42" s="116"/>
      <c r="AI42" s="237"/>
      <c r="AJ42" s="117"/>
      <c r="AK42" s="1092"/>
      <c r="AL42" s="1092"/>
      <c r="AM42" s="1095"/>
      <c r="AN42" s="24"/>
    </row>
    <row r="43" spans="1:40" x14ac:dyDescent="0.2">
      <c r="A43" s="1208"/>
      <c r="B43" s="1220"/>
      <c r="C43" s="1068"/>
      <c r="D43" s="1221"/>
      <c r="E43" s="1068"/>
      <c r="F43" s="1209"/>
      <c r="G43" s="1210"/>
      <c r="H43" s="1282"/>
      <c r="I43" s="1292"/>
      <c r="J43" s="1211"/>
      <c r="K43" s="1212"/>
      <c r="L43" s="1054"/>
      <c r="M43" s="1213"/>
      <c r="N43" s="1335"/>
      <c r="O43" s="1339"/>
      <c r="P43" s="1335"/>
      <c r="Q43" s="1214"/>
      <c r="R43" s="1215"/>
      <c r="S43" s="293"/>
      <c r="T43" s="24"/>
      <c r="U43" s="1094"/>
      <c r="V43" s="119"/>
      <c r="W43" s="234"/>
      <c r="X43" s="114"/>
      <c r="Y43" s="235"/>
      <c r="Z43" s="115"/>
      <c r="AA43" s="821"/>
      <c r="AB43" s="811"/>
      <c r="AC43" s="821"/>
      <c r="AD43" s="811"/>
      <c r="AE43" s="236"/>
      <c r="AF43" s="116"/>
      <c r="AG43" s="234"/>
      <c r="AH43" s="116"/>
      <c r="AI43" s="237"/>
      <c r="AJ43" s="117"/>
      <c r="AK43" s="1092"/>
      <c r="AL43" s="1092"/>
      <c r="AM43" s="1095"/>
      <c r="AN43" s="24"/>
    </row>
    <row r="44" spans="1:40" x14ac:dyDescent="0.2">
      <c r="A44" s="1208"/>
      <c r="B44" s="1220"/>
      <c r="C44" s="1068"/>
      <c r="D44" s="1221"/>
      <c r="E44" s="1068"/>
      <c r="F44" s="1209"/>
      <c r="G44" s="1210"/>
      <c r="H44" s="1282"/>
      <c r="I44" s="1292"/>
      <c r="J44" s="1211"/>
      <c r="K44" s="1212"/>
      <c r="L44" s="1054"/>
      <c r="M44" s="1213"/>
      <c r="N44" s="1335"/>
      <c r="O44" s="1339"/>
      <c r="P44" s="1335"/>
      <c r="Q44" s="1214"/>
      <c r="R44" s="1215"/>
      <c r="S44" s="293"/>
      <c r="T44" s="24"/>
      <c r="U44" s="1094"/>
      <c r="V44" s="119"/>
      <c r="W44" s="234"/>
      <c r="X44" s="114"/>
      <c r="Y44" s="235"/>
      <c r="Z44" s="115"/>
      <c r="AA44" s="821"/>
      <c r="AB44" s="811"/>
      <c r="AC44" s="821"/>
      <c r="AD44" s="811"/>
      <c r="AE44" s="236"/>
      <c r="AF44" s="116"/>
      <c r="AG44" s="234"/>
      <c r="AH44" s="116"/>
      <c r="AI44" s="237"/>
      <c r="AJ44" s="117"/>
      <c r="AK44" s="1092"/>
      <c r="AL44" s="1092"/>
      <c r="AM44" s="1095"/>
      <c r="AN44" s="24"/>
    </row>
    <row r="45" spans="1:40" x14ac:dyDescent="0.2">
      <c r="A45" s="1208"/>
      <c r="B45" s="1220"/>
      <c r="C45" s="1068"/>
      <c r="D45" s="1221"/>
      <c r="E45" s="1068"/>
      <c r="F45" s="1209"/>
      <c r="G45" s="1210"/>
      <c r="H45" s="1282"/>
      <c r="I45" s="1292"/>
      <c r="J45" s="1211"/>
      <c r="K45" s="1212"/>
      <c r="L45" s="1054"/>
      <c r="M45" s="1213"/>
      <c r="N45" s="1335"/>
      <c r="O45" s="1339"/>
      <c r="P45" s="1335"/>
      <c r="Q45" s="1214"/>
      <c r="R45" s="1215"/>
      <c r="S45" s="293"/>
      <c r="T45" s="24"/>
      <c r="U45" s="1094"/>
      <c r="V45" s="119"/>
      <c r="W45" s="234"/>
      <c r="X45" s="114"/>
      <c r="Y45" s="235"/>
      <c r="Z45" s="115"/>
      <c r="AA45" s="821"/>
      <c r="AB45" s="811"/>
      <c r="AC45" s="821"/>
      <c r="AD45" s="811"/>
      <c r="AE45" s="236"/>
      <c r="AF45" s="116"/>
      <c r="AG45" s="234"/>
      <c r="AH45" s="116"/>
      <c r="AI45" s="237"/>
      <c r="AJ45" s="117"/>
      <c r="AK45" s="1092"/>
      <c r="AL45" s="1092"/>
      <c r="AM45" s="1095"/>
      <c r="AN45" s="24"/>
    </row>
    <row r="46" spans="1:40" x14ac:dyDescent="0.2">
      <c r="A46" s="1208"/>
      <c r="B46" s="1220"/>
      <c r="C46" s="1068"/>
      <c r="D46" s="1221"/>
      <c r="E46" s="1068"/>
      <c r="F46" s="1209"/>
      <c r="G46" s="1210"/>
      <c r="H46" s="1282"/>
      <c r="I46" s="1292"/>
      <c r="J46" s="1211"/>
      <c r="K46" s="1212"/>
      <c r="L46" s="1054"/>
      <c r="M46" s="1213"/>
      <c r="N46" s="1335"/>
      <c r="O46" s="1339"/>
      <c r="P46" s="1335"/>
      <c r="Q46" s="1214"/>
      <c r="R46" s="1215"/>
      <c r="S46" s="293"/>
      <c r="T46" s="24"/>
      <c r="U46" s="1094"/>
      <c r="V46" s="119"/>
      <c r="W46" s="234"/>
      <c r="X46" s="114"/>
      <c r="Y46" s="235"/>
      <c r="Z46" s="115"/>
      <c r="AA46" s="821"/>
      <c r="AB46" s="811"/>
      <c r="AC46" s="821"/>
      <c r="AD46" s="811"/>
      <c r="AE46" s="236"/>
      <c r="AF46" s="116"/>
      <c r="AG46" s="234"/>
      <c r="AH46" s="116"/>
      <c r="AI46" s="237"/>
      <c r="AJ46" s="117"/>
      <c r="AK46" s="1092"/>
      <c r="AL46" s="1092"/>
      <c r="AM46" s="1095"/>
      <c r="AN46" s="24"/>
    </row>
    <row r="47" spans="1:40" ht="13.5" thickBot="1" x14ac:dyDescent="0.25">
      <c r="A47" s="275"/>
      <c r="B47" s="626"/>
      <c r="C47" s="485"/>
      <c r="D47" s="627"/>
      <c r="E47" s="1222"/>
      <c r="F47" s="310"/>
      <c r="G47" s="628"/>
      <c r="H47" s="1284"/>
      <c r="I47" s="1294"/>
      <c r="J47" s="522"/>
      <c r="K47" s="513"/>
      <c r="L47" s="852"/>
      <c r="M47" s="990"/>
      <c r="N47" s="1341"/>
      <c r="O47" s="1346"/>
      <c r="P47" s="1341"/>
      <c r="Q47" s="313"/>
      <c r="R47" s="312"/>
      <c r="S47" s="324"/>
      <c r="T47" s="24"/>
      <c r="U47" s="299"/>
      <c r="V47" s="129"/>
      <c r="W47" s="242"/>
      <c r="X47" s="243"/>
      <c r="Y47" s="244"/>
      <c r="Z47" s="245"/>
      <c r="AA47" s="823"/>
      <c r="AB47" s="813"/>
      <c r="AC47" s="823"/>
      <c r="AD47" s="813"/>
      <c r="AE47" s="246"/>
      <c r="AF47" s="247"/>
      <c r="AG47" s="246"/>
      <c r="AH47" s="129"/>
      <c r="AI47" s="248"/>
      <c r="AJ47" s="249"/>
      <c r="AK47" s="322"/>
      <c r="AL47" s="207"/>
      <c r="AM47" s="262"/>
      <c r="AN47" s="24"/>
    </row>
    <row r="48" spans="1:40" ht="13.5" thickBot="1" x14ac:dyDescent="0.25">
      <c r="A48" s="168"/>
      <c r="B48" s="28"/>
      <c r="D48" s="168"/>
      <c r="E48" s="29"/>
      <c r="F48" s="252"/>
      <c r="G48" s="252"/>
      <c r="H48" s="91"/>
      <c r="I48" s="204"/>
      <c r="J48" s="492"/>
      <c r="K48" s="252"/>
      <c r="L48" s="47"/>
      <c r="M48" s="214"/>
      <c r="N48" s="214"/>
      <c r="O48" s="214"/>
      <c r="P48" s="214"/>
      <c r="Q48" s="253"/>
      <c r="R48" s="253"/>
      <c r="T48" s="24"/>
      <c r="U48" s="83"/>
      <c r="V48" s="250"/>
      <c r="W48" s="83"/>
      <c r="X48" s="84"/>
      <c r="Y48" s="47"/>
      <c r="Z48" s="85"/>
      <c r="AA48" s="214"/>
      <c r="AB48" s="90"/>
      <c r="AC48" s="214"/>
      <c r="AD48" s="90"/>
      <c r="AE48" s="86"/>
      <c r="AF48" s="87"/>
      <c r="AG48" s="86"/>
      <c r="AH48" s="251"/>
      <c r="AI48" s="48"/>
      <c r="AJ48" s="251"/>
      <c r="AK48" s="204"/>
      <c r="AL48" s="251"/>
      <c r="AM48" s="89"/>
      <c r="AN48" s="24"/>
    </row>
    <row r="49" spans="1:254" s="872" customFormat="1" ht="13.5" thickBot="1" x14ac:dyDescent="0.25">
      <c r="A49" s="161"/>
      <c r="B49" s="131"/>
      <c r="C49" s="487"/>
      <c r="D49" s="261"/>
      <c r="E49" s="271"/>
      <c r="F49" s="225"/>
      <c r="G49" s="225"/>
      <c r="H49" s="1285"/>
      <c r="I49" s="501"/>
      <c r="J49" s="226"/>
      <c r="K49" s="225"/>
      <c r="L49" s="983"/>
      <c r="M49" s="90"/>
      <c r="N49" s="90"/>
      <c r="O49" s="90"/>
      <c r="P49" s="90"/>
      <c r="Q49" s="90"/>
      <c r="R49" s="90"/>
      <c r="S49" s="62"/>
      <c r="T49" s="64"/>
      <c r="U49" s="238"/>
      <c r="V49" s="239"/>
      <c r="W49" s="238"/>
      <c r="X49" s="239"/>
      <c r="Y49" s="238"/>
      <c r="Z49" s="239"/>
      <c r="AA49" s="261"/>
      <c r="AB49" s="239"/>
      <c r="AC49" s="261"/>
      <c r="AD49" s="239"/>
      <c r="AE49" s="238"/>
      <c r="AF49" s="239"/>
      <c r="AG49" s="238"/>
      <c r="AH49" s="239"/>
      <c r="AI49" s="238"/>
      <c r="AJ49" s="239"/>
      <c r="AK49" s="494"/>
      <c r="AL49" s="239"/>
      <c r="AM49" s="225"/>
      <c r="AN49" s="64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</row>
    <row r="50" spans="1:254" s="872" customFormat="1" x14ac:dyDescent="0.2">
      <c r="A50" s="90"/>
      <c r="B50" s="62"/>
      <c r="C50" s="488"/>
      <c r="D50" s="214"/>
      <c r="E50" s="111"/>
      <c r="F50" s="90"/>
      <c r="G50" s="90"/>
      <c r="H50" s="91"/>
      <c r="I50" s="204"/>
      <c r="J50" s="492"/>
      <c r="K50" s="90"/>
      <c r="L50" s="47"/>
      <c r="M50" s="90"/>
      <c r="N50" s="90"/>
      <c r="O50" s="90"/>
      <c r="P50" s="90"/>
      <c r="Q50" s="90"/>
      <c r="R50" s="90"/>
      <c r="S50" s="62"/>
      <c r="T50" s="64"/>
      <c r="U50" s="214"/>
      <c r="V50" s="90"/>
      <c r="W50" s="214"/>
      <c r="X50" s="90"/>
      <c r="Y50" s="214"/>
      <c r="Z50" s="90"/>
      <c r="AA50" s="214"/>
      <c r="AB50" s="90"/>
      <c r="AC50" s="214"/>
      <c r="AD50" s="90"/>
      <c r="AE50" s="214"/>
      <c r="AF50" s="90"/>
      <c r="AG50" s="214"/>
      <c r="AH50" s="90"/>
      <c r="AI50" s="214"/>
      <c r="AJ50" s="214"/>
      <c r="AK50" s="204"/>
      <c r="AL50" s="214"/>
      <c r="AM50" s="90"/>
      <c r="AN50" s="64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</row>
    <row r="51" spans="1:254" x14ac:dyDescent="0.2">
      <c r="A51" s="169"/>
      <c r="B51" s="30"/>
      <c r="C51" s="645"/>
      <c r="D51" s="645"/>
      <c r="E51" s="31"/>
      <c r="F51" s="32"/>
      <c r="G51" s="32"/>
      <c r="H51" s="1286"/>
      <c r="I51" s="1295"/>
      <c r="J51" s="520"/>
      <c r="K51" s="32"/>
      <c r="L51" s="984"/>
      <c r="M51" s="991"/>
      <c r="N51" s="991"/>
      <c r="O51" s="991"/>
      <c r="P51" s="991"/>
      <c r="Q51" s="108"/>
      <c r="R51" s="108"/>
      <c r="S51" s="326"/>
      <c r="T51" s="24"/>
      <c r="U51" s="34"/>
      <c r="V51" s="371"/>
      <c r="W51" s="34"/>
      <c r="X51" s="35"/>
      <c r="Y51" s="34"/>
      <c r="Z51" s="35"/>
      <c r="AA51" s="840"/>
      <c r="AB51" s="835"/>
      <c r="AC51" s="840"/>
      <c r="AD51" s="835"/>
      <c r="AE51" s="33"/>
      <c r="AF51" s="35"/>
      <c r="AG51" s="33"/>
      <c r="AH51" s="35"/>
      <c r="AI51" s="36"/>
      <c r="AJ51" s="35"/>
      <c r="AK51" s="495"/>
      <c r="AL51" s="35"/>
      <c r="AM51" s="35"/>
      <c r="AN51" s="24"/>
    </row>
    <row r="52" spans="1:254" x14ac:dyDescent="0.2">
      <c r="A52" s="170"/>
      <c r="B52" s="38"/>
      <c r="C52" s="477"/>
      <c r="D52" s="165"/>
      <c r="E52" s="25"/>
      <c r="F52" s="39"/>
      <c r="G52" s="39"/>
      <c r="H52" s="1287"/>
      <c r="I52" s="1287"/>
      <c r="J52" s="476"/>
      <c r="K52" s="39"/>
      <c r="L52" s="41"/>
      <c r="M52" s="992"/>
      <c r="N52" s="992"/>
      <c r="O52" s="992"/>
      <c r="P52" s="992"/>
      <c r="Q52" s="109"/>
      <c r="R52" s="109"/>
      <c r="S52" s="194"/>
      <c r="T52" s="24"/>
      <c r="U52" s="41"/>
      <c r="V52" s="40"/>
      <c r="W52" s="41"/>
      <c r="X52" s="42"/>
      <c r="Y52" s="41"/>
      <c r="Z52" s="42"/>
      <c r="AA52" s="841"/>
      <c r="AB52" s="5"/>
      <c r="AC52" s="841"/>
      <c r="AD52" s="5"/>
      <c r="AE52" s="40"/>
      <c r="AF52" s="42"/>
      <c r="AG52" s="40"/>
      <c r="AH52" s="42"/>
      <c r="AI52" s="43"/>
      <c r="AJ52" s="42"/>
      <c r="AK52" s="496"/>
      <c r="AL52" s="42"/>
      <c r="AM52" s="42"/>
      <c r="AN52" s="24"/>
    </row>
    <row r="53" spans="1:254" ht="15.75" thickBot="1" x14ac:dyDescent="0.25">
      <c r="A53" s="113"/>
      <c r="B53" s="28"/>
      <c r="D53" s="168"/>
      <c r="E53" s="1368"/>
      <c r="F53" s="38"/>
      <c r="G53" s="38"/>
      <c r="H53" s="1288"/>
      <c r="I53" s="497"/>
      <c r="J53" s="479"/>
      <c r="K53" s="38"/>
      <c r="L53" s="1083"/>
      <c r="M53" s="1084"/>
      <c r="N53" s="992"/>
      <c r="O53" s="992"/>
      <c r="P53" s="992"/>
      <c r="Q53" s="109"/>
      <c r="R53" s="109"/>
      <c r="S53" s="194"/>
      <c r="T53" s="24"/>
      <c r="U53" s="41"/>
      <c r="V53" s="41"/>
      <c r="W53" s="41"/>
      <c r="X53" s="46"/>
      <c r="Y53" s="41"/>
      <c r="Z53" s="46"/>
      <c r="AA53" s="841"/>
      <c r="AB53" s="16"/>
      <c r="AC53" s="841"/>
      <c r="AD53" s="16"/>
      <c r="AE53" s="40"/>
      <c r="AF53" s="46"/>
      <c r="AG53" s="40"/>
      <c r="AH53" s="46"/>
      <c r="AI53" s="43"/>
      <c r="AJ53" s="46"/>
      <c r="AK53" s="497"/>
      <c r="AL53" s="46"/>
      <c r="AM53" s="46"/>
      <c r="AN53" s="24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</row>
    <row r="54" spans="1:254" ht="13.5" thickBot="1" x14ac:dyDescent="0.25">
      <c r="A54" s="549"/>
      <c r="B54" s="1353"/>
      <c r="C54" s="502"/>
      <c r="D54" s="1036"/>
      <c r="E54" s="502"/>
      <c r="F54" s="240"/>
      <c r="G54" s="241"/>
      <c r="H54" s="1278"/>
      <c r="I54" s="1296"/>
      <c r="J54" s="517"/>
      <c r="K54" s="511"/>
      <c r="L54" s="1082"/>
      <c r="M54" s="1015"/>
      <c r="N54" s="1334"/>
      <c r="O54" s="1338"/>
      <c r="P54" s="1334"/>
      <c r="Q54" s="240"/>
      <c r="R54" s="270"/>
      <c r="S54" s="856"/>
      <c r="T54" s="865"/>
      <c r="U54" s="300"/>
      <c r="V54" s="179"/>
      <c r="W54" s="230"/>
      <c r="X54" s="180"/>
      <c r="Y54" s="231"/>
      <c r="Z54" s="181"/>
      <c r="AA54" s="820"/>
      <c r="AB54" s="810"/>
      <c r="AC54" s="820"/>
      <c r="AD54" s="810"/>
      <c r="AE54" s="232"/>
      <c r="AF54" s="182"/>
      <c r="AG54" s="230"/>
      <c r="AH54" s="182"/>
      <c r="AI54" s="233"/>
      <c r="AJ54" s="259"/>
      <c r="AK54" s="498"/>
      <c r="AL54" s="203"/>
      <c r="AM54" s="265"/>
      <c r="AN54" s="24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</row>
    <row r="55" spans="1:254" ht="13.5" thickBot="1" x14ac:dyDescent="0.25">
      <c r="A55" s="284"/>
      <c r="B55" s="350"/>
      <c r="C55" s="381"/>
      <c r="D55" s="482"/>
      <c r="E55" s="381"/>
      <c r="F55" s="285"/>
      <c r="G55" s="282"/>
      <c r="H55" s="1282"/>
      <c r="I55" s="1297"/>
      <c r="J55" s="518"/>
      <c r="K55" s="512"/>
      <c r="L55" s="851"/>
      <c r="M55" s="989"/>
      <c r="N55" s="1334"/>
      <c r="O55" s="1339"/>
      <c r="P55" s="1335"/>
      <c r="Q55" s="285"/>
      <c r="R55" s="283"/>
      <c r="S55" s="294"/>
      <c r="T55" s="24"/>
      <c r="U55" s="297"/>
      <c r="V55" s="119"/>
      <c r="W55" s="234"/>
      <c r="X55" s="114"/>
      <c r="Y55" s="235"/>
      <c r="Z55" s="115"/>
      <c r="AA55" s="821"/>
      <c r="AB55" s="811"/>
      <c r="AC55" s="821"/>
      <c r="AD55" s="811"/>
      <c r="AE55" s="236"/>
      <c r="AF55" s="116"/>
      <c r="AG55" s="234"/>
      <c r="AH55" s="116"/>
      <c r="AI55" s="237"/>
      <c r="AJ55" s="117"/>
      <c r="AK55" s="499"/>
      <c r="AL55" s="264"/>
      <c r="AM55" s="266"/>
      <c r="AN55" s="24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</row>
    <row r="56" spans="1:254" x14ac:dyDescent="0.2">
      <c r="A56" s="284"/>
      <c r="B56" s="350"/>
      <c r="C56" s="381"/>
      <c r="D56" s="482"/>
      <c r="E56" s="381"/>
      <c r="F56" s="285"/>
      <c r="G56" s="282"/>
      <c r="H56" s="1282"/>
      <c r="I56" s="1297"/>
      <c r="J56" s="518"/>
      <c r="K56" s="512"/>
      <c r="L56" s="851"/>
      <c r="M56" s="989"/>
      <c r="N56" s="1334"/>
      <c r="O56" s="1338"/>
      <c r="P56" s="1334"/>
      <c r="Q56" s="285"/>
      <c r="R56" s="283"/>
      <c r="S56" s="294"/>
      <c r="T56" s="865"/>
      <c r="U56" s="297"/>
      <c r="V56" s="119"/>
      <c r="W56" s="234"/>
      <c r="X56" s="114"/>
      <c r="Y56" s="235"/>
      <c r="Z56" s="115"/>
      <c r="AA56" s="821"/>
      <c r="AB56" s="811"/>
      <c r="AC56" s="821"/>
      <c r="AD56" s="811"/>
      <c r="AE56" s="236"/>
      <c r="AF56" s="116"/>
      <c r="AG56" s="234"/>
      <c r="AH56" s="116"/>
      <c r="AI56" s="237"/>
      <c r="AJ56" s="117"/>
      <c r="AK56" s="499"/>
      <c r="AL56" s="264"/>
      <c r="AM56" s="266"/>
      <c r="AN56" s="24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</row>
    <row r="57" spans="1:254" ht="13.5" thickBot="1" x14ac:dyDescent="0.25">
      <c r="A57" s="1342"/>
      <c r="B57" s="369"/>
      <c r="C57" s="381"/>
      <c r="D57" s="482"/>
      <c r="E57" s="381"/>
      <c r="F57" s="285"/>
      <c r="G57" s="282"/>
      <c r="H57" s="1282"/>
      <c r="I57" s="1297"/>
      <c r="J57" s="518"/>
      <c r="K57" s="512"/>
      <c r="L57" s="851"/>
      <c r="M57" s="989"/>
      <c r="N57" s="1335"/>
      <c r="O57" s="1339"/>
      <c r="P57" s="1335"/>
      <c r="Q57" s="285"/>
      <c r="R57" s="283"/>
      <c r="S57" s="1005"/>
      <c r="T57" s="24"/>
      <c r="U57" s="297"/>
      <c r="V57" s="119"/>
      <c r="W57" s="234"/>
      <c r="X57" s="114"/>
      <c r="Y57" s="235"/>
      <c r="Z57" s="115"/>
      <c r="AA57" s="821"/>
      <c r="AB57" s="811"/>
      <c r="AC57" s="821"/>
      <c r="AD57" s="811"/>
      <c r="AE57" s="236"/>
      <c r="AF57" s="116"/>
      <c r="AG57" s="234"/>
      <c r="AH57" s="116"/>
      <c r="AI57" s="237"/>
      <c r="AJ57" s="117"/>
      <c r="AK57" s="499"/>
      <c r="AL57" s="264"/>
      <c r="AM57" s="266"/>
      <c r="AN57" s="24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</row>
    <row r="58" spans="1:254" ht="13.5" thickBot="1" x14ac:dyDescent="0.25">
      <c r="A58" s="1342"/>
      <c r="B58" s="350"/>
      <c r="C58" s="381"/>
      <c r="D58" s="482"/>
      <c r="E58" s="381"/>
      <c r="F58" s="285"/>
      <c r="G58" s="282"/>
      <c r="H58" s="1282"/>
      <c r="I58" s="1297"/>
      <c r="J58" s="518"/>
      <c r="K58" s="512"/>
      <c r="L58" s="851"/>
      <c r="M58" s="989"/>
      <c r="N58" s="1334"/>
      <c r="O58" s="1339"/>
      <c r="P58" s="1343"/>
      <c r="Q58" s="285"/>
      <c r="R58" s="283"/>
      <c r="S58" s="293"/>
      <c r="T58" s="24"/>
      <c r="U58" s="850"/>
      <c r="V58" s="341"/>
      <c r="W58" s="791"/>
      <c r="X58" s="792"/>
      <c r="Y58" s="793"/>
      <c r="Z58" s="794"/>
      <c r="AA58" s="842"/>
      <c r="AB58" s="836"/>
      <c r="AC58" s="842"/>
      <c r="AD58" s="836"/>
      <c r="AE58" s="795"/>
      <c r="AF58" s="796"/>
      <c r="AG58" s="791"/>
      <c r="AH58" s="796"/>
      <c r="AI58" s="797"/>
      <c r="AJ58" s="798"/>
      <c r="AK58" s="799"/>
      <c r="AL58" s="800"/>
      <c r="AM58" s="784"/>
      <c r="AN58" s="24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</row>
    <row r="59" spans="1:254" ht="13.5" thickBot="1" x14ac:dyDescent="0.25">
      <c r="A59" s="1342"/>
      <c r="B59" s="350"/>
      <c r="C59" s="381"/>
      <c r="D59" s="482"/>
      <c r="E59" s="381"/>
      <c r="F59" s="285"/>
      <c r="G59" s="282"/>
      <c r="H59" s="1282"/>
      <c r="I59" s="1297"/>
      <c r="J59" s="518"/>
      <c r="K59" s="512"/>
      <c r="L59" s="851"/>
      <c r="M59" s="989"/>
      <c r="N59" s="1334"/>
      <c r="O59" s="1339"/>
      <c r="P59" s="1335"/>
      <c r="Q59" s="285"/>
      <c r="R59" s="283"/>
      <c r="S59" s="783"/>
      <c r="T59" s="24"/>
      <c r="U59" s="297"/>
      <c r="V59" s="119"/>
      <c r="W59" s="234"/>
      <c r="X59" s="114"/>
      <c r="Y59" s="235"/>
      <c r="Z59" s="115"/>
      <c r="AA59" s="821"/>
      <c r="AB59" s="811"/>
      <c r="AC59" s="821"/>
      <c r="AD59" s="811"/>
      <c r="AE59" s="236"/>
      <c r="AF59" s="116"/>
      <c r="AG59" s="234"/>
      <c r="AH59" s="116"/>
      <c r="AI59" s="237"/>
      <c r="AJ59" s="117"/>
      <c r="AK59" s="499"/>
      <c r="AL59" s="264"/>
      <c r="AM59" s="266"/>
      <c r="AN59" s="24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</row>
    <row r="60" spans="1:254" ht="13.5" thickBot="1" x14ac:dyDescent="0.25">
      <c r="A60" s="1342"/>
      <c r="B60" s="1354"/>
      <c r="C60" s="381"/>
      <c r="D60" s="482"/>
      <c r="E60" s="381"/>
      <c r="F60" s="285"/>
      <c r="G60" s="282"/>
      <c r="H60" s="1282"/>
      <c r="I60" s="1297"/>
      <c r="J60" s="518"/>
      <c r="K60" s="512"/>
      <c r="L60" s="851"/>
      <c r="M60" s="989"/>
      <c r="N60" s="1334"/>
      <c r="O60" s="1339"/>
      <c r="P60" s="1335"/>
      <c r="Q60" s="285"/>
      <c r="R60" s="283"/>
      <c r="S60" s="858"/>
      <c r="T60" s="24"/>
      <c r="U60" s="297"/>
      <c r="V60" s="119"/>
      <c r="W60" s="234"/>
      <c r="X60" s="114"/>
      <c r="Y60" s="235"/>
      <c r="Z60" s="115"/>
      <c r="AA60" s="821"/>
      <c r="AB60" s="811"/>
      <c r="AC60" s="821"/>
      <c r="AD60" s="811"/>
      <c r="AE60" s="236"/>
      <c r="AF60" s="116"/>
      <c r="AG60" s="234"/>
      <c r="AH60" s="116"/>
      <c r="AI60" s="237"/>
      <c r="AJ60" s="117"/>
      <c r="AK60" s="499"/>
      <c r="AL60" s="264"/>
      <c r="AM60" s="266"/>
      <c r="AN60" s="24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</row>
    <row r="61" spans="1:254" x14ac:dyDescent="0.2">
      <c r="A61" s="1342"/>
      <c r="B61" s="350"/>
      <c r="C61" s="381"/>
      <c r="D61" s="482"/>
      <c r="E61" s="381"/>
      <c r="F61" s="285"/>
      <c r="G61" s="282"/>
      <c r="H61" s="1282"/>
      <c r="I61" s="1297"/>
      <c r="J61" s="518"/>
      <c r="K61" s="512"/>
      <c r="L61" s="851"/>
      <c r="M61" s="989"/>
      <c r="N61" s="1334"/>
      <c r="O61" s="1339"/>
      <c r="P61" s="1343"/>
      <c r="Q61" s="285"/>
      <c r="R61" s="283"/>
      <c r="S61" s="293"/>
      <c r="T61" s="24"/>
      <c r="U61" s="850"/>
      <c r="V61" s="341"/>
      <c r="W61" s="791"/>
      <c r="X61" s="792"/>
      <c r="Y61" s="793"/>
      <c r="Z61" s="794"/>
      <c r="AA61" s="842"/>
      <c r="AB61" s="836"/>
      <c r="AC61" s="842"/>
      <c r="AD61" s="836"/>
      <c r="AE61" s="795"/>
      <c r="AF61" s="796"/>
      <c r="AG61" s="791"/>
      <c r="AH61" s="796"/>
      <c r="AI61" s="797"/>
      <c r="AJ61" s="798"/>
      <c r="AK61" s="799"/>
      <c r="AL61" s="800"/>
      <c r="AM61" s="784"/>
      <c r="AN61" s="24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</row>
    <row r="62" spans="1:254" x14ac:dyDescent="0.2">
      <c r="A62" s="1342"/>
      <c r="B62" s="1355"/>
      <c r="C62" s="381"/>
      <c r="D62" s="482"/>
      <c r="E62" s="381"/>
      <c r="F62" s="285"/>
      <c r="G62" s="282"/>
      <c r="H62" s="1282"/>
      <c r="I62" s="1297"/>
      <c r="J62" s="518"/>
      <c r="K62" s="512"/>
      <c r="L62" s="851"/>
      <c r="M62" s="989"/>
      <c r="N62" s="1335"/>
      <c r="O62" s="1339"/>
      <c r="P62" s="1335"/>
      <c r="Q62" s="285"/>
      <c r="R62" s="283"/>
      <c r="S62" s="1005"/>
      <c r="T62" s="24"/>
      <c r="U62" s="297"/>
      <c r="V62" s="119"/>
      <c r="W62" s="234"/>
      <c r="X62" s="114"/>
      <c r="Y62" s="235"/>
      <c r="Z62" s="115"/>
      <c r="AA62" s="821"/>
      <c r="AB62" s="811"/>
      <c r="AC62" s="821"/>
      <c r="AD62" s="811"/>
      <c r="AE62" s="236"/>
      <c r="AF62" s="116"/>
      <c r="AG62" s="234"/>
      <c r="AH62" s="116"/>
      <c r="AI62" s="237"/>
      <c r="AJ62" s="117"/>
      <c r="AK62" s="499"/>
      <c r="AL62" s="264"/>
      <c r="AM62" s="266"/>
      <c r="AN62" s="24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</row>
    <row r="63" spans="1:254" ht="13.5" thickBot="1" x14ac:dyDescent="0.25">
      <c r="A63" s="1342"/>
      <c r="B63" s="580"/>
      <c r="C63" s="381"/>
      <c r="D63" s="482"/>
      <c r="E63" s="381"/>
      <c r="F63" s="285"/>
      <c r="G63" s="282"/>
      <c r="H63" s="1282"/>
      <c r="I63" s="1297"/>
      <c r="J63" s="518"/>
      <c r="K63" s="512"/>
      <c r="L63" s="851"/>
      <c r="M63" s="989"/>
      <c r="N63" s="1335"/>
      <c r="O63" s="1339"/>
      <c r="P63" s="1335"/>
      <c r="Q63" s="285"/>
      <c r="R63" s="283"/>
      <c r="S63" s="293"/>
      <c r="T63" s="865"/>
      <c r="U63" s="297"/>
      <c r="V63" s="119"/>
      <c r="W63" s="234"/>
      <c r="X63" s="114"/>
      <c r="Y63" s="235"/>
      <c r="Z63" s="115"/>
      <c r="AA63" s="821"/>
      <c r="AB63" s="811"/>
      <c r="AC63" s="821"/>
      <c r="AD63" s="811"/>
      <c r="AE63" s="236"/>
      <c r="AF63" s="116"/>
      <c r="AG63" s="234"/>
      <c r="AH63" s="116"/>
      <c r="AI63" s="237"/>
      <c r="AJ63" s="117"/>
      <c r="AK63" s="499"/>
      <c r="AL63" s="264"/>
      <c r="AM63" s="266"/>
      <c r="AN63" s="24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</row>
    <row r="64" spans="1:254" ht="13.5" thickBot="1" x14ac:dyDescent="0.25">
      <c r="A64" s="1342"/>
      <c r="B64" s="350"/>
      <c r="C64" s="381"/>
      <c r="D64" s="482"/>
      <c r="E64" s="381"/>
      <c r="F64" s="285"/>
      <c r="G64" s="282"/>
      <c r="H64" s="1282"/>
      <c r="I64" s="1297"/>
      <c r="J64" s="518"/>
      <c r="K64" s="512"/>
      <c r="L64" s="851"/>
      <c r="M64" s="989"/>
      <c r="N64" s="1334"/>
      <c r="O64" s="1339"/>
      <c r="P64" s="1335"/>
      <c r="Q64" s="285"/>
      <c r="R64" s="283"/>
      <c r="S64" s="293"/>
      <c r="T64" s="24"/>
      <c r="U64" s="297"/>
      <c r="V64" s="119"/>
      <c r="W64" s="234"/>
      <c r="X64" s="114"/>
      <c r="Y64" s="235"/>
      <c r="Z64" s="115"/>
      <c r="AA64" s="821"/>
      <c r="AB64" s="811"/>
      <c r="AC64" s="821"/>
      <c r="AD64" s="811"/>
      <c r="AE64" s="236"/>
      <c r="AF64" s="116"/>
      <c r="AG64" s="234"/>
      <c r="AH64" s="116"/>
      <c r="AI64" s="237"/>
      <c r="AJ64" s="117"/>
      <c r="AK64" s="499"/>
      <c r="AL64" s="264"/>
      <c r="AM64" s="266"/>
      <c r="AN64" s="24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</row>
    <row r="65" spans="1:254" ht="13.5" thickBot="1" x14ac:dyDescent="0.25">
      <c r="A65" s="1342"/>
      <c r="B65" s="350"/>
      <c r="C65" s="381"/>
      <c r="D65" s="482"/>
      <c r="E65" s="381"/>
      <c r="F65" s="285"/>
      <c r="G65" s="282"/>
      <c r="H65" s="1282"/>
      <c r="I65" s="1297"/>
      <c r="J65" s="518"/>
      <c r="K65" s="512"/>
      <c r="L65" s="851"/>
      <c r="M65" s="989"/>
      <c r="N65" s="1334"/>
      <c r="O65" s="1339"/>
      <c r="P65" s="1335"/>
      <c r="Q65" s="285"/>
      <c r="R65" s="283"/>
      <c r="S65" s="293"/>
      <c r="T65" s="24"/>
      <c r="U65" s="297"/>
      <c r="V65" s="119"/>
      <c r="W65" s="234"/>
      <c r="X65" s="114"/>
      <c r="Y65" s="235"/>
      <c r="Z65" s="115"/>
      <c r="AA65" s="821"/>
      <c r="AB65" s="811"/>
      <c r="AC65" s="821"/>
      <c r="AD65" s="811"/>
      <c r="AE65" s="236"/>
      <c r="AF65" s="116"/>
      <c r="AG65" s="234"/>
      <c r="AH65" s="116"/>
      <c r="AI65" s="237"/>
      <c r="AJ65" s="117"/>
      <c r="AK65" s="499"/>
      <c r="AL65" s="264"/>
      <c r="AM65" s="266"/>
      <c r="AN65" s="24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</row>
    <row r="66" spans="1:254" x14ac:dyDescent="0.2">
      <c r="A66" s="1342"/>
      <c r="B66" s="350"/>
      <c r="C66" s="381"/>
      <c r="D66" s="482"/>
      <c r="E66" s="381"/>
      <c r="F66" s="285"/>
      <c r="G66" s="282"/>
      <c r="H66" s="1282"/>
      <c r="I66" s="1297"/>
      <c r="J66" s="518"/>
      <c r="K66" s="512"/>
      <c r="L66" s="851"/>
      <c r="M66" s="989"/>
      <c r="N66" s="1334"/>
      <c r="O66" s="1339"/>
      <c r="P66" s="1335"/>
      <c r="Q66" s="285"/>
      <c r="R66" s="283"/>
      <c r="S66" s="293"/>
      <c r="T66" s="24"/>
      <c r="U66" s="297"/>
      <c r="V66" s="119"/>
      <c r="W66" s="234"/>
      <c r="X66" s="114"/>
      <c r="Y66" s="235"/>
      <c r="Z66" s="115"/>
      <c r="AA66" s="821"/>
      <c r="AB66" s="811"/>
      <c r="AC66" s="821"/>
      <c r="AD66" s="811"/>
      <c r="AE66" s="236"/>
      <c r="AF66" s="116"/>
      <c r="AG66" s="234"/>
      <c r="AH66" s="116"/>
      <c r="AI66" s="237"/>
      <c r="AJ66" s="117"/>
      <c r="AK66" s="499"/>
      <c r="AL66" s="264"/>
      <c r="AM66" s="266"/>
      <c r="AN66" s="24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</row>
    <row r="67" spans="1:254" ht="13.5" thickBot="1" x14ac:dyDescent="0.25">
      <c r="A67" s="1342"/>
      <c r="B67" s="580"/>
      <c r="C67" s="381"/>
      <c r="D67" s="482"/>
      <c r="E67" s="381"/>
      <c r="F67" s="285"/>
      <c r="G67" s="282"/>
      <c r="H67" s="1282"/>
      <c r="I67" s="1297"/>
      <c r="J67" s="518"/>
      <c r="K67" s="512"/>
      <c r="L67" s="851"/>
      <c r="M67" s="989"/>
      <c r="N67" s="1335"/>
      <c r="O67" s="1339"/>
      <c r="P67" s="1335"/>
      <c r="Q67" s="285"/>
      <c r="R67" s="283"/>
      <c r="S67" s="1005"/>
      <c r="T67" s="24"/>
      <c r="U67" s="297"/>
      <c r="V67" s="119"/>
      <c r="W67" s="234"/>
      <c r="X67" s="114"/>
      <c r="Y67" s="235"/>
      <c r="Z67" s="115"/>
      <c r="AA67" s="821"/>
      <c r="AB67" s="811"/>
      <c r="AC67" s="821"/>
      <c r="AD67" s="811"/>
      <c r="AE67" s="236"/>
      <c r="AF67" s="116"/>
      <c r="AG67" s="234"/>
      <c r="AH67" s="116"/>
      <c r="AI67" s="237"/>
      <c r="AJ67" s="117"/>
      <c r="AK67" s="499"/>
      <c r="AL67" s="264"/>
      <c r="AM67" s="266"/>
      <c r="AN67" s="24"/>
      <c r="AO67" s="65"/>
      <c r="AP67" s="65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</row>
    <row r="68" spans="1:254" x14ac:dyDescent="0.2">
      <c r="A68" s="1342"/>
      <c r="B68" s="350"/>
      <c r="C68" s="381"/>
      <c r="D68" s="482"/>
      <c r="E68" s="381"/>
      <c r="F68" s="285"/>
      <c r="G68" s="282"/>
      <c r="H68" s="1282"/>
      <c r="I68" s="1297"/>
      <c r="J68" s="518"/>
      <c r="K68" s="512"/>
      <c r="L68" s="851"/>
      <c r="M68" s="989"/>
      <c r="N68" s="1334"/>
      <c r="O68" s="1339"/>
      <c r="P68" s="1343"/>
      <c r="Q68" s="285"/>
      <c r="R68" s="283"/>
      <c r="S68" s="293"/>
      <c r="T68" s="24"/>
      <c r="U68" s="850"/>
      <c r="V68" s="341"/>
      <c r="W68" s="791"/>
      <c r="X68" s="792"/>
      <c r="Y68" s="793"/>
      <c r="Z68" s="794"/>
      <c r="AA68" s="842"/>
      <c r="AB68" s="836"/>
      <c r="AC68" s="842"/>
      <c r="AD68" s="836"/>
      <c r="AE68" s="795"/>
      <c r="AF68" s="796"/>
      <c r="AG68" s="791"/>
      <c r="AH68" s="796"/>
      <c r="AI68" s="797"/>
      <c r="AJ68" s="798"/>
      <c r="AK68" s="799"/>
      <c r="AL68" s="800"/>
      <c r="AM68" s="784"/>
      <c r="AN68" s="24"/>
      <c r="AO68" s="65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</row>
    <row r="69" spans="1:254" x14ac:dyDescent="0.2">
      <c r="A69" s="1342"/>
      <c r="B69" s="350"/>
      <c r="C69" s="381"/>
      <c r="D69" s="482"/>
      <c r="E69" s="381"/>
      <c r="F69" s="285"/>
      <c r="G69" s="282"/>
      <c r="H69" s="1282"/>
      <c r="I69" s="1297"/>
      <c r="J69" s="518"/>
      <c r="K69" s="512"/>
      <c r="L69" s="851"/>
      <c r="M69" s="989"/>
      <c r="N69" s="1335"/>
      <c r="O69" s="1339"/>
      <c r="P69" s="1335"/>
      <c r="Q69" s="285"/>
      <c r="R69" s="283"/>
      <c r="S69" s="1005"/>
      <c r="T69" s="24"/>
      <c r="U69" s="297"/>
      <c r="V69" s="119"/>
      <c r="W69" s="234"/>
      <c r="X69" s="114"/>
      <c r="Y69" s="235"/>
      <c r="Z69" s="115"/>
      <c r="AA69" s="821"/>
      <c r="AB69" s="811"/>
      <c r="AC69" s="821"/>
      <c r="AD69" s="811"/>
      <c r="AE69" s="236"/>
      <c r="AF69" s="116"/>
      <c r="AG69" s="234"/>
      <c r="AH69" s="116"/>
      <c r="AI69" s="237"/>
      <c r="AJ69" s="117"/>
      <c r="AK69" s="499"/>
      <c r="AL69" s="264"/>
      <c r="AM69" s="266"/>
      <c r="AN69" s="24"/>
      <c r="AO69" s="287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</row>
    <row r="70" spans="1:254" ht="24.75" customHeight="1" thickBot="1" x14ac:dyDescent="0.25">
      <c r="A70" s="284"/>
      <c r="B70" s="580"/>
      <c r="C70" s="381"/>
      <c r="D70" s="482"/>
      <c r="E70" s="381"/>
      <c r="F70" s="285"/>
      <c r="G70" s="282"/>
      <c r="H70" s="1282"/>
      <c r="I70" s="1297"/>
      <c r="J70" s="518"/>
      <c r="K70" s="512"/>
      <c r="L70" s="851"/>
      <c r="M70" s="989"/>
      <c r="N70" s="1335"/>
      <c r="O70" s="1339"/>
      <c r="P70" s="1335"/>
      <c r="Q70" s="285"/>
      <c r="R70" s="283"/>
      <c r="S70" s="1081"/>
      <c r="T70" s="24"/>
      <c r="U70" s="297"/>
      <c r="V70" s="119"/>
      <c r="W70" s="234"/>
      <c r="X70" s="114"/>
      <c r="Y70" s="235"/>
      <c r="Z70" s="115"/>
      <c r="AA70" s="821"/>
      <c r="AB70" s="811"/>
      <c r="AC70" s="821"/>
      <c r="AD70" s="811"/>
      <c r="AE70" s="236"/>
      <c r="AF70" s="116"/>
      <c r="AG70" s="234"/>
      <c r="AH70" s="116"/>
      <c r="AI70" s="237"/>
      <c r="AJ70" s="117"/>
      <c r="AK70" s="499"/>
      <c r="AL70" s="264"/>
      <c r="AM70" s="266"/>
      <c r="AN70" s="24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</row>
    <row r="71" spans="1:254" x14ac:dyDescent="0.2">
      <c r="A71" s="284"/>
      <c r="B71" s="369"/>
      <c r="C71" s="381"/>
      <c r="D71" s="482"/>
      <c r="E71" s="381"/>
      <c r="F71" s="285"/>
      <c r="G71" s="282"/>
      <c r="H71" s="1282"/>
      <c r="I71" s="1297"/>
      <c r="J71" s="518"/>
      <c r="K71" s="512"/>
      <c r="L71" s="851"/>
      <c r="M71" s="989"/>
      <c r="N71" s="1334"/>
      <c r="O71" s="1339"/>
      <c r="P71" s="1335"/>
      <c r="Q71" s="285"/>
      <c r="R71" s="283"/>
      <c r="S71" s="293"/>
      <c r="T71" s="24"/>
      <c r="U71" s="297"/>
      <c r="V71" s="119"/>
      <c r="W71" s="234"/>
      <c r="X71" s="114"/>
      <c r="Y71" s="235"/>
      <c r="Z71" s="115"/>
      <c r="AA71" s="821"/>
      <c r="AB71" s="811"/>
      <c r="AC71" s="821"/>
      <c r="AD71" s="811"/>
      <c r="AE71" s="236"/>
      <c r="AF71" s="116"/>
      <c r="AG71" s="234"/>
      <c r="AH71" s="116"/>
      <c r="AI71" s="237"/>
      <c r="AJ71" s="117"/>
      <c r="AK71" s="499"/>
      <c r="AL71" s="264"/>
      <c r="AM71" s="266"/>
      <c r="AN71" s="24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</row>
    <row r="72" spans="1:254" x14ac:dyDescent="0.2">
      <c r="A72" s="284"/>
      <c r="B72" s="580"/>
      <c r="C72" s="381"/>
      <c r="D72" s="1038"/>
      <c r="E72" s="381"/>
      <c r="F72" s="285"/>
      <c r="G72" s="282"/>
      <c r="H72" s="1282"/>
      <c r="I72" s="1297"/>
      <c r="J72" s="518"/>
      <c r="K72" s="512"/>
      <c r="L72" s="851"/>
      <c r="M72" s="989"/>
      <c r="N72" s="1335"/>
      <c r="O72" s="1339"/>
      <c r="P72" s="1335"/>
      <c r="Q72" s="285"/>
      <c r="R72" s="283"/>
      <c r="S72" s="1005"/>
      <c r="T72" s="24"/>
      <c r="U72" s="297"/>
      <c r="V72" s="119"/>
      <c r="W72" s="234"/>
      <c r="X72" s="114"/>
      <c r="Y72" s="235"/>
      <c r="Z72" s="115"/>
      <c r="AA72" s="821"/>
      <c r="AB72" s="811"/>
      <c r="AC72" s="821"/>
      <c r="AD72" s="811"/>
      <c r="AE72" s="236"/>
      <c r="AF72" s="116"/>
      <c r="AG72" s="234"/>
      <c r="AH72" s="116"/>
      <c r="AI72" s="237"/>
      <c r="AJ72" s="117"/>
      <c r="AK72" s="499"/>
      <c r="AL72" s="264"/>
      <c r="AM72" s="266"/>
      <c r="AN72" s="24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</row>
    <row r="73" spans="1:254" x14ac:dyDescent="0.2">
      <c r="A73" s="284"/>
      <c r="B73" s="580"/>
      <c r="C73" s="381"/>
      <c r="D73" s="482"/>
      <c r="E73" s="381"/>
      <c r="F73" s="285"/>
      <c r="G73" s="282"/>
      <c r="H73" s="1282"/>
      <c r="I73" s="1297"/>
      <c r="J73" s="518"/>
      <c r="K73" s="512"/>
      <c r="L73" s="851"/>
      <c r="M73" s="989"/>
      <c r="N73" s="1335"/>
      <c r="O73" s="1339"/>
      <c r="P73" s="1335"/>
      <c r="Q73" s="285"/>
      <c r="R73" s="283"/>
      <c r="S73" s="293"/>
      <c r="T73" s="865"/>
      <c r="U73" s="297"/>
      <c r="V73" s="119"/>
      <c r="W73" s="234"/>
      <c r="X73" s="114"/>
      <c r="Y73" s="235"/>
      <c r="Z73" s="115"/>
      <c r="AA73" s="821"/>
      <c r="AB73" s="811"/>
      <c r="AC73" s="821"/>
      <c r="AD73" s="811"/>
      <c r="AE73" s="236"/>
      <c r="AF73" s="116"/>
      <c r="AG73" s="234"/>
      <c r="AH73" s="116"/>
      <c r="AI73" s="237"/>
      <c r="AJ73" s="117"/>
      <c r="AK73" s="499"/>
      <c r="AL73" s="264"/>
      <c r="AM73" s="266"/>
      <c r="AN73" s="24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</row>
    <row r="74" spans="1:254" x14ac:dyDescent="0.2">
      <c r="A74" s="284"/>
      <c r="B74" s="350"/>
      <c r="C74" s="381"/>
      <c r="D74" s="375"/>
      <c r="E74" s="381"/>
      <c r="F74" s="285"/>
      <c r="G74" s="282"/>
      <c r="H74" s="1282"/>
      <c r="I74" s="1297"/>
      <c r="J74" s="518"/>
      <c r="K74" s="512"/>
      <c r="L74" s="851"/>
      <c r="M74" s="993"/>
      <c r="N74" s="1335"/>
      <c r="O74" s="1339"/>
      <c r="P74" s="1335"/>
      <c r="Q74" s="285"/>
      <c r="R74" s="283"/>
      <c r="S74" s="294"/>
      <c r="T74" s="24"/>
      <c r="U74" s="298"/>
      <c r="V74" s="119"/>
      <c r="W74" s="234"/>
      <c r="X74" s="114"/>
      <c r="Y74" s="235"/>
      <c r="Z74" s="115"/>
      <c r="AA74" s="821"/>
      <c r="AB74" s="811"/>
      <c r="AC74" s="821"/>
      <c r="AD74" s="811"/>
      <c r="AE74" s="236"/>
      <c r="AF74" s="116"/>
      <c r="AG74" s="234"/>
      <c r="AH74" s="116"/>
      <c r="AI74" s="237"/>
      <c r="AJ74" s="117"/>
      <c r="AK74" s="499"/>
      <c r="AL74" s="264"/>
      <c r="AM74" s="266"/>
      <c r="AN74" s="24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</row>
    <row r="75" spans="1:254" x14ac:dyDescent="0.2">
      <c r="A75" s="284"/>
      <c r="B75" s="350"/>
      <c r="C75" s="381"/>
      <c r="D75" s="375"/>
      <c r="E75" s="381"/>
      <c r="F75" s="285"/>
      <c r="G75" s="282"/>
      <c r="H75" s="1282"/>
      <c r="I75" s="1297"/>
      <c r="J75" s="518"/>
      <c r="K75" s="512"/>
      <c r="L75" s="851"/>
      <c r="M75" s="993"/>
      <c r="N75" s="1335"/>
      <c r="O75" s="1339"/>
      <c r="P75" s="1335"/>
      <c r="Q75" s="285"/>
      <c r="R75" s="283"/>
      <c r="S75" s="294"/>
      <c r="T75" s="24"/>
      <c r="U75" s="298"/>
      <c r="V75" s="119"/>
      <c r="W75" s="234"/>
      <c r="X75" s="114"/>
      <c r="Y75" s="235"/>
      <c r="Z75" s="115"/>
      <c r="AA75" s="821"/>
      <c r="AB75" s="811"/>
      <c r="AC75" s="821"/>
      <c r="AD75" s="811"/>
      <c r="AE75" s="236"/>
      <c r="AF75" s="116"/>
      <c r="AG75" s="234"/>
      <c r="AH75" s="116"/>
      <c r="AI75" s="237"/>
      <c r="AJ75" s="117"/>
      <c r="AK75" s="499"/>
      <c r="AL75" s="264"/>
      <c r="AM75" s="266"/>
      <c r="AN75" s="24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</row>
    <row r="76" spans="1:254" x14ac:dyDescent="0.2">
      <c r="A76" s="284"/>
      <c r="B76" s="350"/>
      <c r="C76" s="381"/>
      <c r="D76" s="375"/>
      <c r="E76" s="381"/>
      <c r="F76" s="285"/>
      <c r="G76" s="282"/>
      <c r="H76" s="1282"/>
      <c r="I76" s="1297"/>
      <c r="J76" s="518"/>
      <c r="K76" s="512"/>
      <c r="L76" s="851"/>
      <c r="M76" s="993"/>
      <c r="N76" s="1335"/>
      <c r="O76" s="1339"/>
      <c r="P76" s="1335"/>
      <c r="Q76" s="285"/>
      <c r="R76" s="283"/>
      <c r="S76" s="294"/>
      <c r="T76" s="24"/>
      <c r="U76" s="298"/>
      <c r="V76" s="119"/>
      <c r="W76" s="234"/>
      <c r="X76" s="114"/>
      <c r="Y76" s="235"/>
      <c r="Z76" s="115"/>
      <c r="AA76" s="821"/>
      <c r="AB76" s="811"/>
      <c r="AC76" s="821"/>
      <c r="AD76" s="811"/>
      <c r="AE76" s="236"/>
      <c r="AF76" s="116"/>
      <c r="AG76" s="234"/>
      <c r="AH76" s="116"/>
      <c r="AI76" s="237"/>
      <c r="AJ76" s="117"/>
      <c r="AK76" s="499"/>
      <c r="AL76" s="264"/>
      <c r="AM76" s="266"/>
      <c r="AN76" s="24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</row>
    <row r="77" spans="1:254" x14ac:dyDescent="0.2">
      <c r="A77" s="284"/>
      <c r="B77" s="350"/>
      <c r="C77" s="381"/>
      <c r="D77" s="375"/>
      <c r="E77" s="381"/>
      <c r="F77" s="285"/>
      <c r="G77" s="282"/>
      <c r="H77" s="1282"/>
      <c r="I77" s="1297"/>
      <c r="J77" s="518"/>
      <c r="K77" s="512"/>
      <c r="L77" s="851"/>
      <c r="M77" s="993"/>
      <c r="N77" s="1335"/>
      <c r="O77" s="1339"/>
      <c r="P77" s="1335"/>
      <c r="Q77" s="285"/>
      <c r="R77" s="283"/>
      <c r="S77" s="294"/>
      <c r="T77" s="24"/>
      <c r="U77" s="298"/>
      <c r="V77" s="119"/>
      <c r="W77" s="234"/>
      <c r="X77" s="114"/>
      <c r="Y77" s="235"/>
      <c r="Z77" s="115"/>
      <c r="AA77" s="821"/>
      <c r="AB77" s="811"/>
      <c r="AC77" s="821"/>
      <c r="AD77" s="811"/>
      <c r="AE77" s="236"/>
      <c r="AF77" s="116"/>
      <c r="AG77" s="234"/>
      <c r="AH77" s="116"/>
      <c r="AI77" s="237"/>
      <c r="AJ77" s="117"/>
      <c r="AK77" s="499"/>
      <c r="AL77" s="264"/>
      <c r="AM77" s="266"/>
      <c r="AN77" s="24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</row>
    <row r="78" spans="1:254" x14ac:dyDescent="0.2">
      <c r="A78" s="284"/>
      <c r="B78" s="350"/>
      <c r="C78" s="381"/>
      <c r="D78" s="375"/>
      <c r="E78" s="381"/>
      <c r="F78" s="285"/>
      <c r="G78" s="282"/>
      <c r="H78" s="1282"/>
      <c r="I78" s="1297"/>
      <c r="J78" s="518"/>
      <c r="K78" s="512"/>
      <c r="L78" s="851"/>
      <c r="M78" s="993"/>
      <c r="N78" s="1335"/>
      <c r="O78" s="1339"/>
      <c r="P78" s="1335"/>
      <c r="Q78" s="285"/>
      <c r="R78" s="283"/>
      <c r="S78" s="294"/>
      <c r="T78" s="24"/>
      <c r="U78" s="298"/>
      <c r="V78" s="119"/>
      <c r="W78" s="234"/>
      <c r="X78" s="114"/>
      <c r="Y78" s="235"/>
      <c r="Z78" s="115"/>
      <c r="AA78" s="821"/>
      <c r="AB78" s="811"/>
      <c r="AC78" s="821"/>
      <c r="AD78" s="811"/>
      <c r="AE78" s="236"/>
      <c r="AF78" s="116"/>
      <c r="AG78" s="234"/>
      <c r="AH78" s="116"/>
      <c r="AI78" s="237"/>
      <c r="AJ78" s="117"/>
      <c r="AK78" s="499"/>
      <c r="AL78" s="264"/>
      <c r="AM78" s="266"/>
      <c r="AN78" s="24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</row>
    <row r="79" spans="1:254" ht="13.5" thickBot="1" x14ac:dyDescent="0.25">
      <c r="A79" s="272"/>
      <c r="B79" s="273"/>
      <c r="C79" s="489"/>
      <c r="D79" s="274"/>
      <c r="E79" s="314"/>
      <c r="F79" s="315"/>
      <c r="G79" s="311"/>
      <c r="H79" s="1284"/>
      <c r="I79" s="1294"/>
      <c r="J79" s="519"/>
      <c r="K79" s="513"/>
      <c r="L79" s="852"/>
      <c r="M79" s="994"/>
      <c r="N79" s="1337"/>
      <c r="O79" s="1340"/>
      <c r="P79" s="1337"/>
      <c r="Q79" s="317"/>
      <c r="R79" s="316"/>
      <c r="S79" s="327"/>
      <c r="T79" s="24"/>
      <c r="U79" s="301"/>
      <c r="V79" s="267"/>
      <c r="W79" s="184"/>
      <c r="X79" s="185"/>
      <c r="Y79" s="186"/>
      <c r="Z79" s="187"/>
      <c r="AA79" s="822"/>
      <c r="AB79" s="812"/>
      <c r="AC79" s="822"/>
      <c r="AD79" s="812"/>
      <c r="AE79" s="188"/>
      <c r="AF79" s="189"/>
      <c r="AG79" s="184"/>
      <c r="AH79" s="185"/>
      <c r="AI79" s="190"/>
      <c r="AJ79" s="191"/>
      <c r="AK79" s="500"/>
      <c r="AL79" s="268"/>
      <c r="AM79" s="269"/>
      <c r="AN79" s="24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</row>
    <row r="80" spans="1:254" ht="13.5" thickBot="1" x14ac:dyDescent="0.25">
      <c r="F80" s="171"/>
      <c r="G80" s="171"/>
      <c r="H80" s="50"/>
      <c r="I80" s="200"/>
      <c r="J80" s="158"/>
      <c r="K80" s="171"/>
      <c r="L80" s="253"/>
      <c r="M80" s="214"/>
      <c r="N80" s="214"/>
      <c r="O80" s="214"/>
      <c r="P80" s="214"/>
      <c r="Q80" s="253"/>
      <c r="R80" s="253"/>
      <c r="T80" s="24"/>
      <c r="U80" s="47"/>
      <c r="V80" s="254"/>
      <c r="W80" s="47"/>
      <c r="X80" s="254"/>
      <c r="Y80" s="47"/>
      <c r="Z80" s="254"/>
      <c r="AA80" s="214"/>
      <c r="AB80" s="74"/>
      <c r="AC80" s="214"/>
      <c r="AD80" s="74"/>
      <c r="AE80" s="250"/>
      <c r="AF80" s="254"/>
      <c r="AG80" s="250"/>
      <c r="AH80" s="254"/>
      <c r="AI80" s="48"/>
      <c r="AJ80" s="254"/>
      <c r="AK80" s="200"/>
      <c r="AL80" s="254"/>
      <c r="AM80" s="49"/>
      <c r="AN80" s="24"/>
    </row>
    <row r="81" spans="1:254" s="872" customFormat="1" ht="13.5" thickBot="1" x14ac:dyDescent="0.25">
      <c r="A81" s="161"/>
      <c r="B81" s="131"/>
      <c r="C81" s="487"/>
      <c r="D81" s="261"/>
      <c r="E81" s="271"/>
      <c r="F81" s="225"/>
      <c r="G81" s="225"/>
      <c r="H81" s="1285"/>
      <c r="I81" s="501"/>
      <c r="J81" s="226"/>
      <c r="K81" s="225"/>
      <c r="L81" s="90"/>
      <c r="M81" s="90"/>
      <c r="N81" s="90"/>
      <c r="O81" s="90"/>
      <c r="P81" s="90"/>
      <c r="Q81" s="90"/>
      <c r="R81" s="90"/>
      <c r="S81" s="62"/>
      <c r="T81" s="64"/>
      <c r="U81" s="238"/>
      <c r="V81" s="239"/>
      <c r="W81" s="238"/>
      <c r="X81" s="239"/>
      <c r="Y81" s="238"/>
      <c r="Z81" s="239"/>
      <c r="AA81" s="261"/>
      <c r="AB81" s="239"/>
      <c r="AC81" s="261"/>
      <c r="AD81" s="239"/>
      <c r="AE81" s="238"/>
      <c r="AF81" s="239"/>
      <c r="AG81" s="238"/>
      <c r="AH81" s="239"/>
      <c r="AI81" s="238"/>
      <c r="AJ81" s="239"/>
      <c r="AK81" s="501"/>
      <c r="AL81" s="225"/>
      <c r="AM81" s="225"/>
      <c r="AN81" s="64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</row>
    <row r="82" spans="1:254" s="872" customFormat="1" x14ac:dyDescent="0.2">
      <c r="A82" s="90"/>
      <c r="B82" s="62"/>
      <c r="C82" s="488"/>
      <c r="D82" s="214"/>
      <c r="E82" s="111"/>
      <c r="F82" s="90"/>
      <c r="G82" s="90"/>
      <c r="H82" s="91"/>
      <c r="I82" s="204"/>
      <c r="J82" s="492"/>
      <c r="K82" s="90"/>
      <c r="L82" s="47"/>
      <c r="M82" s="90"/>
      <c r="N82" s="90"/>
      <c r="O82" s="90"/>
      <c r="P82" s="90"/>
      <c r="Q82" s="90"/>
      <c r="R82" s="90"/>
      <c r="S82" s="62"/>
      <c r="T82" s="64"/>
      <c r="U82" s="214"/>
      <c r="V82" s="90"/>
      <c r="W82" s="214"/>
      <c r="X82" s="90"/>
      <c r="Y82" s="214"/>
      <c r="Z82" s="90"/>
      <c r="AA82" s="214"/>
      <c r="AB82" s="90"/>
      <c r="AC82" s="214"/>
      <c r="AD82" s="90"/>
      <c r="AE82" s="214"/>
      <c r="AF82" s="90"/>
      <c r="AG82" s="214"/>
      <c r="AH82" s="90"/>
      <c r="AI82" s="214"/>
      <c r="AJ82" s="90"/>
      <c r="AK82" s="204"/>
      <c r="AL82" s="90"/>
      <c r="AM82" s="90"/>
      <c r="AN82" s="64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</row>
    <row r="83" spans="1:254" s="153" customFormat="1" ht="30" customHeight="1" x14ac:dyDescent="0.2">
      <c r="A83" s="151"/>
      <c r="B83" s="152"/>
      <c r="C83" s="645"/>
      <c r="D83" s="1273"/>
      <c r="E83" s="151"/>
      <c r="F83" s="151"/>
      <c r="G83" s="151"/>
      <c r="H83" s="96"/>
      <c r="I83" s="205"/>
      <c r="J83" s="151"/>
      <c r="K83" s="151"/>
      <c r="L83" s="92"/>
      <c r="M83" s="66"/>
      <c r="N83" s="66"/>
      <c r="O83" s="66"/>
      <c r="P83" s="66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472"/>
      <c r="AB83" s="151"/>
      <c r="AC83" s="472"/>
      <c r="AD83" s="151"/>
      <c r="AE83" s="151"/>
      <c r="AF83" s="151"/>
      <c r="AG83" s="151"/>
      <c r="AH83" s="151"/>
      <c r="AI83" s="151"/>
      <c r="AJ83" s="151"/>
      <c r="AK83" s="151"/>
      <c r="AL83" s="151"/>
      <c r="AM83" s="151"/>
      <c r="AN83" s="151"/>
    </row>
    <row r="86" spans="1:254" x14ac:dyDescent="0.2">
      <c r="G86" s="1087"/>
      <c r="H86" s="1289"/>
    </row>
    <row r="90" spans="1:254" x14ac:dyDescent="0.2">
      <c r="A90" s="554"/>
      <c r="B90" s="555"/>
    </row>
    <row r="91" spans="1:254" x14ac:dyDescent="0.2">
      <c r="A91" s="1078"/>
      <c r="B91" s="848"/>
      <c r="C91" s="861"/>
      <c r="D91" s="1079"/>
      <c r="E91" s="861"/>
      <c r="F91" s="285"/>
      <c r="G91" s="282"/>
      <c r="H91" s="1282"/>
      <c r="I91" s="1297"/>
      <c r="J91" s="518"/>
      <c r="K91" s="512"/>
      <c r="L91" s="851"/>
      <c r="M91" s="989"/>
      <c r="N91" s="1333"/>
      <c r="O91" s="1333"/>
      <c r="P91" s="1333"/>
      <c r="Q91" s="285"/>
      <c r="R91" s="283"/>
      <c r="S91" s="857"/>
      <c r="T91" s="24"/>
      <c r="U91" s="1223"/>
      <c r="V91" s="119"/>
      <c r="W91" s="234"/>
      <c r="X91" s="114"/>
      <c r="Y91" s="235"/>
      <c r="Z91" s="115"/>
      <c r="AA91" s="821"/>
      <c r="AB91" s="811"/>
      <c r="AC91" s="821"/>
      <c r="AD91" s="811"/>
      <c r="AE91" s="236"/>
      <c r="AF91" s="116"/>
      <c r="AG91" s="234"/>
      <c r="AH91" s="116"/>
      <c r="AI91" s="237"/>
      <c r="AJ91" s="117"/>
      <c r="AK91" s="499"/>
      <c r="AL91" s="264"/>
      <c r="AM91" s="266"/>
      <c r="AN91" s="24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</row>
    <row r="92" spans="1:254" x14ac:dyDescent="0.2">
      <c r="A92" s="1078"/>
      <c r="B92" s="848"/>
      <c r="C92" s="861"/>
      <c r="D92" s="1079"/>
      <c r="E92" s="861"/>
      <c r="F92" s="285"/>
      <c r="G92" s="282"/>
      <c r="H92" s="1282"/>
      <c r="I92" s="1297"/>
      <c r="J92" s="518"/>
      <c r="K92" s="512"/>
      <c r="L92" s="851"/>
      <c r="M92" s="989"/>
      <c r="N92" s="1333"/>
      <c r="O92" s="1333"/>
      <c r="P92" s="1333"/>
      <c r="Q92" s="285"/>
      <c r="R92" s="283"/>
      <c r="S92" s="857"/>
      <c r="T92" s="24"/>
      <c r="U92" s="1223"/>
      <c r="V92" s="119"/>
      <c r="W92" s="234"/>
      <c r="X92" s="114"/>
      <c r="Y92" s="235"/>
      <c r="Z92" s="115"/>
      <c r="AA92" s="821"/>
      <c r="AB92" s="811"/>
      <c r="AC92" s="821"/>
      <c r="AD92" s="811"/>
      <c r="AE92" s="236"/>
      <c r="AF92" s="116"/>
      <c r="AG92" s="234"/>
      <c r="AH92" s="116"/>
      <c r="AI92" s="237"/>
      <c r="AJ92" s="117"/>
      <c r="AK92" s="499"/>
      <c r="AL92" s="264"/>
      <c r="AM92" s="266"/>
      <c r="AN92" s="24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</row>
    <row r="93" spans="1:254" x14ac:dyDescent="0.2">
      <c r="A93" s="1078"/>
      <c r="B93" s="848"/>
      <c r="C93" s="861"/>
      <c r="D93" s="1080"/>
      <c r="E93" s="849"/>
      <c r="F93" s="285"/>
      <c r="G93" s="282"/>
      <c r="H93" s="1282"/>
      <c r="I93" s="1297"/>
      <c r="J93" s="518"/>
      <c r="K93" s="512"/>
      <c r="L93" s="851"/>
      <c r="M93" s="989"/>
      <c r="N93" s="1333"/>
      <c r="O93" s="1333"/>
      <c r="P93" s="1333"/>
      <c r="Q93" s="285"/>
      <c r="R93" s="283"/>
      <c r="S93" s="857"/>
      <c r="T93" s="24"/>
      <c r="U93" s="1223"/>
      <c r="V93" s="119"/>
      <c r="W93" s="234"/>
      <c r="X93" s="114"/>
      <c r="Y93" s="235"/>
      <c r="Z93" s="115"/>
      <c r="AA93" s="821"/>
      <c r="AB93" s="811"/>
      <c r="AC93" s="821"/>
      <c r="AD93" s="811"/>
      <c r="AE93" s="236"/>
      <c r="AF93" s="116"/>
      <c r="AG93" s="234"/>
      <c r="AH93" s="116"/>
      <c r="AI93" s="237"/>
      <c r="AJ93" s="117"/>
      <c r="AK93" s="499"/>
      <c r="AL93" s="264"/>
      <c r="AM93" s="266"/>
      <c r="AN93" s="24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</row>
  </sheetData>
  <phoneticPr fontId="9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CA5-5267-4E7A-80B3-758B195CA20D}">
  <sheetPr codeName="Hoja9">
    <tabColor rgb="FFFF0000"/>
  </sheetPr>
  <dimension ref="A1:GP247"/>
  <sheetViews>
    <sheetView showGridLines="0"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H46" sqref="H46"/>
    </sheetView>
  </sheetViews>
  <sheetFormatPr baseColWidth="10" defaultColWidth="9.6640625" defaultRowHeight="12.75" x14ac:dyDescent="0.2"/>
  <cols>
    <col min="1" max="1" width="6.109375" style="74" customWidth="1"/>
    <col min="2" max="2" width="43.88671875" style="749" bestFit="1" customWidth="1"/>
    <col min="3" max="3" width="7.109375" style="158" bestFit="1" customWidth="1"/>
    <col min="4" max="4" width="14.33203125" style="70" customWidth="1"/>
    <col min="5" max="5" width="3.77734375" style="82" customWidth="1"/>
    <col min="6" max="6" width="12.77734375" style="74" customWidth="1"/>
    <col min="7" max="7" width="13.44140625" style="175" customWidth="1"/>
    <col min="8" max="8" width="17.77734375" style="175" customWidth="1"/>
    <col min="9" max="9" width="13.44140625" style="594" customWidth="1"/>
    <col min="10" max="10" width="9.77734375" style="23" customWidth="1"/>
    <col min="11" max="11" width="14.21875" style="23" customWidth="1"/>
    <col min="12" max="12" width="10.77734375" style="50" customWidth="1"/>
    <col min="13" max="14" width="30.77734375" style="84" customWidth="1"/>
    <col min="15" max="15" width="1.6640625" style="74" customWidth="1"/>
    <col min="16" max="16" width="4.77734375" style="83" customWidth="1"/>
    <col min="17" max="17" width="13.77734375" style="71" customWidth="1"/>
    <col min="18" max="18" width="4.77734375" style="47" customWidth="1"/>
    <col min="19" max="19" width="13.77734375" style="71" customWidth="1"/>
    <col min="20" max="20" width="4.77734375" style="47" customWidth="1"/>
    <col min="21" max="21" width="13.77734375" style="71" customWidth="1"/>
    <col min="22" max="22" width="4.77734375" style="214" customWidth="1"/>
    <col min="23" max="23" width="13.77734375" style="74" customWidth="1"/>
    <col min="24" max="24" width="4.77734375" style="214" customWidth="1"/>
    <col min="25" max="25" width="13.77734375" style="74" customWidth="1"/>
    <col min="26" max="26" width="4.77734375" style="73" customWidth="1"/>
    <col min="27" max="27" width="13.77734375" style="71" customWidth="1"/>
    <col min="28" max="28" width="4.77734375" style="71" customWidth="1"/>
    <col min="29" max="29" width="13.77734375" style="48" customWidth="1"/>
    <col min="30" max="30" width="4.77734375" style="71" customWidth="1"/>
    <col min="31" max="31" width="13.77734375" style="71" customWidth="1"/>
    <col min="32" max="33" width="13.77734375" style="200" customWidth="1"/>
    <col min="34" max="34" width="15.77734375" style="49" customWidth="1"/>
    <col min="35" max="35" width="1.6640625" style="74" customWidth="1"/>
    <col min="36" max="198" width="9.6640625" style="74"/>
    <col min="199" max="16384" width="9.6640625" style="75"/>
  </cols>
  <sheetData>
    <row r="1" spans="1:198" ht="15" x14ac:dyDescent="0.2">
      <c r="A1" s="164"/>
      <c r="G1" s="1328"/>
      <c r="H1" s="1328" t="s">
        <v>221</v>
      </c>
      <c r="I1" s="1329"/>
      <c r="O1" s="80"/>
    </row>
    <row r="2" spans="1:198" ht="15" x14ac:dyDescent="0.2">
      <c r="A2" s="164" t="s">
        <v>138</v>
      </c>
      <c r="B2" s="739"/>
      <c r="C2" s="503"/>
      <c r="D2" s="76"/>
      <c r="E2" s="77"/>
      <c r="G2" s="77"/>
      <c r="H2" s="77" t="s">
        <v>156</v>
      </c>
      <c r="I2" s="593"/>
      <c r="J2" s="78"/>
      <c r="K2" s="78"/>
      <c r="L2" s="76"/>
      <c r="M2" s="785" t="s">
        <v>149</v>
      </c>
      <c r="N2" s="198" t="s">
        <v>150</v>
      </c>
      <c r="O2" s="80"/>
      <c r="P2" s="833" t="s">
        <v>89</v>
      </c>
      <c r="Q2" s="76"/>
      <c r="R2" s="76"/>
      <c r="S2" s="76"/>
      <c r="T2" s="76"/>
      <c r="U2" s="76"/>
      <c r="V2" s="816"/>
      <c r="W2" s="807"/>
      <c r="X2" s="816"/>
      <c r="Y2" s="807"/>
      <c r="Z2"/>
      <c r="AA2" s="76"/>
      <c r="AB2" s="76"/>
      <c r="AC2" s="76"/>
      <c r="AD2" s="76"/>
      <c r="AE2" s="76"/>
      <c r="AF2" s="199"/>
      <c r="AG2" s="199"/>
      <c r="AH2" s="76"/>
      <c r="AI2" s="80"/>
    </row>
    <row r="3" spans="1:198" ht="15" x14ac:dyDescent="0.2">
      <c r="A3" s="260" t="s">
        <v>251</v>
      </c>
      <c r="B3" s="740"/>
      <c r="C3" s="215"/>
      <c r="E3" s="77"/>
      <c r="M3" s="786">
        <v>220000</v>
      </c>
      <c r="N3" s="786">
        <v>350000</v>
      </c>
      <c r="O3" s="80"/>
      <c r="Z3" s="74"/>
      <c r="AI3" s="80"/>
    </row>
    <row r="4" spans="1:198" x14ac:dyDescent="0.2">
      <c r="A4" s="1" t="s">
        <v>90</v>
      </c>
      <c r="B4" s="741"/>
      <c r="C4" s="477"/>
      <c r="E4" s="60"/>
      <c r="F4" s="1374" t="s">
        <v>137</v>
      </c>
      <c r="G4" s="1375"/>
      <c r="H4" s="1370"/>
      <c r="I4" s="1370"/>
      <c r="J4" s="1375"/>
      <c r="K4" s="1370"/>
      <c r="L4" s="1372"/>
      <c r="M4" s="1366"/>
      <c r="N4" s="1366"/>
      <c r="O4" s="80"/>
      <c r="P4" s="824" t="s">
        <v>237</v>
      </c>
      <c r="Q4" s="825"/>
      <c r="R4" s="825"/>
      <c r="S4" s="825"/>
      <c r="T4" s="825"/>
      <c r="U4" s="825"/>
      <c r="V4" s="825"/>
      <c r="W4" s="825"/>
      <c r="X4" s="825"/>
      <c r="Y4" s="825"/>
      <c r="Z4" s="825"/>
      <c r="AA4" s="825"/>
      <c r="AB4" s="825"/>
      <c r="AC4" s="825"/>
      <c r="AD4" s="825"/>
      <c r="AE4" s="825"/>
      <c r="AF4" s="825"/>
      <c r="AG4" s="825"/>
      <c r="AH4" s="826"/>
      <c r="AI4" s="80"/>
    </row>
    <row r="5" spans="1:198" ht="13.5" thickBot="1" x14ac:dyDescent="0.25">
      <c r="A5" s="25"/>
      <c r="B5" s="741"/>
      <c r="C5" s="477"/>
      <c r="D5" s="58"/>
      <c r="E5" s="60"/>
      <c r="F5" s="302"/>
      <c r="G5" s="318"/>
      <c r="H5" s="318"/>
      <c r="I5" s="595"/>
      <c r="J5" s="319"/>
      <c r="K5" s="319"/>
      <c r="L5" s="305"/>
      <c r="M5" s="1366"/>
      <c r="N5" s="1366"/>
      <c r="O5" s="80"/>
      <c r="P5" s="1122"/>
      <c r="Q5" s="286">
        <v>9.2799999999999994E-2</v>
      </c>
      <c r="R5" s="276"/>
      <c r="S5" s="277">
        <v>0.5</v>
      </c>
      <c r="T5" s="276"/>
      <c r="U5" s="276">
        <v>0.75</v>
      </c>
      <c r="V5" s="808"/>
      <c r="W5" s="808">
        <v>0.15</v>
      </c>
      <c r="X5" s="808"/>
      <c r="Y5" s="808">
        <v>0.2</v>
      </c>
      <c r="Z5" s="123"/>
      <c r="AA5" s="124">
        <v>0.1</v>
      </c>
      <c r="AB5" s="124"/>
      <c r="AC5" s="124">
        <v>0.2</v>
      </c>
      <c r="AD5" s="279"/>
      <c r="AE5" s="279">
        <v>0.3</v>
      </c>
      <c r="AF5" s="814"/>
      <c r="AG5" s="280"/>
      <c r="AH5" s="815"/>
      <c r="AI5" s="80"/>
    </row>
    <row r="6" spans="1:198" s="107" customFormat="1" ht="42.75" thickBot="1" x14ac:dyDescent="0.2">
      <c r="A6" s="126" t="s">
        <v>2</v>
      </c>
      <c r="B6" s="127" t="s">
        <v>58</v>
      </c>
      <c r="C6" s="478" t="s">
        <v>111</v>
      </c>
      <c r="D6" s="128" t="s">
        <v>59</v>
      </c>
      <c r="E6" s="382" t="s">
        <v>86</v>
      </c>
      <c r="F6" s="138" t="s">
        <v>248</v>
      </c>
      <c r="G6" s="140" t="s">
        <v>71</v>
      </c>
      <c r="H6" s="584" t="s">
        <v>125</v>
      </c>
      <c r="I6" s="596" t="s">
        <v>126</v>
      </c>
      <c r="J6" s="141" t="s">
        <v>66</v>
      </c>
      <c r="K6" s="141" t="s">
        <v>130</v>
      </c>
      <c r="L6" s="141" t="s">
        <v>127</v>
      </c>
      <c r="M6" s="125" t="s">
        <v>128</v>
      </c>
      <c r="N6" s="125" t="s">
        <v>129</v>
      </c>
      <c r="O6" s="1373"/>
      <c r="P6" s="263" t="s">
        <v>64</v>
      </c>
      <c r="Q6" s="132" t="s">
        <v>60</v>
      </c>
      <c r="R6" s="133" t="s">
        <v>64</v>
      </c>
      <c r="S6" s="133" t="s">
        <v>88</v>
      </c>
      <c r="T6" s="134" t="s">
        <v>64</v>
      </c>
      <c r="U6" s="134" t="s">
        <v>61</v>
      </c>
      <c r="V6" s="636" t="s">
        <v>64</v>
      </c>
      <c r="W6" s="636" t="s">
        <v>154</v>
      </c>
      <c r="X6" s="636" t="s">
        <v>64</v>
      </c>
      <c r="Y6" s="636" t="s">
        <v>155</v>
      </c>
      <c r="Z6" s="135" t="s">
        <v>64</v>
      </c>
      <c r="AA6" s="135" t="s">
        <v>241</v>
      </c>
      <c r="AB6" s="135" t="s">
        <v>64</v>
      </c>
      <c r="AC6" s="135" t="s">
        <v>242</v>
      </c>
      <c r="AD6" s="136" t="s">
        <v>64</v>
      </c>
      <c r="AE6" s="136" t="s">
        <v>62</v>
      </c>
      <c r="AF6" s="201" t="s">
        <v>143</v>
      </c>
      <c r="AG6" s="201" t="s">
        <v>144</v>
      </c>
      <c r="AH6" s="137" t="s">
        <v>65</v>
      </c>
      <c r="AI6" s="1373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</row>
    <row r="7" spans="1:198" x14ac:dyDescent="0.2">
      <c r="A7" s="59"/>
      <c r="B7" s="742"/>
      <c r="C7" s="504"/>
      <c r="D7" s="59"/>
      <c r="E7" s="60"/>
      <c r="F7" s="60"/>
      <c r="G7" s="79"/>
      <c r="H7" s="79"/>
      <c r="I7" s="597"/>
      <c r="J7" s="60"/>
      <c r="K7" s="60"/>
      <c r="L7" s="60"/>
      <c r="M7" s="194"/>
      <c r="N7" s="194"/>
      <c r="O7" s="80"/>
      <c r="P7" s="661"/>
      <c r="Q7" s="59"/>
      <c r="R7" s="59"/>
      <c r="S7" s="59"/>
      <c r="T7" s="59"/>
      <c r="U7" s="59"/>
      <c r="V7" s="819"/>
      <c r="W7" s="809"/>
      <c r="X7" s="819"/>
      <c r="Y7" s="809"/>
      <c r="Z7" s="59"/>
      <c r="AA7" s="59"/>
      <c r="AB7" s="59"/>
      <c r="AC7" s="59"/>
      <c r="AD7" s="59"/>
      <c r="AE7" s="59"/>
      <c r="AF7" s="202"/>
      <c r="AG7" s="202"/>
      <c r="AH7" s="118"/>
      <c r="AI7" s="80"/>
    </row>
    <row r="8" spans="1:198" ht="15.75" thickBot="1" x14ac:dyDescent="0.25">
      <c r="A8" s="112" t="s">
        <v>1</v>
      </c>
      <c r="B8" s="743"/>
      <c r="C8" s="228"/>
      <c r="D8" s="60"/>
      <c r="E8" s="60"/>
      <c r="F8" s="60"/>
      <c r="G8" s="79"/>
      <c r="H8" s="79"/>
      <c r="I8" s="597"/>
      <c r="J8" s="60"/>
      <c r="K8" s="60"/>
      <c r="L8" s="60"/>
      <c r="M8" s="194"/>
      <c r="N8" s="194"/>
      <c r="O8" s="80"/>
      <c r="P8" s="661"/>
      <c r="Q8" s="61"/>
      <c r="R8" s="60"/>
      <c r="S8" s="60"/>
      <c r="T8" s="60"/>
      <c r="U8" s="60"/>
      <c r="V8" s="103"/>
      <c r="W8" s="157"/>
      <c r="X8" s="103"/>
      <c r="Y8" s="157"/>
      <c r="Z8" s="60"/>
      <c r="AA8" s="60"/>
      <c r="AB8" s="60"/>
      <c r="AC8" s="60"/>
      <c r="AD8" s="60"/>
      <c r="AE8" s="60"/>
      <c r="AF8" s="105"/>
      <c r="AG8" s="105"/>
      <c r="AH8" s="118"/>
      <c r="AI8" s="80"/>
    </row>
    <row r="9" spans="1:198" ht="11.25" customHeight="1" thickBot="1" x14ac:dyDescent="0.25">
      <c r="A9" s="613">
        <v>1</v>
      </c>
      <c r="B9" s="1530" t="s">
        <v>271</v>
      </c>
      <c r="C9" s="1011">
        <v>41</v>
      </c>
      <c r="D9" s="1039">
        <v>22126399</v>
      </c>
      <c r="E9" s="762">
        <v>5</v>
      </c>
      <c r="F9" s="615">
        <v>340000</v>
      </c>
      <c r="G9" s="1012" t="s">
        <v>215</v>
      </c>
      <c r="H9" s="1349"/>
      <c r="I9" s="1014"/>
      <c r="J9" s="1013"/>
      <c r="K9" s="1013"/>
      <c r="L9" s="1015"/>
      <c r="M9" s="1016" t="s">
        <v>227</v>
      </c>
      <c r="N9" s="1017"/>
      <c r="O9" s="80"/>
      <c r="P9" s="234" t="s">
        <v>82</v>
      </c>
      <c r="Q9" s="179">
        <v>340000</v>
      </c>
      <c r="R9" s="230"/>
      <c r="S9" s="180">
        <v>0</v>
      </c>
      <c r="T9" s="231"/>
      <c r="U9" s="181">
        <v>0</v>
      </c>
      <c r="V9" s="820"/>
      <c r="W9" s="810">
        <v>0</v>
      </c>
      <c r="X9" s="820"/>
      <c r="Y9" s="810">
        <v>0</v>
      </c>
      <c r="Z9" s="232"/>
      <c r="AA9" s="182">
        <v>0</v>
      </c>
      <c r="AB9" s="230"/>
      <c r="AC9" s="182">
        <v>0</v>
      </c>
      <c r="AD9" s="233"/>
      <c r="AE9" s="259">
        <v>0</v>
      </c>
      <c r="AF9" s="203">
        <v>0</v>
      </c>
      <c r="AG9" s="203">
        <v>0</v>
      </c>
      <c r="AH9" s="1090">
        <v>340000</v>
      </c>
      <c r="AI9" s="80"/>
    </row>
    <row r="10" spans="1:198" ht="13.5" thickBot="1" x14ac:dyDescent="0.25">
      <c r="A10" s="616">
        <v>2</v>
      </c>
      <c r="B10" s="1530" t="s">
        <v>281</v>
      </c>
      <c r="C10" s="484">
        <v>346</v>
      </c>
      <c r="D10" s="781">
        <v>71581755</v>
      </c>
      <c r="E10" s="491">
        <v>2</v>
      </c>
      <c r="F10" s="607">
        <v>150000</v>
      </c>
      <c r="G10" s="646" t="s">
        <v>205</v>
      </c>
      <c r="H10" s="608" t="s">
        <v>206</v>
      </c>
      <c r="I10" s="609">
        <v>45554</v>
      </c>
      <c r="J10" s="608" t="s">
        <v>112</v>
      </c>
      <c r="K10" s="608" t="s">
        <v>209</v>
      </c>
      <c r="L10" s="609">
        <v>45554</v>
      </c>
      <c r="M10" s="560"/>
      <c r="N10" s="617"/>
      <c r="O10" s="80"/>
      <c r="P10" s="234" t="s">
        <v>82</v>
      </c>
      <c r="Q10" s="119">
        <v>153000</v>
      </c>
      <c r="R10" s="234"/>
      <c r="S10" s="114">
        <v>0</v>
      </c>
      <c r="T10" s="235"/>
      <c r="U10" s="115">
        <v>0</v>
      </c>
      <c r="V10" s="821"/>
      <c r="W10" s="811">
        <v>0</v>
      </c>
      <c r="X10" s="821"/>
      <c r="Y10" s="811">
        <v>0</v>
      </c>
      <c r="Z10" s="236"/>
      <c r="AA10" s="116">
        <v>0</v>
      </c>
      <c r="AB10" s="234"/>
      <c r="AC10" s="116">
        <v>0</v>
      </c>
      <c r="AD10" s="237"/>
      <c r="AE10" s="117">
        <v>0</v>
      </c>
      <c r="AF10" s="1092">
        <v>0</v>
      </c>
      <c r="AG10" s="1092">
        <v>0</v>
      </c>
      <c r="AH10" s="1093">
        <v>150000</v>
      </c>
      <c r="AI10" s="80"/>
    </row>
    <row r="11" spans="1:198" ht="13.5" thickBot="1" x14ac:dyDescent="0.25">
      <c r="A11" s="616">
        <v>3</v>
      </c>
      <c r="B11" s="1530" t="s">
        <v>282</v>
      </c>
      <c r="C11" s="484">
        <v>300</v>
      </c>
      <c r="D11" s="781">
        <v>70116694</v>
      </c>
      <c r="E11" s="491">
        <v>5</v>
      </c>
      <c r="F11" s="607">
        <v>450000</v>
      </c>
      <c r="G11" s="646" t="s">
        <v>216</v>
      </c>
      <c r="H11" s="1021" t="s">
        <v>206</v>
      </c>
      <c r="I11" s="1022">
        <v>45594</v>
      </c>
      <c r="J11" s="608" t="s">
        <v>112</v>
      </c>
      <c r="K11" s="608" t="s">
        <v>208</v>
      </c>
      <c r="L11" s="609" t="s">
        <v>220</v>
      </c>
      <c r="M11" s="618"/>
      <c r="N11" s="1018"/>
      <c r="O11" s="80"/>
      <c r="P11" s="234" t="s">
        <v>82</v>
      </c>
      <c r="Q11" s="119">
        <v>448000</v>
      </c>
      <c r="R11" s="234"/>
      <c r="S11" s="114">
        <v>0</v>
      </c>
      <c r="T11" s="235"/>
      <c r="U11" s="115">
        <v>0</v>
      </c>
      <c r="V11" s="821"/>
      <c r="W11" s="811">
        <v>0</v>
      </c>
      <c r="X11" s="821"/>
      <c r="Y11" s="811">
        <v>0</v>
      </c>
      <c r="Z11" s="236"/>
      <c r="AA11" s="116">
        <v>0</v>
      </c>
      <c r="AB11" s="234"/>
      <c r="AC11" s="116">
        <v>0</v>
      </c>
      <c r="AD11" s="237"/>
      <c r="AE11" s="117">
        <v>0</v>
      </c>
      <c r="AF11" s="1092">
        <v>0</v>
      </c>
      <c r="AG11" s="1092">
        <v>0</v>
      </c>
      <c r="AH11" s="1093">
        <v>450000</v>
      </c>
      <c r="AI11" s="80"/>
    </row>
    <row r="12" spans="1:198" ht="13.5" thickBot="1" x14ac:dyDescent="0.25">
      <c r="A12" s="616">
        <v>4</v>
      </c>
      <c r="B12" s="1530" t="s">
        <v>283</v>
      </c>
      <c r="C12" s="484">
        <v>217</v>
      </c>
      <c r="D12" s="781">
        <v>3349249</v>
      </c>
      <c r="E12" s="491">
        <v>7</v>
      </c>
      <c r="F12" s="607">
        <v>290000</v>
      </c>
      <c r="G12" s="646" t="s">
        <v>203</v>
      </c>
      <c r="H12" s="608" t="s">
        <v>210</v>
      </c>
      <c r="I12" s="609"/>
      <c r="J12" s="608" t="s">
        <v>112</v>
      </c>
      <c r="K12" s="608" t="s">
        <v>211</v>
      </c>
      <c r="L12" s="609">
        <v>45570</v>
      </c>
      <c r="M12" s="618"/>
      <c r="N12" s="1018"/>
      <c r="O12" s="80"/>
      <c r="P12" s="234" t="s">
        <v>82</v>
      </c>
      <c r="Q12" s="119">
        <v>317000</v>
      </c>
      <c r="R12" s="234"/>
      <c r="S12" s="114">
        <v>0</v>
      </c>
      <c r="T12" s="235"/>
      <c r="U12" s="115">
        <v>0</v>
      </c>
      <c r="V12" s="821"/>
      <c r="W12" s="811">
        <v>0</v>
      </c>
      <c r="X12" s="821"/>
      <c r="Y12" s="811">
        <v>0</v>
      </c>
      <c r="Z12" s="236"/>
      <c r="AA12" s="116">
        <v>0</v>
      </c>
      <c r="AB12" s="234"/>
      <c r="AC12" s="116">
        <v>0</v>
      </c>
      <c r="AD12" s="237"/>
      <c r="AE12" s="117">
        <v>0</v>
      </c>
      <c r="AF12" s="1092">
        <v>0</v>
      </c>
      <c r="AG12" s="1092">
        <v>0</v>
      </c>
      <c r="AH12" s="1093">
        <v>320000</v>
      </c>
      <c r="AI12" s="80"/>
    </row>
    <row r="13" spans="1:198" ht="13.5" thickBot="1" x14ac:dyDescent="0.25">
      <c r="A13" s="616">
        <v>5</v>
      </c>
      <c r="B13" s="1530" t="s">
        <v>284</v>
      </c>
      <c r="C13" s="650">
        <v>43</v>
      </c>
      <c r="D13" s="781">
        <v>71632774</v>
      </c>
      <c r="E13" s="491">
        <v>2</v>
      </c>
      <c r="F13" s="607">
        <v>480000</v>
      </c>
      <c r="G13" s="646" t="s">
        <v>217</v>
      </c>
      <c r="H13" s="608" t="s">
        <v>206</v>
      </c>
      <c r="I13" s="609">
        <v>45593</v>
      </c>
      <c r="J13" s="608"/>
      <c r="K13" s="608"/>
      <c r="L13" s="609"/>
      <c r="M13" s="560"/>
      <c r="N13" s="617"/>
      <c r="O13" s="80"/>
      <c r="P13" s="234" t="s">
        <v>82</v>
      </c>
      <c r="Q13" s="119">
        <v>405000</v>
      </c>
      <c r="R13" s="234"/>
      <c r="S13" s="114">
        <v>0</v>
      </c>
      <c r="T13" s="235"/>
      <c r="U13" s="115">
        <v>0</v>
      </c>
      <c r="V13" s="821"/>
      <c r="W13" s="811">
        <v>0</v>
      </c>
      <c r="X13" s="821"/>
      <c r="Y13" s="811">
        <v>0</v>
      </c>
      <c r="Z13" s="236"/>
      <c r="AA13" s="116">
        <v>0</v>
      </c>
      <c r="AB13" s="234"/>
      <c r="AC13" s="116">
        <v>0</v>
      </c>
      <c r="AD13" s="237"/>
      <c r="AE13" s="117">
        <v>0</v>
      </c>
      <c r="AF13" s="1092">
        <v>70000</v>
      </c>
      <c r="AG13" s="1092">
        <v>0</v>
      </c>
      <c r="AH13" s="1093">
        <v>480000</v>
      </c>
      <c r="AI13" s="80"/>
    </row>
    <row r="14" spans="1:198" ht="13.5" thickBot="1" x14ac:dyDescent="0.25">
      <c r="A14" s="616">
        <v>6</v>
      </c>
      <c r="B14" s="1530" t="s">
        <v>272</v>
      </c>
      <c r="C14" s="484">
        <v>44</v>
      </c>
      <c r="D14" s="781">
        <v>21315528</v>
      </c>
      <c r="E14" s="491">
        <v>6</v>
      </c>
      <c r="F14" s="607">
        <v>1740000</v>
      </c>
      <c r="G14" s="646" t="s">
        <v>218</v>
      </c>
      <c r="H14" s="608" t="s">
        <v>207</v>
      </c>
      <c r="I14" s="609">
        <v>45618</v>
      </c>
      <c r="J14" s="608"/>
      <c r="K14" s="608"/>
      <c r="L14" s="609"/>
      <c r="M14" s="560" t="s">
        <v>212</v>
      </c>
      <c r="N14" s="617"/>
      <c r="O14" s="80"/>
      <c r="P14" s="234" t="s">
        <v>82</v>
      </c>
      <c r="Q14" s="119">
        <v>1158000</v>
      </c>
      <c r="R14" s="234" t="s">
        <v>82</v>
      </c>
      <c r="S14" s="114">
        <v>579000</v>
      </c>
      <c r="T14" s="235"/>
      <c r="U14" s="115">
        <v>0</v>
      </c>
      <c r="V14" s="821"/>
      <c r="W14" s="811">
        <v>0</v>
      </c>
      <c r="X14" s="821"/>
      <c r="Y14" s="811">
        <v>0</v>
      </c>
      <c r="Z14" s="236"/>
      <c r="AA14" s="116">
        <v>0</v>
      </c>
      <c r="AB14" s="234"/>
      <c r="AC14" s="116">
        <v>0</v>
      </c>
      <c r="AD14" s="237"/>
      <c r="AE14" s="117">
        <v>0</v>
      </c>
      <c r="AF14" s="1092">
        <v>0</v>
      </c>
      <c r="AG14" s="1092">
        <v>0</v>
      </c>
      <c r="AH14" s="1093">
        <v>1740000</v>
      </c>
      <c r="AI14" s="80"/>
    </row>
    <row r="15" spans="1:198" x14ac:dyDescent="0.2">
      <c r="A15" s="616">
        <v>7</v>
      </c>
      <c r="B15" s="1530" t="s">
        <v>273</v>
      </c>
      <c r="C15" s="484">
        <v>45</v>
      </c>
      <c r="D15" s="1040">
        <v>32336950</v>
      </c>
      <c r="E15" s="491">
        <v>1</v>
      </c>
      <c r="F15" s="607">
        <v>930000</v>
      </c>
      <c r="G15" s="1020" t="s">
        <v>204</v>
      </c>
      <c r="H15" s="1021" t="s">
        <v>206</v>
      </c>
      <c r="I15" s="1022">
        <v>45553</v>
      </c>
      <c r="J15" s="1021" t="s">
        <v>112</v>
      </c>
      <c r="K15" s="1021" t="s">
        <v>208</v>
      </c>
      <c r="L15" s="609">
        <v>45554</v>
      </c>
      <c r="M15" s="1023"/>
      <c r="N15" s="1024"/>
      <c r="O15" s="80"/>
      <c r="P15" s="234" t="s">
        <v>82</v>
      </c>
      <c r="Q15" s="119">
        <v>568000</v>
      </c>
      <c r="R15" s="234"/>
      <c r="S15" s="114">
        <v>0</v>
      </c>
      <c r="T15" s="235"/>
      <c r="U15" s="115">
        <v>0</v>
      </c>
      <c r="V15" s="821"/>
      <c r="W15" s="811">
        <v>0</v>
      </c>
      <c r="X15" s="821"/>
      <c r="Y15" s="811">
        <v>0</v>
      </c>
      <c r="Z15" s="236"/>
      <c r="AA15" s="116">
        <v>0</v>
      </c>
      <c r="AB15" s="234"/>
      <c r="AC15" s="116">
        <v>0</v>
      </c>
      <c r="AD15" s="237"/>
      <c r="AE15" s="117">
        <v>0</v>
      </c>
      <c r="AF15" s="1092">
        <v>365920.80160000001</v>
      </c>
      <c r="AG15" s="1092">
        <v>0</v>
      </c>
      <c r="AH15" s="1093">
        <v>930000</v>
      </c>
      <c r="AI15" s="80"/>
    </row>
    <row r="16" spans="1:198" s="548" customFormat="1" x14ac:dyDescent="0.2">
      <c r="A16" s="616"/>
      <c r="B16" s="686"/>
      <c r="C16" s="484"/>
      <c r="D16" s="781"/>
      <c r="E16" s="491"/>
      <c r="F16" s="607"/>
      <c r="G16" s="646"/>
      <c r="H16" s="608"/>
      <c r="I16" s="609"/>
      <c r="J16" s="608"/>
      <c r="K16" s="608"/>
      <c r="L16" s="609"/>
      <c r="M16" s="560"/>
      <c r="N16" s="617"/>
      <c r="O16" s="80"/>
      <c r="P16" s="234"/>
      <c r="Q16" s="119"/>
      <c r="R16" s="234"/>
      <c r="S16" s="114"/>
      <c r="T16" s="235"/>
      <c r="U16" s="115"/>
      <c r="V16" s="821"/>
      <c r="W16" s="811"/>
      <c r="X16" s="821"/>
      <c r="Y16" s="811"/>
      <c r="Z16" s="236"/>
      <c r="AA16" s="116"/>
      <c r="AB16" s="234"/>
      <c r="AC16" s="116"/>
      <c r="AD16" s="237"/>
      <c r="AE16" s="117"/>
      <c r="AF16" s="1092"/>
      <c r="AG16" s="1092"/>
      <c r="AH16" s="1093"/>
      <c r="AI16" s="80"/>
      <c r="AJ16" s="224"/>
      <c r="AK16" s="224"/>
      <c r="AL16" s="224"/>
      <c r="AM16" s="224"/>
      <c r="AN16" s="224"/>
      <c r="AO16" s="224"/>
      <c r="AP16" s="224"/>
      <c r="AQ16" s="224"/>
      <c r="AR16" s="224"/>
      <c r="AS16" s="224"/>
      <c r="AT16" s="224"/>
      <c r="AU16" s="224"/>
      <c r="AV16" s="224"/>
      <c r="AW16" s="224"/>
      <c r="AX16" s="224"/>
      <c r="AY16" s="224"/>
      <c r="AZ16" s="224"/>
      <c r="BA16" s="224"/>
      <c r="BB16" s="224"/>
      <c r="BC16" s="224"/>
      <c r="BD16" s="224"/>
      <c r="BE16" s="224"/>
      <c r="BF16" s="224"/>
      <c r="BG16" s="224"/>
      <c r="BH16" s="224"/>
      <c r="BI16" s="224"/>
      <c r="BJ16" s="224"/>
      <c r="BK16" s="224"/>
      <c r="BL16" s="224"/>
      <c r="BM16" s="224"/>
      <c r="BN16" s="224"/>
      <c r="BO16" s="224"/>
      <c r="BP16" s="224"/>
      <c r="BQ16" s="224"/>
      <c r="BR16" s="224"/>
      <c r="BS16" s="224"/>
      <c r="BT16" s="224"/>
      <c r="BU16" s="224"/>
      <c r="BV16" s="224"/>
      <c r="BW16" s="224"/>
      <c r="BX16" s="224"/>
      <c r="BY16" s="224"/>
      <c r="BZ16" s="224"/>
      <c r="CA16" s="224"/>
      <c r="CB16" s="224"/>
      <c r="CC16" s="224"/>
      <c r="CD16" s="224"/>
      <c r="CE16" s="224"/>
      <c r="CF16" s="224"/>
      <c r="CG16" s="224"/>
      <c r="CH16" s="224"/>
      <c r="CI16" s="224"/>
      <c r="CJ16" s="224"/>
      <c r="CK16" s="224"/>
      <c r="CL16" s="224"/>
      <c r="CM16" s="224"/>
      <c r="CN16" s="224"/>
      <c r="CO16" s="224"/>
      <c r="CP16" s="224"/>
      <c r="CQ16" s="224"/>
      <c r="CR16" s="224"/>
      <c r="CS16" s="224"/>
      <c r="CT16" s="224"/>
      <c r="CU16" s="224"/>
      <c r="CV16" s="224"/>
      <c r="CW16" s="224"/>
      <c r="CX16" s="224"/>
      <c r="CY16" s="224"/>
      <c r="CZ16" s="224"/>
      <c r="DA16" s="224"/>
      <c r="DB16" s="224"/>
      <c r="DC16" s="224"/>
      <c r="DD16" s="224"/>
      <c r="DE16" s="224"/>
      <c r="DF16" s="224"/>
      <c r="DG16" s="224"/>
      <c r="DH16" s="224"/>
      <c r="DI16" s="224"/>
      <c r="DJ16" s="224"/>
      <c r="DK16" s="224"/>
      <c r="DL16" s="224"/>
      <c r="DM16" s="224"/>
      <c r="DN16" s="224"/>
      <c r="DO16" s="224"/>
      <c r="DP16" s="224"/>
      <c r="DQ16" s="224"/>
      <c r="DR16" s="224"/>
      <c r="DS16" s="224"/>
      <c r="DT16" s="224"/>
      <c r="DU16" s="224"/>
      <c r="DV16" s="224"/>
      <c r="DW16" s="224"/>
      <c r="DX16" s="224"/>
      <c r="DY16" s="224"/>
      <c r="DZ16" s="224"/>
      <c r="EA16" s="224"/>
      <c r="EB16" s="224"/>
      <c r="EC16" s="224"/>
      <c r="ED16" s="224"/>
      <c r="EE16" s="224"/>
      <c r="EF16" s="224"/>
      <c r="EG16" s="224"/>
      <c r="EH16" s="224"/>
      <c r="EI16" s="224"/>
      <c r="EJ16" s="224"/>
      <c r="EK16" s="224"/>
      <c r="EL16" s="224"/>
      <c r="EM16" s="224"/>
      <c r="EN16" s="224"/>
      <c r="EO16" s="224"/>
      <c r="EP16" s="224"/>
      <c r="EQ16" s="224"/>
      <c r="ER16" s="224"/>
      <c r="ES16" s="224"/>
      <c r="ET16" s="224"/>
      <c r="EU16" s="224"/>
      <c r="EV16" s="224"/>
      <c r="EW16" s="224"/>
      <c r="EX16" s="224"/>
      <c r="EY16" s="224"/>
      <c r="EZ16" s="224"/>
      <c r="FA16" s="224"/>
      <c r="FB16" s="224"/>
      <c r="FC16" s="224"/>
      <c r="FD16" s="224"/>
      <c r="FE16" s="224"/>
      <c r="FF16" s="224"/>
      <c r="FG16" s="224"/>
      <c r="FH16" s="224"/>
      <c r="FI16" s="224"/>
      <c r="FJ16" s="224"/>
      <c r="FK16" s="224"/>
      <c r="FL16" s="224"/>
      <c r="FM16" s="224"/>
      <c r="FN16" s="224"/>
      <c r="FO16" s="224"/>
      <c r="FP16" s="224"/>
      <c r="FQ16" s="224"/>
      <c r="FR16" s="224"/>
      <c r="FS16" s="224"/>
      <c r="FT16" s="224"/>
      <c r="FU16" s="224"/>
      <c r="FV16" s="224"/>
      <c r="FW16" s="224"/>
      <c r="FX16" s="224"/>
      <c r="FY16" s="224"/>
      <c r="FZ16" s="224"/>
      <c r="GA16" s="224"/>
      <c r="GB16" s="224"/>
      <c r="GC16" s="224"/>
      <c r="GD16" s="224"/>
      <c r="GE16" s="224"/>
      <c r="GF16" s="224"/>
      <c r="GG16" s="224"/>
      <c r="GH16" s="224"/>
      <c r="GI16" s="224"/>
      <c r="GJ16" s="224"/>
      <c r="GK16" s="224"/>
      <c r="GL16" s="224"/>
      <c r="GM16" s="224"/>
      <c r="GN16" s="224"/>
      <c r="GO16" s="224"/>
      <c r="GP16" s="224"/>
    </row>
    <row r="17" spans="1:35" x14ac:dyDescent="0.2">
      <c r="A17" s="616"/>
      <c r="B17" s="686"/>
      <c r="C17" s="484"/>
      <c r="D17" s="781"/>
      <c r="E17" s="491"/>
      <c r="F17" s="607"/>
      <c r="G17" s="646"/>
      <c r="H17" s="608"/>
      <c r="I17" s="609"/>
      <c r="J17" s="608"/>
      <c r="K17" s="608"/>
      <c r="L17" s="609"/>
      <c r="M17" s="560"/>
      <c r="N17" s="617"/>
      <c r="O17" s="80"/>
      <c r="P17" s="234"/>
      <c r="Q17" s="119"/>
      <c r="R17" s="234"/>
      <c r="S17" s="114"/>
      <c r="T17" s="235"/>
      <c r="U17" s="115"/>
      <c r="V17" s="821"/>
      <c r="W17" s="811"/>
      <c r="X17" s="821"/>
      <c r="Y17" s="811"/>
      <c r="Z17" s="236"/>
      <c r="AA17" s="116"/>
      <c r="AB17" s="234"/>
      <c r="AC17" s="116"/>
      <c r="AD17" s="237"/>
      <c r="AE17" s="117"/>
      <c r="AF17" s="1092"/>
      <c r="AG17" s="1092"/>
      <c r="AH17" s="1093"/>
      <c r="AI17" s="80"/>
    </row>
    <row r="18" spans="1:35" x14ac:dyDescent="0.2">
      <c r="A18" s="616"/>
      <c r="B18" s="684"/>
      <c r="C18" s="484"/>
      <c r="D18" s="781"/>
      <c r="E18" s="491"/>
      <c r="F18" s="607"/>
      <c r="G18" s="646"/>
      <c r="H18" s="608"/>
      <c r="I18" s="609"/>
      <c r="J18" s="608"/>
      <c r="K18" s="608"/>
      <c r="L18" s="609"/>
      <c r="M18" s="560"/>
      <c r="N18" s="617"/>
      <c r="O18" s="80"/>
      <c r="P18" s="234"/>
      <c r="Q18" s="119"/>
      <c r="R18" s="234"/>
      <c r="S18" s="114"/>
      <c r="T18" s="235"/>
      <c r="U18" s="115"/>
      <c r="V18" s="821"/>
      <c r="W18" s="811"/>
      <c r="X18" s="821"/>
      <c r="Y18" s="811"/>
      <c r="Z18" s="236"/>
      <c r="AA18" s="116"/>
      <c r="AB18" s="234"/>
      <c r="AC18" s="116"/>
      <c r="AD18" s="237"/>
      <c r="AE18" s="117"/>
      <c r="AF18" s="1092"/>
      <c r="AG18" s="1092"/>
      <c r="AH18" s="1093"/>
      <c r="AI18" s="80"/>
    </row>
    <row r="19" spans="1:35" x14ac:dyDescent="0.2">
      <c r="A19" s="616"/>
      <c r="B19" s="684"/>
      <c r="C19" s="484"/>
      <c r="D19" s="781"/>
      <c r="E19" s="491"/>
      <c r="F19" s="607"/>
      <c r="G19" s="1020"/>
      <c r="H19" s="608"/>
      <c r="I19" s="609"/>
      <c r="J19" s="608"/>
      <c r="K19" s="608"/>
      <c r="L19" s="609"/>
      <c r="M19" s="560"/>
      <c r="N19" s="617"/>
      <c r="O19" s="80"/>
      <c r="P19" s="234"/>
      <c r="Q19" s="119"/>
      <c r="R19" s="234"/>
      <c r="S19" s="114"/>
      <c r="T19" s="235"/>
      <c r="U19" s="115"/>
      <c r="V19" s="821"/>
      <c r="W19" s="811"/>
      <c r="X19" s="821"/>
      <c r="Y19" s="811"/>
      <c r="Z19" s="236"/>
      <c r="AA19" s="116"/>
      <c r="AB19" s="234"/>
      <c r="AC19" s="116"/>
      <c r="AD19" s="237"/>
      <c r="AE19" s="117"/>
      <c r="AF19" s="1092"/>
      <c r="AG19" s="1092"/>
      <c r="AH19" s="1093"/>
      <c r="AI19" s="80"/>
    </row>
    <row r="20" spans="1:35" x14ac:dyDescent="0.2">
      <c r="A20" s="616"/>
      <c r="B20" s="684"/>
      <c r="C20" s="484"/>
      <c r="D20" s="781"/>
      <c r="E20" s="491"/>
      <c r="F20" s="607"/>
      <c r="G20" s="1020"/>
      <c r="H20" s="608"/>
      <c r="I20" s="609"/>
      <c r="J20" s="608"/>
      <c r="K20" s="608"/>
      <c r="L20" s="609"/>
      <c r="M20" s="1026"/>
      <c r="N20" s="1135"/>
      <c r="O20" s="80"/>
      <c r="P20" s="234"/>
      <c r="Q20" s="119"/>
      <c r="R20" s="234"/>
      <c r="S20" s="114"/>
      <c r="T20" s="235"/>
      <c r="U20" s="115"/>
      <c r="V20" s="821"/>
      <c r="W20" s="811"/>
      <c r="X20" s="821"/>
      <c r="Y20" s="811"/>
      <c r="Z20" s="236"/>
      <c r="AA20" s="116"/>
      <c r="AB20" s="234"/>
      <c r="AC20" s="116"/>
      <c r="AD20" s="237"/>
      <c r="AE20" s="117"/>
      <c r="AF20" s="1092"/>
      <c r="AG20" s="1092"/>
      <c r="AH20" s="1093"/>
      <c r="AI20" s="80"/>
    </row>
    <row r="21" spans="1:35" x14ac:dyDescent="0.2">
      <c r="A21" s="616"/>
      <c r="B21" s="1072"/>
      <c r="C21" s="484"/>
      <c r="D21" s="781"/>
      <c r="E21" s="491"/>
      <c r="F21" s="607"/>
      <c r="G21" s="1020"/>
      <c r="H21" s="608"/>
      <c r="I21" s="1022"/>
      <c r="J21" s="1021"/>
      <c r="K21" s="1021"/>
      <c r="L21" s="1022"/>
      <c r="M21" s="1178"/>
      <c r="N21" s="1162"/>
      <c r="O21" s="80"/>
      <c r="P21" s="234"/>
      <c r="Q21" s="119"/>
      <c r="R21" s="234"/>
      <c r="S21" s="114"/>
      <c r="T21" s="235"/>
      <c r="U21" s="115"/>
      <c r="V21" s="821"/>
      <c r="W21" s="811"/>
      <c r="X21" s="821"/>
      <c r="Y21" s="811"/>
      <c r="Z21" s="236"/>
      <c r="AA21" s="116"/>
      <c r="AB21" s="234"/>
      <c r="AC21" s="116"/>
      <c r="AD21" s="237"/>
      <c r="AE21" s="117"/>
      <c r="AF21" s="1092"/>
      <c r="AG21" s="1092"/>
      <c r="AH21" s="1093"/>
      <c r="AI21" s="80"/>
    </row>
    <row r="22" spans="1:35" x14ac:dyDescent="0.2">
      <c r="A22" s="616"/>
      <c r="B22" s="369"/>
      <c r="C22" s="484"/>
      <c r="D22" s="781"/>
      <c r="E22" s="491"/>
      <c r="F22" s="607"/>
      <c r="G22" s="1020"/>
      <c r="H22" s="608"/>
      <c r="I22" s="609"/>
      <c r="J22" s="608"/>
      <c r="K22" s="608"/>
      <c r="L22" s="609"/>
      <c r="M22" s="560"/>
      <c r="N22" s="617"/>
      <c r="O22" s="80"/>
      <c r="P22" s="234"/>
      <c r="Q22" s="119"/>
      <c r="R22" s="234"/>
      <c r="S22" s="114"/>
      <c r="T22" s="235"/>
      <c r="U22" s="115"/>
      <c r="V22" s="821"/>
      <c r="W22" s="811"/>
      <c r="X22" s="821"/>
      <c r="Y22" s="811"/>
      <c r="Z22" s="236"/>
      <c r="AA22" s="116"/>
      <c r="AB22" s="234"/>
      <c r="AC22" s="116"/>
      <c r="AD22" s="237"/>
      <c r="AE22" s="117"/>
      <c r="AF22" s="1092"/>
      <c r="AG22" s="1092"/>
      <c r="AH22" s="1093"/>
      <c r="AI22" s="80"/>
    </row>
    <row r="23" spans="1:35" x14ac:dyDescent="0.2">
      <c r="A23" s="616"/>
      <c r="B23" s="685"/>
      <c r="C23" s="650"/>
      <c r="D23" s="781"/>
      <c r="E23" s="491"/>
      <c r="F23" s="607"/>
      <c r="G23" s="1020"/>
      <c r="H23" s="608"/>
      <c r="I23" s="609"/>
      <c r="J23" s="608"/>
      <c r="K23" s="608"/>
      <c r="L23" s="610"/>
      <c r="M23" s="560"/>
      <c r="N23" s="1136"/>
      <c r="O23" s="80"/>
      <c r="P23" s="234"/>
      <c r="Q23" s="119"/>
      <c r="R23" s="234"/>
      <c r="S23" s="114"/>
      <c r="T23" s="235"/>
      <c r="U23" s="115"/>
      <c r="V23" s="821"/>
      <c r="W23" s="811"/>
      <c r="X23" s="821"/>
      <c r="Y23" s="811"/>
      <c r="Z23" s="236"/>
      <c r="AA23" s="116"/>
      <c r="AB23" s="234"/>
      <c r="AC23" s="116"/>
      <c r="AD23" s="237"/>
      <c r="AE23" s="117"/>
      <c r="AF23" s="1092"/>
      <c r="AG23" s="1092"/>
      <c r="AH23" s="1093"/>
      <c r="AI23" s="80"/>
    </row>
    <row r="24" spans="1:35" x14ac:dyDescent="0.2">
      <c r="A24" s="616"/>
      <c r="B24" s="684"/>
      <c r="C24" s="484"/>
      <c r="D24" s="781"/>
      <c r="E24" s="491"/>
      <c r="F24" s="607"/>
      <c r="G24" s="1020"/>
      <c r="H24" s="608"/>
      <c r="I24" s="609"/>
      <c r="J24" s="608"/>
      <c r="K24" s="608"/>
      <c r="L24" s="610"/>
      <c r="M24" s="560"/>
      <c r="N24" s="617"/>
      <c r="O24" s="80"/>
      <c r="P24" s="234"/>
      <c r="Q24" s="119"/>
      <c r="R24" s="234"/>
      <c r="S24" s="114"/>
      <c r="T24" s="235"/>
      <c r="U24" s="115"/>
      <c r="V24" s="821"/>
      <c r="W24" s="811"/>
      <c r="X24" s="821"/>
      <c r="Y24" s="811"/>
      <c r="Z24" s="236"/>
      <c r="AA24" s="116"/>
      <c r="AB24" s="234"/>
      <c r="AC24" s="116"/>
      <c r="AD24" s="237"/>
      <c r="AE24" s="117"/>
      <c r="AF24" s="1092"/>
      <c r="AG24" s="1092"/>
      <c r="AH24" s="1093"/>
      <c r="AI24" s="80"/>
    </row>
    <row r="25" spans="1:35" x14ac:dyDescent="0.2">
      <c r="A25" s="616"/>
      <c r="B25" s="684"/>
      <c r="C25" s="484"/>
      <c r="D25" s="781"/>
      <c r="E25" s="491"/>
      <c r="F25" s="607"/>
      <c r="G25" s="1020"/>
      <c r="H25" s="608"/>
      <c r="I25" s="609"/>
      <c r="J25" s="608"/>
      <c r="K25" s="608"/>
      <c r="L25" s="609"/>
      <c r="M25" s="560"/>
      <c r="N25" s="617"/>
      <c r="O25" s="80"/>
      <c r="P25" s="234"/>
      <c r="Q25" s="119"/>
      <c r="R25" s="234"/>
      <c r="S25" s="114"/>
      <c r="T25" s="235"/>
      <c r="U25" s="115"/>
      <c r="V25" s="821"/>
      <c r="W25" s="811"/>
      <c r="X25" s="821"/>
      <c r="Y25" s="811"/>
      <c r="Z25" s="236"/>
      <c r="AA25" s="116"/>
      <c r="AB25" s="234"/>
      <c r="AC25" s="116"/>
      <c r="AD25" s="237"/>
      <c r="AE25" s="117"/>
      <c r="AF25" s="1092"/>
      <c r="AG25" s="1092"/>
      <c r="AH25" s="1093"/>
      <c r="AI25" s="80"/>
    </row>
    <row r="26" spans="1:35" x14ac:dyDescent="0.2">
      <c r="A26" s="616"/>
      <c r="B26" s="684"/>
      <c r="C26" s="484"/>
      <c r="D26" s="781"/>
      <c r="E26" s="491"/>
      <c r="F26" s="607"/>
      <c r="G26" s="1020"/>
      <c r="H26" s="608"/>
      <c r="I26" s="609"/>
      <c r="J26" s="608"/>
      <c r="K26" s="608"/>
      <c r="L26" s="609"/>
      <c r="M26" s="560"/>
      <c r="N26" s="617"/>
      <c r="O26" s="80"/>
      <c r="P26" s="234"/>
      <c r="Q26" s="119"/>
      <c r="R26" s="234"/>
      <c r="S26" s="114"/>
      <c r="T26" s="235"/>
      <c r="U26" s="115"/>
      <c r="V26" s="821"/>
      <c r="W26" s="811"/>
      <c r="X26" s="821"/>
      <c r="Y26" s="811"/>
      <c r="Z26" s="236"/>
      <c r="AA26" s="116"/>
      <c r="AB26" s="234"/>
      <c r="AC26" s="116"/>
      <c r="AD26" s="237"/>
      <c r="AE26" s="117"/>
      <c r="AF26" s="1092"/>
      <c r="AG26" s="1092"/>
      <c r="AH26" s="1093"/>
      <c r="AI26" s="80"/>
    </row>
    <row r="27" spans="1:35" x14ac:dyDescent="0.2">
      <c r="A27" s="616"/>
      <c r="B27" s="1025"/>
      <c r="C27" s="484"/>
      <c r="D27" s="781"/>
      <c r="E27" s="491"/>
      <c r="F27" s="607"/>
      <c r="G27" s="1020"/>
      <c r="H27" s="608"/>
      <c r="I27" s="609"/>
      <c r="J27" s="608"/>
      <c r="K27" s="608"/>
      <c r="L27" s="609"/>
      <c r="M27" s="560"/>
      <c r="N27" s="617"/>
      <c r="O27" s="80"/>
      <c r="P27" s="234"/>
      <c r="Q27" s="119"/>
      <c r="R27" s="234"/>
      <c r="S27" s="114"/>
      <c r="T27" s="235"/>
      <c r="U27" s="115"/>
      <c r="V27" s="821"/>
      <c r="W27" s="811"/>
      <c r="X27" s="821"/>
      <c r="Y27" s="811"/>
      <c r="Z27" s="236"/>
      <c r="AA27" s="116"/>
      <c r="AB27" s="234"/>
      <c r="AC27" s="116"/>
      <c r="AD27" s="237"/>
      <c r="AE27" s="117"/>
      <c r="AF27" s="1092"/>
      <c r="AG27" s="1092"/>
      <c r="AH27" s="1093"/>
      <c r="AI27" s="80"/>
    </row>
    <row r="28" spans="1:35" x14ac:dyDescent="0.2">
      <c r="A28" s="616"/>
      <c r="B28" s="684"/>
      <c r="C28" s="484"/>
      <c r="D28" s="781"/>
      <c r="E28" s="491"/>
      <c r="F28" s="607"/>
      <c r="G28" s="1020"/>
      <c r="H28" s="608"/>
      <c r="I28" s="609"/>
      <c r="J28" s="608"/>
      <c r="K28" s="608"/>
      <c r="L28" s="610"/>
      <c r="M28" s="1127"/>
      <c r="N28" s="1018"/>
      <c r="O28" s="80"/>
      <c r="P28" s="234"/>
      <c r="Q28" s="119"/>
      <c r="R28" s="234"/>
      <c r="S28" s="114"/>
      <c r="T28" s="235"/>
      <c r="U28" s="115"/>
      <c r="V28" s="821"/>
      <c r="W28" s="811"/>
      <c r="X28" s="821"/>
      <c r="Y28" s="811"/>
      <c r="Z28" s="236"/>
      <c r="AA28" s="116"/>
      <c r="AB28" s="234"/>
      <c r="AC28" s="116"/>
      <c r="AD28" s="237"/>
      <c r="AE28" s="117"/>
      <c r="AF28" s="1092"/>
      <c r="AG28" s="1092"/>
      <c r="AH28" s="1093"/>
      <c r="AI28" s="80"/>
    </row>
    <row r="29" spans="1:35" x14ac:dyDescent="0.2">
      <c r="A29" s="616"/>
      <c r="B29" s="684"/>
      <c r="C29" s="484"/>
      <c r="D29" s="781"/>
      <c r="E29" s="491"/>
      <c r="F29" s="607"/>
      <c r="G29" s="1020"/>
      <c r="H29" s="608"/>
      <c r="I29" s="609"/>
      <c r="J29" s="608"/>
      <c r="K29" s="608"/>
      <c r="L29" s="610"/>
      <c r="M29" s="560"/>
      <c r="N29" s="617"/>
      <c r="O29" s="80"/>
      <c r="P29" s="234"/>
      <c r="Q29" s="119"/>
      <c r="R29" s="234"/>
      <c r="S29" s="114"/>
      <c r="T29" s="235"/>
      <c r="U29" s="115"/>
      <c r="V29" s="821"/>
      <c r="W29" s="811"/>
      <c r="X29" s="821"/>
      <c r="Y29" s="811"/>
      <c r="Z29" s="236"/>
      <c r="AA29" s="116"/>
      <c r="AB29" s="234"/>
      <c r="AC29" s="116"/>
      <c r="AD29" s="237"/>
      <c r="AE29" s="117"/>
      <c r="AF29" s="1092"/>
      <c r="AG29" s="1092"/>
      <c r="AH29" s="1093"/>
      <c r="AI29" s="80"/>
    </row>
    <row r="30" spans="1:35" x14ac:dyDescent="0.2">
      <c r="A30" s="616"/>
      <c r="B30" s="684"/>
      <c r="C30" s="484"/>
      <c r="D30" s="781"/>
      <c r="E30" s="491"/>
      <c r="F30" s="607"/>
      <c r="G30" s="1020"/>
      <c r="H30" s="608"/>
      <c r="I30" s="609"/>
      <c r="J30" s="608"/>
      <c r="K30" s="608"/>
      <c r="L30" s="610"/>
      <c r="M30" s="560"/>
      <c r="N30" s="617"/>
      <c r="O30" s="80"/>
      <c r="P30" s="234"/>
      <c r="Q30" s="119"/>
      <c r="R30" s="234"/>
      <c r="S30" s="114"/>
      <c r="T30" s="235"/>
      <c r="U30" s="115"/>
      <c r="V30" s="821"/>
      <c r="W30" s="811"/>
      <c r="X30" s="821"/>
      <c r="Y30" s="811"/>
      <c r="Z30" s="236"/>
      <c r="AA30" s="116"/>
      <c r="AB30" s="234"/>
      <c r="AC30" s="116"/>
      <c r="AD30" s="237"/>
      <c r="AE30" s="117"/>
      <c r="AF30" s="1092"/>
      <c r="AG30" s="1092"/>
      <c r="AH30" s="1093"/>
      <c r="AI30" s="80"/>
    </row>
    <row r="31" spans="1:35" x14ac:dyDescent="0.2">
      <c r="A31" s="616"/>
      <c r="B31" s="684"/>
      <c r="C31" s="484"/>
      <c r="D31" s="781"/>
      <c r="E31" s="491"/>
      <c r="F31" s="607"/>
      <c r="G31" s="1020"/>
      <c r="H31" s="608"/>
      <c r="I31" s="609"/>
      <c r="J31" s="608"/>
      <c r="K31" s="608"/>
      <c r="L31" s="610"/>
      <c r="M31" s="560"/>
      <c r="N31" s="617"/>
      <c r="O31" s="80"/>
      <c r="P31" s="234"/>
      <c r="Q31" s="119"/>
      <c r="R31" s="234"/>
      <c r="S31" s="114"/>
      <c r="T31" s="235"/>
      <c r="U31" s="115"/>
      <c r="V31" s="821"/>
      <c r="W31" s="811"/>
      <c r="X31" s="821"/>
      <c r="Y31" s="811"/>
      <c r="Z31" s="236"/>
      <c r="AA31" s="116"/>
      <c r="AB31" s="234"/>
      <c r="AC31" s="116"/>
      <c r="AD31" s="237"/>
      <c r="AE31" s="117"/>
      <c r="AF31" s="1092"/>
      <c r="AG31" s="1092"/>
      <c r="AH31" s="1093"/>
      <c r="AI31" s="80"/>
    </row>
    <row r="32" spans="1:35" x14ac:dyDescent="0.2">
      <c r="A32" s="616"/>
      <c r="B32" s="684"/>
      <c r="C32" s="484"/>
      <c r="D32" s="781"/>
      <c r="E32" s="491"/>
      <c r="F32" s="607"/>
      <c r="G32" s="1020"/>
      <c r="H32" s="608"/>
      <c r="I32" s="609"/>
      <c r="J32" s="608"/>
      <c r="K32" s="608"/>
      <c r="L32" s="609"/>
      <c r="M32" s="560"/>
      <c r="N32" s="617"/>
      <c r="O32" s="80"/>
      <c r="P32" s="234"/>
      <c r="Q32" s="119"/>
      <c r="R32" s="234"/>
      <c r="S32" s="114"/>
      <c r="T32" s="235"/>
      <c r="U32" s="115"/>
      <c r="V32" s="821"/>
      <c r="W32" s="811"/>
      <c r="X32" s="821"/>
      <c r="Y32" s="811"/>
      <c r="Z32" s="236"/>
      <c r="AA32" s="116"/>
      <c r="AB32" s="234"/>
      <c r="AC32" s="116"/>
      <c r="AD32" s="237"/>
      <c r="AE32" s="117"/>
      <c r="AF32" s="1092"/>
      <c r="AG32" s="1092"/>
      <c r="AH32" s="1093"/>
      <c r="AI32" s="80"/>
    </row>
    <row r="33" spans="1:35" x14ac:dyDescent="0.2">
      <c r="A33" s="616"/>
      <c r="B33" s="684"/>
      <c r="C33" s="484"/>
      <c r="D33" s="781"/>
      <c r="E33" s="491"/>
      <c r="F33" s="607"/>
      <c r="G33" s="1020"/>
      <c r="H33" s="608"/>
      <c r="I33" s="609"/>
      <c r="J33" s="608"/>
      <c r="K33" s="608"/>
      <c r="L33" s="609"/>
      <c r="M33" s="560"/>
      <c r="N33" s="617"/>
      <c r="O33" s="80"/>
      <c r="P33" s="234"/>
      <c r="Q33" s="119"/>
      <c r="R33" s="234"/>
      <c r="S33" s="114"/>
      <c r="T33" s="235"/>
      <c r="U33" s="115"/>
      <c r="V33" s="821"/>
      <c r="W33" s="811"/>
      <c r="X33" s="821"/>
      <c r="Y33" s="811"/>
      <c r="Z33" s="236"/>
      <c r="AA33" s="116"/>
      <c r="AB33" s="234"/>
      <c r="AC33" s="116"/>
      <c r="AD33" s="237"/>
      <c r="AE33" s="117"/>
      <c r="AF33" s="1092"/>
      <c r="AG33" s="1092"/>
      <c r="AH33" s="1093"/>
      <c r="AI33" s="80"/>
    </row>
    <row r="34" spans="1:35" x14ac:dyDescent="0.2">
      <c r="A34" s="616"/>
      <c r="B34" s="684"/>
      <c r="C34" s="484"/>
      <c r="D34" s="781"/>
      <c r="E34" s="491"/>
      <c r="F34" s="607"/>
      <c r="G34" s="1020"/>
      <c r="H34" s="608"/>
      <c r="I34" s="609"/>
      <c r="J34" s="608"/>
      <c r="K34" s="608"/>
      <c r="L34" s="609"/>
      <c r="M34" s="560"/>
      <c r="N34" s="617"/>
      <c r="O34" s="80"/>
      <c r="P34" s="234"/>
      <c r="Q34" s="119"/>
      <c r="R34" s="234"/>
      <c r="S34" s="114"/>
      <c r="T34" s="235"/>
      <c r="U34" s="115"/>
      <c r="V34" s="821"/>
      <c r="W34" s="811"/>
      <c r="X34" s="821"/>
      <c r="Y34" s="811"/>
      <c r="Z34" s="236"/>
      <c r="AA34" s="116"/>
      <c r="AB34" s="234"/>
      <c r="AC34" s="116"/>
      <c r="AD34" s="237"/>
      <c r="AE34" s="117"/>
      <c r="AF34" s="1092"/>
      <c r="AG34" s="1092"/>
      <c r="AH34" s="1093"/>
      <c r="AI34" s="80"/>
    </row>
    <row r="35" spans="1:35" x14ac:dyDescent="0.2">
      <c r="A35" s="616"/>
      <c r="B35" s="684"/>
      <c r="C35" s="484"/>
      <c r="D35" s="781"/>
      <c r="E35" s="491"/>
      <c r="F35" s="607"/>
      <c r="G35" s="1020"/>
      <c r="H35" s="608"/>
      <c r="I35" s="609"/>
      <c r="J35" s="608"/>
      <c r="K35" s="608"/>
      <c r="L35" s="609"/>
      <c r="M35" s="1137"/>
      <c r="N35" s="617"/>
      <c r="O35" s="80"/>
      <c r="P35" s="234"/>
      <c r="Q35" s="119"/>
      <c r="R35" s="234"/>
      <c r="S35" s="114"/>
      <c r="T35" s="235"/>
      <c r="U35" s="115"/>
      <c r="V35" s="821"/>
      <c r="W35" s="811"/>
      <c r="X35" s="821"/>
      <c r="Y35" s="811"/>
      <c r="Z35" s="236"/>
      <c r="AA35" s="116"/>
      <c r="AB35" s="234"/>
      <c r="AC35" s="116"/>
      <c r="AD35" s="237"/>
      <c r="AE35" s="117"/>
      <c r="AF35" s="1092"/>
      <c r="AG35" s="1092"/>
      <c r="AH35" s="1093"/>
      <c r="AI35" s="80"/>
    </row>
    <row r="36" spans="1:35" x14ac:dyDescent="0.2">
      <c r="A36" s="616"/>
      <c r="B36" s="684"/>
      <c r="C36" s="484"/>
      <c r="D36" s="781"/>
      <c r="E36" s="491"/>
      <c r="F36" s="607"/>
      <c r="G36" s="1020"/>
      <c r="H36" s="608"/>
      <c r="I36" s="609"/>
      <c r="J36" s="608"/>
      <c r="K36" s="608"/>
      <c r="L36" s="609"/>
      <c r="M36" s="560"/>
      <c r="N36" s="617"/>
      <c r="O36" s="80"/>
      <c r="P36" s="234"/>
      <c r="Q36" s="119"/>
      <c r="R36" s="234"/>
      <c r="S36" s="114"/>
      <c r="T36" s="235"/>
      <c r="U36" s="115"/>
      <c r="V36" s="821"/>
      <c r="W36" s="811"/>
      <c r="X36" s="821"/>
      <c r="Y36" s="811"/>
      <c r="Z36" s="236"/>
      <c r="AA36" s="116"/>
      <c r="AB36" s="234"/>
      <c r="AC36" s="116"/>
      <c r="AD36" s="237"/>
      <c r="AE36" s="117"/>
      <c r="AF36" s="1092"/>
      <c r="AG36" s="1092"/>
      <c r="AH36" s="1093"/>
      <c r="AI36" s="80"/>
    </row>
    <row r="37" spans="1:35" x14ac:dyDescent="0.2">
      <c r="A37" s="616"/>
      <c r="B37" s="684"/>
      <c r="C37" s="484"/>
      <c r="D37" s="781"/>
      <c r="E37" s="491"/>
      <c r="F37" s="607"/>
      <c r="G37" s="1020"/>
      <c r="H37" s="608"/>
      <c r="I37" s="609"/>
      <c r="J37" s="608"/>
      <c r="K37" s="608"/>
      <c r="L37" s="609"/>
      <c r="M37" s="560"/>
      <c r="N37" s="617"/>
      <c r="O37" s="80"/>
      <c r="P37" s="234"/>
      <c r="Q37" s="119"/>
      <c r="R37" s="234"/>
      <c r="S37" s="114"/>
      <c r="T37" s="235"/>
      <c r="U37" s="115"/>
      <c r="V37" s="821"/>
      <c r="W37" s="811"/>
      <c r="X37" s="821"/>
      <c r="Y37" s="811"/>
      <c r="Z37" s="236"/>
      <c r="AA37" s="116"/>
      <c r="AB37" s="234"/>
      <c r="AC37" s="116"/>
      <c r="AD37" s="237"/>
      <c r="AE37" s="117"/>
      <c r="AF37" s="1092"/>
      <c r="AG37" s="1092"/>
      <c r="AH37" s="1093"/>
      <c r="AI37" s="80"/>
    </row>
    <row r="38" spans="1:35" x14ac:dyDescent="0.2">
      <c r="A38" s="616"/>
      <c r="B38" s="684"/>
      <c r="C38" s="484"/>
      <c r="D38" s="781"/>
      <c r="E38" s="491"/>
      <c r="F38" s="607"/>
      <c r="G38" s="1020"/>
      <c r="H38" s="608"/>
      <c r="I38" s="609"/>
      <c r="J38" s="608"/>
      <c r="K38" s="608"/>
      <c r="L38" s="609"/>
      <c r="M38" s="560"/>
      <c r="N38" s="617"/>
      <c r="O38" s="80"/>
      <c r="P38" s="234"/>
      <c r="Q38" s="119"/>
      <c r="R38" s="234"/>
      <c r="S38" s="114"/>
      <c r="T38" s="235"/>
      <c r="U38" s="115"/>
      <c r="V38" s="821"/>
      <c r="W38" s="811"/>
      <c r="X38" s="821"/>
      <c r="Y38" s="811"/>
      <c r="Z38" s="236"/>
      <c r="AA38" s="116"/>
      <c r="AB38" s="234"/>
      <c r="AC38" s="116"/>
      <c r="AD38" s="237"/>
      <c r="AE38" s="117"/>
      <c r="AF38" s="1092"/>
      <c r="AG38" s="1092"/>
      <c r="AH38" s="1093"/>
      <c r="AI38" s="80"/>
    </row>
    <row r="39" spans="1:35" x14ac:dyDescent="0.2">
      <c r="A39" s="616"/>
      <c r="B39" s="684"/>
      <c r="C39" s="484"/>
      <c r="D39" s="781"/>
      <c r="E39" s="491"/>
      <c r="F39" s="607"/>
      <c r="G39" s="1020"/>
      <c r="H39" s="608"/>
      <c r="I39" s="609"/>
      <c r="J39" s="608"/>
      <c r="K39" s="608"/>
      <c r="L39" s="609"/>
      <c r="M39" s="560"/>
      <c r="N39" s="617"/>
      <c r="O39" s="80"/>
      <c r="P39" s="234"/>
      <c r="Q39" s="119"/>
      <c r="R39" s="234"/>
      <c r="S39" s="114"/>
      <c r="T39" s="235"/>
      <c r="U39" s="115"/>
      <c r="V39" s="821"/>
      <c r="W39" s="811"/>
      <c r="X39" s="821"/>
      <c r="Y39" s="811"/>
      <c r="Z39" s="236"/>
      <c r="AA39" s="116"/>
      <c r="AB39" s="234"/>
      <c r="AC39" s="116"/>
      <c r="AD39" s="237"/>
      <c r="AE39" s="117"/>
      <c r="AF39" s="1092"/>
      <c r="AG39" s="1092"/>
      <c r="AH39" s="1093"/>
      <c r="AI39" s="80"/>
    </row>
    <row r="40" spans="1:35" x14ac:dyDescent="0.2">
      <c r="A40" s="616"/>
      <c r="B40" s="684"/>
      <c r="C40" s="484"/>
      <c r="D40" s="781"/>
      <c r="E40" s="491"/>
      <c r="F40" s="607"/>
      <c r="G40" s="1020"/>
      <c r="H40" s="608"/>
      <c r="I40" s="609"/>
      <c r="J40" s="608"/>
      <c r="K40" s="608"/>
      <c r="L40" s="609"/>
      <c r="M40" s="560"/>
      <c r="N40" s="617"/>
      <c r="O40" s="80"/>
      <c r="P40" s="234"/>
      <c r="Q40" s="119"/>
      <c r="R40" s="234"/>
      <c r="S40" s="114"/>
      <c r="T40" s="235"/>
      <c r="U40" s="115"/>
      <c r="V40" s="821"/>
      <c r="W40" s="811"/>
      <c r="X40" s="821"/>
      <c r="Y40" s="811"/>
      <c r="Z40" s="236"/>
      <c r="AA40" s="116"/>
      <c r="AB40" s="234"/>
      <c r="AC40" s="116"/>
      <c r="AD40" s="237"/>
      <c r="AE40" s="117"/>
      <c r="AF40" s="1092"/>
      <c r="AG40" s="1092"/>
      <c r="AH40" s="1093"/>
      <c r="AI40" s="80"/>
    </row>
    <row r="41" spans="1:35" x14ac:dyDescent="0.2">
      <c r="A41" s="616"/>
      <c r="B41" s="684"/>
      <c r="C41" s="484"/>
      <c r="D41" s="781"/>
      <c r="E41" s="491"/>
      <c r="F41" s="607"/>
      <c r="G41" s="1020"/>
      <c r="H41" s="608"/>
      <c r="I41" s="609"/>
      <c r="J41" s="608"/>
      <c r="K41" s="608"/>
      <c r="L41" s="609"/>
      <c r="M41" s="560"/>
      <c r="N41" s="617"/>
      <c r="O41" s="80"/>
      <c r="P41" s="234"/>
      <c r="Q41" s="341"/>
      <c r="R41" s="234"/>
      <c r="S41" s="114"/>
      <c r="T41" s="235"/>
      <c r="U41" s="115"/>
      <c r="V41" s="821"/>
      <c r="W41" s="811"/>
      <c r="X41" s="821"/>
      <c r="Y41" s="811"/>
      <c r="Z41" s="236"/>
      <c r="AA41" s="116"/>
      <c r="AB41" s="234"/>
      <c r="AC41" s="116"/>
      <c r="AD41" s="237"/>
      <c r="AE41" s="117"/>
      <c r="AF41" s="1092"/>
      <c r="AG41" s="1092"/>
      <c r="AH41" s="1093"/>
      <c r="AI41" s="80"/>
    </row>
    <row r="42" spans="1:35" x14ac:dyDescent="0.2">
      <c r="A42" s="616"/>
      <c r="B42" s="684"/>
      <c r="C42" s="484"/>
      <c r="D42" s="781"/>
      <c r="E42" s="491"/>
      <c r="F42" s="1144"/>
      <c r="G42" s="1020"/>
      <c r="H42" s="608"/>
      <c r="I42" s="609"/>
      <c r="J42" s="608"/>
      <c r="K42" s="608"/>
      <c r="L42" s="609"/>
      <c r="M42" s="560"/>
      <c r="N42" s="617"/>
      <c r="O42" s="80"/>
      <c r="P42" s="234"/>
      <c r="Q42" s="119"/>
      <c r="R42" s="234"/>
      <c r="S42" s="114"/>
      <c r="T42" s="235"/>
      <c r="U42" s="115"/>
      <c r="V42" s="821"/>
      <c r="W42" s="811"/>
      <c r="X42" s="821"/>
      <c r="Y42" s="811"/>
      <c r="Z42" s="236"/>
      <c r="AA42" s="116"/>
      <c r="AB42" s="234"/>
      <c r="AC42" s="116"/>
      <c r="AD42" s="237"/>
      <c r="AE42" s="117"/>
      <c r="AF42" s="1092"/>
      <c r="AG42" s="1092"/>
      <c r="AH42" s="1093"/>
      <c r="AI42" s="80"/>
    </row>
    <row r="43" spans="1:35" x14ac:dyDescent="0.2">
      <c r="A43" s="616"/>
      <c r="B43" s="684"/>
      <c r="C43" s="484"/>
      <c r="D43" s="781"/>
      <c r="E43" s="491"/>
      <c r="F43" s="607"/>
      <c r="G43" s="1020"/>
      <c r="H43" s="608"/>
      <c r="I43" s="609"/>
      <c r="J43" s="608"/>
      <c r="K43" s="608"/>
      <c r="L43" s="609"/>
      <c r="M43" s="1127"/>
      <c r="N43" s="617"/>
      <c r="O43" s="80"/>
      <c r="P43" s="234"/>
      <c r="Q43" s="119"/>
      <c r="R43" s="234"/>
      <c r="S43" s="114"/>
      <c r="T43" s="235"/>
      <c r="U43" s="115"/>
      <c r="V43" s="821"/>
      <c r="W43" s="811"/>
      <c r="X43" s="821"/>
      <c r="Y43" s="811"/>
      <c r="Z43" s="236"/>
      <c r="AA43" s="116"/>
      <c r="AB43" s="234"/>
      <c r="AC43" s="116"/>
      <c r="AD43" s="237"/>
      <c r="AE43" s="117"/>
      <c r="AF43" s="1092"/>
      <c r="AG43" s="1092"/>
      <c r="AH43" s="1093"/>
      <c r="AI43" s="80"/>
    </row>
    <row r="44" spans="1:35" x14ac:dyDescent="0.2">
      <c r="A44" s="616"/>
      <c r="B44" s="684"/>
      <c r="C44" s="484"/>
      <c r="D44" s="781"/>
      <c r="E44" s="491"/>
      <c r="F44" s="607"/>
      <c r="G44" s="1020"/>
      <c r="H44" s="608"/>
      <c r="I44" s="609"/>
      <c r="J44" s="608"/>
      <c r="K44" s="608"/>
      <c r="L44" s="609"/>
      <c r="M44" s="560"/>
      <c r="N44" s="617"/>
      <c r="O44" s="80"/>
      <c r="P44" s="234"/>
      <c r="Q44" s="119"/>
      <c r="R44" s="234"/>
      <c r="S44" s="114"/>
      <c r="T44" s="235"/>
      <c r="U44" s="115"/>
      <c r="V44" s="821"/>
      <c r="W44" s="811"/>
      <c r="X44" s="821"/>
      <c r="Y44" s="811"/>
      <c r="Z44" s="236"/>
      <c r="AA44" s="116"/>
      <c r="AB44" s="234"/>
      <c r="AC44" s="116"/>
      <c r="AD44" s="237"/>
      <c r="AE44" s="117"/>
      <c r="AF44" s="1092"/>
      <c r="AG44" s="1092"/>
      <c r="AH44" s="1093"/>
      <c r="AI44" s="80"/>
    </row>
    <row r="45" spans="1:35" x14ac:dyDescent="0.2">
      <c r="A45" s="616"/>
      <c r="B45" s="684"/>
      <c r="C45" s="484"/>
      <c r="D45" s="781"/>
      <c r="E45" s="491"/>
      <c r="F45" s="607"/>
      <c r="G45" s="1020"/>
      <c r="H45" s="608"/>
      <c r="I45" s="609"/>
      <c r="J45" s="608"/>
      <c r="K45" s="608"/>
      <c r="L45" s="609"/>
      <c r="M45" s="560"/>
      <c r="N45" s="617"/>
      <c r="O45" s="80"/>
      <c r="P45" s="234"/>
      <c r="Q45" s="119"/>
      <c r="R45" s="234"/>
      <c r="S45" s="114"/>
      <c r="T45" s="235"/>
      <c r="U45" s="115"/>
      <c r="V45" s="821"/>
      <c r="W45" s="811"/>
      <c r="X45" s="821"/>
      <c r="Y45" s="811"/>
      <c r="Z45" s="236"/>
      <c r="AA45" s="116"/>
      <c r="AB45" s="234"/>
      <c r="AC45" s="116"/>
      <c r="AD45" s="237"/>
      <c r="AE45" s="117"/>
      <c r="AF45" s="1092"/>
      <c r="AG45" s="1092"/>
      <c r="AH45" s="1093"/>
      <c r="AI45" s="80"/>
    </row>
    <row r="46" spans="1:35" x14ac:dyDescent="0.2">
      <c r="A46" s="616"/>
      <c r="B46" s="684"/>
      <c r="C46" s="484"/>
      <c r="D46" s="781"/>
      <c r="E46" s="491"/>
      <c r="F46" s="607"/>
      <c r="G46" s="1020"/>
      <c r="H46" s="608"/>
      <c r="I46" s="609"/>
      <c r="J46" s="608"/>
      <c r="K46" s="608"/>
      <c r="L46" s="610"/>
      <c r="M46" s="560"/>
      <c r="N46" s="617"/>
      <c r="O46" s="80"/>
      <c r="P46" s="234"/>
      <c r="Q46" s="119"/>
      <c r="R46" s="234"/>
      <c r="S46" s="114"/>
      <c r="T46" s="235"/>
      <c r="U46" s="115"/>
      <c r="V46" s="821"/>
      <c r="W46" s="811"/>
      <c r="X46" s="821"/>
      <c r="Y46" s="811"/>
      <c r="Z46" s="236"/>
      <c r="AA46" s="116"/>
      <c r="AB46" s="234"/>
      <c r="AC46" s="116"/>
      <c r="AD46" s="237"/>
      <c r="AE46" s="117"/>
      <c r="AF46" s="1092"/>
      <c r="AG46" s="1092"/>
      <c r="AH46" s="1093"/>
      <c r="AI46" s="80"/>
    </row>
    <row r="47" spans="1:35" x14ac:dyDescent="0.2">
      <c r="A47" s="616"/>
      <c r="B47" s="684"/>
      <c r="C47" s="484"/>
      <c r="D47" s="781"/>
      <c r="E47" s="491"/>
      <c r="F47" s="607"/>
      <c r="G47" s="1020"/>
      <c r="H47" s="608"/>
      <c r="I47" s="609"/>
      <c r="J47" s="608"/>
      <c r="K47" s="608"/>
      <c r="L47" s="609"/>
      <c r="M47" s="560"/>
      <c r="N47" s="617"/>
      <c r="O47" s="80"/>
      <c r="P47" s="234"/>
      <c r="Q47" s="119"/>
      <c r="R47" s="234"/>
      <c r="S47" s="114"/>
      <c r="T47" s="235"/>
      <c r="U47" s="115"/>
      <c r="V47" s="821"/>
      <c r="W47" s="811"/>
      <c r="X47" s="821"/>
      <c r="Y47" s="811"/>
      <c r="Z47" s="236"/>
      <c r="AA47" s="116"/>
      <c r="AB47" s="234"/>
      <c r="AC47" s="116"/>
      <c r="AD47" s="237"/>
      <c r="AE47" s="117"/>
      <c r="AF47" s="1092"/>
      <c r="AG47" s="1092"/>
      <c r="AH47" s="1093"/>
      <c r="AI47" s="80"/>
    </row>
    <row r="48" spans="1:35" x14ac:dyDescent="0.2">
      <c r="A48" s="616"/>
      <c r="B48" s="684"/>
      <c r="C48" s="484"/>
      <c r="D48" s="781"/>
      <c r="E48" s="491"/>
      <c r="F48" s="607"/>
      <c r="G48" s="1020"/>
      <c r="H48" s="608"/>
      <c r="I48" s="609"/>
      <c r="J48" s="608"/>
      <c r="K48" s="608"/>
      <c r="L48" s="609"/>
      <c r="M48" s="560"/>
      <c r="N48" s="617"/>
      <c r="O48" s="80"/>
      <c r="P48" s="234"/>
      <c r="Q48" s="119"/>
      <c r="R48" s="234"/>
      <c r="S48" s="114"/>
      <c r="T48" s="235"/>
      <c r="U48" s="115"/>
      <c r="V48" s="821"/>
      <c r="W48" s="811"/>
      <c r="X48" s="821"/>
      <c r="Y48" s="811"/>
      <c r="Z48" s="236"/>
      <c r="AA48" s="116"/>
      <c r="AB48" s="234"/>
      <c r="AC48" s="116"/>
      <c r="AD48" s="237"/>
      <c r="AE48" s="117"/>
      <c r="AF48" s="1092"/>
      <c r="AG48" s="1092"/>
      <c r="AH48" s="1093"/>
      <c r="AI48" s="80"/>
    </row>
    <row r="49" spans="1:36" x14ac:dyDescent="0.2">
      <c r="A49" s="616"/>
      <c r="B49" s="684"/>
      <c r="C49" s="484"/>
      <c r="D49" s="781"/>
      <c r="E49" s="491"/>
      <c r="F49" s="607"/>
      <c r="G49" s="1020"/>
      <c r="H49" s="608"/>
      <c r="I49" s="609"/>
      <c r="J49" s="608"/>
      <c r="K49" s="608"/>
      <c r="L49" s="609"/>
      <c r="M49" s="560"/>
      <c r="N49" s="617"/>
      <c r="O49" s="80"/>
      <c r="P49" s="234"/>
      <c r="Q49" s="119"/>
      <c r="R49" s="234"/>
      <c r="S49" s="114"/>
      <c r="T49" s="235"/>
      <c r="U49" s="115"/>
      <c r="V49" s="821"/>
      <c r="W49" s="811"/>
      <c r="X49" s="821"/>
      <c r="Y49" s="811"/>
      <c r="Z49" s="236"/>
      <c r="AA49" s="116"/>
      <c r="AB49" s="234"/>
      <c r="AC49" s="116"/>
      <c r="AD49" s="237"/>
      <c r="AE49" s="117"/>
      <c r="AF49" s="1092"/>
      <c r="AG49" s="1092"/>
      <c r="AH49" s="1093"/>
      <c r="AI49" s="80"/>
    </row>
    <row r="50" spans="1:36" x14ac:dyDescent="0.2">
      <c r="A50" s="616"/>
      <c r="B50" s="684"/>
      <c r="C50" s="484"/>
      <c r="D50" s="781"/>
      <c r="E50" s="491"/>
      <c r="F50" s="607"/>
      <c r="G50" s="1020"/>
      <c r="H50" s="608"/>
      <c r="I50" s="609"/>
      <c r="J50" s="608"/>
      <c r="K50" s="608"/>
      <c r="L50" s="609"/>
      <c r="M50" s="560"/>
      <c r="N50" s="617"/>
      <c r="O50" s="80"/>
      <c r="P50" s="234"/>
      <c r="Q50" s="119"/>
      <c r="R50" s="234"/>
      <c r="S50" s="114"/>
      <c r="T50" s="235"/>
      <c r="U50" s="115"/>
      <c r="V50" s="821"/>
      <c r="W50" s="811"/>
      <c r="X50" s="821"/>
      <c r="Y50" s="811"/>
      <c r="Z50" s="236"/>
      <c r="AA50" s="116"/>
      <c r="AB50" s="234"/>
      <c r="AC50" s="116"/>
      <c r="AD50" s="237"/>
      <c r="AE50" s="117"/>
      <c r="AF50" s="1092"/>
      <c r="AG50" s="1092"/>
      <c r="AH50" s="1093"/>
      <c r="AI50" s="80"/>
    </row>
    <row r="51" spans="1:36" x14ac:dyDescent="0.2">
      <c r="A51" s="616"/>
      <c r="B51" s="684"/>
      <c r="C51" s="484"/>
      <c r="D51" s="781"/>
      <c r="E51" s="491"/>
      <c r="F51" s="607"/>
      <c r="G51" s="1020"/>
      <c r="H51" s="608"/>
      <c r="I51" s="609"/>
      <c r="J51" s="608"/>
      <c r="K51" s="608"/>
      <c r="L51" s="609"/>
      <c r="M51" s="560"/>
      <c r="N51" s="617"/>
      <c r="O51" s="80"/>
      <c r="P51" s="234"/>
      <c r="Q51" s="119"/>
      <c r="R51" s="234"/>
      <c r="S51" s="114"/>
      <c r="T51" s="235"/>
      <c r="U51" s="115"/>
      <c r="V51" s="821"/>
      <c r="W51" s="811"/>
      <c r="X51" s="821"/>
      <c r="Y51" s="811"/>
      <c r="Z51" s="236"/>
      <c r="AA51" s="116"/>
      <c r="AB51" s="234"/>
      <c r="AC51" s="116"/>
      <c r="AD51" s="237"/>
      <c r="AE51" s="117"/>
      <c r="AF51" s="1092"/>
      <c r="AG51" s="1092"/>
      <c r="AH51" s="1093"/>
      <c r="AI51" s="80"/>
    </row>
    <row r="52" spans="1:36" x14ac:dyDescent="0.2">
      <c r="A52" s="616"/>
      <c r="B52" s="684"/>
      <c r="C52" s="484"/>
      <c r="D52" s="781"/>
      <c r="E52" s="491"/>
      <c r="F52" s="607"/>
      <c r="G52" s="1020"/>
      <c r="H52" s="608"/>
      <c r="I52" s="609"/>
      <c r="J52" s="608"/>
      <c r="K52" s="608"/>
      <c r="L52" s="609"/>
      <c r="M52" s="560"/>
      <c r="N52" s="617"/>
      <c r="O52" s="80"/>
      <c r="P52" s="234"/>
      <c r="Q52" s="119"/>
      <c r="R52" s="234"/>
      <c r="S52" s="114"/>
      <c r="T52" s="235"/>
      <c r="U52" s="115"/>
      <c r="V52" s="821"/>
      <c r="W52" s="811"/>
      <c r="X52" s="821"/>
      <c r="Y52" s="811"/>
      <c r="Z52" s="236"/>
      <c r="AA52" s="116"/>
      <c r="AB52" s="234"/>
      <c r="AC52" s="116"/>
      <c r="AD52" s="237"/>
      <c r="AE52" s="117"/>
      <c r="AF52" s="1092"/>
      <c r="AG52" s="1092"/>
      <c r="AH52" s="1093"/>
      <c r="AI52" s="80"/>
    </row>
    <row r="53" spans="1:36" x14ac:dyDescent="0.2">
      <c r="A53" s="616"/>
      <c r="B53" s="684"/>
      <c r="C53" s="484"/>
      <c r="D53" s="781"/>
      <c r="E53" s="491"/>
      <c r="F53" s="607"/>
      <c r="G53" s="1020"/>
      <c r="H53" s="608"/>
      <c r="I53" s="609"/>
      <c r="J53" s="608"/>
      <c r="K53" s="608"/>
      <c r="L53" s="609"/>
      <c r="M53" s="1127"/>
      <c r="N53" s="617"/>
      <c r="O53" s="80"/>
      <c r="P53" s="234"/>
      <c r="Q53" s="119"/>
      <c r="R53" s="234"/>
      <c r="S53" s="114"/>
      <c r="T53" s="235"/>
      <c r="U53" s="115"/>
      <c r="V53" s="821"/>
      <c r="W53" s="811"/>
      <c r="X53" s="821"/>
      <c r="Y53" s="811"/>
      <c r="Z53" s="236"/>
      <c r="AA53" s="116"/>
      <c r="AB53" s="234"/>
      <c r="AC53" s="116"/>
      <c r="AD53" s="237"/>
      <c r="AE53" s="117"/>
      <c r="AF53" s="1092"/>
      <c r="AG53" s="1092"/>
      <c r="AH53" s="1093"/>
      <c r="AI53" s="80"/>
    </row>
    <row r="54" spans="1:36" x14ac:dyDescent="0.2">
      <c r="A54" s="616"/>
      <c r="B54" s="1155"/>
      <c r="C54" s="484"/>
      <c r="D54" s="781"/>
      <c r="E54" s="491"/>
      <c r="F54" s="607"/>
      <c r="G54" s="1020"/>
      <c r="H54" s="1128"/>
      <c r="I54" s="609"/>
      <c r="J54" s="608"/>
      <c r="K54" s="608"/>
      <c r="L54" s="609"/>
      <c r="M54" s="560"/>
      <c r="N54" s="617"/>
      <c r="O54" s="80"/>
      <c r="P54" s="234"/>
      <c r="Q54" s="119"/>
      <c r="R54" s="234"/>
      <c r="S54" s="114"/>
      <c r="T54" s="235"/>
      <c r="U54" s="115"/>
      <c r="V54" s="821"/>
      <c r="W54" s="811"/>
      <c r="X54" s="821"/>
      <c r="Y54" s="811"/>
      <c r="Z54" s="236"/>
      <c r="AA54" s="116"/>
      <c r="AB54" s="234"/>
      <c r="AC54" s="116"/>
      <c r="AD54" s="237"/>
      <c r="AE54" s="117"/>
      <c r="AF54" s="1092"/>
      <c r="AG54" s="1092"/>
      <c r="AH54" s="1093"/>
      <c r="AI54" s="80"/>
    </row>
    <row r="55" spans="1:36" x14ac:dyDescent="0.2">
      <c r="A55" s="616"/>
      <c r="B55" s="684"/>
      <c r="C55" s="484"/>
      <c r="D55" s="781"/>
      <c r="E55" s="491"/>
      <c r="F55" s="607"/>
      <c r="G55" s="1020"/>
      <c r="H55" s="608"/>
      <c r="I55" s="609"/>
      <c r="J55" s="608"/>
      <c r="K55" s="608"/>
      <c r="L55" s="609"/>
      <c r="M55" s="560"/>
      <c r="N55" s="1135"/>
      <c r="O55" s="80"/>
      <c r="P55" s="234"/>
      <c r="Q55" s="119"/>
      <c r="R55" s="234"/>
      <c r="S55" s="114"/>
      <c r="T55" s="793"/>
      <c r="U55" s="115"/>
      <c r="V55" s="821"/>
      <c r="W55" s="811"/>
      <c r="X55" s="821"/>
      <c r="Y55" s="811"/>
      <c r="Z55" s="236"/>
      <c r="AA55" s="116"/>
      <c r="AB55" s="234"/>
      <c r="AC55" s="116"/>
      <c r="AD55" s="237"/>
      <c r="AE55" s="117"/>
      <c r="AF55" s="1092"/>
      <c r="AG55" s="1092"/>
      <c r="AH55" s="1093"/>
      <c r="AI55" s="80"/>
    </row>
    <row r="56" spans="1:36" x14ac:dyDescent="0.2">
      <c r="A56" s="616"/>
      <c r="B56" s="684"/>
      <c r="C56" s="484"/>
      <c r="D56" s="781"/>
      <c r="E56" s="491"/>
      <c r="F56" s="607"/>
      <c r="G56" s="1020"/>
      <c r="H56" s="608"/>
      <c r="I56" s="609"/>
      <c r="J56" s="608"/>
      <c r="K56" s="608"/>
      <c r="L56" s="609"/>
      <c r="M56" s="560"/>
      <c r="N56" s="1135"/>
      <c r="O56" s="80"/>
      <c r="P56" s="234"/>
      <c r="Q56" s="119"/>
      <c r="R56" s="234"/>
      <c r="S56" s="114"/>
      <c r="T56" s="793"/>
      <c r="U56" s="115"/>
      <c r="V56" s="821"/>
      <c r="W56" s="811"/>
      <c r="X56" s="821"/>
      <c r="Y56" s="811"/>
      <c r="Z56" s="236"/>
      <c r="AA56" s="116"/>
      <c r="AB56" s="234"/>
      <c r="AC56" s="116"/>
      <c r="AD56" s="237"/>
      <c r="AE56" s="117"/>
      <c r="AF56" s="1092"/>
      <c r="AG56" s="1092"/>
      <c r="AH56" s="1093"/>
      <c r="AI56" s="80"/>
    </row>
    <row r="57" spans="1:36" x14ac:dyDescent="0.2">
      <c r="A57" s="1139"/>
      <c r="B57" s="1140"/>
      <c r="C57" s="1141"/>
      <c r="D57" s="1142"/>
      <c r="E57" s="1143"/>
      <c r="F57" s="1144"/>
      <c r="G57" s="1159"/>
      <c r="H57" s="608"/>
      <c r="I57" s="1022"/>
      <c r="J57" s="1021"/>
      <c r="K57" s="1021"/>
      <c r="L57" s="1022"/>
      <c r="M57" s="1158"/>
      <c r="N57" s="1162"/>
      <c r="O57" s="80"/>
      <c r="P57" s="234"/>
      <c r="Q57" s="1234"/>
      <c r="R57" s="234"/>
      <c r="S57" s="114"/>
      <c r="T57" s="235"/>
      <c r="U57" s="115"/>
      <c r="V57" s="821"/>
      <c r="W57" s="811"/>
      <c r="X57" s="821"/>
      <c r="Y57" s="811"/>
      <c r="Z57" s="236"/>
      <c r="AA57" s="116"/>
      <c r="AB57" s="234"/>
      <c r="AC57" s="116"/>
      <c r="AD57" s="237"/>
      <c r="AE57" s="117"/>
      <c r="AF57" s="1092"/>
      <c r="AG57" s="1092"/>
      <c r="AH57" s="1093"/>
      <c r="AI57" s="80"/>
    </row>
    <row r="58" spans="1:36" x14ac:dyDescent="0.2">
      <c r="A58" s="616"/>
      <c r="B58" s="350"/>
      <c r="C58" s="484"/>
      <c r="D58" s="781"/>
      <c r="E58" s="491"/>
      <c r="F58" s="607"/>
      <c r="G58" s="646"/>
      <c r="H58" s="1128"/>
      <c r="I58" s="609"/>
      <c r="J58" s="608"/>
      <c r="K58" s="608"/>
      <c r="L58" s="609"/>
      <c r="M58" s="560"/>
      <c r="N58" s="617"/>
      <c r="O58" s="80"/>
      <c r="P58" s="234"/>
      <c r="Q58" s="119"/>
      <c r="R58" s="234"/>
      <c r="S58" s="114"/>
      <c r="T58" s="235"/>
      <c r="U58" s="115"/>
      <c r="V58" s="821"/>
      <c r="W58" s="811"/>
      <c r="X58" s="821"/>
      <c r="Y58" s="811"/>
      <c r="Z58" s="236"/>
      <c r="AA58" s="116"/>
      <c r="AB58" s="234"/>
      <c r="AC58" s="116"/>
      <c r="AD58" s="237"/>
      <c r="AE58" s="117"/>
      <c r="AF58" s="1092"/>
      <c r="AG58" s="1092"/>
      <c r="AH58" s="1093"/>
      <c r="AI58" s="80"/>
    </row>
    <row r="59" spans="1:36" x14ac:dyDescent="0.2">
      <c r="A59" s="616"/>
      <c r="B59" s="684"/>
      <c r="C59" s="484"/>
      <c r="D59" s="781"/>
      <c r="E59" s="491"/>
      <c r="F59" s="607"/>
      <c r="G59" s="646"/>
      <c r="H59" s="608"/>
      <c r="I59" s="609"/>
      <c r="J59" s="608"/>
      <c r="K59" s="608"/>
      <c r="L59" s="609"/>
      <c r="M59" s="560"/>
      <c r="N59" s="617"/>
      <c r="O59" s="80"/>
      <c r="P59" s="234"/>
      <c r="Q59" s="119"/>
      <c r="R59" s="234"/>
      <c r="S59" s="114"/>
      <c r="T59" s="235"/>
      <c r="U59" s="115"/>
      <c r="V59" s="821"/>
      <c r="W59" s="811"/>
      <c r="X59" s="821"/>
      <c r="Y59" s="811"/>
      <c r="Z59" s="236"/>
      <c r="AA59" s="116"/>
      <c r="AB59" s="234"/>
      <c r="AC59" s="116"/>
      <c r="AD59" s="237"/>
      <c r="AE59" s="117"/>
      <c r="AF59" s="1092"/>
      <c r="AG59" s="1092"/>
      <c r="AH59" s="1093"/>
      <c r="AI59" s="80"/>
    </row>
    <row r="60" spans="1:36" x14ac:dyDescent="0.2">
      <c r="A60" s="616"/>
      <c r="B60" s="684"/>
      <c r="C60" s="484"/>
      <c r="D60" s="781"/>
      <c r="E60" s="491"/>
      <c r="F60" s="1146"/>
      <c r="G60" s="1147"/>
      <c r="H60" s="1148"/>
      <c r="I60" s="1149"/>
      <c r="J60" s="1148"/>
      <c r="K60" s="1148"/>
      <c r="L60" s="1150"/>
      <c r="M60" s="1151"/>
      <c r="N60" s="617"/>
      <c r="O60" s="80"/>
      <c r="P60" s="234"/>
      <c r="Q60" s="119"/>
      <c r="R60" s="234"/>
      <c r="S60" s="114"/>
      <c r="T60" s="235"/>
      <c r="U60" s="115"/>
      <c r="V60" s="821"/>
      <c r="W60" s="811"/>
      <c r="X60" s="821"/>
      <c r="Y60" s="811"/>
      <c r="Z60" s="236"/>
      <c r="AA60" s="116"/>
      <c r="AB60" s="234"/>
      <c r="AC60" s="116"/>
      <c r="AD60" s="237"/>
      <c r="AE60" s="117"/>
      <c r="AF60" s="1092"/>
      <c r="AG60" s="1092"/>
      <c r="AH60" s="1093"/>
      <c r="AI60" s="80"/>
      <c r="AJ60" s="492"/>
    </row>
    <row r="61" spans="1:36" x14ac:dyDescent="0.2">
      <c r="A61" s="616"/>
      <c r="B61" s="684"/>
      <c r="C61" s="484"/>
      <c r="D61" s="781"/>
      <c r="E61" s="491"/>
      <c r="F61" s="607"/>
      <c r="G61" s="646"/>
      <c r="H61" s="608"/>
      <c r="I61" s="609"/>
      <c r="J61" s="608"/>
      <c r="K61" s="608"/>
      <c r="L61" s="610"/>
      <c r="M61" s="560"/>
      <c r="N61" s="617"/>
      <c r="O61" s="80"/>
      <c r="P61" s="234"/>
      <c r="Q61" s="119"/>
      <c r="R61" s="234"/>
      <c r="S61" s="114"/>
      <c r="T61" s="235"/>
      <c r="U61" s="115"/>
      <c r="V61" s="821"/>
      <c r="W61" s="811"/>
      <c r="X61" s="821"/>
      <c r="Y61" s="811"/>
      <c r="Z61" s="236"/>
      <c r="AA61" s="116"/>
      <c r="AB61" s="234"/>
      <c r="AC61" s="116"/>
      <c r="AD61" s="237"/>
      <c r="AE61" s="117"/>
      <c r="AF61" s="1092"/>
      <c r="AG61" s="1092"/>
      <c r="AH61" s="1093"/>
      <c r="AI61" s="80"/>
    </row>
    <row r="62" spans="1:36" x14ac:dyDescent="0.2">
      <c r="A62" s="616"/>
      <c r="B62" s="684"/>
      <c r="C62" s="484"/>
      <c r="D62" s="781"/>
      <c r="E62" s="491"/>
      <c r="F62" s="607"/>
      <c r="G62" s="646"/>
      <c r="H62" s="608"/>
      <c r="I62" s="609"/>
      <c r="J62" s="608"/>
      <c r="K62" s="608"/>
      <c r="L62" s="610"/>
      <c r="M62" s="560"/>
      <c r="N62" s="617"/>
      <c r="O62" s="80"/>
      <c r="P62" s="234"/>
      <c r="Q62" s="119"/>
      <c r="R62" s="234"/>
      <c r="S62" s="114"/>
      <c r="T62" s="235"/>
      <c r="U62" s="115"/>
      <c r="V62" s="821"/>
      <c r="W62" s="811"/>
      <c r="X62" s="821"/>
      <c r="Y62" s="811"/>
      <c r="Z62" s="236"/>
      <c r="AA62" s="116"/>
      <c r="AB62" s="234"/>
      <c r="AC62" s="116"/>
      <c r="AD62" s="237"/>
      <c r="AE62" s="117"/>
      <c r="AF62" s="1092"/>
      <c r="AG62" s="1092"/>
      <c r="AH62" s="1093"/>
      <c r="AI62" s="80"/>
    </row>
    <row r="63" spans="1:36" x14ac:dyDescent="0.2">
      <c r="A63" s="616"/>
      <c r="B63" s="684"/>
      <c r="C63" s="484"/>
      <c r="D63" s="781"/>
      <c r="E63" s="491"/>
      <c r="F63" s="607"/>
      <c r="G63" s="1020"/>
      <c r="H63" s="608"/>
      <c r="I63" s="609"/>
      <c r="J63" s="608"/>
      <c r="K63" s="608"/>
      <c r="L63" s="609"/>
      <c r="M63" s="560"/>
      <c r="N63" s="617"/>
      <c r="O63" s="80"/>
      <c r="P63" s="234"/>
      <c r="Q63" s="119"/>
      <c r="R63" s="234"/>
      <c r="S63" s="114"/>
      <c r="T63" s="235"/>
      <c r="U63" s="115"/>
      <c r="V63" s="821"/>
      <c r="W63" s="811"/>
      <c r="X63" s="821"/>
      <c r="Y63" s="811"/>
      <c r="Z63" s="236"/>
      <c r="AA63" s="116"/>
      <c r="AB63" s="234"/>
      <c r="AC63" s="116"/>
      <c r="AD63" s="237"/>
      <c r="AE63" s="117"/>
      <c r="AF63" s="1092"/>
      <c r="AG63" s="1092"/>
      <c r="AH63" s="1093"/>
      <c r="AI63" s="80"/>
    </row>
    <row r="64" spans="1:36" x14ac:dyDescent="0.2">
      <c r="A64" s="616"/>
      <c r="B64" s="684"/>
      <c r="C64" s="484"/>
      <c r="D64" s="781"/>
      <c r="E64" s="491"/>
      <c r="F64" s="607"/>
      <c r="G64" s="1020"/>
      <c r="H64" s="608"/>
      <c r="I64" s="609"/>
      <c r="J64" s="608"/>
      <c r="K64" s="608"/>
      <c r="L64" s="609"/>
      <c r="M64" s="560"/>
      <c r="N64" s="617"/>
      <c r="O64" s="80"/>
      <c r="P64" s="234"/>
      <c r="Q64" s="119"/>
      <c r="R64" s="234"/>
      <c r="S64" s="114"/>
      <c r="T64" s="235"/>
      <c r="U64" s="115"/>
      <c r="V64" s="821"/>
      <c r="W64" s="811"/>
      <c r="X64" s="821"/>
      <c r="Y64" s="811"/>
      <c r="Z64" s="236"/>
      <c r="AA64" s="116"/>
      <c r="AB64" s="234"/>
      <c r="AC64" s="116"/>
      <c r="AD64" s="237"/>
      <c r="AE64" s="117"/>
      <c r="AF64" s="1092"/>
      <c r="AG64" s="1092"/>
      <c r="AH64" s="1093"/>
      <c r="AI64" s="80"/>
    </row>
    <row r="65" spans="1:35" x14ac:dyDescent="0.2">
      <c r="A65" s="616"/>
      <c r="B65" s="684"/>
      <c r="C65" s="484"/>
      <c r="D65" s="781"/>
      <c r="E65" s="491"/>
      <c r="F65" s="607"/>
      <c r="G65" s="1020"/>
      <c r="H65" s="608"/>
      <c r="I65" s="609"/>
      <c r="J65" s="608"/>
      <c r="K65" s="608"/>
      <c r="L65" s="609"/>
      <c r="M65" s="560"/>
      <c r="N65" s="617"/>
      <c r="O65" s="80"/>
      <c r="P65" s="234"/>
      <c r="Q65" s="119"/>
      <c r="R65" s="234"/>
      <c r="S65" s="114"/>
      <c r="T65" s="235"/>
      <c r="U65" s="115"/>
      <c r="V65" s="821"/>
      <c r="W65" s="811"/>
      <c r="X65" s="821"/>
      <c r="Y65" s="811"/>
      <c r="Z65" s="236"/>
      <c r="AA65" s="116"/>
      <c r="AB65" s="234"/>
      <c r="AC65" s="116"/>
      <c r="AD65" s="237"/>
      <c r="AE65" s="117"/>
      <c r="AF65" s="1092"/>
      <c r="AG65" s="1092"/>
      <c r="AH65" s="1093"/>
      <c r="AI65" s="80"/>
    </row>
    <row r="66" spans="1:35" x14ac:dyDescent="0.2">
      <c r="A66" s="616"/>
      <c r="B66" s="684"/>
      <c r="C66" s="484"/>
      <c r="D66" s="781"/>
      <c r="E66" s="491"/>
      <c r="F66" s="607"/>
      <c r="G66" s="1020"/>
      <c r="H66" s="608"/>
      <c r="I66" s="609"/>
      <c r="J66" s="608"/>
      <c r="K66" s="608"/>
      <c r="L66" s="609"/>
      <c r="M66" s="560"/>
      <c r="N66" s="617"/>
      <c r="O66" s="80"/>
      <c r="P66" s="234"/>
      <c r="Q66" s="119"/>
      <c r="R66" s="234"/>
      <c r="S66" s="114"/>
      <c r="T66" s="235"/>
      <c r="U66" s="115"/>
      <c r="V66" s="821"/>
      <c r="W66" s="811"/>
      <c r="X66" s="821"/>
      <c r="Y66" s="811"/>
      <c r="Z66" s="236"/>
      <c r="AA66" s="116"/>
      <c r="AB66" s="234"/>
      <c r="AC66" s="116"/>
      <c r="AD66" s="237"/>
      <c r="AE66" s="117"/>
      <c r="AF66" s="1092"/>
      <c r="AG66" s="1092"/>
      <c r="AH66" s="1093"/>
      <c r="AI66" s="80"/>
    </row>
    <row r="67" spans="1:35" x14ac:dyDescent="0.2">
      <c r="A67" s="616"/>
      <c r="B67" s="684"/>
      <c r="C67" s="484"/>
      <c r="D67" s="781"/>
      <c r="E67" s="491"/>
      <c r="F67" s="607"/>
      <c r="G67" s="1020"/>
      <c r="H67" s="608"/>
      <c r="I67" s="609"/>
      <c r="J67" s="608"/>
      <c r="K67" s="608"/>
      <c r="L67" s="609"/>
      <c r="M67" s="560"/>
      <c r="N67" s="617"/>
      <c r="O67" s="80"/>
      <c r="P67" s="234"/>
      <c r="Q67" s="119"/>
      <c r="R67" s="234"/>
      <c r="S67" s="114"/>
      <c r="T67" s="235"/>
      <c r="U67" s="115"/>
      <c r="V67" s="821"/>
      <c r="W67" s="811"/>
      <c r="X67" s="821"/>
      <c r="Y67" s="811"/>
      <c r="Z67" s="236"/>
      <c r="AA67" s="116"/>
      <c r="AB67" s="234"/>
      <c r="AC67" s="116"/>
      <c r="AD67" s="237"/>
      <c r="AE67" s="117"/>
      <c r="AF67" s="1092"/>
      <c r="AG67" s="1092"/>
      <c r="AH67" s="1093"/>
      <c r="AI67" s="80"/>
    </row>
    <row r="68" spans="1:35" x14ac:dyDescent="0.2">
      <c r="A68" s="616"/>
      <c r="B68" s="350"/>
      <c r="C68" s="484"/>
      <c r="D68" s="781"/>
      <c r="E68" s="491"/>
      <c r="F68" s="607"/>
      <c r="G68" s="1020"/>
      <c r="H68" s="1128"/>
      <c r="I68" s="609"/>
      <c r="J68" s="608"/>
      <c r="K68" s="608"/>
      <c r="L68" s="609"/>
      <c r="M68" s="560"/>
      <c r="N68" s="617"/>
      <c r="O68" s="80"/>
      <c r="P68" s="234"/>
      <c r="Q68" s="119"/>
      <c r="R68" s="234"/>
      <c r="S68" s="114"/>
      <c r="T68" s="235"/>
      <c r="U68" s="115"/>
      <c r="V68" s="821"/>
      <c r="W68" s="811"/>
      <c r="X68" s="821"/>
      <c r="Y68" s="811"/>
      <c r="Z68" s="236"/>
      <c r="AA68" s="116"/>
      <c r="AB68" s="234"/>
      <c r="AC68" s="116"/>
      <c r="AD68" s="237"/>
      <c r="AE68" s="117"/>
      <c r="AF68" s="1092"/>
      <c r="AG68" s="1092"/>
      <c r="AH68" s="1093"/>
      <c r="AI68" s="80"/>
    </row>
    <row r="69" spans="1:35" x14ac:dyDescent="0.2">
      <c r="A69" s="616"/>
      <c r="B69" s="684"/>
      <c r="C69" s="484"/>
      <c r="D69" s="781"/>
      <c r="E69" s="491"/>
      <c r="F69" s="1144"/>
      <c r="G69" s="1020"/>
      <c r="H69" s="608"/>
      <c r="I69" s="609"/>
      <c r="J69" s="608"/>
      <c r="K69" s="608"/>
      <c r="L69" s="610"/>
      <c r="M69" s="560"/>
      <c r="N69" s="617"/>
      <c r="O69" s="80"/>
      <c r="P69" s="234"/>
      <c r="Q69" s="1233"/>
      <c r="R69" s="791"/>
      <c r="S69" s="792"/>
      <c r="T69" s="235"/>
      <c r="U69" s="115"/>
      <c r="V69" s="821"/>
      <c r="W69" s="811"/>
      <c r="X69" s="821"/>
      <c r="Y69" s="811"/>
      <c r="Z69" s="236"/>
      <c r="AA69" s="116"/>
      <c r="AB69" s="234"/>
      <c r="AC69" s="116"/>
      <c r="AD69" s="237"/>
      <c r="AE69" s="117"/>
      <c r="AF69" s="1092"/>
      <c r="AG69" s="1092"/>
      <c r="AH69" s="1093"/>
      <c r="AI69" s="80"/>
    </row>
    <row r="70" spans="1:35" x14ac:dyDescent="0.2">
      <c r="A70" s="616"/>
      <c r="B70" s="684"/>
      <c r="C70" s="484"/>
      <c r="D70" s="781"/>
      <c r="E70" s="491"/>
      <c r="F70" s="607"/>
      <c r="G70" s="1020"/>
      <c r="H70" s="608"/>
      <c r="I70" s="609"/>
      <c r="J70" s="608"/>
      <c r="K70" s="608"/>
      <c r="L70" s="610"/>
      <c r="M70" s="560"/>
      <c r="N70" s="617"/>
      <c r="O70" s="80"/>
      <c r="P70" s="234"/>
      <c r="Q70" s="119"/>
      <c r="R70" s="234"/>
      <c r="S70" s="114"/>
      <c r="T70" s="235"/>
      <c r="U70" s="115"/>
      <c r="V70" s="821"/>
      <c r="W70" s="811"/>
      <c r="X70" s="821"/>
      <c r="Y70" s="811"/>
      <c r="Z70" s="236"/>
      <c r="AA70" s="116"/>
      <c r="AB70" s="234"/>
      <c r="AC70" s="116"/>
      <c r="AD70" s="237"/>
      <c r="AE70" s="117"/>
      <c r="AF70" s="1092"/>
      <c r="AG70" s="1092"/>
      <c r="AH70" s="1093"/>
      <c r="AI70" s="80"/>
    </row>
    <row r="71" spans="1:35" x14ac:dyDescent="0.2">
      <c r="A71" s="616"/>
      <c r="B71" s="684"/>
      <c r="C71" s="484"/>
      <c r="D71" s="781"/>
      <c r="E71" s="491"/>
      <c r="F71" s="607"/>
      <c r="G71" s="1020"/>
      <c r="H71" s="1128"/>
      <c r="I71" s="609"/>
      <c r="J71" s="608"/>
      <c r="K71" s="608"/>
      <c r="L71" s="610"/>
      <c r="M71" s="560"/>
      <c r="N71" s="617"/>
      <c r="O71" s="80"/>
      <c r="P71" s="234"/>
      <c r="Q71" s="119"/>
      <c r="R71" s="234"/>
      <c r="S71" s="114"/>
      <c r="T71" s="235"/>
      <c r="U71" s="115"/>
      <c r="V71" s="821"/>
      <c r="W71" s="811"/>
      <c r="X71" s="821"/>
      <c r="Y71" s="811"/>
      <c r="Z71" s="236"/>
      <c r="AA71" s="116"/>
      <c r="AB71" s="234"/>
      <c r="AC71" s="116"/>
      <c r="AD71" s="237"/>
      <c r="AE71" s="117"/>
      <c r="AF71" s="1092"/>
      <c r="AG71" s="1092"/>
      <c r="AH71" s="1093"/>
      <c r="AI71" s="80"/>
    </row>
    <row r="72" spans="1:35" x14ac:dyDescent="0.2">
      <c r="A72" s="616"/>
      <c r="B72" s="684"/>
      <c r="C72" s="484"/>
      <c r="D72" s="781"/>
      <c r="E72" s="491"/>
      <c r="F72" s="607"/>
      <c r="G72" s="1020"/>
      <c r="H72" s="608"/>
      <c r="I72" s="609"/>
      <c r="J72" s="608"/>
      <c r="K72" s="608"/>
      <c r="L72" s="610"/>
      <c r="M72" s="560"/>
      <c r="N72" s="617"/>
      <c r="O72" s="80"/>
      <c r="P72" s="234"/>
      <c r="Q72" s="119"/>
      <c r="R72" s="234"/>
      <c r="S72" s="114"/>
      <c r="T72" s="235"/>
      <c r="U72" s="115"/>
      <c r="V72" s="821"/>
      <c r="W72" s="811"/>
      <c r="X72" s="821"/>
      <c r="Y72" s="811"/>
      <c r="Z72" s="236"/>
      <c r="AA72" s="116"/>
      <c r="AB72" s="234"/>
      <c r="AC72" s="116"/>
      <c r="AD72" s="237"/>
      <c r="AE72" s="117"/>
      <c r="AF72" s="1092"/>
      <c r="AG72" s="1092"/>
      <c r="AH72" s="1093"/>
      <c r="AI72" s="80"/>
    </row>
    <row r="73" spans="1:35" x14ac:dyDescent="0.2">
      <c r="A73" s="616"/>
      <c r="B73" s="684"/>
      <c r="C73" s="484"/>
      <c r="D73" s="781"/>
      <c r="E73" s="491"/>
      <c r="F73" s="607"/>
      <c r="G73" s="1020"/>
      <c r="H73" s="608"/>
      <c r="I73" s="609"/>
      <c r="J73" s="608"/>
      <c r="K73" s="608"/>
      <c r="L73" s="610"/>
      <c r="M73" s="560"/>
      <c r="N73" s="617"/>
      <c r="O73" s="80"/>
      <c r="P73" s="234"/>
      <c r="Q73" s="119"/>
      <c r="R73" s="234"/>
      <c r="S73" s="114"/>
      <c r="T73" s="235"/>
      <c r="U73" s="115"/>
      <c r="V73" s="821"/>
      <c r="W73" s="811"/>
      <c r="X73" s="821"/>
      <c r="Y73" s="811"/>
      <c r="Z73" s="236"/>
      <c r="AA73" s="116"/>
      <c r="AB73" s="234"/>
      <c r="AC73" s="116"/>
      <c r="AD73" s="237"/>
      <c r="AE73" s="117"/>
      <c r="AF73" s="1092"/>
      <c r="AG73" s="1092"/>
      <c r="AH73" s="1093"/>
      <c r="AI73" s="80"/>
    </row>
    <row r="74" spans="1:35" x14ac:dyDescent="0.2">
      <c r="A74" s="616"/>
      <c r="B74" s="684"/>
      <c r="C74" s="484"/>
      <c r="D74" s="781"/>
      <c r="E74" s="491"/>
      <c r="F74" s="607"/>
      <c r="G74" s="1020"/>
      <c r="H74" s="608"/>
      <c r="I74" s="609"/>
      <c r="J74" s="608"/>
      <c r="K74" s="608"/>
      <c r="L74" s="609"/>
      <c r="M74" s="560"/>
      <c r="N74" s="617"/>
      <c r="O74" s="80"/>
      <c r="P74" s="234"/>
      <c r="Q74" s="119"/>
      <c r="R74" s="234"/>
      <c r="S74" s="114"/>
      <c r="T74" s="235"/>
      <c r="U74" s="115"/>
      <c r="V74" s="821"/>
      <c r="W74" s="811"/>
      <c r="X74" s="821"/>
      <c r="Y74" s="811"/>
      <c r="Z74" s="236"/>
      <c r="AA74" s="116"/>
      <c r="AB74" s="234"/>
      <c r="AC74" s="116"/>
      <c r="AD74" s="237"/>
      <c r="AE74" s="117"/>
      <c r="AF74" s="1092"/>
      <c r="AG74" s="1092"/>
      <c r="AH74" s="1093"/>
      <c r="AI74" s="80"/>
    </row>
    <row r="75" spans="1:35" x14ac:dyDescent="0.2">
      <c r="A75" s="1139"/>
      <c r="B75" s="1155"/>
      <c r="C75" s="1156"/>
      <c r="D75" s="1360"/>
      <c r="E75" s="1143"/>
      <c r="F75" s="1144"/>
      <c r="G75" s="1361"/>
      <c r="H75" s="1128"/>
      <c r="I75" s="609"/>
      <c r="J75" s="608"/>
      <c r="K75" s="608"/>
      <c r="L75" s="609"/>
      <c r="M75" s="560"/>
      <c r="N75" s="617"/>
      <c r="O75" s="80"/>
      <c r="P75" s="234"/>
      <c r="Q75" s="119"/>
      <c r="R75" s="234"/>
      <c r="S75" s="114"/>
      <c r="T75" s="235"/>
      <c r="U75" s="115"/>
      <c r="V75" s="821"/>
      <c r="W75" s="811"/>
      <c r="X75" s="821"/>
      <c r="Y75" s="811"/>
      <c r="Z75" s="236"/>
      <c r="AA75" s="116"/>
      <c r="AB75" s="234"/>
      <c r="AC75" s="116"/>
      <c r="AD75" s="237"/>
      <c r="AE75" s="117"/>
      <c r="AF75" s="1092"/>
      <c r="AG75" s="1092"/>
      <c r="AH75" s="1093"/>
      <c r="AI75" s="80"/>
    </row>
    <row r="76" spans="1:35" x14ac:dyDescent="0.2">
      <c r="A76" s="1139"/>
      <c r="B76" s="1155"/>
      <c r="C76" s="1156"/>
      <c r="D76" s="1360"/>
      <c r="E76" s="1143"/>
      <c r="F76" s="1144"/>
      <c r="G76" s="1361"/>
      <c r="H76" s="1128"/>
      <c r="I76" s="609"/>
      <c r="J76" s="608"/>
      <c r="K76" s="608"/>
      <c r="L76" s="609"/>
      <c r="M76" s="560"/>
      <c r="N76" s="617"/>
      <c r="O76" s="80"/>
      <c r="P76" s="234"/>
      <c r="Q76" s="119"/>
      <c r="R76" s="234"/>
      <c r="S76" s="114"/>
      <c r="T76" s="235"/>
      <c r="U76" s="115"/>
      <c r="V76" s="821"/>
      <c r="W76" s="811"/>
      <c r="X76" s="821"/>
      <c r="Y76" s="811"/>
      <c r="Z76" s="236"/>
      <c r="AA76" s="116"/>
      <c r="AB76" s="234"/>
      <c r="AC76" s="116"/>
      <c r="AD76" s="237"/>
      <c r="AE76" s="117"/>
      <c r="AF76" s="1092"/>
      <c r="AG76" s="1092"/>
      <c r="AH76" s="1093"/>
      <c r="AI76" s="80"/>
    </row>
    <row r="77" spans="1:35" x14ac:dyDescent="0.2">
      <c r="A77" s="1139"/>
      <c r="B77" s="1155"/>
      <c r="C77" s="1156"/>
      <c r="D77" s="1360"/>
      <c r="E77" s="1143"/>
      <c r="F77" s="1144"/>
      <c r="G77" s="1361"/>
      <c r="H77" s="1128"/>
      <c r="I77" s="609"/>
      <c r="J77" s="608"/>
      <c r="K77" s="608"/>
      <c r="L77" s="609"/>
      <c r="M77" s="560"/>
      <c r="N77" s="617"/>
      <c r="O77" s="80"/>
      <c r="P77" s="234"/>
      <c r="Q77" s="119"/>
      <c r="R77" s="234"/>
      <c r="S77" s="114"/>
      <c r="T77" s="235"/>
      <c r="U77" s="115"/>
      <c r="V77" s="821"/>
      <c r="W77" s="811"/>
      <c r="X77" s="821"/>
      <c r="Y77" s="811"/>
      <c r="Z77" s="236"/>
      <c r="AA77" s="116"/>
      <c r="AB77" s="234"/>
      <c r="AC77" s="116"/>
      <c r="AD77" s="237"/>
      <c r="AE77" s="117"/>
      <c r="AF77" s="1092"/>
      <c r="AG77" s="1092"/>
      <c r="AH77" s="1093"/>
      <c r="AI77" s="80"/>
    </row>
    <row r="78" spans="1:35" x14ac:dyDescent="0.2">
      <c r="A78" s="1139"/>
      <c r="B78" s="1155"/>
      <c r="C78" s="1156"/>
      <c r="D78" s="1360"/>
      <c r="E78" s="1143"/>
      <c r="F78" s="1144"/>
      <c r="G78" s="1361"/>
      <c r="H78" s="1128"/>
      <c r="I78" s="609"/>
      <c r="J78" s="608"/>
      <c r="K78" s="608"/>
      <c r="L78" s="609"/>
      <c r="M78" s="560"/>
      <c r="N78" s="617"/>
      <c r="O78" s="80"/>
      <c r="P78" s="234"/>
      <c r="Q78" s="119"/>
      <c r="R78" s="234"/>
      <c r="S78" s="114"/>
      <c r="T78" s="235"/>
      <c r="U78" s="115"/>
      <c r="V78" s="821"/>
      <c r="W78" s="811"/>
      <c r="X78" s="821"/>
      <c r="Y78" s="811"/>
      <c r="Z78" s="236"/>
      <c r="AA78" s="116"/>
      <c r="AB78" s="234"/>
      <c r="AC78" s="116"/>
      <c r="AD78" s="237"/>
      <c r="AE78" s="117"/>
      <c r="AF78" s="1092"/>
      <c r="AG78" s="1092"/>
      <c r="AH78" s="1093"/>
      <c r="AI78" s="80"/>
    </row>
    <row r="79" spans="1:35" x14ac:dyDescent="0.2">
      <c r="A79" s="1139"/>
      <c r="B79" s="580"/>
      <c r="C79" s="1156"/>
      <c r="D79" s="1360"/>
      <c r="E79" s="1143"/>
      <c r="F79" s="1144"/>
      <c r="G79" s="1361"/>
      <c r="H79" s="1128"/>
      <c r="I79" s="609"/>
      <c r="J79" s="608"/>
      <c r="K79" s="608"/>
      <c r="L79" s="609"/>
      <c r="M79" s="560"/>
      <c r="N79" s="617"/>
      <c r="O79" s="80"/>
      <c r="P79" s="234"/>
      <c r="Q79" s="119"/>
      <c r="R79" s="234"/>
      <c r="S79" s="114"/>
      <c r="T79" s="235"/>
      <c r="U79" s="115"/>
      <c r="V79" s="821"/>
      <c r="W79" s="811"/>
      <c r="X79" s="821"/>
      <c r="Y79" s="811"/>
      <c r="Z79" s="236"/>
      <c r="AA79" s="116"/>
      <c r="AB79" s="234"/>
      <c r="AC79" s="116"/>
      <c r="AD79" s="237"/>
      <c r="AE79" s="117"/>
      <c r="AF79" s="1092"/>
      <c r="AG79" s="1092"/>
      <c r="AH79" s="1093"/>
      <c r="AI79" s="80"/>
    </row>
    <row r="80" spans="1:35" x14ac:dyDescent="0.2">
      <c r="A80" s="1139"/>
      <c r="B80" s="580"/>
      <c r="C80" s="1156"/>
      <c r="D80" s="1360"/>
      <c r="E80" s="1143"/>
      <c r="F80" s="1144"/>
      <c r="G80" s="1361"/>
      <c r="H80" s="1128"/>
      <c r="I80" s="609"/>
      <c r="J80" s="608"/>
      <c r="K80" s="608"/>
      <c r="L80" s="609"/>
      <c r="M80" s="560"/>
      <c r="N80" s="617"/>
      <c r="O80" s="80"/>
      <c r="P80" s="234"/>
      <c r="Q80" s="119"/>
      <c r="R80" s="234"/>
      <c r="S80" s="114"/>
      <c r="T80" s="235"/>
      <c r="U80" s="115"/>
      <c r="V80" s="821"/>
      <c r="W80" s="811"/>
      <c r="X80" s="821"/>
      <c r="Y80" s="811"/>
      <c r="Z80" s="236"/>
      <c r="AA80" s="116"/>
      <c r="AB80" s="234"/>
      <c r="AC80" s="116"/>
      <c r="AD80" s="237"/>
      <c r="AE80" s="117"/>
      <c r="AF80" s="1092"/>
      <c r="AG80" s="1092"/>
      <c r="AH80" s="1093"/>
      <c r="AI80" s="80"/>
    </row>
    <row r="81" spans="1:35" x14ac:dyDescent="0.2">
      <c r="A81" s="1139"/>
      <c r="B81" s="1155"/>
      <c r="C81" s="1156"/>
      <c r="D81" s="1360"/>
      <c r="E81" s="1143"/>
      <c r="F81" s="1144"/>
      <c r="G81" s="1361"/>
      <c r="H81" s="1128"/>
      <c r="I81" s="609"/>
      <c r="J81" s="608"/>
      <c r="K81" s="608"/>
      <c r="L81" s="609"/>
      <c r="M81" s="560"/>
      <c r="N81" s="617"/>
      <c r="O81" s="80"/>
      <c r="P81" s="234"/>
      <c r="Q81" s="119"/>
      <c r="R81" s="234"/>
      <c r="S81" s="114"/>
      <c r="T81" s="235"/>
      <c r="U81" s="115"/>
      <c r="V81" s="821"/>
      <c r="W81" s="811"/>
      <c r="X81" s="821"/>
      <c r="Y81" s="811"/>
      <c r="Z81" s="236"/>
      <c r="AA81" s="116"/>
      <c r="AB81" s="234"/>
      <c r="AC81" s="116"/>
      <c r="AD81" s="237"/>
      <c r="AE81" s="117"/>
      <c r="AF81" s="1092"/>
      <c r="AG81" s="1092"/>
      <c r="AH81" s="1093"/>
      <c r="AI81" s="80"/>
    </row>
    <row r="82" spans="1:35" x14ac:dyDescent="0.2">
      <c r="A82" s="616"/>
      <c r="B82" s="684"/>
      <c r="C82" s="484"/>
      <c r="D82" s="781"/>
      <c r="E82" s="491"/>
      <c r="F82" s="607"/>
      <c r="G82" s="1020"/>
      <c r="H82" s="608"/>
      <c r="I82" s="609"/>
      <c r="J82" s="608"/>
      <c r="K82" s="608"/>
      <c r="L82" s="609"/>
      <c r="M82" s="560"/>
      <c r="N82" s="617"/>
      <c r="O82" s="80"/>
      <c r="P82" s="234"/>
      <c r="Q82" s="119"/>
      <c r="R82" s="234"/>
      <c r="S82" s="114"/>
      <c r="T82" s="235"/>
      <c r="U82" s="115"/>
      <c r="V82" s="821"/>
      <c r="W82" s="811"/>
      <c r="X82" s="821"/>
      <c r="Y82" s="811"/>
      <c r="Z82" s="236"/>
      <c r="AA82" s="116"/>
      <c r="AB82" s="234"/>
      <c r="AC82" s="116"/>
      <c r="AD82" s="237"/>
      <c r="AE82" s="117"/>
      <c r="AF82" s="1092"/>
      <c r="AG82" s="1092"/>
      <c r="AH82" s="1093"/>
      <c r="AI82" s="80"/>
    </row>
    <row r="83" spans="1:35" x14ac:dyDescent="0.2">
      <c r="A83" s="616"/>
      <c r="B83" s="684"/>
      <c r="C83" s="484"/>
      <c r="D83" s="781"/>
      <c r="E83" s="491"/>
      <c r="F83" s="607"/>
      <c r="G83" s="1020"/>
      <c r="H83" s="1128"/>
      <c r="I83" s="609"/>
      <c r="J83" s="608"/>
      <c r="K83" s="608"/>
      <c r="L83" s="610"/>
      <c r="M83" s="560"/>
      <c r="N83" s="617"/>
      <c r="O83" s="80"/>
      <c r="P83" s="234"/>
      <c r="Q83" s="119"/>
      <c r="R83" s="234"/>
      <c r="S83" s="114"/>
      <c r="T83" s="235"/>
      <c r="U83" s="115"/>
      <c r="V83" s="821"/>
      <c r="W83" s="811"/>
      <c r="X83" s="821"/>
      <c r="Y83" s="811"/>
      <c r="Z83" s="236"/>
      <c r="AA83" s="116"/>
      <c r="AB83" s="234"/>
      <c r="AC83" s="116"/>
      <c r="AD83" s="237"/>
      <c r="AE83" s="117"/>
      <c r="AF83" s="1092"/>
      <c r="AG83" s="1092"/>
      <c r="AH83" s="1093"/>
      <c r="AI83" s="80"/>
    </row>
    <row r="84" spans="1:35" x14ac:dyDescent="0.2">
      <c r="A84" s="616"/>
      <c r="B84" s="684"/>
      <c r="C84" s="484"/>
      <c r="D84" s="781"/>
      <c r="E84" s="491"/>
      <c r="F84" s="1144"/>
      <c r="G84" s="1020"/>
      <c r="H84" s="608"/>
      <c r="I84" s="609"/>
      <c r="J84" s="608"/>
      <c r="K84" s="608"/>
      <c r="L84" s="610"/>
      <c r="M84" s="560"/>
      <c r="N84" s="617"/>
      <c r="O84" s="80"/>
      <c r="P84" s="234"/>
      <c r="Q84" s="1233"/>
      <c r="R84" s="791"/>
      <c r="S84" s="792"/>
      <c r="T84" s="235"/>
      <c r="U84" s="115"/>
      <c r="V84" s="821"/>
      <c r="W84" s="811"/>
      <c r="X84" s="821"/>
      <c r="Y84" s="811"/>
      <c r="Z84" s="236"/>
      <c r="AA84" s="116"/>
      <c r="AB84" s="234"/>
      <c r="AC84" s="116"/>
      <c r="AD84" s="237"/>
      <c r="AE84" s="117"/>
      <c r="AF84" s="1092"/>
      <c r="AG84" s="1092"/>
      <c r="AH84" s="1093"/>
      <c r="AI84" s="80"/>
    </row>
    <row r="85" spans="1:35" x14ac:dyDescent="0.2">
      <c r="A85" s="616"/>
      <c r="B85" s="684"/>
      <c r="C85" s="484"/>
      <c r="D85" s="781"/>
      <c r="E85" s="491"/>
      <c r="F85" s="607"/>
      <c r="G85" s="1020"/>
      <c r="H85" s="1128"/>
      <c r="I85" s="609"/>
      <c r="J85" s="608"/>
      <c r="K85" s="608"/>
      <c r="L85" s="609"/>
      <c r="M85" s="560"/>
      <c r="N85" s="617"/>
      <c r="O85" s="80"/>
      <c r="P85" s="234"/>
      <c r="Q85" s="119"/>
      <c r="R85" s="234"/>
      <c r="S85" s="114"/>
      <c r="T85" s="235"/>
      <c r="U85" s="115"/>
      <c r="V85" s="821"/>
      <c r="W85" s="811"/>
      <c r="X85" s="821"/>
      <c r="Y85" s="811"/>
      <c r="Z85" s="236"/>
      <c r="AA85" s="116"/>
      <c r="AB85" s="234"/>
      <c r="AC85" s="116"/>
      <c r="AD85" s="237"/>
      <c r="AE85" s="117"/>
      <c r="AF85" s="1092"/>
      <c r="AG85" s="1092"/>
      <c r="AH85" s="1093"/>
      <c r="AI85" s="80"/>
    </row>
    <row r="86" spans="1:35" x14ac:dyDescent="0.2">
      <c r="A86" s="616"/>
      <c r="B86" s="1027"/>
      <c r="C86" s="1010"/>
      <c r="D86" s="1041"/>
      <c r="E86" s="491"/>
      <c r="F86" s="607"/>
      <c r="G86" s="1020"/>
      <c r="H86" s="608"/>
      <c r="I86" s="609"/>
      <c r="J86" s="608"/>
      <c r="K86" s="608"/>
      <c r="L86" s="609"/>
      <c r="M86" s="560"/>
      <c r="N86" s="617"/>
      <c r="O86" s="80"/>
      <c r="P86" s="234"/>
      <c r="Q86" s="119"/>
      <c r="R86" s="234"/>
      <c r="S86" s="114"/>
      <c r="T86" s="235"/>
      <c r="U86" s="115"/>
      <c r="V86" s="821"/>
      <c r="W86" s="811"/>
      <c r="X86" s="821"/>
      <c r="Y86" s="811"/>
      <c r="Z86" s="236"/>
      <c r="AA86" s="116"/>
      <c r="AB86" s="234"/>
      <c r="AC86" s="116"/>
      <c r="AD86" s="237"/>
      <c r="AE86" s="117"/>
      <c r="AF86" s="1092"/>
      <c r="AG86" s="1092"/>
      <c r="AH86" s="1093"/>
      <c r="AI86" s="80"/>
    </row>
    <row r="87" spans="1:35" x14ac:dyDescent="0.2">
      <c r="A87" s="616"/>
      <c r="B87" s="684"/>
      <c r="C87" s="484"/>
      <c r="D87" s="781"/>
      <c r="E87" s="491"/>
      <c r="F87" s="607"/>
      <c r="G87" s="1020"/>
      <c r="H87" s="608"/>
      <c r="I87" s="609"/>
      <c r="J87" s="608"/>
      <c r="K87" s="608"/>
      <c r="L87" s="609"/>
      <c r="M87" s="560"/>
      <c r="N87" s="617"/>
      <c r="O87" s="80"/>
      <c r="P87" s="234"/>
      <c r="Q87" s="119"/>
      <c r="R87" s="234"/>
      <c r="S87" s="114"/>
      <c r="T87" s="235"/>
      <c r="U87" s="115"/>
      <c r="V87" s="821"/>
      <c r="W87" s="811"/>
      <c r="X87" s="821"/>
      <c r="Y87" s="811"/>
      <c r="Z87" s="236"/>
      <c r="AA87" s="116"/>
      <c r="AB87" s="234"/>
      <c r="AC87" s="116"/>
      <c r="AD87" s="237"/>
      <c r="AE87" s="117"/>
      <c r="AF87" s="1092"/>
      <c r="AG87" s="1092"/>
      <c r="AH87" s="1093"/>
      <c r="AI87" s="80"/>
    </row>
    <row r="88" spans="1:35" x14ac:dyDescent="0.2">
      <c r="A88" s="616"/>
      <c r="B88" s="684"/>
      <c r="C88" s="484"/>
      <c r="D88" s="781"/>
      <c r="E88" s="491"/>
      <c r="F88" s="607"/>
      <c r="G88" s="1020"/>
      <c r="H88" s="608"/>
      <c r="I88" s="609"/>
      <c r="J88" s="608"/>
      <c r="K88" s="608"/>
      <c r="L88" s="609"/>
      <c r="M88" s="560"/>
      <c r="N88" s="617"/>
      <c r="O88" s="80"/>
      <c r="P88" s="234"/>
      <c r="Q88" s="119"/>
      <c r="R88" s="234"/>
      <c r="S88" s="114"/>
      <c r="T88" s="235"/>
      <c r="U88" s="115"/>
      <c r="V88" s="821"/>
      <c r="W88" s="811"/>
      <c r="X88" s="821"/>
      <c r="Y88" s="811"/>
      <c r="Z88" s="236"/>
      <c r="AA88" s="116"/>
      <c r="AB88" s="234"/>
      <c r="AC88" s="116"/>
      <c r="AD88" s="237"/>
      <c r="AE88" s="117"/>
      <c r="AF88" s="1092"/>
      <c r="AG88" s="1092"/>
      <c r="AH88" s="1093"/>
      <c r="AI88" s="80"/>
    </row>
    <row r="89" spans="1:35" x14ac:dyDescent="0.2">
      <c r="A89" s="616"/>
      <c r="B89" s="684"/>
      <c r="C89" s="484"/>
      <c r="D89" s="781"/>
      <c r="E89" s="491"/>
      <c r="F89" s="607"/>
      <c r="G89" s="1020"/>
      <c r="H89" s="608"/>
      <c r="I89" s="609"/>
      <c r="J89" s="608"/>
      <c r="K89" s="608"/>
      <c r="L89" s="609"/>
      <c r="M89" s="560"/>
      <c r="N89" s="617"/>
      <c r="O89" s="80"/>
      <c r="P89" s="234"/>
      <c r="Q89" s="119"/>
      <c r="R89" s="234"/>
      <c r="S89" s="114"/>
      <c r="T89" s="235"/>
      <c r="U89" s="115"/>
      <c r="V89" s="821"/>
      <c r="W89" s="811"/>
      <c r="X89" s="821"/>
      <c r="Y89" s="811"/>
      <c r="Z89" s="236"/>
      <c r="AA89" s="116"/>
      <c r="AB89" s="234"/>
      <c r="AC89" s="116"/>
      <c r="AD89" s="237"/>
      <c r="AE89" s="117"/>
      <c r="AF89" s="1092"/>
      <c r="AG89" s="1092"/>
      <c r="AH89" s="1093"/>
      <c r="AI89" s="80"/>
    </row>
    <row r="90" spans="1:35" x14ac:dyDescent="0.2">
      <c r="A90" s="616"/>
      <c r="B90" s="685"/>
      <c r="C90" s="650"/>
      <c r="D90" s="781"/>
      <c r="E90" s="491"/>
      <c r="F90" s="607"/>
      <c r="G90" s="1020"/>
      <c r="H90" s="608"/>
      <c r="I90" s="609"/>
      <c r="J90" s="608"/>
      <c r="K90" s="608"/>
      <c r="L90" s="609"/>
      <c r="M90" s="560"/>
      <c r="N90" s="617"/>
      <c r="O90" s="80"/>
      <c r="P90" s="234"/>
      <c r="Q90" s="119"/>
      <c r="R90" s="234"/>
      <c r="S90" s="114"/>
      <c r="T90" s="235"/>
      <c r="U90" s="115"/>
      <c r="V90" s="821"/>
      <c r="W90" s="811"/>
      <c r="X90" s="821"/>
      <c r="Y90" s="811"/>
      <c r="Z90" s="236"/>
      <c r="AA90" s="116"/>
      <c r="AB90" s="234"/>
      <c r="AC90" s="116"/>
      <c r="AD90" s="237"/>
      <c r="AE90" s="117"/>
      <c r="AF90" s="1092"/>
      <c r="AG90" s="1092"/>
      <c r="AH90" s="1093"/>
      <c r="AI90" s="80"/>
    </row>
    <row r="91" spans="1:35" x14ac:dyDescent="0.2">
      <c r="A91" s="616"/>
      <c r="B91" s="350"/>
      <c r="C91" s="650"/>
      <c r="D91" s="781"/>
      <c r="E91" s="491"/>
      <c r="F91" s="607"/>
      <c r="G91" s="1020"/>
      <c r="H91" s="608"/>
      <c r="I91" s="609"/>
      <c r="J91" s="608"/>
      <c r="K91" s="608"/>
      <c r="L91" s="609"/>
      <c r="M91" s="560"/>
      <c r="N91" s="617"/>
      <c r="O91" s="80"/>
      <c r="P91" s="234"/>
      <c r="Q91" s="119"/>
      <c r="R91" s="234"/>
      <c r="S91" s="114"/>
      <c r="T91" s="235"/>
      <c r="U91" s="115"/>
      <c r="V91" s="821"/>
      <c r="W91" s="811"/>
      <c r="X91" s="821"/>
      <c r="Y91" s="811"/>
      <c r="Z91" s="236"/>
      <c r="AA91" s="116"/>
      <c r="AB91" s="234"/>
      <c r="AC91" s="116"/>
      <c r="AD91" s="237"/>
      <c r="AE91" s="117"/>
      <c r="AF91" s="1092"/>
      <c r="AG91" s="1092"/>
      <c r="AH91" s="1093"/>
      <c r="AI91" s="80"/>
    </row>
    <row r="92" spans="1:35" x14ac:dyDescent="0.2">
      <c r="A92" s="616"/>
      <c r="B92" s="684"/>
      <c r="C92" s="484"/>
      <c r="D92" s="781"/>
      <c r="E92" s="491"/>
      <c r="F92" s="607"/>
      <c r="G92" s="1020"/>
      <c r="H92" s="608"/>
      <c r="I92" s="609"/>
      <c r="J92" s="608"/>
      <c r="K92" s="608"/>
      <c r="L92" s="609"/>
      <c r="M92" s="560"/>
      <c r="N92" s="617"/>
      <c r="O92" s="80"/>
      <c r="P92" s="234"/>
      <c r="Q92" s="119"/>
      <c r="R92" s="234"/>
      <c r="S92" s="114"/>
      <c r="T92" s="235"/>
      <c r="U92" s="115"/>
      <c r="V92" s="821"/>
      <c r="W92" s="811"/>
      <c r="X92" s="821"/>
      <c r="Y92" s="811"/>
      <c r="Z92" s="236"/>
      <c r="AA92" s="116"/>
      <c r="AB92" s="234"/>
      <c r="AC92" s="116"/>
      <c r="AD92" s="237"/>
      <c r="AE92" s="117"/>
      <c r="AF92" s="1092"/>
      <c r="AG92" s="1092"/>
      <c r="AH92" s="1093"/>
      <c r="AI92" s="80"/>
    </row>
    <row r="93" spans="1:35" x14ac:dyDescent="0.2">
      <c r="A93" s="616"/>
      <c r="B93" s="684"/>
      <c r="C93" s="484"/>
      <c r="D93" s="781"/>
      <c r="E93" s="491"/>
      <c r="F93" s="607"/>
      <c r="G93" s="1020"/>
      <c r="H93" s="1128"/>
      <c r="I93" s="609"/>
      <c r="J93" s="608"/>
      <c r="K93" s="608"/>
      <c r="L93" s="609"/>
      <c r="M93" s="560"/>
      <c r="N93" s="617"/>
      <c r="O93" s="80"/>
      <c r="P93" s="234"/>
      <c r="Q93" s="119"/>
      <c r="R93" s="234"/>
      <c r="S93" s="114"/>
      <c r="T93" s="235"/>
      <c r="U93" s="115"/>
      <c r="V93" s="821"/>
      <c r="W93" s="811"/>
      <c r="X93" s="821"/>
      <c r="Y93" s="811"/>
      <c r="Z93" s="236"/>
      <c r="AA93" s="116"/>
      <c r="AB93" s="234"/>
      <c r="AC93" s="116"/>
      <c r="AD93" s="237"/>
      <c r="AE93" s="117"/>
      <c r="AF93" s="1092"/>
      <c r="AG93" s="1092"/>
      <c r="AH93" s="1093"/>
      <c r="AI93" s="80"/>
    </row>
    <row r="94" spans="1:35" x14ac:dyDescent="0.2">
      <c r="A94" s="616"/>
      <c r="B94" s="684"/>
      <c r="C94" s="484"/>
      <c r="D94" s="781"/>
      <c r="E94" s="491"/>
      <c r="F94" s="607"/>
      <c r="G94" s="1020"/>
      <c r="H94" s="608"/>
      <c r="I94" s="609"/>
      <c r="J94" s="608"/>
      <c r="K94" s="608"/>
      <c r="L94" s="609"/>
      <c r="M94" s="560"/>
      <c r="N94" s="617"/>
      <c r="O94" s="80"/>
      <c r="P94" s="234"/>
      <c r="Q94" s="119"/>
      <c r="R94" s="234"/>
      <c r="S94" s="114"/>
      <c r="T94" s="235"/>
      <c r="U94" s="115"/>
      <c r="V94" s="821"/>
      <c r="W94" s="811"/>
      <c r="X94" s="821"/>
      <c r="Y94" s="811"/>
      <c r="Z94" s="236"/>
      <c r="AA94" s="116"/>
      <c r="AB94" s="234"/>
      <c r="AC94" s="116"/>
      <c r="AD94" s="237"/>
      <c r="AE94" s="117"/>
      <c r="AF94" s="1092"/>
      <c r="AG94" s="1092"/>
      <c r="AH94" s="1093"/>
      <c r="AI94" s="80"/>
    </row>
    <row r="95" spans="1:35" x14ac:dyDescent="0.2">
      <c r="A95" s="616"/>
      <c r="B95" s="686"/>
      <c r="C95" s="484"/>
      <c r="D95" s="781"/>
      <c r="E95" s="491"/>
      <c r="F95" s="607"/>
      <c r="G95" s="1020"/>
      <c r="H95" s="608"/>
      <c r="I95" s="609"/>
      <c r="J95" s="608"/>
      <c r="K95" s="608"/>
      <c r="L95" s="609"/>
      <c r="M95" s="560"/>
      <c r="N95" s="617"/>
      <c r="O95" s="80"/>
      <c r="P95" s="234"/>
      <c r="Q95" s="119"/>
      <c r="R95" s="234"/>
      <c r="S95" s="114"/>
      <c r="T95" s="235"/>
      <c r="U95" s="115"/>
      <c r="V95" s="821"/>
      <c r="W95" s="811"/>
      <c r="X95" s="821"/>
      <c r="Y95" s="811"/>
      <c r="Z95" s="236"/>
      <c r="AA95" s="116"/>
      <c r="AB95" s="234"/>
      <c r="AC95" s="116"/>
      <c r="AD95" s="237"/>
      <c r="AE95" s="117"/>
      <c r="AF95" s="1092"/>
      <c r="AG95" s="1092"/>
      <c r="AH95" s="1093"/>
      <c r="AI95" s="80"/>
    </row>
    <row r="96" spans="1:35" x14ac:dyDescent="0.2">
      <c r="A96" s="616"/>
      <c r="B96" s="685"/>
      <c r="C96" s="650"/>
      <c r="D96" s="781"/>
      <c r="E96" s="491"/>
      <c r="F96" s="607"/>
      <c r="G96" s="1020"/>
      <c r="H96" s="1128"/>
      <c r="I96" s="609"/>
      <c r="J96" s="608"/>
      <c r="K96" s="608"/>
      <c r="L96" s="609"/>
      <c r="M96" s="560"/>
      <c r="N96" s="617"/>
      <c r="O96" s="80"/>
      <c r="P96" s="234"/>
      <c r="Q96" s="119"/>
      <c r="R96" s="234"/>
      <c r="S96" s="114"/>
      <c r="T96" s="235"/>
      <c r="U96" s="115"/>
      <c r="V96" s="821"/>
      <c r="W96" s="811"/>
      <c r="X96" s="821"/>
      <c r="Y96" s="811"/>
      <c r="Z96" s="236"/>
      <c r="AA96" s="116"/>
      <c r="AB96" s="234"/>
      <c r="AC96" s="116"/>
      <c r="AD96" s="237"/>
      <c r="AE96" s="117"/>
      <c r="AF96" s="1092"/>
      <c r="AG96" s="1092"/>
      <c r="AH96" s="1093"/>
      <c r="AI96" s="80"/>
    </row>
    <row r="97" spans="1:35" x14ac:dyDescent="0.2">
      <c r="A97" s="616"/>
      <c r="B97" s="684"/>
      <c r="C97" s="484"/>
      <c r="D97" s="781"/>
      <c r="E97" s="491"/>
      <c r="F97" s="607"/>
      <c r="G97" s="1020"/>
      <c r="H97" s="608"/>
      <c r="I97" s="609"/>
      <c r="J97" s="608"/>
      <c r="K97" s="608"/>
      <c r="L97" s="609"/>
      <c r="M97" s="560"/>
      <c r="N97" s="617"/>
      <c r="O97" s="80"/>
      <c r="P97" s="234"/>
      <c r="Q97" s="119"/>
      <c r="R97" s="234"/>
      <c r="S97" s="114"/>
      <c r="T97" s="235"/>
      <c r="U97" s="115"/>
      <c r="V97" s="821"/>
      <c r="W97" s="811"/>
      <c r="X97" s="821"/>
      <c r="Y97" s="811"/>
      <c r="Z97" s="236"/>
      <c r="AA97" s="116"/>
      <c r="AB97" s="234"/>
      <c r="AC97" s="116"/>
      <c r="AD97" s="237"/>
      <c r="AE97" s="117"/>
      <c r="AF97" s="1092"/>
      <c r="AG97" s="1092"/>
      <c r="AH97" s="1093"/>
      <c r="AI97" s="80"/>
    </row>
    <row r="98" spans="1:35" x14ac:dyDescent="0.2">
      <c r="A98" s="616"/>
      <c r="B98" s="684"/>
      <c r="C98" s="484"/>
      <c r="D98" s="781"/>
      <c r="E98" s="491"/>
      <c r="F98" s="607"/>
      <c r="G98" s="1020"/>
      <c r="H98" s="608"/>
      <c r="I98" s="609"/>
      <c r="J98" s="608"/>
      <c r="K98" s="608"/>
      <c r="L98" s="609"/>
      <c r="M98" s="560"/>
      <c r="N98" s="617"/>
      <c r="O98" s="80"/>
      <c r="P98" s="234"/>
      <c r="Q98" s="119"/>
      <c r="R98" s="234"/>
      <c r="S98" s="114"/>
      <c r="T98" s="235"/>
      <c r="U98" s="115"/>
      <c r="V98" s="821"/>
      <c r="W98" s="811"/>
      <c r="X98" s="821"/>
      <c r="Y98" s="811"/>
      <c r="Z98" s="236"/>
      <c r="AA98" s="116"/>
      <c r="AB98" s="234"/>
      <c r="AC98" s="116"/>
      <c r="AD98" s="237"/>
      <c r="AE98" s="117"/>
      <c r="AF98" s="1092"/>
      <c r="AG98" s="1092"/>
      <c r="AH98" s="1093"/>
      <c r="AI98" s="80"/>
    </row>
    <row r="99" spans="1:35" x14ac:dyDescent="0.2">
      <c r="A99" s="616"/>
      <c r="B99" s="684"/>
      <c r="C99" s="484"/>
      <c r="D99" s="781"/>
      <c r="E99" s="491"/>
      <c r="F99" s="607"/>
      <c r="G99" s="1020"/>
      <c r="H99" s="608"/>
      <c r="I99" s="609"/>
      <c r="J99" s="608"/>
      <c r="K99" s="608"/>
      <c r="L99" s="609"/>
      <c r="M99" s="560"/>
      <c r="N99" s="617"/>
      <c r="O99" s="80"/>
      <c r="P99" s="234"/>
      <c r="Q99" s="119"/>
      <c r="R99" s="234"/>
      <c r="S99" s="114"/>
      <c r="T99" s="235"/>
      <c r="U99" s="115"/>
      <c r="V99" s="821"/>
      <c r="W99" s="811"/>
      <c r="X99" s="821"/>
      <c r="Y99" s="811"/>
      <c r="Z99" s="236"/>
      <c r="AA99" s="116"/>
      <c r="AB99" s="234"/>
      <c r="AC99" s="116"/>
      <c r="AD99" s="237"/>
      <c r="AE99" s="117"/>
      <c r="AF99" s="1092"/>
      <c r="AG99" s="1092"/>
      <c r="AH99" s="1093"/>
      <c r="AI99" s="80"/>
    </row>
    <row r="100" spans="1:35" x14ac:dyDescent="0.2">
      <c r="A100" s="616"/>
      <c r="B100" s="684"/>
      <c r="C100" s="484"/>
      <c r="D100" s="781"/>
      <c r="E100" s="491"/>
      <c r="F100" s="607"/>
      <c r="G100" s="1020"/>
      <c r="H100" s="608"/>
      <c r="I100" s="609"/>
      <c r="J100" s="1021"/>
      <c r="K100" s="1021"/>
      <c r="L100" s="1022"/>
      <c r="M100" s="560"/>
      <c r="N100" s="617"/>
      <c r="O100" s="80"/>
      <c r="P100" s="234"/>
      <c r="Q100" s="119"/>
      <c r="R100" s="234"/>
      <c r="S100" s="114"/>
      <c r="T100" s="235"/>
      <c r="U100" s="115"/>
      <c r="V100" s="821"/>
      <c r="W100" s="811"/>
      <c r="X100" s="821"/>
      <c r="Y100" s="811"/>
      <c r="Z100" s="236"/>
      <c r="AA100" s="116"/>
      <c r="AB100" s="234"/>
      <c r="AC100" s="116"/>
      <c r="AD100" s="237"/>
      <c r="AE100" s="117"/>
      <c r="AF100" s="1092"/>
      <c r="AG100" s="1092"/>
      <c r="AH100" s="1093"/>
      <c r="AI100" s="80"/>
    </row>
    <row r="101" spans="1:35" x14ac:dyDescent="0.2">
      <c r="A101" s="616"/>
      <c r="B101" s="350"/>
      <c r="C101" s="484"/>
      <c r="D101" s="781"/>
      <c r="E101" s="491"/>
      <c r="F101" s="607"/>
      <c r="G101" s="1020"/>
      <c r="H101" s="608"/>
      <c r="I101" s="609"/>
      <c r="J101" s="608"/>
      <c r="K101" s="608"/>
      <c r="L101" s="609"/>
      <c r="M101" s="560"/>
      <c r="N101" s="617"/>
      <c r="O101" s="80"/>
      <c r="P101" s="234"/>
      <c r="Q101" s="119"/>
      <c r="R101" s="234"/>
      <c r="S101" s="114"/>
      <c r="T101" s="235"/>
      <c r="U101" s="115"/>
      <c r="V101" s="821"/>
      <c r="W101" s="811"/>
      <c r="X101" s="821"/>
      <c r="Y101" s="811"/>
      <c r="Z101" s="236"/>
      <c r="AA101" s="116"/>
      <c r="AB101" s="234"/>
      <c r="AC101" s="116"/>
      <c r="AD101" s="237"/>
      <c r="AE101" s="117"/>
      <c r="AF101" s="1092"/>
      <c r="AG101" s="1092"/>
      <c r="AH101" s="1093"/>
      <c r="AI101" s="80"/>
    </row>
    <row r="102" spans="1:35" x14ac:dyDescent="0.2">
      <c r="A102" s="616"/>
      <c r="B102" s="684"/>
      <c r="C102" s="484"/>
      <c r="D102" s="781"/>
      <c r="E102" s="491"/>
      <c r="F102" s="607"/>
      <c r="G102" s="1020"/>
      <c r="H102" s="608"/>
      <c r="I102" s="609"/>
      <c r="J102" s="608"/>
      <c r="K102" s="608"/>
      <c r="L102" s="609"/>
      <c r="M102" s="560"/>
      <c r="N102" s="617"/>
      <c r="O102" s="80"/>
      <c r="P102" s="234"/>
      <c r="Q102" s="119"/>
      <c r="R102" s="234"/>
      <c r="S102" s="114"/>
      <c r="T102" s="235"/>
      <c r="U102" s="115"/>
      <c r="V102" s="821"/>
      <c r="W102" s="811"/>
      <c r="X102" s="821"/>
      <c r="Y102" s="811"/>
      <c r="Z102" s="236"/>
      <c r="AA102" s="116"/>
      <c r="AB102" s="234"/>
      <c r="AC102" s="116"/>
      <c r="AD102" s="237"/>
      <c r="AE102" s="117"/>
      <c r="AF102" s="1092"/>
      <c r="AG102" s="1092"/>
      <c r="AH102" s="1093"/>
      <c r="AI102" s="80"/>
    </row>
    <row r="103" spans="1:35" x14ac:dyDescent="0.2">
      <c r="A103" s="616"/>
      <c r="B103" s="684"/>
      <c r="C103" s="484"/>
      <c r="D103" s="781"/>
      <c r="E103" s="491"/>
      <c r="F103" s="607"/>
      <c r="G103" s="1020"/>
      <c r="H103" s="608"/>
      <c r="I103" s="609"/>
      <c r="J103" s="608"/>
      <c r="K103" s="608"/>
      <c r="L103" s="609"/>
      <c r="M103" s="560"/>
      <c r="N103" s="617"/>
      <c r="O103" s="80"/>
      <c r="P103" s="234"/>
      <c r="Q103" s="119"/>
      <c r="R103" s="234"/>
      <c r="S103" s="114"/>
      <c r="T103" s="235"/>
      <c r="U103" s="115"/>
      <c r="V103" s="821"/>
      <c r="W103" s="811"/>
      <c r="X103" s="821"/>
      <c r="Y103" s="811"/>
      <c r="Z103" s="236"/>
      <c r="AA103" s="116"/>
      <c r="AB103" s="234"/>
      <c r="AC103" s="116"/>
      <c r="AD103" s="237"/>
      <c r="AE103" s="117"/>
      <c r="AF103" s="1092"/>
      <c r="AG103" s="1092"/>
      <c r="AH103" s="1093"/>
      <c r="AI103" s="80"/>
    </row>
    <row r="104" spans="1:35" x14ac:dyDescent="0.2">
      <c r="A104" s="616"/>
      <c r="B104" s="684"/>
      <c r="C104" s="484"/>
      <c r="D104" s="781"/>
      <c r="E104" s="491"/>
      <c r="F104" s="607"/>
      <c r="G104" s="1020"/>
      <c r="H104" s="608"/>
      <c r="I104" s="609"/>
      <c r="J104" s="608"/>
      <c r="K104" s="608"/>
      <c r="L104" s="609"/>
      <c r="M104" s="560"/>
      <c r="N104" s="617"/>
      <c r="O104" s="80"/>
      <c r="P104" s="234"/>
      <c r="Q104" s="119"/>
      <c r="R104" s="234"/>
      <c r="S104" s="114"/>
      <c r="T104" s="235"/>
      <c r="U104" s="115"/>
      <c r="V104" s="821"/>
      <c r="W104" s="811"/>
      <c r="X104" s="821"/>
      <c r="Y104" s="811"/>
      <c r="Z104" s="236"/>
      <c r="AA104" s="116"/>
      <c r="AB104" s="234"/>
      <c r="AC104" s="116"/>
      <c r="AD104" s="237"/>
      <c r="AE104" s="117"/>
      <c r="AF104" s="1092"/>
      <c r="AG104" s="1092"/>
      <c r="AH104" s="1093"/>
      <c r="AI104" s="80"/>
    </row>
    <row r="105" spans="1:35" x14ac:dyDescent="0.2">
      <c r="A105" s="616"/>
      <c r="B105" s="630"/>
      <c r="C105" s="484"/>
      <c r="D105" s="781"/>
      <c r="E105" s="491"/>
      <c r="F105" s="607"/>
      <c r="G105" s="1020"/>
      <c r="H105" s="608"/>
      <c r="I105" s="609"/>
      <c r="J105" s="608"/>
      <c r="K105" s="608"/>
      <c r="L105" s="609"/>
      <c r="M105" s="560"/>
      <c r="N105" s="617"/>
      <c r="O105" s="80"/>
      <c r="P105" s="234"/>
      <c r="Q105" s="119"/>
      <c r="R105" s="234"/>
      <c r="S105" s="114"/>
      <c r="T105" s="235"/>
      <c r="U105" s="115"/>
      <c r="V105" s="821"/>
      <c r="W105" s="811"/>
      <c r="X105" s="821"/>
      <c r="Y105" s="811"/>
      <c r="Z105" s="236"/>
      <c r="AA105" s="116"/>
      <c r="AB105" s="234"/>
      <c r="AC105" s="116"/>
      <c r="AD105" s="237"/>
      <c r="AE105" s="117"/>
      <c r="AF105" s="1092"/>
      <c r="AG105" s="1092"/>
      <c r="AH105" s="1093"/>
      <c r="AI105" s="80"/>
    </row>
    <row r="106" spans="1:35" x14ac:dyDescent="0.2">
      <c r="A106" s="616"/>
      <c r="B106" s="684"/>
      <c r="C106" s="484"/>
      <c r="D106" s="781"/>
      <c r="E106" s="491"/>
      <c r="F106" s="607"/>
      <c r="G106" s="1020"/>
      <c r="H106" s="1128"/>
      <c r="I106" s="609"/>
      <c r="J106" s="608"/>
      <c r="K106" s="608"/>
      <c r="L106" s="609"/>
      <c r="M106" s="1133"/>
      <c r="N106" s="617"/>
      <c r="O106" s="80"/>
      <c r="P106" s="234"/>
      <c r="Q106" s="119"/>
      <c r="R106" s="234"/>
      <c r="S106" s="114"/>
      <c r="T106" s="235"/>
      <c r="U106" s="115"/>
      <c r="V106" s="821"/>
      <c r="W106" s="811"/>
      <c r="X106" s="821"/>
      <c r="Y106" s="811"/>
      <c r="Z106" s="236"/>
      <c r="AA106" s="116"/>
      <c r="AB106" s="234"/>
      <c r="AC106" s="116"/>
      <c r="AD106" s="237"/>
      <c r="AE106" s="117"/>
      <c r="AF106" s="1092"/>
      <c r="AG106" s="1092"/>
      <c r="AH106" s="1093"/>
      <c r="AI106" s="80"/>
    </row>
    <row r="107" spans="1:35" x14ac:dyDescent="0.2">
      <c r="A107" s="616"/>
      <c r="B107" s="684"/>
      <c r="C107" s="484"/>
      <c r="D107" s="781"/>
      <c r="E107" s="491"/>
      <c r="F107" s="607"/>
      <c r="G107" s="1020"/>
      <c r="H107" s="1128"/>
      <c r="I107" s="609"/>
      <c r="J107" s="608"/>
      <c r="K107" s="608"/>
      <c r="L107" s="609"/>
      <c r="M107" s="560"/>
      <c r="N107" s="617"/>
      <c r="O107" s="80"/>
      <c r="P107" s="234"/>
      <c r="Q107" s="119"/>
      <c r="R107" s="234"/>
      <c r="S107" s="114"/>
      <c r="T107" s="235"/>
      <c r="U107" s="115"/>
      <c r="V107" s="821"/>
      <c r="W107" s="811"/>
      <c r="X107" s="821"/>
      <c r="Y107" s="811"/>
      <c r="Z107" s="236"/>
      <c r="AA107" s="116"/>
      <c r="AB107" s="234"/>
      <c r="AC107" s="116"/>
      <c r="AD107" s="237"/>
      <c r="AE107" s="117"/>
      <c r="AF107" s="1092"/>
      <c r="AG107" s="1092"/>
      <c r="AH107" s="1093"/>
      <c r="AI107" s="80"/>
    </row>
    <row r="108" spans="1:35" x14ac:dyDescent="0.2">
      <c r="A108" s="616"/>
      <c r="B108" s="684"/>
      <c r="C108" s="484"/>
      <c r="D108" s="781"/>
      <c r="E108" s="491"/>
      <c r="F108" s="607"/>
      <c r="G108" s="1020"/>
      <c r="H108" s="608"/>
      <c r="I108" s="609"/>
      <c r="J108" s="608"/>
      <c r="K108" s="608"/>
      <c r="L108" s="609"/>
      <c r="M108" s="560"/>
      <c r="N108" s="617"/>
      <c r="O108" s="80"/>
      <c r="P108" s="234"/>
      <c r="Q108" s="119"/>
      <c r="R108" s="234"/>
      <c r="S108" s="114"/>
      <c r="T108" s="235"/>
      <c r="U108" s="115"/>
      <c r="V108" s="821"/>
      <c r="W108" s="811"/>
      <c r="X108" s="821"/>
      <c r="Y108" s="811"/>
      <c r="Z108" s="236"/>
      <c r="AA108" s="116"/>
      <c r="AB108" s="234"/>
      <c r="AC108" s="116"/>
      <c r="AD108" s="237"/>
      <c r="AE108" s="117"/>
      <c r="AF108" s="1092"/>
      <c r="AG108" s="1092"/>
      <c r="AH108" s="1093"/>
      <c r="AI108" s="80"/>
    </row>
    <row r="109" spans="1:35" x14ac:dyDescent="0.2">
      <c r="A109" s="616"/>
      <c r="B109" s="684"/>
      <c r="C109" s="484"/>
      <c r="D109" s="781"/>
      <c r="E109" s="491"/>
      <c r="F109" s="607"/>
      <c r="G109" s="1020"/>
      <c r="H109" s="608"/>
      <c r="I109" s="609"/>
      <c r="J109" s="608"/>
      <c r="K109" s="608"/>
      <c r="L109" s="609"/>
      <c r="M109" s="560"/>
      <c r="N109" s="617"/>
      <c r="O109" s="80"/>
      <c r="P109" s="234"/>
      <c r="Q109" s="119"/>
      <c r="R109" s="234"/>
      <c r="S109" s="114"/>
      <c r="T109" s="235"/>
      <c r="U109" s="115"/>
      <c r="V109" s="821"/>
      <c r="W109" s="811"/>
      <c r="X109" s="821"/>
      <c r="Y109" s="811"/>
      <c r="Z109" s="236"/>
      <c r="AA109" s="116"/>
      <c r="AB109" s="234"/>
      <c r="AC109" s="116"/>
      <c r="AD109" s="237"/>
      <c r="AE109" s="117"/>
      <c r="AF109" s="1092"/>
      <c r="AG109" s="1092"/>
      <c r="AH109" s="1093"/>
      <c r="AI109" s="80"/>
    </row>
    <row r="110" spans="1:35" x14ac:dyDescent="0.2">
      <c r="A110" s="616"/>
      <c r="B110" s="684"/>
      <c r="C110" s="484"/>
      <c r="D110" s="781"/>
      <c r="E110" s="491"/>
      <c r="F110" s="1144"/>
      <c r="G110" s="1020"/>
      <c r="H110" s="1128"/>
      <c r="I110" s="609"/>
      <c r="J110" s="608"/>
      <c r="K110" s="608"/>
      <c r="L110" s="609"/>
      <c r="M110" s="560"/>
      <c r="N110" s="617"/>
      <c r="O110" s="80"/>
      <c r="P110" s="791"/>
      <c r="Q110" s="1233"/>
      <c r="R110" s="1347"/>
      <c r="S110" s="1348"/>
      <c r="T110" s="235"/>
      <c r="U110" s="115"/>
      <c r="V110" s="821"/>
      <c r="W110" s="811"/>
      <c r="X110" s="821"/>
      <c r="Y110" s="811"/>
      <c r="Z110" s="236"/>
      <c r="AA110" s="116"/>
      <c r="AB110" s="234"/>
      <c r="AC110" s="116"/>
      <c r="AD110" s="237"/>
      <c r="AE110" s="117"/>
      <c r="AF110" s="1092"/>
      <c r="AG110" s="1092"/>
      <c r="AH110" s="1093"/>
      <c r="AI110" s="80"/>
    </row>
    <row r="111" spans="1:35" x14ac:dyDescent="0.2">
      <c r="A111" s="616"/>
      <c r="B111" s="684"/>
      <c r="C111" s="484"/>
      <c r="D111" s="781"/>
      <c r="E111" s="491"/>
      <c r="F111" s="1144"/>
      <c r="G111" s="1020"/>
      <c r="H111" s="1128"/>
      <c r="I111" s="609"/>
      <c r="J111" s="608"/>
      <c r="K111" s="608"/>
      <c r="L111" s="609"/>
      <c r="M111" s="560"/>
      <c r="N111" s="617"/>
      <c r="O111" s="80"/>
      <c r="P111" s="234"/>
      <c r="Q111" s="119"/>
      <c r="R111" s="234"/>
      <c r="S111" s="114"/>
      <c r="T111" s="235"/>
      <c r="U111" s="115"/>
      <c r="V111" s="821"/>
      <c r="W111" s="811"/>
      <c r="X111" s="821"/>
      <c r="Y111" s="811"/>
      <c r="Z111" s="236"/>
      <c r="AA111" s="116"/>
      <c r="AB111" s="234"/>
      <c r="AC111" s="116"/>
      <c r="AD111" s="237"/>
      <c r="AE111" s="117"/>
      <c r="AF111" s="1092"/>
      <c r="AG111" s="1092"/>
      <c r="AH111" s="1093"/>
      <c r="AI111" s="80"/>
    </row>
    <row r="112" spans="1:35" x14ac:dyDescent="0.2">
      <c r="A112" s="616"/>
      <c r="B112" s="684"/>
      <c r="C112" s="484"/>
      <c r="D112" s="781"/>
      <c r="E112" s="491"/>
      <c r="F112" s="1144"/>
      <c r="G112" s="1020"/>
      <c r="H112" s="1128"/>
      <c r="I112" s="609"/>
      <c r="J112" s="608"/>
      <c r="K112" s="608"/>
      <c r="L112" s="609"/>
      <c r="M112" s="560"/>
      <c r="N112" s="617"/>
      <c r="O112" s="80"/>
      <c r="P112" s="234"/>
      <c r="Q112" s="119"/>
      <c r="R112" s="234"/>
      <c r="S112" s="114"/>
      <c r="T112" s="235"/>
      <c r="U112" s="115"/>
      <c r="V112" s="821"/>
      <c r="W112" s="811"/>
      <c r="X112" s="821"/>
      <c r="Y112" s="811"/>
      <c r="Z112" s="236"/>
      <c r="AA112" s="116"/>
      <c r="AB112" s="234"/>
      <c r="AC112" s="116"/>
      <c r="AD112" s="237"/>
      <c r="AE112" s="117"/>
      <c r="AF112" s="1092"/>
      <c r="AG112" s="1092"/>
      <c r="AH112" s="1093"/>
      <c r="AI112" s="80"/>
    </row>
    <row r="113" spans="1:35" x14ac:dyDescent="0.2">
      <c r="A113" s="616"/>
      <c r="B113" s="684"/>
      <c r="C113" s="484"/>
      <c r="D113" s="781"/>
      <c r="E113" s="491"/>
      <c r="F113" s="607"/>
      <c r="G113" s="1020"/>
      <c r="H113" s="1021"/>
      <c r="I113" s="1022"/>
      <c r="J113" s="608"/>
      <c r="K113" s="608"/>
      <c r="L113" s="609"/>
      <c r="M113" s="560"/>
      <c r="N113" s="617"/>
      <c r="O113" s="80"/>
      <c r="P113" s="234"/>
      <c r="Q113" s="119"/>
      <c r="R113" s="234"/>
      <c r="S113" s="114"/>
      <c r="T113" s="235"/>
      <c r="U113" s="115"/>
      <c r="V113" s="821"/>
      <c r="W113" s="811"/>
      <c r="X113" s="821"/>
      <c r="Y113" s="811"/>
      <c r="Z113" s="236"/>
      <c r="AA113" s="116"/>
      <c r="AB113" s="234"/>
      <c r="AC113" s="116"/>
      <c r="AD113" s="237"/>
      <c r="AE113" s="117"/>
      <c r="AF113" s="1092"/>
      <c r="AG113" s="1092"/>
      <c r="AH113" s="1093"/>
      <c r="AI113" s="80"/>
    </row>
    <row r="114" spans="1:35" x14ac:dyDescent="0.2">
      <c r="A114" s="616"/>
      <c r="B114" s="684"/>
      <c r="C114" s="484"/>
      <c r="D114" s="781"/>
      <c r="E114" s="491"/>
      <c r="F114" s="607"/>
      <c r="G114" s="1020"/>
      <c r="H114" s="1128"/>
      <c r="I114" s="609"/>
      <c r="J114" s="608"/>
      <c r="K114" s="608"/>
      <c r="L114" s="609"/>
      <c r="M114" s="560"/>
      <c r="N114" s="617"/>
      <c r="O114" s="80"/>
      <c r="P114" s="234"/>
      <c r="Q114" s="119"/>
      <c r="R114" s="234"/>
      <c r="S114" s="114"/>
      <c r="T114" s="235"/>
      <c r="U114" s="115"/>
      <c r="V114" s="821"/>
      <c r="W114" s="811"/>
      <c r="X114" s="821"/>
      <c r="Y114" s="811"/>
      <c r="Z114" s="236"/>
      <c r="AA114" s="116"/>
      <c r="AB114" s="234"/>
      <c r="AC114" s="116"/>
      <c r="AD114" s="237"/>
      <c r="AE114" s="117"/>
      <c r="AF114" s="1092"/>
      <c r="AG114" s="1092"/>
      <c r="AH114" s="1093"/>
      <c r="AI114" s="80"/>
    </row>
    <row r="115" spans="1:35" x14ac:dyDescent="0.2">
      <c r="A115" s="616"/>
      <c r="B115" s="684"/>
      <c r="C115" s="484"/>
      <c r="D115" s="781"/>
      <c r="E115" s="491"/>
      <c r="F115" s="607"/>
      <c r="G115" s="1020"/>
      <c r="H115" s="1128"/>
      <c r="I115" s="609"/>
      <c r="J115" s="608"/>
      <c r="K115" s="608"/>
      <c r="L115" s="609"/>
      <c r="M115" s="560"/>
      <c r="N115" s="617"/>
      <c r="O115" s="80"/>
      <c r="P115" s="234"/>
      <c r="Q115" s="119"/>
      <c r="R115" s="234"/>
      <c r="S115" s="114"/>
      <c r="T115" s="235"/>
      <c r="U115" s="115"/>
      <c r="V115" s="821"/>
      <c r="W115" s="811"/>
      <c r="X115" s="821"/>
      <c r="Y115" s="811"/>
      <c r="Z115" s="236"/>
      <c r="AA115" s="116"/>
      <c r="AB115" s="234"/>
      <c r="AC115" s="116"/>
      <c r="AD115" s="237"/>
      <c r="AE115" s="117"/>
      <c r="AF115" s="1092"/>
      <c r="AG115" s="1092"/>
      <c r="AH115" s="1093"/>
      <c r="AI115" s="80"/>
    </row>
    <row r="116" spans="1:35" x14ac:dyDescent="0.2">
      <c r="A116" s="616"/>
      <c r="B116" s="684"/>
      <c r="C116" s="484"/>
      <c r="D116" s="781"/>
      <c r="E116" s="491"/>
      <c r="F116" s="607"/>
      <c r="G116" s="1020"/>
      <c r="H116" s="1021"/>
      <c r="I116" s="1022"/>
      <c r="J116" s="608"/>
      <c r="K116" s="608"/>
      <c r="L116" s="1022"/>
      <c r="M116" s="560"/>
      <c r="N116" s="617"/>
      <c r="O116" s="80"/>
      <c r="P116" s="234"/>
      <c r="Q116" s="119"/>
      <c r="R116" s="234"/>
      <c r="S116" s="114"/>
      <c r="T116" s="235"/>
      <c r="U116" s="115"/>
      <c r="V116" s="821"/>
      <c r="W116" s="811"/>
      <c r="X116" s="821"/>
      <c r="Y116" s="811"/>
      <c r="Z116" s="236"/>
      <c r="AA116" s="116"/>
      <c r="AB116" s="234"/>
      <c r="AC116" s="116"/>
      <c r="AD116" s="237"/>
      <c r="AE116" s="117"/>
      <c r="AF116" s="1092"/>
      <c r="AG116" s="1092"/>
      <c r="AH116" s="1093"/>
      <c r="AI116" s="80"/>
    </row>
    <row r="117" spans="1:35" x14ac:dyDescent="0.2">
      <c r="A117" s="616"/>
      <c r="B117" s="684"/>
      <c r="C117" s="484"/>
      <c r="D117" s="781"/>
      <c r="E117" s="491"/>
      <c r="F117" s="607"/>
      <c r="G117" s="1020"/>
      <c r="H117" s="1021"/>
      <c r="I117" s="1022"/>
      <c r="J117" s="1021"/>
      <c r="K117" s="1021"/>
      <c r="L117" s="1138"/>
      <c r="M117" s="560"/>
      <c r="N117" s="617"/>
      <c r="O117" s="80"/>
      <c r="P117" s="234"/>
      <c r="Q117" s="119"/>
      <c r="R117" s="234"/>
      <c r="S117" s="114"/>
      <c r="T117" s="235"/>
      <c r="U117" s="115"/>
      <c r="V117" s="821"/>
      <c r="W117" s="811"/>
      <c r="X117" s="821"/>
      <c r="Y117" s="811"/>
      <c r="Z117" s="236"/>
      <c r="AA117" s="116"/>
      <c r="AB117" s="234"/>
      <c r="AC117" s="116"/>
      <c r="AD117" s="237"/>
      <c r="AE117" s="117"/>
      <c r="AF117" s="1092"/>
      <c r="AG117" s="1092"/>
      <c r="AH117" s="1093"/>
      <c r="AI117" s="80"/>
    </row>
    <row r="118" spans="1:35" x14ac:dyDescent="0.2">
      <c r="A118" s="616"/>
      <c r="B118" s="684"/>
      <c r="C118" s="484"/>
      <c r="D118" s="781"/>
      <c r="E118" s="491"/>
      <c r="F118" s="607"/>
      <c r="G118" s="1020"/>
      <c r="H118" s="1021"/>
      <c r="I118" s="1022"/>
      <c r="J118" s="1021"/>
      <c r="K118" s="1021"/>
      <c r="L118" s="1138"/>
      <c r="M118" s="560"/>
      <c r="N118" s="617"/>
      <c r="O118" s="80"/>
      <c r="P118" s="234"/>
      <c r="Q118" s="119"/>
      <c r="R118" s="234"/>
      <c r="S118" s="114"/>
      <c r="T118" s="235"/>
      <c r="U118" s="115"/>
      <c r="V118" s="821"/>
      <c r="W118" s="811"/>
      <c r="X118" s="821"/>
      <c r="Y118" s="811"/>
      <c r="Z118" s="236"/>
      <c r="AA118" s="116"/>
      <c r="AB118" s="234"/>
      <c r="AC118" s="116"/>
      <c r="AD118" s="237"/>
      <c r="AE118" s="117"/>
      <c r="AF118" s="1092"/>
      <c r="AG118" s="1092"/>
      <c r="AH118" s="1093"/>
      <c r="AI118" s="80"/>
    </row>
    <row r="119" spans="1:35" x14ac:dyDescent="0.2">
      <c r="A119" s="616"/>
      <c r="B119" s="684"/>
      <c r="C119" s="484"/>
      <c r="D119" s="781"/>
      <c r="E119" s="491"/>
      <c r="F119" s="607"/>
      <c r="G119" s="1020"/>
      <c r="H119" s="1021"/>
      <c r="I119" s="1022"/>
      <c r="J119" s="1021"/>
      <c r="K119" s="1021"/>
      <c r="L119" s="1022"/>
      <c r="M119" s="560"/>
      <c r="N119" s="617"/>
      <c r="O119" s="80"/>
      <c r="P119" s="234"/>
      <c r="Q119" s="119"/>
      <c r="R119" s="234"/>
      <c r="S119" s="114"/>
      <c r="T119" s="235"/>
      <c r="U119" s="115"/>
      <c r="V119" s="821"/>
      <c r="W119" s="811"/>
      <c r="X119" s="821"/>
      <c r="Y119" s="811"/>
      <c r="Z119" s="236"/>
      <c r="AA119" s="116"/>
      <c r="AB119" s="234"/>
      <c r="AC119" s="116"/>
      <c r="AD119" s="237"/>
      <c r="AE119" s="117"/>
      <c r="AF119" s="1092"/>
      <c r="AG119" s="1092"/>
      <c r="AH119" s="1093"/>
      <c r="AI119" s="80"/>
    </row>
    <row r="120" spans="1:35" x14ac:dyDescent="0.2">
      <c r="A120" s="1139"/>
      <c r="B120" s="1155"/>
      <c r="C120" s="1156"/>
      <c r="D120" s="1156"/>
      <c r="E120" s="1143"/>
      <c r="F120" s="1144"/>
      <c r="G120" s="646"/>
      <c r="H120" s="1021"/>
      <c r="I120" s="609"/>
      <c r="J120" s="608"/>
      <c r="K120" s="608"/>
      <c r="L120" s="609"/>
      <c r="M120" s="1158"/>
      <c r="N120" s="617"/>
      <c r="O120" s="80"/>
      <c r="P120" s="234"/>
      <c r="Q120" s="1234"/>
      <c r="R120" s="234"/>
      <c r="S120" s="114"/>
      <c r="T120" s="235"/>
      <c r="U120" s="115"/>
      <c r="V120" s="821"/>
      <c r="W120" s="811"/>
      <c r="X120" s="821"/>
      <c r="Y120" s="811"/>
      <c r="Z120" s="236"/>
      <c r="AA120" s="116"/>
      <c r="AB120" s="234"/>
      <c r="AC120" s="116"/>
      <c r="AD120" s="237"/>
      <c r="AE120" s="117"/>
      <c r="AF120" s="1092"/>
      <c r="AG120" s="1092"/>
      <c r="AH120" s="1093"/>
      <c r="AI120" s="80"/>
    </row>
    <row r="121" spans="1:35" x14ac:dyDescent="0.2">
      <c r="A121" s="616"/>
      <c r="B121" s="684"/>
      <c r="C121" s="484"/>
      <c r="D121" s="781"/>
      <c r="E121" s="491"/>
      <c r="F121" s="607"/>
      <c r="G121" s="1020"/>
      <c r="H121" s="1128"/>
      <c r="I121" s="609"/>
      <c r="J121" s="608"/>
      <c r="K121" s="608"/>
      <c r="L121" s="609"/>
      <c r="M121" s="560"/>
      <c r="N121" s="617"/>
      <c r="O121" s="80"/>
      <c r="P121" s="234"/>
      <c r="Q121" s="119"/>
      <c r="R121" s="234"/>
      <c r="S121" s="114"/>
      <c r="T121" s="235"/>
      <c r="U121" s="115"/>
      <c r="V121" s="821"/>
      <c r="W121" s="811"/>
      <c r="X121" s="821"/>
      <c r="Y121" s="811"/>
      <c r="Z121" s="236"/>
      <c r="AA121" s="116"/>
      <c r="AB121" s="234"/>
      <c r="AC121" s="116"/>
      <c r="AD121" s="237"/>
      <c r="AE121" s="117"/>
      <c r="AF121" s="1092"/>
      <c r="AG121" s="1092"/>
      <c r="AH121" s="1093"/>
      <c r="AI121" s="80"/>
    </row>
    <row r="122" spans="1:35" x14ac:dyDescent="0.2">
      <c r="A122" s="616"/>
      <c r="B122" s="684"/>
      <c r="C122" s="484"/>
      <c r="D122" s="781"/>
      <c r="E122" s="491"/>
      <c r="F122" s="607"/>
      <c r="G122" s="1020"/>
      <c r="H122" s="1128"/>
      <c r="I122" s="609"/>
      <c r="J122" s="608"/>
      <c r="K122" s="608"/>
      <c r="L122" s="609"/>
      <c r="M122" s="560"/>
      <c r="N122" s="617"/>
      <c r="O122" s="80"/>
      <c r="P122" s="234"/>
      <c r="Q122" s="119"/>
      <c r="R122" s="234"/>
      <c r="S122" s="114"/>
      <c r="T122" s="235"/>
      <c r="U122" s="115"/>
      <c r="V122" s="821"/>
      <c r="W122" s="811"/>
      <c r="X122" s="821"/>
      <c r="Y122" s="811"/>
      <c r="Z122" s="236"/>
      <c r="AA122" s="116"/>
      <c r="AB122" s="234"/>
      <c r="AC122" s="116"/>
      <c r="AD122" s="237"/>
      <c r="AE122" s="117"/>
      <c r="AF122" s="1092"/>
      <c r="AG122" s="1092"/>
      <c r="AH122" s="1093"/>
      <c r="AI122" s="80"/>
    </row>
    <row r="123" spans="1:35" x14ac:dyDescent="0.2">
      <c r="A123" s="616"/>
      <c r="B123" s="684"/>
      <c r="C123" s="484"/>
      <c r="D123" s="781"/>
      <c r="E123" s="491"/>
      <c r="F123" s="607"/>
      <c r="G123" s="1020"/>
      <c r="H123" s="608"/>
      <c r="I123" s="609"/>
      <c r="J123" s="608"/>
      <c r="K123" s="608"/>
      <c r="L123" s="609"/>
      <c r="M123" s="560"/>
      <c r="N123" s="617"/>
      <c r="O123" s="80"/>
      <c r="P123" s="234"/>
      <c r="Q123" s="119"/>
      <c r="R123" s="234"/>
      <c r="S123" s="114"/>
      <c r="T123" s="235"/>
      <c r="U123" s="115"/>
      <c r="V123" s="821"/>
      <c r="W123" s="811"/>
      <c r="X123" s="821"/>
      <c r="Y123" s="811"/>
      <c r="Z123" s="236"/>
      <c r="AA123" s="116"/>
      <c r="AB123" s="234"/>
      <c r="AC123" s="116"/>
      <c r="AD123" s="237"/>
      <c r="AE123" s="117"/>
      <c r="AF123" s="1092"/>
      <c r="AG123" s="1092"/>
      <c r="AH123" s="1093"/>
      <c r="AI123" s="80"/>
    </row>
    <row r="124" spans="1:35" x14ac:dyDescent="0.2">
      <c r="A124" s="616"/>
      <c r="B124" s="630"/>
      <c r="C124" s="484"/>
      <c r="D124" s="781"/>
      <c r="E124" s="491"/>
      <c r="F124" s="607"/>
      <c r="G124" s="1020"/>
      <c r="H124" s="608"/>
      <c r="I124" s="609"/>
      <c r="J124" s="608"/>
      <c r="K124" s="608"/>
      <c r="L124" s="609"/>
      <c r="M124" s="560"/>
      <c r="N124" s="617"/>
      <c r="O124" s="80"/>
      <c r="P124" s="234"/>
      <c r="Q124" s="119"/>
      <c r="R124" s="234"/>
      <c r="S124" s="114"/>
      <c r="T124" s="235"/>
      <c r="U124" s="115"/>
      <c r="V124" s="821"/>
      <c r="W124" s="811"/>
      <c r="X124" s="821"/>
      <c r="Y124" s="811"/>
      <c r="Z124" s="236"/>
      <c r="AA124" s="116"/>
      <c r="AB124" s="234"/>
      <c r="AC124" s="116"/>
      <c r="AD124" s="237"/>
      <c r="AE124" s="117"/>
      <c r="AF124" s="1092"/>
      <c r="AG124" s="1092"/>
      <c r="AH124" s="1093"/>
      <c r="AI124" s="80"/>
    </row>
    <row r="125" spans="1:35" x14ac:dyDescent="0.2">
      <c r="A125" s="616"/>
      <c r="B125" s="369"/>
      <c r="C125" s="484"/>
      <c r="D125" s="781"/>
      <c r="E125" s="491"/>
      <c r="F125" s="607"/>
      <c r="G125" s="1020"/>
      <c r="H125" s="608"/>
      <c r="I125" s="609"/>
      <c r="J125" s="608"/>
      <c r="K125" s="608"/>
      <c r="L125" s="609"/>
      <c r="M125" s="560"/>
      <c r="N125" s="617"/>
      <c r="O125" s="80"/>
      <c r="P125" s="234"/>
      <c r="Q125" s="119"/>
      <c r="R125" s="234"/>
      <c r="S125" s="114"/>
      <c r="T125" s="235"/>
      <c r="U125" s="115"/>
      <c r="V125" s="821"/>
      <c r="W125" s="811"/>
      <c r="X125" s="821"/>
      <c r="Y125" s="811"/>
      <c r="Z125" s="236"/>
      <c r="AA125" s="116"/>
      <c r="AB125" s="234"/>
      <c r="AC125" s="116"/>
      <c r="AD125" s="237"/>
      <c r="AE125" s="117"/>
      <c r="AF125" s="1092"/>
      <c r="AG125" s="1092"/>
      <c r="AH125" s="1093"/>
      <c r="AI125" s="80"/>
    </row>
    <row r="126" spans="1:35" x14ac:dyDescent="0.2">
      <c r="A126" s="616"/>
      <c r="B126" s="684"/>
      <c r="C126" s="484"/>
      <c r="D126" s="781"/>
      <c r="E126" s="491"/>
      <c r="F126" s="607"/>
      <c r="G126" s="1020"/>
      <c r="H126" s="608"/>
      <c r="I126" s="609"/>
      <c r="J126" s="608"/>
      <c r="K126" s="608"/>
      <c r="L126" s="609"/>
      <c r="M126" s="560"/>
      <c r="N126" s="617"/>
      <c r="O126" s="80"/>
      <c r="P126" s="234"/>
      <c r="Q126" s="119"/>
      <c r="R126" s="234"/>
      <c r="S126" s="114"/>
      <c r="T126" s="235"/>
      <c r="U126" s="115"/>
      <c r="V126" s="821"/>
      <c r="W126" s="811"/>
      <c r="X126" s="821"/>
      <c r="Y126" s="811"/>
      <c r="Z126" s="236"/>
      <c r="AA126" s="116"/>
      <c r="AB126" s="234"/>
      <c r="AC126" s="116"/>
      <c r="AD126" s="237"/>
      <c r="AE126" s="117"/>
      <c r="AF126" s="1092"/>
      <c r="AG126" s="1092"/>
      <c r="AH126" s="1093"/>
      <c r="AI126" s="80"/>
    </row>
    <row r="127" spans="1:35" x14ac:dyDescent="0.2">
      <c r="A127" s="616"/>
      <c r="B127" s="684"/>
      <c r="C127" s="484"/>
      <c r="D127" s="781"/>
      <c r="E127" s="491"/>
      <c r="F127" s="607"/>
      <c r="G127" s="1159"/>
      <c r="H127" s="608"/>
      <c r="I127" s="609"/>
      <c r="J127" s="608"/>
      <c r="K127" s="608"/>
      <c r="L127" s="609"/>
      <c r="M127" s="560"/>
      <c r="N127" s="617"/>
      <c r="O127" s="80"/>
      <c r="P127" s="234"/>
      <c r="Q127" s="119"/>
      <c r="R127" s="234"/>
      <c r="S127" s="114"/>
      <c r="T127" s="235"/>
      <c r="U127" s="115"/>
      <c r="V127" s="821"/>
      <c r="W127" s="811"/>
      <c r="X127" s="821"/>
      <c r="Y127" s="811"/>
      <c r="Z127" s="236"/>
      <c r="AA127" s="116"/>
      <c r="AB127" s="234"/>
      <c r="AC127" s="116"/>
      <c r="AD127" s="237"/>
      <c r="AE127" s="117"/>
      <c r="AF127" s="1092"/>
      <c r="AG127" s="1092"/>
      <c r="AH127" s="1093"/>
      <c r="AI127" s="80"/>
    </row>
    <row r="128" spans="1:35" x14ac:dyDescent="0.2">
      <c r="A128" s="616"/>
      <c r="B128" s="684"/>
      <c r="C128" s="484"/>
      <c r="D128" s="781"/>
      <c r="E128" s="491"/>
      <c r="F128" s="607"/>
      <c r="G128" s="1020"/>
      <c r="H128" s="1021"/>
      <c r="I128" s="1022"/>
      <c r="J128" s="1021"/>
      <c r="K128" s="1021"/>
      <c r="L128" s="1022"/>
      <c r="M128" s="560"/>
      <c r="N128" s="617"/>
      <c r="O128" s="80"/>
      <c r="P128" s="234"/>
      <c r="Q128" s="119"/>
      <c r="R128" s="234"/>
      <c r="S128" s="114"/>
      <c r="T128" s="235"/>
      <c r="U128" s="115"/>
      <c r="V128" s="821"/>
      <c r="W128" s="811"/>
      <c r="X128" s="821"/>
      <c r="Y128" s="811"/>
      <c r="Z128" s="236"/>
      <c r="AA128" s="116"/>
      <c r="AB128" s="234"/>
      <c r="AC128" s="116"/>
      <c r="AD128" s="237"/>
      <c r="AE128" s="117"/>
      <c r="AF128" s="1092"/>
      <c r="AG128" s="1092"/>
      <c r="AH128" s="1093"/>
      <c r="AI128" s="80"/>
    </row>
    <row r="129" spans="1:35" x14ac:dyDescent="0.2">
      <c r="A129" s="616"/>
      <c r="B129" s="684"/>
      <c r="C129" s="484"/>
      <c r="D129" s="781"/>
      <c r="E129" s="491"/>
      <c r="F129" s="607"/>
      <c r="G129" s="1020"/>
      <c r="H129" s="608"/>
      <c r="I129" s="609"/>
      <c r="J129" s="608"/>
      <c r="K129" s="608"/>
      <c r="L129" s="609"/>
      <c r="M129" s="560"/>
      <c r="N129" s="617"/>
      <c r="O129" s="80"/>
      <c r="P129" s="234"/>
      <c r="Q129" s="119"/>
      <c r="R129" s="234"/>
      <c r="S129" s="114"/>
      <c r="T129" s="235"/>
      <c r="U129" s="115"/>
      <c r="V129" s="821"/>
      <c r="W129" s="811"/>
      <c r="X129" s="821"/>
      <c r="Y129" s="811"/>
      <c r="Z129" s="236"/>
      <c r="AA129" s="116"/>
      <c r="AB129" s="234"/>
      <c r="AC129" s="116"/>
      <c r="AD129" s="237"/>
      <c r="AE129" s="117"/>
      <c r="AF129" s="1092"/>
      <c r="AG129" s="1092"/>
      <c r="AH129" s="1093"/>
      <c r="AI129" s="80"/>
    </row>
    <row r="130" spans="1:35" x14ac:dyDescent="0.2">
      <c r="A130" s="616"/>
      <c r="B130" s="684"/>
      <c r="C130" s="484"/>
      <c r="D130" s="781"/>
      <c r="E130" s="491"/>
      <c r="F130" s="607"/>
      <c r="G130" s="1020"/>
      <c r="H130" s="1021"/>
      <c r="I130" s="1022"/>
      <c r="J130" s="1021"/>
      <c r="K130" s="1021"/>
      <c r="L130" s="1022"/>
      <c r="M130" s="560"/>
      <c r="N130" s="617"/>
      <c r="O130" s="80"/>
      <c r="P130" s="234"/>
      <c r="Q130" s="119"/>
      <c r="R130" s="234"/>
      <c r="S130" s="114"/>
      <c r="T130" s="235"/>
      <c r="U130" s="115"/>
      <c r="V130" s="821"/>
      <c r="W130" s="811"/>
      <c r="X130" s="821"/>
      <c r="Y130" s="811"/>
      <c r="Z130" s="236"/>
      <c r="AA130" s="116"/>
      <c r="AB130" s="234"/>
      <c r="AC130" s="116"/>
      <c r="AD130" s="237"/>
      <c r="AE130" s="117"/>
      <c r="AF130" s="1092"/>
      <c r="AG130" s="1092"/>
      <c r="AH130" s="1093"/>
      <c r="AI130" s="80"/>
    </row>
    <row r="131" spans="1:35" x14ac:dyDescent="0.2">
      <c r="A131" s="616"/>
      <c r="B131" s="684"/>
      <c r="C131" s="484"/>
      <c r="D131" s="781"/>
      <c r="E131" s="491"/>
      <c r="F131" s="607"/>
      <c r="G131" s="1020"/>
      <c r="H131" s="1021"/>
      <c r="I131" s="1022"/>
      <c r="J131" s="1021"/>
      <c r="K131" s="1021"/>
      <c r="L131" s="1138"/>
      <c r="M131" s="560"/>
      <c r="N131" s="617"/>
      <c r="O131" s="80"/>
      <c r="P131" s="234"/>
      <c r="Q131" s="119"/>
      <c r="R131" s="234"/>
      <c r="S131" s="114"/>
      <c r="T131" s="235"/>
      <c r="U131" s="115"/>
      <c r="V131" s="821"/>
      <c r="W131" s="811"/>
      <c r="X131" s="821"/>
      <c r="Y131" s="811"/>
      <c r="Z131" s="236"/>
      <c r="AA131" s="116"/>
      <c r="AB131" s="234"/>
      <c r="AC131" s="116"/>
      <c r="AD131" s="237"/>
      <c r="AE131" s="117"/>
      <c r="AF131" s="1092"/>
      <c r="AG131" s="1092"/>
      <c r="AH131" s="1093"/>
      <c r="AI131" s="80"/>
    </row>
    <row r="132" spans="1:35" x14ac:dyDescent="0.2">
      <c r="A132" s="616"/>
      <c r="B132" s="684"/>
      <c r="C132" s="484"/>
      <c r="D132" s="781"/>
      <c r="E132" s="491"/>
      <c r="F132" s="607"/>
      <c r="G132" s="1020"/>
      <c r="H132" s="1128"/>
      <c r="I132" s="609"/>
      <c r="J132" s="608"/>
      <c r="K132" s="608"/>
      <c r="L132" s="609"/>
      <c r="M132" s="560"/>
      <c r="N132" s="617"/>
      <c r="O132" s="80"/>
      <c r="P132" s="234"/>
      <c r="Q132" s="119"/>
      <c r="R132" s="234"/>
      <c r="S132" s="114"/>
      <c r="T132" s="235"/>
      <c r="U132" s="115"/>
      <c r="V132" s="821"/>
      <c r="W132" s="811"/>
      <c r="X132" s="821"/>
      <c r="Y132" s="811"/>
      <c r="Z132" s="236"/>
      <c r="AA132" s="116"/>
      <c r="AB132" s="234"/>
      <c r="AC132" s="116"/>
      <c r="AD132" s="237"/>
      <c r="AE132" s="117"/>
      <c r="AF132" s="1092"/>
      <c r="AG132" s="1092"/>
      <c r="AH132" s="1093"/>
      <c r="AI132" s="80"/>
    </row>
    <row r="133" spans="1:35" x14ac:dyDescent="0.2">
      <c r="A133" s="616"/>
      <c r="B133" s="684"/>
      <c r="C133" s="484"/>
      <c r="D133" s="781"/>
      <c r="E133" s="491"/>
      <c r="F133" s="607"/>
      <c r="G133" s="1020"/>
      <c r="H133" s="1128"/>
      <c r="I133" s="609"/>
      <c r="J133" s="608"/>
      <c r="K133" s="608"/>
      <c r="L133" s="609"/>
      <c r="M133" s="560"/>
      <c r="N133" s="617"/>
      <c r="O133" s="80"/>
      <c r="P133" s="234"/>
      <c r="Q133" s="119"/>
      <c r="R133" s="234"/>
      <c r="S133" s="114"/>
      <c r="T133" s="235"/>
      <c r="U133" s="115"/>
      <c r="V133" s="821"/>
      <c r="W133" s="811"/>
      <c r="X133" s="821"/>
      <c r="Y133" s="811"/>
      <c r="Z133" s="236"/>
      <c r="AA133" s="116"/>
      <c r="AB133" s="234"/>
      <c r="AC133" s="116"/>
      <c r="AD133" s="237"/>
      <c r="AE133" s="117"/>
      <c r="AF133" s="1092"/>
      <c r="AG133" s="1092"/>
      <c r="AH133" s="1093"/>
      <c r="AI133" s="80"/>
    </row>
    <row r="134" spans="1:35" x14ac:dyDescent="0.2">
      <c r="A134" s="616"/>
      <c r="B134" s="684"/>
      <c r="C134" s="484"/>
      <c r="D134" s="781"/>
      <c r="E134" s="491"/>
      <c r="F134" s="607"/>
      <c r="G134" s="1020"/>
      <c r="H134" s="1021"/>
      <c r="I134" s="1022"/>
      <c r="J134" s="608"/>
      <c r="K134" s="608"/>
      <c r="L134" s="609"/>
      <c r="M134" s="560"/>
      <c r="N134" s="617"/>
      <c r="O134" s="80"/>
      <c r="P134" s="234"/>
      <c r="Q134" s="119"/>
      <c r="R134" s="234"/>
      <c r="S134" s="114"/>
      <c r="T134" s="235"/>
      <c r="U134" s="115"/>
      <c r="V134" s="821"/>
      <c r="W134" s="811"/>
      <c r="X134" s="821"/>
      <c r="Y134" s="811"/>
      <c r="Z134" s="236"/>
      <c r="AA134" s="116"/>
      <c r="AB134" s="234"/>
      <c r="AC134" s="116"/>
      <c r="AD134" s="237"/>
      <c r="AE134" s="117"/>
      <c r="AF134" s="1092"/>
      <c r="AG134" s="1092"/>
      <c r="AH134" s="1093"/>
      <c r="AI134" s="80"/>
    </row>
    <row r="135" spans="1:35" x14ac:dyDescent="0.2">
      <c r="A135" s="616"/>
      <c r="B135" s="684"/>
      <c r="C135" s="484"/>
      <c r="D135" s="781"/>
      <c r="E135" s="491"/>
      <c r="F135" s="607"/>
      <c r="G135" s="1020"/>
      <c r="H135" s="1128"/>
      <c r="I135" s="609"/>
      <c r="J135" s="608"/>
      <c r="K135" s="608"/>
      <c r="L135" s="609"/>
      <c r="M135" s="560"/>
      <c r="N135" s="617"/>
      <c r="O135" s="80"/>
      <c r="P135" s="234"/>
      <c r="Q135" s="119"/>
      <c r="R135" s="234"/>
      <c r="S135" s="114"/>
      <c r="T135" s="235"/>
      <c r="U135" s="115"/>
      <c r="V135" s="821"/>
      <c r="W135" s="811"/>
      <c r="X135" s="821"/>
      <c r="Y135" s="811"/>
      <c r="Z135" s="236"/>
      <c r="AA135" s="116"/>
      <c r="AB135" s="234"/>
      <c r="AC135" s="116"/>
      <c r="AD135" s="237"/>
      <c r="AE135" s="117"/>
      <c r="AF135" s="1092"/>
      <c r="AG135" s="1092"/>
      <c r="AH135" s="1093"/>
      <c r="AI135" s="80"/>
    </row>
    <row r="136" spans="1:35" x14ac:dyDescent="0.2">
      <c r="A136" s="616"/>
      <c r="B136" s="684"/>
      <c r="C136" s="484"/>
      <c r="D136" s="781"/>
      <c r="E136" s="491"/>
      <c r="F136" s="607"/>
      <c r="G136" s="1020"/>
      <c r="H136" s="1021"/>
      <c r="I136" s="1022"/>
      <c r="J136" s="1021"/>
      <c r="K136" s="1021"/>
      <c r="L136" s="1022"/>
      <c r="M136" s="560"/>
      <c r="N136" s="617"/>
      <c r="O136" s="80"/>
      <c r="P136" s="234"/>
      <c r="Q136" s="119"/>
      <c r="R136" s="234"/>
      <c r="S136" s="114"/>
      <c r="T136" s="235"/>
      <c r="U136" s="115"/>
      <c r="V136" s="821"/>
      <c r="W136" s="811"/>
      <c r="X136" s="821"/>
      <c r="Y136" s="811"/>
      <c r="Z136" s="236"/>
      <c r="AA136" s="116"/>
      <c r="AB136" s="234"/>
      <c r="AC136" s="116"/>
      <c r="AD136" s="237"/>
      <c r="AE136" s="117"/>
      <c r="AF136" s="1092"/>
      <c r="AG136" s="1092"/>
      <c r="AH136" s="1093"/>
      <c r="AI136" s="80"/>
    </row>
    <row r="137" spans="1:35" x14ac:dyDescent="0.2">
      <c r="A137" s="1139"/>
      <c r="B137" s="1070"/>
      <c r="C137" s="1141"/>
      <c r="D137" s="1142"/>
      <c r="E137" s="1143"/>
      <c r="F137" s="1144"/>
      <c r="G137" s="1159"/>
      <c r="H137" s="608"/>
      <c r="I137" s="1022"/>
      <c r="J137" s="1021"/>
      <c r="K137" s="1021"/>
      <c r="L137" s="609"/>
      <c r="M137" s="1158"/>
      <c r="N137" s="1024"/>
      <c r="O137" s="80"/>
      <c r="P137" s="234"/>
      <c r="Q137" s="1233"/>
      <c r="R137" s="234"/>
      <c r="S137" s="114"/>
      <c r="T137" s="235"/>
      <c r="U137" s="115"/>
      <c r="V137" s="821"/>
      <c r="W137" s="811"/>
      <c r="X137" s="821"/>
      <c r="Y137" s="811"/>
      <c r="Z137" s="236"/>
      <c r="AA137" s="116"/>
      <c r="AB137" s="234"/>
      <c r="AC137" s="116"/>
      <c r="AD137" s="237"/>
      <c r="AE137" s="117"/>
      <c r="AF137" s="1092"/>
      <c r="AG137" s="1092"/>
      <c r="AH137" s="1093"/>
      <c r="AI137" s="80"/>
    </row>
    <row r="138" spans="1:35" x14ac:dyDescent="0.2">
      <c r="A138" s="616"/>
      <c r="B138" s="684"/>
      <c r="C138" s="484"/>
      <c r="D138" s="781"/>
      <c r="E138" s="491"/>
      <c r="F138" s="607"/>
      <c r="G138" s="1020"/>
      <c r="H138" s="1128"/>
      <c r="I138" s="609"/>
      <c r="J138" s="608"/>
      <c r="K138" s="608"/>
      <c r="L138" s="609"/>
      <c r="M138" s="560"/>
      <c r="N138" s="617"/>
      <c r="O138" s="80"/>
      <c r="P138" s="234"/>
      <c r="Q138" s="119"/>
      <c r="R138" s="234"/>
      <c r="S138" s="114"/>
      <c r="T138" s="235"/>
      <c r="U138" s="115"/>
      <c r="V138" s="821"/>
      <c r="W138" s="811"/>
      <c r="X138" s="821"/>
      <c r="Y138" s="811"/>
      <c r="Z138" s="236"/>
      <c r="AA138" s="116"/>
      <c r="AB138" s="234"/>
      <c r="AC138" s="116"/>
      <c r="AD138" s="237"/>
      <c r="AE138" s="117"/>
      <c r="AF138" s="1092"/>
      <c r="AG138" s="1092"/>
      <c r="AH138" s="1093"/>
      <c r="AI138" s="80"/>
    </row>
    <row r="139" spans="1:35" x14ac:dyDescent="0.2">
      <c r="A139" s="616"/>
      <c r="B139" s="684"/>
      <c r="C139" s="484"/>
      <c r="D139" s="781"/>
      <c r="E139" s="491"/>
      <c r="F139" s="607"/>
      <c r="G139" s="1020"/>
      <c r="H139" s="1128"/>
      <c r="I139" s="609"/>
      <c r="J139" s="608"/>
      <c r="K139" s="608"/>
      <c r="L139" s="609"/>
      <c r="M139" s="560"/>
      <c r="N139" s="617"/>
      <c r="O139" s="80"/>
      <c r="P139" s="234"/>
      <c r="Q139" s="119"/>
      <c r="R139" s="234"/>
      <c r="S139" s="114"/>
      <c r="T139" s="235"/>
      <c r="U139" s="115"/>
      <c r="V139" s="821"/>
      <c r="W139" s="811"/>
      <c r="X139" s="821"/>
      <c r="Y139" s="811"/>
      <c r="Z139" s="236"/>
      <c r="AA139" s="116"/>
      <c r="AB139" s="234"/>
      <c r="AC139" s="116"/>
      <c r="AD139" s="237"/>
      <c r="AE139" s="117"/>
      <c r="AF139" s="1092"/>
      <c r="AG139" s="1092"/>
      <c r="AH139" s="1093"/>
      <c r="AI139" s="80"/>
    </row>
    <row r="140" spans="1:35" x14ac:dyDescent="0.2">
      <c r="A140" s="616"/>
      <c r="B140" s="684"/>
      <c r="C140" s="484"/>
      <c r="D140" s="781"/>
      <c r="E140" s="491"/>
      <c r="F140" s="607"/>
      <c r="G140" s="1020"/>
      <c r="H140" s="1021"/>
      <c r="I140" s="609"/>
      <c r="J140" s="608"/>
      <c r="K140" s="608"/>
      <c r="L140" s="609"/>
      <c r="M140" s="560"/>
      <c r="N140" s="617"/>
      <c r="O140" s="80"/>
      <c r="P140" s="234"/>
      <c r="Q140" s="119"/>
      <c r="R140" s="234"/>
      <c r="S140" s="114"/>
      <c r="T140" s="235"/>
      <c r="U140" s="115"/>
      <c r="V140" s="821"/>
      <c r="W140" s="811"/>
      <c r="X140" s="821"/>
      <c r="Y140" s="811"/>
      <c r="Z140" s="236"/>
      <c r="AA140" s="116"/>
      <c r="AB140" s="234"/>
      <c r="AC140" s="116"/>
      <c r="AD140" s="237"/>
      <c r="AE140" s="117"/>
      <c r="AF140" s="1092"/>
      <c r="AG140" s="1092"/>
      <c r="AH140" s="1093"/>
      <c r="AI140" s="80"/>
    </row>
    <row r="141" spans="1:35" x14ac:dyDescent="0.2">
      <c r="A141" s="1139"/>
      <c r="B141" s="1140"/>
      <c r="C141" s="1141"/>
      <c r="D141" s="1142"/>
      <c r="E141" s="1143"/>
      <c r="F141" s="1144"/>
      <c r="G141" s="1159"/>
      <c r="H141" s="1021"/>
      <c r="I141" s="1022"/>
      <c r="J141" s="1021"/>
      <c r="K141" s="1021"/>
      <c r="L141" s="609"/>
      <c r="M141" s="1145"/>
      <c r="N141" s="1024"/>
      <c r="O141" s="80"/>
      <c r="P141" s="234"/>
      <c r="Q141" s="1233"/>
      <c r="R141" s="234"/>
      <c r="S141" s="114"/>
      <c r="T141" s="235"/>
      <c r="U141" s="115"/>
      <c r="V141" s="821"/>
      <c r="W141" s="811"/>
      <c r="X141" s="821"/>
      <c r="Y141" s="811"/>
      <c r="Z141" s="236"/>
      <c r="AA141" s="116"/>
      <c r="AB141" s="234"/>
      <c r="AC141" s="116"/>
      <c r="AD141" s="237"/>
      <c r="AE141" s="117"/>
      <c r="AF141" s="1092"/>
      <c r="AG141" s="1092"/>
      <c r="AH141" s="1093"/>
      <c r="AI141" s="80"/>
    </row>
    <row r="142" spans="1:35" x14ac:dyDescent="0.2">
      <c r="A142" s="616"/>
      <c r="B142" s="684"/>
      <c r="C142" s="484"/>
      <c r="D142" s="781"/>
      <c r="E142" s="491"/>
      <c r="F142" s="607"/>
      <c r="G142" s="1020"/>
      <c r="H142" s="608"/>
      <c r="I142" s="609"/>
      <c r="J142" s="608"/>
      <c r="K142" s="608"/>
      <c r="L142" s="609"/>
      <c r="M142" s="560"/>
      <c r="N142" s="617"/>
      <c r="O142" s="80"/>
      <c r="P142" s="234"/>
      <c r="Q142" s="119"/>
      <c r="R142" s="234"/>
      <c r="S142" s="114"/>
      <c r="T142" s="235"/>
      <c r="U142" s="115"/>
      <c r="V142" s="821"/>
      <c r="W142" s="811"/>
      <c r="X142" s="821"/>
      <c r="Y142" s="811"/>
      <c r="Z142" s="236"/>
      <c r="AA142" s="116"/>
      <c r="AB142" s="234"/>
      <c r="AC142" s="116"/>
      <c r="AD142" s="237"/>
      <c r="AE142" s="117"/>
      <c r="AF142" s="1092"/>
      <c r="AG142" s="1092"/>
      <c r="AH142" s="1093"/>
      <c r="AI142" s="80"/>
    </row>
    <row r="143" spans="1:35" x14ac:dyDescent="0.2">
      <c r="A143" s="616"/>
      <c r="B143" s="350"/>
      <c r="C143" s="484"/>
      <c r="D143" s="781"/>
      <c r="E143" s="491"/>
      <c r="F143" s="607"/>
      <c r="G143" s="1020"/>
      <c r="H143" s="608"/>
      <c r="I143" s="609"/>
      <c r="J143" s="608"/>
      <c r="K143" s="608"/>
      <c r="L143" s="609"/>
      <c r="M143" s="560"/>
      <c r="N143" s="617"/>
      <c r="O143" s="80"/>
      <c r="P143" s="234"/>
      <c r="Q143" s="119"/>
      <c r="R143" s="234"/>
      <c r="S143" s="114"/>
      <c r="T143" s="235"/>
      <c r="U143" s="115"/>
      <c r="V143" s="821"/>
      <c r="W143" s="811"/>
      <c r="X143" s="821"/>
      <c r="Y143" s="811"/>
      <c r="Z143" s="236"/>
      <c r="AA143" s="116"/>
      <c r="AB143" s="234"/>
      <c r="AC143" s="116"/>
      <c r="AD143" s="237"/>
      <c r="AE143" s="117"/>
      <c r="AF143" s="1092"/>
      <c r="AG143" s="1092"/>
      <c r="AH143" s="1093"/>
      <c r="AI143" s="80"/>
    </row>
    <row r="144" spans="1:35" x14ac:dyDescent="0.2">
      <c r="A144" s="616"/>
      <c r="B144" s="684"/>
      <c r="C144" s="484"/>
      <c r="D144" s="781"/>
      <c r="E144" s="491"/>
      <c r="F144" s="607"/>
      <c r="G144" s="1020"/>
      <c r="H144" s="1128"/>
      <c r="I144" s="609"/>
      <c r="J144" s="608"/>
      <c r="K144" s="608"/>
      <c r="L144" s="609"/>
      <c r="M144" s="560"/>
      <c r="N144" s="617"/>
      <c r="O144" s="80"/>
      <c r="P144" s="234"/>
      <c r="Q144" s="119"/>
      <c r="R144" s="234"/>
      <c r="S144" s="114"/>
      <c r="T144" s="235"/>
      <c r="U144" s="115"/>
      <c r="V144" s="821"/>
      <c r="W144" s="811"/>
      <c r="X144" s="821"/>
      <c r="Y144" s="811"/>
      <c r="Z144" s="236"/>
      <c r="AA144" s="116"/>
      <c r="AB144" s="234"/>
      <c r="AC144" s="116"/>
      <c r="AD144" s="237"/>
      <c r="AE144" s="117"/>
      <c r="AF144" s="1092"/>
      <c r="AG144" s="1092"/>
      <c r="AH144" s="1093"/>
      <c r="AI144" s="80"/>
    </row>
    <row r="145" spans="1:35" x14ac:dyDescent="0.2">
      <c r="A145" s="616"/>
      <c r="B145" s="684"/>
      <c r="C145" s="484"/>
      <c r="D145" s="781"/>
      <c r="E145" s="491"/>
      <c r="F145" s="607"/>
      <c r="G145" s="1020"/>
      <c r="H145" s="1128"/>
      <c r="I145" s="609"/>
      <c r="J145" s="608"/>
      <c r="K145" s="608"/>
      <c r="L145" s="609"/>
      <c r="M145" s="560"/>
      <c r="N145" s="617"/>
      <c r="O145" s="80"/>
      <c r="P145" s="234"/>
      <c r="Q145" s="119"/>
      <c r="R145" s="234"/>
      <c r="S145" s="114"/>
      <c r="T145" s="235"/>
      <c r="U145" s="115"/>
      <c r="V145" s="821"/>
      <c r="W145" s="811"/>
      <c r="X145" s="821"/>
      <c r="Y145" s="811"/>
      <c r="Z145" s="236"/>
      <c r="AA145" s="116"/>
      <c r="AB145" s="234"/>
      <c r="AC145" s="116"/>
      <c r="AD145" s="237"/>
      <c r="AE145" s="117"/>
      <c r="AF145" s="1092"/>
      <c r="AG145" s="1092"/>
      <c r="AH145" s="1093"/>
      <c r="AI145" s="80"/>
    </row>
    <row r="146" spans="1:35" x14ac:dyDescent="0.2">
      <c r="A146" s="616"/>
      <c r="B146" s="684"/>
      <c r="C146" s="484"/>
      <c r="D146" s="781"/>
      <c r="E146" s="491"/>
      <c r="F146" s="607"/>
      <c r="G146" s="1020"/>
      <c r="H146" s="608"/>
      <c r="I146" s="609"/>
      <c r="J146" s="608"/>
      <c r="K146" s="608"/>
      <c r="L146" s="609"/>
      <c r="M146" s="560"/>
      <c r="N146" s="617"/>
      <c r="O146" s="80"/>
      <c r="P146" s="234"/>
      <c r="Q146" s="119"/>
      <c r="R146" s="234"/>
      <c r="S146" s="114"/>
      <c r="T146" s="235"/>
      <c r="U146" s="115"/>
      <c r="V146" s="821"/>
      <c r="W146" s="811"/>
      <c r="X146" s="821"/>
      <c r="Y146" s="811"/>
      <c r="Z146" s="236"/>
      <c r="AA146" s="116"/>
      <c r="AB146" s="234"/>
      <c r="AC146" s="116"/>
      <c r="AD146" s="237"/>
      <c r="AE146" s="117"/>
      <c r="AF146" s="1092"/>
      <c r="AG146" s="1092"/>
      <c r="AH146" s="1093"/>
      <c r="AI146" s="80"/>
    </row>
    <row r="147" spans="1:35" x14ac:dyDescent="0.2">
      <c r="A147" s="616"/>
      <c r="B147" s="684"/>
      <c r="C147" s="484"/>
      <c r="D147" s="781"/>
      <c r="E147" s="491"/>
      <c r="F147" s="607"/>
      <c r="G147" s="1020"/>
      <c r="H147" s="1021"/>
      <c r="I147" s="1022"/>
      <c r="J147" s="1021"/>
      <c r="K147" s="1021"/>
      <c r="L147" s="1022"/>
      <c r="M147" s="560"/>
      <c r="N147" s="617"/>
      <c r="O147" s="80"/>
      <c r="P147" s="234"/>
      <c r="Q147" s="119"/>
      <c r="R147" s="234"/>
      <c r="S147" s="114"/>
      <c r="T147" s="235"/>
      <c r="U147" s="115"/>
      <c r="V147" s="821"/>
      <c r="W147" s="811"/>
      <c r="X147" s="821"/>
      <c r="Y147" s="811"/>
      <c r="Z147" s="236"/>
      <c r="AA147" s="116"/>
      <c r="AB147" s="234"/>
      <c r="AC147" s="116"/>
      <c r="AD147" s="237"/>
      <c r="AE147" s="117"/>
      <c r="AF147" s="1092"/>
      <c r="AG147" s="1092"/>
      <c r="AH147" s="1093"/>
      <c r="AI147" s="80"/>
    </row>
    <row r="148" spans="1:35" x14ac:dyDescent="0.2">
      <c r="A148" s="616"/>
      <c r="B148" s="684"/>
      <c r="C148" s="484"/>
      <c r="D148" s="781"/>
      <c r="E148" s="491"/>
      <c r="F148" s="607"/>
      <c r="G148" s="1020"/>
      <c r="H148" s="1021"/>
      <c r="I148" s="1022"/>
      <c r="J148" s="1021"/>
      <c r="K148" s="1021"/>
      <c r="L148" s="1022"/>
      <c r="M148" s="560"/>
      <c r="N148" s="617"/>
      <c r="O148" s="80"/>
      <c r="P148" s="234"/>
      <c r="Q148" s="119"/>
      <c r="R148" s="234"/>
      <c r="S148" s="114"/>
      <c r="T148" s="235"/>
      <c r="U148" s="115"/>
      <c r="V148" s="821"/>
      <c r="W148" s="811"/>
      <c r="X148" s="821"/>
      <c r="Y148" s="811"/>
      <c r="Z148" s="236"/>
      <c r="AA148" s="116"/>
      <c r="AB148" s="234"/>
      <c r="AC148" s="116"/>
      <c r="AD148" s="237"/>
      <c r="AE148" s="117"/>
      <c r="AF148" s="1092"/>
      <c r="AG148" s="1092"/>
      <c r="AH148" s="1093"/>
      <c r="AI148" s="80"/>
    </row>
    <row r="149" spans="1:35" x14ac:dyDescent="0.2">
      <c r="A149" s="616"/>
      <c r="B149" s="684"/>
      <c r="C149" s="484"/>
      <c r="D149" s="781"/>
      <c r="E149" s="491"/>
      <c r="F149" s="607"/>
      <c r="G149" s="1020"/>
      <c r="H149" s="1021"/>
      <c r="I149" s="1022"/>
      <c r="J149" s="608"/>
      <c r="K149" s="608"/>
      <c r="L149" s="609"/>
      <c r="M149" s="560"/>
      <c r="N149" s="617"/>
      <c r="O149" s="80"/>
      <c r="P149" s="234"/>
      <c r="Q149" s="119"/>
      <c r="R149" s="234"/>
      <c r="S149" s="114"/>
      <c r="T149" s="235"/>
      <c r="U149" s="115"/>
      <c r="V149" s="821"/>
      <c r="W149" s="811"/>
      <c r="X149" s="821"/>
      <c r="Y149" s="811"/>
      <c r="Z149" s="236"/>
      <c r="AA149" s="116"/>
      <c r="AB149" s="234"/>
      <c r="AC149" s="116"/>
      <c r="AD149" s="237"/>
      <c r="AE149" s="117"/>
      <c r="AF149" s="1092"/>
      <c r="AG149" s="1092"/>
      <c r="AH149" s="1093"/>
      <c r="AI149" s="80"/>
    </row>
    <row r="150" spans="1:35" x14ac:dyDescent="0.2">
      <c r="A150" s="616"/>
      <c r="B150" s="684"/>
      <c r="C150" s="484"/>
      <c r="D150" s="781"/>
      <c r="E150" s="491"/>
      <c r="F150" s="607"/>
      <c r="G150" s="1020"/>
      <c r="H150" s="1021"/>
      <c r="I150" s="1022"/>
      <c r="J150" s="608"/>
      <c r="K150" s="608"/>
      <c r="L150" s="609"/>
      <c r="M150" s="560"/>
      <c r="N150" s="617"/>
      <c r="O150" s="80"/>
      <c r="P150" s="234"/>
      <c r="Q150" s="119"/>
      <c r="R150" s="234"/>
      <c r="S150" s="114"/>
      <c r="T150" s="235"/>
      <c r="U150" s="115"/>
      <c r="V150" s="821"/>
      <c r="W150" s="811"/>
      <c r="X150" s="821"/>
      <c r="Y150" s="811"/>
      <c r="Z150" s="236"/>
      <c r="AA150" s="116"/>
      <c r="AB150" s="234"/>
      <c r="AC150" s="116"/>
      <c r="AD150" s="237"/>
      <c r="AE150" s="117"/>
      <c r="AF150" s="1092"/>
      <c r="AG150" s="1092"/>
      <c r="AH150" s="1093"/>
      <c r="AI150" s="80"/>
    </row>
    <row r="151" spans="1:35" x14ac:dyDescent="0.2">
      <c r="A151" s="616"/>
      <c r="B151" s="684"/>
      <c r="C151" s="484"/>
      <c r="D151" s="781"/>
      <c r="E151" s="491"/>
      <c r="F151" s="607"/>
      <c r="G151" s="1020"/>
      <c r="H151" s="608"/>
      <c r="I151" s="609"/>
      <c r="J151" s="608"/>
      <c r="K151" s="608"/>
      <c r="L151" s="609"/>
      <c r="M151" s="560"/>
      <c r="N151" s="617"/>
      <c r="O151" s="80"/>
      <c r="P151" s="234"/>
      <c r="Q151" s="119"/>
      <c r="R151" s="234"/>
      <c r="S151" s="114"/>
      <c r="T151" s="235"/>
      <c r="U151" s="115"/>
      <c r="V151" s="821"/>
      <c r="W151" s="811"/>
      <c r="X151" s="821"/>
      <c r="Y151" s="811"/>
      <c r="Z151" s="236"/>
      <c r="AA151" s="116"/>
      <c r="AB151" s="234"/>
      <c r="AC151" s="116"/>
      <c r="AD151" s="237"/>
      <c r="AE151" s="117"/>
      <c r="AF151" s="1092"/>
      <c r="AG151" s="1092"/>
      <c r="AH151" s="1093"/>
      <c r="AI151" s="80"/>
    </row>
    <row r="152" spans="1:35" x14ac:dyDescent="0.2">
      <c r="A152" s="616"/>
      <c r="B152" s="684"/>
      <c r="C152" s="484"/>
      <c r="D152" s="781"/>
      <c r="E152" s="491"/>
      <c r="F152" s="607"/>
      <c r="G152" s="1020"/>
      <c r="H152" s="1128"/>
      <c r="I152" s="609"/>
      <c r="J152" s="608"/>
      <c r="K152" s="608"/>
      <c r="L152" s="609"/>
      <c r="M152" s="560"/>
      <c r="N152" s="617"/>
      <c r="O152" s="80"/>
      <c r="P152" s="234"/>
      <c r="Q152" s="119"/>
      <c r="R152" s="234"/>
      <c r="S152" s="114"/>
      <c r="T152" s="235"/>
      <c r="U152" s="115"/>
      <c r="V152" s="821"/>
      <c r="W152" s="811"/>
      <c r="X152" s="821"/>
      <c r="Y152" s="811"/>
      <c r="Z152" s="236"/>
      <c r="AA152" s="116"/>
      <c r="AB152" s="234"/>
      <c r="AC152" s="116"/>
      <c r="AD152" s="237"/>
      <c r="AE152" s="117"/>
      <c r="AF152" s="1092"/>
      <c r="AG152" s="1092"/>
      <c r="AH152" s="1093"/>
      <c r="AI152" s="80"/>
    </row>
    <row r="153" spans="1:35" x14ac:dyDescent="0.2">
      <c r="A153" s="1139"/>
      <c r="B153" s="1140"/>
      <c r="C153" s="1141"/>
      <c r="D153" s="1142"/>
      <c r="E153" s="1143"/>
      <c r="F153" s="1144"/>
      <c r="G153" s="1020"/>
      <c r="H153" s="1161"/>
      <c r="I153" s="1022"/>
      <c r="J153" s="1021"/>
      <c r="K153" s="1021"/>
      <c r="L153" s="609"/>
      <c r="M153" s="1158"/>
      <c r="N153" s="1157"/>
      <c r="O153" s="80"/>
      <c r="P153" s="234"/>
      <c r="Q153" s="1234"/>
      <c r="R153" s="234"/>
      <c r="S153" s="114"/>
      <c r="T153" s="235"/>
      <c r="U153" s="115"/>
      <c r="V153" s="821"/>
      <c r="W153" s="811"/>
      <c r="X153" s="821"/>
      <c r="Y153" s="811"/>
      <c r="Z153" s="236"/>
      <c r="AA153" s="116"/>
      <c r="AB153" s="234"/>
      <c r="AC153" s="116"/>
      <c r="AD153" s="237"/>
      <c r="AE153" s="117"/>
      <c r="AF153" s="1092"/>
      <c r="AG153" s="1092"/>
      <c r="AH153" s="1093"/>
      <c r="AI153" s="80"/>
    </row>
    <row r="154" spans="1:35" x14ac:dyDescent="0.2">
      <c r="A154" s="616"/>
      <c r="B154" s="684"/>
      <c r="C154" s="484"/>
      <c r="D154" s="781"/>
      <c r="E154" s="491"/>
      <c r="F154" s="607"/>
      <c r="G154" s="1020"/>
      <c r="H154" s="1128"/>
      <c r="I154" s="609"/>
      <c r="J154" s="608"/>
      <c r="K154" s="608"/>
      <c r="L154" s="609"/>
      <c r="M154" s="343"/>
      <c r="N154" s="589"/>
      <c r="O154" s="80"/>
      <c r="P154" s="234"/>
      <c r="Q154" s="119"/>
      <c r="R154" s="234"/>
      <c r="S154" s="114"/>
      <c r="T154" s="235"/>
      <c r="U154" s="115"/>
      <c r="V154" s="821"/>
      <c r="W154" s="811"/>
      <c r="X154" s="821"/>
      <c r="Y154" s="811"/>
      <c r="Z154" s="236"/>
      <c r="AA154" s="116"/>
      <c r="AB154" s="234"/>
      <c r="AC154" s="116"/>
      <c r="AD154" s="237"/>
      <c r="AE154" s="117"/>
      <c r="AF154" s="1092"/>
      <c r="AG154" s="1092"/>
      <c r="AH154" s="1093"/>
      <c r="AI154" s="80"/>
    </row>
    <row r="155" spans="1:35" x14ac:dyDescent="0.2">
      <c r="A155" s="616"/>
      <c r="B155" s="684"/>
      <c r="C155" s="484"/>
      <c r="D155" s="781"/>
      <c r="E155" s="491"/>
      <c r="F155" s="607"/>
      <c r="G155" s="1159"/>
      <c r="H155" s="1021"/>
      <c r="I155" s="1022"/>
      <c r="J155" s="1021"/>
      <c r="K155" s="1021"/>
      <c r="L155" s="1022"/>
      <c r="M155" s="343"/>
      <c r="N155" s="589"/>
      <c r="O155" s="80"/>
      <c r="P155" s="234"/>
      <c r="Q155" s="119"/>
      <c r="R155" s="234"/>
      <c r="S155" s="114"/>
      <c r="T155" s="235"/>
      <c r="U155" s="115"/>
      <c r="V155" s="821"/>
      <c r="W155" s="811"/>
      <c r="X155" s="821"/>
      <c r="Y155" s="811"/>
      <c r="Z155" s="236"/>
      <c r="AA155" s="116"/>
      <c r="AB155" s="234"/>
      <c r="AC155" s="116"/>
      <c r="AD155" s="237"/>
      <c r="AE155" s="117"/>
      <c r="AF155" s="1092"/>
      <c r="AG155" s="1092"/>
      <c r="AH155" s="1093"/>
      <c r="AI155" s="80"/>
    </row>
    <row r="156" spans="1:35" x14ac:dyDescent="0.2">
      <c r="A156" s="616"/>
      <c r="B156" s="684"/>
      <c r="C156" s="484"/>
      <c r="D156" s="781"/>
      <c r="E156" s="491"/>
      <c r="F156" s="607"/>
      <c r="G156" s="1159"/>
      <c r="H156" s="1021"/>
      <c r="I156" s="1022"/>
      <c r="J156" s="1021"/>
      <c r="K156" s="1021"/>
      <c r="L156" s="1022"/>
      <c r="M156" s="343"/>
      <c r="N156" s="589"/>
      <c r="O156" s="80"/>
      <c r="P156" s="234"/>
      <c r="Q156" s="119"/>
      <c r="R156" s="234"/>
      <c r="S156" s="114"/>
      <c r="T156" s="235"/>
      <c r="U156" s="115"/>
      <c r="V156" s="821"/>
      <c r="W156" s="811"/>
      <c r="X156" s="821"/>
      <c r="Y156" s="811"/>
      <c r="Z156" s="236"/>
      <c r="AA156" s="116"/>
      <c r="AB156" s="234"/>
      <c r="AC156" s="116"/>
      <c r="AD156" s="237"/>
      <c r="AE156" s="117"/>
      <c r="AF156" s="1092"/>
      <c r="AG156" s="1092"/>
      <c r="AH156" s="1093"/>
      <c r="AI156" s="80"/>
    </row>
    <row r="157" spans="1:35" x14ac:dyDescent="0.2">
      <c r="A157" s="616"/>
      <c r="B157" s="684"/>
      <c r="C157" s="484"/>
      <c r="D157" s="781"/>
      <c r="E157" s="491"/>
      <c r="F157" s="607"/>
      <c r="G157" s="1020"/>
      <c r="H157" s="1021"/>
      <c r="I157" s="609"/>
      <c r="J157" s="608"/>
      <c r="K157" s="608"/>
      <c r="L157" s="609"/>
      <c r="M157" s="343"/>
      <c r="N157" s="589"/>
      <c r="O157" s="80"/>
      <c r="P157" s="234"/>
      <c r="Q157" s="119"/>
      <c r="R157" s="234"/>
      <c r="S157" s="114"/>
      <c r="T157" s="235"/>
      <c r="U157" s="115"/>
      <c r="V157" s="821"/>
      <c r="W157" s="811"/>
      <c r="X157" s="821"/>
      <c r="Y157" s="811"/>
      <c r="Z157" s="236"/>
      <c r="AA157" s="116"/>
      <c r="AB157" s="234"/>
      <c r="AC157" s="116"/>
      <c r="AD157" s="237"/>
      <c r="AE157" s="117"/>
      <c r="AF157" s="1092"/>
      <c r="AG157" s="1092"/>
      <c r="AH157" s="1093"/>
      <c r="AI157" s="80"/>
    </row>
    <row r="158" spans="1:35" x14ac:dyDescent="0.2">
      <c r="A158" s="616"/>
      <c r="B158" s="684"/>
      <c r="C158" s="484"/>
      <c r="D158" s="781"/>
      <c r="E158" s="491"/>
      <c r="F158" s="607"/>
      <c r="G158" s="1159"/>
      <c r="H158" s="1021"/>
      <c r="I158" s="1022"/>
      <c r="J158" s="1021"/>
      <c r="K158" s="1021"/>
      <c r="L158" s="1022"/>
      <c r="M158" s="343"/>
      <c r="N158" s="589"/>
      <c r="O158" s="80"/>
      <c r="P158" s="234"/>
      <c r="Q158" s="119"/>
      <c r="R158" s="234"/>
      <c r="S158" s="114"/>
      <c r="T158" s="235"/>
      <c r="U158" s="115"/>
      <c r="V158" s="821"/>
      <c r="W158" s="811"/>
      <c r="X158" s="821"/>
      <c r="Y158" s="811"/>
      <c r="Z158" s="236"/>
      <c r="AA158" s="116"/>
      <c r="AB158" s="234"/>
      <c r="AC158" s="116"/>
      <c r="AD158" s="237"/>
      <c r="AE158" s="117"/>
      <c r="AF158" s="1092"/>
      <c r="AG158" s="1092"/>
      <c r="AH158" s="1093"/>
      <c r="AI158" s="80"/>
    </row>
    <row r="159" spans="1:35" x14ac:dyDescent="0.2">
      <c r="A159" s="616"/>
      <c r="B159" s="1028"/>
      <c r="C159" s="484"/>
      <c r="D159" s="781"/>
      <c r="E159" s="491"/>
      <c r="F159" s="607"/>
      <c r="G159" s="1159"/>
      <c r="H159" s="1021"/>
      <c r="I159" s="609"/>
      <c r="J159" s="1021"/>
      <c r="K159" s="1021"/>
      <c r="L159" s="609"/>
      <c r="M159" s="343"/>
      <c r="N159" s="589"/>
      <c r="O159" s="80"/>
      <c r="P159" s="234"/>
      <c r="Q159" s="637"/>
      <c r="R159" s="234"/>
      <c r="S159" s="114"/>
      <c r="T159" s="235"/>
      <c r="U159" s="115"/>
      <c r="V159" s="821"/>
      <c r="W159" s="811"/>
      <c r="X159" s="821"/>
      <c r="Y159" s="811"/>
      <c r="Z159" s="236"/>
      <c r="AA159" s="116"/>
      <c r="AB159" s="234"/>
      <c r="AC159" s="116"/>
      <c r="AD159" s="237"/>
      <c r="AE159" s="117"/>
      <c r="AF159" s="1092"/>
      <c r="AG159" s="1092"/>
      <c r="AH159" s="1093"/>
      <c r="AI159" s="80"/>
    </row>
    <row r="160" spans="1:35" x14ac:dyDescent="0.2">
      <c r="A160" s="616"/>
      <c r="B160" s="1028"/>
      <c r="C160" s="484"/>
      <c r="D160" s="781"/>
      <c r="E160" s="491"/>
      <c r="F160" s="607"/>
      <c r="G160" s="1159"/>
      <c r="H160" s="1021"/>
      <c r="I160" s="609"/>
      <c r="J160" s="1021"/>
      <c r="K160" s="1021"/>
      <c r="L160" s="609"/>
      <c r="M160" s="343"/>
      <c r="N160" s="589"/>
      <c r="O160" s="80"/>
      <c r="P160" s="234"/>
      <c r="Q160" s="637"/>
      <c r="R160" s="234"/>
      <c r="S160" s="114"/>
      <c r="T160" s="235"/>
      <c r="U160" s="115"/>
      <c r="V160" s="821"/>
      <c r="W160" s="811"/>
      <c r="X160" s="821"/>
      <c r="Y160" s="811"/>
      <c r="Z160" s="236"/>
      <c r="AA160" s="116"/>
      <c r="AB160" s="234"/>
      <c r="AC160" s="116"/>
      <c r="AD160" s="237"/>
      <c r="AE160" s="117"/>
      <c r="AF160" s="1092"/>
      <c r="AG160" s="1092"/>
      <c r="AH160" s="1093"/>
      <c r="AI160" s="80"/>
    </row>
    <row r="161" spans="1:35" x14ac:dyDescent="0.2">
      <c r="A161" s="616"/>
      <c r="B161" s="684"/>
      <c r="C161" s="484"/>
      <c r="D161" s="781"/>
      <c r="E161" s="491"/>
      <c r="F161" s="1144"/>
      <c r="G161" s="1020"/>
      <c r="H161" s="1128"/>
      <c r="I161" s="609"/>
      <c r="J161" s="608"/>
      <c r="K161" s="608"/>
      <c r="L161" s="609"/>
      <c r="M161" s="343"/>
      <c r="N161" s="589"/>
      <c r="O161" s="80"/>
      <c r="P161" s="234"/>
      <c r="Q161" s="119"/>
      <c r="R161" s="234"/>
      <c r="S161" s="114"/>
      <c r="T161" s="235"/>
      <c r="U161" s="115"/>
      <c r="V161" s="821"/>
      <c r="W161" s="811"/>
      <c r="X161" s="821"/>
      <c r="Y161" s="811"/>
      <c r="Z161" s="236"/>
      <c r="AA161" s="116"/>
      <c r="AB161" s="234"/>
      <c r="AC161" s="116"/>
      <c r="AD161" s="237"/>
      <c r="AE161" s="117"/>
      <c r="AF161" s="1092"/>
      <c r="AG161" s="1092"/>
      <c r="AH161" s="1093"/>
      <c r="AI161" s="80"/>
    </row>
    <row r="162" spans="1:35" x14ac:dyDescent="0.2">
      <c r="A162" s="616"/>
      <c r="B162" s="685"/>
      <c r="C162" s="650"/>
      <c r="D162" s="781"/>
      <c r="E162" s="491"/>
      <c r="F162" s="607"/>
      <c r="G162" s="1159"/>
      <c r="H162" s="1128"/>
      <c r="I162" s="609"/>
      <c r="J162" s="608"/>
      <c r="K162" s="608"/>
      <c r="L162" s="609"/>
      <c r="M162" s="343"/>
      <c r="N162" s="589"/>
      <c r="O162" s="80"/>
      <c r="P162" s="234"/>
      <c r="Q162" s="119"/>
      <c r="R162" s="234"/>
      <c r="S162" s="114"/>
      <c r="T162" s="235"/>
      <c r="U162" s="115"/>
      <c r="V162" s="821"/>
      <c r="W162" s="811"/>
      <c r="X162" s="821"/>
      <c r="Y162" s="811"/>
      <c r="Z162" s="236"/>
      <c r="AA162" s="116"/>
      <c r="AB162" s="234"/>
      <c r="AC162" s="116"/>
      <c r="AD162" s="237"/>
      <c r="AE162" s="117"/>
      <c r="AF162" s="1092"/>
      <c r="AG162" s="1092"/>
      <c r="AH162" s="1093"/>
      <c r="AI162" s="80"/>
    </row>
    <row r="163" spans="1:35" x14ac:dyDescent="0.2">
      <c r="A163" s="616"/>
      <c r="B163" s="684"/>
      <c r="C163" s="484"/>
      <c r="D163" s="781"/>
      <c r="E163" s="491"/>
      <c r="F163" s="607"/>
      <c r="G163" s="1159"/>
      <c r="H163" s="608"/>
      <c r="I163" s="609"/>
      <c r="J163" s="608"/>
      <c r="K163" s="608"/>
      <c r="L163" s="609"/>
      <c r="M163" s="343"/>
      <c r="N163" s="589"/>
      <c r="O163" s="80"/>
      <c r="P163" s="234"/>
      <c r="Q163" s="119"/>
      <c r="R163" s="234"/>
      <c r="S163" s="114"/>
      <c r="T163" s="235"/>
      <c r="U163" s="115"/>
      <c r="V163" s="821"/>
      <c r="W163" s="811"/>
      <c r="X163" s="821"/>
      <c r="Y163" s="811"/>
      <c r="Z163" s="236"/>
      <c r="AA163" s="116"/>
      <c r="AB163" s="234"/>
      <c r="AC163" s="116"/>
      <c r="AD163" s="237"/>
      <c r="AE163" s="117"/>
      <c r="AF163" s="1092"/>
      <c r="AG163" s="1092"/>
      <c r="AH163" s="1093"/>
      <c r="AI163" s="80"/>
    </row>
    <row r="164" spans="1:35" x14ac:dyDescent="0.2">
      <c r="A164" s="616"/>
      <c r="B164" s="684"/>
      <c r="C164" s="484"/>
      <c r="D164" s="781"/>
      <c r="E164" s="491"/>
      <c r="F164" s="607"/>
      <c r="G164" s="1020"/>
      <c r="H164" s="1128"/>
      <c r="I164" s="609"/>
      <c r="J164" s="608"/>
      <c r="K164" s="608"/>
      <c r="L164" s="609"/>
      <c r="M164" s="343"/>
      <c r="N164" s="589"/>
      <c r="O164" s="80"/>
      <c r="P164" s="234"/>
      <c r="Q164" s="119"/>
      <c r="R164" s="234"/>
      <c r="S164" s="114"/>
      <c r="T164" s="235"/>
      <c r="U164" s="115"/>
      <c r="V164" s="821"/>
      <c r="W164" s="811"/>
      <c r="X164" s="821"/>
      <c r="Y164" s="811"/>
      <c r="Z164" s="236"/>
      <c r="AA164" s="116"/>
      <c r="AB164" s="234"/>
      <c r="AC164" s="116"/>
      <c r="AD164" s="237"/>
      <c r="AE164" s="117"/>
      <c r="AF164" s="1092"/>
      <c r="AG164" s="1092"/>
      <c r="AH164" s="1093"/>
      <c r="AI164" s="80"/>
    </row>
    <row r="165" spans="1:35" x14ac:dyDescent="0.2">
      <c r="A165" s="616"/>
      <c r="B165" s="684"/>
      <c r="C165" s="484"/>
      <c r="D165" s="781"/>
      <c r="E165" s="491"/>
      <c r="F165" s="619"/>
      <c r="G165" s="1159"/>
      <c r="H165" s="1128"/>
      <c r="I165" s="609"/>
      <c r="J165" s="608"/>
      <c r="K165" s="608"/>
      <c r="L165" s="609"/>
      <c r="M165" s="343"/>
      <c r="N165" s="1029"/>
      <c r="O165" s="80"/>
      <c r="P165" s="234"/>
      <c r="Q165" s="119"/>
      <c r="R165" s="234"/>
      <c r="S165" s="114"/>
      <c r="T165" s="235"/>
      <c r="U165" s="115"/>
      <c r="V165" s="821"/>
      <c r="W165" s="811"/>
      <c r="X165" s="821"/>
      <c r="Y165" s="811"/>
      <c r="Z165" s="236"/>
      <c r="AA165" s="116"/>
      <c r="AB165" s="234"/>
      <c r="AC165" s="116"/>
      <c r="AD165" s="237"/>
      <c r="AE165" s="117"/>
      <c r="AF165" s="1092"/>
      <c r="AG165" s="1092"/>
      <c r="AH165" s="1093"/>
      <c r="AI165" s="80"/>
    </row>
    <row r="166" spans="1:35" x14ac:dyDescent="0.2">
      <c r="A166" s="616"/>
      <c r="B166" s="684"/>
      <c r="C166" s="484"/>
      <c r="D166" s="781"/>
      <c r="E166" s="491"/>
      <c r="F166" s="619"/>
      <c r="G166" s="1159"/>
      <c r="H166" s="1128"/>
      <c r="I166" s="609"/>
      <c r="J166" s="608"/>
      <c r="K166" s="608"/>
      <c r="L166" s="609"/>
      <c r="M166" s="343"/>
      <c r="N166" s="1029"/>
      <c r="O166" s="80"/>
      <c r="P166" s="234"/>
      <c r="Q166" s="119"/>
      <c r="R166" s="234"/>
      <c r="S166" s="114"/>
      <c r="T166" s="235"/>
      <c r="U166" s="115"/>
      <c r="V166" s="821"/>
      <c r="W166" s="811"/>
      <c r="X166" s="821"/>
      <c r="Y166" s="811"/>
      <c r="Z166" s="236"/>
      <c r="AA166" s="116"/>
      <c r="AB166" s="234"/>
      <c r="AC166" s="116"/>
      <c r="AD166" s="237"/>
      <c r="AE166" s="117"/>
      <c r="AF166" s="1092"/>
      <c r="AG166" s="1092"/>
      <c r="AH166" s="1093"/>
      <c r="AI166" s="80"/>
    </row>
    <row r="167" spans="1:35" x14ac:dyDescent="0.2">
      <c r="A167" s="616"/>
      <c r="B167" s="684"/>
      <c r="C167" s="484"/>
      <c r="D167" s="781"/>
      <c r="E167" s="491"/>
      <c r="F167" s="619"/>
      <c r="G167" s="1159"/>
      <c r="H167" s="1021"/>
      <c r="I167" s="1022"/>
      <c r="J167" s="608"/>
      <c r="K167" s="608"/>
      <c r="L167" s="609"/>
      <c r="M167" s="343"/>
      <c r="N167" s="1029"/>
      <c r="O167" s="80"/>
      <c r="P167" s="234"/>
      <c r="Q167" s="119"/>
      <c r="R167" s="234"/>
      <c r="S167" s="114"/>
      <c r="T167" s="235"/>
      <c r="U167" s="115"/>
      <c r="V167" s="821"/>
      <c r="W167" s="811"/>
      <c r="X167" s="821"/>
      <c r="Y167" s="811"/>
      <c r="Z167" s="236"/>
      <c r="AA167" s="116"/>
      <c r="AB167" s="234"/>
      <c r="AC167" s="116"/>
      <c r="AD167" s="237"/>
      <c r="AE167" s="117"/>
      <c r="AF167" s="1092"/>
      <c r="AG167" s="1092"/>
      <c r="AH167" s="1093"/>
      <c r="AI167" s="80"/>
    </row>
    <row r="168" spans="1:35" x14ac:dyDescent="0.2">
      <c r="A168" s="616"/>
      <c r="B168" s="684"/>
      <c r="C168" s="484"/>
      <c r="D168" s="781"/>
      <c r="E168" s="491"/>
      <c r="F168" s="619"/>
      <c r="G168" s="1020"/>
      <c r="H168" s="608"/>
      <c r="I168" s="609"/>
      <c r="J168" s="608"/>
      <c r="K168" s="608"/>
      <c r="L168" s="609"/>
      <c r="M168" s="343"/>
      <c r="N168" s="1029"/>
      <c r="O168" s="80"/>
      <c r="P168" s="234"/>
      <c r="Q168" s="119"/>
      <c r="R168" s="234"/>
      <c r="S168" s="114"/>
      <c r="T168" s="235"/>
      <c r="U168" s="115"/>
      <c r="V168" s="821"/>
      <c r="W168" s="811"/>
      <c r="X168" s="821"/>
      <c r="Y168" s="811"/>
      <c r="Z168" s="236"/>
      <c r="AA168" s="116"/>
      <c r="AB168" s="234"/>
      <c r="AC168" s="116"/>
      <c r="AD168" s="237"/>
      <c r="AE168" s="117"/>
      <c r="AF168" s="1092"/>
      <c r="AG168" s="1092"/>
      <c r="AH168" s="1093"/>
      <c r="AI168" s="80"/>
    </row>
    <row r="169" spans="1:35" x14ac:dyDescent="0.2">
      <c r="A169" s="616"/>
      <c r="B169" s="684"/>
      <c r="C169" s="484"/>
      <c r="D169" s="781"/>
      <c r="E169" s="491"/>
      <c r="F169" s="619"/>
      <c r="G169" s="1159"/>
      <c r="H169" s="1128"/>
      <c r="I169" s="609"/>
      <c r="J169" s="608"/>
      <c r="K169" s="608"/>
      <c r="L169" s="609"/>
      <c r="M169" s="343"/>
      <c r="N169" s="1029"/>
      <c r="O169" s="80"/>
      <c r="P169" s="234"/>
      <c r="Q169" s="119"/>
      <c r="R169" s="234"/>
      <c r="S169" s="114"/>
      <c r="T169" s="235"/>
      <c r="U169" s="115"/>
      <c r="V169" s="821"/>
      <c r="W169" s="811"/>
      <c r="X169" s="821"/>
      <c r="Y169" s="811"/>
      <c r="Z169" s="236"/>
      <c r="AA169" s="116"/>
      <c r="AB169" s="234"/>
      <c r="AC169" s="116"/>
      <c r="AD169" s="237"/>
      <c r="AE169" s="117"/>
      <c r="AF169" s="1092"/>
      <c r="AG169" s="1092"/>
      <c r="AH169" s="1093"/>
      <c r="AI169" s="80"/>
    </row>
    <row r="170" spans="1:35" x14ac:dyDescent="0.2">
      <c r="A170" s="616"/>
      <c r="B170" s="684"/>
      <c r="C170" s="484"/>
      <c r="D170" s="781"/>
      <c r="E170" s="491"/>
      <c r="F170" s="607"/>
      <c r="G170" s="1159"/>
      <c r="H170" s="1128"/>
      <c r="I170" s="609"/>
      <c r="J170" s="608"/>
      <c r="K170" s="608"/>
      <c r="L170" s="609"/>
      <c r="M170" s="343"/>
      <c r="N170" s="1029"/>
      <c r="O170" s="80"/>
      <c r="P170" s="234"/>
      <c r="Q170" s="119"/>
      <c r="R170" s="234"/>
      <c r="S170" s="114"/>
      <c r="T170" s="235"/>
      <c r="U170" s="115"/>
      <c r="V170" s="821"/>
      <c r="W170" s="811"/>
      <c r="X170" s="821"/>
      <c r="Y170" s="811"/>
      <c r="Z170" s="236"/>
      <c r="AA170" s="116"/>
      <c r="AB170" s="234"/>
      <c r="AC170" s="116"/>
      <c r="AD170" s="237"/>
      <c r="AE170" s="117"/>
      <c r="AF170" s="1092"/>
      <c r="AG170" s="1092"/>
      <c r="AH170" s="1093"/>
      <c r="AI170" s="80"/>
    </row>
    <row r="171" spans="1:35" x14ac:dyDescent="0.2">
      <c r="A171" s="616"/>
      <c r="B171" s="684"/>
      <c r="C171" s="484"/>
      <c r="D171" s="781"/>
      <c r="E171" s="491"/>
      <c r="F171" s="619"/>
      <c r="G171" s="1020"/>
      <c r="H171" s="1021"/>
      <c r="I171" s="1022"/>
      <c r="J171" s="608"/>
      <c r="K171" s="608"/>
      <c r="L171" s="609"/>
      <c r="M171" s="343"/>
      <c r="N171" s="1029"/>
      <c r="O171" s="80"/>
      <c r="P171" s="234"/>
      <c r="Q171" s="119"/>
      <c r="R171" s="234"/>
      <c r="S171" s="114"/>
      <c r="T171" s="235"/>
      <c r="U171" s="115"/>
      <c r="V171" s="821"/>
      <c r="W171" s="811"/>
      <c r="X171" s="821"/>
      <c r="Y171" s="811"/>
      <c r="Z171" s="236"/>
      <c r="AA171" s="116"/>
      <c r="AB171" s="234"/>
      <c r="AC171" s="116"/>
      <c r="AD171" s="237"/>
      <c r="AE171" s="117"/>
      <c r="AF171" s="1092"/>
      <c r="AG171" s="1092"/>
      <c r="AH171" s="1093"/>
      <c r="AI171" s="80"/>
    </row>
    <row r="172" spans="1:35" x14ac:dyDescent="0.2">
      <c r="A172" s="616"/>
      <c r="B172" s="684"/>
      <c r="C172" s="484"/>
      <c r="D172" s="781"/>
      <c r="E172" s="491"/>
      <c r="F172" s="619"/>
      <c r="G172" s="1159"/>
      <c r="H172" s="1021"/>
      <c r="I172" s="1022"/>
      <c r="J172" s="608"/>
      <c r="K172" s="608"/>
      <c r="L172" s="609"/>
      <c r="M172" s="343"/>
      <c r="N172" s="1029"/>
      <c r="O172" s="80"/>
      <c r="P172" s="234"/>
      <c r="Q172" s="119"/>
      <c r="R172" s="234"/>
      <c r="S172" s="114"/>
      <c r="T172" s="235"/>
      <c r="U172" s="115"/>
      <c r="V172" s="821"/>
      <c r="W172" s="811"/>
      <c r="X172" s="821"/>
      <c r="Y172" s="811"/>
      <c r="Z172" s="236"/>
      <c r="AA172" s="116"/>
      <c r="AB172" s="234"/>
      <c r="AC172" s="116"/>
      <c r="AD172" s="237"/>
      <c r="AE172" s="117"/>
      <c r="AF172" s="1092"/>
      <c r="AG172" s="1092"/>
      <c r="AH172" s="1093"/>
      <c r="AI172" s="80"/>
    </row>
    <row r="173" spans="1:35" x14ac:dyDescent="0.2">
      <c r="A173" s="616"/>
      <c r="B173" s="684"/>
      <c r="C173" s="484"/>
      <c r="D173" s="781"/>
      <c r="E173" s="491"/>
      <c r="F173" s="619"/>
      <c r="G173" s="1159"/>
      <c r="H173" s="1021"/>
      <c r="I173" s="1022"/>
      <c r="J173" s="608"/>
      <c r="K173" s="608"/>
      <c r="L173" s="609"/>
      <c r="M173" s="343"/>
      <c r="N173" s="1029"/>
      <c r="O173" s="80"/>
      <c r="P173" s="234"/>
      <c r="Q173" s="119"/>
      <c r="R173" s="234"/>
      <c r="S173" s="114"/>
      <c r="T173" s="235"/>
      <c r="U173" s="115"/>
      <c r="V173" s="821"/>
      <c r="W173" s="811"/>
      <c r="X173" s="821"/>
      <c r="Y173" s="811"/>
      <c r="Z173" s="236"/>
      <c r="AA173" s="116"/>
      <c r="AB173" s="234"/>
      <c r="AC173" s="116"/>
      <c r="AD173" s="237"/>
      <c r="AE173" s="117"/>
      <c r="AF173" s="1092"/>
      <c r="AG173" s="1092"/>
      <c r="AH173" s="1093"/>
      <c r="AI173" s="80"/>
    </row>
    <row r="174" spans="1:35" x14ac:dyDescent="0.2">
      <c r="A174" s="616"/>
      <c r="B174" s="684"/>
      <c r="C174" s="484"/>
      <c r="D174" s="781"/>
      <c r="E174" s="491"/>
      <c r="F174" s="619"/>
      <c r="G174" s="1159"/>
      <c r="H174" s="1021"/>
      <c r="I174" s="1022"/>
      <c r="J174" s="608"/>
      <c r="K174" s="608"/>
      <c r="L174" s="609"/>
      <c r="M174" s="343"/>
      <c r="N174" s="1029"/>
      <c r="O174" s="80"/>
      <c r="P174" s="234"/>
      <c r="Q174" s="119"/>
      <c r="R174" s="234"/>
      <c r="S174" s="114"/>
      <c r="T174" s="235"/>
      <c r="U174" s="115"/>
      <c r="V174" s="821"/>
      <c r="W174" s="811"/>
      <c r="X174" s="821"/>
      <c r="Y174" s="811"/>
      <c r="Z174" s="236"/>
      <c r="AA174" s="116"/>
      <c r="AB174" s="234"/>
      <c r="AC174" s="116"/>
      <c r="AD174" s="237"/>
      <c r="AE174" s="117"/>
      <c r="AF174" s="1092"/>
      <c r="AG174" s="1092"/>
      <c r="AH174" s="1093"/>
      <c r="AI174" s="80"/>
    </row>
    <row r="175" spans="1:35" x14ac:dyDescent="0.2">
      <c r="A175" s="616"/>
      <c r="B175" s="684"/>
      <c r="C175" s="484"/>
      <c r="D175" s="781"/>
      <c r="E175" s="491"/>
      <c r="F175" s="619"/>
      <c r="G175" s="1020"/>
      <c r="H175" s="1021"/>
      <c r="I175" s="1022"/>
      <c r="J175" s="608"/>
      <c r="K175" s="608"/>
      <c r="L175" s="609"/>
      <c r="M175" s="343"/>
      <c r="N175" s="1029"/>
      <c r="O175" s="80"/>
      <c r="P175" s="234"/>
      <c r="Q175" s="811"/>
      <c r="R175" s="821"/>
      <c r="S175" s="811"/>
      <c r="T175" s="821"/>
      <c r="U175" s="811"/>
      <c r="V175" s="821"/>
      <c r="W175" s="811"/>
      <c r="X175" s="821"/>
      <c r="Y175" s="811"/>
      <c r="Z175" s="821"/>
      <c r="AA175" s="811"/>
      <c r="AB175" s="821"/>
      <c r="AC175" s="811"/>
      <c r="AD175" s="821"/>
      <c r="AE175" s="811"/>
      <c r="AF175" s="811"/>
      <c r="AG175" s="811"/>
      <c r="AH175" s="1093"/>
      <c r="AI175" s="80"/>
    </row>
    <row r="176" spans="1:35" x14ac:dyDescent="0.2">
      <c r="A176" s="616"/>
      <c r="B176" s="684"/>
      <c r="C176" s="484"/>
      <c r="D176" s="781"/>
      <c r="E176" s="491"/>
      <c r="F176" s="619"/>
      <c r="G176" s="1159"/>
      <c r="H176" s="1021"/>
      <c r="I176" s="1022"/>
      <c r="J176" s="1021"/>
      <c r="K176" s="1021"/>
      <c r="L176" s="1022"/>
      <c r="M176" s="343"/>
      <c r="N176" s="1029"/>
      <c r="O176" s="80"/>
      <c r="P176" s="234"/>
      <c r="Q176" s="119"/>
      <c r="R176" s="234"/>
      <c r="S176" s="114"/>
      <c r="T176" s="235"/>
      <c r="U176" s="115"/>
      <c r="V176" s="821"/>
      <c r="W176" s="811"/>
      <c r="X176" s="821"/>
      <c r="Y176" s="811"/>
      <c r="Z176" s="236"/>
      <c r="AA176" s="116"/>
      <c r="AB176" s="234"/>
      <c r="AC176" s="116"/>
      <c r="AD176" s="237"/>
      <c r="AE176" s="117"/>
      <c r="AF176" s="1092"/>
      <c r="AG176" s="1092"/>
      <c r="AH176" s="1093"/>
      <c r="AI176" s="80"/>
    </row>
    <row r="177" spans="1:35" x14ac:dyDescent="0.2">
      <c r="A177" s="616"/>
      <c r="B177" s="1030"/>
      <c r="C177" s="650"/>
      <c r="D177" s="781"/>
      <c r="E177" s="491"/>
      <c r="F177" s="619"/>
      <c r="G177" s="1159"/>
      <c r="H177" s="1021"/>
      <c r="I177" s="1022"/>
      <c r="J177" s="1128"/>
      <c r="K177" s="608"/>
      <c r="L177" s="609"/>
      <c r="M177" s="343"/>
      <c r="N177" s="1029"/>
      <c r="O177" s="80"/>
      <c r="P177" s="234"/>
      <c r="Q177" s="119"/>
      <c r="R177" s="234"/>
      <c r="S177" s="114"/>
      <c r="T177" s="235"/>
      <c r="U177" s="115"/>
      <c r="V177" s="821"/>
      <c r="W177" s="811"/>
      <c r="X177" s="821"/>
      <c r="Y177" s="811"/>
      <c r="Z177" s="236"/>
      <c r="AA177" s="116"/>
      <c r="AB177" s="234"/>
      <c r="AC177" s="116"/>
      <c r="AD177" s="237"/>
      <c r="AE177" s="117"/>
      <c r="AF177" s="1092"/>
      <c r="AG177" s="1092"/>
      <c r="AH177" s="1093"/>
      <c r="AI177" s="80"/>
    </row>
    <row r="178" spans="1:35" x14ac:dyDescent="0.2">
      <c r="A178" s="616"/>
      <c r="B178" s="684"/>
      <c r="C178" s="484"/>
      <c r="D178" s="781"/>
      <c r="E178" s="491"/>
      <c r="F178" s="619"/>
      <c r="G178" s="1159"/>
      <c r="H178" s="1021"/>
      <c r="I178" s="1022"/>
      <c r="J178" s="1021"/>
      <c r="K178" s="608"/>
      <c r="L178" s="609"/>
      <c r="M178" s="343"/>
      <c r="N178" s="1029"/>
      <c r="O178" s="80"/>
      <c r="P178" s="234"/>
      <c r="Q178" s="119"/>
      <c r="R178" s="234"/>
      <c r="S178" s="114"/>
      <c r="T178" s="235"/>
      <c r="U178" s="115"/>
      <c r="V178" s="821"/>
      <c r="W178" s="811"/>
      <c r="X178" s="821"/>
      <c r="Y178" s="811"/>
      <c r="Z178" s="236"/>
      <c r="AA178" s="116"/>
      <c r="AB178" s="234"/>
      <c r="AC178" s="116"/>
      <c r="AD178" s="237"/>
      <c r="AE178" s="117"/>
      <c r="AF178" s="1092"/>
      <c r="AG178" s="1092"/>
      <c r="AH178" s="1093"/>
      <c r="AI178" s="80"/>
    </row>
    <row r="179" spans="1:35" x14ac:dyDescent="0.2">
      <c r="A179" s="1139"/>
      <c r="B179" s="1140"/>
      <c r="C179" s="1141"/>
      <c r="D179" s="1142"/>
      <c r="E179" s="1143"/>
      <c r="F179" s="1160"/>
      <c r="G179" s="1159"/>
      <c r="H179" s="1021"/>
      <c r="I179" s="1022"/>
      <c r="J179" s="1021"/>
      <c r="K179" s="1021"/>
      <c r="L179" s="1022"/>
      <c r="M179" s="1158"/>
      <c r="N179" s="1157"/>
      <c r="O179" s="80"/>
      <c r="P179" s="234"/>
      <c r="Q179" s="1234"/>
      <c r="R179" s="234"/>
      <c r="S179" s="114"/>
      <c r="T179" s="235"/>
      <c r="U179" s="115"/>
      <c r="V179" s="821"/>
      <c r="W179" s="811"/>
      <c r="X179" s="821"/>
      <c r="Y179" s="811"/>
      <c r="Z179" s="236"/>
      <c r="AA179" s="116"/>
      <c r="AB179" s="234"/>
      <c r="AC179" s="116"/>
      <c r="AD179" s="237"/>
      <c r="AE179" s="117"/>
      <c r="AF179" s="1092"/>
      <c r="AG179" s="1092"/>
      <c r="AH179" s="1093"/>
      <c r="AI179" s="80"/>
    </row>
    <row r="180" spans="1:35" x14ac:dyDescent="0.2">
      <c r="A180" s="616"/>
      <c r="B180" s="684"/>
      <c r="C180" s="484"/>
      <c r="D180" s="781"/>
      <c r="E180" s="491"/>
      <c r="F180" s="619"/>
      <c r="G180" s="582"/>
      <c r="H180" s="608"/>
      <c r="I180" s="609"/>
      <c r="J180" s="608"/>
      <c r="K180" s="608"/>
      <c r="L180" s="610"/>
      <c r="M180" s="343"/>
      <c r="N180" s="1029"/>
      <c r="O180" s="80"/>
      <c r="P180" s="234"/>
      <c r="Q180" s="119"/>
      <c r="R180" s="234"/>
      <c r="S180" s="114"/>
      <c r="T180" s="235"/>
      <c r="U180" s="115"/>
      <c r="V180" s="821"/>
      <c r="W180" s="811"/>
      <c r="X180" s="821"/>
      <c r="Y180" s="811"/>
      <c r="Z180" s="236"/>
      <c r="AA180" s="116"/>
      <c r="AB180" s="234"/>
      <c r="AC180" s="116"/>
      <c r="AD180" s="237"/>
      <c r="AE180" s="117"/>
      <c r="AF180" s="1092"/>
      <c r="AG180" s="1092"/>
      <c r="AH180" s="1093"/>
      <c r="AI180" s="80"/>
    </row>
    <row r="181" spans="1:35" x14ac:dyDescent="0.2">
      <c r="A181" s="616"/>
      <c r="B181" s="744"/>
      <c r="C181" s="631"/>
      <c r="D181" s="581"/>
      <c r="E181" s="632"/>
      <c r="F181" s="619"/>
      <c r="G181" s="582"/>
      <c r="H181" s="608"/>
      <c r="I181" s="609"/>
      <c r="J181" s="608"/>
      <c r="K181" s="608"/>
      <c r="L181" s="610"/>
      <c r="M181" s="343"/>
      <c r="N181" s="589"/>
      <c r="O181" s="80"/>
      <c r="P181" s="234"/>
      <c r="Q181" s="119"/>
      <c r="R181" s="234"/>
      <c r="S181" s="114"/>
      <c r="T181" s="235"/>
      <c r="U181" s="115"/>
      <c r="V181" s="821"/>
      <c r="W181" s="811"/>
      <c r="X181" s="821"/>
      <c r="Y181" s="811"/>
      <c r="Z181" s="236"/>
      <c r="AA181" s="116"/>
      <c r="AB181" s="234"/>
      <c r="AC181" s="116"/>
      <c r="AD181" s="237"/>
      <c r="AE181" s="117"/>
      <c r="AF181" s="1092"/>
      <c r="AG181" s="1092"/>
      <c r="AH181" s="1093"/>
      <c r="AI181" s="80"/>
    </row>
    <row r="182" spans="1:35" x14ac:dyDescent="0.2">
      <c r="A182" s="616"/>
      <c r="B182" s="744"/>
      <c r="C182" s="631"/>
      <c r="D182" s="581"/>
      <c r="E182" s="632"/>
      <c r="F182" s="619"/>
      <c r="G182" s="582"/>
      <c r="H182" s="608"/>
      <c r="I182" s="609"/>
      <c r="J182" s="608"/>
      <c r="K182" s="608"/>
      <c r="L182" s="610"/>
      <c r="M182" s="343"/>
      <c r="N182" s="589"/>
      <c r="O182" s="80"/>
      <c r="P182" s="234"/>
      <c r="Q182" s="119"/>
      <c r="R182" s="234"/>
      <c r="S182" s="114"/>
      <c r="T182" s="235"/>
      <c r="U182" s="115"/>
      <c r="V182" s="821"/>
      <c r="W182" s="811"/>
      <c r="X182" s="821"/>
      <c r="Y182" s="811"/>
      <c r="Z182" s="236"/>
      <c r="AA182" s="116"/>
      <c r="AB182" s="234"/>
      <c r="AC182" s="116"/>
      <c r="AD182" s="237"/>
      <c r="AE182" s="117"/>
      <c r="AF182" s="1092"/>
      <c r="AG182" s="1092"/>
      <c r="AH182" s="1093"/>
      <c r="AI182" s="80"/>
    </row>
    <row r="183" spans="1:35" x14ac:dyDescent="0.2">
      <c r="A183" s="616"/>
      <c r="B183" s="744"/>
      <c r="C183" s="631"/>
      <c r="D183" s="581"/>
      <c r="E183" s="632"/>
      <c r="F183" s="619"/>
      <c r="G183" s="582"/>
      <c r="H183" s="608"/>
      <c r="I183" s="609"/>
      <c r="J183" s="608"/>
      <c r="K183" s="608"/>
      <c r="L183" s="610"/>
      <c r="M183" s="343"/>
      <c r="N183" s="589"/>
      <c r="O183" s="80"/>
      <c r="P183" s="234"/>
      <c r="Q183" s="119"/>
      <c r="R183" s="234"/>
      <c r="S183" s="114"/>
      <c r="T183" s="235"/>
      <c r="U183" s="115"/>
      <c r="V183" s="821"/>
      <c r="W183" s="811"/>
      <c r="X183" s="821"/>
      <c r="Y183" s="811"/>
      <c r="Z183" s="236"/>
      <c r="AA183" s="116"/>
      <c r="AB183" s="234"/>
      <c r="AC183" s="116"/>
      <c r="AD183" s="237"/>
      <c r="AE183" s="117"/>
      <c r="AF183" s="1092"/>
      <c r="AG183" s="1092"/>
      <c r="AH183" s="1093"/>
      <c r="AI183" s="80"/>
    </row>
    <row r="184" spans="1:35" x14ac:dyDescent="0.2">
      <c r="A184" s="616"/>
      <c r="B184" s="744"/>
      <c r="C184" s="631"/>
      <c r="D184" s="581"/>
      <c r="E184" s="632"/>
      <c r="F184" s="619"/>
      <c r="G184" s="582"/>
      <c r="H184" s="608"/>
      <c r="I184" s="609"/>
      <c r="J184" s="608"/>
      <c r="K184" s="608"/>
      <c r="L184" s="610"/>
      <c r="M184" s="343"/>
      <c r="N184" s="589"/>
      <c r="O184" s="80"/>
      <c r="P184" s="234"/>
      <c r="Q184" s="119"/>
      <c r="R184" s="234"/>
      <c r="S184" s="114"/>
      <c r="T184" s="235"/>
      <c r="U184" s="115"/>
      <c r="V184" s="821"/>
      <c r="W184" s="811"/>
      <c r="X184" s="821"/>
      <c r="Y184" s="811"/>
      <c r="Z184" s="236"/>
      <c r="AA184" s="116"/>
      <c r="AB184" s="234"/>
      <c r="AC184" s="116"/>
      <c r="AD184" s="237"/>
      <c r="AE184" s="117"/>
      <c r="AF184" s="1092"/>
      <c r="AG184" s="1092"/>
      <c r="AH184" s="1093"/>
      <c r="AI184" s="80"/>
    </row>
    <row r="185" spans="1:35" x14ac:dyDescent="0.2">
      <c r="A185" s="616"/>
      <c r="B185" s="744"/>
      <c r="C185" s="631"/>
      <c r="D185" s="581"/>
      <c r="E185" s="632"/>
      <c r="F185" s="619"/>
      <c r="G185" s="582"/>
      <c r="H185" s="608"/>
      <c r="I185" s="609"/>
      <c r="J185" s="608"/>
      <c r="K185" s="608"/>
      <c r="L185" s="610"/>
      <c r="M185" s="343"/>
      <c r="N185" s="589"/>
      <c r="O185" s="80"/>
      <c r="P185" s="234"/>
      <c r="Q185" s="119"/>
      <c r="R185" s="234"/>
      <c r="S185" s="114"/>
      <c r="T185" s="235"/>
      <c r="U185" s="115"/>
      <c r="V185" s="821"/>
      <c r="W185" s="811"/>
      <c r="X185" s="821"/>
      <c r="Y185" s="811"/>
      <c r="Z185" s="236"/>
      <c r="AA185" s="116"/>
      <c r="AB185" s="234"/>
      <c r="AC185" s="116"/>
      <c r="AD185" s="237"/>
      <c r="AE185" s="117"/>
      <c r="AF185" s="1092"/>
      <c r="AG185" s="1092"/>
      <c r="AH185" s="1093"/>
      <c r="AI185" s="80"/>
    </row>
    <row r="186" spans="1:35" x14ac:dyDescent="0.2">
      <c r="A186" s="616"/>
      <c r="B186" s="744"/>
      <c r="C186" s="631"/>
      <c r="D186" s="581"/>
      <c r="E186" s="632"/>
      <c r="F186" s="619"/>
      <c r="G186" s="582"/>
      <c r="H186" s="608"/>
      <c r="I186" s="609"/>
      <c r="J186" s="608"/>
      <c r="K186" s="608"/>
      <c r="L186" s="610"/>
      <c r="M186" s="343"/>
      <c r="N186" s="589"/>
      <c r="O186" s="80"/>
      <c r="P186" s="1091"/>
      <c r="Q186" s="119"/>
      <c r="R186" s="234"/>
      <c r="S186" s="114"/>
      <c r="T186" s="235"/>
      <c r="U186" s="115"/>
      <c r="V186" s="821"/>
      <c r="W186" s="811"/>
      <c r="X186" s="821"/>
      <c r="Y186" s="811"/>
      <c r="Z186" s="236"/>
      <c r="AA186" s="116"/>
      <c r="AB186" s="234"/>
      <c r="AC186" s="116"/>
      <c r="AD186" s="237"/>
      <c r="AE186" s="117"/>
      <c r="AF186" s="1092"/>
      <c r="AG186" s="1092"/>
      <c r="AH186" s="1093"/>
      <c r="AI186" s="80"/>
    </row>
    <row r="187" spans="1:35" x14ac:dyDescent="0.2">
      <c r="A187" s="616"/>
      <c r="B187" s="744"/>
      <c r="C187" s="631"/>
      <c r="D187" s="581"/>
      <c r="E187" s="632"/>
      <c r="F187" s="619"/>
      <c r="G187" s="582"/>
      <c r="H187" s="608"/>
      <c r="I187" s="609"/>
      <c r="J187" s="608"/>
      <c r="K187" s="608"/>
      <c r="L187" s="610"/>
      <c r="M187" s="343"/>
      <c r="N187" s="589"/>
      <c r="O187" s="80"/>
      <c r="P187" s="1091"/>
      <c r="Q187" s="119"/>
      <c r="R187" s="234"/>
      <c r="S187" s="114"/>
      <c r="T187" s="235"/>
      <c r="U187" s="115"/>
      <c r="V187" s="821"/>
      <c r="W187" s="811"/>
      <c r="X187" s="821"/>
      <c r="Y187" s="811"/>
      <c r="Z187" s="236"/>
      <c r="AA187" s="116"/>
      <c r="AB187" s="234"/>
      <c r="AC187" s="116"/>
      <c r="AD187" s="237"/>
      <c r="AE187" s="117"/>
      <c r="AF187" s="1092"/>
      <c r="AG187" s="1092"/>
      <c r="AH187" s="1093"/>
      <c r="AI187" s="80"/>
    </row>
    <row r="188" spans="1:35" x14ac:dyDescent="0.2">
      <c r="A188" s="616"/>
      <c r="B188" s="744"/>
      <c r="C188" s="631"/>
      <c r="D188" s="581"/>
      <c r="E188" s="632"/>
      <c r="F188" s="619"/>
      <c r="G188" s="582"/>
      <c r="H188" s="608"/>
      <c r="I188" s="609"/>
      <c r="J188" s="608"/>
      <c r="K188" s="608"/>
      <c r="L188" s="610"/>
      <c r="M188" s="343"/>
      <c r="N188" s="589"/>
      <c r="O188" s="80"/>
      <c r="P188" s="1091"/>
      <c r="Q188" s="119"/>
      <c r="R188" s="234"/>
      <c r="S188" s="114"/>
      <c r="T188" s="235"/>
      <c r="U188" s="115"/>
      <c r="V188" s="821"/>
      <c r="W188" s="811"/>
      <c r="X188" s="821"/>
      <c r="Y188" s="811"/>
      <c r="Z188" s="236"/>
      <c r="AA188" s="116"/>
      <c r="AB188" s="234"/>
      <c r="AC188" s="116"/>
      <c r="AD188" s="237"/>
      <c r="AE188" s="117"/>
      <c r="AF188" s="1092"/>
      <c r="AG188" s="1092"/>
      <c r="AH188" s="1093"/>
      <c r="AI188" s="80"/>
    </row>
    <row r="189" spans="1:35" ht="13.5" thickBot="1" x14ac:dyDescent="0.25">
      <c r="A189" s="633"/>
      <c r="B189" s="745"/>
      <c r="C189" s="505"/>
      <c r="D189" s="634"/>
      <c r="E189" s="635"/>
      <c r="F189" s="315"/>
      <c r="G189" s="583"/>
      <c r="H189" s="620"/>
      <c r="I189" s="621"/>
      <c r="J189" s="620"/>
      <c r="K189" s="620"/>
      <c r="L189" s="622"/>
      <c r="M189" s="623"/>
      <c r="N189" s="590"/>
      <c r="O189" s="80"/>
      <c r="P189" s="301"/>
      <c r="Q189" s="183"/>
      <c r="R189" s="184"/>
      <c r="S189" s="185"/>
      <c r="T189" s="186"/>
      <c r="U189" s="187"/>
      <c r="V189" s="822"/>
      <c r="W189" s="812"/>
      <c r="X189" s="822"/>
      <c r="Y189" s="812"/>
      <c r="Z189" s="188"/>
      <c r="AA189" s="189"/>
      <c r="AB189" s="183"/>
      <c r="AC189" s="190"/>
      <c r="AD189" s="191"/>
      <c r="AE189" s="191"/>
      <c r="AF189" s="207"/>
      <c r="AG189" s="207"/>
      <c r="AH189" s="321"/>
      <c r="AI189" s="80"/>
    </row>
    <row r="190" spans="1:35" ht="13.5" thickBot="1" x14ac:dyDescent="0.25">
      <c r="A190" s="82"/>
      <c r="B190" s="353"/>
      <c r="D190" s="82"/>
      <c r="F190" s="90"/>
      <c r="L190" s="91"/>
      <c r="O190" s="80"/>
      <c r="Q190" s="99"/>
      <c r="R190" s="665"/>
      <c r="S190" s="196"/>
      <c r="T190" s="98"/>
      <c r="U190" s="146"/>
      <c r="V190" s="103"/>
      <c r="W190" s="148"/>
      <c r="X190" s="103"/>
      <c r="Y190" s="148"/>
      <c r="Z190" s="801"/>
      <c r="AA190" s="802"/>
      <c r="AB190" s="100"/>
      <c r="AC190" s="101"/>
      <c r="AD190" s="100"/>
      <c r="AE190" s="100"/>
      <c r="AF190" s="150"/>
      <c r="AG190" s="150"/>
      <c r="AH190" s="89"/>
      <c r="AI190" s="80"/>
    </row>
    <row r="191" spans="1:35" ht="13.5" thickBot="1" x14ac:dyDescent="0.25">
      <c r="A191" s="130"/>
      <c r="B191" s="746"/>
      <c r="C191" s="480"/>
      <c r="D191" s="271"/>
      <c r="E191" s="384"/>
      <c r="F191" s="239"/>
      <c r="H191" s="611"/>
      <c r="I191" s="612"/>
      <c r="L191" s="23"/>
      <c r="O191" s="80"/>
      <c r="P191" s="1123"/>
      <c r="Q191" s="803"/>
      <c r="R191" s="804"/>
      <c r="S191" s="803"/>
      <c r="T191" s="804"/>
      <c r="U191" s="803"/>
      <c r="V191" s="817"/>
      <c r="W191" s="806"/>
      <c r="X191" s="817"/>
      <c r="Y191" s="806"/>
      <c r="Z191" s="804"/>
      <c r="AA191" s="803"/>
      <c r="AB191" s="804"/>
      <c r="AC191" s="803"/>
      <c r="AD191" s="804"/>
      <c r="AE191" s="803"/>
      <c r="AF191" s="805"/>
      <c r="AG191" s="803"/>
      <c r="AH191" s="239"/>
      <c r="AI191" s="80"/>
    </row>
    <row r="192" spans="1:35" x14ac:dyDescent="0.2">
      <c r="A192" s="665"/>
      <c r="B192" s="747"/>
      <c r="C192" s="506"/>
      <c r="D192" s="82"/>
      <c r="F192" s="90"/>
      <c r="L192" s="91"/>
      <c r="O192" s="80"/>
      <c r="Q192" s="73"/>
      <c r="R192" s="83"/>
      <c r="S192" s="84"/>
      <c r="U192" s="85"/>
      <c r="W192" s="90"/>
      <c r="Y192" s="90"/>
      <c r="Z192" s="86"/>
      <c r="AA192" s="87"/>
      <c r="AB192" s="88"/>
      <c r="AD192" s="88"/>
      <c r="AE192" s="88"/>
      <c r="AF192" s="204"/>
      <c r="AG192" s="204"/>
      <c r="AH192" s="89"/>
      <c r="AI192" s="80"/>
    </row>
    <row r="193" spans="1:35" x14ac:dyDescent="0.2">
      <c r="A193" s="7"/>
      <c r="B193" s="748"/>
      <c r="C193" s="195"/>
      <c r="D193" s="67"/>
      <c r="E193" s="208"/>
      <c r="F193" s="66"/>
      <c r="G193" s="176"/>
      <c r="H193" s="176"/>
      <c r="I193" s="598"/>
      <c r="J193" s="37"/>
      <c r="K193" s="37"/>
      <c r="L193" s="96"/>
      <c r="M193" s="195"/>
      <c r="N193" s="195"/>
      <c r="O193" s="80"/>
      <c r="P193" s="1124"/>
      <c r="Q193" s="93"/>
      <c r="R193" s="92"/>
      <c r="S193" s="69"/>
      <c r="T193" s="92"/>
      <c r="U193" s="69"/>
      <c r="V193" s="472"/>
      <c r="W193" s="66"/>
      <c r="X193" s="472"/>
      <c r="Y193" s="66"/>
      <c r="Z193" s="93"/>
      <c r="AA193" s="69"/>
      <c r="AB193" s="69"/>
      <c r="AC193" s="94"/>
      <c r="AD193" s="69"/>
      <c r="AE193" s="69"/>
      <c r="AF193" s="205"/>
      <c r="AG193" s="205"/>
      <c r="AH193" s="95"/>
      <c r="AI193" s="80"/>
    </row>
    <row r="194" spans="1:35" x14ac:dyDescent="0.2">
      <c r="A194" s="65"/>
      <c r="B194" s="156"/>
      <c r="C194" s="219"/>
      <c r="D194" s="61"/>
      <c r="E194" s="60"/>
      <c r="F194" s="103"/>
      <c r="G194" s="177"/>
      <c r="H194" s="177"/>
      <c r="I194" s="599"/>
      <c r="J194" s="44"/>
      <c r="K194" s="44"/>
      <c r="L194" s="104"/>
      <c r="M194" s="196"/>
      <c r="N194" s="196"/>
      <c r="O194" s="80"/>
      <c r="P194" s="665"/>
      <c r="Q194" s="99"/>
      <c r="R194" s="98"/>
      <c r="S194" s="100"/>
      <c r="T194" s="98"/>
      <c r="U194" s="100"/>
      <c r="V194" s="103"/>
      <c r="W194" s="148"/>
      <c r="X194" s="103"/>
      <c r="Y194" s="148"/>
      <c r="Z194" s="99"/>
      <c r="AA194" s="100"/>
      <c r="AB194" s="100"/>
      <c r="AC194" s="101"/>
      <c r="AD194" s="100"/>
      <c r="AE194" s="100"/>
      <c r="AF194" s="150"/>
      <c r="AG194" s="150"/>
      <c r="AH194" s="102"/>
      <c r="AI194" s="80"/>
    </row>
    <row r="195" spans="1:35" ht="15.75" thickBot="1" x14ac:dyDescent="0.25">
      <c r="A195" s="113"/>
      <c r="B195" s="353"/>
      <c r="D195" s="82"/>
      <c r="F195" s="65"/>
      <c r="G195" s="177"/>
      <c r="H195" s="177"/>
      <c r="I195" s="599"/>
      <c r="J195" s="44"/>
      <c r="K195" s="44"/>
      <c r="L195" s="105"/>
      <c r="M195" s="196"/>
      <c r="N195" s="196"/>
      <c r="O195" s="80"/>
      <c r="P195" s="665"/>
      <c r="Q195" s="320"/>
      <c r="R195" s="98"/>
      <c r="S195" s="320"/>
      <c r="T195" s="98"/>
      <c r="U195" s="320"/>
      <c r="V195" s="103"/>
      <c r="W195" s="65"/>
      <c r="X195" s="103"/>
      <c r="Y195" s="65"/>
      <c r="Z195" s="99"/>
      <c r="AA195" s="320"/>
      <c r="AB195" s="320"/>
      <c r="AC195" s="101"/>
      <c r="AD195" s="320"/>
      <c r="AE195" s="320"/>
      <c r="AF195" s="206"/>
      <c r="AG195" s="206"/>
      <c r="AH195" s="120"/>
      <c r="AI195" s="80"/>
    </row>
    <row r="196" spans="1:35" x14ac:dyDescent="0.2">
      <c r="A196" s="1236"/>
      <c r="B196" s="1237"/>
      <c r="C196" s="1238"/>
      <c r="D196" s="1239"/>
      <c r="E196" s="1240"/>
      <c r="F196" s="615"/>
      <c r="G196" s="766"/>
      <c r="H196" s="561"/>
      <c r="I196" s="843"/>
      <c r="J196" s="771"/>
      <c r="K196" s="771"/>
      <c r="L196" s="772"/>
      <c r="M196" s="1152"/>
      <c r="N196" s="591"/>
      <c r="O196" s="80"/>
      <c r="P196" s="1089"/>
      <c r="Q196" s="179"/>
      <c r="R196" s="230"/>
      <c r="S196" s="180"/>
      <c r="T196" s="1235"/>
      <c r="U196" s="181"/>
      <c r="V196" s="820"/>
      <c r="W196" s="810"/>
      <c r="X196" s="820"/>
      <c r="Y196" s="810"/>
      <c r="Z196" s="230"/>
      <c r="AA196" s="182"/>
      <c r="AB196" s="230"/>
      <c r="AC196" s="182"/>
      <c r="AD196" s="233"/>
      <c r="AE196" s="259"/>
      <c r="AF196" s="203"/>
      <c r="AG196" s="203"/>
      <c r="AH196" s="1090"/>
      <c r="AI196" s="80"/>
    </row>
    <row r="197" spans="1:35" x14ac:dyDescent="0.2">
      <c r="A197" s="1241"/>
      <c r="B197" s="580"/>
      <c r="C197" s="1156"/>
      <c r="D197" s="1037"/>
      <c r="E197" s="1143"/>
      <c r="F197" s="607"/>
      <c r="G197" s="646"/>
      <c r="H197" s="144"/>
      <c r="I197" s="144"/>
      <c r="J197" s="775"/>
      <c r="K197" s="604"/>
      <c r="L197" s="774"/>
      <c r="M197" s="1154"/>
      <c r="N197" s="588"/>
      <c r="O197" s="80"/>
      <c r="P197" s="1091"/>
      <c r="Q197" s="119"/>
      <c r="R197" s="234"/>
      <c r="S197" s="114"/>
      <c r="T197" s="1153"/>
      <c r="U197" s="115"/>
      <c r="V197" s="821"/>
      <c r="W197" s="811"/>
      <c r="X197" s="821"/>
      <c r="Y197" s="811"/>
      <c r="Z197" s="235"/>
      <c r="AA197" s="116"/>
      <c r="AB197" s="234"/>
      <c r="AC197" s="116"/>
      <c r="AD197" s="237"/>
      <c r="AE197" s="117"/>
      <c r="AF197" s="1092"/>
      <c r="AG197" s="1092"/>
      <c r="AH197" s="1093"/>
      <c r="AI197" s="80"/>
    </row>
    <row r="198" spans="1:35" x14ac:dyDescent="0.2">
      <c r="A198" s="644"/>
      <c r="B198" s="350"/>
      <c r="C198" s="484"/>
      <c r="D198" s="482"/>
      <c r="E198" s="491"/>
      <c r="F198" s="607"/>
      <c r="G198" s="767"/>
      <c r="H198" s="144"/>
      <c r="I198" s="144"/>
      <c r="J198" s="775"/>
      <c r="K198" s="604"/>
      <c r="L198" s="774"/>
      <c r="M198" s="1023"/>
      <c r="N198" s="588"/>
      <c r="O198" s="80"/>
      <c r="P198" s="1091"/>
      <c r="Q198" s="119"/>
      <c r="R198" s="234"/>
      <c r="S198" s="114"/>
      <c r="T198" s="821"/>
      <c r="U198" s="115"/>
      <c r="V198" s="821"/>
      <c r="W198" s="811"/>
      <c r="X198" s="821"/>
      <c r="Y198" s="811"/>
      <c r="Z198" s="234"/>
      <c r="AA198" s="116"/>
      <c r="AB198" s="234"/>
      <c r="AC198" s="116"/>
      <c r="AD198" s="237"/>
      <c r="AE198" s="117"/>
      <c r="AF198" s="1092"/>
      <c r="AG198" s="1092"/>
      <c r="AH198" s="1093"/>
      <c r="AI198" s="80"/>
    </row>
    <row r="199" spans="1:35" x14ac:dyDescent="0.2">
      <c r="A199" s="644"/>
      <c r="B199" s="350"/>
      <c r="C199" s="484"/>
      <c r="D199" s="482"/>
      <c r="E199" s="491"/>
      <c r="F199" s="607"/>
      <c r="G199" s="767"/>
      <c r="H199" s="144"/>
      <c r="I199" s="144"/>
      <c r="J199" s="775"/>
      <c r="K199" s="604"/>
      <c r="L199" s="774"/>
      <c r="M199" s="1023"/>
      <c r="N199" s="617"/>
      <c r="O199" s="80"/>
      <c r="P199" s="1091"/>
      <c r="Q199" s="119"/>
      <c r="R199" s="234"/>
      <c r="S199" s="114"/>
      <c r="T199" s="235"/>
      <c r="U199" s="115"/>
      <c r="V199" s="821"/>
      <c r="W199" s="811"/>
      <c r="X199" s="821"/>
      <c r="Y199" s="811"/>
      <c r="Z199" s="234"/>
      <c r="AA199" s="116"/>
      <c r="AB199" s="234"/>
      <c r="AC199" s="116"/>
      <c r="AD199" s="237"/>
      <c r="AE199" s="117"/>
      <c r="AF199" s="1092"/>
      <c r="AG199" s="1092"/>
      <c r="AH199" s="1093"/>
      <c r="AI199" s="80"/>
    </row>
    <row r="200" spans="1:35" x14ac:dyDescent="0.2">
      <c r="A200" s="1241"/>
      <c r="B200" s="580"/>
      <c r="C200" s="1156"/>
      <c r="D200" s="1037"/>
      <c r="E200" s="1143"/>
      <c r="F200" s="607"/>
      <c r="G200" s="767"/>
      <c r="H200" s="144"/>
      <c r="I200" s="144"/>
      <c r="J200" s="775"/>
      <c r="K200" s="604"/>
      <c r="L200" s="774"/>
      <c r="M200" s="1154"/>
      <c r="N200" s="617"/>
      <c r="O200" s="80"/>
      <c r="P200" s="1091"/>
      <c r="Q200" s="119"/>
      <c r="R200" s="234"/>
      <c r="S200" s="114"/>
      <c r="T200" s="1153"/>
      <c r="U200" s="115"/>
      <c r="V200" s="821"/>
      <c r="W200" s="811"/>
      <c r="X200" s="821"/>
      <c r="Y200" s="811"/>
      <c r="Z200" s="234"/>
      <c r="AA200" s="116"/>
      <c r="AB200" s="234"/>
      <c r="AC200" s="116"/>
      <c r="AD200" s="237"/>
      <c r="AE200" s="117"/>
      <c r="AF200" s="1092"/>
      <c r="AG200" s="1092"/>
      <c r="AH200" s="1093"/>
      <c r="AI200" s="80"/>
    </row>
    <row r="201" spans="1:35" x14ac:dyDescent="0.2">
      <c r="A201" s="644"/>
      <c r="B201" s="350"/>
      <c r="C201" s="484"/>
      <c r="D201" s="482"/>
      <c r="E201" s="491"/>
      <c r="F201" s="607"/>
      <c r="G201" s="767"/>
      <c r="H201" s="144"/>
      <c r="I201" s="144"/>
      <c r="J201" s="775"/>
      <c r="K201" s="604"/>
      <c r="L201" s="774"/>
      <c r="M201" s="1023"/>
      <c r="N201" s="617"/>
      <c r="O201" s="80"/>
      <c r="P201" s="1091"/>
      <c r="Q201" s="119"/>
      <c r="R201" s="234"/>
      <c r="S201" s="114"/>
      <c r="T201" s="235"/>
      <c r="U201" s="115"/>
      <c r="V201" s="821"/>
      <c r="W201" s="811"/>
      <c r="X201" s="821"/>
      <c r="Y201" s="811"/>
      <c r="Z201" s="234"/>
      <c r="AA201" s="116"/>
      <c r="AB201" s="234"/>
      <c r="AC201" s="116"/>
      <c r="AD201" s="237"/>
      <c r="AE201" s="117"/>
      <c r="AF201" s="1092"/>
      <c r="AG201" s="1092"/>
      <c r="AH201" s="1093"/>
      <c r="AI201" s="80"/>
    </row>
    <row r="202" spans="1:35" x14ac:dyDescent="0.2">
      <c r="A202" s="644"/>
      <c r="B202" s="350"/>
      <c r="C202" s="484"/>
      <c r="D202" s="375"/>
      <c r="E202" s="491"/>
      <c r="F202" s="607"/>
      <c r="G202" s="767"/>
      <c r="H202" s="144"/>
      <c r="I202" s="144"/>
      <c r="J202" s="775"/>
      <c r="K202" s="604"/>
      <c r="L202" s="774"/>
      <c r="M202" s="560"/>
      <c r="N202" s="617"/>
      <c r="O202" s="80"/>
      <c r="P202" s="1091"/>
      <c r="Q202" s="119"/>
      <c r="R202" s="234"/>
      <c r="S202" s="114"/>
      <c r="T202" s="235"/>
      <c r="U202" s="115"/>
      <c r="V202" s="821"/>
      <c r="W202" s="811"/>
      <c r="X202" s="821"/>
      <c r="Y202" s="811"/>
      <c r="Z202" s="234"/>
      <c r="AA202" s="116"/>
      <c r="AB202" s="234"/>
      <c r="AC202" s="116"/>
      <c r="AD202" s="237"/>
      <c r="AE202" s="117"/>
      <c r="AF202" s="1092"/>
      <c r="AG202" s="1092"/>
      <c r="AH202" s="1093"/>
      <c r="AI202" s="80"/>
    </row>
    <row r="203" spans="1:35" x14ac:dyDescent="0.2">
      <c r="A203" s="644"/>
      <c r="B203" s="350"/>
      <c r="C203" s="484"/>
      <c r="D203" s="375"/>
      <c r="E203" s="491"/>
      <c r="F203" s="607"/>
      <c r="G203" s="767"/>
      <c r="H203" s="144"/>
      <c r="I203" s="144"/>
      <c r="J203" s="775"/>
      <c r="K203" s="604"/>
      <c r="L203" s="774"/>
      <c r="M203" s="560"/>
      <c r="N203" s="617"/>
      <c r="O203" s="80"/>
      <c r="P203" s="1091"/>
      <c r="Q203" s="119"/>
      <c r="R203" s="234"/>
      <c r="S203" s="114"/>
      <c r="T203" s="235"/>
      <c r="U203" s="115"/>
      <c r="V203" s="821"/>
      <c r="W203" s="811"/>
      <c r="X203" s="821"/>
      <c r="Y203" s="811"/>
      <c r="Z203" s="234"/>
      <c r="AA203" s="116"/>
      <c r="AB203" s="234"/>
      <c r="AC203" s="116"/>
      <c r="AD203" s="237"/>
      <c r="AE203" s="117"/>
      <c r="AF203" s="1092"/>
      <c r="AG203" s="1092"/>
      <c r="AH203" s="1093"/>
      <c r="AI203" s="80"/>
    </row>
    <row r="204" spans="1:35" x14ac:dyDescent="0.2">
      <c r="A204" s="644"/>
      <c r="B204" s="350"/>
      <c r="C204" s="484"/>
      <c r="D204" s="389"/>
      <c r="E204" s="491"/>
      <c r="F204" s="607"/>
      <c r="G204" s="767"/>
      <c r="H204" s="144"/>
      <c r="I204" s="144"/>
      <c r="J204" s="775"/>
      <c r="K204" s="604"/>
      <c r="L204" s="774"/>
      <c r="M204" s="560"/>
      <c r="N204" s="617"/>
      <c r="O204" s="80"/>
      <c r="P204" s="1091"/>
      <c r="Q204" s="119"/>
      <c r="R204" s="234"/>
      <c r="S204" s="114"/>
      <c r="T204" s="235"/>
      <c r="U204" s="115"/>
      <c r="V204" s="821"/>
      <c r="W204" s="811"/>
      <c r="X204" s="821"/>
      <c r="Y204" s="811"/>
      <c r="Z204" s="234"/>
      <c r="AA204" s="116"/>
      <c r="AB204" s="234"/>
      <c r="AC204" s="116"/>
      <c r="AD204" s="237"/>
      <c r="AE204" s="117"/>
      <c r="AF204" s="1092"/>
      <c r="AG204" s="1092"/>
      <c r="AH204" s="1093"/>
      <c r="AI204" s="80"/>
    </row>
    <row r="205" spans="1:35" x14ac:dyDescent="0.2">
      <c r="A205" s="644"/>
      <c r="B205" s="350"/>
      <c r="C205" s="484"/>
      <c r="D205" s="375"/>
      <c r="E205" s="491"/>
      <c r="F205" s="607"/>
      <c r="G205" s="767"/>
      <c r="H205" s="144"/>
      <c r="I205" s="144"/>
      <c r="J205" s="775"/>
      <c r="K205" s="604"/>
      <c r="L205" s="774"/>
      <c r="M205" s="560"/>
      <c r="N205" s="617"/>
      <c r="O205" s="80"/>
      <c r="P205" s="1091"/>
      <c r="Q205" s="119"/>
      <c r="R205" s="234"/>
      <c r="S205" s="114"/>
      <c r="T205" s="235"/>
      <c r="U205" s="115"/>
      <c r="V205" s="821"/>
      <c r="W205" s="811"/>
      <c r="X205" s="821"/>
      <c r="Y205" s="811"/>
      <c r="Z205" s="234"/>
      <c r="AA205" s="116"/>
      <c r="AB205" s="234"/>
      <c r="AC205" s="116"/>
      <c r="AD205" s="237"/>
      <c r="AE205" s="117"/>
      <c r="AF205" s="1092"/>
      <c r="AG205" s="1092"/>
      <c r="AH205" s="1093"/>
      <c r="AI205" s="80"/>
    </row>
    <row r="206" spans="1:35" x14ac:dyDescent="0.2">
      <c r="A206" s="644"/>
      <c r="B206" s="350"/>
      <c r="C206" s="381"/>
      <c r="D206" s="375"/>
      <c r="E206" s="632"/>
      <c r="F206" s="607"/>
      <c r="G206" s="767"/>
      <c r="H206" s="144"/>
      <c r="I206" s="144"/>
      <c r="J206" s="775"/>
      <c r="K206" s="604"/>
      <c r="L206" s="774"/>
      <c r="M206" s="560"/>
      <c r="N206" s="617"/>
      <c r="O206" s="80"/>
      <c r="P206" s="1091"/>
      <c r="Q206" s="119"/>
      <c r="R206" s="234"/>
      <c r="S206" s="114"/>
      <c r="T206" s="235"/>
      <c r="U206" s="115"/>
      <c r="V206" s="821"/>
      <c r="W206" s="811"/>
      <c r="X206" s="821"/>
      <c r="Y206" s="811"/>
      <c r="Z206" s="234"/>
      <c r="AA206" s="116"/>
      <c r="AB206" s="234"/>
      <c r="AC206" s="116"/>
      <c r="AD206" s="237"/>
      <c r="AE206" s="117"/>
      <c r="AF206" s="1092"/>
      <c r="AG206" s="1092"/>
      <c r="AH206" s="1093"/>
      <c r="AI206" s="80"/>
    </row>
    <row r="207" spans="1:35" x14ac:dyDescent="0.2">
      <c r="A207" s="644"/>
      <c r="B207" s="350"/>
      <c r="C207" s="381"/>
      <c r="D207" s="375"/>
      <c r="E207" s="632"/>
      <c r="F207" s="607"/>
      <c r="G207" s="767"/>
      <c r="H207" s="144"/>
      <c r="I207" s="144"/>
      <c r="J207" s="775"/>
      <c r="K207" s="604"/>
      <c r="L207" s="774"/>
      <c r="M207" s="560"/>
      <c r="N207" s="617"/>
      <c r="O207" s="80"/>
      <c r="P207" s="1091"/>
      <c r="Q207" s="119"/>
      <c r="R207" s="234"/>
      <c r="S207" s="114"/>
      <c r="T207" s="235"/>
      <c r="U207" s="115"/>
      <c r="V207" s="821"/>
      <c r="W207" s="811"/>
      <c r="X207" s="821"/>
      <c r="Y207" s="811"/>
      <c r="Z207" s="234"/>
      <c r="AA207" s="116"/>
      <c r="AB207" s="234"/>
      <c r="AC207" s="116"/>
      <c r="AD207" s="237"/>
      <c r="AE207" s="117"/>
      <c r="AF207" s="1092"/>
      <c r="AG207" s="1092"/>
      <c r="AH207" s="1093"/>
      <c r="AI207" s="80"/>
    </row>
    <row r="208" spans="1:35" x14ac:dyDescent="0.2">
      <c r="A208" s="644"/>
      <c r="B208" s="350"/>
      <c r="C208" s="381"/>
      <c r="D208" s="375"/>
      <c r="E208" s="632"/>
      <c r="F208" s="607"/>
      <c r="G208" s="767"/>
      <c r="H208" s="144"/>
      <c r="I208" s="144"/>
      <c r="J208" s="775"/>
      <c r="K208" s="604"/>
      <c r="L208" s="774"/>
      <c r="M208" s="560"/>
      <c r="N208" s="617"/>
      <c r="O208" s="80"/>
      <c r="P208" s="1091"/>
      <c r="Q208" s="119"/>
      <c r="R208" s="234"/>
      <c r="S208" s="114"/>
      <c r="T208" s="235"/>
      <c r="U208" s="115"/>
      <c r="V208" s="821"/>
      <c r="W208" s="811"/>
      <c r="X208" s="821"/>
      <c r="Y208" s="811"/>
      <c r="Z208" s="234"/>
      <c r="AA208" s="116"/>
      <c r="AB208" s="234"/>
      <c r="AC208" s="116"/>
      <c r="AD208" s="237"/>
      <c r="AE208" s="117"/>
      <c r="AF208" s="1092"/>
      <c r="AG208" s="1092"/>
      <c r="AH208" s="1093"/>
      <c r="AI208" s="80"/>
    </row>
    <row r="209" spans="1:35" x14ac:dyDescent="0.2">
      <c r="A209" s="644"/>
      <c r="B209" s="350"/>
      <c r="C209" s="381"/>
      <c r="D209" s="375"/>
      <c r="E209" s="632"/>
      <c r="F209" s="607"/>
      <c r="G209" s="767"/>
      <c r="H209" s="144"/>
      <c r="I209" s="144"/>
      <c r="J209" s="775"/>
      <c r="K209" s="604"/>
      <c r="L209" s="774"/>
      <c r="M209" s="560"/>
      <c r="N209" s="617"/>
      <c r="O209" s="80"/>
      <c r="P209" s="1091"/>
      <c r="Q209" s="119"/>
      <c r="R209" s="234"/>
      <c r="S209" s="114"/>
      <c r="T209" s="235"/>
      <c r="U209" s="115"/>
      <c r="V209" s="821"/>
      <c r="W209" s="811"/>
      <c r="X209" s="821"/>
      <c r="Y209" s="811"/>
      <c r="Z209" s="234"/>
      <c r="AA209" s="116"/>
      <c r="AB209" s="234"/>
      <c r="AC209" s="116"/>
      <c r="AD209" s="237"/>
      <c r="AE209" s="117"/>
      <c r="AF209" s="1092"/>
      <c r="AG209" s="1092"/>
      <c r="AH209" s="1093"/>
      <c r="AI209" s="80"/>
    </row>
    <row r="210" spans="1:35" x14ac:dyDescent="0.2">
      <c r="A210" s="644"/>
      <c r="B210" s="350"/>
      <c r="C210" s="381"/>
      <c r="D210" s="375"/>
      <c r="E210" s="632"/>
      <c r="F210" s="607"/>
      <c r="G210" s="767"/>
      <c r="H210" s="144"/>
      <c r="I210" s="144"/>
      <c r="J210" s="775"/>
      <c r="K210" s="604"/>
      <c r="L210" s="774"/>
      <c r="M210" s="560"/>
      <c r="N210" s="617"/>
      <c r="O210" s="80"/>
      <c r="P210" s="1091"/>
      <c r="Q210" s="119"/>
      <c r="R210" s="234"/>
      <c r="S210" s="114"/>
      <c r="T210" s="235"/>
      <c r="U210" s="115"/>
      <c r="V210" s="821"/>
      <c r="W210" s="811"/>
      <c r="X210" s="821"/>
      <c r="Y210" s="811"/>
      <c r="Z210" s="234"/>
      <c r="AA210" s="116"/>
      <c r="AB210" s="234"/>
      <c r="AC210" s="116"/>
      <c r="AD210" s="237"/>
      <c r="AE210" s="117"/>
      <c r="AF210" s="1092"/>
      <c r="AG210" s="1092"/>
      <c r="AH210" s="1093"/>
      <c r="AI210" s="80"/>
    </row>
    <row r="211" spans="1:35" x14ac:dyDescent="0.2">
      <c r="A211" s="644"/>
      <c r="B211" s="350"/>
      <c r="C211" s="381"/>
      <c r="D211" s="375"/>
      <c r="E211" s="632"/>
      <c r="F211" s="607"/>
      <c r="G211" s="767"/>
      <c r="H211" s="144"/>
      <c r="I211" s="144"/>
      <c r="J211" s="775"/>
      <c r="K211" s="604"/>
      <c r="L211" s="774"/>
      <c r="M211" s="560"/>
      <c r="N211" s="617"/>
      <c r="O211" s="80"/>
      <c r="P211" s="1091"/>
      <c r="Q211" s="119"/>
      <c r="R211" s="234"/>
      <c r="S211" s="114"/>
      <c r="T211" s="235"/>
      <c r="U211" s="115"/>
      <c r="V211" s="821"/>
      <c r="W211" s="811"/>
      <c r="X211" s="821"/>
      <c r="Y211" s="811"/>
      <c r="Z211" s="234"/>
      <c r="AA211" s="116"/>
      <c r="AB211" s="234"/>
      <c r="AC211" s="116"/>
      <c r="AD211" s="237"/>
      <c r="AE211" s="117"/>
      <c r="AF211" s="1092"/>
      <c r="AG211" s="1092"/>
      <c r="AH211" s="1093"/>
      <c r="AI211" s="80"/>
    </row>
    <row r="212" spans="1:35" ht="13.5" thickBot="1" x14ac:dyDescent="0.25">
      <c r="A212" s="641"/>
      <c r="B212" s="745"/>
      <c r="C212" s="510"/>
      <c r="D212" s="642"/>
      <c r="E212" s="635"/>
      <c r="F212" s="776"/>
      <c r="G212" s="768"/>
      <c r="H212" s="178"/>
      <c r="I212" s="600"/>
      <c r="J212" s="142"/>
      <c r="K212" s="605"/>
      <c r="L212" s="143"/>
      <c r="M212" s="197"/>
      <c r="N212" s="592"/>
      <c r="O212" s="80"/>
      <c r="P212" s="1125"/>
      <c r="Q212" s="129"/>
      <c r="R212" s="129"/>
      <c r="S212" s="129"/>
      <c r="T212" s="129"/>
      <c r="U212" s="129"/>
      <c r="V212" s="823"/>
      <c r="W212" s="813"/>
      <c r="X212" s="823"/>
      <c r="Y212" s="813"/>
      <c r="Z212" s="129"/>
      <c r="AA212" s="129"/>
      <c r="AB212" s="129"/>
      <c r="AC212" s="247"/>
      <c r="AD212" s="129"/>
      <c r="AE212" s="129"/>
      <c r="AF212" s="322"/>
      <c r="AG212" s="322"/>
      <c r="AH212" s="321"/>
      <c r="AI212" s="80"/>
    </row>
    <row r="213" spans="1:35" ht="13.5" thickBot="1" x14ac:dyDescent="0.25">
      <c r="D213" s="769"/>
      <c r="E213" s="770"/>
      <c r="O213" s="80"/>
      <c r="AI213" s="80"/>
    </row>
    <row r="214" spans="1:35" ht="13.5" thickBot="1" x14ac:dyDescent="0.25">
      <c r="A214" s="130"/>
      <c r="B214" s="746"/>
      <c r="C214" s="480"/>
      <c r="D214" s="271"/>
      <c r="E214" s="384"/>
      <c r="F214" s="225"/>
      <c r="L214" s="23"/>
      <c r="O214" s="80"/>
      <c r="P214" s="1126"/>
      <c r="Q214" s="225"/>
      <c r="R214" s="225"/>
      <c r="S214" s="225"/>
      <c r="T214" s="225"/>
      <c r="U214" s="225"/>
      <c r="V214" s="818"/>
      <c r="W214" s="638"/>
      <c r="X214" s="818"/>
      <c r="Y214" s="638"/>
      <c r="Z214" s="225"/>
      <c r="AA214" s="225"/>
      <c r="AB214" s="225"/>
      <c r="AC214" s="225"/>
      <c r="AD214" s="225"/>
      <c r="AE214" s="225"/>
      <c r="AF214" s="501"/>
      <c r="AG214" s="225"/>
      <c r="AH214" s="225"/>
      <c r="AI214" s="80"/>
    </row>
    <row r="215" spans="1:35" x14ac:dyDescent="0.2">
      <c r="A215" s="65"/>
      <c r="B215" s="750"/>
      <c r="C215" s="507"/>
      <c r="D215" s="65"/>
      <c r="E215" s="157"/>
      <c r="F215" s="145"/>
      <c r="G215" s="148"/>
      <c r="H215" s="148"/>
      <c r="I215" s="601"/>
      <c r="J215" s="65"/>
      <c r="K215" s="65"/>
      <c r="L215" s="65"/>
      <c r="M215" s="196"/>
      <c r="N215" s="196"/>
      <c r="O215" s="80"/>
      <c r="P215" s="145"/>
      <c r="Q215" s="65"/>
      <c r="R215" s="65"/>
      <c r="S215" s="65"/>
      <c r="T215" s="65"/>
      <c r="U215" s="65"/>
      <c r="V215" s="103"/>
      <c r="W215" s="65"/>
      <c r="X215" s="103"/>
      <c r="Y215" s="65"/>
      <c r="Z215" s="65"/>
      <c r="AA215" s="65"/>
      <c r="AB215" s="65"/>
      <c r="AC215" s="65"/>
      <c r="AD215" s="65"/>
      <c r="AE215" s="65"/>
      <c r="AF215" s="206"/>
      <c r="AG215" s="206"/>
      <c r="AH215" s="65"/>
      <c r="AI215" s="80"/>
    </row>
    <row r="216" spans="1:35" x14ac:dyDescent="0.2">
      <c r="A216" s="151"/>
      <c r="B216" s="152"/>
      <c r="C216" s="1274"/>
      <c r="D216" s="1273"/>
      <c r="E216" s="209"/>
      <c r="F216" s="151"/>
      <c r="G216" s="151"/>
      <c r="H216" s="151"/>
      <c r="I216" s="602"/>
      <c r="J216" s="151"/>
      <c r="K216" s="151"/>
      <c r="L216" s="151"/>
      <c r="M216" s="151"/>
      <c r="N216" s="151"/>
      <c r="O216" s="151"/>
      <c r="P216" s="195"/>
      <c r="Q216" s="151"/>
      <c r="R216" s="151"/>
      <c r="S216" s="151"/>
      <c r="T216" s="151"/>
      <c r="U216" s="151"/>
      <c r="V216" s="472"/>
      <c r="W216" s="66"/>
      <c r="X216" s="472"/>
      <c r="Y216" s="66"/>
      <c r="Z216" s="151"/>
      <c r="AA216" s="151"/>
      <c r="AB216" s="151"/>
      <c r="AC216" s="151"/>
      <c r="AD216" s="151"/>
      <c r="AE216" s="151"/>
      <c r="AF216" s="205"/>
      <c r="AG216" s="151"/>
      <c r="AH216" s="151"/>
      <c r="AI216" s="80"/>
    </row>
    <row r="217" spans="1:35" x14ac:dyDescent="0.2">
      <c r="A217" s="65"/>
      <c r="B217" s="345"/>
      <c r="C217" s="508"/>
      <c r="D217" s="78"/>
      <c r="E217" s="60"/>
      <c r="F217" s="148"/>
      <c r="G217" s="149"/>
      <c r="H217" s="149"/>
      <c r="I217" s="603"/>
      <c r="J217" s="149"/>
      <c r="K217" s="149"/>
      <c r="L217" s="150"/>
      <c r="M217" s="196"/>
      <c r="N217" s="196"/>
      <c r="O217" s="65"/>
      <c r="P217" s="196"/>
      <c r="Q217" s="100"/>
      <c r="R217" s="146"/>
      <c r="S217" s="100"/>
      <c r="T217" s="146"/>
      <c r="U217" s="100"/>
      <c r="V217" s="103"/>
      <c r="W217" s="148"/>
      <c r="X217" s="103"/>
      <c r="Y217" s="148"/>
      <c r="Z217" s="100"/>
      <c r="AA217" s="100"/>
      <c r="AB217" s="100"/>
      <c r="AC217" s="147"/>
      <c r="AD217" s="100"/>
      <c r="AE217" s="100"/>
      <c r="AF217" s="150"/>
      <c r="AG217" s="150"/>
      <c r="AH217" s="120"/>
      <c r="AI217" s="80"/>
    </row>
    <row r="218" spans="1:35" x14ac:dyDescent="0.2">
      <c r="AI218" s="80"/>
    </row>
    <row r="219" spans="1:35" x14ac:dyDescent="0.2">
      <c r="AI219" s="80"/>
    </row>
    <row r="220" spans="1:35" x14ac:dyDescent="0.2">
      <c r="AI220" s="80"/>
    </row>
    <row r="221" spans="1:35" x14ac:dyDescent="0.2">
      <c r="B221" s="863"/>
      <c r="C221" s="863"/>
      <c r="D221" s="863"/>
      <c r="F221" s="863"/>
      <c r="AI221" s="80"/>
    </row>
    <row r="222" spans="1:35" x14ac:dyDescent="0.2">
      <c r="AI222" s="80"/>
    </row>
    <row r="223" spans="1:35" x14ac:dyDescent="0.2">
      <c r="AI223" s="80"/>
    </row>
    <row r="224" spans="1:35" x14ac:dyDescent="0.2">
      <c r="D224" s="647"/>
      <c r="AI224" s="80"/>
    </row>
    <row r="225" spans="1:35" x14ac:dyDescent="0.2">
      <c r="AI225" s="80"/>
    </row>
    <row r="226" spans="1:35" x14ac:dyDescent="0.2">
      <c r="D226" s="647"/>
      <c r="AI226" s="80"/>
    </row>
    <row r="227" spans="1:35" x14ac:dyDescent="0.2">
      <c r="C227" s="864"/>
      <c r="D227" s="862"/>
      <c r="AI227" s="80"/>
    </row>
    <row r="228" spans="1:35" x14ac:dyDescent="0.2">
      <c r="AI228" s="80"/>
    </row>
    <row r="230" spans="1:35" x14ac:dyDescent="0.2">
      <c r="A230" s="863"/>
      <c r="B230" s="1164"/>
    </row>
    <row r="232" spans="1:35" x14ac:dyDescent="0.2">
      <c r="A232" s="644"/>
      <c r="B232" s="350"/>
      <c r="C232" s="484"/>
      <c r="D232" s="482"/>
      <c r="E232" s="491"/>
      <c r="F232" s="607"/>
      <c r="G232" s="767"/>
      <c r="H232" s="144"/>
      <c r="I232" s="144"/>
      <c r="J232" s="773"/>
      <c r="K232" s="559"/>
      <c r="L232" s="774"/>
      <c r="M232" s="1023"/>
      <c r="N232" s="588"/>
      <c r="O232" s="80"/>
      <c r="P232" s="1091"/>
      <c r="Q232" s="119"/>
      <c r="R232" s="234"/>
      <c r="S232" s="114"/>
      <c r="T232" s="821"/>
      <c r="U232" s="115"/>
      <c r="V232" s="821"/>
      <c r="W232" s="811"/>
      <c r="X232" s="821"/>
      <c r="Y232" s="811"/>
      <c r="Z232" s="234"/>
      <c r="AA232" s="116"/>
      <c r="AB232" s="234"/>
      <c r="AC232" s="116"/>
      <c r="AD232" s="237"/>
      <c r="AE232" s="117"/>
      <c r="AF232" s="1092"/>
      <c r="AG232" s="1092"/>
      <c r="AH232" s="1093"/>
      <c r="AI232" s="80"/>
    </row>
    <row r="235" spans="1:35" x14ac:dyDescent="0.2">
      <c r="A235" s="863"/>
      <c r="B235" s="1164"/>
    </row>
    <row r="237" spans="1:35" x14ac:dyDescent="0.2">
      <c r="A237" s="616"/>
      <c r="B237" s="684"/>
      <c r="C237" s="484"/>
      <c r="D237" s="781"/>
      <c r="E237" s="491"/>
      <c r="F237" s="1134"/>
      <c r="G237" s="1129"/>
      <c r="H237" s="1130"/>
      <c r="I237" s="1131"/>
      <c r="J237" s="1130"/>
      <c r="K237" s="1130"/>
      <c r="L237" s="1131"/>
      <c r="M237" s="560"/>
      <c r="N237" s="617"/>
      <c r="O237" s="80"/>
      <c r="P237" s="234"/>
      <c r="Q237" s="119"/>
      <c r="R237" s="234"/>
      <c r="S237" s="114"/>
      <c r="T237" s="235"/>
      <c r="U237" s="115"/>
      <c r="V237" s="821"/>
      <c r="W237" s="811"/>
      <c r="X237" s="821"/>
      <c r="Y237" s="811"/>
      <c r="Z237" s="236"/>
      <c r="AA237" s="116"/>
      <c r="AB237" s="234"/>
      <c r="AC237" s="116"/>
      <c r="AD237" s="237"/>
      <c r="AE237" s="117"/>
      <c r="AF237" s="1092"/>
      <c r="AG237" s="1092"/>
      <c r="AH237" s="1093"/>
      <c r="AI237" s="80"/>
    </row>
    <row r="238" spans="1:35" x14ac:dyDescent="0.2">
      <c r="A238" s="616"/>
      <c r="B238" s="684"/>
      <c r="C238" s="484"/>
      <c r="D238" s="781"/>
      <c r="E238" s="491"/>
      <c r="F238" s="1134"/>
      <c r="G238" s="1129"/>
      <c r="H238" s="1130"/>
      <c r="I238" s="1131"/>
      <c r="J238" s="1130"/>
      <c r="K238" s="1130"/>
      <c r="L238" s="1131"/>
      <c r="M238" s="560"/>
      <c r="N238" s="617"/>
      <c r="O238" s="80"/>
      <c r="P238" s="234"/>
      <c r="Q238" s="119"/>
      <c r="R238" s="234"/>
      <c r="S238" s="114"/>
      <c r="T238" s="235"/>
      <c r="U238" s="115"/>
      <c r="V238" s="821"/>
      <c r="W238" s="811"/>
      <c r="X238" s="821"/>
      <c r="Y238" s="811"/>
      <c r="Z238" s="236"/>
      <c r="AA238" s="116"/>
      <c r="AB238" s="234"/>
      <c r="AC238" s="116"/>
      <c r="AD238" s="237"/>
      <c r="AE238" s="117"/>
      <c r="AF238" s="1092"/>
      <c r="AG238" s="1092"/>
      <c r="AH238" s="1093"/>
      <c r="AI238" s="80"/>
    </row>
    <row r="239" spans="1:35" x14ac:dyDescent="0.2">
      <c r="A239" s="616"/>
      <c r="B239" s="684"/>
      <c r="C239" s="484"/>
      <c r="D239" s="781"/>
      <c r="E239" s="491"/>
      <c r="F239" s="1134"/>
      <c r="G239" s="1129"/>
      <c r="H239" s="1130"/>
      <c r="I239" s="1131"/>
      <c r="J239" s="1130"/>
      <c r="K239" s="1130"/>
      <c r="L239" s="1131"/>
      <c r="M239" s="560"/>
      <c r="N239" s="617"/>
      <c r="O239" s="80"/>
      <c r="P239" s="234"/>
      <c r="Q239" s="119"/>
      <c r="R239" s="234"/>
      <c r="S239" s="114"/>
      <c r="T239" s="235"/>
      <c r="U239" s="115"/>
      <c r="V239" s="821"/>
      <c r="W239" s="811"/>
      <c r="X239" s="821"/>
      <c r="Y239" s="811"/>
      <c r="Z239" s="236"/>
      <c r="AA239" s="116"/>
      <c r="AB239" s="234"/>
      <c r="AC239" s="116"/>
      <c r="AD239" s="237"/>
      <c r="AE239" s="117"/>
      <c r="AF239" s="1092"/>
      <c r="AG239" s="1092"/>
      <c r="AH239" s="1093"/>
      <c r="AI239" s="80"/>
    </row>
    <row r="240" spans="1:35" x14ac:dyDescent="0.2">
      <c r="A240" s="616"/>
      <c r="B240" s="350"/>
      <c r="C240" s="484"/>
      <c r="D240" s="781"/>
      <c r="E240" s="491"/>
      <c r="F240" s="607"/>
      <c r="G240" s="1129"/>
      <c r="H240" s="1130"/>
      <c r="I240" s="1131"/>
      <c r="J240" s="1130"/>
      <c r="K240" s="1130"/>
      <c r="L240" s="1131"/>
      <c r="M240" s="560"/>
      <c r="N240" s="617"/>
      <c r="O240" s="80"/>
      <c r="P240" s="234"/>
      <c r="Q240" s="119"/>
      <c r="R240" s="234"/>
      <c r="S240" s="114"/>
      <c r="T240" s="235"/>
      <c r="U240" s="115"/>
      <c r="V240" s="821"/>
      <c r="W240" s="811"/>
      <c r="X240" s="821"/>
      <c r="Y240" s="811"/>
      <c r="Z240" s="236"/>
      <c r="AA240" s="116"/>
      <c r="AB240" s="234"/>
      <c r="AC240" s="116"/>
      <c r="AD240" s="237"/>
      <c r="AE240" s="117"/>
      <c r="AF240" s="1092"/>
      <c r="AG240" s="1092"/>
      <c r="AH240" s="1093"/>
      <c r="AI240" s="80"/>
    </row>
    <row r="241" spans="1:35" x14ac:dyDescent="0.2">
      <c r="A241" s="616"/>
      <c r="B241" s="684"/>
      <c r="C241" s="484"/>
      <c r="D241" s="781"/>
      <c r="E241" s="491"/>
      <c r="F241" s="1134"/>
      <c r="G241" s="1129"/>
      <c r="H241" s="1130"/>
      <c r="I241" s="1131"/>
      <c r="J241" s="1130"/>
      <c r="K241" s="1130"/>
      <c r="L241" s="1131"/>
      <c r="M241" s="560"/>
      <c r="N241" s="617"/>
      <c r="O241" s="80"/>
      <c r="P241" s="234"/>
      <c r="Q241" s="119"/>
      <c r="R241" s="234"/>
      <c r="S241" s="114"/>
      <c r="T241" s="235"/>
      <c r="U241" s="115"/>
      <c r="V241" s="821"/>
      <c r="W241" s="811"/>
      <c r="X241" s="821"/>
      <c r="Y241" s="811"/>
      <c r="Z241" s="236"/>
      <c r="AA241" s="116"/>
      <c r="AB241" s="234"/>
      <c r="AC241" s="116"/>
      <c r="AD241" s="237"/>
      <c r="AE241" s="117"/>
      <c r="AF241" s="1092"/>
      <c r="AG241" s="1092"/>
      <c r="AH241" s="1093"/>
      <c r="AI241" s="80"/>
    </row>
    <row r="242" spans="1:35" x14ac:dyDescent="0.2">
      <c r="A242" s="616"/>
      <c r="B242" s="684"/>
      <c r="C242" s="484"/>
      <c r="D242" s="781"/>
      <c r="E242" s="491"/>
      <c r="F242" s="1134"/>
      <c r="G242" s="1129"/>
      <c r="H242" s="1130"/>
      <c r="I242" s="1131"/>
      <c r="J242" s="1130"/>
      <c r="K242" s="1130"/>
      <c r="L242" s="1132"/>
      <c r="M242" s="560"/>
      <c r="N242" s="617"/>
      <c r="O242" s="80"/>
      <c r="P242" s="234"/>
      <c r="Q242" s="119"/>
      <c r="R242" s="234"/>
      <c r="S242" s="114"/>
      <c r="T242" s="235"/>
      <c r="U242" s="115"/>
      <c r="V242" s="821"/>
      <c r="W242" s="811"/>
      <c r="X242" s="821"/>
      <c r="Y242" s="811"/>
      <c r="Z242" s="236"/>
      <c r="AA242" s="116"/>
      <c r="AB242" s="234"/>
      <c r="AC242" s="116"/>
      <c r="AD242" s="237"/>
      <c r="AE242" s="117"/>
      <c r="AF242" s="1092"/>
      <c r="AG242" s="1092"/>
      <c r="AH242" s="1093"/>
      <c r="AI242" s="80"/>
    </row>
    <row r="243" spans="1:35" x14ac:dyDescent="0.2">
      <c r="A243" s="616"/>
      <c r="B243" s="350"/>
      <c r="C243" s="484"/>
      <c r="D243" s="781"/>
      <c r="E243" s="491"/>
      <c r="F243" s="607"/>
      <c r="G243" s="1129"/>
      <c r="H243" s="1130"/>
      <c r="I243" s="1131"/>
      <c r="J243" s="1130"/>
      <c r="K243" s="1130"/>
      <c r="L243" s="1132"/>
      <c r="M243" s="560"/>
      <c r="N243" s="617"/>
      <c r="O243" s="80"/>
      <c r="P243" s="234"/>
      <c r="Q243" s="119"/>
      <c r="R243" s="234"/>
      <c r="S243" s="114"/>
      <c r="T243" s="235"/>
      <c r="U243" s="115"/>
      <c r="V243" s="821"/>
      <c r="W243" s="811"/>
      <c r="X243" s="821"/>
      <c r="Y243" s="811"/>
      <c r="Z243" s="236"/>
      <c r="AA243" s="116"/>
      <c r="AB243" s="234"/>
      <c r="AC243" s="116"/>
      <c r="AD243" s="237"/>
      <c r="AE243" s="117"/>
      <c r="AF243" s="1092"/>
      <c r="AG243" s="1092"/>
      <c r="AH243" s="1093"/>
      <c r="AI243" s="80"/>
    </row>
    <row r="244" spans="1:35" x14ac:dyDescent="0.2">
      <c r="A244" s="616"/>
      <c r="B244" s="684"/>
      <c r="C244" s="484"/>
      <c r="D244" s="781"/>
      <c r="E244" s="491"/>
      <c r="F244" s="607"/>
      <c r="G244" s="646"/>
      <c r="H244" s="608"/>
      <c r="I244" s="609"/>
      <c r="J244" s="608"/>
      <c r="K244" s="608"/>
      <c r="L244" s="610"/>
      <c r="M244" s="560"/>
      <c r="N244" s="617"/>
      <c r="O244" s="80"/>
      <c r="P244" s="234"/>
      <c r="Q244" s="119"/>
      <c r="R244" s="234"/>
      <c r="S244" s="114"/>
      <c r="T244" s="235"/>
      <c r="U244" s="115"/>
      <c r="V244" s="821"/>
      <c r="W244" s="811"/>
      <c r="X244" s="821"/>
      <c r="Y244" s="811"/>
      <c r="Z244" s="236"/>
      <c r="AA244" s="116"/>
      <c r="AB244" s="234"/>
      <c r="AC244" s="116"/>
      <c r="AD244" s="237"/>
      <c r="AE244" s="117"/>
      <c r="AF244" s="1092"/>
      <c r="AG244" s="1092"/>
      <c r="AH244" s="1093"/>
      <c r="AI244" s="80"/>
    </row>
    <row r="245" spans="1:35" x14ac:dyDescent="0.2">
      <c r="A245" s="616"/>
      <c r="B245" s="686"/>
      <c r="C245" s="484"/>
      <c r="D245" s="781"/>
      <c r="E245" s="491"/>
      <c r="F245" s="607"/>
      <c r="G245" s="646"/>
      <c r="H245" s="608"/>
      <c r="I245" s="609"/>
      <c r="J245" s="608"/>
      <c r="K245" s="608"/>
      <c r="L245" s="610"/>
      <c r="M245" s="560"/>
      <c r="N245" s="617"/>
      <c r="O245" s="80"/>
      <c r="P245" s="234"/>
      <c r="Q245" s="119"/>
      <c r="R245" s="234"/>
      <c r="S245" s="114"/>
      <c r="T245" s="235"/>
      <c r="U245" s="115"/>
      <c r="V245" s="821"/>
      <c r="W245" s="811"/>
      <c r="X245" s="821"/>
      <c r="Y245" s="811"/>
      <c r="Z245" s="236"/>
      <c r="AA245" s="116"/>
      <c r="AB245" s="234"/>
      <c r="AC245" s="116"/>
      <c r="AD245" s="237"/>
      <c r="AE245" s="117"/>
      <c r="AF245" s="1092"/>
      <c r="AG245" s="1092"/>
      <c r="AH245" s="1093"/>
      <c r="AI245" s="80"/>
    </row>
    <row r="246" spans="1:35" x14ac:dyDescent="0.2">
      <c r="A246" s="616"/>
      <c r="B246" s="684"/>
      <c r="C246" s="484"/>
      <c r="D246" s="781"/>
      <c r="E246" s="491"/>
      <c r="F246" s="607"/>
      <c r="G246" s="646"/>
      <c r="H246" s="608"/>
      <c r="I246" s="609"/>
      <c r="J246" s="608"/>
      <c r="K246" s="608"/>
      <c r="L246" s="610"/>
      <c r="M246" s="560"/>
      <c r="N246" s="617"/>
      <c r="O246" s="80"/>
      <c r="P246" s="234"/>
      <c r="Q246" s="119"/>
      <c r="R246" s="234"/>
      <c r="S246" s="114"/>
      <c r="T246" s="235"/>
      <c r="U246" s="115"/>
      <c r="V246" s="821"/>
      <c r="W246" s="811"/>
      <c r="X246" s="821"/>
      <c r="Y246" s="811"/>
      <c r="Z246" s="236"/>
      <c r="AA246" s="116"/>
      <c r="AB246" s="234"/>
      <c r="AC246" s="116"/>
      <c r="AD246" s="237"/>
      <c r="AE246" s="117"/>
      <c r="AF246" s="1092"/>
      <c r="AG246" s="1092"/>
      <c r="AH246" s="1093"/>
      <c r="AI246" s="80"/>
    </row>
    <row r="247" spans="1:35" x14ac:dyDescent="0.2">
      <c r="A247" s="616"/>
      <c r="B247" s="350"/>
      <c r="C247" s="484"/>
      <c r="D247" s="781"/>
      <c r="E247" s="491"/>
      <c r="F247" s="607"/>
      <c r="G247" s="582"/>
      <c r="H247" s="608"/>
      <c r="I247" s="609"/>
      <c r="J247" s="608"/>
      <c r="K247" s="608"/>
      <c r="L247" s="610"/>
      <c r="M247" s="343"/>
      <c r="N247" s="589"/>
      <c r="O247" s="80"/>
      <c r="P247" s="234"/>
      <c r="Q247" s="119"/>
      <c r="R247" s="234"/>
      <c r="S247" s="114"/>
      <c r="T247" s="235"/>
      <c r="U247" s="115"/>
      <c r="V247" s="821"/>
      <c r="W247" s="811"/>
      <c r="X247" s="821"/>
      <c r="Y247" s="811"/>
      <c r="Z247" s="236"/>
      <c r="AA247" s="116"/>
      <c r="AB247" s="234"/>
      <c r="AC247" s="116"/>
      <c r="AD247" s="237"/>
      <c r="AE247" s="117"/>
      <c r="AF247" s="1092"/>
      <c r="AG247" s="1092"/>
      <c r="AH247" s="1093"/>
      <c r="AI247" s="80"/>
    </row>
  </sheetData>
  <phoneticPr fontId="97" type="noConversion"/>
  <conditionalFormatting sqref="J9:J180">
    <cfRule type="expression" dxfId="1" priority="1">
      <formula>$J9="OK/"</formula>
    </cfRule>
  </conditionalFormatting>
  <conditionalFormatting sqref="J237:J247">
    <cfRule type="expression" dxfId="0" priority="2">
      <formula>$J237="OK/"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C4DB-FA19-4F45-9D0C-B3F51655A731}">
  <sheetPr codeName="Hoja10">
    <tabColor rgb="FFFF0000"/>
  </sheetPr>
  <dimension ref="A1:BB284"/>
  <sheetViews>
    <sheetView showGridLines="0" zoomScale="80" zoomScaleNormal="80" workbookViewId="0">
      <pane ySplit="5" topLeftCell="A6" activePane="bottomLeft" state="frozen"/>
      <selection pane="bottomLeft" activeCell="A15" sqref="A15:XFD17"/>
    </sheetView>
  </sheetViews>
  <sheetFormatPr baseColWidth="10" defaultColWidth="11.5546875" defaultRowHeight="12.75" x14ac:dyDescent="0.2"/>
  <cols>
    <col min="1" max="1" width="8.6640625" style="289" customWidth="1"/>
    <col min="2" max="2" width="39.33203125" style="288" customWidth="1"/>
    <col min="3" max="3" width="11.5546875" style="288"/>
    <col min="4" max="4" width="15.5546875" style="288" customWidth="1"/>
    <col min="5" max="5" width="4.5546875" style="288" customWidth="1"/>
    <col min="6" max="6" width="16.88671875" style="291" customWidth="1"/>
    <col min="7" max="7" width="12.33203125" style="1113" customWidth="1"/>
    <col min="8" max="8" width="15" style="291" customWidth="1"/>
    <col min="9" max="9" width="5.77734375" style="661" customWidth="1"/>
    <col min="10" max="10" width="12.6640625" style="145" customWidth="1"/>
    <col min="11" max="11" width="12.21875" style="352" customWidth="1"/>
    <col min="12" max="12" width="12.6640625" style="219" customWidth="1"/>
    <col min="13" max="13" width="14.109375" style="98" customWidth="1"/>
    <col min="14" max="14" width="12.77734375" style="662" customWidth="1"/>
    <col min="15" max="15" width="14" style="667" customWidth="1"/>
    <col min="16" max="16" width="12.33203125" style="668" customWidth="1"/>
    <col min="17" max="17" width="12.33203125" style="672" customWidth="1"/>
    <col min="18" max="18" width="11.5546875" style="65" customWidth="1"/>
    <col min="19" max="19" width="20.77734375" style="156" customWidth="1"/>
    <col min="20" max="20" width="5.77734375" style="65" customWidth="1"/>
    <col min="21" max="21" width="11.5546875" style="65" customWidth="1"/>
    <col min="22" max="22" width="11.5546875" style="196"/>
    <col min="23" max="23" width="5.77734375" style="196" customWidth="1"/>
    <col min="24" max="24" width="11.5546875" style="145" customWidth="1"/>
    <col min="25" max="25" width="5.77734375" style="196" customWidth="1"/>
    <col min="26" max="26" width="12.77734375" style="145" customWidth="1"/>
    <col min="27" max="27" width="5.77734375" style="196" customWidth="1"/>
    <col min="28" max="28" width="11.5546875" style="145" customWidth="1"/>
    <col min="29" max="29" width="1.77734375" style="65" customWidth="1"/>
    <col min="30" max="30" width="5.77734375" style="65" customWidth="1"/>
    <col min="31" max="31" width="13.44140625" style="287" customWidth="1"/>
    <col min="32" max="32" width="5.77734375" style="287" customWidth="1"/>
    <col min="33" max="33" width="13.44140625" style="287" customWidth="1"/>
    <col min="34" max="34" width="5.77734375" style="287" customWidth="1"/>
    <col min="35" max="35" width="11.5546875" style="287"/>
    <col min="36" max="36" width="5.77734375" style="287" customWidth="1"/>
    <col min="37" max="37" width="13.44140625" style="287" customWidth="1"/>
    <col min="38" max="39" width="13.44140625" style="287" bestFit="1" customWidth="1"/>
    <col min="40" max="40" width="17.44140625" style="287" customWidth="1"/>
    <col min="41" max="47" width="11.5546875" style="287"/>
    <col min="48" max="48" width="11.5546875" style="287" customWidth="1"/>
    <col min="49" max="49" width="11.5546875" style="287"/>
    <col min="50" max="50" width="1.77734375" style="287" customWidth="1"/>
    <col min="51" max="51" width="11.5546875" style="287"/>
    <col min="52" max="53" width="13" style="287" bestFit="1" customWidth="1"/>
    <col min="54" max="54" width="12.109375" style="287" bestFit="1" customWidth="1"/>
    <col min="55" max="16384" width="11.5546875" style="287"/>
  </cols>
  <sheetData>
    <row r="1" spans="1:50" ht="15" x14ac:dyDescent="0.2">
      <c r="A1" s="790" t="s">
        <v>91</v>
      </c>
      <c r="AC1" s="290"/>
      <c r="AX1" s="331"/>
    </row>
    <row r="2" spans="1:50" ht="15.75" thickBot="1" x14ac:dyDescent="0.25">
      <c r="A2" s="292" t="s">
        <v>94</v>
      </c>
      <c r="P2" s="669"/>
      <c r="Q2" s="673"/>
      <c r="AC2" s="290"/>
      <c r="AD2" s="148"/>
      <c r="AX2" s="331"/>
    </row>
    <row r="3" spans="1:50" ht="15" x14ac:dyDescent="0.2">
      <c r="A3" s="260" t="s">
        <v>192</v>
      </c>
      <c r="H3" s="1109" t="s">
        <v>142</v>
      </c>
      <c r="I3" s="1399"/>
      <c r="J3" s="1098"/>
      <c r="K3" s="1098"/>
      <c r="L3" s="1098"/>
      <c r="M3" s="1098"/>
      <c r="N3" s="1098"/>
      <c r="O3" s="1098"/>
      <c r="P3" s="1098"/>
      <c r="Q3" s="1098"/>
      <c r="R3" s="1098"/>
      <c r="S3" s="1098"/>
      <c r="T3" s="1098"/>
      <c r="U3" s="1099"/>
      <c r="V3" s="1110" t="s">
        <v>101</v>
      </c>
      <c r="W3" s="1111"/>
      <c r="X3" s="1111"/>
      <c r="Y3" s="1111"/>
      <c r="Z3" s="1111"/>
      <c r="AA3" s="1111"/>
      <c r="AB3" s="1112"/>
      <c r="AC3" s="290"/>
      <c r="AD3" s="390" t="s">
        <v>249</v>
      </c>
      <c r="AX3" s="331"/>
    </row>
    <row r="4" spans="1:50" ht="13.5" thickBot="1" x14ac:dyDescent="0.25">
      <c r="A4" s="697"/>
      <c r="B4" s="698"/>
      <c r="C4" s="698"/>
      <c r="D4" s="698"/>
      <c r="E4" s="698"/>
      <c r="F4" s="330"/>
      <c r="G4" s="665"/>
      <c r="H4" s="1100" t="s">
        <v>193</v>
      </c>
      <c r="I4" s="1401"/>
      <c r="J4" s="711">
        <v>9.2799999999999994E-2</v>
      </c>
      <c r="L4" s="712">
        <v>9.2799999999999994E-2</v>
      </c>
      <c r="P4" s="713">
        <v>9.2799999999999994E-2</v>
      </c>
      <c r="R4" s="714">
        <v>9.2799999999999994E-2</v>
      </c>
      <c r="U4" s="715">
        <v>9.2799999999999994E-2</v>
      </c>
      <c r="V4" s="738"/>
      <c r="AB4" s="706"/>
      <c r="AC4" s="331"/>
      <c r="AD4" s="157"/>
      <c r="AE4" s="1097"/>
      <c r="AF4" s="65"/>
      <c r="AG4" s="1097"/>
      <c r="AH4" s="65"/>
      <c r="AI4" s="65"/>
      <c r="AJ4" s="157"/>
      <c r="AK4" s="1097"/>
      <c r="AL4" s="65"/>
      <c r="AM4" s="1097"/>
      <c r="AX4" s="331"/>
    </row>
    <row r="5" spans="1:50" s="339" customFormat="1" ht="32.25" thickBot="1" x14ac:dyDescent="0.25">
      <c r="A5" s="1312" t="s">
        <v>2</v>
      </c>
      <c r="B5" s="1313" t="s">
        <v>92</v>
      </c>
      <c r="C5" s="780" t="s">
        <v>111</v>
      </c>
      <c r="D5" s="779" t="s">
        <v>59</v>
      </c>
      <c r="E5" s="780" t="s">
        <v>86</v>
      </c>
      <c r="F5" s="1266" t="s">
        <v>93</v>
      </c>
      <c r="G5" s="1314" t="s">
        <v>202</v>
      </c>
      <c r="H5" s="1315" t="s">
        <v>201</v>
      </c>
      <c r="I5" s="1316" t="s">
        <v>96</v>
      </c>
      <c r="J5" s="1316" t="s">
        <v>99</v>
      </c>
      <c r="K5" s="1317" t="s">
        <v>96</v>
      </c>
      <c r="L5" s="1317" t="s">
        <v>100</v>
      </c>
      <c r="M5" s="1318" t="s">
        <v>117</v>
      </c>
      <c r="N5" s="1318" t="s">
        <v>97</v>
      </c>
      <c r="O5" s="1319" t="s">
        <v>117</v>
      </c>
      <c r="P5" s="1319" t="s">
        <v>118</v>
      </c>
      <c r="Q5" s="1320" t="s">
        <v>120</v>
      </c>
      <c r="R5" s="220" t="s">
        <v>108</v>
      </c>
      <c r="S5" s="220" t="s">
        <v>109</v>
      </c>
      <c r="T5" s="1317" t="s">
        <v>96</v>
      </c>
      <c r="U5" s="1321" t="s">
        <v>95</v>
      </c>
      <c r="V5" s="1322" t="s">
        <v>107</v>
      </c>
      <c r="W5" s="1316" t="s">
        <v>96</v>
      </c>
      <c r="X5" s="1316" t="s">
        <v>141</v>
      </c>
      <c r="Y5" s="1316" t="s">
        <v>96</v>
      </c>
      <c r="Z5" s="1316" t="s">
        <v>140</v>
      </c>
      <c r="AA5" s="1316" t="s">
        <v>96</v>
      </c>
      <c r="AB5" s="1323" t="s">
        <v>145</v>
      </c>
      <c r="AC5" s="290"/>
      <c r="AD5" s="372" t="s">
        <v>96</v>
      </c>
      <c r="AE5" s="372" t="s">
        <v>99</v>
      </c>
      <c r="AF5" s="372" t="s">
        <v>96</v>
      </c>
      <c r="AG5" s="372" t="s">
        <v>100</v>
      </c>
      <c r="AH5" s="372" t="s">
        <v>96</v>
      </c>
      <c r="AI5" s="372" t="s">
        <v>97</v>
      </c>
      <c r="AJ5" s="372" t="s">
        <v>117</v>
      </c>
      <c r="AK5" s="372" t="s">
        <v>118</v>
      </c>
      <c r="AL5" s="372" t="s">
        <v>120</v>
      </c>
      <c r="AM5" s="372" t="s">
        <v>108</v>
      </c>
      <c r="AN5" s="373" t="s">
        <v>109</v>
      </c>
      <c r="AO5" s="372" t="s">
        <v>96</v>
      </c>
      <c r="AP5" s="372" t="s">
        <v>95</v>
      </c>
      <c r="AQ5" s="374" t="s">
        <v>107</v>
      </c>
      <c r="AR5" s="374" t="s">
        <v>96</v>
      </c>
      <c r="AS5" s="374" t="s">
        <v>106</v>
      </c>
      <c r="AT5" s="374" t="s">
        <v>96</v>
      </c>
      <c r="AU5" s="374" t="s">
        <v>104</v>
      </c>
      <c r="AV5" s="374" t="s">
        <v>96</v>
      </c>
      <c r="AW5" s="374" t="s">
        <v>105</v>
      </c>
      <c r="AX5" s="331"/>
    </row>
    <row r="6" spans="1:50" x14ac:dyDescent="0.2">
      <c r="A6" s="708"/>
      <c r="B6" s="699"/>
      <c r="C6" s="699"/>
      <c r="D6" s="699"/>
      <c r="E6" s="1269"/>
      <c r="F6" s="709"/>
      <c r="G6" s="1114"/>
      <c r="H6" s="1102"/>
      <c r="I6" s="1402"/>
      <c r="U6" s="218"/>
      <c r="V6" s="738"/>
      <c r="AB6" s="706"/>
      <c r="AC6" s="331"/>
      <c r="AD6" s="157"/>
      <c r="AE6" s="219"/>
      <c r="AF6" s="65"/>
      <c r="AG6" s="65"/>
      <c r="AH6" s="65"/>
      <c r="AI6" s="65"/>
      <c r="AJ6" s="157"/>
      <c r="AK6" s="65"/>
      <c r="AL6" s="65"/>
      <c r="AM6" s="65"/>
      <c r="AN6" s="156"/>
      <c r="AO6" s="65"/>
      <c r="AP6" s="65"/>
      <c r="AQ6" s="145"/>
      <c r="AR6" s="145"/>
      <c r="AS6" s="145"/>
      <c r="AT6" s="145"/>
      <c r="AU6" s="145"/>
      <c r="AV6" s="145"/>
      <c r="AW6" s="145"/>
      <c r="AX6" s="331"/>
    </row>
    <row r="7" spans="1:50" x14ac:dyDescent="0.2">
      <c r="A7" s="1050">
        <v>1</v>
      </c>
      <c r="B7" s="1493" t="s">
        <v>271</v>
      </c>
      <c r="C7" s="1051">
        <v>41</v>
      </c>
      <c r="D7" s="1040">
        <v>22126399</v>
      </c>
      <c r="E7" s="1270">
        <v>5</v>
      </c>
      <c r="F7" s="1267">
        <v>0</v>
      </c>
      <c r="G7" s="1115">
        <v>0</v>
      </c>
      <c r="H7" s="1104">
        <v>0</v>
      </c>
      <c r="I7" s="1045">
        <v>1E-3</v>
      </c>
      <c r="J7" s="377">
        <v>0</v>
      </c>
      <c r="K7" s="482">
        <v>1E-3</v>
      </c>
      <c r="L7" s="482">
        <v>0</v>
      </c>
      <c r="M7" s="851"/>
      <c r="N7" s="663">
        <v>0</v>
      </c>
      <c r="O7" s="383">
        <v>1E-3</v>
      </c>
      <c r="P7" s="1008">
        <v>0</v>
      </c>
      <c r="Q7" s="1009">
        <v>0</v>
      </c>
      <c r="R7" s="375">
        <v>0</v>
      </c>
      <c r="S7" s="376"/>
      <c r="T7" s="375"/>
      <c r="U7" s="625"/>
      <c r="V7" s="560">
        <v>0</v>
      </c>
      <c r="W7" s="606"/>
      <c r="X7" s="377"/>
      <c r="Y7" s="606"/>
      <c r="Z7" s="377"/>
      <c r="AA7" s="606"/>
      <c r="AB7" s="707"/>
      <c r="AC7" s="331"/>
      <c r="AD7" s="383">
        <v>1E-3</v>
      </c>
      <c r="AE7" s="375">
        <v>1E-3</v>
      </c>
      <c r="AF7" s="383">
        <v>1E-3</v>
      </c>
      <c r="AG7" s="375">
        <v>1E-3</v>
      </c>
      <c r="AH7" s="383">
        <v>1E-3</v>
      </c>
      <c r="AI7" s="375">
        <v>1E-3</v>
      </c>
      <c r="AJ7" s="383">
        <v>1E-3</v>
      </c>
      <c r="AK7" s="375">
        <v>1E-3</v>
      </c>
      <c r="AL7" s="375">
        <v>1E-3</v>
      </c>
      <c r="AM7" s="375">
        <v>1E-3</v>
      </c>
      <c r="AN7" s="375">
        <v>1E-3</v>
      </c>
      <c r="AO7" s="375">
        <v>1E-3</v>
      </c>
      <c r="AP7" s="375">
        <v>1E-3</v>
      </c>
      <c r="AQ7" s="375">
        <v>1E-3</v>
      </c>
      <c r="AR7" s="375">
        <v>1E-3</v>
      </c>
      <c r="AS7" s="375">
        <v>1E-3</v>
      </c>
      <c r="AT7" s="375">
        <v>1E-3</v>
      </c>
      <c r="AU7" s="375">
        <v>1E-3</v>
      </c>
      <c r="AV7" s="375">
        <v>1E-3</v>
      </c>
      <c r="AW7" s="375">
        <v>1E-3</v>
      </c>
      <c r="AX7" s="331"/>
    </row>
    <row r="8" spans="1:50" x14ac:dyDescent="0.2">
      <c r="A8" s="1050">
        <v>2</v>
      </c>
      <c r="B8" s="1493" t="s">
        <v>281</v>
      </c>
      <c r="C8" s="1051">
        <v>346</v>
      </c>
      <c r="D8" s="1040">
        <v>71581755</v>
      </c>
      <c r="E8" s="1270">
        <v>2</v>
      </c>
      <c r="F8" s="1267">
        <v>0</v>
      </c>
      <c r="G8" s="1115">
        <v>0</v>
      </c>
      <c r="H8" s="1104">
        <v>0</v>
      </c>
      <c r="I8" s="1045">
        <v>1E-3</v>
      </c>
      <c r="J8" s="377">
        <v>0</v>
      </c>
      <c r="K8" s="482">
        <v>1E-3</v>
      </c>
      <c r="L8" s="482">
        <v>0</v>
      </c>
      <c r="M8" s="851"/>
      <c r="N8" s="663">
        <v>0</v>
      </c>
      <c r="O8" s="383">
        <v>1E-3</v>
      </c>
      <c r="P8" s="1008">
        <v>0</v>
      </c>
      <c r="Q8" s="1009">
        <v>0</v>
      </c>
      <c r="R8" s="375">
        <v>0</v>
      </c>
      <c r="S8" s="376"/>
      <c r="T8" s="375"/>
      <c r="U8" s="625"/>
      <c r="V8" s="560">
        <v>0</v>
      </c>
      <c r="W8" s="606"/>
      <c r="X8" s="377"/>
      <c r="Y8" s="606"/>
      <c r="Z8" s="377"/>
      <c r="AA8" s="606"/>
      <c r="AB8" s="707"/>
      <c r="AC8" s="331"/>
      <c r="AD8" s="383">
        <v>1E-3</v>
      </c>
      <c r="AE8" s="375">
        <v>1E-3</v>
      </c>
      <c r="AF8" s="383">
        <v>1E-3</v>
      </c>
      <c r="AG8" s="375">
        <v>1E-3</v>
      </c>
      <c r="AH8" s="383">
        <v>1E-3</v>
      </c>
      <c r="AI8" s="375">
        <v>1E-3</v>
      </c>
      <c r="AJ8" s="383">
        <v>1E-3</v>
      </c>
      <c r="AK8" s="375">
        <v>1E-3</v>
      </c>
      <c r="AL8" s="375">
        <v>1E-3</v>
      </c>
      <c r="AM8" s="375">
        <v>1E-3</v>
      </c>
      <c r="AN8" s="375">
        <v>1E-3</v>
      </c>
      <c r="AO8" s="375">
        <v>1E-3</v>
      </c>
      <c r="AP8" s="375">
        <v>1E-3</v>
      </c>
      <c r="AQ8" s="375">
        <v>1E-3</v>
      </c>
      <c r="AR8" s="375">
        <v>1E-3</v>
      </c>
      <c r="AS8" s="375">
        <v>1E-3</v>
      </c>
      <c r="AT8" s="375">
        <v>1E-3</v>
      </c>
      <c r="AU8" s="375">
        <v>1E-3</v>
      </c>
      <c r="AV8" s="375">
        <v>1E-3</v>
      </c>
      <c r="AW8" s="375">
        <v>1E-3</v>
      </c>
      <c r="AX8" s="331"/>
    </row>
    <row r="9" spans="1:50" x14ac:dyDescent="0.2">
      <c r="A9" s="1050">
        <v>3</v>
      </c>
      <c r="B9" s="1493" t="s">
        <v>282</v>
      </c>
      <c r="C9" s="1051">
        <v>300</v>
      </c>
      <c r="D9" s="1040">
        <v>70116694</v>
      </c>
      <c r="E9" s="1270">
        <v>5</v>
      </c>
      <c r="F9" s="1267">
        <v>0</v>
      </c>
      <c r="G9" s="1115">
        <v>0</v>
      </c>
      <c r="H9" s="1104">
        <v>0</v>
      </c>
      <c r="I9" s="1045">
        <v>1E-3</v>
      </c>
      <c r="J9" s="377">
        <v>0</v>
      </c>
      <c r="K9" s="482">
        <v>1E-3</v>
      </c>
      <c r="L9" s="482">
        <v>0</v>
      </c>
      <c r="M9" s="851"/>
      <c r="N9" s="663">
        <v>0</v>
      </c>
      <c r="O9" s="383">
        <v>1E-3</v>
      </c>
      <c r="P9" s="1008">
        <v>0</v>
      </c>
      <c r="Q9" s="1009">
        <v>0</v>
      </c>
      <c r="R9" s="375">
        <v>0</v>
      </c>
      <c r="S9" s="376"/>
      <c r="T9" s="375"/>
      <c r="U9" s="625"/>
      <c r="V9" s="560">
        <v>0</v>
      </c>
      <c r="W9" s="606"/>
      <c r="X9" s="377"/>
      <c r="Y9" s="606"/>
      <c r="Z9" s="377"/>
      <c r="AA9" s="606"/>
      <c r="AB9" s="707"/>
      <c r="AC9" s="331"/>
      <c r="AD9" s="383">
        <v>1E-3</v>
      </c>
      <c r="AE9" s="375">
        <v>1E-3</v>
      </c>
      <c r="AF9" s="383">
        <v>1E-3</v>
      </c>
      <c r="AG9" s="375">
        <v>1E-3</v>
      </c>
      <c r="AH9" s="383">
        <v>1E-3</v>
      </c>
      <c r="AI9" s="375">
        <v>1E-3</v>
      </c>
      <c r="AJ9" s="383">
        <v>1E-3</v>
      </c>
      <c r="AK9" s="375">
        <v>1E-3</v>
      </c>
      <c r="AL9" s="375">
        <v>1E-3</v>
      </c>
      <c r="AM9" s="375">
        <v>1E-3</v>
      </c>
      <c r="AN9" s="375">
        <v>1E-3</v>
      </c>
      <c r="AO9" s="375">
        <v>1E-3</v>
      </c>
      <c r="AP9" s="375">
        <v>1E-3</v>
      </c>
      <c r="AQ9" s="375">
        <v>1E-3</v>
      </c>
      <c r="AR9" s="375">
        <v>1E-3</v>
      </c>
      <c r="AS9" s="375">
        <v>1E-3</v>
      </c>
      <c r="AT9" s="375">
        <v>1E-3</v>
      </c>
      <c r="AU9" s="375">
        <v>1E-3</v>
      </c>
      <c r="AV9" s="375">
        <v>1E-3</v>
      </c>
      <c r="AW9" s="375">
        <v>1E-3</v>
      </c>
      <c r="AX9" s="331"/>
    </row>
    <row r="10" spans="1:50" x14ac:dyDescent="0.2">
      <c r="A10" s="1050">
        <v>4</v>
      </c>
      <c r="B10" s="1493" t="s">
        <v>283</v>
      </c>
      <c r="C10" s="1051">
        <v>217</v>
      </c>
      <c r="D10" s="1040">
        <v>3349249</v>
      </c>
      <c r="E10" s="1270">
        <v>7</v>
      </c>
      <c r="F10" s="1267">
        <v>0</v>
      </c>
      <c r="G10" s="1115">
        <v>0</v>
      </c>
      <c r="H10" s="1104">
        <v>0</v>
      </c>
      <c r="I10" s="1045">
        <v>1E-3</v>
      </c>
      <c r="J10" s="377">
        <v>0</v>
      </c>
      <c r="K10" s="482">
        <v>1E-3</v>
      </c>
      <c r="L10" s="482">
        <v>0</v>
      </c>
      <c r="M10" s="851"/>
      <c r="N10" s="663">
        <v>0</v>
      </c>
      <c r="O10" s="383">
        <v>1E-3</v>
      </c>
      <c r="P10" s="1008">
        <v>0</v>
      </c>
      <c r="Q10" s="1009">
        <v>0</v>
      </c>
      <c r="R10" s="375">
        <v>0</v>
      </c>
      <c r="S10" s="376"/>
      <c r="T10" s="375"/>
      <c r="U10" s="625"/>
      <c r="V10" s="560">
        <v>0</v>
      </c>
      <c r="W10" s="606"/>
      <c r="X10" s="377"/>
      <c r="Y10" s="606"/>
      <c r="Z10" s="377"/>
      <c r="AA10" s="606"/>
      <c r="AB10" s="707"/>
      <c r="AC10" s="331"/>
      <c r="AD10" s="383">
        <v>1E-3</v>
      </c>
      <c r="AE10" s="375">
        <v>1E-3</v>
      </c>
      <c r="AF10" s="383">
        <v>1E-3</v>
      </c>
      <c r="AG10" s="375">
        <v>1E-3</v>
      </c>
      <c r="AH10" s="383">
        <v>1E-3</v>
      </c>
      <c r="AI10" s="375">
        <v>1E-3</v>
      </c>
      <c r="AJ10" s="383">
        <v>1E-3</v>
      </c>
      <c r="AK10" s="375">
        <v>1E-3</v>
      </c>
      <c r="AL10" s="375">
        <v>1E-3</v>
      </c>
      <c r="AM10" s="375">
        <v>1E-3</v>
      </c>
      <c r="AN10" s="375">
        <v>1E-3</v>
      </c>
      <c r="AO10" s="375">
        <v>1E-3</v>
      </c>
      <c r="AP10" s="375">
        <v>1E-3</v>
      </c>
      <c r="AQ10" s="375">
        <v>1E-3</v>
      </c>
      <c r="AR10" s="375">
        <v>1E-3</v>
      </c>
      <c r="AS10" s="375">
        <v>1E-3</v>
      </c>
      <c r="AT10" s="375">
        <v>1E-3</v>
      </c>
      <c r="AU10" s="375">
        <v>1E-3</v>
      </c>
      <c r="AV10" s="375">
        <v>1E-3</v>
      </c>
      <c r="AW10" s="375">
        <v>1E-3</v>
      </c>
      <c r="AX10" s="331"/>
    </row>
    <row r="11" spans="1:50" x14ac:dyDescent="0.2">
      <c r="A11" s="1050">
        <v>5</v>
      </c>
      <c r="B11" s="1493" t="s">
        <v>284</v>
      </c>
      <c r="C11" s="1051">
        <v>43</v>
      </c>
      <c r="D11" s="1040">
        <v>71632774</v>
      </c>
      <c r="E11" s="1270">
        <v>2</v>
      </c>
      <c r="F11" s="1267">
        <v>70000</v>
      </c>
      <c r="G11" s="1115">
        <v>0</v>
      </c>
      <c r="H11" s="1104">
        <v>70000</v>
      </c>
      <c r="I11" s="1045">
        <v>1E-3</v>
      </c>
      <c r="J11" s="377">
        <v>0</v>
      </c>
      <c r="K11" s="482">
        <v>1E-3</v>
      </c>
      <c r="L11" s="482">
        <v>0</v>
      </c>
      <c r="M11" s="851"/>
      <c r="N11" s="663">
        <v>0</v>
      </c>
      <c r="O11" s="383" t="s">
        <v>82</v>
      </c>
      <c r="P11" s="1008">
        <v>70000</v>
      </c>
      <c r="Q11" s="1009">
        <v>0</v>
      </c>
      <c r="R11" s="375">
        <v>0</v>
      </c>
      <c r="S11" s="376"/>
      <c r="T11" s="375"/>
      <c r="U11" s="625"/>
      <c r="V11" s="560">
        <v>0</v>
      </c>
      <c r="W11" s="606"/>
      <c r="X11" s="377"/>
      <c r="Y11" s="606"/>
      <c r="Z11" s="377"/>
      <c r="AA11" s="606"/>
      <c r="AB11" s="707"/>
      <c r="AC11" s="331"/>
      <c r="AD11" s="383">
        <v>1E-3</v>
      </c>
      <c r="AE11" s="375">
        <v>1E-3</v>
      </c>
      <c r="AF11" s="383">
        <v>1E-3</v>
      </c>
      <c r="AG11" s="375">
        <v>1E-3</v>
      </c>
      <c r="AH11" s="383">
        <v>1E-3</v>
      </c>
      <c r="AI11" s="375">
        <v>1E-3</v>
      </c>
      <c r="AJ11" s="383" t="s">
        <v>82</v>
      </c>
      <c r="AK11" s="375">
        <v>60000</v>
      </c>
      <c r="AL11" s="375">
        <v>1E-3</v>
      </c>
      <c r="AM11" s="375">
        <v>1E-3</v>
      </c>
      <c r="AN11" s="375">
        <v>1E-3</v>
      </c>
      <c r="AO11" s="375">
        <v>1E-3</v>
      </c>
      <c r="AP11" s="375">
        <v>1E-3</v>
      </c>
      <c r="AQ11" s="375">
        <v>1E-3</v>
      </c>
      <c r="AR11" s="375">
        <v>1E-3</v>
      </c>
      <c r="AS11" s="375">
        <v>1E-3</v>
      </c>
      <c r="AT11" s="375">
        <v>1E-3</v>
      </c>
      <c r="AU11" s="375">
        <v>1E-3</v>
      </c>
      <c r="AV11" s="375">
        <v>1E-3</v>
      </c>
      <c r="AW11" s="375">
        <v>1E-3</v>
      </c>
      <c r="AX11" s="331"/>
    </row>
    <row r="12" spans="1:50" x14ac:dyDescent="0.2">
      <c r="A12" s="1050">
        <v>6</v>
      </c>
      <c r="B12" s="1493" t="s">
        <v>272</v>
      </c>
      <c r="C12" s="1051">
        <v>44</v>
      </c>
      <c r="D12" s="1040">
        <v>21315528</v>
      </c>
      <c r="E12" s="1270">
        <v>6</v>
      </c>
      <c r="F12" s="1267">
        <v>0</v>
      </c>
      <c r="G12" s="1115">
        <v>0</v>
      </c>
      <c r="H12" s="1104">
        <v>0</v>
      </c>
      <c r="I12" s="1045">
        <v>1E-3</v>
      </c>
      <c r="J12" s="377">
        <v>0</v>
      </c>
      <c r="K12" s="482">
        <v>1E-3</v>
      </c>
      <c r="L12" s="482">
        <v>0</v>
      </c>
      <c r="M12" s="851"/>
      <c r="N12" s="663">
        <v>0</v>
      </c>
      <c r="O12" s="383">
        <v>1E-3</v>
      </c>
      <c r="P12" s="1008">
        <v>0</v>
      </c>
      <c r="Q12" s="1009">
        <v>0</v>
      </c>
      <c r="R12" s="375">
        <v>0</v>
      </c>
      <c r="S12" s="376"/>
      <c r="T12" s="375"/>
      <c r="U12" s="625"/>
      <c r="V12" s="560">
        <v>0</v>
      </c>
      <c r="W12" s="606"/>
      <c r="X12" s="377"/>
      <c r="Y12" s="606"/>
      <c r="Z12" s="377"/>
      <c r="AA12" s="606"/>
      <c r="AB12" s="707"/>
      <c r="AC12" s="331"/>
      <c r="AD12" s="383">
        <v>1E-3</v>
      </c>
      <c r="AE12" s="375">
        <v>1E-3</v>
      </c>
      <c r="AF12" s="383">
        <v>1E-3</v>
      </c>
      <c r="AG12" s="375">
        <v>1E-3</v>
      </c>
      <c r="AH12" s="383">
        <v>1E-3</v>
      </c>
      <c r="AI12" s="375">
        <v>1E-3</v>
      </c>
      <c r="AJ12" s="383">
        <v>1E-3</v>
      </c>
      <c r="AK12" s="375">
        <v>1E-3</v>
      </c>
      <c r="AL12" s="375">
        <v>1E-3</v>
      </c>
      <c r="AM12" s="375">
        <v>1E-3</v>
      </c>
      <c r="AN12" s="375">
        <v>1E-3</v>
      </c>
      <c r="AO12" s="375">
        <v>1E-3</v>
      </c>
      <c r="AP12" s="375">
        <v>1E-3</v>
      </c>
      <c r="AQ12" s="375">
        <v>1E-3</v>
      </c>
      <c r="AR12" s="375">
        <v>1E-3</v>
      </c>
      <c r="AS12" s="375">
        <v>1E-3</v>
      </c>
      <c r="AT12" s="375">
        <v>1E-3</v>
      </c>
      <c r="AU12" s="375">
        <v>1E-3</v>
      </c>
      <c r="AV12" s="375">
        <v>1E-3</v>
      </c>
      <c r="AW12" s="375">
        <v>1E-3</v>
      </c>
      <c r="AX12" s="331"/>
    </row>
    <row r="13" spans="1:50" x14ac:dyDescent="0.2">
      <c r="A13" s="1050">
        <v>7</v>
      </c>
      <c r="B13" s="1493" t="s">
        <v>273</v>
      </c>
      <c r="C13" s="1051">
        <v>45</v>
      </c>
      <c r="D13" s="1040">
        <v>32336950</v>
      </c>
      <c r="E13" s="1270">
        <v>1</v>
      </c>
      <c r="F13" s="1267">
        <v>365920.80160000001</v>
      </c>
      <c r="G13" s="1115">
        <v>0</v>
      </c>
      <c r="H13" s="1104">
        <v>365920.80160000001</v>
      </c>
      <c r="I13" s="1046">
        <v>3</v>
      </c>
      <c r="J13" s="377">
        <v>365920.80160000001</v>
      </c>
      <c r="K13" s="482">
        <v>1E-3</v>
      </c>
      <c r="L13" s="482">
        <v>0</v>
      </c>
      <c r="M13" s="851"/>
      <c r="N13" s="663">
        <v>0</v>
      </c>
      <c r="O13" s="383">
        <v>1E-3</v>
      </c>
      <c r="P13" s="1008">
        <v>0</v>
      </c>
      <c r="Q13" s="1009">
        <v>0</v>
      </c>
      <c r="R13" s="375">
        <v>0</v>
      </c>
      <c r="S13" s="376"/>
      <c r="T13" s="375"/>
      <c r="U13" s="625"/>
      <c r="V13" s="560">
        <v>0</v>
      </c>
      <c r="W13" s="606"/>
      <c r="X13" s="377"/>
      <c r="Y13" s="606"/>
      <c r="Z13" s="377"/>
      <c r="AA13" s="606"/>
      <c r="AB13" s="707"/>
      <c r="AC13" s="331"/>
      <c r="AD13" s="383">
        <v>3</v>
      </c>
      <c r="AE13" s="375">
        <v>334847</v>
      </c>
      <c r="AF13" s="383">
        <v>1E-3</v>
      </c>
      <c r="AG13" s="375">
        <v>1E-3</v>
      </c>
      <c r="AH13" s="383">
        <v>1E-3</v>
      </c>
      <c r="AI13" s="375">
        <v>1E-3</v>
      </c>
      <c r="AJ13" s="383">
        <v>1E-3</v>
      </c>
      <c r="AK13" s="375">
        <v>1E-3</v>
      </c>
      <c r="AL13" s="375">
        <v>1E-3</v>
      </c>
      <c r="AM13" s="375">
        <v>1E-3</v>
      </c>
      <c r="AN13" s="375">
        <v>1E-3</v>
      </c>
      <c r="AO13" s="375">
        <v>1E-3</v>
      </c>
      <c r="AP13" s="375">
        <v>1E-3</v>
      </c>
      <c r="AQ13" s="375">
        <v>1E-3</v>
      </c>
      <c r="AR13" s="375">
        <v>1E-3</v>
      </c>
      <c r="AS13" s="375">
        <v>1E-3</v>
      </c>
      <c r="AT13" s="375">
        <v>1E-3</v>
      </c>
      <c r="AU13" s="375">
        <v>1E-3</v>
      </c>
      <c r="AV13" s="375">
        <v>1E-3</v>
      </c>
      <c r="AW13" s="375">
        <v>1E-3</v>
      </c>
      <c r="AX13" s="331"/>
    </row>
    <row r="14" spans="1:50" x14ac:dyDescent="0.2">
      <c r="A14" s="1050">
        <v>8</v>
      </c>
      <c r="B14" s="1493" t="s">
        <v>274</v>
      </c>
      <c r="C14" s="1051">
        <v>156</v>
      </c>
      <c r="D14" s="1040">
        <v>43079999</v>
      </c>
      <c r="E14" s="1270">
        <v>9</v>
      </c>
      <c r="F14" s="1267">
        <v>0</v>
      </c>
      <c r="G14" s="1115">
        <v>0</v>
      </c>
      <c r="H14" s="1104">
        <v>0</v>
      </c>
      <c r="I14" s="1045">
        <v>1E-3</v>
      </c>
      <c r="J14" s="377">
        <v>0</v>
      </c>
      <c r="K14" s="482">
        <v>1E-3</v>
      </c>
      <c r="L14" s="482">
        <v>0</v>
      </c>
      <c r="M14" s="851"/>
      <c r="N14" s="663">
        <v>0</v>
      </c>
      <c r="O14" s="383">
        <v>1E-3</v>
      </c>
      <c r="P14" s="1008">
        <v>0</v>
      </c>
      <c r="Q14" s="1009">
        <v>0</v>
      </c>
      <c r="R14" s="375">
        <v>0</v>
      </c>
      <c r="S14" s="376"/>
      <c r="T14" s="375"/>
      <c r="U14" s="625"/>
      <c r="V14" s="560">
        <v>0</v>
      </c>
      <c r="W14" s="606"/>
      <c r="X14" s="377"/>
      <c r="Y14" s="606"/>
      <c r="Z14" s="377"/>
      <c r="AA14" s="606"/>
      <c r="AB14" s="707"/>
      <c r="AC14" s="331"/>
      <c r="AD14" s="383">
        <v>1E-3</v>
      </c>
      <c r="AE14" s="375">
        <v>1E-3</v>
      </c>
      <c r="AF14" s="383">
        <v>1E-3</v>
      </c>
      <c r="AG14" s="375">
        <v>1E-3</v>
      </c>
      <c r="AH14" s="383">
        <v>1E-3</v>
      </c>
      <c r="AI14" s="375">
        <v>1E-3</v>
      </c>
      <c r="AJ14" s="383">
        <v>1E-3</v>
      </c>
      <c r="AK14" s="375">
        <v>1E-3</v>
      </c>
      <c r="AL14" s="375">
        <v>1E-3</v>
      </c>
      <c r="AM14" s="375">
        <v>1E-3</v>
      </c>
      <c r="AN14" s="375">
        <v>1E-3</v>
      </c>
      <c r="AO14" s="375">
        <v>1E-3</v>
      </c>
      <c r="AP14" s="375">
        <v>1E-3</v>
      </c>
      <c r="AQ14" s="375">
        <v>1E-3</v>
      </c>
      <c r="AR14" s="375">
        <v>1E-3</v>
      </c>
      <c r="AS14" s="375">
        <v>1E-3</v>
      </c>
      <c r="AT14" s="375">
        <v>1E-3</v>
      </c>
      <c r="AU14" s="375">
        <v>1E-3</v>
      </c>
      <c r="AV14" s="375">
        <v>1E-3</v>
      </c>
      <c r="AW14" s="375">
        <v>1E-3</v>
      </c>
      <c r="AX14" s="331"/>
    </row>
    <row r="15" spans="1:50" x14ac:dyDescent="0.2">
      <c r="A15" s="1050"/>
      <c r="B15" s="1019"/>
      <c r="C15" s="1051"/>
      <c r="D15" s="1040"/>
      <c r="E15" s="1270"/>
      <c r="F15" s="1267"/>
      <c r="G15" s="1115"/>
      <c r="H15" s="1104"/>
      <c r="I15" s="1045"/>
      <c r="J15" s="377"/>
      <c r="K15" s="482"/>
      <c r="L15" s="482"/>
      <c r="M15" s="851"/>
      <c r="N15" s="663"/>
      <c r="O15" s="383"/>
      <c r="P15" s="1008"/>
      <c r="Q15" s="1009"/>
      <c r="R15" s="375"/>
      <c r="S15" s="376"/>
      <c r="T15" s="375"/>
      <c r="U15" s="625"/>
      <c r="V15" s="560"/>
      <c r="W15" s="606"/>
      <c r="X15" s="377"/>
      <c r="Y15" s="606"/>
      <c r="Z15" s="377"/>
      <c r="AA15" s="606"/>
      <c r="AB15" s="707"/>
      <c r="AC15" s="331"/>
      <c r="AD15" s="383"/>
      <c r="AE15" s="375"/>
      <c r="AF15" s="383"/>
      <c r="AG15" s="375"/>
      <c r="AH15" s="383"/>
      <c r="AI15" s="375"/>
      <c r="AJ15" s="383"/>
      <c r="AK15" s="375"/>
      <c r="AL15" s="375"/>
      <c r="AM15" s="375"/>
      <c r="AN15" s="375"/>
      <c r="AO15" s="375"/>
      <c r="AP15" s="375"/>
      <c r="AQ15" s="375"/>
      <c r="AR15" s="375"/>
      <c r="AS15" s="375"/>
      <c r="AT15" s="375"/>
      <c r="AU15" s="375"/>
      <c r="AV15" s="375"/>
      <c r="AW15" s="375"/>
      <c r="AX15" s="331"/>
    </row>
    <row r="16" spans="1:50" x14ac:dyDescent="0.2">
      <c r="A16" s="1050"/>
      <c r="B16" s="1019"/>
      <c r="C16" s="1051"/>
      <c r="D16" s="1040"/>
      <c r="E16" s="1270"/>
      <c r="F16" s="1267"/>
      <c r="G16" s="1115"/>
      <c r="H16" s="1104"/>
      <c r="I16" s="1045"/>
      <c r="J16" s="377"/>
      <c r="K16" s="482"/>
      <c r="L16" s="482"/>
      <c r="M16" s="851"/>
      <c r="N16" s="663"/>
      <c r="O16" s="383"/>
      <c r="P16" s="1008"/>
      <c r="Q16" s="1009"/>
      <c r="R16" s="375"/>
      <c r="S16" s="376"/>
      <c r="T16" s="375"/>
      <c r="U16" s="625"/>
      <c r="V16" s="560"/>
      <c r="W16" s="606"/>
      <c r="X16" s="377"/>
      <c r="Y16" s="606"/>
      <c r="Z16" s="377"/>
      <c r="AA16" s="606"/>
      <c r="AB16" s="707"/>
      <c r="AC16" s="331"/>
      <c r="AD16" s="383"/>
      <c r="AE16" s="375"/>
      <c r="AF16" s="383"/>
      <c r="AG16" s="375"/>
      <c r="AH16" s="383"/>
      <c r="AI16" s="375"/>
      <c r="AJ16" s="383"/>
      <c r="AK16" s="375"/>
      <c r="AL16" s="375"/>
      <c r="AM16" s="375"/>
      <c r="AN16" s="375"/>
      <c r="AO16" s="375"/>
      <c r="AP16" s="375"/>
      <c r="AQ16" s="375"/>
      <c r="AR16" s="375"/>
      <c r="AS16" s="375"/>
      <c r="AT16" s="375"/>
      <c r="AU16" s="375"/>
      <c r="AV16" s="375"/>
      <c r="AW16" s="375"/>
      <c r="AX16" s="331"/>
    </row>
    <row r="17" spans="1:50" x14ac:dyDescent="0.2">
      <c r="A17" s="1050"/>
      <c r="B17" s="1042"/>
      <c r="C17" s="1051"/>
      <c r="D17" s="1040"/>
      <c r="E17" s="1270"/>
      <c r="F17" s="1267"/>
      <c r="G17" s="1115"/>
      <c r="H17" s="1104"/>
      <c r="I17" s="1045"/>
      <c r="J17" s="377"/>
      <c r="K17" s="482"/>
      <c r="L17" s="482"/>
      <c r="M17" s="851"/>
      <c r="N17" s="663"/>
      <c r="O17" s="383"/>
      <c r="P17" s="1008"/>
      <c r="Q17" s="1009"/>
      <c r="R17" s="375"/>
      <c r="S17" s="376"/>
      <c r="T17" s="375"/>
      <c r="U17" s="625"/>
      <c r="V17" s="560"/>
      <c r="W17" s="606"/>
      <c r="X17" s="377"/>
      <c r="Y17" s="606"/>
      <c r="Z17" s="377"/>
      <c r="AA17" s="606"/>
      <c r="AB17" s="707"/>
      <c r="AC17" s="331"/>
      <c r="AD17" s="383"/>
      <c r="AE17" s="375"/>
      <c r="AF17" s="383"/>
      <c r="AG17" s="375"/>
      <c r="AH17" s="383"/>
      <c r="AI17" s="375"/>
      <c r="AJ17" s="383"/>
      <c r="AK17" s="375"/>
      <c r="AL17" s="375"/>
      <c r="AM17" s="375"/>
      <c r="AN17" s="375"/>
      <c r="AO17" s="375"/>
      <c r="AP17" s="375"/>
      <c r="AQ17" s="375"/>
      <c r="AR17" s="375"/>
      <c r="AS17" s="375"/>
      <c r="AT17" s="375"/>
      <c r="AU17" s="375"/>
      <c r="AV17" s="375"/>
      <c r="AW17" s="375"/>
      <c r="AX17" s="331"/>
    </row>
    <row r="18" spans="1:50" x14ac:dyDescent="0.2">
      <c r="A18" s="1050"/>
      <c r="B18" s="1042"/>
      <c r="C18" s="1051"/>
      <c r="D18" s="1040"/>
      <c r="E18" s="1270"/>
      <c r="F18" s="1267"/>
      <c r="G18" s="1115"/>
      <c r="H18" s="1104"/>
      <c r="I18" s="1045"/>
      <c r="J18" s="377"/>
      <c r="K18" s="482"/>
      <c r="L18" s="482"/>
      <c r="M18" s="851"/>
      <c r="N18" s="663"/>
      <c r="O18" s="383"/>
      <c r="P18" s="1008"/>
      <c r="Q18" s="1009"/>
      <c r="R18" s="375"/>
      <c r="S18" s="376"/>
      <c r="T18" s="375"/>
      <c r="U18" s="625"/>
      <c r="V18" s="560"/>
      <c r="W18" s="606"/>
      <c r="X18" s="377"/>
      <c r="Y18" s="606"/>
      <c r="Z18" s="377"/>
      <c r="AA18" s="606"/>
      <c r="AB18" s="707"/>
      <c r="AC18" s="331"/>
      <c r="AD18" s="383"/>
      <c r="AE18" s="375"/>
      <c r="AF18" s="383"/>
      <c r="AG18" s="375"/>
      <c r="AH18" s="383"/>
      <c r="AI18" s="375"/>
      <c r="AJ18" s="383"/>
      <c r="AK18" s="375"/>
      <c r="AL18" s="375"/>
      <c r="AM18" s="375"/>
      <c r="AN18" s="375"/>
      <c r="AO18" s="375"/>
      <c r="AP18" s="375"/>
      <c r="AQ18" s="375"/>
      <c r="AR18" s="375"/>
      <c r="AS18" s="375"/>
      <c r="AT18" s="375"/>
      <c r="AU18" s="375"/>
      <c r="AV18" s="375"/>
      <c r="AW18" s="375"/>
      <c r="AX18" s="331"/>
    </row>
    <row r="19" spans="1:50" x14ac:dyDescent="0.2">
      <c r="A19" s="1050"/>
      <c r="B19" s="1019"/>
      <c r="C19" s="1051"/>
      <c r="D19" s="1040"/>
      <c r="E19" s="1270"/>
      <c r="F19" s="1267"/>
      <c r="G19" s="1115"/>
      <c r="H19" s="1104"/>
      <c r="I19" s="1046"/>
      <c r="J19" s="377"/>
      <c r="K19" s="482"/>
      <c r="L19" s="482"/>
      <c r="M19" s="851"/>
      <c r="N19" s="663"/>
      <c r="O19" s="383"/>
      <c r="P19" s="1008"/>
      <c r="Q19" s="1009"/>
      <c r="R19" s="375"/>
      <c r="S19" s="376"/>
      <c r="T19" s="375"/>
      <c r="U19" s="625"/>
      <c r="V19" s="560"/>
      <c r="W19" s="606"/>
      <c r="X19" s="377"/>
      <c r="Y19" s="606"/>
      <c r="Z19" s="377"/>
      <c r="AA19" s="606"/>
      <c r="AB19" s="707"/>
      <c r="AC19" s="331"/>
      <c r="AD19" s="383"/>
      <c r="AE19" s="375"/>
      <c r="AF19" s="383"/>
      <c r="AG19" s="375"/>
      <c r="AH19" s="383"/>
      <c r="AI19" s="375"/>
      <c r="AJ19" s="383"/>
      <c r="AK19" s="375"/>
      <c r="AL19" s="375"/>
      <c r="AM19" s="375"/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31"/>
    </row>
    <row r="20" spans="1:50" x14ac:dyDescent="0.2">
      <c r="A20" s="1050"/>
      <c r="B20" s="1019"/>
      <c r="C20" s="1051"/>
      <c r="D20" s="1040"/>
      <c r="E20" s="1270"/>
      <c r="F20" s="1267"/>
      <c r="G20" s="1115"/>
      <c r="H20" s="1104"/>
      <c r="I20" s="1045"/>
      <c r="J20" s="377"/>
      <c r="K20" s="482"/>
      <c r="L20" s="482"/>
      <c r="M20" s="851"/>
      <c r="N20" s="663"/>
      <c r="O20" s="383"/>
      <c r="P20" s="1008"/>
      <c r="Q20" s="1009"/>
      <c r="R20" s="375"/>
      <c r="S20" s="376"/>
      <c r="T20" s="375"/>
      <c r="U20" s="625"/>
      <c r="V20" s="560"/>
      <c r="W20" s="606"/>
      <c r="X20" s="377"/>
      <c r="Y20" s="606"/>
      <c r="Z20" s="377"/>
      <c r="AA20" s="606"/>
      <c r="AB20" s="707"/>
      <c r="AC20" s="331"/>
      <c r="AD20" s="383"/>
      <c r="AE20" s="375"/>
      <c r="AF20" s="383"/>
      <c r="AG20" s="375"/>
      <c r="AH20" s="383"/>
      <c r="AI20" s="375"/>
      <c r="AJ20" s="383"/>
      <c r="AK20" s="375"/>
      <c r="AL20" s="375"/>
      <c r="AM20" s="375"/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31"/>
    </row>
    <row r="21" spans="1:50" x14ac:dyDescent="0.2">
      <c r="A21" s="1050"/>
      <c r="B21" s="1242"/>
      <c r="C21" s="1051"/>
      <c r="D21" s="1040"/>
      <c r="E21" s="1270"/>
      <c r="F21" s="1267"/>
      <c r="G21" s="1115"/>
      <c r="H21" s="1104"/>
      <c r="I21" s="1045"/>
      <c r="J21" s="377"/>
      <c r="K21" s="482"/>
      <c r="L21" s="482"/>
      <c r="M21" s="851"/>
      <c r="N21" s="663"/>
      <c r="O21" s="383"/>
      <c r="P21" s="1008"/>
      <c r="Q21" s="1009"/>
      <c r="R21" s="375"/>
      <c r="S21" s="376"/>
      <c r="T21" s="375"/>
      <c r="U21" s="625"/>
      <c r="V21" s="560"/>
      <c r="W21" s="606"/>
      <c r="X21" s="377"/>
      <c r="Y21" s="606"/>
      <c r="Z21" s="377"/>
      <c r="AA21" s="606"/>
      <c r="AB21" s="707"/>
      <c r="AC21" s="331"/>
      <c r="AD21" s="383"/>
      <c r="AE21" s="375"/>
      <c r="AF21" s="383"/>
      <c r="AG21" s="375"/>
      <c r="AH21" s="383"/>
      <c r="AI21" s="375"/>
      <c r="AJ21" s="383"/>
      <c r="AK21" s="375"/>
      <c r="AL21" s="375"/>
      <c r="AM21" s="375"/>
      <c r="AN21" s="375"/>
      <c r="AO21" s="375"/>
      <c r="AP21" s="375"/>
      <c r="AQ21" s="375"/>
      <c r="AR21" s="375"/>
      <c r="AS21" s="375"/>
      <c r="AT21" s="375"/>
      <c r="AU21" s="375"/>
      <c r="AV21" s="375"/>
      <c r="AW21" s="375"/>
      <c r="AX21" s="331"/>
    </row>
    <row r="22" spans="1:50" x14ac:dyDescent="0.2">
      <c r="A22" s="1050"/>
      <c r="B22" s="1019"/>
      <c r="C22" s="1051"/>
      <c r="D22" s="1040"/>
      <c r="E22" s="1270"/>
      <c r="F22" s="1267"/>
      <c r="G22" s="1115"/>
      <c r="H22" s="1104"/>
      <c r="I22" s="1045"/>
      <c r="J22" s="377"/>
      <c r="K22" s="482"/>
      <c r="L22" s="482"/>
      <c r="M22" s="851"/>
      <c r="N22" s="663"/>
      <c r="O22" s="383"/>
      <c r="P22" s="1008"/>
      <c r="Q22" s="1009"/>
      <c r="R22" s="375"/>
      <c r="S22" s="376"/>
      <c r="T22" s="375"/>
      <c r="U22" s="625"/>
      <c r="V22" s="560"/>
      <c r="W22" s="606"/>
      <c r="X22" s="377"/>
      <c r="Y22" s="606"/>
      <c r="Z22" s="377"/>
      <c r="AA22" s="606"/>
      <c r="AB22" s="707"/>
      <c r="AC22" s="331"/>
      <c r="AD22" s="383"/>
      <c r="AE22" s="375"/>
      <c r="AF22" s="383"/>
      <c r="AG22" s="375"/>
      <c r="AH22" s="383"/>
      <c r="AI22" s="375"/>
      <c r="AJ22" s="383"/>
      <c r="AK22" s="375"/>
      <c r="AL22" s="375"/>
      <c r="AM22" s="375"/>
      <c r="AN22" s="375"/>
      <c r="AO22" s="375"/>
      <c r="AP22" s="375"/>
      <c r="AQ22" s="375"/>
      <c r="AR22" s="375"/>
      <c r="AS22" s="375"/>
      <c r="AT22" s="375"/>
      <c r="AU22" s="375"/>
      <c r="AV22" s="375"/>
      <c r="AW22" s="375"/>
      <c r="AX22" s="331"/>
    </row>
    <row r="23" spans="1:50" x14ac:dyDescent="0.2">
      <c r="A23" s="1050"/>
      <c r="B23" s="1019"/>
      <c r="C23" s="1051"/>
      <c r="D23" s="1040"/>
      <c r="E23" s="1270"/>
      <c r="F23" s="1267"/>
      <c r="G23" s="1115"/>
      <c r="H23" s="1104"/>
      <c r="I23" s="1045"/>
      <c r="J23" s="377"/>
      <c r="K23" s="482"/>
      <c r="L23" s="482"/>
      <c r="M23" s="851"/>
      <c r="N23" s="663"/>
      <c r="O23" s="383"/>
      <c r="P23" s="1008"/>
      <c r="Q23" s="1009"/>
      <c r="R23" s="375"/>
      <c r="S23" s="376"/>
      <c r="T23" s="375"/>
      <c r="U23" s="625"/>
      <c r="V23" s="560"/>
      <c r="W23" s="606"/>
      <c r="X23" s="377"/>
      <c r="Y23" s="606"/>
      <c r="Z23" s="377"/>
      <c r="AA23" s="606"/>
      <c r="AB23" s="707"/>
      <c r="AC23" s="331"/>
      <c r="AD23" s="383"/>
      <c r="AE23" s="375"/>
      <c r="AF23" s="383"/>
      <c r="AG23" s="375"/>
      <c r="AH23" s="383"/>
      <c r="AI23" s="375"/>
      <c r="AJ23" s="383"/>
      <c r="AK23" s="375"/>
      <c r="AL23" s="375"/>
      <c r="AM23" s="375"/>
      <c r="AN23" s="375"/>
      <c r="AO23" s="375"/>
      <c r="AP23" s="375"/>
      <c r="AQ23" s="375"/>
      <c r="AR23" s="375"/>
      <c r="AS23" s="375"/>
      <c r="AT23" s="375"/>
      <c r="AU23" s="375"/>
      <c r="AV23" s="375"/>
      <c r="AW23" s="375"/>
      <c r="AX23" s="331"/>
    </row>
    <row r="24" spans="1:50" x14ac:dyDescent="0.2">
      <c r="A24" s="1050"/>
      <c r="B24" s="1019"/>
      <c r="C24" s="1051"/>
      <c r="D24" s="1040"/>
      <c r="E24" s="1270"/>
      <c r="F24" s="1267"/>
      <c r="G24" s="1115"/>
      <c r="H24" s="1104"/>
      <c r="I24" s="1045"/>
      <c r="J24" s="377"/>
      <c r="K24" s="482"/>
      <c r="L24" s="482"/>
      <c r="M24" s="851"/>
      <c r="N24" s="663"/>
      <c r="O24" s="383"/>
      <c r="P24" s="1008"/>
      <c r="Q24" s="1009"/>
      <c r="R24" s="375"/>
      <c r="S24" s="376"/>
      <c r="T24" s="375"/>
      <c r="U24" s="625"/>
      <c r="V24" s="560"/>
      <c r="W24" s="606"/>
      <c r="X24" s="377"/>
      <c r="Y24" s="606"/>
      <c r="Z24" s="377"/>
      <c r="AA24" s="606"/>
      <c r="AB24" s="707"/>
      <c r="AC24" s="331"/>
      <c r="AD24" s="383"/>
      <c r="AE24" s="375"/>
      <c r="AF24" s="383"/>
      <c r="AG24" s="375"/>
      <c r="AH24" s="383"/>
      <c r="AI24" s="375"/>
      <c r="AJ24" s="383"/>
      <c r="AK24" s="375"/>
      <c r="AL24" s="375"/>
      <c r="AM24" s="375"/>
      <c r="AN24" s="375"/>
      <c r="AO24" s="375"/>
      <c r="AP24" s="375"/>
      <c r="AQ24" s="375"/>
      <c r="AR24" s="375"/>
      <c r="AS24" s="375"/>
      <c r="AT24" s="375"/>
      <c r="AU24" s="375"/>
      <c r="AV24" s="375"/>
      <c r="AW24" s="375"/>
      <c r="AX24" s="331"/>
    </row>
    <row r="25" spans="1:50" x14ac:dyDescent="0.2">
      <c r="A25" s="1050"/>
      <c r="B25" s="1019"/>
      <c r="C25" s="1051"/>
      <c r="D25" s="1040"/>
      <c r="E25" s="1270"/>
      <c r="F25" s="1267"/>
      <c r="G25" s="1115"/>
      <c r="H25" s="1104"/>
      <c r="I25" s="1045"/>
      <c r="J25" s="377"/>
      <c r="K25" s="482"/>
      <c r="L25" s="482"/>
      <c r="M25" s="851"/>
      <c r="N25" s="663"/>
      <c r="O25" s="383"/>
      <c r="P25" s="1008"/>
      <c r="Q25" s="1009"/>
      <c r="R25" s="375"/>
      <c r="S25" s="376"/>
      <c r="T25" s="375"/>
      <c r="U25" s="625"/>
      <c r="V25" s="560"/>
      <c r="W25" s="606"/>
      <c r="X25" s="377"/>
      <c r="Y25" s="606"/>
      <c r="Z25" s="377"/>
      <c r="AA25" s="606"/>
      <c r="AB25" s="707"/>
      <c r="AC25" s="331"/>
      <c r="AD25" s="383"/>
      <c r="AE25" s="375"/>
      <c r="AF25" s="383"/>
      <c r="AG25" s="375"/>
      <c r="AH25" s="383"/>
      <c r="AI25" s="375"/>
      <c r="AJ25" s="383"/>
      <c r="AK25" s="375"/>
      <c r="AL25" s="375"/>
      <c r="AM25" s="375"/>
      <c r="AN25" s="375"/>
      <c r="AO25" s="375"/>
      <c r="AP25" s="375"/>
      <c r="AQ25" s="375"/>
      <c r="AR25" s="375"/>
      <c r="AS25" s="375"/>
      <c r="AT25" s="375"/>
      <c r="AU25" s="375"/>
      <c r="AV25" s="375"/>
      <c r="AW25" s="375"/>
      <c r="AX25" s="331"/>
    </row>
    <row r="26" spans="1:50" x14ac:dyDescent="0.2">
      <c r="A26" s="1050"/>
      <c r="B26" s="1019"/>
      <c r="C26" s="1051"/>
      <c r="D26" s="1040"/>
      <c r="E26" s="1270"/>
      <c r="F26" s="1267"/>
      <c r="G26" s="1115"/>
      <c r="H26" s="1104"/>
      <c r="I26" s="1045"/>
      <c r="J26" s="377"/>
      <c r="K26" s="482"/>
      <c r="L26" s="482"/>
      <c r="M26" s="851"/>
      <c r="N26" s="663"/>
      <c r="O26" s="383"/>
      <c r="P26" s="1008"/>
      <c r="Q26" s="1009"/>
      <c r="R26" s="375"/>
      <c r="S26" s="376"/>
      <c r="T26" s="375"/>
      <c r="U26" s="625"/>
      <c r="V26" s="560"/>
      <c r="W26" s="606"/>
      <c r="X26" s="377"/>
      <c r="Y26" s="606"/>
      <c r="Z26" s="377"/>
      <c r="AA26" s="606"/>
      <c r="AB26" s="707"/>
      <c r="AC26" s="331"/>
      <c r="AD26" s="383"/>
      <c r="AE26" s="375"/>
      <c r="AF26" s="383"/>
      <c r="AG26" s="375"/>
      <c r="AH26" s="383"/>
      <c r="AI26" s="375"/>
      <c r="AJ26" s="383"/>
      <c r="AK26" s="375"/>
      <c r="AL26" s="375"/>
      <c r="AM26" s="375"/>
      <c r="AN26" s="375"/>
      <c r="AO26" s="375"/>
      <c r="AP26" s="375"/>
      <c r="AQ26" s="375"/>
      <c r="AR26" s="375"/>
      <c r="AS26" s="375"/>
      <c r="AT26" s="375"/>
      <c r="AU26" s="375"/>
      <c r="AV26" s="375"/>
      <c r="AW26" s="375"/>
      <c r="AX26" s="331"/>
    </row>
    <row r="27" spans="1:50" x14ac:dyDescent="0.2">
      <c r="A27" s="1050"/>
      <c r="B27" s="1042"/>
      <c r="C27" s="1051"/>
      <c r="D27" s="1040"/>
      <c r="E27" s="1270"/>
      <c r="F27" s="1267"/>
      <c r="G27" s="1115"/>
      <c r="H27" s="1104"/>
      <c r="I27" s="1045"/>
      <c r="J27" s="377"/>
      <c r="K27" s="482"/>
      <c r="L27" s="482"/>
      <c r="M27" s="851"/>
      <c r="N27" s="663"/>
      <c r="O27" s="383"/>
      <c r="P27" s="1008"/>
      <c r="Q27" s="1009"/>
      <c r="R27" s="1324"/>
      <c r="S27" s="1325"/>
      <c r="T27" s="375"/>
      <c r="U27" s="625"/>
      <c r="V27" s="560"/>
      <c r="W27" s="606"/>
      <c r="X27" s="377"/>
      <c r="Y27" s="606"/>
      <c r="Z27" s="377"/>
      <c r="AA27" s="606"/>
      <c r="AB27" s="707"/>
      <c r="AC27" s="331"/>
      <c r="AD27" s="383"/>
      <c r="AE27" s="375"/>
      <c r="AF27" s="383"/>
      <c r="AG27" s="375"/>
      <c r="AH27" s="383"/>
      <c r="AI27" s="375"/>
      <c r="AJ27" s="383"/>
      <c r="AK27" s="375"/>
      <c r="AL27" s="375"/>
      <c r="AM27" s="375"/>
      <c r="AN27" s="375"/>
      <c r="AO27" s="375"/>
      <c r="AP27" s="375"/>
      <c r="AQ27" s="375"/>
      <c r="AR27" s="375"/>
      <c r="AS27" s="375"/>
      <c r="AT27" s="375"/>
      <c r="AU27" s="375"/>
      <c r="AV27" s="375"/>
      <c r="AW27" s="375"/>
      <c r="AX27" s="331"/>
    </row>
    <row r="28" spans="1:50" x14ac:dyDescent="0.2">
      <c r="A28" s="1050"/>
      <c r="B28" s="1019"/>
      <c r="C28" s="1051"/>
      <c r="D28" s="1040"/>
      <c r="E28" s="1270"/>
      <c r="F28" s="1267"/>
      <c r="G28" s="1115"/>
      <c r="H28" s="1104"/>
      <c r="I28" s="1045"/>
      <c r="J28" s="377"/>
      <c r="K28" s="482"/>
      <c r="L28" s="482"/>
      <c r="M28" s="851"/>
      <c r="N28" s="663"/>
      <c r="O28" s="383"/>
      <c r="P28" s="1008"/>
      <c r="Q28" s="1009"/>
      <c r="R28" s="375"/>
      <c r="S28" s="376"/>
      <c r="T28" s="375"/>
      <c r="U28" s="625"/>
      <c r="V28" s="560"/>
      <c r="W28" s="606"/>
      <c r="X28" s="377"/>
      <c r="Y28" s="606"/>
      <c r="Z28" s="377"/>
      <c r="AA28" s="606"/>
      <c r="AB28" s="707"/>
      <c r="AC28" s="331"/>
      <c r="AD28" s="383"/>
      <c r="AE28" s="375"/>
      <c r="AF28" s="383"/>
      <c r="AG28" s="375"/>
      <c r="AH28" s="383"/>
      <c r="AI28" s="375"/>
      <c r="AJ28" s="383"/>
      <c r="AK28" s="375"/>
      <c r="AL28" s="375"/>
      <c r="AM28" s="375"/>
      <c r="AN28" s="375"/>
      <c r="AO28" s="375"/>
      <c r="AP28" s="375"/>
      <c r="AQ28" s="375"/>
      <c r="AR28" s="375"/>
      <c r="AS28" s="375"/>
      <c r="AT28" s="375"/>
      <c r="AU28" s="375"/>
      <c r="AV28" s="375"/>
      <c r="AW28" s="375"/>
      <c r="AX28" s="331"/>
    </row>
    <row r="29" spans="1:50" x14ac:dyDescent="0.2">
      <c r="A29" s="1050"/>
      <c r="B29" s="1019"/>
      <c r="C29" s="1051"/>
      <c r="D29" s="1040"/>
      <c r="E29" s="1270"/>
      <c r="F29" s="1267"/>
      <c r="G29" s="1115"/>
      <c r="H29" s="1104"/>
      <c r="I29" s="1045"/>
      <c r="J29" s="377"/>
      <c r="K29" s="482"/>
      <c r="L29" s="482"/>
      <c r="M29" s="851"/>
      <c r="N29" s="663"/>
      <c r="O29" s="383"/>
      <c r="P29" s="1008"/>
      <c r="Q29" s="1009"/>
      <c r="R29" s="375"/>
      <c r="S29" s="376"/>
      <c r="T29" s="375"/>
      <c r="U29" s="625"/>
      <c r="V29" s="560"/>
      <c r="W29" s="606"/>
      <c r="X29" s="377"/>
      <c r="Y29" s="606"/>
      <c r="Z29" s="377"/>
      <c r="AA29" s="606"/>
      <c r="AB29" s="707"/>
      <c r="AC29" s="331"/>
      <c r="AD29" s="383"/>
      <c r="AE29" s="375"/>
      <c r="AF29" s="383"/>
      <c r="AG29" s="375"/>
      <c r="AH29" s="383"/>
      <c r="AI29" s="375"/>
      <c r="AJ29" s="383"/>
      <c r="AK29" s="375"/>
      <c r="AL29" s="375"/>
      <c r="AM29" s="375"/>
      <c r="AN29" s="375"/>
      <c r="AO29" s="375"/>
      <c r="AP29" s="375"/>
      <c r="AQ29" s="375"/>
      <c r="AR29" s="375"/>
      <c r="AS29" s="375"/>
      <c r="AT29" s="375"/>
      <c r="AU29" s="375"/>
      <c r="AV29" s="375"/>
      <c r="AW29" s="375"/>
      <c r="AX29" s="331"/>
    </row>
    <row r="30" spans="1:50" x14ac:dyDescent="0.2">
      <c r="A30" s="1050"/>
      <c r="B30" s="1019"/>
      <c r="C30" s="1051"/>
      <c r="D30" s="1040"/>
      <c r="E30" s="1270"/>
      <c r="F30" s="1267"/>
      <c r="G30" s="1115"/>
      <c r="H30" s="1104"/>
      <c r="I30" s="1046"/>
      <c r="J30" s="377"/>
      <c r="K30" s="482"/>
      <c r="L30" s="482"/>
      <c r="M30" s="851"/>
      <c r="N30" s="663"/>
      <c r="O30" s="383"/>
      <c r="P30" s="1008"/>
      <c r="Q30" s="1009"/>
      <c r="R30" s="375"/>
      <c r="S30" s="376"/>
      <c r="T30" s="375"/>
      <c r="U30" s="625"/>
      <c r="V30" s="560"/>
      <c r="W30" s="606"/>
      <c r="X30" s="377"/>
      <c r="Y30" s="606"/>
      <c r="Z30" s="377"/>
      <c r="AA30" s="606"/>
      <c r="AB30" s="707"/>
      <c r="AC30" s="331"/>
      <c r="AD30" s="383"/>
      <c r="AE30" s="375"/>
      <c r="AF30" s="383"/>
      <c r="AG30" s="375"/>
      <c r="AH30" s="383"/>
      <c r="AI30" s="375"/>
      <c r="AJ30" s="383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31"/>
    </row>
    <row r="31" spans="1:50" x14ac:dyDescent="0.2">
      <c r="A31" s="1050"/>
      <c r="B31" s="1019"/>
      <c r="C31" s="1051"/>
      <c r="D31" s="1040"/>
      <c r="E31" s="1270"/>
      <c r="F31" s="1267"/>
      <c r="G31" s="1115"/>
      <c r="H31" s="1104"/>
      <c r="I31" s="1045"/>
      <c r="J31" s="377"/>
      <c r="K31" s="482"/>
      <c r="L31" s="482"/>
      <c r="M31" s="851"/>
      <c r="N31" s="663"/>
      <c r="O31" s="383"/>
      <c r="P31" s="1008"/>
      <c r="Q31" s="1009"/>
      <c r="R31" s="375"/>
      <c r="S31" s="376"/>
      <c r="T31" s="375"/>
      <c r="U31" s="625"/>
      <c r="V31" s="560"/>
      <c r="W31" s="606"/>
      <c r="X31" s="377"/>
      <c r="Y31" s="606"/>
      <c r="Z31" s="377"/>
      <c r="AA31" s="606"/>
      <c r="AB31" s="707"/>
      <c r="AC31" s="331"/>
      <c r="AD31" s="383"/>
      <c r="AE31" s="375"/>
      <c r="AF31" s="383"/>
      <c r="AG31" s="375"/>
      <c r="AH31" s="383"/>
      <c r="AI31" s="375"/>
      <c r="AJ31" s="383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5"/>
      <c r="AV31" s="375"/>
      <c r="AW31" s="375"/>
      <c r="AX31" s="331"/>
    </row>
    <row r="32" spans="1:50" x14ac:dyDescent="0.2">
      <c r="A32" s="1050"/>
      <c r="B32" s="1019"/>
      <c r="C32" s="1051"/>
      <c r="D32" s="1040"/>
      <c r="E32" s="1270"/>
      <c r="F32" s="1267"/>
      <c r="G32" s="1115"/>
      <c r="H32" s="1104"/>
      <c r="I32" s="1045"/>
      <c r="J32" s="377"/>
      <c r="K32" s="482"/>
      <c r="L32" s="482"/>
      <c r="M32" s="851"/>
      <c r="N32" s="663"/>
      <c r="O32" s="383"/>
      <c r="P32" s="1008"/>
      <c r="Q32" s="1009"/>
      <c r="R32" s="375"/>
      <c r="S32" s="376"/>
      <c r="T32" s="375"/>
      <c r="U32" s="625"/>
      <c r="V32" s="560"/>
      <c r="W32" s="606"/>
      <c r="X32" s="377"/>
      <c r="Y32" s="606"/>
      <c r="Z32" s="377"/>
      <c r="AA32" s="606"/>
      <c r="AB32" s="707"/>
      <c r="AC32" s="331"/>
      <c r="AD32" s="383"/>
      <c r="AE32" s="375"/>
      <c r="AF32" s="383"/>
      <c r="AG32" s="375"/>
      <c r="AH32" s="383"/>
      <c r="AI32" s="375"/>
      <c r="AJ32" s="383"/>
      <c r="AK32" s="375"/>
      <c r="AL32" s="375"/>
      <c r="AM32" s="375"/>
      <c r="AN32" s="375"/>
      <c r="AO32" s="375"/>
      <c r="AP32" s="375"/>
      <c r="AQ32" s="375"/>
      <c r="AR32" s="375"/>
      <c r="AS32" s="375"/>
      <c r="AT32" s="375"/>
      <c r="AU32" s="375"/>
      <c r="AV32" s="375"/>
      <c r="AW32" s="375"/>
      <c r="AX32" s="331"/>
    </row>
    <row r="33" spans="1:50" x14ac:dyDescent="0.2">
      <c r="A33" s="1050"/>
      <c r="B33" s="1019"/>
      <c r="C33" s="1051"/>
      <c r="D33" s="1040"/>
      <c r="E33" s="1270"/>
      <c r="F33" s="1267"/>
      <c r="G33" s="1115"/>
      <c r="H33" s="1104"/>
      <c r="I33" s="1045"/>
      <c r="J33" s="377"/>
      <c r="K33" s="482"/>
      <c r="L33" s="482"/>
      <c r="M33" s="851"/>
      <c r="N33" s="663"/>
      <c r="O33" s="383"/>
      <c r="P33" s="1008"/>
      <c r="Q33" s="1009"/>
      <c r="R33" s="375"/>
      <c r="S33" s="376"/>
      <c r="T33" s="375"/>
      <c r="U33" s="625"/>
      <c r="V33" s="560"/>
      <c r="W33" s="606"/>
      <c r="X33" s="377"/>
      <c r="Y33" s="606"/>
      <c r="Z33" s="377"/>
      <c r="AA33" s="606"/>
      <c r="AB33" s="707"/>
      <c r="AC33" s="331"/>
      <c r="AD33" s="383"/>
      <c r="AE33" s="375"/>
      <c r="AF33" s="383"/>
      <c r="AG33" s="375"/>
      <c r="AH33" s="383"/>
      <c r="AI33" s="375"/>
      <c r="AJ33" s="383"/>
      <c r="AK33" s="375"/>
      <c r="AL33" s="375"/>
      <c r="AM33" s="375"/>
      <c r="AN33" s="375"/>
      <c r="AO33" s="375"/>
      <c r="AP33" s="375"/>
      <c r="AQ33" s="375"/>
      <c r="AR33" s="375"/>
      <c r="AS33" s="375"/>
      <c r="AT33" s="375"/>
      <c r="AU33" s="375"/>
      <c r="AV33" s="375"/>
      <c r="AW33" s="375"/>
      <c r="AX33" s="331"/>
    </row>
    <row r="34" spans="1:50" x14ac:dyDescent="0.2">
      <c r="A34" s="1050"/>
      <c r="B34" s="1019"/>
      <c r="C34" s="1051"/>
      <c r="D34" s="1040"/>
      <c r="E34" s="1270"/>
      <c r="F34" s="1267"/>
      <c r="G34" s="1115"/>
      <c r="H34" s="1104"/>
      <c r="I34" s="1045"/>
      <c r="J34" s="377"/>
      <c r="K34" s="482"/>
      <c r="L34" s="482"/>
      <c r="M34" s="851"/>
      <c r="N34" s="663"/>
      <c r="O34" s="383"/>
      <c r="P34" s="1008"/>
      <c r="Q34" s="1009"/>
      <c r="R34" s="375"/>
      <c r="S34" s="376"/>
      <c r="T34" s="375"/>
      <c r="U34" s="625"/>
      <c r="V34" s="560"/>
      <c r="W34" s="606"/>
      <c r="X34" s="377"/>
      <c r="Y34" s="606"/>
      <c r="Z34" s="377"/>
      <c r="AA34" s="606"/>
      <c r="AB34" s="707"/>
      <c r="AC34" s="331"/>
      <c r="AD34" s="383"/>
      <c r="AE34" s="375"/>
      <c r="AF34" s="383"/>
      <c r="AG34" s="375"/>
      <c r="AH34" s="383"/>
      <c r="AI34" s="375"/>
      <c r="AJ34" s="383"/>
      <c r="AK34" s="375"/>
      <c r="AL34" s="375"/>
      <c r="AM34" s="375"/>
      <c r="AN34" s="375"/>
      <c r="AO34" s="375"/>
      <c r="AP34" s="375"/>
      <c r="AQ34" s="375"/>
      <c r="AR34" s="375"/>
      <c r="AS34" s="375"/>
      <c r="AT34" s="375"/>
      <c r="AU34" s="375"/>
      <c r="AV34" s="375"/>
      <c r="AW34" s="375"/>
      <c r="AX34" s="331"/>
    </row>
    <row r="35" spans="1:50" x14ac:dyDescent="0.2">
      <c r="A35" s="1050"/>
      <c r="B35" s="1019"/>
      <c r="C35" s="1051"/>
      <c r="D35" s="1040"/>
      <c r="E35" s="1270"/>
      <c r="F35" s="1267"/>
      <c r="G35" s="1115"/>
      <c r="H35" s="1104"/>
      <c r="I35" s="1045"/>
      <c r="J35" s="377"/>
      <c r="K35" s="482"/>
      <c r="L35" s="482"/>
      <c r="M35" s="851"/>
      <c r="N35" s="663"/>
      <c r="O35" s="383"/>
      <c r="P35" s="1008"/>
      <c r="Q35" s="1009"/>
      <c r="R35" s="375"/>
      <c r="S35" s="376"/>
      <c r="T35" s="375"/>
      <c r="U35" s="625"/>
      <c r="V35" s="560"/>
      <c r="W35" s="606"/>
      <c r="X35" s="377"/>
      <c r="Y35" s="606"/>
      <c r="Z35" s="377"/>
      <c r="AA35" s="606"/>
      <c r="AB35" s="707"/>
      <c r="AC35" s="331"/>
      <c r="AD35" s="383"/>
      <c r="AE35" s="375"/>
      <c r="AF35" s="383"/>
      <c r="AG35" s="375"/>
      <c r="AH35" s="383"/>
      <c r="AI35" s="375"/>
      <c r="AJ35" s="383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31"/>
    </row>
    <row r="36" spans="1:50" x14ac:dyDescent="0.2">
      <c r="A36" s="1050"/>
      <c r="B36" s="1019"/>
      <c r="C36" s="1051"/>
      <c r="D36" s="1040"/>
      <c r="E36" s="1270"/>
      <c r="F36" s="1267"/>
      <c r="G36" s="1115"/>
      <c r="H36" s="1104"/>
      <c r="I36" s="1045"/>
      <c r="J36" s="377"/>
      <c r="K36" s="482"/>
      <c r="L36" s="482"/>
      <c r="M36" s="851"/>
      <c r="N36" s="663"/>
      <c r="O36" s="383"/>
      <c r="P36" s="1008"/>
      <c r="Q36" s="1009"/>
      <c r="R36" s="375"/>
      <c r="S36" s="376"/>
      <c r="T36" s="375"/>
      <c r="U36" s="625"/>
      <c r="V36" s="560"/>
      <c r="W36" s="606"/>
      <c r="X36" s="377"/>
      <c r="Y36" s="606"/>
      <c r="Z36" s="377"/>
      <c r="AA36" s="606"/>
      <c r="AB36" s="707"/>
      <c r="AC36" s="331"/>
      <c r="AD36" s="383"/>
      <c r="AE36" s="375"/>
      <c r="AF36" s="383"/>
      <c r="AG36" s="375"/>
      <c r="AH36" s="383"/>
      <c r="AI36" s="375"/>
      <c r="AJ36" s="383"/>
      <c r="AK36" s="375"/>
      <c r="AL36" s="375"/>
      <c r="AM36" s="375"/>
      <c r="AN36" s="375"/>
      <c r="AO36" s="375"/>
      <c r="AP36" s="375"/>
      <c r="AQ36" s="375"/>
      <c r="AR36" s="375"/>
      <c r="AS36" s="375"/>
      <c r="AT36" s="375"/>
      <c r="AU36" s="375"/>
      <c r="AV36" s="375"/>
      <c r="AW36" s="375"/>
      <c r="AX36" s="331"/>
    </row>
    <row r="37" spans="1:50" x14ac:dyDescent="0.2">
      <c r="A37" s="1050"/>
      <c r="B37" s="1019"/>
      <c r="C37" s="1051"/>
      <c r="D37" s="1040"/>
      <c r="E37" s="1270"/>
      <c r="F37" s="1267"/>
      <c r="G37" s="1115"/>
      <c r="H37" s="1104"/>
      <c r="I37" s="1045"/>
      <c r="J37" s="377"/>
      <c r="K37" s="482"/>
      <c r="L37" s="482"/>
      <c r="M37" s="851"/>
      <c r="N37" s="663"/>
      <c r="O37" s="383"/>
      <c r="P37" s="1008"/>
      <c r="Q37" s="1009"/>
      <c r="R37" s="375"/>
      <c r="S37" s="376"/>
      <c r="T37" s="375"/>
      <c r="U37" s="625"/>
      <c r="V37" s="560"/>
      <c r="W37" s="606"/>
      <c r="X37" s="377"/>
      <c r="Y37" s="606"/>
      <c r="Z37" s="377"/>
      <c r="AA37" s="606"/>
      <c r="AB37" s="707"/>
      <c r="AC37" s="331"/>
      <c r="AD37" s="383"/>
      <c r="AE37" s="375"/>
      <c r="AF37" s="383"/>
      <c r="AG37" s="375"/>
      <c r="AH37" s="383"/>
      <c r="AI37" s="375"/>
      <c r="AJ37" s="383"/>
      <c r="AK37" s="375"/>
      <c r="AL37" s="375"/>
      <c r="AM37" s="375"/>
      <c r="AN37" s="375"/>
      <c r="AO37" s="375"/>
      <c r="AP37" s="375"/>
      <c r="AQ37" s="375"/>
      <c r="AR37" s="375"/>
      <c r="AS37" s="375"/>
      <c r="AT37" s="375"/>
      <c r="AU37" s="375"/>
      <c r="AV37" s="375"/>
      <c r="AW37" s="375"/>
      <c r="AX37" s="331"/>
    </row>
    <row r="38" spans="1:50" x14ac:dyDescent="0.2">
      <c r="A38" s="1050"/>
      <c r="B38" s="1019"/>
      <c r="C38" s="1051"/>
      <c r="D38" s="1040"/>
      <c r="E38" s="1270"/>
      <c r="F38" s="1267"/>
      <c r="G38" s="1115"/>
      <c r="H38" s="1104"/>
      <c r="I38" s="1046"/>
      <c r="J38" s="377"/>
      <c r="K38" s="482"/>
      <c r="L38" s="482"/>
      <c r="M38" s="851"/>
      <c r="N38" s="663"/>
      <c r="O38" s="383"/>
      <c r="P38" s="1008"/>
      <c r="Q38" s="1009"/>
      <c r="R38" s="375"/>
      <c r="S38" s="376"/>
      <c r="T38" s="375"/>
      <c r="U38" s="625"/>
      <c r="V38" s="560"/>
      <c r="W38" s="606"/>
      <c r="X38" s="377"/>
      <c r="Y38" s="606"/>
      <c r="Z38" s="377"/>
      <c r="AA38" s="606"/>
      <c r="AB38" s="707"/>
      <c r="AC38" s="331"/>
      <c r="AD38" s="383"/>
      <c r="AE38" s="375"/>
      <c r="AF38" s="383"/>
      <c r="AG38" s="375"/>
      <c r="AH38" s="383"/>
      <c r="AI38" s="375"/>
      <c r="AJ38" s="383"/>
      <c r="AK38" s="375"/>
      <c r="AL38" s="375"/>
      <c r="AM38" s="375"/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31"/>
    </row>
    <row r="39" spans="1:50" x14ac:dyDescent="0.2">
      <c r="A39" s="1050"/>
      <c r="B39" s="1019"/>
      <c r="C39" s="1051"/>
      <c r="D39" s="1040"/>
      <c r="E39" s="1270"/>
      <c r="F39" s="1267"/>
      <c r="G39" s="1115"/>
      <c r="H39" s="1104"/>
      <c r="I39" s="1045"/>
      <c r="J39" s="377"/>
      <c r="K39" s="482"/>
      <c r="L39" s="482"/>
      <c r="M39" s="851"/>
      <c r="N39" s="663"/>
      <c r="O39" s="383"/>
      <c r="P39" s="1008"/>
      <c r="Q39" s="1009"/>
      <c r="R39" s="375"/>
      <c r="S39" s="376"/>
      <c r="T39" s="375"/>
      <c r="U39" s="625"/>
      <c r="V39" s="560"/>
      <c r="W39" s="606"/>
      <c r="X39" s="377"/>
      <c r="Y39" s="606"/>
      <c r="Z39" s="377"/>
      <c r="AA39" s="606"/>
      <c r="AB39" s="707"/>
      <c r="AC39" s="331"/>
      <c r="AD39" s="383"/>
      <c r="AE39" s="375"/>
      <c r="AF39" s="383"/>
      <c r="AG39" s="375"/>
      <c r="AH39" s="383"/>
      <c r="AI39" s="375"/>
      <c r="AJ39" s="383"/>
      <c r="AK39" s="375"/>
      <c r="AL39" s="375"/>
      <c r="AM39" s="375"/>
      <c r="AN39" s="375"/>
      <c r="AO39" s="375"/>
      <c r="AP39" s="375"/>
      <c r="AQ39" s="375"/>
      <c r="AR39" s="375"/>
      <c r="AS39" s="375"/>
      <c r="AT39" s="375"/>
      <c r="AU39" s="375"/>
      <c r="AV39" s="375"/>
      <c r="AW39" s="375"/>
      <c r="AX39" s="331"/>
    </row>
    <row r="40" spans="1:50" x14ac:dyDescent="0.2">
      <c r="A40" s="1050"/>
      <c r="B40" s="1019"/>
      <c r="C40" s="1051"/>
      <c r="D40" s="1040"/>
      <c r="E40" s="1270"/>
      <c r="F40" s="1267"/>
      <c r="G40" s="1115"/>
      <c r="H40" s="1104"/>
      <c r="I40" s="1045"/>
      <c r="J40" s="377"/>
      <c r="K40" s="482"/>
      <c r="L40" s="482"/>
      <c r="M40" s="851"/>
      <c r="N40" s="663"/>
      <c r="O40" s="383"/>
      <c r="P40" s="1008"/>
      <c r="Q40" s="1009"/>
      <c r="R40" s="375"/>
      <c r="S40" s="376"/>
      <c r="T40" s="375"/>
      <c r="U40" s="625"/>
      <c r="V40" s="560"/>
      <c r="W40" s="606"/>
      <c r="X40" s="377"/>
      <c r="Y40" s="606"/>
      <c r="Z40" s="377"/>
      <c r="AA40" s="606"/>
      <c r="AB40" s="707"/>
      <c r="AC40" s="331"/>
      <c r="AD40" s="383"/>
      <c r="AE40" s="375"/>
      <c r="AF40" s="383"/>
      <c r="AG40" s="375"/>
      <c r="AH40" s="383"/>
      <c r="AI40" s="375"/>
      <c r="AJ40" s="383"/>
      <c r="AK40" s="375"/>
      <c r="AL40" s="375"/>
      <c r="AM40" s="375"/>
      <c r="AN40" s="375"/>
      <c r="AO40" s="375"/>
      <c r="AP40" s="375"/>
      <c r="AQ40" s="375"/>
      <c r="AR40" s="375"/>
      <c r="AS40" s="375"/>
      <c r="AT40" s="375"/>
      <c r="AU40" s="375"/>
      <c r="AV40" s="375"/>
      <c r="AW40" s="375"/>
      <c r="AX40" s="331"/>
    </row>
    <row r="41" spans="1:50" x14ac:dyDescent="0.2">
      <c r="A41" s="1050"/>
      <c r="B41" s="1042"/>
      <c r="C41" s="1051"/>
      <c r="D41" s="1040"/>
      <c r="E41" s="1270"/>
      <c r="F41" s="1267"/>
      <c r="G41" s="1115"/>
      <c r="H41" s="1104"/>
      <c r="I41" s="1045"/>
      <c r="J41" s="377"/>
      <c r="K41" s="482"/>
      <c r="L41" s="482"/>
      <c r="M41" s="851"/>
      <c r="N41" s="663"/>
      <c r="O41" s="383"/>
      <c r="P41" s="1008"/>
      <c r="Q41" s="1009"/>
      <c r="R41" s="375"/>
      <c r="S41" s="376"/>
      <c r="T41" s="375"/>
      <c r="U41" s="625"/>
      <c r="V41" s="560"/>
      <c r="W41" s="606"/>
      <c r="X41" s="377"/>
      <c r="Y41" s="606"/>
      <c r="Z41" s="377"/>
      <c r="AA41" s="606"/>
      <c r="AB41" s="707"/>
      <c r="AC41" s="331"/>
      <c r="AD41" s="383"/>
      <c r="AE41" s="375"/>
      <c r="AF41" s="383"/>
      <c r="AG41" s="375"/>
      <c r="AH41" s="383"/>
      <c r="AI41" s="375"/>
      <c r="AJ41" s="383"/>
      <c r="AK41" s="375"/>
      <c r="AL41" s="375"/>
      <c r="AM41" s="375"/>
      <c r="AN41" s="375"/>
      <c r="AO41" s="375"/>
      <c r="AP41" s="375"/>
      <c r="AQ41" s="375"/>
      <c r="AR41" s="375"/>
      <c r="AS41" s="375"/>
      <c r="AT41" s="375"/>
      <c r="AU41" s="375"/>
      <c r="AV41" s="375"/>
      <c r="AW41" s="375"/>
      <c r="AX41" s="331"/>
    </row>
    <row r="42" spans="1:50" x14ac:dyDescent="0.2">
      <c r="A42" s="1050"/>
      <c r="B42" s="1042"/>
      <c r="C42" s="1051"/>
      <c r="D42" s="1040"/>
      <c r="E42" s="1270"/>
      <c r="F42" s="1267"/>
      <c r="G42" s="1115"/>
      <c r="H42" s="1104"/>
      <c r="I42" s="1046"/>
      <c r="J42" s="377"/>
      <c r="K42" s="701"/>
      <c r="L42" s="482"/>
      <c r="M42" s="851"/>
      <c r="N42" s="663"/>
      <c r="O42" s="383"/>
      <c r="P42" s="1008"/>
      <c r="Q42" s="1009"/>
      <c r="R42" s="375"/>
      <c r="S42" s="376"/>
      <c r="T42" s="375"/>
      <c r="U42" s="625"/>
      <c r="V42" s="560"/>
      <c r="W42" s="606"/>
      <c r="X42" s="377"/>
      <c r="Y42" s="606"/>
      <c r="Z42" s="377"/>
      <c r="AA42" s="606"/>
      <c r="AB42" s="707"/>
      <c r="AC42" s="331"/>
      <c r="AD42" s="383"/>
      <c r="AE42" s="375"/>
      <c r="AF42" s="383"/>
      <c r="AG42" s="375"/>
      <c r="AH42" s="383"/>
      <c r="AI42" s="375"/>
      <c r="AJ42" s="383"/>
      <c r="AK42" s="375"/>
      <c r="AL42" s="375"/>
      <c r="AM42" s="375"/>
      <c r="AN42" s="375"/>
      <c r="AO42" s="375"/>
      <c r="AP42" s="375"/>
      <c r="AQ42" s="375"/>
      <c r="AR42" s="375"/>
      <c r="AS42" s="375"/>
      <c r="AT42" s="375"/>
      <c r="AU42" s="375"/>
      <c r="AV42" s="375"/>
      <c r="AW42" s="375"/>
      <c r="AX42" s="331"/>
    </row>
    <row r="43" spans="1:50" x14ac:dyDescent="0.2">
      <c r="A43" s="1050"/>
      <c r="B43" s="1019"/>
      <c r="C43" s="1051"/>
      <c r="D43" s="1040"/>
      <c r="E43" s="1270"/>
      <c r="F43" s="1267"/>
      <c r="G43" s="1115"/>
      <c r="H43" s="1104"/>
      <c r="I43" s="1045"/>
      <c r="J43" s="377"/>
      <c r="K43" s="482"/>
      <c r="L43" s="482"/>
      <c r="M43" s="851"/>
      <c r="N43" s="663"/>
      <c r="O43" s="383"/>
      <c r="P43" s="1008"/>
      <c r="Q43" s="1009"/>
      <c r="R43" s="375"/>
      <c r="S43" s="376"/>
      <c r="T43" s="375"/>
      <c r="U43" s="625"/>
      <c r="V43" s="560"/>
      <c r="W43" s="606"/>
      <c r="X43" s="377"/>
      <c r="Y43" s="606"/>
      <c r="Z43" s="377"/>
      <c r="AA43" s="606"/>
      <c r="AB43" s="707"/>
      <c r="AC43" s="331"/>
      <c r="AD43" s="383"/>
      <c r="AE43" s="375"/>
      <c r="AF43" s="383"/>
      <c r="AG43" s="375"/>
      <c r="AH43" s="383"/>
      <c r="AI43" s="375"/>
      <c r="AJ43" s="383"/>
      <c r="AK43" s="375"/>
      <c r="AL43" s="375"/>
      <c r="AM43" s="375"/>
      <c r="AN43" s="375"/>
      <c r="AO43" s="375"/>
      <c r="AP43" s="375"/>
      <c r="AQ43" s="375"/>
      <c r="AR43" s="375"/>
      <c r="AS43" s="375"/>
      <c r="AT43" s="375"/>
      <c r="AU43" s="375"/>
      <c r="AV43" s="375"/>
      <c r="AW43" s="375"/>
      <c r="AX43" s="331"/>
    </row>
    <row r="44" spans="1:50" x14ac:dyDescent="0.2">
      <c r="A44" s="1050"/>
      <c r="B44" s="1019"/>
      <c r="C44" s="1051"/>
      <c r="D44" s="1040"/>
      <c r="E44" s="1270"/>
      <c r="F44" s="1267"/>
      <c r="G44" s="1115"/>
      <c r="H44" s="1104"/>
      <c r="I44" s="1045"/>
      <c r="J44" s="377"/>
      <c r="K44" s="482"/>
      <c r="L44" s="482"/>
      <c r="M44" s="851"/>
      <c r="N44" s="663"/>
      <c r="O44" s="383"/>
      <c r="P44" s="1008"/>
      <c r="Q44" s="1009"/>
      <c r="R44" s="375"/>
      <c r="S44" s="376"/>
      <c r="T44" s="375"/>
      <c r="U44" s="625"/>
      <c r="V44" s="560"/>
      <c r="W44" s="606"/>
      <c r="X44" s="377"/>
      <c r="Y44" s="606"/>
      <c r="Z44" s="377"/>
      <c r="AA44" s="606"/>
      <c r="AB44" s="707"/>
      <c r="AC44" s="331"/>
      <c r="AD44" s="383"/>
      <c r="AE44" s="375"/>
      <c r="AF44" s="383"/>
      <c r="AG44" s="375"/>
      <c r="AH44" s="383"/>
      <c r="AI44" s="375"/>
      <c r="AJ44" s="383"/>
      <c r="AK44" s="375"/>
      <c r="AL44" s="375"/>
      <c r="AM44" s="375"/>
      <c r="AN44" s="375"/>
      <c r="AO44" s="375"/>
      <c r="AP44" s="375"/>
      <c r="AQ44" s="375"/>
      <c r="AR44" s="375"/>
      <c r="AS44" s="375"/>
      <c r="AT44" s="375"/>
      <c r="AU44" s="375"/>
      <c r="AV44" s="375"/>
      <c r="AW44" s="375"/>
      <c r="AX44" s="331"/>
    </row>
    <row r="45" spans="1:50" x14ac:dyDescent="0.2">
      <c r="A45" s="1050"/>
      <c r="B45" s="1019"/>
      <c r="C45" s="1051"/>
      <c r="D45" s="1040"/>
      <c r="E45" s="1270"/>
      <c r="F45" s="1267"/>
      <c r="G45" s="1115"/>
      <c r="H45" s="1104"/>
      <c r="I45" s="1045"/>
      <c r="J45" s="377"/>
      <c r="K45" s="482"/>
      <c r="L45" s="482"/>
      <c r="M45" s="851"/>
      <c r="N45" s="663"/>
      <c r="O45" s="383"/>
      <c r="P45" s="1008"/>
      <c r="Q45" s="1009"/>
      <c r="R45" s="375"/>
      <c r="S45" s="376"/>
      <c r="T45" s="375"/>
      <c r="U45" s="625"/>
      <c r="V45" s="560"/>
      <c r="W45" s="606"/>
      <c r="X45" s="377"/>
      <c r="Y45" s="606"/>
      <c r="Z45" s="377"/>
      <c r="AA45" s="606"/>
      <c r="AB45" s="707"/>
      <c r="AC45" s="331"/>
      <c r="AD45" s="383"/>
      <c r="AE45" s="375"/>
      <c r="AF45" s="383"/>
      <c r="AG45" s="375"/>
      <c r="AH45" s="383"/>
      <c r="AI45" s="375"/>
      <c r="AJ45" s="383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31"/>
    </row>
    <row r="46" spans="1:50" x14ac:dyDescent="0.2">
      <c r="A46" s="1050"/>
      <c r="B46" s="1019"/>
      <c r="C46" s="1051"/>
      <c r="D46" s="1040"/>
      <c r="E46" s="1270"/>
      <c r="F46" s="1267"/>
      <c r="G46" s="1115"/>
      <c r="H46" s="1104"/>
      <c r="I46" s="1045"/>
      <c r="J46" s="377"/>
      <c r="K46" s="482"/>
      <c r="L46" s="482"/>
      <c r="M46" s="851"/>
      <c r="N46" s="663"/>
      <c r="O46" s="383"/>
      <c r="P46" s="1008"/>
      <c r="Q46" s="1009"/>
      <c r="R46" s="375"/>
      <c r="S46" s="376"/>
      <c r="T46" s="375"/>
      <c r="U46" s="625"/>
      <c r="V46" s="560"/>
      <c r="W46" s="606"/>
      <c r="X46" s="377"/>
      <c r="Y46" s="606"/>
      <c r="Z46" s="377"/>
      <c r="AA46" s="606"/>
      <c r="AB46" s="707"/>
      <c r="AC46" s="331"/>
      <c r="AD46" s="383"/>
      <c r="AE46" s="375"/>
      <c r="AF46" s="383"/>
      <c r="AG46" s="375"/>
      <c r="AH46" s="383"/>
      <c r="AI46" s="375"/>
      <c r="AJ46" s="383"/>
      <c r="AK46" s="375"/>
      <c r="AL46" s="375"/>
      <c r="AM46" s="375"/>
      <c r="AN46" s="375"/>
      <c r="AO46" s="375"/>
      <c r="AP46" s="375"/>
      <c r="AQ46" s="375"/>
      <c r="AR46" s="375"/>
      <c r="AS46" s="375"/>
      <c r="AT46" s="375"/>
      <c r="AU46" s="375"/>
      <c r="AV46" s="375"/>
      <c r="AW46" s="375"/>
      <c r="AX46" s="331"/>
    </row>
    <row r="47" spans="1:50" x14ac:dyDescent="0.2">
      <c r="A47" s="1050"/>
      <c r="B47" s="1019"/>
      <c r="C47" s="1051"/>
      <c r="D47" s="1040"/>
      <c r="E47" s="1270"/>
      <c r="F47" s="1267"/>
      <c r="G47" s="1115"/>
      <c r="H47" s="1104"/>
      <c r="I47" s="1045"/>
      <c r="J47" s="377"/>
      <c r="K47" s="482"/>
      <c r="L47" s="482"/>
      <c r="M47" s="851"/>
      <c r="N47" s="663"/>
      <c r="O47" s="383"/>
      <c r="P47" s="1008"/>
      <c r="Q47" s="1009"/>
      <c r="R47" s="375"/>
      <c r="S47" s="376"/>
      <c r="T47" s="375"/>
      <c r="U47" s="625"/>
      <c r="V47" s="560"/>
      <c r="W47" s="606"/>
      <c r="X47" s="377"/>
      <c r="Y47" s="606"/>
      <c r="Z47" s="377"/>
      <c r="AA47" s="606"/>
      <c r="AB47" s="707"/>
      <c r="AC47" s="331"/>
      <c r="AD47" s="383"/>
      <c r="AE47" s="375"/>
      <c r="AF47" s="383"/>
      <c r="AG47" s="375"/>
      <c r="AH47" s="383"/>
      <c r="AI47" s="375"/>
      <c r="AJ47" s="383"/>
      <c r="AK47" s="375"/>
      <c r="AL47" s="375"/>
      <c r="AM47" s="375"/>
      <c r="AN47" s="375"/>
      <c r="AO47" s="375"/>
      <c r="AP47" s="375"/>
      <c r="AQ47" s="375"/>
      <c r="AR47" s="375"/>
      <c r="AS47" s="375"/>
      <c r="AT47" s="375"/>
      <c r="AU47" s="375"/>
      <c r="AV47" s="375"/>
      <c r="AW47" s="375"/>
      <c r="AX47" s="331"/>
    </row>
    <row r="48" spans="1:50" x14ac:dyDescent="0.2">
      <c r="A48" s="1050"/>
      <c r="B48" s="1019"/>
      <c r="C48" s="1051"/>
      <c r="D48" s="1040"/>
      <c r="E48" s="1270"/>
      <c r="F48" s="1267"/>
      <c r="G48" s="1115"/>
      <c r="H48" s="1104"/>
      <c r="I48" s="1045"/>
      <c r="J48" s="377"/>
      <c r="K48" s="482"/>
      <c r="L48" s="482"/>
      <c r="M48" s="851"/>
      <c r="N48" s="663"/>
      <c r="O48" s="383"/>
      <c r="P48" s="1008"/>
      <c r="Q48" s="1009"/>
      <c r="R48" s="375"/>
      <c r="S48" s="376"/>
      <c r="T48" s="375"/>
      <c r="U48" s="625"/>
      <c r="V48" s="560"/>
      <c r="W48" s="606"/>
      <c r="X48" s="377"/>
      <c r="Y48" s="606"/>
      <c r="Z48" s="377"/>
      <c r="AA48" s="606"/>
      <c r="AB48" s="707"/>
      <c r="AC48" s="331"/>
      <c r="AD48" s="383"/>
      <c r="AE48" s="375"/>
      <c r="AF48" s="383"/>
      <c r="AG48" s="375"/>
      <c r="AH48" s="383"/>
      <c r="AI48" s="375"/>
      <c r="AJ48" s="383"/>
      <c r="AK48" s="375"/>
      <c r="AL48" s="375"/>
      <c r="AM48" s="375"/>
      <c r="AN48" s="375"/>
      <c r="AO48" s="375"/>
      <c r="AP48" s="375"/>
      <c r="AQ48" s="375"/>
      <c r="AR48" s="375"/>
      <c r="AS48" s="375"/>
      <c r="AT48" s="375"/>
      <c r="AU48" s="375"/>
      <c r="AV48" s="375"/>
      <c r="AW48" s="375"/>
      <c r="AX48" s="331"/>
    </row>
    <row r="49" spans="1:50" x14ac:dyDescent="0.2">
      <c r="A49" s="1050"/>
      <c r="B49" s="1019"/>
      <c r="C49" s="1051"/>
      <c r="D49" s="1040"/>
      <c r="E49" s="1270"/>
      <c r="F49" s="1267"/>
      <c r="G49" s="1115"/>
      <c r="H49" s="1104"/>
      <c r="I49" s="1045"/>
      <c r="J49" s="377"/>
      <c r="K49" s="482"/>
      <c r="L49" s="482"/>
      <c r="M49" s="851"/>
      <c r="N49" s="663"/>
      <c r="O49" s="383"/>
      <c r="P49" s="1008"/>
      <c r="Q49" s="1009"/>
      <c r="R49" s="375"/>
      <c r="S49" s="376"/>
      <c r="T49" s="375"/>
      <c r="U49" s="625"/>
      <c r="V49" s="560"/>
      <c r="W49" s="606"/>
      <c r="X49" s="377"/>
      <c r="Y49" s="606"/>
      <c r="Z49" s="377"/>
      <c r="AA49" s="606"/>
      <c r="AB49" s="707"/>
      <c r="AC49" s="331"/>
      <c r="AD49" s="383"/>
      <c r="AE49" s="375"/>
      <c r="AF49" s="383"/>
      <c r="AG49" s="375"/>
      <c r="AH49" s="383"/>
      <c r="AI49" s="375"/>
      <c r="AJ49" s="383"/>
      <c r="AK49" s="375"/>
      <c r="AL49" s="375"/>
      <c r="AM49" s="375"/>
      <c r="AN49" s="375"/>
      <c r="AO49" s="375"/>
      <c r="AP49" s="375"/>
      <c r="AQ49" s="375"/>
      <c r="AR49" s="375"/>
      <c r="AS49" s="375"/>
      <c r="AT49" s="375"/>
      <c r="AU49" s="375"/>
      <c r="AV49" s="375"/>
      <c r="AW49" s="375"/>
      <c r="AX49" s="331"/>
    </row>
    <row r="50" spans="1:50" x14ac:dyDescent="0.2">
      <c r="A50" s="1050"/>
      <c r="B50" s="1019"/>
      <c r="C50" s="1051"/>
      <c r="D50" s="1040"/>
      <c r="E50" s="1270"/>
      <c r="F50" s="1267"/>
      <c r="G50" s="1115"/>
      <c r="H50" s="1104"/>
      <c r="I50" s="1045"/>
      <c r="J50" s="377"/>
      <c r="K50" s="482"/>
      <c r="L50" s="482"/>
      <c r="M50" s="851"/>
      <c r="N50" s="663"/>
      <c r="O50" s="383"/>
      <c r="P50" s="1008"/>
      <c r="Q50" s="1009"/>
      <c r="R50" s="375"/>
      <c r="S50" s="376"/>
      <c r="T50" s="375"/>
      <c r="U50" s="625"/>
      <c r="V50" s="560"/>
      <c r="W50" s="606"/>
      <c r="X50" s="377"/>
      <c r="Y50" s="606"/>
      <c r="Z50" s="377"/>
      <c r="AA50" s="606"/>
      <c r="AB50" s="707"/>
      <c r="AC50" s="331"/>
      <c r="AD50" s="383"/>
      <c r="AE50" s="375"/>
      <c r="AF50" s="383"/>
      <c r="AG50" s="375"/>
      <c r="AH50" s="383"/>
      <c r="AI50" s="375"/>
      <c r="AJ50" s="383"/>
      <c r="AK50" s="375"/>
      <c r="AL50" s="375"/>
      <c r="AM50" s="375"/>
      <c r="AN50" s="375"/>
      <c r="AO50" s="375"/>
      <c r="AP50" s="375"/>
      <c r="AQ50" s="375"/>
      <c r="AR50" s="375"/>
      <c r="AS50" s="375"/>
      <c r="AT50" s="375"/>
      <c r="AU50" s="375"/>
      <c r="AV50" s="375"/>
      <c r="AW50" s="375"/>
      <c r="AX50" s="331"/>
    </row>
    <row r="51" spans="1:50" x14ac:dyDescent="0.2">
      <c r="A51" s="1050"/>
      <c r="B51" s="1019"/>
      <c r="C51" s="1051"/>
      <c r="D51" s="1040"/>
      <c r="E51" s="1270"/>
      <c r="F51" s="1267"/>
      <c r="G51" s="1115"/>
      <c r="H51" s="1104"/>
      <c r="I51" s="1045"/>
      <c r="J51" s="377"/>
      <c r="K51" s="482"/>
      <c r="L51" s="482"/>
      <c r="M51" s="851"/>
      <c r="N51" s="663"/>
      <c r="O51" s="383"/>
      <c r="P51" s="1008"/>
      <c r="Q51" s="1009"/>
      <c r="R51" s="375"/>
      <c r="S51" s="376"/>
      <c r="T51" s="375"/>
      <c r="U51" s="625"/>
      <c r="V51" s="560"/>
      <c r="W51" s="606"/>
      <c r="X51" s="377"/>
      <c r="Y51" s="606"/>
      <c r="Z51" s="377"/>
      <c r="AA51" s="606"/>
      <c r="AB51" s="707"/>
      <c r="AC51" s="331"/>
      <c r="AD51" s="383"/>
      <c r="AE51" s="375"/>
      <c r="AF51" s="383"/>
      <c r="AG51" s="375"/>
      <c r="AH51" s="383"/>
      <c r="AI51" s="375"/>
      <c r="AJ51" s="383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5"/>
      <c r="AW51" s="375"/>
      <c r="AX51" s="331"/>
    </row>
    <row r="52" spans="1:50" x14ac:dyDescent="0.2">
      <c r="A52" s="1050"/>
      <c r="B52" s="1019"/>
      <c r="C52" s="1051"/>
      <c r="D52" s="1040"/>
      <c r="E52" s="1270"/>
      <c r="F52" s="1267"/>
      <c r="G52" s="1115"/>
      <c r="H52" s="1104"/>
      <c r="I52" s="1045"/>
      <c r="J52" s="377"/>
      <c r="K52" s="482"/>
      <c r="L52" s="482"/>
      <c r="M52" s="851"/>
      <c r="N52" s="663"/>
      <c r="O52" s="383"/>
      <c r="P52" s="1008"/>
      <c r="Q52" s="1009"/>
      <c r="R52" s="375"/>
      <c r="S52" s="376"/>
      <c r="T52" s="375"/>
      <c r="U52" s="625"/>
      <c r="V52" s="560"/>
      <c r="W52" s="606"/>
      <c r="X52" s="377"/>
      <c r="Y52" s="606"/>
      <c r="Z52" s="377"/>
      <c r="AA52" s="606"/>
      <c r="AB52" s="707"/>
      <c r="AC52" s="331"/>
      <c r="AD52" s="383"/>
      <c r="AE52" s="375"/>
      <c r="AF52" s="383"/>
      <c r="AG52" s="375"/>
      <c r="AH52" s="383"/>
      <c r="AI52" s="375"/>
      <c r="AJ52" s="383"/>
      <c r="AK52" s="375"/>
      <c r="AL52" s="375"/>
      <c r="AM52" s="375"/>
      <c r="AN52" s="375"/>
      <c r="AO52" s="375"/>
      <c r="AP52" s="375"/>
      <c r="AQ52" s="375"/>
      <c r="AR52" s="375"/>
      <c r="AS52" s="375"/>
      <c r="AT52" s="375"/>
      <c r="AU52" s="375"/>
      <c r="AV52" s="375"/>
      <c r="AW52" s="375"/>
      <c r="AX52" s="331"/>
    </row>
    <row r="53" spans="1:50" x14ac:dyDescent="0.2">
      <c r="A53" s="1050"/>
      <c r="B53" s="1064"/>
      <c r="C53" s="1051"/>
      <c r="D53" s="1040"/>
      <c r="E53" s="1270"/>
      <c r="F53" s="1267"/>
      <c r="G53" s="1115"/>
      <c r="H53" s="1104"/>
      <c r="I53" s="1045"/>
      <c r="J53" s="377"/>
      <c r="K53" s="482"/>
      <c r="L53" s="482"/>
      <c r="M53" s="851"/>
      <c r="N53" s="663"/>
      <c r="O53" s="383"/>
      <c r="P53" s="1008"/>
      <c r="Q53" s="1009"/>
      <c r="R53" s="375"/>
      <c r="S53" s="376"/>
      <c r="T53" s="375"/>
      <c r="U53" s="625"/>
      <c r="V53" s="560"/>
      <c r="W53" s="606"/>
      <c r="X53" s="377"/>
      <c r="Y53" s="606"/>
      <c r="Z53" s="377"/>
      <c r="AA53" s="606"/>
      <c r="AB53" s="707"/>
      <c r="AC53" s="331"/>
      <c r="AD53" s="383"/>
      <c r="AE53" s="375"/>
      <c r="AF53" s="383"/>
      <c r="AG53" s="375"/>
      <c r="AH53" s="383"/>
      <c r="AI53" s="375"/>
      <c r="AJ53" s="383"/>
      <c r="AK53" s="375"/>
      <c r="AL53" s="375"/>
      <c r="AM53" s="375"/>
      <c r="AN53" s="375"/>
      <c r="AO53" s="375"/>
      <c r="AP53" s="375"/>
      <c r="AQ53" s="375"/>
      <c r="AR53" s="375"/>
      <c r="AS53" s="375"/>
      <c r="AT53" s="375"/>
      <c r="AU53" s="375"/>
      <c r="AV53" s="375"/>
      <c r="AW53" s="375"/>
      <c r="AX53" s="331"/>
    </row>
    <row r="54" spans="1:50" x14ac:dyDescent="0.2">
      <c r="A54" s="1050"/>
      <c r="B54" s="1019"/>
      <c r="C54" s="1051"/>
      <c r="D54" s="1040"/>
      <c r="E54" s="1270"/>
      <c r="F54" s="1267"/>
      <c r="G54" s="1115"/>
      <c r="H54" s="1104"/>
      <c r="I54" s="1045"/>
      <c r="J54" s="377"/>
      <c r="K54" s="482"/>
      <c r="L54" s="482"/>
      <c r="M54" s="851"/>
      <c r="N54" s="663"/>
      <c r="O54" s="383"/>
      <c r="P54" s="1008"/>
      <c r="Q54" s="1009"/>
      <c r="R54" s="375"/>
      <c r="S54" s="376"/>
      <c r="T54" s="375"/>
      <c r="U54" s="625"/>
      <c r="V54" s="560"/>
      <c r="W54" s="606"/>
      <c r="X54" s="377"/>
      <c r="Y54" s="606"/>
      <c r="Z54" s="377"/>
      <c r="AA54" s="606"/>
      <c r="AB54" s="707"/>
      <c r="AC54" s="331"/>
      <c r="AD54" s="383"/>
      <c r="AE54" s="375"/>
      <c r="AF54" s="383"/>
      <c r="AG54" s="375"/>
      <c r="AH54" s="383"/>
      <c r="AI54" s="375"/>
      <c r="AJ54" s="383"/>
      <c r="AK54" s="375"/>
      <c r="AL54" s="375"/>
      <c r="AM54" s="375"/>
      <c r="AN54" s="375"/>
      <c r="AO54" s="375"/>
      <c r="AP54" s="375"/>
      <c r="AQ54" s="375"/>
      <c r="AR54" s="375"/>
      <c r="AS54" s="375"/>
      <c r="AT54" s="375"/>
      <c r="AU54" s="375"/>
      <c r="AV54" s="375"/>
      <c r="AW54" s="375"/>
      <c r="AX54" s="331"/>
    </row>
    <row r="55" spans="1:50" x14ac:dyDescent="0.2">
      <c r="A55" s="1050"/>
      <c r="B55" s="1019"/>
      <c r="C55" s="1051"/>
      <c r="D55" s="1040"/>
      <c r="E55" s="1270"/>
      <c r="F55" s="1267"/>
      <c r="G55" s="1115"/>
      <c r="H55" s="1104"/>
      <c r="I55" s="1045"/>
      <c r="J55" s="377"/>
      <c r="K55" s="482"/>
      <c r="L55" s="482"/>
      <c r="M55" s="851"/>
      <c r="N55" s="663"/>
      <c r="O55" s="383"/>
      <c r="P55" s="1008"/>
      <c r="Q55" s="1009"/>
      <c r="R55" s="375"/>
      <c r="S55" s="376"/>
      <c r="T55" s="375"/>
      <c r="U55" s="625"/>
      <c r="V55" s="560"/>
      <c r="W55" s="606"/>
      <c r="X55" s="377"/>
      <c r="Y55" s="606"/>
      <c r="Z55" s="377"/>
      <c r="AA55" s="606"/>
      <c r="AB55" s="707"/>
      <c r="AC55" s="331"/>
      <c r="AD55" s="383"/>
      <c r="AE55" s="375"/>
      <c r="AF55" s="383"/>
      <c r="AG55" s="375"/>
      <c r="AH55" s="383"/>
      <c r="AI55" s="375"/>
      <c r="AJ55" s="383"/>
      <c r="AK55" s="375"/>
      <c r="AL55" s="375"/>
      <c r="AM55" s="375"/>
      <c r="AN55" s="375"/>
      <c r="AO55" s="375"/>
      <c r="AP55" s="375"/>
      <c r="AQ55" s="375"/>
      <c r="AR55" s="375"/>
      <c r="AS55" s="375"/>
      <c r="AT55" s="375"/>
      <c r="AU55" s="375"/>
      <c r="AV55" s="375"/>
      <c r="AW55" s="375"/>
      <c r="AX55" s="331"/>
    </row>
    <row r="56" spans="1:50" x14ac:dyDescent="0.2">
      <c r="A56" s="1050"/>
      <c r="B56" s="1019"/>
      <c r="C56" s="1051"/>
      <c r="D56" s="1040"/>
      <c r="E56" s="1270"/>
      <c r="F56" s="1267"/>
      <c r="G56" s="1115"/>
      <c r="H56" s="1104"/>
      <c r="I56" s="1045"/>
      <c r="J56" s="377"/>
      <c r="K56" s="482"/>
      <c r="L56" s="482"/>
      <c r="M56" s="851"/>
      <c r="N56" s="663"/>
      <c r="O56" s="383"/>
      <c r="P56" s="1008"/>
      <c r="Q56" s="1009"/>
      <c r="R56" s="375"/>
      <c r="S56" s="376"/>
      <c r="T56" s="375"/>
      <c r="U56" s="625"/>
      <c r="V56" s="560"/>
      <c r="W56" s="606"/>
      <c r="X56" s="377"/>
      <c r="Y56" s="606"/>
      <c r="Z56" s="377"/>
      <c r="AA56" s="606"/>
      <c r="AB56" s="707"/>
      <c r="AC56" s="331"/>
      <c r="AD56" s="383"/>
      <c r="AE56" s="375"/>
      <c r="AF56" s="383"/>
      <c r="AG56" s="375"/>
      <c r="AH56" s="383"/>
      <c r="AI56" s="375"/>
      <c r="AJ56" s="383"/>
      <c r="AK56" s="375"/>
      <c r="AL56" s="375"/>
      <c r="AM56" s="375"/>
      <c r="AN56" s="375"/>
      <c r="AO56" s="375"/>
      <c r="AP56" s="375"/>
      <c r="AQ56" s="375"/>
      <c r="AR56" s="375"/>
      <c r="AS56" s="375"/>
      <c r="AT56" s="375"/>
      <c r="AU56" s="375"/>
      <c r="AV56" s="375"/>
      <c r="AW56" s="375"/>
      <c r="AX56" s="331"/>
    </row>
    <row r="57" spans="1:50" x14ac:dyDescent="0.2">
      <c r="A57" s="1050"/>
      <c r="B57" s="1019"/>
      <c r="C57" s="1051"/>
      <c r="D57" s="1040"/>
      <c r="E57" s="1270"/>
      <c r="F57" s="1267"/>
      <c r="G57" s="1115"/>
      <c r="H57" s="1104"/>
      <c r="I57" s="1045"/>
      <c r="J57" s="377"/>
      <c r="K57" s="482"/>
      <c r="L57" s="482"/>
      <c r="M57" s="851"/>
      <c r="N57" s="663"/>
      <c r="O57" s="383"/>
      <c r="P57" s="1008"/>
      <c r="Q57" s="1009"/>
      <c r="R57" s="375"/>
      <c r="S57" s="376"/>
      <c r="T57" s="375"/>
      <c r="U57" s="625"/>
      <c r="V57" s="560"/>
      <c r="W57" s="606"/>
      <c r="X57" s="377"/>
      <c r="Y57" s="606"/>
      <c r="Z57" s="377"/>
      <c r="AA57" s="606"/>
      <c r="AB57" s="707"/>
      <c r="AC57" s="331"/>
      <c r="AD57" s="383"/>
      <c r="AE57" s="375"/>
      <c r="AF57" s="383"/>
      <c r="AG57" s="375"/>
      <c r="AH57" s="383"/>
      <c r="AI57" s="375"/>
      <c r="AJ57" s="383"/>
      <c r="AK57" s="375"/>
      <c r="AL57" s="375"/>
      <c r="AM57" s="375"/>
      <c r="AN57" s="375"/>
      <c r="AO57" s="375"/>
      <c r="AP57" s="375"/>
      <c r="AQ57" s="375"/>
      <c r="AR57" s="375"/>
      <c r="AS57" s="375"/>
      <c r="AT57" s="375"/>
      <c r="AU57" s="375"/>
      <c r="AV57" s="375"/>
      <c r="AW57" s="375"/>
      <c r="AX57" s="331"/>
    </row>
    <row r="58" spans="1:50" x14ac:dyDescent="0.2">
      <c r="A58" s="1050"/>
      <c r="B58" s="1019"/>
      <c r="C58" s="1051"/>
      <c r="D58" s="1040"/>
      <c r="E58" s="1270"/>
      <c r="F58" s="1267"/>
      <c r="G58" s="1115"/>
      <c r="H58" s="1104"/>
      <c r="I58" s="1045"/>
      <c r="J58" s="377"/>
      <c r="K58" s="482"/>
      <c r="L58" s="482"/>
      <c r="M58" s="851"/>
      <c r="N58" s="663"/>
      <c r="O58" s="383"/>
      <c r="P58" s="1008"/>
      <c r="Q58" s="1009"/>
      <c r="R58" s="375"/>
      <c r="S58" s="376"/>
      <c r="T58" s="375"/>
      <c r="U58" s="625"/>
      <c r="V58" s="560"/>
      <c r="W58" s="606"/>
      <c r="X58" s="377"/>
      <c r="Y58" s="606"/>
      <c r="Z58" s="377"/>
      <c r="AA58" s="606"/>
      <c r="AB58" s="707"/>
      <c r="AC58" s="331"/>
      <c r="AD58" s="383"/>
      <c r="AE58" s="375"/>
      <c r="AF58" s="383"/>
      <c r="AG58" s="375"/>
      <c r="AH58" s="383"/>
      <c r="AI58" s="375"/>
      <c r="AJ58" s="383"/>
      <c r="AK58" s="375"/>
      <c r="AL58" s="375"/>
      <c r="AM58" s="375"/>
      <c r="AN58" s="375"/>
      <c r="AO58" s="375"/>
      <c r="AP58" s="375"/>
      <c r="AQ58" s="375"/>
      <c r="AR58" s="375"/>
      <c r="AS58" s="375"/>
      <c r="AT58" s="375"/>
      <c r="AU58" s="375"/>
      <c r="AV58" s="375"/>
      <c r="AW58" s="375"/>
      <c r="AX58" s="331"/>
    </row>
    <row r="59" spans="1:50" x14ac:dyDescent="0.2">
      <c r="A59" s="1050"/>
      <c r="B59" s="1019"/>
      <c r="C59" s="1051"/>
      <c r="D59" s="1040"/>
      <c r="E59" s="1270"/>
      <c r="F59" s="1267"/>
      <c r="G59" s="1115"/>
      <c r="H59" s="1104"/>
      <c r="I59" s="1045"/>
      <c r="J59" s="377"/>
      <c r="K59" s="482"/>
      <c r="L59" s="482"/>
      <c r="M59" s="851"/>
      <c r="N59" s="663"/>
      <c r="O59" s="383"/>
      <c r="P59" s="1008"/>
      <c r="Q59" s="1009"/>
      <c r="R59" s="375"/>
      <c r="S59" s="376"/>
      <c r="T59" s="375"/>
      <c r="U59" s="625"/>
      <c r="V59" s="560"/>
      <c r="W59" s="606"/>
      <c r="X59" s="377"/>
      <c r="Y59" s="606"/>
      <c r="Z59" s="377"/>
      <c r="AA59" s="606"/>
      <c r="AB59" s="707"/>
      <c r="AC59" s="331"/>
      <c r="AD59" s="383"/>
      <c r="AE59" s="375"/>
      <c r="AF59" s="383"/>
      <c r="AG59" s="375"/>
      <c r="AH59" s="383"/>
      <c r="AI59" s="375"/>
      <c r="AJ59" s="383"/>
      <c r="AK59" s="375"/>
      <c r="AL59" s="375"/>
      <c r="AM59" s="375"/>
      <c r="AN59" s="375"/>
      <c r="AO59" s="375"/>
      <c r="AP59" s="375"/>
      <c r="AQ59" s="375"/>
      <c r="AR59" s="375"/>
      <c r="AS59" s="375"/>
      <c r="AT59" s="375"/>
      <c r="AU59" s="375"/>
      <c r="AV59" s="375"/>
      <c r="AW59" s="375"/>
      <c r="AX59" s="331"/>
    </row>
    <row r="60" spans="1:50" x14ac:dyDescent="0.2">
      <c r="A60" s="1050"/>
      <c r="B60" s="1019"/>
      <c r="C60" s="1051"/>
      <c r="D60" s="1040"/>
      <c r="E60" s="1270"/>
      <c r="F60" s="1267"/>
      <c r="G60" s="1115"/>
      <c r="H60" s="1104"/>
      <c r="I60" s="1045"/>
      <c r="J60" s="377"/>
      <c r="K60" s="482"/>
      <c r="L60" s="482"/>
      <c r="M60" s="851"/>
      <c r="N60" s="663"/>
      <c r="O60" s="383"/>
      <c r="P60" s="1008"/>
      <c r="Q60" s="1009"/>
      <c r="R60" s="375"/>
      <c r="S60" s="376"/>
      <c r="T60" s="375"/>
      <c r="U60" s="625"/>
      <c r="V60" s="560"/>
      <c r="W60" s="606"/>
      <c r="X60" s="377"/>
      <c r="Y60" s="606"/>
      <c r="Z60" s="377"/>
      <c r="AA60" s="606"/>
      <c r="AB60" s="707"/>
      <c r="AC60" s="331"/>
      <c r="AD60" s="383"/>
      <c r="AE60" s="375"/>
      <c r="AF60" s="383"/>
      <c r="AG60" s="375"/>
      <c r="AH60" s="383"/>
      <c r="AI60" s="375"/>
      <c r="AJ60" s="383"/>
      <c r="AK60" s="375"/>
      <c r="AL60" s="375"/>
      <c r="AM60" s="375"/>
      <c r="AN60" s="375"/>
      <c r="AO60" s="375"/>
      <c r="AP60" s="375"/>
      <c r="AQ60" s="375"/>
      <c r="AR60" s="375"/>
      <c r="AS60" s="375"/>
      <c r="AT60" s="375"/>
      <c r="AU60" s="375"/>
      <c r="AV60" s="375"/>
      <c r="AW60" s="375"/>
      <c r="AX60" s="331"/>
    </row>
    <row r="61" spans="1:50" x14ac:dyDescent="0.2">
      <c r="A61" s="1050"/>
      <c r="B61" s="1019"/>
      <c r="C61" s="1051"/>
      <c r="D61" s="1040"/>
      <c r="E61" s="1270"/>
      <c r="F61" s="1267"/>
      <c r="G61" s="1115"/>
      <c r="H61" s="1104"/>
      <c r="I61" s="1045"/>
      <c r="J61" s="377"/>
      <c r="K61" s="482"/>
      <c r="L61" s="482"/>
      <c r="M61" s="851"/>
      <c r="N61" s="663"/>
      <c r="O61" s="383"/>
      <c r="P61" s="1008"/>
      <c r="Q61" s="1009"/>
      <c r="R61" s="375"/>
      <c r="S61" s="376"/>
      <c r="T61" s="375"/>
      <c r="U61" s="625"/>
      <c r="V61" s="560"/>
      <c r="W61" s="606"/>
      <c r="X61" s="377"/>
      <c r="Y61" s="606"/>
      <c r="Z61" s="377"/>
      <c r="AA61" s="606"/>
      <c r="AB61" s="707"/>
      <c r="AC61" s="331"/>
      <c r="AD61" s="383"/>
      <c r="AE61" s="375"/>
      <c r="AF61" s="383"/>
      <c r="AG61" s="375"/>
      <c r="AH61" s="383"/>
      <c r="AI61" s="375"/>
      <c r="AJ61" s="383"/>
      <c r="AK61" s="375"/>
      <c r="AL61" s="375"/>
      <c r="AM61" s="375"/>
      <c r="AN61" s="375"/>
      <c r="AO61" s="375"/>
      <c r="AP61" s="375"/>
      <c r="AQ61" s="375"/>
      <c r="AR61" s="375"/>
      <c r="AS61" s="375"/>
      <c r="AT61" s="375"/>
      <c r="AU61" s="375"/>
      <c r="AV61" s="375"/>
      <c r="AW61" s="375"/>
      <c r="AX61" s="331"/>
    </row>
    <row r="62" spans="1:50" x14ac:dyDescent="0.2">
      <c r="A62" s="1050"/>
      <c r="B62" s="1019"/>
      <c r="C62" s="1051"/>
      <c r="D62" s="1040"/>
      <c r="E62" s="1270"/>
      <c r="F62" s="1267"/>
      <c r="G62" s="1115"/>
      <c r="H62" s="1104"/>
      <c r="I62" s="1045"/>
      <c r="J62" s="377"/>
      <c r="K62" s="482"/>
      <c r="L62" s="482"/>
      <c r="M62" s="851"/>
      <c r="N62" s="663"/>
      <c r="O62" s="383"/>
      <c r="P62" s="1008"/>
      <c r="Q62" s="1009"/>
      <c r="R62" s="375"/>
      <c r="S62" s="376"/>
      <c r="T62" s="375"/>
      <c r="U62" s="625"/>
      <c r="V62" s="560"/>
      <c r="W62" s="606"/>
      <c r="X62" s="377"/>
      <c r="Y62" s="606"/>
      <c r="Z62" s="377"/>
      <c r="AA62" s="606"/>
      <c r="AB62" s="707"/>
      <c r="AC62" s="331"/>
      <c r="AD62" s="383"/>
      <c r="AE62" s="375"/>
      <c r="AF62" s="383"/>
      <c r="AG62" s="375"/>
      <c r="AH62" s="383"/>
      <c r="AI62" s="375"/>
      <c r="AJ62" s="383"/>
      <c r="AK62" s="375"/>
      <c r="AL62" s="375"/>
      <c r="AM62" s="375"/>
      <c r="AN62" s="375"/>
      <c r="AO62" s="375"/>
      <c r="AP62" s="375"/>
      <c r="AQ62" s="375"/>
      <c r="AR62" s="375"/>
      <c r="AS62" s="375"/>
      <c r="AT62" s="375"/>
      <c r="AU62" s="375"/>
      <c r="AV62" s="375"/>
      <c r="AW62" s="375"/>
      <c r="AX62" s="331"/>
    </row>
    <row r="63" spans="1:50" x14ac:dyDescent="0.2">
      <c r="A63" s="1050"/>
      <c r="B63" s="1019"/>
      <c r="C63" s="1051"/>
      <c r="D63" s="1040"/>
      <c r="E63" s="1270"/>
      <c r="F63" s="1267"/>
      <c r="G63" s="1115"/>
      <c r="H63" s="1104"/>
      <c r="I63" s="1045"/>
      <c r="J63" s="377"/>
      <c r="K63" s="482"/>
      <c r="L63" s="482"/>
      <c r="M63" s="851"/>
      <c r="N63" s="663"/>
      <c r="O63" s="383"/>
      <c r="P63" s="1008"/>
      <c r="Q63" s="1009"/>
      <c r="R63" s="375"/>
      <c r="S63" s="376"/>
      <c r="T63" s="375"/>
      <c r="U63" s="625"/>
      <c r="V63" s="560"/>
      <c r="W63" s="606"/>
      <c r="X63" s="377"/>
      <c r="Y63" s="606"/>
      <c r="Z63" s="377"/>
      <c r="AA63" s="606"/>
      <c r="AB63" s="707"/>
      <c r="AC63" s="331"/>
      <c r="AD63" s="383"/>
      <c r="AE63" s="375"/>
      <c r="AF63" s="383"/>
      <c r="AG63" s="375"/>
      <c r="AH63" s="383"/>
      <c r="AI63" s="375"/>
      <c r="AJ63" s="383"/>
      <c r="AK63" s="375"/>
      <c r="AL63" s="375"/>
      <c r="AM63" s="375"/>
      <c r="AN63" s="375"/>
      <c r="AO63" s="375"/>
      <c r="AP63" s="375"/>
      <c r="AQ63" s="375"/>
      <c r="AR63" s="375"/>
      <c r="AS63" s="375"/>
      <c r="AT63" s="375"/>
      <c r="AU63" s="375"/>
      <c r="AV63" s="375"/>
      <c r="AW63" s="375"/>
      <c r="AX63" s="331"/>
    </row>
    <row r="64" spans="1:50" x14ac:dyDescent="0.2">
      <c r="A64" s="1050"/>
      <c r="B64" s="1019"/>
      <c r="C64" s="1051"/>
      <c r="D64" s="1040"/>
      <c r="E64" s="1270"/>
      <c r="F64" s="1267"/>
      <c r="G64" s="1115"/>
      <c r="H64" s="1104"/>
      <c r="I64" s="1045"/>
      <c r="J64" s="377"/>
      <c r="K64" s="482"/>
      <c r="L64" s="482"/>
      <c r="M64" s="851"/>
      <c r="N64" s="663"/>
      <c r="O64" s="383"/>
      <c r="P64" s="1008"/>
      <c r="Q64" s="1009"/>
      <c r="R64" s="375"/>
      <c r="S64" s="376"/>
      <c r="T64" s="375"/>
      <c r="U64" s="625"/>
      <c r="V64" s="560"/>
      <c r="W64" s="606"/>
      <c r="X64" s="377"/>
      <c r="Y64" s="606"/>
      <c r="Z64" s="377"/>
      <c r="AA64" s="606"/>
      <c r="AB64" s="707"/>
      <c r="AC64" s="331"/>
      <c r="AD64" s="383"/>
      <c r="AE64" s="375"/>
      <c r="AF64" s="383"/>
      <c r="AG64" s="375"/>
      <c r="AH64" s="383"/>
      <c r="AI64" s="375"/>
      <c r="AJ64" s="383"/>
      <c r="AK64" s="375"/>
      <c r="AL64" s="375"/>
      <c r="AM64" s="375"/>
      <c r="AN64" s="375"/>
      <c r="AO64" s="375"/>
      <c r="AP64" s="375"/>
      <c r="AQ64" s="375"/>
      <c r="AR64" s="375"/>
      <c r="AS64" s="375"/>
      <c r="AT64" s="375"/>
      <c r="AU64" s="375"/>
      <c r="AV64" s="375"/>
      <c r="AW64" s="375"/>
      <c r="AX64" s="331"/>
    </row>
    <row r="65" spans="1:50" x14ac:dyDescent="0.2">
      <c r="A65" s="1050"/>
      <c r="B65" s="1019"/>
      <c r="C65" s="1051"/>
      <c r="D65" s="1040"/>
      <c r="E65" s="1270"/>
      <c r="F65" s="1267"/>
      <c r="G65" s="1115"/>
      <c r="H65" s="1104"/>
      <c r="I65" s="1045"/>
      <c r="J65" s="377"/>
      <c r="K65" s="482"/>
      <c r="L65" s="482"/>
      <c r="M65" s="851"/>
      <c r="N65" s="663"/>
      <c r="O65" s="383"/>
      <c r="P65" s="1008"/>
      <c r="Q65" s="1009"/>
      <c r="R65" s="375"/>
      <c r="S65" s="376"/>
      <c r="T65" s="375"/>
      <c r="U65" s="625"/>
      <c r="V65" s="560"/>
      <c r="W65" s="606"/>
      <c r="X65" s="377"/>
      <c r="Y65" s="606"/>
      <c r="Z65" s="377"/>
      <c r="AA65" s="606"/>
      <c r="AB65" s="707"/>
      <c r="AC65" s="331"/>
      <c r="AD65" s="383"/>
      <c r="AE65" s="375"/>
      <c r="AF65" s="383"/>
      <c r="AG65" s="375"/>
      <c r="AH65" s="383"/>
      <c r="AI65" s="375"/>
      <c r="AJ65" s="383"/>
      <c r="AK65" s="375"/>
      <c r="AL65" s="375"/>
      <c r="AM65" s="1324"/>
      <c r="AN65" s="1324"/>
      <c r="AO65" s="375"/>
      <c r="AP65" s="375"/>
      <c r="AQ65" s="375"/>
      <c r="AR65" s="375"/>
      <c r="AS65" s="375"/>
      <c r="AT65" s="375"/>
      <c r="AU65" s="375"/>
      <c r="AV65" s="375"/>
      <c r="AW65" s="375"/>
      <c r="AX65" s="331"/>
    </row>
    <row r="66" spans="1:50" x14ac:dyDescent="0.2">
      <c r="A66" s="1050"/>
      <c r="B66" s="1019"/>
      <c r="C66" s="1051"/>
      <c r="D66" s="1040"/>
      <c r="E66" s="1270"/>
      <c r="F66" s="1267"/>
      <c r="G66" s="1115"/>
      <c r="H66" s="1104"/>
      <c r="I66" s="1045"/>
      <c r="J66" s="377"/>
      <c r="K66" s="482"/>
      <c r="L66" s="482"/>
      <c r="M66" s="851"/>
      <c r="N66" s="663"/>
      <c r="O66" s="383"/>
      <c r="P66" s="1008"/>
      <c r="Q66" s="1009"/>
      <c r="R66" s="375"/>
      <c r="S66" s="376"/>
      <c r="T66" s="375"/>
      <c r="U66" s="625"/>
      <c r="V66" s="560"/>
      <c r="W66" s="606"/>
      <c r="X66" s="377"/>
      <c r="Y66" s="606"/>
      <c r="Z66" s="377"/>
      <c r="AA66" s="606"/>
      <c r="AB66" s="707"/>
      <c r="AC66" s="331"/>
      <c r="AD66" s="383"/>
      <c r="AE66" s="375"/>
      <c r="AF66" s="383"/>
      <c r="AG66" s="375"/>
      <c r="AH66" s="383"/>
      <c r="AI66" s="375"/>
      <c r="AJ66" s="383"/>
      <c r="AK66" s="375"/>
      <c r="AL66" s="375"/>
      <c r="AM66" s="375"/>
      <c r="AN66" s="375"/>
      <c r="AO66" s="375"/>
      <c r="AP66" s="375"/>
      <c r="AQ66" s="375"/>
      <c r="AR66" s="375"/>
      <c r="AS66" s="375"/>
      <c r="AT66" s="375"/>
      <c r="AU66" s="375"/>
      <c r="AV66" s="375"/>
      <c r="AW66" s="375"/>
      <c r="AX66" s="331"/>
    </row>
    <row r="67" spans="1:50" x14ac:dyDescent="0.2">
      <c r="A67" s="1050"/>
      <c r="B67" s="1019"/>
      <c r="C67" s="1051"/>
      <c r="D67" s="1040"/>
      <c r="E67" s="1270"/>
      <c r="F67" s="1267"/>
      <c r="G67" s="1115"/>
      <c r="H67" s="1104"/>
      <c r="I67" s="1045"/>
      <c r="J67" s="377"/>
      <c r="K67" s="482"/>
      <c r="L67" s="482"/>
      <c r="M67" s="851"/>
      <c r="N67" s="663"/>
      <c r="O67" s="383"/>
      <c r="P67" s="1008"/>
      <c r="Q67" s="1009"/>
      <c r="R67" s="375"/>
      <c r="S67" s="376"/>
      <c r="T67" s="375"/>
      <c r="U67" s="625"/>
      <c r="V67" s="560"/>
      <c r="W67" s="606"/>
      <c r="X67" s="377"/>
      <c r="Y67" s="606"/>
      <c r="Z67" s="377"/>
      <c r="AA67" s="606"/>
      <c r="AB67" s="707"/>
      <c r="AC67" s="331"/>
      <c r="AD67" s="383"/>
      <c r="AE67" s="375"/>
      <c r="AF67" s="383"/>
      <c r="AG67" s="375"/>
      <c r="AH67" s="383"/>
      <c r="AI67" s="375"/>
      <c r="AJ67" s="383"/>
      <c r="AK67" s="375"/>
      <c r="AL67" s="375"/>
      <c r="AM67" s="375"/>
      <c r="AN67" s="375"/>
      <c r="AO67" s="375"/>
      <c r="AP67" s="375"/>
      <c r="AQ67" s="375"/>
      <c r="AR67" s="375"/>
      <c r="AS67" s="375"/>
      <c r="AT67" s="375"/>
      <c r="AU67" s="375"/>
      <c r="AV67" s="375"/>
      <c r="AW67" s="375"/>
      <c r="AX67" s="331"/>
    </row>
    <row r="68" spans="1:50" x14ac:dyDescent="0.2">
      <c r="A68" s="1050"/>
      <c r="B68" s="1019"/>
      <c r="C68" s="1051"/>
      <c r="D68" s="1040"/>
      <c r="E68" s="1270"/>
      <c r="F68" s="1267"/>
      <c r="G68" s="1115"/>
      <c r="H68" s="1104"/>
      <c r="I68" s="1045"/>
      <c r="J68" s="377"/>
      <c r="K68" s="482"/>
      <c r="L68" s="482"/>
      <c r="M68" s="851"/>
      <c r="N68" s="663"/>
      <c r="O68" s="383"/>
      <c r="P68" s="1008"/>
      <c r="Q68" s="1009"/>
      <c r="R68" s="375"/>
      <c r="S68" s="376"/>
      <c r="T68" s="375"/>
      <c r="U68" s="625"/>
      <c r="V68" s="560"/>
      <c r="W68" s="606"/>
      <c r="X68" s="377"/>
      <c r="Y68" s="606"/>
      <c r="Z68" s="377"/>
      <c r="AA68" s="606"/>
      <c r="AB68" s="707"/>
      <c r="AC68" s="331"/>
      <c r="AD68" s="383"/>
      <c r="AE68" s="375"/>
      <c r="AF68" s="383"/>
      <c r="AG68" s="375"/>
      <c r="AH68" s="383"/>
      <c r="AI68" s="375"/>
      <c r="AJ68" s="383"/>
      <c r="AK68" s="375"/>
      <c r="AL68" s="375"/>
      <c r="AM68" s="375"/>
      <c r="AN68" s="375"/>
      <c r="AO68" s="375"/>
      <c r="AP68" s="375"/>
      <c r="AQ68" s="375"/>
      <c r="AR68" s="375"/>
      <c r="AS68" s="375"/>
      <c r="AT68" s="375"/>
      <c r="AU68" s="375"/>
      <c r="AV68" s="375"/>
      <c r="AW68" s="375"/>
      <c r="AX68" s="331"/>
    </row>
    <row r="69" spans="1:50" x14ac:dyDescent="0.2">
      <c r="A69" s="1050"/>
      <c r="B69" s="1019"/>
      <c r="C69" s="1051"/>
      <c r="D69" s="1040"/>
      <c r="E69" s="1270"/>
      <c r="F69" s="1267"/>
      <c r="G69" s="1115"/>
      <c r="H69" s="1104"/>
      <c r="I69" s="1046"/>
      <c r="J69" s="377"/>
      <c r="K69" s="482"/>
      <c r="L69" s="482"/>
      <c r="M69" s="851"/>
      <c r="N69" s="663"/>
      <c r="O69" s="383"/>
      <c r="P69" s="1008"/>
      <c r="Q69" s="1009"/>
      <c r="R69" s="375"/>
      <c r="S69" s="376"/>
      <c r="T69" s="375"/>
      <c r="U69" s="625"/>
      <c r="V69" s="560"/>
      <c r="W69" s="606"/>
      <c r="X69" s="377"/>
      <c r="Y69" s="606"/>
      <c r="Z69" s="377"/>
      <c r="AA69" s="606"/>
      <c r="AB69" s="707"/>
      <c r="AC69" s="331"/>
      <c r="AD69" s="383"/>
      <c r="AE69" s="375"/>
      <c r="AF69" s="383"/>
      <c r="AG69" s="375"/>
      <c r="AH69" s="383"/>
      <c r="AI69" s="375"/>
      <c r="AJ69" s="383"/>
      <c r="AK69" s="375"/>
      <c r="AL69" s="375"/>
      <c r="AM69" s="375"/>
      <c r="AN69" s="375"/>
      <c r="AO69" s="375"/>
      <c r="AP69" s="375"/>
      <c r="AQ69" s="375"/>
      <c r="AR69" s="375"/>
      <c r="AS69" s="375"/>
      <c r="AT69" s="375"/>
      <c r="AU69" s="375"/>
      <c r="AV69" s="375"/>
      <c r="AW69" s="375"/>
      <c r="AX69" s="331"/>
    </row>
    <row r="70" spans="1:50" x14ac:dyDescent="0.2">
      <c r="A70" s="1050"/>
      <c r="B70" s="1019"/>
      <c r="C70" s="1051"/>
      <c r="D70" s="1040"/>
      <c r="E70" s="1270"/>
      <c r="F70" s="1267"/>
      <c r="G70" s="1115"/>
      <c r="H70" s="1104"/>
      <c r="I70" s="1046"/>
      <c r="J70" s="377"/>
      <c r="K70" s="482"/>
      <c r="L70" s="482"/>
      <c r="M70" s="851"/>
      <c r="N70" s="663"/>
      <c r="O70" s="383"/>
      <c r="P70" s="1008"/>
      <c r="Q70" s="1009"/>
      <c r="R70" s="375"/>
      <c r="S70" s="376"/>
      <c r="T70" s="375"/>
      <c r="U70" s="625"/>
      <c r="V70" s="560"/>
      <c r="W70" s="606"/>
      <c r="X70" s="377"/>
      <c r="Y70" s="606"/>
      <c r="Z70" s="377"/>
      <c r="AA70" s="606"/>
      <c r="AB70" s="707"/>
      <c r="AC70" s="331"/>
      <c r="AD70" s="383"/>
      <c r="AE70" s="375"/>
      <c r="AF70" s="383"/>
      <c r="AG70" s="375"/>
      <c r="AH70" s="383"/>
      <c r="AI70" s="375"/>
      <c r="AJ70" s="383"/>
      <c r="AK70" s="375"/>
      <c r="AL70" s="375"/>
      <c r="AM70" s="1324"/>
      <c r="AN70" s="1324"/>
      <c r="AO70" s="375"/>
      <c r="AP70" s="375"/>
      <c r="AQ70" s="375"/>
      <c r="AR70" s="375"/>
      <c r="AS70" s="375"/>
      <c r="AT70" s="375"/>
      <c r="AU70" s="375"/>
      <c r="AV70" s="375"/>
      <c r="AW70" s="375"/>
      <c r="AX70" s="331"/>
    </row>
    <row r="71" spans="1:50" x14ac:dyDescent="0.2">
      <c r="A71" s="1050"/>
      <c r="B71" s="1019"/>
      <c r="C71" s="1051"/>
      <c r="D71" s="1040"/>
      <c r="E71" s="1270"/>
      <c r="F71" s="1267"/>
      <c r="G71" s="1115"/>
      <c r="H71" s="1104"/>
      <c r="I71" s="1045"/>
      <c r="J71" s="377"/>
      <c r="K71" s="482"/>
      <c r="L71" s="482"/>
      <c r="M71" s="851"/>
      <c r="N71" s="663"/>
      <c r="O71" s="383"/>
      <c r="P71" s="1008"/>
      <c r="Q71" s="1009"/>
      <c r="R71" s="375"/>
      <c r="S71" s="376"/>
      <c r="T71" s="375"/>
      <c r="U71" s="625"/>
      <c r="V71" s="560"/>
      <c r="W71" s="606"/>
      <c r="X71" s="377"/>
      <c r="Y71" s="606"/>
      <c r="Z71" s="377"/>
      <c r="AA71" s="606"/>
      <c r="AB71" s="707"/>
      <c r="AC71" s="331"/>
      <c r="AD71" s="383"/>
      <c r="AE71" s="375"/>
      <c r="AF71" s="383"/>
      <c r="AG71" s="375"/>
      <c r="AH71" s="383"/>
      <c r="AI71" s="375"/>
      <c r="AJ71" s="383"/>
      <c r="AK71" s="375"/>
      <c r="AL71" s="375"/>
      <c r="AM71" s="375"/>
      <c r="AN71" s="375"/>
      <c r="AO71" s="375"/>
      <c r="AP71" s="375"/>
      <c r="AQ71" s="375"/>
      <c r="AR71" s="375"/>
      <c r="AS71" s="375"/>
      <c r="AT71" s="375"/>
      <c r="AU71" s="375"/>
      <c r="AV71" s="375"/>
      <c r="AW71" s="375"/>
      <c r="AX71" s="331"/>
    </row>
    <row r="72" spans="1:50" x14ac:dyDescent="0.2">
      <c r="A72" s="1050"/>
      <c r="B72" s="1042"/>
      <c r="C72" s="1051"/>
      <c r="D72" s="1040"/>
      <c r="E72" s="1270"/>
      <c r="F72" s="1267"/>
      <c r="G72" s="1115"/>
      <c r="H72" s="1104"/>
      <c r="I72" s="1045"/>
      <c r="J72" s="377"/>
      <c r="K72" s="482"/>
      <c r="L72" s="482"/>
      <c r="M72" s="851"/>
      <c r="N72" s="663"/>
      <c r="O72" s="383"/>
      <c r="P72" s="1008"/>
      <c r="Q72" s="1009"/>
      <c r="R72" s="375"/>
      <c r="S72" s="376"/>
      <c r="T72" s="375"/>
      <c r="U72" s="625"/>
      <c r="V72" s="560"/>
      <c r="W72" s="606"/>
      <c r="X72" s="377"/>
      <c r="Y72" s="606"/>
      <c r="Z72" s="377"/>
      <c r="AA72" s="606"/>
      <c r="AB72" s="707"/>
      <c r="AC72" s="331"/>
      <c r="AD72" s="383"/>
      <c r="AE72" s="375"/>
      <c r="AF72" s="383"/>
      <c r="AG72" s="375"/>
      <c r="AH72" s="383"/>
      <c r="AI72" s="375"/>
      <c r="AJ72" s="383"/>
      <c r="AK72" s="375"/>
      <c r="AL72" s="375"/>
      <c r="AM72" s="375"/>
      <c r="AN72" s="375"/>
      <c r="AO72" s="375"/>
      <c r="AP72" s="375"/>
      <c r="AQ72" s="375"/>
      <c r="AR72" s="375"/>
      <c r="AS72" s="375"/>
      <c r="AT72" s="375"/>
      <c r="AU72" s="375"/>
      <c r="AV72" s="375"/>
      <c r="AW72" s="375"/>
      <c r="AX72" s="331"/>
    </row>
    <row r="73" spans="1:50" x14ac:dyDescent="0.2">
      <c r="A73" s="1050"/>
      <c r="B73" s="1019"/>
      <c r="C73" s="1051"/>
      <c r="D73" s="1040"/>
      <c r="E73" s="1270"/>
      <c r="F73" s="1267"/>
      <c r="G73" s="1115"/>
      <c r="H73" s="1104"/>
      <c r="I73" s="1045"/>
      <c r="J73" s="377"/>
      <c r="K73" s="482"/>
      <c r="L73" s="482"/>
      <c r="M73" s="851"/>
      <c r="N73" s="663"/>
      <c r="O73" s="383"/>
      <c r="P73" s="1008"/>
      <c r="Q73" s="1009"/>
      <c r="R73" s="375"/>
      <c r="S73" s="376"/>
      <c r="T73" s="375"/>
      <c r="U73" s="625"/>
      <c r="V73" s="560"/>
      <c r="W73" s="606"/>
      <c r="X73" s="377"/>
      <c r="Y73" s="606"/>
      <c r="Z73" s="377"/>
      <c r="AA73" s="606"/>
      <c r="AB73" s="707"/>
      <c r="AC73" s="331"/>
      <c r="AD73" s="383"/>
      <c r="AE73" s="375"/>
      <c r="AF73" s="383"/>
      <c r="AG73" s="375"/>
      <c r="AH73" s="383"/>
      <c r="AI73" s="375"/>
      <c r="AJ73" s="383"/>
      <c r="AK73" s="375"/>
      <c r="AL73" s="375"/>
      <c r="AM73" s="375"/>
      <c r="AN73" s="375"/>
      <c r="AO73" s="375"/>
      <c r="AP73" s="375"/>
      <c r="AQ73" s="375"/>
      <c r="AR73" s="375"/>
      <c r="AS73" s="375"/>
      <c r="AT73" s="375"/>
      <c r="AU73" s="375"/>
      <c r="AV73" s="375"/>
      <c r="AW73" s="375"/>
      <c r="AX73" s="331"/>
    </row>
    <row r="74" spans="1:50" x14ac:dyDescent="0.2">
      <c r="A74" s="1050"/>
      <c r="B74" s="1019"/>
      <c r="C74" s="1051"/>
      <c r="D74" s="1040"/>
      <c r="E74" s="1270"/>
      <c r="F74" s="1267"/>
      <c r="G74" s="1115"/>
      <c r="H74" s="1104"/>
      <c r="I74" s="1045"/>
      <c r="J74" s="377"/>
      <c r="K74" s="482"/>
      <c r="L74" s="482"/>
      <c r="M74" s="851"/>
      <c r="N74" s="663"/>
      <c r="O74" s="383"/>
      <c r="P74" s="1008"/>
      <c r="Q74" s="1009"/>
      <c r="R74" s="375"/>
      <c r="S74" s="376"/>
      <c r="T74" s="375"/>
      <c r="U74" s="625"/>
      <c r="V74" s="560"/>
      <c r="W74" s="606"/>
      <c r="X74" s="377"/>
      <c r="Y74" s="606"/>
      <c r="Z74" s="377"/>
      <c r="AA74" s="606"/>
      <c r="AB74" s="707"/>
      <c r="AC74" s="331"/>
      <c r="AD74" s="383"/>
      <c r="AE74" s="375"/>
      <c r="AF74" s="383"/>
      <c r="AG74" s="375"/>
      <c r="AH74" s="383"/>
      <c r="AI74" s="375"/>
      <c r="AJ74" s="383"/>
      <c r="AK74" s="375"/>
      <c r="AL74" s="375"/>
      <c r="AM74" s="375"/>
      <c r="AN74" s="375"/>
      <c r="AO74" s="375"/>
      <c r="AP74" s="375"/>
      <c r="AQ74" s="375"/>
      <c r="AR74" s="375"/>
      <c r="AS74" s="375"/>
      <c r="AT74" s="375"/>
      <c r="AU74" s="375"/>
      <c r="AV74" s="375"/>
      <c r="AW74" s="375"/>
      <c r="AX74" s="331"/>
    </row>
    <row r="75" spans="1:50" x14ac:dyDescent="0.2">
      <c r="A75" s="1050"/>
      <c r="B75" s="1019"/>
      <c r="C75" s="1051"/>
      <c r="D75" s="1040"/>
      <c r="E75" s="1270"/>
      <c r="F75" s="1267"/>
      <c r="G75" s="1115"/>
      <c r="H75" s="1104"/>
      <c r="I75" s="1045"/>
      <c r="J75" s="377"/>
      <c r="K75" s="482"/>
      <c r="L75" s="482"/>
      <c r="M75" s="851"/>
      <c r="N75" s="663"/>
      <c r="O75" s="383"/>
      <c r="P75" s="1008"/>
      <c r="Q75" s="1009"/>
      <c r="R75" s="375"/>
      <c r="S75" s="376"/>
      <c r="T75" s="375"/>
      <c r="U75" s="625"/>
      <c r="V75" s="560"/>
      <c r="W75" s="606"/>
      <c r="X75" s="377"/>
      <c r="Y75" s="606"/>
      <c r="Z75" s="377"/>
      <c r="AA75" s="606"/>
      <c r="AB75" s="707"/>
      <c r="AC75" s="331"/>
      <c r="AD75" s="383"/>
      <c r="AE75" s="375"/>
      <c r="AF75" s="383"/>
      <c r="AG75" s="375"/>
      <c r="AH75" s="383"/>
      <c r="AI75" s="375"/>
      <c r="AJ75" s="383"/>
      <c r="AK75" s="375"/>
      <c r="AL75" s="375"/>
      <c r="AM75" s="375"/>
      <c r="AN75" s="375"/>
      <c r="AO75" s="375"/>
      <c r="AP75" s="375"/>
      <c r="AQ75" s="375"/>
      <c r="AR75" s="375"/>
      <c r="AS75" s="375"/>
      <c r="AT75" s="375"/>
      <c r="AU75" s="375"/>
      <c r="AV75" s="375"/>
      <c r="AW75" s="375"/>
      <c r="AX75" s="331"/>
    </row>
    <row r="76" spans="1:50" x14ac:dyDescent="0.2">
      <c r="A76" s="1050"/>
      <c r="B76" s="1019"/>
      <c r="C76" s="1051"/>
      <c r="D76" s="1040"/>
      <c r="E76" s="1270"/>
      <c r="F76" s="1267"/>
      <c r="G76" s="1115"/>
      <c r="H76" s="1104"/>
      <c r="I76" s="1045"/>
      <c r="J76" s="377"/>
      <c r="K76" s="482"/>
      <c r="L76" s="482"/>
      <c r="M76" s="851"/>
      <c r="N76" s="663"/>
      <c r="O76" s="383"/>
      <c r="P76" s="1008"/>
      <c r="Q76" s="1009"/>
      <c r="R76" s="375"/>
      <c r="S76" s="376"/>
      <c r="T76" s="375"/>
      <c r="U76" s="625"/>
      <c r="V76" s="560"/>
      <c r="W76" s="606"/>
      <c r="X76" s="377"/>
      <c r="Y76" s="606"/>
      <c r="Z76" s="377"/>
      <c r="AA76" s="606"/>
      <c r="AB76" s="707"/>
      <c r="AC76" s="331"/>
      <c r="AD76" s="383"/>
      <c r="AE76" s="375"/>
      <c r="AF76" s="383"/>
      <c r="AG76" s="375"/>
      <c r="AH76" s="383"/>
      <c r="AI76" s="375"/>
      <c r="AJ76" s="383"/>
      <c r="AK76" s="375"/>
      <c r="AL76" s="375"/>
      <c r="AM76" s="375"/>
      <c r="AN76" s="375"/>
      <c r="AO76" s="375"/>
      <c r="AP76" s="375"/>
      <c r="AQ76" s="375"/>
      <c r="AR76" s="375"/>
      <c r="AS76" s="375"/>
      <c r="AT76" s="375"/>
      <c r="AU76" s="375"/>
      <c r="AV76" s="375"/>
      <c r="AW76" s="375"/>
      <c r="AX76" s="331"/>
    </row>
    <row r="77" spans="1:50" x14ac:dyDescent="0.2">
      <c r="A77" s="1050"/>
      <c r="B77" s="1019"/>
      <c r="C77" s="1051"/>
      <c r="D77" s="1040"/>
      <c r="E77" s="1270"/>
      <c r="F77" s="1267"/>
      <c r="G77" s="1115"/>
      <c r="H77" s="1104"/>
      <c r="I77" s="1045"/>
      <c r="J77" s="377"/>
      <c r="K77" s="482"/>
      <c r="L77" s="482"/>
      <c r="M77" s="851"/>
      <c r="N77" s="663"/>
      <c r="O77" s="383"/>
      <c r="P77" s="1008"/>
      <c r="Q77" s="1009"/>
      <c r="R77" s="375"/>
      <c r="S77" s="376"/>
      <c r="T77" s="375"/>
      <c r="U77" s="625"/>
      <c r="V77" s="560"/>
      <c r="W77" s="606"/>
      <c r="X77" s="377"/>
      <c r="Y77" s="606"/>
      <c r="Z77" s="377"/>
      <c r="AA77" s="606"/>
      <c r="AB77" s="707"/>
      <c r="AC77" s="331"/>
      <c r="AD77" s="383"/>
      <c r="AE77" s="375"/>
      <c r="AF77" s="383"/>
      <c r="AG77" s="375"/>
      <c r="AH77" s="383"/>
      <c r="AI77" s="375"/>
      <c r="AJ77" s="383"/>
      <c r="AK77" s="375"/>
      <c r="AL77" s="375"/>
      <c r="AM77" s="375"/>
      <c r="AN77" s="375"/>
      <c r="AO77" s="375"/>
      <c r="AP77" s="375"/>
      <c r="AQ77" s="375"/>
      <c r="AR77" s="375"/>
      <c r="AS77" s="375"/>
      <c r="AT77" s="375"/>
      <c r="AU77" s="375"/>
      <c r="AV77" s="375"/>
      <c r="AW77" s="375"/>
      <c r="AX77" s="331"/>
    </row>
    <row r="78" spans="1:50" x14ac:dyDescent="0.2">
      <c r="A78" s="1050"/>
      <c r="B78" s="1019"/>
      <c r="C78" s="1051"/>
      <c r="D78" s="1040"/>
      <c r="E78" s="1270"/>
      <c r="F78" s="1267"/>
      <c r="G78" s="1115"/>
      <c r="H78" s="1104"/>
      <c r="I78" s="1045"/>
      <c r="J78" s="377"/>
      <c r="K78" s="482"/>
      <c r="L78" s="482"/>
      <c r="M78" s="851"/>
      <c r="N78" s="663"/>
      <c r="O78" s="383"/>
      <c r="P78" s="1008"/>
      <c r="Q78" s="1009"/>
      <c r="R78" s="375"/>
      <c r="S78" s="376"/>
      <c r="T78" s="375"/>
      <c r="U78" s="625"/>
      <c r="V78" s="560"/>
      <c r="W78" s="606"/>
      <c r="X78" s="377"/>
      <c r="Y78" s="606"/>
      <c r="Z78" s="377"/>
      <c r="AA78" s="606"/>
      <c r="AB78" s="707"/>
      <c r="AC78" s="331"/>
      <c r="AD78" s="383"/>
      <c r="AE78" s="375"/>
      <c r="AF78" s="383"/>
      <c r="AG78" s="375"/>
      <c r="AH78" s="383"/>
      <c r="AI78" s="375"/>
      <c r="AJ78" s="383"/>
      <c r="AK78" s="375"/>
      <c r="AL78" s="375"/>
      <c r="AM78" s="375"/>
      <c r="AN78" s="375"/>
      <c r="AO78" s="375"/>
      <c r="AP78" s="375"/>
      <c r="AQ78" s="375"/>
      <c r="AR78" s="375"/>
      <c r="AS78" s="375"/>
      <c r="AT78" s="375"/>
      <c r="AU78" s="375"/>
      <c r="AV78" s="375"/>
      <c r="AW78" s="375"/>
      <c r="AX78" s="331"/>
    </row>
    <row r="79" spans="1:50" x14ac:dyDescent="0.2">
      <c r="A79" s="1050"/>
      <c r="B79" s="1019"/>
      <c r="C79" s="1051"/>
      <c r="D79" s="1040"/>
      <c r="E79" s="1270"/>
      <c r="F79" s="1267"/>
      <c r="G79" s="1115"/>
      <c r="H79" s="1104"/>
      <c r="I79" s="1046"/>
      <c r="J79" s="377"/>
      <c r="K79" s="482"/>
      <c r="L79" s="482"/>
      <c r="M79" s="851"/>
      <c r="N79" s="663"/>
      <c r="O79" s="383"/>
      <c r="P79" s="1008"/>
      <c r="Q79" s="1009"/>
      <c r="R79" s="375"/>
      <c r="S79" s="376"/>
      <c r="T79" s="375"/>
      <c r="U79" s="625"/>
      <c r="V79" s="560"/>
      <c r="W79" s="606"/>
      <c r="X79" s="377"/>
      <c r="Y79" s="606"/>
      <c r="Z79" s="377"/>
      <c r="AA79" s="606"/>
      <c r="AB79" s="707"/>
      <c r="AC79" s="331"/>
      <c r="AD79" s="383"/>
      <c r="AE79" s="375"/>
      <c r="AF79" s="383"/>
      <c r="AG79" s="375"/>
      <c r="AH79" s="383"/>
      <c r="AI79" s="375"/>
      <c r="AJ79" s="383"/>
      <c r="AK79" s="375"/>
      <c r="AL79" s="375"/>
      <c r="AM79" s="375"/>
      <c r="AN79" s="375"/>
      <c r="AO79" s="375"/>
      <c r="AP79" s="375"/>
      <c r="AQ79" s="375"/>
      <c r="AR79" s="375"/>
      <c r="AS79" s="375"/>
      <c r="AT79" s="375"/>
      <c r="AU79" s="375"/>
      <c r="AV79" s="375"/>
      <c r="AW79" s="375"/>
      <c r="AX79" s="331"/>
    </row>
    <row r="80" spans="1:50" x14ac:dyDescent="0.2">
      <c r="A80" s="1050"/>
      <c r="B80" s="1019"/>
      <c r="C80" s="1051"/>
      <c r="D80" s="1040"/>
      <c r="E80" s="1270"/>
      <c r="F80" s="1267"/>
      <c r="G80" s="1115"/>
      <c r="H80" s="1104"/>
      <c r="I80" s="1045"/>
      <c r="J80" s="377"/>
      <c r="K80" s="482"/>
      <c r="L80" s="482"/>
      <c r="M80" s="851"/>
      <c r="N80" s="663"/>
      <c r="O80" s="383"/>
      <c r="P80" s="1008"/>
      <c r="Q80" s="1009"/>
      <c r="R80" s="375"/>
      <c r="S80" s="376"/>
      <c r="T80" s="375"/>
      <c r="U80" s="625"/>
      <c r="V80" s="560"/>
      <c r="W80" s="606"/>
      <c r="X80" s="377"/>
      <c r="Y80" s="606"/>
      <c r="Z80" s="377"/>
      <c r="AA80" s="606"/>
      <c r="AB80" s="707"/>
      <c r="AC80" s="331"/>
      <c r="AD80" s="383"/>
      <c r="AE80" s="375"/>
      <c r="AF80" s="383"/>
      <c r="AG80" s="375"/>
      <c r="AH80" s="383"/>
      <c r="AI80" s="375"/>
      <c r="AJ80" s="383"/>
      <c r="AK80" s="375"/>
      <c r="AL80" s="375"/>
      <c r="AM80" s="375"/>
      <c r="AN80" s="375"/>
      <c r="AO80" s="375"/>
      <c r="AP80" s="375"/>
      <c r="AQ80" s="375"/>
      <c r="AR80" s="375"/>
      <c r="AS80" s="375"/>
      <c r="AT80" s="375"/>
      <c r="AU80" s="375"/>
      <c r="AV80" s="375"/>
      <c r="AW80" s="375"/>
      <c r="AX80" s="331"/>
    </row>
    <row r="81" spans="1:50" x14ac:dyDescent="0.2">
      <c r="A81" s="1050"/>
      <c r="B81" s="1019"/>
      <c r="C81" s="1051"/>
      <c r="D81" s="1040"/>
      <c r="E81" s="1270"/>
      <c r="F81" s="1267"/>
      <c r="G81" s="1115"/>
      <c r="H81" s="1104"/>
      <c r="I81" s="1045"/>
      <c r="J81" s="377"/>
      <c r="K81" s="482"/>
      <c r="L81" s="482"/>
      <c r="M81" s="851"/>
      <c r="N81" s="663"/>
      <c r="O81" s="383"/>
      <c r="P81" s="1008"/>
      <c r="Q81" s="1009"/>
      <c r="R81" s="375"/>
      <c r="S81" s="376"/>
      <c r="T81" s="375"/>
      <c r="U81" s="625"/>
      <c r="V81" s="560"/>
      <c r="W81" s="606"/>
      <c r="X81" s="377"/>
      <c r="Y81" s="606"/>
      <c r="Z81" s="377"/>
      <c r="AA81" s="606"/>
      <c r="AB81" s="707"/>
      <c r="AC81" s="331"/>
      <c r="AD81" s="383"/>
      <c r="AE81" s="375"/>
      <c r="AF81" s="383"/>
      <c r="AG81" s="375"/>
      <c r="AH81" s="383"/>
      <c r="AI81" s="375"/>
      <c r="AJ81" s="383"/>
      <c r="AK81" s="375"/>
      <c r="AL81" s="375"/>
      <c r="AM81" s="375"/>
      <c r="AN81" s="375"/>
      <c r="AO81" s="375"/>
      <c r="AP81" s="375"/>
      <c r="AQ81" s="375"/>
      <c r="AR81" s="375"/>
      <c r="AS81" s="375"/>
      <c r="AT81" s="375"/>
      <c r="AU81" s="375"/>
      <c r="AV81" s="375"/>
      <c r="AW81" s="375"/>
      <c r="AX81" s="331"/>
    </row>
    <row r="82" spans="1:50" x14ac:dyDescent="0.2">
      <c r="A82" s="1050"/>
      <c r="B82" s="1019"/>
      <c r="C82" s="1051"/>
      <c r="D82" s="1040"/>
      <c r="E82" s="1270"/>
      <c r="F82" s="1267"/>
      <c r="G82" s="1115"/>
      <c r="H82" s="1104"/>
      <c r="I82" s="1045"/>
      <c r="J82" s="377"/>
      <c r="K82" s="482"/>
      <c r="L82" s="482"/>
      <c r="M82" s="851"/>
      <c r="N82" s="663"/>
      <c r="O82" s="383"/>
      <c r="P82" s="1008"/>
      <c r="Q82" s="1009"/>
      <c r="R82" s="375"/>
      <c r="S82" s="376"/>
      <c r="T82" s="375"/>
      <c r="U82" s="625"/>
      <c r="V82" s="560"/>
      <c r="W82" s="606"/>
      <c r="X82" s="377"/>
      <c r="Y82" s="606"/>
      <c r="Z82" s="377"/>
      <c r="AA82" s="606"/>
      <c r="AB82" s="707"/>
      <c r="AC82" s="331"/>
      <c r="AD82" s="383"/>
      <c r="AE82" s="375"/>
      <c r="AF82" s="383"/>
      <c r="AG82" s="375"/>
      <c r="AH82" s="383"/>
      <c r="AI82" s="375"/>
      <c r="AJ82" s="383"/>
      <c r="AK82" s="375"/>
      <c r="AL82" s="375"/>
      <c r="AM82" s="375"/>
      <c r="AN82" s="375"/>
      <c r="AO82" s="375"/>
      <c r="AP82" s="375"/>
      <c r="AQ82" s="375"/>
      <c r="AR82" s="375"/>
      <c r="AS82" s="375"/>
      <c r="AT82" s="375"/>
      <c r="AU82" s="375"/>
      <c r="AV82" s="375"/>
      <c r="AW82" s="375"/>
      <c r="AX82" s="331"/>
    </row>
    <row r="83" spans="1:50" x14ac:dyDescent="0.2">
      <c r="A83" s="1050"/>
      <c r="B83" s="1019"/>
      <c r="C83" s="1051"/>
      <c r="D83" s="1040"/>
      <c r="E83" s="1270"/>
      <c r="F83" s="1267"/>
      <c r="G83" s="1115"/>
      <c r="H83" s="1104"/>
      <c r="I83" s="1045"/>
      <c r="J83" s="377"/>
      <c r="K83" s="482"/>
      <c r="L83" s="482"/>
      <c r="M83" s="851"/>
      <c r="N83" s="663"/>
      <c r="O83" s="383"/>
      <c r="P83" s="1008"/>
      <c r="Q83" s="1009"/>
      <c r="R83" s="375"/>
      <c r="S83" s="376"/>
      <c r="T83" s="375"/>
      <c r="U83" s="625"/>
      <c r="V83" s="560"/>
      <c r="W83" s="606"/>
      <c r="X83" s="377"/>
      <c r="Y83" s="606"/>
      <c r="Z83" s="377"/>
      <c r="AA83" s="606"/>
      <c r="AB83" s="707"/>
      <c r="AC83" s="331"/>
      <c r="AD83" s="383"/>
      <c r="AE83" s="375"/>
      <c r="AF83" s="383"/>
      <c r="AG83" s="375"/>
      <c r="AH83" s="383"/>
      <c r="AI83" s="375"/>
      <c r="AJ83" s="383"/>
      <c r="AK83" s="375"/>
      <c r="AL83" s="375"/>
      <c r="AM83" s="375"/>
      <c r="AN83" s="375"/>
      <c r="AO83" s="375"/>
      <c r="AP83" s="375"/>
      <c r="AQ83" s="375"/>
      <c r="AR83" s="375"/>
      <c r="AS83" s="375"/>
      <c r="AT83" s="375"/>
      <c r="AU83" s="375"/>
      <c r="AV83" s="375"/>
      <c r="AW83" s="375"/>
      <c r="AX83" s="331"/>
    </row>
    <row r="84" spans="1:50" x14ac:dyDescent="0.2">
      <c r="A84" s="1050"/>
      <c r="B84" s="1019"/>
      <c r="C84" s="1051"/>
      <c r="D84" s="1040"/>
      <c r="E84" s="1270"/>
      <c r="F84" s="1267"/>
      <c r="G84" s="1115"/>
      <c r="H84" s="1104"/>
      <c r="I84" s="1045"/>
      <c r="J84" s="377"/>
      <c r="K84" s="482"/>
      <c r="L84" s="482"/>
      <c r="M84" s="851"/>
      <c r="N84" s="663"/>
      <c r="O84" s="383"/>
      <c r="P84" s="1008"/>
      <c r="Q84" s="1009"/>
      <c r="R84" s="375"/>
      <c r="S84" s="376"/>
      <c r="T84" s="375"/>
      <c r="U84" s="625"/>
      <c r="V84" s="560"/>
      <c r="W84" s="606"/>
      <c r="X84" s="377"/>
      <c r="Y84" s="606"/>
      <c r="Z84" s="377"/>
      <c r="AA84" s="606"/>
      <c r="AB84" s="707"/>
      <c r="AC84" s="331"/>
      <c r="AD84" s="383"/>
      <c r="AE84" s="375"/>
      <c r="AF84" s="383"/>
      <c r="AG84" s="375"/>
      <c r="AH84" s="383"/>
      <c r="AI84" s="375"/>
      <c r="AJ84" s="383"/>
      <c r="AK84" s="375"/>
      <c r="AL84" s="375"/>
      <c r="AM84" s="375"/>
      <c r="AN84" s="375"/>
      <c r="AO84" s="375"/>
      <c r="AP84" s="375"/>
      <c r="AQ84" s="375"/>
      <c r="AR84" s="375"/>
      <c r="AS84" s="375"/>
      <c r="AT84" s="375"/>
      <c r="AU84" s="375"/>
      <c r="AV84" s="375"/>
      <c r="AW84" s="375"/>
      <c r="AX84" s="331"/>
    </row>
    <row r="85" spans="1:50" x14ac:dyDescent="0.2">
      <c r="A85" s="1050"/>
      <c r="B85" s="1019"/>
      <c r="C85" s="1051"/>
      <c r="D85" s="1040"/>
      <c r="E85" s="1270"/>
      <c r="F85" s="1267"/>
      <c r="G85" s="1115"/>
      <c r="H85" s="1104"/>
      <c r="I85" s="1045"/>
      <c r="J85" s="377"/>
      <c r="K85" s="482"/>
      <c r="L85" s="482"/>
      <c r="M85" s="851"/>
      <c r="N85" s="663"/>
      <c r="O85" s="383"/>
      <c r="P85" s="1008"/>
      <c r="Q85" s="1009"/>
      <c r="R85" s="375"/>
      <c r="S85" s="376"/>
      <c r="T85" s="375"/>
      <c r="U85" s="625"/>
      <c r="V85" s="560"/>
      <c r="W85" s="606"/>
      <c r="X85" s="377"/>
      <c r="Y85" s="606"/>
      <c r="Z85" s="377"/>
      <c r="AA85" s="606"/>
      <c r="AB85" s="707"/>
      <c r="AC85" s="331"/>
      <c r="AD85" s="383"/>
      <c r="AE85" s="375"/>
      <c r="AF85" s="383"/>
      <c r="AG85" s="375"/>
      <c r="AH85" s="383"/>
      <c r="AI85" s="375"/>
      <c r="AJ85" s="383"/>
      <c r="AK85" s="375"/>
      <c r="AL85" s="375"/>
      <c r="AM85" s="375"/>
      <c r="AN85" s="375"/>
      <c r="AO85" s="375"/>
      <c r="AP85" s="375"/>
      <c r="AQ85" s="375"/>
      <c r="AR85" s="375"/>
      <c r="AS85" s="375"/>
      <c r="AT85" s="375"/>
      <c r="AU85" s="375"/>
      <c r="AV85" s="375"/>
      <c r="AW85" s="375"/>
      <c r="AX85" s="331"/>
    </row>
    <row r="86" spans="1:50" x14ac:dyDescent="0.2">
      <c r="A86" s="1050"/>
      <c r="B86" s="1019"/>
      <c r="C86" s="1051"/>
      <c r="D86" s="1040"/>
      <c r="E86" s="1270"/>
      <c r="F86" s="1267"/>
      <c r="G86" s="1115"/>
      <c r="H86" s="1104"/>
      <c r="I86" s="1045"/>
      <c r="J86" s="377"/>
      <c r="K86" s="482"/>
      <c r="L86" s="482"/>
      <c r="M86" s="851"/>
      <c r="N86" s="663"/>
      <c r="O86" s="383"/>
      <c r="P86" s="1008"/>
      <c r="Q86" s="1009"/>
      <c r="R86" s="375"/>
      <c r="S86" s="376"/>
      <c r="T86" s="375"/>
      <c r="U86" s="625"/>
      <c r="V86" s="560"/>
      <c r="W86" s="606"/>
      <c r="X86" s="377"/>
      <c r="Y86" s="606"/>
      <c r="Z86" s="377"/>
      <c r="AA86" s="606"/>
      <c r="AB86" s="707"/>
      <c r="AC86" s="331"/>
      <c r="AD86" s="383"/>
      <c r="AE86" s="375"/>
      <c r="AF86" s="383"/>
      <c r="AG86" s="375"/>
      <c r="AH86" s="383"/>
      <c r="AI86" s="375"/>
      <c r="AJ86" s="383"/>
      <c r="AK86" s="375"/>
      <c r="AL86" s="375"/>
      <c r="AM86" s="375"/>
      <c r="AN86" s="375"/>
      <c r="AO86" s="375"/>
      <c r="AP86" s="375"/>
      <c r="AQ86" s="375"/>
      <c r="AR86" s="375"/>
      <c r="AS86" s="375"/>
      <c r="AT86" s="375"/>
      <c r="AU86" s="375"/>
      <c r="AV86" s="375"/>
      <c r="AW86" s="375"/>
      <c r="AX86" s="331"/>
    </row>
    <row r="87" spans="1:50" x14ac:dyDescent="0.2">
      <c r="A87" s="1050"/>
      <c r="B87" s="1019"/>
      <c r="C87" s="1051"/>
      <c r="D87" s="1040"/>
      <c r="E87" s="1270"/>
      <c r="F87" s="1267"/>
      <c r="G87" s="1115"/>
      <c r="H87" s="1104"/>
      <c r="I87" s="1045"/>
      <c r="J87" s="377"/>
      <c r="K87" s="482"/>
      <c r="L87" s="482"/>
      <c r="M87" s="851"/>
      <c r="N87" s="663"/>
      <c r="O87" s="383"/>
      <c r="P87" s="1008"/>
      <c r="Q87" s="1009"/>
      <c r="R87" s="375"/>
      <c r="S87" s="376"/>
      <c r="T87" s="375"/>
      <c r="U87" s="625"/>
      <c r="V87" s="560"/>
      <c r="W87" s="606"/>
      <c r="X87" s="377"/>
      <c r="Y87" s="606"/>
      <c r="Z87" s="377"/>
      <c r="AA87" s="606"/>
      <c r="AB87" s="707"/>
      <c r="AC87" s="331"/>
      <c r="AD87" s="383"/>
      <c r="AE87" s="375"/>
      <c r="AF87" s="383"/>
      <c r="AG87" s="375"/>
      <c r="AH87" s="383"/>
      <c r="AI87" s="375"/>
      <c r="AJ87" s="383"/>
      <c r="AK87" s="375"/>
      <c r="AL87" s="375"/>
      <c r="AM87" s="375"/>
      <c r="AN87" s="375"/>
      <c r="AO87" s="375"/>
      <c r="AP87" s="375"/>
      <c r="AQ87" s="375"/>
      <c r="AR87" s="375"/>
      <c r="AS87" s="375"/>
      <c r="AT87" s="375"/>
      <c r="AU87" s="375"/>
      <c r="AV87" s="375"/>
      <c r="AW87" s="375"/>
      <c r="AX87" s="331"/>
    </row>
    <row r="88" spans="1:50" x14ac:dyDescent="0.2">
      <c r="A88" s="1050"/>
      <c r="B88" s="1019"/>
      <c r="C88" s="1051"/>
      <c r="D88" s="1040"/>
      <c r="E88" s="1270"/>
      <c r="F88" s="1267"/>
      <c r="G88" s="1115"/>
      <c r="H88" s="1104"/>
      <c r="I88" s="1045"/>
      <c r="J88" s="377"/>
      <c r="K88" s="482"/>
      <c r="L88" s="482"/>
      <c r="M88" s="851"/>
      <c r="N88" s="663"/>
      <c r="O88" s="383"/>
      <c r="P88" s="1008"/>
      <c r="Q88" s="1009"/>
      <c r="R88" s="375"/>
      <c r="S88" s="376"/>
      <c r="T88" s="375"/>
      <c r="U88" s="625"/>
      <c r="V88" s="560"/>
      <c r="W88" s="606"/>
      <c r="X88" s="377"/>
      <c r="Y88" s="606"/>
      <c r="Z88" s="377"/>
      <c r="AA88" s="606"/>
      <c r="AB88" s="707"/>
      <c r="AC88" s="331"/>
      <c r="AD88" s="383"/>
      <c r="AE88" s="375"/>
      <c r="AF88" s="383"/>
      <c r="AG88" s="375"/>
      <c r="AH88" s="383"/>
      <c r="AI88" s="375"/>
      <c r="AJ88" s="383"/>
      <c r="AK88" s="375"/>
      <c r="AL88" s="375"/>
      <c r="AM88" s="375"/>
      <c r="AN88" s="375"/>
      <c r="AO88" s="375"/>
      <c r="AP88" s="375"/>
      <c r="AQ88" s="375"/>
      <c r="AR88" s="375"/>
      <c r="AS88" s="375"/>
      <c r="AT88" s="375"/>
      <c r="AU88" s="375"/>
      <c r="AV88" s="375"/>
      <c r="AW88" s="375"/>
      <c r="AX88" s="331"/>
    </row>
    <row r="89" spans="1:50" x14ac:dyDescent="0.2">
      <c r="A89" s="1050"/>
      <c r="B89" s="1019"/>
      <c r="C89" s="1051"/>
      <c r="D89" s="1040"/>
      <c r="E89" s="1270"/>
      <c r="F89" s="1267"/>
      <c r="G89" s="1115"/>
      <c r="H89" s="1104"/>
      <c r="I89" s="1045"/>
      <c r="J89" s="377"/>
      <c r="K89" s="482"/>
      <c r="L89" s="482"/>
      <c r="M89" s="851"/>
      <c r="N89" s="663"/>
      <c r="O89" s="383"/>
      <c r="P89" s="1008"/>
      <c r="Q89" s="1009"/>
      <c r="R89" s="375"/>
      <c r="S89" s="376"/>
      <c r="T89" s="375"/>
      <c r="U89" s="625"/>
      <c r="V89" s="560"/>
      <c r="W89" s="606"/>
      <c r="X89" s="377"/>
      <c r="Y89" s="606"/>
      <c r="Z89" s="377"/>
      <c r="AA89" s="606"/>
      <c r="AB89" s="707"/>
      <c r="AC89" s="331"/>
      <c r="AD89" s="383"/>
      <c r="AE89" s="375"/>
      <c r="AF89" s="383"/>
      <c r="AG89" s="375"/>
      <c r="AH89" s="383"/>
      <c r="AI89" s="375"/>
      <c r="AJ89" s="383"/>
      <c r="AK89" s="375"/>
      <c r="AL89" s="375"/>
      <c r="AM89" s="375"/>
      <c r="AN89" s="375"/>
      <c r="AO89" s="375"/>
      <c r="AP89" s="375"/>
      <c r="AQ89" s="375"/>
      <c r="AR89" s="375"/>
      <c r="AS89" s="375"/>
      <c r="AT89" s="375"/>
      <c r="AU89" s="375"/>
      <c r="AV89" s="375"/>
      <c r="AW89" s="375"/>
      <c r="AX89" s="331"/>
    </row>
    <row r="90" spans="1:50" x14ac:dyDescent="0.2">
      <c r="A90" s="1050"/>
      <c r="B90" s="1019"/>
      <c r="C90" s="1051"/>
      <c r="D90" s="1040"/>
      <c r="E90" s="1270"/>
      <c r="F90" s="1267"/>
      <c r="G90" s="1115"/>
      <c r="H90" s="1104"/>
      <c r="I90" s="1045"/>
      <c r="J90" s="377"/>
      <c r="K90" s="482"/>
      <c r="L90" s="482"/>
      <c r="M90" s="851"/>
      <c r="N90" s="663"/>
      <c r="O90" s="383"/>
      <c r="P90" s="1008"/>
      <c r="Q90" s="1009"/>
      <c r="R90" s="375"/>
      <c r="S90" s="376"/>
      <c r="T90" s="375"/>
      <c r="U90" s="625"/>
      <c r="V90" s="560"/>
      <c r="W90" s="606"/>
      <c r="X90" s="377"/>
      <c r="Y90" s="606"/>
      <c r="Z90" s="377"/>
      <c r="AA90" s="606"/>
      <c r="AB90" s="707"/>
      <c r="AC90" s="331"/>
      <c r="AD90" s="383"/>
      <c r="AE90" s="375"/>
      <c r="AF90" s="383"/>
      <c r="AG90" s="375"/>
      <c r="AH90" s="383"/>
      <c r="AI90" s="375"/>
      <c r="AJ90" s="383"/>
      <c r="AK90" s="375"/>
      <c r="AL90" s="375"/>
      <c r="AM90" s="375"/>
      <c r="AN90" s="375"/>
      <c r="AO90" s="375"/>
      <c r="AP90" s="375"/>
      <c r="AQ90" s="375"/>
      <c r="AR90" s="375"/>
      <c r="AS90" s="375"/>
      <c r="AT90" s="375"/>
      <c r="AU90" s="375"/>
      <c r="AV90" s="375"/>
      <c r="AW90" s="375"/>
      <c r="AX90" s="331"/>
    </row>
    <row r="91" spans="1:50" x14ac:dyDescent="0.2">
      <c r="A91" s="1050"/>
      <c r="B91" s="1042"/>
      <c r="C91" s="1051"/>
      <c r="D91" s="1040"/>
      <c r="E91" s="1270"/>
      <c r="F91" s="1267"/>
      <c r="G91" s="1115"/>
      <c r="H91" s="1104"/>
      <c r="I91" s="1045"/>
      <c r="J91" s="377"/>
      <c r="K91" s="482"/>
      <c r="L91" s="482"/>
      <c r="M91" s="851"/>
      <c r="N91" s="663"/>
      <c r="O91" s="383"/>
      <c r="P91" s="1008"/>
      <c r="Q91" s="1009"/>
      <c r="R91" s="375"/>
      <c r="S91" s="376"/>
      <c r="T91" s="375"/>
      <c r="U91" s="625"/>
      <c r="V91" s="560"/>
      <c r="W91" s="606"/>
      <c r="X91" s="377"/>
      <c r="Y91" s="606"/>
      <c r="Z91" s="377"/>
      <c r="AA91" s="606"/>
      <c r="AB91" s="707"/>
      <c r="AC91" s="331"/>
      <c r="AD91" s="383"/>
      <c r="AE91" s="375"/>
      <c r="AF91" s="383"/>
      <c r="AG91" s="375"/>
      <c r="AH91" s="383"/>
      <c r="AI91" s="375"/>
      <c r="AJ91" s="383"/>
      <c r="AK91" s="375"/>
      <c r="AL91" s="375"/>
      <c r="AM91" s="375"/>
      <c r="AN91" s="375"/>
      <c r="AO91" s="375"/>
      <c r="AP91" s="375"/>
      <c r="AQ91" s="375"/>
      <c r="AR91" s="375"/>
      <c r="AS91" s="375"/>
      <c r="AT91" s="375"/>
      <c r="AU91" s="375"/>
      <c r="AV91" s="375"/>
      <c r="AW91" s="375"/>
      <c r="AX91" s="331"/>
    </row>
    <row r="92" spans="1:50" x14ac:dyDescent="0.2">
      <c r="A92" s="1050"/>
      <c r="B92" s="1019"/>
      <c r="C92" s="1051"/>
      <c r="D92" s="1040"/>
      <c r="E92" s="1270"/>
      <c r="F92" s="1267"/>
      <c r="G92" s="1115"/>
      <c r="H92" s="1104"/>
      <c r="I92" s="1045"/>
      <c r="J92" s="377"/>
      <c r="K92" s="482"/>
      <c r="L92" s="482"/>
      <c r="M92" s="851"/>
      <c r="N92" s="663"/>
      <c r="O92" s="383"/>
      <c r="P92" s="1008"/>
      <c r="Q92" s="1009"/>
      <c r="R92" s="375"/>
      <c r="S92" s="376"/>
      <c r="T92" s="375"/>
      <c r="U92" s="625"/>
      <c r="V92" s="560"/>
      <c r="W92" s="606"/>
      <c r="X92" s="377"/>
      <c r="Y92" s="606"/>
      <c r="Z92" s="377"/>
      <c r="AA92" s="606"/>
      <c r="AB92" s="707"/>
      <c r="AC92" s="331"/>
      <c r="AD92" s="383"/>
      <c r="AE92" s="375"/>
      <c r="AF92" s="383"/>
      <c r="AG92" s="375"/>
      <c r="AH92" s="383"/>
      <c r="AI92" s="375"/>
      <c r="AJ92" s="383"/>
      <c r="AK92" s="375"/>
      <c r="AL92" s="375"/>
      <c r="AM92" s="375"/>
      <c r="AN92" s="375"/>
      <c r="AO92" s="375"/>
      <c r="AP92" s="375"/>
      <c r="AQ92" s="375"/>
      <c r="AR92" s="375"/>
      <c r="AS92" s="375"/>
      <c r="AT92" s="375"/>
      <c r="AU92" s="375"/>
      <c r="AV92" s="375"/>
      <c r="AW92" s="375"/>
      <c r="AX92" s="331"/>
    </row>
    <row r="93" spans="1:50" x14ac:dyDescent="0.2">
      <c r="A93" s="1050"/>
      <c r="B93" s="1019"/>
      <c r="C93" s="1051"/>
      <c r="D93" s="1040"/>
      <c r="E93" s="1270"/>
      <c r="F93" s="1267"/>
      <c r="G93" s="1115"/>
      <c r="H93" s="1104"/>
      <c r="I93" s="1045"/>
      <c r="J93" s="377"/>
      <c r="K93" s="482"/>
      <c r="L93" s="482"/>
      <c r="M93" s="851"/>
      <c r="N93" s="663"/>
      <c r="O93" s="383"/>
      <c r="P93" s="1008"/>
      <c r="Q93" s="1009"/>
      <c r="R93" s="375"/>
      <c r="S93" s="376"/>
      <c r="T93" s="375"/>
      <c r="U93" s="625"/>
      <c r="V93" s="560"/>
      <c r="W93" s="606"/>
      <c r="X93" s="377"/>
      <c r="Y93" s="606"/>
      <c r="Z93" s="377"/>
      <c r="AA93" s="606"/>
      <c r="AB93" s="707"/>
      <c r="AC93" s="331"/>
      <c r="AD93" s="383"/>
      <c r="AE93" s="375"/>
      <c r="AF93" s="383"/>
      <c r="AG93" s="375"/>
      <c r="AH93" s="383"/>
      <c r="AI93" s="375"/>
      <c r="AJ93" s="383"/>
      <c r="AK93" s="375"/>
      <c r="AL93" s="375"/>
      <c r="AM93" s="375"/>
      <c r="AN93" s="375"/>
      <c r="AO93" s="375"/>
      <c r="AP93" s="375"/>
      <c r="AQ93" s="375"/>
      <c r="AR93" s="375"/>
      <c r="AS93" s="375"/>
      <c r="AT93" s="375"/>
      <c r="AU93" s="375"/>
      <c r="AV93" s="375"/>
      <c r="AW93" s="375"/>
      <c r="AX93" s="331"/>
    </row>
    <row r="94" spans="1:50" x14ac:dyDescent="0.2">
      <c r="A94" s="1050"/>
      <c r="B94" s="1019"/>
      <c r="C94" s="1051"/>
      <c r="D94" s="1040"/>
      <c r="E94" s="1270"/>
      <c r="F94" s="1267"/>
      <c r="G94" s="1115"/>
      <c r="H94" s="1104"/>
      <c r="I94" s="1045"/>
      <c r="J94" s="377"/>
      <c r="K94" s="482"/>
      <c r="L94" s="482"/>
      <c r="M94" s="851"/>
      <c r="N94" s="663"/>
      <c r="O94" s="383"/>
      <c r="P94" s="1008"/>
      <c r="Q94" s="1009"/>
      <c r="R94" s="375"/>
      <c r="S94" s="376"/>
      <c r="T94" s="375"/>
      <c r="U94" s="625"/>
      <c r="V94" s="560"/>
      <c r="W94" s="606"/>
      <c r="X94" s="377"/>
      <c r="Y94" s="606"/>
      <c r="Z94" s="377"/>
      <c r="AA94" s="606"/>
      <c r="AB94" s="707"/>
      <c r="AC94" s="331"/>
      <c r="AD94" s="383"/>
      <c r="AE94" s="375"/>
      <c r="AF94" s="383"/>
      <c r="AG94" s="375"/>
      <c r="AH94" s="383"/>
      <c r="AI94" s="375"/>
      <c r="AJ94" s="383"/>
      <c r="AK94" s="375"/>
      <c r="AL94" s="375"/>
      <c r="AM94" s="375"/>
      <c r="AN94" s="375"/>
      <c r="AO94" s="375"/>
      <c r="AP94" s="375"/>
      <c r="AQ94" s="375"/>
      <c r="AR94" s="375"/>
      <c r="AS94" s="375"/>
      <c r="AT94" s="375"/>
      <c r="AU94" s="375"/>
      <c r="AV94" s="375"/>
      <c r="AW94" s="375"/>
      <c r="AX94" s="331"/>
    </row>
    <row r="95" spans="1:50" x14ac:dyDescent="0.2">
      <c r="A95" s="1050"/>
      <c r="B95" s="1067"/>
      <c r="C95" s="1051"/>
      <c r="D95" s="1040"/>
      <c r="E95" s="1270"/>
      <c r="F95" s="1267"/>
      <c r="G95" s="1115"/>
      <c r="H95" s="1104"/>
      <c r="I95" s="1046"/>
      <c r="J95" s="377"/>
      <c r="K95" s="482"/>
      <c r="L95" s="482"/>
      <c r="M95" s="851"/>
      <c r="N95" s="663"/>
      <c r="O95" s="383"/>
      <c r="P95" s="1008"/>
      <c r="Q95" s="1009"/>
      <c r="R95" s="375"/>
      <c r="S95" s="376"/>
      <c r="T95" s="375"/>
      <c r="U95" s="625"/>
      <c r="V95" s="560"/>
      <c r="W95" s="606"/>
      <c r="X95" s="377"/>
      <c r="Y95" s="606"/>
      <c r="Z95" s="377"/>
      <c r="AA95" s="606"/>
      <c r="AB95" s="707"/>
      <c r="AC95" s="331"/>
      <c r="AD95" s="383"/>
      <c r="AE95" s="375"/>
      <c r="AF95" s="383"/>
      <c r="AG95" s="375"/>
      <c r="AH95" s="383"/>
      <c r="AI95" s="375"/>
      <c r="AJ95" s="383"/>
      <c r="AK95" s="375"/>
      <c r="AL95" s="375"/>
      <c r="AM95" s="375"/>
      <c r="AN95" s="375"/>
      <c r="AO95" s="375"/>
      <c r="AP95" s="375"/>
      <c r="AQ95" s="375"/>
      <c r="AR95" s="375"/>
      <c r="AS95" s="375"/>
      <c r="AT95" s="375"/>
      <c r="AU95" s="375"/>
      <c r="AV95" s="375"/>
      <c r="AW95" s="375"/>
      <c r="AX95" s="331"/>
    </row>
    <row r="96" spans="1:50" x14ac:dyDescent="0.2">
      <c r="A96" s="1050"/>
      <c r="B96" s="1019"/>
      <c r="C96" s="1051"/>
      <c r="D96" s="1040"/>
      <c r="E96" s="1270"/>
      <c r="F96" s="1267"/>
      <c r="G96" s="1115"/>
      <c r="H96" s="1104"/>
      <c r="I96" s="1045"/>
      <c r="J96" s="377"/>
      <c r="K96" s="482"/>
      <c r="L96" s="482"/>
      <c r="M96" s="851"/>
      <c r="N96" s="663"/>
      <c r="O96" s="383"/>
      <c r="P96" s="1008"/>
      <c r="Q96" s="1009"/>
      <c r="R96" s="375"/>
      <c r="S96" s="376"/>
      <c r="T96" s="375"/>
      <c r="U96" s="625"/>
      <c r="V96" s="560"/>
      <c r="W96" s="606"/>
      <c r="X96" s="377"/>
      <c r="Y96" s="606"/>
      <c r="Z96" s="377"/>
      <c r="AA96" s="606"/>
      <c r="AB96" s="707"/>
      <c r="AC96" s="331"/>
      <c r="AD96" s="383"/>
      <c r="AE96" s="375"/>
      <c r="AF96" s="383"/>
      <c r="AG96" s="375"/>
      <c r="AH96" s="383"/>
      <c r="AI96" s="375"/>
      <c r="AJ96" s="383"/>
      <c r="AK96" s="375"/>
      <c r="AL96" s="375"/>
      <c r="AM96" s="375"/>
      <c r="AN96" s="375"/>
      <c r="AO96" s="375"/>
      <c r="AP96" s="375"/>
      <c r="AQ96" s="375"/>
      <c r="AR96" s="375"/>
      <c r="AS96" s="375"/>
      <c r="AT96" s="375"/>
      <c r="AU96" s="375"/>
      <c r="AV96" s="375"/>
      <c r="AW96" s="375"/>
      <c r="AX96" s="331"/>
    </row>
    <row r="97" spans="1:50" x14ac:dyDescent="0.2">
      <c r="A97" s="1050"/>
      <c r="B97" s="1019"/>
      <c r="C97" s="1051"/>
      <c r="D97" s="1040"/>
      <c r="E97" s="1270"/>
      <c r="F97" s="1267"/>
      <c r="G97" s="1115"/>
      <c r="H97" s="1104"/>
      <c r="I97" s="1045"/>
      <c r="J97" s="377"/>
      <c r="K97" s="482"/>
      <c r="L97" s="482"/>
      <c r="M97" s="851"/>
      <c r="N97" s="663"/>
      <c r="O97" s="383"/>
      <c r="P97" s="1008"/>
      <c r="Q97" s="1009"/>
      <c r="R97" s="375"/>
      <c r="S97" s="376"/>
      <c r="T97" s="375"/>
      <c r="U97" s="625"/>
      <c r="V97" s="560"/>
      <c r="W97" s="606"/>
      <c r="X97" s="377"/>
      <c r="Y97" s="606"/>
      <c r="Z97" s="377"/>
      <c r="AA97" s="606"/>
      <c r="AB97" s="707"/>
      <c r="AC97" s="331"/>
      <c r="AD97" s="383"/>
      <c r="AE97" s="375"/>
      <c r="AF97" s="383"/>
      <c r="AG97" s="375"/>
      <c r="AH97" s="383"/>
      <c r="AI97" s="375"/>
      <c r="AJ97" s="383"/>
      <c r="AK97" s="375"/>
      <c r="AL97" s="375"/>
      <c r="AM97" s="375"/>
      <c r="AN97" s="375"/>
      <c r="AO97" s="375"/>
      <c r="AP97" s="375"/>
      <c r="AQ97" s="375"/>
      <c r="AR97" s="375"/>
      <c r="AS97" s="375"/>
      <c r="AT97" s="375"/>
      <c r="AU97" s="375"/>
      <c r="AV97" s="375"/>
      <c r="AW97" s="375"/>
      <c r="AX97" s="331"/>
    </row>
    <row r="98" spans="1:50" x14ac:dyDescent="0.2">
      <c r="A98" s="1050"/>
      <c r="B98" s="1019"/>
      <c r="C98" s="1051"/>
      <c r="D98" s="1040"/>
      <c r="E98" s="1270"/>
      <c r="F98" s="1267"/>
      <c r="G98" s="1115"/>
      <c r="H98" s="1104"/>
      <c r="I98" s="1045"/>
      <c r="J98" s="377"/>
      <c r="K98" s="482"/>
      <c r="L98" s="482"/>
      <c r="M98" s="851"/>
      <c r="N98" s="663"/>
      <c r="O98" s="383"/>
      <c r="P98" s="1008"/>
      <c r="Q98" s="1009"/>
      <c r="R98" s="375"/>
      <c r="S98" s="376"/>
      <c r="T98" s="375"/>
      <c r="U98" s="625"/>
      <c r="V98" s="560"/>
      <c r="W98" s="606"/>
      <c r="X98" s="377"/>
      <c r="Y98" s="606"/>
      <c r="Z98" s="377"/>
      <c r="AA98" s="606"/>
      <c r="AB98" s="707"/>
      <c r="AC98" s="331"/>
      <c r="AD98" s="383"/>
      <c r="AE98" s="375"/>
      <c r="AF98" s="383"/>
      <c r="AG98" s="375"/>
      <c r="AH98" s="383"/>
      <c r="AI98" s="375"/>
      <c r="AJ98" s="383"/>
      <c r="AK98" s="375"/>
      <c r="AL98" s="375"/>
      <c r="AM98" s="375"/>
      <c r="AN98" s="375"/>
      <c r="AO98" s="375"/>
      <c r="AP98" s="375"/>
      <c r="AQ98" s="375"/>
      <c r="AR98" s="375"/>
      <c r="AS98" s="375"/>
      <c r="AT98" s="375"/>
      <c r="AU98" s="375"/>
      <c r="AV98" s="375"/>
      <c r="AW98" s="375"/>
      <c r="AX98" s="331"/>
    </row>
    <row r="99" spans="1:50" x14ac:dyDescent="0.2">
      <c r="A99" s="1050"/>
      <c r="B99" s="1042"/>
      <c r="C99" s="1051"/>
      <c r="D99" s="1040"/>
      <c r="E99" s="1270"/>
      <c r="F99" s="1267"/>
      <c r="G99" s="1115"/>
      <c r="H99" s="1104"/>
      <c r="I99" s="1045"/>
      <c r="J99" s="377"/>
      <c r="K99" s="482"/>
      <c r="L99" s="482"/>
      <c r="M99" s="851"/>
      <c r="N99" s="663"/>
      <c r="O99" s="383"/>
      <c r="P99" s="1008"/>
      <c r="Q99" s="1009"/>
      <c r="R99" s="375"/>
      <c r="S99" s="376"/>
      <c r="T99" s="375"/>
      <c r="U99" s="625"/>
      <c r="V99" s="560"/>
      <c r="W99" s="606"/>
      <c r="X99" s="377"/>
      <c r="Y99" s="606"/>
      <c r="Z99" s="377"/>
      <c r="AA99" s="606"/>
      <c r="AB99" s="707"/>
      <c r="AC99" s="331"/>
      <c r="AD99" s="383"/>
      <c r="AE99" s="375"/>
      <c r="AF99" s="383"/>
      <c r="AG99" s="375"/>
      <c r="AH99" s="383"/>
      <c r="AI99" s="375"/>
      <c r="AJ99" s="383"/>
      <c r="AK99" s="375"/>
      <c r="AL99" s="375"/>
      <c r="AM99" s="375"/>
      <c r="AN99" s="375"/>
      <c r="AO99" s="375"/>
      <c r="AP99" s="375"/>
      <c r="AQ99" s="375"/>
      <c r="AR99" s="375"/>
      <c r="AS99" s="375"/>
      <c r="AT99" s="375"/>
      <c r="AU99" s="375"/>
      <c r="AV99" s="375"/>
      <c r="AW99" s="375"/>
      <c r="AX99" s="331"/>
    </row>
    <row r="100" spans="1:50" x14ac:dyDescent="0.2">
      <c r="A100" s="1050"/>
      <c r="B100" s="1042"/>
      <c r="C100" s="1051"/>
      <c r="D100" s="1040"/>
      <c r="E100" s="1270"/>
      <c r="F100" s="1267"/>
      <c r="G100" s="1115"/>
      <c r="H100" s="1104"/>
      <c r="I100" s="1045"/>
      <c r="J100" s="377"/>
      <c r="K100" s="482"/>
      <c r="L100" s="482"/>
      <c r="M100" s="851"/>
      <c r="N100" s="663"/>
      <c r="O100" s="383"/>
      <c r="P100" s="1008"/>
      <c r="Q100" s="1009"/>
      <c r="R100" s="375"/>
      <c r="S100" s="376"/>
      <c r="T100" s="375"/>
      <c r="U100" s="625"/>
      <c r="V100" s="560"/>
      <c r="W100" s="606"/>
      <c r="X100" s="377"/>
      <c r="Y100" s="606"/>
      <c r="Z100" s="377"/>
      <c r="AA100" s="606"/>
      <c r="AB100" s="707"/>
      <c r="AC100" s="331"/>
      <c r="AD100" s="383"/>
      <c r="AE100" s="375"/>
      <c r="AF100" s="383"/>
      <c r="AG100" s="375"/>
      <c r="AH100" s="383"/>
      <c r="AI100" s="375"/>
      <c r="AJ100" s="383"/>
      <c r="AK100" s="375"/>
      <c r="AL100" s="375"/>
      <c r="AM100" s="375"/>
      <c r="AN100" s="375"/>
      <c r="AO100" s="375"/>
      <c r="AP100" s="375"/>
      <c r="AQ100" s="375"/>
      <c r="AR100" s="375"/>
      <c r="AS100" s="375"/>
      <c r="AT100" s="375"/>
      <c r="AU100" s="375"/>
      <c r="AV100" s="375"/>
      <c r="AW100" s="375"/>
      <c r="AX100" s="331"/>
    </row>
    <row r="101" spans="1:50" x14ac:dyDescent="0.2">
      <c r="A101" s="1050"/>
      <c r="B101" s="1042"/>
      <c r="C101" s="1051"/>
      <c r="D101" s="1040"/>
      <c r="E101" s="1270"/>
      <c r="F101" s="1267"/>
      <c r="G101" s="1115"/>
      <c r="H101" s="1104"/>
      <c r="I101" s="1045"/>
      <c r="J101" s="377"/>
      <c r="K101" s="482"/>
      <c r="L101" s="482"/>
      <c r="M101" s="851"/>
      <c r="N101" s="663"/>
      <c r="O101" s="383"/>
      <c r="P101" s="1008"/>
      <c r="Q101" s="1009"/>
      <c r="R101" s="375"/>
      <c r="S101" s="376"/>
      <c r="T101" s="375"/>
      <c r="U101" s="625"/>
      <c r="V101" s="560"/>
      <c r="W101" s="606"/>
      <c r="X101" s="377"/>
      <c r="Y101" s="606"/>
      <c r="Z101" s="377"/>
      <c r="AA101" s="606"/>
      <c r="AB101" s="707"/>
      <c r="AC101" s="331"/>
      <c r="AD101" s="383"/>
      <c r="AE101" s="375"/>
      <c r="AF101" s="383"/>
      <c r="AG101" s="375"/>
      <c r="AH101" s="383"/>
      <c r="AI101" s="375"/>
      <c r="AJ101" s="383"/>
      <c r="AK101" s="375"/>
      <c r="AL101" s="375"/>
      <c r="AM101" s="375"/>
      <c r="AN101" s="375"/>
      <c r="AO101" s="375"/>
      <c r="AP101" s="375"/>
      <c r="AQ101" s="375"/>
      <c r="AR101" s="375"/>
      <c r="AS101" s="375"/>
      <c r="AT101" s="375"/>
      <c r="AU101" s="375"/>
      <c r="AV101" s="375"/>
      <c r="AW101" s="375"/>
      <c r="AX101" s="331"/>
    </row>
    <row r="102" spans="1:50" x14ac:dyDescent="0.2">
      <c r="A102" s="1050"/>
      <c r="B102" s="1047"/>
      <c r="C102" s="1051"/>
      <c r="D102" s="1040"/>
      <c r="E102" s="1270"/>
      <c r="F102" s="1267"/>
      <c r="G102" s="1115"/>
      <c r="H102" s="1104"/>
      <c r="I102" s="1045"/>
      <c r="J102" s="377"/>
      <c r="K102" s="482"/>
      <c r="L102" s="482"/>
      <c r="M102" s="851"/>
      <c r="N102" s="663"/>
      <c r="O102" s="383"/>
      <c r="P102" s="1008"/>
      <c r="Q102" s="1009"/>
      <c r="R102" s="375"/>
      <c r="S102" s="376"/>
      <c r="T102" s="375"/>
      <c r="U102" s="625"/>
      <c r="V102" s="560"/>
      <c r="W102" s="606"/>
      <c r="X102" s="377"/>
      <c r="Y102" s="606"/>
      <c r="Z102" s="377"/>
      <c r="AA102" s="606"/>
      <c r="AB102" s="707"/>
      <c r="AC102" s="331"/>
      <c r="AD102" s="383"/>
      <c r="AE102" s="375"/>
      <c r="AF102" s="383"/>
      <c r="AG102" s="375"/>
      <c r="AH102" s="383"/>
      <c r="AI102" s="375"/>
      <c r="AJ102" s="383"/>
      <c r="AK102" s="375"/>
      <c r="AL102" s="375"/>
      <c r="AM102" s="375"/>
      <c r="AN102" s="375"/>
      <c r="AO102" s="375"/>
      <c r="AP102" s="375"/>
      <c r="AQ102" s="375"/>
      <c r="AR102" s="375"/>
      <c r="AS102" s="375"/>
      <c r="AT102" s="375"/>
      <c r="AU102" s="375"/>
      <c r="AV102" s="375"/>
      <c r="AW102" s="375"/>
      <c r="AX102" s="331"/>
    </row>
    <row r="103" spans="1:50" x14ac:dyDescent="0.2">
      <c r="A103" s="1050"/>
      <c r="B103" s="1042"/>
      <c r="C103" s="1051"/>
      <c r="D103" s="1040"/>
      <c r="E103" s="1270"/>
      <c r="F103" s="1267"/>
      <c r="G103" s="1115"/>
      <c r="H103" s="1104"/>
      <c r="I103" s="1045"/>
      <c r="J103" s="377"/>
      <c r="K103" s="482"/>
      <c r="L103" s="482"/>
      <c r="M103" s="851"/>
      <c r="N103" s="663"/>
      <c r="O103" s="383"/>
      <c r="P103" s="1008"/>
      <c r="Q103" s="1009"/>
      <c r="R103" s="375"/>
      <c r="S103" s="376"/>
      <c r="T103" s="375"/>
      <c r="U103" s="625"/>
      <c r="V103" s="560"/>
      <c r="W103" s="606"/>
      <c r="X103" s="377"/>
      <c r="Y103" s="606"/>
      <c r="Z103" s="377"/>
      <c r="AA103" s="606"/>
      <c r="AB103" s="707"/>
      <c r="AC103" s="331"/>
      <c r="AD103" s="383"/>
      <c r="AE103" s="375"/>
      <c r="AF103" s="383"/>
      <c r="AG103" s="375"/>
      <c r="AH103" s="383"/>
      <c r="AI103" s="375"/>
      <c r="AJ103" s="383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  <c r="AU103" s="375"/>
      <c r="AV103" s="375"/>
      <c r="AW103" s="375"/>
      <c r="AX103" s="331"/>
    </row>
    <row r="104" spans="1:50" x14ac:dyDescent="0.2">
      <c r="A104" s="1050"/>
      <c r="B104" s="1042"/>
      <c r="C104" s="1051"/>
      <c r="D104" s="1040"/>
      <c r="E104" s="1270"/>
      <c r="F104" s="1267"/>
      <c r="G104" s="1115"/>
      <c r="H104" s="1104"/>
      <c r="I104" s="1046"/>
      <c r="J104" s="377"/>
      <c r="K104" s="701"/>
      <c r="L104" s="482"/>
      <c r="M104" s="851"/>
      <c r="N104" s="663"/>
      <c r="O104" s="383"/>
      <c r="P104" s="1008"/>
      <c r="Q104" s="1009"/>
      <c r="R104" s="375"/>
      <c r="S104" s="376"/>
      <c r="T104" s="375"/>
      <c r="U104" s="625"/>
      <c r="V104" s="560"/>
      <c r="W104" s="606"/>
      <c r="X104" s="377"/>
      <c r="Y104" s="606"/>
      <c r="Z104" s="377"/>
      <c r="AA104" s="606"/>
      <c r="AB104" s="707"/>
      <c r="AC104" s="331"/>
      <c r="AD104" s="383"/>
      <c r="AE104" s="375"/>
      <c r="AF104" s="383"/>
      <c r="AG104" s="375"/>
      <c r="AH104" s="383"/>
      <c r="AI104" s="375"/>
      <c r="AJ104" s="383"/>
      <c r="AK104" s="375"/>
      <c r="AL104" s="375"/>
      <c r="AM104" s="375"/>
      <c r="AN104" s="375"/>
      <c r="AO104" s="375"/>
      <c r="AP104" s="375"/>
      <c r="AQ104" s="375"/>
      <c r="AR104" s="375"/>
      <c r="AS104" s="375"/>
      <c r="AT104" s="375"/>
      <c r="AU104" s="375"/>
      <c r="AV104" s="375"/>
      <c r="AW104" s="375"/>
      <c r="AX104" s="331"/>
    </row>
    <row r="105" spans="1:50" x14ac:dyDescent="0.2">
      <c r="A105" s="1050"/>
      <c r="B105" s="1042"/>
      <c r="C105" s="1051"/>
      <c r="D105" s="1040"/>
      <c r="E105" s="1270"/>
      <c r="F105" s="1267"/>
      <c r="G105" s="1115"/>
      <c r="H105" s="1104"/>
      <c r="I105" s="1045"/>
      <c r="J105" s="377"/>
      <c r="K105" s="482"/>
      <c r="L105" s="482"/>
      <c r="M105" s="851"/>
      <c r="N105" s="663"/>
      <c r="O105" s="383"/>
      <c r="P105" s="1008"/>
      <c r="Q105" s="1009"/>
      <c r="R105" s="375"/>
      <c r="S105" s="376"/>
      <c r="T105" s="375"/>
      <c r="U105" s="625"/>
      <c r="V105" s="560"/>
      <c r="W105" s="606"/>
      <c r="X105" s="377"/>
      <c r="Y105" s="606"/>
      <c r="Z105" s="377"/>
      <c r="AA105" s="606"/>
      <c r="AB105" s="707"/>
      <c r="AC105" s="331"/>
      <c r="AD105" s="383"/>
      <c r="AE105" s="375"/>
      <c r="AF105" s="383"/>
      <c r="AG105" s="375"/>
      <c r="AH105" s="383"/>
      <c r="AI105" s="375"/>
      <c r="AJ105" s="383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5"/>
      <c r="AW105" s="375"/>
      <c r="AX105" s="331"/>
    </row>
    <row r="106" spans="1:50" x14ac:dyDescent="0.2">
      <c r="A106" s="1050"/>
      <c r="B106" s="1042"/>
      <c r="C106" s="1051"/>
      <c r="D106" s="1040"/>
      <c r="E106" s="1270"/>
      <c r="F106" s="1267"/>
      <c r="G106" s="1115"/>
      <c r="H106" s="1104"/>
      <c r="I106" s="1045"/>
      <c r="J106" s="377"/>
      <c r="K106" s="482"/>
      <c r="L106" s="482"/>
      <c r="M106" s="851"/>
      <c r="N106" s="663"/>
      <c r="O106" s="383"/>
      <c r="P106" s="1008"/>
      <c r="Q106" s="1009"/>
      <c r="R106" s="375"/>
      <c r="S106" s="376"/>
      <c r="T106" s="375"/>
      <c r="U106" s="625"/>
      <c r="V106" s="560"/>
      <c r="W106" s="606"/>
      <c r="X106" s="377"/>
      <c r="Y106" s="606"/>
      <c r="Z106" s="377"/>
      <c r="AA106" s="606"/>
      <c r="AB106" s="707"/>
      <c r="AC106" s="331"/>
      <c r="AD106" s="383"/>
      <c r="AE106" s="375"/>
      <c r="AF106" s="383"/>
      <c r="AG106" s="375"/>
      <c r="AH106" s="383"/>
      <c r="AI106" s="375"/>
      <c r="AJ106" s="383"/>
      <c r="AK106" s="375"/>
      <c r="AL106" s="375"/>
      <c r="AM106" s="375"/>
      <c r="AN106" s="375"/>
      <c r="AO106" s="375"/>
      <c r="AP106" s="375"/>
      <c r="AQ106" s="375"/>
      <c r="AR106" s="375"/>
      <c r="AS106" s="375"/>
      <c r="AT106" s="375"/>
      <c r="AU106" s="375"/>
      <c r="AV106" s="375"/>
      <c r="AW106" s="375"/>
      <c r="AX106" s="331"/>
    </row>
    <row r="107" spans="1:50" x14ac:dyDescent="0.2">
      <c r="A107" s="1050"/>
      <c r="B107" s="1042"/>
      <c r="C107" s="1051"/>
      <c r="D107" s="1040"/>
      <c r="E107" s="1270"/>
      <c r="F107" s="1267"/>
      <c r="G107" s="1115"/>
      <c r="H107" s="1104"/>
      <c r="I107" s="1045"/>
      <c r="J107" s="377"/>
      <c r="K107" s="482"/>
      <c r="L107" s="482"/>
      <c r="M107" s="851"/>
      <c r="N107" s="663"/>
      <c r="O107" s="383"/>
      <c r="P107" s="1008"/>
      <c r="Q107" s="1009"/>
      <c r="R107" s="1324"/>
      <c r="S107" s="1324"/>
      <c r="T107" s="375"/>
      <c r="U107" s="625"/>
      <c r="V107" s="560"/>
      <c r="W107" s="606"/>
      <c r="X107" s="377"/>
      <c r="Y107" s="606"/>
      <c r="Z107" s="377"/>
      <c r="AA107" s="606"/>
      <c r="AB107" s="707"/>
      <c r="AC107" s="331"/>
      <c r="AD107" s="383"/>
      <c r="AE107" s="375"/>
      <c r="AF107" s="383"/>
      <c r="AG107" s="375"/>
      <c r="AH107" s="383"/>
      <c r="AI107" s="375"/>
      <c r="AJ107" s="383"/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5"/>
      <c r="AW107" s="375"/>
      <c r="AX107" s="331"/>
    </row>
    <row r="108" spans="1:50" x14ac:dyDescent="0.2">
      <c r="A108" s="1050"/>
      <c r="B108" s="1042"/>
      <c r="C108" s="1051"/>
      <c r="D108" s="1040"/>
      <c r="E108" s="1270"/>
      <c r="F108" s="1267"/>
      <c r="G108" s="1115"/>
      <c r="H108" s="1104"/>
      <c r="I108" s="1045"/>
      <c r="J108" s="377"/>
      <c r="K108" s="482"/>
      <c r="L108" s="482"/>
      <c r="M108" s="851"/>
      <c r="N108" s="663"/>
      <c r="O108" s="383"/>
      <c r="P108" s="1008"/>
      <c r="Q108" s="1009"/>
      <c r="R108" s="1324"/>
      <c r="S108" s="1324"/>
      <c r="T108" s="375"/>
      <c r="U108" s="625"/>
      <c r="V108" s="560"/>
      <c r="W108" s="606"/>
      <c r="X108" s="377"/>
      <c r="Y108" s="606"/>
      <c r="Z108" s="377"/>
      <c r="AA108" s="606"/>
      <c r="AB108" s="707"/>
      <c r="AC108" s="331"/>
      <c r="AD108" s="383"/>
      <c r="AE108" s="375"/>
      <c r="AF108" s="383"/>
      <c r="AG108" s="375"/>
      <c r="AH108" s="383"/>
      <c r="AI108" s="375"/>
      <c r="AJ108" s="383"/>
      <c r="AK108" s="375"/>
      <c r="AL108" s="375"/>
      <c r="AM108" s="375"/>
      <c r="AN108" s="375"/>
      <c r="AO108" s="375"/>
      <c r="AP108" s="375"/>
      <c r="AQ108" s="375"/>
      <c r="AR108" s="375"/>
      <c r="AS108" s="375"/>
      <c r="AT108" s="375"/>
      <c r="AU108" s="375"/>
      <c r="AV108" s="375"/>
      <c r="AW108" s="375"/>
      <c r="AX108" s="331"/>
    </row>
    <row r="109" spans="1:50" x14ac:dyDescent="0.2">
      <c r="A109" s="1050"/>
      <c r="B109" s="1042"/>
      <c r="C109" s="1051"/>
      <c r="D109" s="1040"/>
      <c r="E109" s="1270"/>
      <c r="F109" s="1267"/>
      <c r="G109" s="1115"/>
      <c r="H109" s="1104"/>
      <c r="I109" s="1046"/>
      <c r="J109" s="377"/>
      <c r="K109" s="701"/>
      <c r="L109" s="482"/>
      <c r="M109" s="851"/>
      <c r="N109" s="663"/>
      <c r="O109" s="383"/>
      <c r="P109" s="1008"/>
      <c r="Q109" s="1009"/>
      <c r="R109" s="375"/>
      <c r="S109" s="376"/>
      <c r="T109" s="375"/>
      <c r="U109" s="625"/>
      <c r="V109" s="560"/>
      <c r="W109" s="606"/>
      <c r="X109" s="377"/>
      <c r="Y109" s="606"/>
      <c r="Z109" s="377"/>
      <c r="AA109" s="606"/>
      <c r="AB109" s="707"/>
      <c r="AC109" s="331"/>
      <c r="AD109" s="383"/>
      <c r="AE109" s="375"/>
      <c r="AF109" s="383"/>
      <c r="AG109" s="375"/>
      <c r="AH109" s="383"/>
      <c r="AI109" s="375"/>
      <c r="AJ109" s="383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5"/>
      <c r="AW109" s="375"/>
      <c r="AX109" s="331"/>
    </row>
    <row r="110" spans="1:50" x14ac:dyDescent="0.2">
      <c r="A110" s="1050"/>
      <c r="B110" s="1042"/>
      <c r="C110" s="1051"/>
      <c r="D110" s="1040"/>
      <c r="E110" s="1270"/>
      <c r="F110" s="1267"/>
      <c r="G110" s="1115"/>
      <c r="H110" s="1104"/>
      <c r="I110" s="1045"/>
      <c r="J110" s="377"/>
      <c r="K110" s="482"/>
      <c r="L110" s="482"/>
      <c r="M110" s="851"/>
      <c r="N110" s="663"/>
      <c r="O110" s="383"/>
      <c r="P110" s="1008"/>
      <c r="Q110" s="1009"/>
      <c r="R110" s="375"/>
      <c r="S110" s="376"/>
      <c r="T110" s="375"/>
      <c r="U110" s="625"/>
      <c r="V110" s="560"/>
      <c r="W110" s="606"/>
      <c r="X110" s="377"/>
      <c r="Y110" s="606"/>
      <c r="Z110" s="377"/>
      <c r="AA110" s="606"/>
      <c r="AB110" s="707"/>
      <c r="AC110" s="331"/>
      <c r="AD110" s="383"/>
      <c r="AE110" s="375"/>
      <c r="AF110" s="383"/>
      <c r="AG110" s="375"/>
      <c r="AH110" s="383"/>
      <c r="AI110" s="375"/>
      <c r="AJ110" s="383"/>
      <c r="AK110" s="375"/>
      <c r="AL110" s="375"/>
      <c r="AM110" s="375"/>
      <c r="AN110" s="375"/>
      <c r="AO110" s="375"/>
      <c r="AP110" s="375"/>
      <c r="AQ110" s="375"/>
      <c r="AR110" s="375"/>
      <c r="AS110" s="375"/>
      <c r="AT110" s="375"/>
      <c r="AU110" s="375"/>
      <c r="AV110" s="375"/>
      <c r="AW110" s="375"/>
      <c r="AX110" s="331"/>
    </row>
    <row r="111" spans="1:50" x14ac:dyDescent="0.2">
      <c r="A111" s="1050"/>
      <c r="B111" s="1242"/>
      <c r="C111" s="1051"/>
      <c r="D111" s="1040"/>
      <c r="E111" s="1270"/>
      <c r="F111" s="1267"/>
      <c r="G111" s="1115"/>
      <c r="H111" s="1104"/>
      <c r="I111" s="1045"/>
      <c r="J111" s="377"/>
      <c r="K111" s="482"/>
      <c r="L111" s="482"/>
      <c r="M111" s="851"/>
      <c r="N111" s="663"/>
      <c r="O111" s="383"/>
      <c r="P111" s="1008"/>
      <c r="Q111" s="1009"/>
      <c r="R111" s="375"/>
      <c r="S111" s="376"/>
      <c r="T111" s="375"/>
      <c r="U111" s="625"/>
      <c r="V111" s="560"/>
      <c r="W111" s="606"/>
      <c r="X111" s="377"/>
      <c r="Y111" s="606"/>
      <c r="Z111" s="377"/>
      <c r="AA111" s="606"/>
      <c r="AB111" s="707"/>
      <c r="AC111" s="331"/>
      <c r="AD111" s="383"/>
      <c r="AE111" s="375"/>
      <c r="AF111" s="383"/>
      <c r="AG111" s="375"/>
      <c r="AH111" s="383"/>
      <c r="AI111" s="375"/>
      <c r="AJ111" s="383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5"/>
      <c r="AW111" s="375"/>
      <c r="AX111" s="331"/>
    </row>
    <row r="112" spans="1:50" x14ac:dyDescent="0.2">
      <c r="A112" s="1050"/>
      <c r="B112" s="1042"/>
      <c r="C112" s="1051"/>
      <c r="D112" s="1040"/>
      <c r="E112" s="1270"/>
      <c r="F112" s="1267"/>
      <c r="G112" s="1115"/>
      <c r="H112" s="1104"/>
      <c r="I112" s="1045"/>
      <c r="J112" s="377"/>
      <c r="K112" s="482"/>
      <c r="L112" s="482"/>
      <c r="M112" s="851"/>
      <c r="N112" s="663"/>
      <c r="O112" s="383"/>
      <c r="P112" s="1008"/>
      <c r="Q112" s="1009"/>
      <c r="R112" s="375"/>
      <c r="S112" s="376"/>
      <c r="T112" s="375"/>
      <c r="U112" s="625"/>
      <c r="V112" s="560"/>
      <c r="W112" s="606"/>
      <c r="X112" s="377"/>
      <c r="Y112" s="606"/>
      <c r="Z112" s="377"/>
      <c r="AA112" s="606"/>
      <c r="AB112" s="707"/>
      <c r="AC112" s="331"/>
      <c r="AD112" s="383"/>
      <c r="AE112" s="375"/>
      <c r="AF112" s="383"/>
      <c r="AG112" s="375"/>
      <c r="AH112" s="383"/>
      <c r="AI112" s="375"/>
      <c r="AJ112" s="383"/>
      <c r="AK112" s="375"/>
      <c r="AL112" s="375"/>
      <c r="AM112" s="375"/>
      <c r="AN112" s="375"/>
      <c r="AO112" s="375"/>
      <c r="AP112" s="375"/>
      <c r="AQ112" s="375"/>
      <c r="AR112" s="375"/>
      <c r="AS112" s="375"/>
      <c r="AT112" s="375"/>
      <c r="AU112" s="375"/>
      <c r="AV112" s="375"/>
      <c r="AW112" s="375"/>
      <c r="AX112" s="331"/>
    </row>
    <row r="113" spans="1:54" x14ac:dyDescent="0.2">
      <c r="A113" s="1050"/>
      <c r="B113" s="1019"/>
      <c r="C113" s="1051"/>
      <c r="D113" s="1040"/>
      <c r="E113" s="1270"/>
      <c r="F113" s="1267"/>
      <c r="G113" s="1115"/>
      <c r="H113" s="1104"/>
      <c r="I113" s="1045"/>
      <c r="J113" s="377"/>
      <c r="K113" s="482"/>
      <c r="L113" s="482"/>
      <c r="M113" s="851"/>
      <c r="N113" s="663"/>
      <c r="O113" s="383"/>
      <c r="P113" s="1008"/>
      <c r="Q113" s="1009"/>
      <c r="R113" s="375"/>
      <c r="S113" s="376"/>
      <c r="T113" s="375"/>
      <c r="U113" s="625"/>
      <c r="V113" s="560"/>
      <c r="W113" s="606"/>
      <c r="X113" s="377"/>
      <c r="Y113" s="606"/>
      <c r="Z113" s="377"/>
      <c r="AA113" s="606"/>
      <c r="AB113" s="707"/>
      <c r="AC113" s="331"/>
      <c r="AD113" s="383"/>
      <c r="AE113" s="375"/>
      <c r="AF113" s="383"/>
      <c r="AG113" s="375"/>
      <c r="AH113" s="383"/>
      <c r="AI113" s="375"/>
      <c r="AJ113" s="383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5"/>
      <c r="AW113" s="375"/>
      <c r="AX113" s="331"/>
    </row>
    <row r="114" spans="1:54" x14ac:dyDescent="0.2">
      <c r="A114" s="1050"/>
      <c r="B114" s="1019"/>
      <c r="C114" s="1051"/>
      <c r="D114" s="1040"/>
      <c r="E114" s="1270"/>
      <c r="F114" s="1267"/>
      <c r="G114" s="1115"/>
      <c r="H114" s="1104"/>
      <c r="I114" s="1045"/>
      <c r="J114" s="1045"/>
      <c r="K114" s="1044"/>
      <c r="L114" s="1053"/>
      <c r="M114" s="1054"/>
      <c r="N114" s="1055"/>
      <c r="O114" s="1062"/>
      <c r="P114" s="1056"/>
      <c r="Q114" s="1057"/>
      <c r="R114" s="1043"/>
      <c r="S114" s="1058"/>
      <c r="T114" s="1043"/>
      <c r="U114" s="1059"/>
      <c r="V114" s="1023"/>
      <c r="W114" s="1060"/>
      <c r="X114" s="1045"/>
      <c r="Y114" s="1060"/>
      <c r="Z114" s="1045"/>
      <c r="AA114" s="1060"/>
      <c r="AB114" s="1061"/>
      <c r="AC114" s="331"/>
      <c r="AD114" s="1062"/>
      <c r="AE114" s="1043"/>
      <c r="AF114" s="1062"/>
      <c r="AG114" s="1043"/>
      <c r="AH114" s="1062"/>
      <c r="AI114" s="1043"/>
      <c r="AJ114" s="1062"/>
      <c r="AK114" s="1043"/>
      <c r="AL114" s="1043"/>
      <c r="AM114" s="1043"/>
      <c r="AN114" s="1043"/>
      <c r="AO114" s="1043"/>
      <c r="AP114" s="1043"/>
      <c r="AQ114" s="1043"/>
      <c r="AR114" s="1043"/>
      <c r="AS114" s="1043"/>
      <c r="AT114" s="1043"/>
      <c r="AU114" s="1043"/>
      <c r="AV114" s="1043"/>
      <c r="AW114" s="1043"/>
      <c r="AX114" s="331"/>
    </row>
    <row r="115" spans="1:54" x14ac:dyDescent="0.2">
      <c r="A115" s="1050"/>
      <c r="B115" s="1019"/>
      <c r="C115" s="1051"/>
      <c r="D115" s="1040"/>
      <c r="E115" s="1270"/>
      <c r="F115" s="1267"/>
      <c r="G115" s="1115"/>
      <c r="H115" s="1104"/>
      <c r="I115" s="1045"/>
      <c r="J115" s="1350"/>
      <c r="K115" s="1350"/>
      <c r="L115" s="1350"/>
      <c r="M115" s="1350"/>
      <c r="N115" s="1350"/>
      <c r="O115" s="1350"/>
      <c r="P115" s="1056"/>
      <c r="Q115" s="1057"/>
      <c r="R115" s="1043"/>
      <c r="S115" s="1058"/>
      <c r="T115" s="1043"/>
      <c r="U115" s="1059"/>
      <c r="V115" s="1023"/>
      <c r="W115" s="1060"/>
      <c r="X115" s="1045"/>
      <c r="Y115" s="1060"/>
      <c r="Z115" s="1045"/>
      <c r="AA115" s="1060"/>
      <c r="AB115" s="1061"/>
      <c r="AC115" s="331"/>
      <c r="AD115" s="1062"/>
      <c r="AE115" s="1043"/>
      <c r="AF115" s="1062"/>
      <c r="AG115" s="1043"/>
      <c r="AH115" s="1062"/>
      <c r="AI115" s="1043"/>
      <c r="AJ115" s="1062"/>
      <c r="AK115" s="1043"/>
      <c r="AL115" s="1043"/>
      <c r="AM115" s="1043"/>
      <c r="AN115" s="1043"/>
      <c r="AO115" s="1043"/>
      <c r="AP115" s="1043"/>
      <c r="AQ115" s="1043"/>
      <c r="AR115" s="1043"/>
      <c r="AS115" s="1043"/>
      <c r="AT115" s="1043"/>
      <c r="AU115" s="1043"/>
      <c r="AV115" s="1043"/>
      <c r="AW115" s="1043"/>
      <c r="AX115" s="331"/>
    </row>
    <row r="116" spans="1:54" ht="35.25" customHeight="1" x14ac:dyDescent="0.2">
      <c r="A116" s="1050"/>
      <c r="B116" s="1042"/>
      <c r="C116" s="1051"/>
      <c r="D116" s="1040"/>
      <c r="E116" s="1270"/>
      <c r="F116" s="1267"/>
      <c r="G116" s="1115"/>
      <c r="H116" s="1104"/>
      <c r="I116" s="1045"/>
      <c r="J116" s="1045"/>
      <c r="K116" s="1211"/>
      <c r="L116" s="1053"/>
      <c r="M116" s="1351"/>
      <c r="N116" s="1055"/>
      <c r="O116" s="1043"/>
      <c r="P116" s="1008"/>
      <c r="Q116" s="1352"/>
      <c r="R116" s="1063"/>
      <c r="S116" s="376"/>
      <c r="T116" s="375"/>
      <c r="U116" s="625"/>
      <c r="V116" s="560"/>
      <c r="W116" s="606"/>
      <c r="X116" s="377"/>
      <c r="Y116" s="606"/>
      <c r="Z116" s="377"/>
      <c r="AA116" s="606"/>
      <c r="AB116" s="707"/>
      <c r="AC116" s="331"/>
      <c r="AD116" s="383"/>
      <c r="AE116" s="375"/>
      <c r="AF116" s="383"/>
      <c r="AG116" s="375"/>
      <c r="AH116" s="383"/>
      <c r="AI116" s="375"/>
      <c r="AJ116" s="383"/>
      <c r="AK116" s="375"/>
      <c r="AL116" s="375"/>
      <c r="AM116" s="375"/>
      <c r="AN116" s="375"/>
      <c r="AO116" s="375"/>
      <c r="AP116" s="375"/>
      <c r="AQ116" s="375"/>
      <c r="AR116" s="375"/>
      <c r="AS116" s="375"/>
      <c r="AT116" s="375"/>
      <c r="AU116" s="375"/>
      <c r="AV116" s="375"/>
      <c r="AW116" s="375"/>
      <c r="AX116" s="331"/>
      <c r="AZ116" s="287">
        <v>81622953.75</v>
      </c>
      <c r="BA116" s="287">
        <v>13603825.625</v>
      </c>
      <c r="BB116" s="287">
        <v>1133652.1354166667</v>
      </c>
    </row>
    <row r="117" spans="1:54" x14ac:dyDescent="0.2">
      <c r="A117" s="1050"/>
      <c r="B117" s="1042"/>
      <c r="C117" s="1051"/>
      <c r="D117" s="1040"/>
      <c r="E117" s="1270"/>
      <c r="F117" s="1267"/>
      <c r="G117" s="1115"/>
      <c r="H117" s="1104"/>
      <c r="I117" s="1045"/>
      <c r="J117" s="377"/>
      <c r="K117" s="482"/>
      <c r="L117" s="482"/>
      <c r="M117" s="851"/>
      <c r="N117" s="663"/>
      <c r="O117" s="383"/>
      <c r="P117" s="1008"/>
      <c r="Q117" s="1009"/>
      <c r="R117" s="375"/>
      <c r="S117" s="376"/>
      <c r="T117" s="375"/>
      <c r="U117" s="625"/>
      <c r="V117" s="560"/>
      <c r="W117" s="606"/>
      <c r="X117" s="377"/>
      <c r="Y117" s="606"/>
      <c r="Z117" s="377"/>
      <c r="AA117" s="606"/>
      <c r="AB117" s="707"/>
      <c r="AC117" s="331"/>
      <c r="AD117" s="383"/>
      <c r="AE117" s="375"/>
      <c r="AF117" s="383"/>
      <c r="AG117" s="375"/>
      <c r="AH117" s="383"/>
      <c r="AI117" s="375"/>
      <c r="AJ117" s="383"/>
      <c r="AK117" s="375"/>
      <c r="AL117" s="375"/>
      <c r="AM117" s="375"/>
      <c r="AN117" s="375"/>
      <c r="AO117" s="375"/>
      <c r="AP117" s="375"/>
      <c r="AQ117" s="375"/>
      <c r="AR117" s="375"/>
      <c r="AS117" s="375"/>
      <c r="AT117" s="375"/>
      <c r="AU117" s="375"/>
      <c r="AV117" s="375"/>
      <c r="AW117" s="375"/>
      <c r="AX117" s="331"/>
    </row>
    <row r="118" spans="1:54" x14ac:dyDescent="0.2">
      <c r="A118" s="1050"/>
      <c r="B118" s="1019"/>
      <c r="C118" s="1051"/>
      <c r="D118" s="1040"/>
      <c r="E118" s="1270"/>
      <c r="F118" s="1267"/>
      <c r="G118" s="1115"/>
      <c r="H118" s="1104"/>
      <c r="I118" s="1045"/>
      <c r="J118" s="377"/>
      <c r="K118" s="482"/>
      <c r="L118" s="482"/>
      <c r="M118" s="851"/>
      <c r="N118" s="663"/>
      <c r="O118" s="383"/>
      <c r="P118" s="1008"/>
      <c r="Q118" s="1009"/>
      <c r="R118" s="375"/>
      <c r="S118" s="376"/>
      <c r="T118" s="375"/>
      <c r="U118" s="625"/>
      <c r="V118" s="560"/>
      <c r="W118" s="606"/>
      <c r="X118" s="377"/>
      <c r="Y118" s="606"/>
      <c r="Z118" s="377"/>
      <c r="AA118" s="606"/>
      <c r="AB118" s="707"/>
      <c r="AC118" s="331"/>
      <c r="AD118" s="383"/>
      <c r="AE118" s="375"/>
      <c r="AF118" s="383"/>
      <c r="AG118" s="375"/>
      <c r="AH118" s="383"/>
      <c r="AI118" s="375"/>
      <c r="AJ118" s="383"/>
      <c r="AK118" s="375"/>
      <c r="AL118" s="375"/>
      <c r="AM118" s="375"/>
      <c r="AN118" s="375"/>
      <c r="AO118" s="375"/>
      <c r="AP118" s="375"/>
      <c r="AQ118" s="375"/>
      <c r="AR118" s="375"/>
      <c r="AS118" s="375"/>
      <c r="AT118" s="375"/>
      <c r="AU118" s="375"/>
      <c r="AV118" s="375"/>
      <c r="AW118" s="375"/>
      <c r="AX118" s="331"/>
    </row>
    <row r="119" spans="1:54" x14ac:dyDescent="0.2">
      <c r="A119" s="1050"/>
      <c r="B119" s="1019"/>
      <c r="C119" s="1051"/>
      <c r="D119" s="1040"/>
      <c r="E119" s="1270"/>
      <c r="F119" s="1267"/>
      <c r="G119" s="1115"/>
      <c r="H119" s="1104"/>
      <c r="I119" s="1045"/>
      <c r="J119" s="377"/>
      <c r="K119" s="482"/>
      <c r="L119" s="482"/>
      <c r="M119" s="851"/>
      <c r="N119" s="663"/>
      <c r="O119" s="383"/>
      <c r="P119" s="1008"/>
      <c r="Q119" s="1009"/>
      <c r="R119" s="375"/>
      <c r="S119" s="376"/>
      <c r="T119" s="375"/>
      <c r="U119" s="625"/>
      <c r="V119" s="560"/>
      <c r="W119" s="606"/>
      <c r="X119" s="377"/>
      <c r="Y119" s="606"/>
      <c r="Z119" s="377"/>
      <c r="AA119" s="606"/>
      <c r="AB119" s="707"/>
      <c r="AC119" s="331"/>
      <c r="AD119" s="383"/>
      <c r="AE119" s="375"/>
      <c r="AF119" s="383"/>
      <c r="AG119" s="375"/>
      <c r="AH119" s="383"/>
      <c r="AI119" s="375"/>
      <c r="AJ119" s="383"/>
      <c r="AK119" s="375"/>
      <c r="AL119" s="375"/>
      <c r="AM119" s="375"/>
      <c r="AN119" s="375"/>
      <c r="AO119" s="375"/>
      <c r="AP119" s="375"/>
      <c r="AQ119" s="375"/>
      <c r="AR119" s="375"/>
      <c r="AS119" s="375"/>
      <c r="AT119" s="375"/>
      <c r="AU119" s="375"/>
      <c r="AV119" s="375"/>
      <c r="AW119" s="375"/>
      <c r="AX119" s="331"/>
    </row>
    <row r="120" spans="1:54" x14ac:dyDescent="0.2">
      <c r="A120" s="1050"/>
      <c r="B120" s="1185"/>
      <c r="C120" s="1051"/>
      <c r="D120" s="1040"/>
      <c r="E120" s="1270"/>
      <c r="F120" s="1267"/>
      <c r="G120" s="1115"/>
      <c r="H120" s="1104"/>
      <c r="I120" s="1045"/>
      <c r="J120" s="377"/>
      <c r="K120" s="482"/>
      <c r="L120" s="482"/>
      <c r="M120" s="851"/>
      <c r="N120" s="663"/>
      <c r="O120" s="383"/>
      <c r="P120" s="1008"/>
      <c r="Q120" s="1009"/>
      <c r="R120" s="375"/>
      <c r="S120" s="376"/>
      <c r="T120" s="375"/>
      <c r="U120" s="625"/>
      <c r="V120" s="560"/>
      <c r="W120" s="606"/>
      <c r="X120" s="377"/>
      <c r="Y120" s="606"/>
      <c r="Z120" s="377"/>
      <c r="AA120" s="606"/>
      <c r="AB120" s="707"/>
      <c r="AC120" s="331"/>
      <c r="AD120" s="383"/>
      <c r="AE120" s="375"/>
      <c r="AF120" s="383"/>
      <c r="AG120" s="375"/>
      <c r="AH120" s="383"/>
      <c r="AI120" s="375"/>
      <c r="AJ120" s="383"/>
      <c r="AK120" s="375"/>
      <c r="AL120" s="375"/>
      <c r="AM120" s="375"/>
      <c r="AN120" s="375"/>
      <c r="AO120" s="375"/>
      <c r="AP120" s="375"/>
      <c r="AQ120" s="375"/>
      <c r="AR120" s="375"/>
      <c r="AS120" s="375"/>
      <c r="AT120" s="375"/>
      <c r="AU120" s="375"/>
      <c r="AV120" s="375"/>
      <c r="AW120" s="375"/>
      <c r="AX120" s="331"/>
    </row>
    <row r="121" spans="1:54" x14ac:dyDescent="0.2">
      <c r="A121" s="1050"/>
      <c r="B121" s="1242"/>
      <c r="C121" s="1051"/>
      <c r="D121" s="1040"/>
      <c r="E121" s="1270"/>
      <c r="F121" s="1267"/>
      <c r="G121" s="1115"/>
      <c r="H121" s="1104"/>
      <c r="I121" s="1045"/>
      <c r="J121" s="377"/>
      <c r="K121" s="482"/>
      <c r="L121" s="482"/>
      <c r="M121" s="851"/>
      <c r="N121" s="663"/>
      <c r="O121" s="383"/>
      <c r="P121" s="1008"/>
      <c r="Q121" s="1009"/>
      <c r="R121" s="375"/>
      <c r="S121" s="376"/>
      <c r="T121" s="375"/>
      <c r="U121" s="625"/>
      <c r="V121" s="560"/>
      <c r="W121" s="606"/>
      <c r="X121" s="377"/>
      <c r="Y121" s="606"/>
      <c r="Z121" s="377"/>
      <c r="AA121" s="606"/>
      <c r="AB121" s="707"/>
      <c r="AC121" s="331"/>
      <c r="AD121" s="383"/>
      <c r="AE121" s="375"/>
      <c r="AF121" s="383"/>
      <c r="AG121" s="375"/>
      <c r="AH121" s="383"/>
      <c r="AI121" s="375"/>
      <c r="AJ121" s="383"/>
      <c r="AK121" s="375"/>
      <c r="AL121" s="375"/>
      <c r="AM121" s="375"/>
      <c r="AN121" s="375"/>
      <c r="AO121" s="375"/>
      <c r="AP121" s="375"/>
      <c r="AQ121" s="375"/>
      <c r="AR121" s="375"/>
      <c r="AS121" s="375"/>
      <c r="AT121" s="375"/>
      <c r="AU121" s="375"/>
      <c r="AV121" s="375"/>
      <c r="AW121" s="375"/>
      <c r="AX121" s="331"/>
    </row>
    <row r="122" spans="1:54" x14ac:dyDescent="0.2">
      <c r="A122" s="1050"/>
      <c r="B122" s="1019"/>
      <c r="C122" s="1051"/>
      <c r="D122" s="1040"/>
      <c r="E122" s="1270"/>
      <c r="F122" s="1267"/>
      <c r="G122" s="1115"/>
      <c r="H122" s="1104"/>
      <c r="I122" s="1045"/>
      <c r="J122" s="377"/>
      <c r="K122" s="482"/>
      <c r="L122" s="482"/>
      <c r="M122" s="851"/>
      <c r="N122" s="663"/>
      <c r="O122" s="383"/>
      <c r="P122" s="1008"/>
      <c r="Q122" s="1009"/>
      <c r="R122" s="375"/>
      <c r="S122" s="376"/>
      <c r="T122" s="375"/>
      <c r="U122" s="625"/>
      <c r="V122" s="560"/>
      <c r="W122" s="606"/>
      <c r="X122" s="377"/>
      <c r="Y122" s="606"/>
      <c r="Z122" s="377"/>
      <c r="AA122" s="606"/>
      <c r="AB122" s="707"/>
      <c r="AC122" s="331"/>
      <c r="AD122" s="383"/>
      <c r="AE122" s="375"/>
      <c r="AF122" s="383"/>
      <c r="AG122" s="375"/>
      <c r="AH122" s="383"/>
      <c r="AI122" s="375"/>
      <c r="AJ122" s="383"/>
      <c r="AK122" s="375"/>
      <c r="AL122" s="375"/>
      <c r="AM122" s="375"/>
      <c r="AN122" s="375"/>
      <c r="AO122" s="375"/>
      <c r="AP122" s="375"/>
      <c r="AQ122" s="375"/>
      <c r="AR122" s="375"/>
      <c r="AS122" s="375"/>
      <c r="AT122" s="375"/>
      <c r="AU122" s="375"/>
      <c r="AV122" s="375"/>
      <c r="AW122" s="375"/>
      <c r="AX122" s="331"/>
    </row>
    <row r="123" spans="1:54" x14ac:dyDescent="0.2">
      <c r="A123" s="1050"/>
      <c r="B123" s="1019"/>
      <c r="C123" s="1051"/>
      <c r="D123" s="1040"/>
      <c r="E123" s="1270"/>
      <c r="F123" s="1267"/>
      <c r="G123" s="1115"/>
      <c r="H123" s="1104"/>
      <c r="I123" s="1045"/>
      <c r="J123" s="377"/>
      <c r="K123" s="482"/>
      <c r="L123" s="482"/>
      <c r="M123" s="851"/>
      <c r="N123" s="663"/>
      <c r="O123" s="383"/>
      <c r="P123" s="1008"/>
      <c r="Q123" s="1009"/>
      <c r="R123" s="375"/>
      <c r="S123" s="376"/>
      <c r="T123" s="375"/>
      <c r="U123" s="625"/>
      <c r="V123" s="560"/>
      <c r="W123" s="606"/>
      <c r="X123" s="377"/>
      <c r="Y123" s="606"/>
      <c r="Z123" s="377"/>
      <c r="AA123" s="606"/>
      <c r="AB123" s="707"/>
      <c r="AC123" s="331"/>
      <c r="AD123" s="383"/>
      <c r="AE123" s="375"/>
      <c r="AF123" s="383"/>
      <c r="AG123" s="375"/>
      <c r="AH123" s="383"/>
      <c r="AI123" s="375"/>
      <c r="AJ123" s="383"/>
      <c r="AK123" s="375"/>
      <c r="AL123" s="375"/>
      <c r="AM123" s="375"/>
      <c r="AN123" s="375"/>
      <c r="AO123" s="375"/>
      <c r="AP123" s="375"/>
      <c r="AQ123" s="375"/>
      <c r="AR123" s="375"/>
      <c r="AS123" s="375"/>
      <c r="AT123" s="375"/>
      <c r="AU123" s="375"/>
      <c r="AV123" s="375"/>
      <c r="AW123" s="375"/>
      <c r="AX123" s="331"/>
    </row>
    <row r="124" spans="1:54" x14ac:dyDescent="0.2">
      <c r="A124" s="1050"/>
      <c r="B124" s="1019"/>
      <c r="C124" s="1051"/>
      <c r="D124" s="1040"/>
      <c r="E124" s="1270"/>
      <c r="F124" s="1267"/>
      <c r="G124" s="1115"/>
      <c r="H124" s="1104"/>
      <c r="I124" s="1045"/>
      <c r="J124" s="377"/>
      <c r="K124" s="482"/>
      <c r="L124" s="482"/>
      <c r="M124" s="851"/>
      <c r="N124" s="663"/>
      <c r="O124" s="383"/>
      <c r="P124" s="1008"/>
      <c r="Q124" s="1009"/>
      <c r="R124" s="375"/>
      <c r="S124" s="376"/>
      <c r="T124" s="375"/>
      <c r="U124" s="625"/>
      <c r="V124" s="560"/>
      <c r="W124" s="606"/>
      <c r="X124" s="377"/>
      <c r="Y124" s="606"/>
      <c r="Z124" s="377"/>
      <c r="AA124" s="606"/>
      <c r="AB124" s="707"/>
      <c r="AC124" s="331"/>
      <c r="AD124" s="383"/>
      <c r="AE124" s="375"/>
      <c r="AF124" s="383"/>
      <c r="AG124" s="375"/>
      <c r="AH124" s="383"/>
      <c r="AI124" s="375"/>
      <c r="AJ124" s="383"/>
      <c r="AK124" s="375"/>
      <c r="AL124" s="375"/>
      <c r="AM124" s="375"/>
      <c r="AN124" s="375"/>
      <c r="AO124" s="375"/>
      <c r="AP124" s="375"/>
      <c r="AQ124" s="375"/>
      <c r="AR124" s="375"/>
      <c r="AS124" s="375"/>
      <c r="AT124" s="375"/>
      <c r="AU124" s="375"/>
      <c r="AV124" s="375"/>
      <c r="AW124" s="375"/>
      <c r="AX124" s="331"/>
    </row>
    <row r="125" spans="1:54" x14ac:dyDescent="0.2">
      <c r="A125" s="1050"/>
      <c r="B125" s="1019"/>
      <c r="C125" s="1051"/>
      <c r="D125" s="1040"/>
      <c r="E125" s="1270"/>
      <c r="F125" s="1267"/>
      <c r="G125" s="1115"/>
      <c r="H125" s="1104"/>
      <c r="I125" s="1045"/>
      <c r="J125" s="377"/>
      <c r="K125" s="482"/>
      <c r="L125" s="482"/>
      <c r="M125" s="851"/>
      <c r="N125" s="663"/>
      <c r="O125" s="383"/>
      <c r="P125" s="1008"/>
      <c r="Q125" s="1009"/>
      <c r="R125" s="375"/>
      <c r="S125" s="376"/>
      <c r="T125" s="375"/>
      <c r="U125" s="625"/>
      <c r="V125" s="560"/>
      <c r="W125" s="606"/>
      <c r="X125" s="377"/>
      <c r="Y125" s="606"/>
      <c r="Z125" s="377"/>
      <c r="AA125" s="606"/>
      <c r="AB125" s="707"/>
      <c r="AC125" s="331"/>
      <c r="AD125" s="383"/>
      <c r="AE125" s="375"/>
      <c r="AF125" s="383"/>
      <c r="AG125" s="375"/>
      <c r="AH125" s="383"/>
      <c r="AI125" s="375"/>
      <c r="AJ125" s="383"/>
      <c r="AK125" s="375"/>
      <c r="AL125" s="375"/>
      <c r="AM125" s="375"/>
      <c r="AN125" s="375"/>
      <c r="AO125" s="375"/>
      <c r="AP125" s="375"/>
      <c r="AQ125" s="375"/>
      <c r="AR125" s="375"/>
      <c r="AS125" s="375"/>
      <c r="AT125" s="375"/>
      <c r="AU125" s="375"/>
      <c r="AV125" s="375"/>
      <c r="AW125" s="375"/>
      <c r="AX125" s="331"/>
    </row>
    <row r="126" spans="1:54" x14ac:dyDescent="0.2">
      <c r="A126" s="1050"/>
      <c r="B126" s="1019"/>
      <c r="C126" s="1051"/>
      <c r="D126" s="1040"/>
      <c r="E126" s="1270"/>
      <c r="F126" s="1267"/>
      <c r="G126" s="1115"/>
      <c r="H126" s="1104"/>
      <c r="I126" s="1045"/>
      <c r="J126" s="377"/>
      <c r="K126" s="482"/>
      <c r="L126" s="482"/>
      <c r="M126" s="851"/>
      <c r="N126" s="663"/>
      <c r="O126" s="383"/>
      <c r="P126" s="1008"/>
      <c r="Q126" s="1009"/>
      <c r="R126" s="375"/>
      <c r="S126" s="376"/>
      <c r="T126" s="375"/>
      <c r="U126" s="625"/>
      <c r="V126" s="560"/>
      <c r="W126" s="606"/>
      <c r="X126" s="377"/>
      <c r="Y126" s="606"/>
      <c r="Z126" s="377"/>
      <c r="AA126" s="606"/>
      <c r="AB126" s="707"/>
      <c r="AC126" s="331"/>
      <c r="AD126" s="383"/>
      <c r="AE126" s="375"/>
      <c r="AF126" s="383"/>
      <c r="AG126" s="375"/>
      <c r="AH126" s="383"/>
      <c r="AI126" s="375"/>
      <c r="AJ126" s="383"/>
      <c r="AK126" s="375"/>
      <c r="AL126" s="375"/>
      <c r="AM126" s="375"/>
      <c r="AN126" s="375"/>
      <c r="AO126" s="375"/>
      <c r="AP126" s="375"/>
      <c r="AQ126" s="375"/>
      <c r="AR126" s="375"/>
      <c r="AS126" s="375"/>
      <c r="AT126" s="375"/>
      <c r="AU126" s="375"/>
      <c r="AV126" s="375"/>
      <c r="AW126" s="375"/>
      <c r="AX126" s="331"/>
    </row>
    <row r="127" spans="1:54" x14ac:dyDescent="0.2">
      <c r="A127" s="1050"/>
      <c r="B127" s="1019"/>
      <c r="C127" s="1051"/>
      <c r="D127" s="1040"/>
      <c r="E127" s="1270"/>
      <c r="F127" s="1267"/>
      <c r="G127" s="1115"/>
      <c r="H127" s="1104"/>
      <c r="I127" s="1045"/>
      <c r="J127" s="377"/>
      <c r="K127" s="482"/>
      <c r="L127" s="482"/>
      <c r="M127" s="851"/>
      <c r="N127" s="663"/>
      <c r="O127" s="383"/>
      <c r="P127" s="1008"/>
      <c r="Q127" s="1009"/>
      <c r="R127" s="375"/>
      <c r="S127" s="376"/>
      <c r="T127" s="375"/>
      <c r="U127" s="625"/>
      <c r="V127" s="560"/>
      <c r="W127" s="606"/>
      <c r="X127" s="377"/>
      <c r="Y127" s="606"/>
      <c r="Z127" s="377"/>
      <c r="AA127" s="606"/>
      <c r="AB127" s="707"/>
      <c r="AC127" s="331"/>
      <c r="AD127" s="383"/>
      <c r="AE127" s="375"/>
      <c r="AF127" s="383"/>
      <c r="AG127" s="375"/>
      <c r="AH127" s="383"/>
      <c r="AI127" s="375"/>
      <c r="AJ127" s="383"/>
      <c r="AK127" s="375"/>
      <c r="AL127" s="375"/>
      <c r="AM127" s="375"/>
      <c r="AN127" s="375"/>
      <c r="AO127" s="375"/>
      <c r="AP127" s="375"/>
      <c r="AQ127" s="375"/>
      <c r="AR127" s="375"/>
      <c r="AS127" s="375"/>
      <c r="AT127" s="375"/>
      <c r="AU127" s="375"/>
      <c r="AV127" s="375"/>
      <c r="AW127" s="375"/>
      <c r="AX127" s="331"/>
    </row>
    <row r="128" spans="1:54" x14ac:dyDescent="0.2">
      <c r="A128" s="1050"/>
      <c r="B128" s="1019"/>
      <c r="C128" s="1051"/>
      <c r="D128" s="1040"/>
      <c r="E128" s="1270"/>
      <c r="F128" s="1267"/>
      <c r="G128" s="1115"/>
      <c r="H128" s="1104"/>
      <c r="I128" s="1045"/>
      <c r="J128" s="377"/>
      <c r="K128" s="482"/>
      <c r="L128" s="482"/>
      <c r="M128" s="851"/>
      <c r="N128" s="663"/>
      <c r="O128" s="383"/>
      <c r="P128" s="1008"/>
      <c r="Q128" s="1009"/>
      <c r="R128" s="375"/>
      <c r="S128" s="376"/>
      <c r="T128" s="375"/>
      <c r="U128" s="625"/>
      <c r="V128" s="560"/>
      <c r="W128" s="606"/>
      <c r="X128" s="377"/>
      <c r="Y128" s="606"/>
      <c r="Z128" s="377"/>
      <c r="AA128" s="606"/>
      <c r="AB128" s="707"/>
      <c r="AC128" s="331"/>
      <c r="AD128" s="383"/>
      <c r="AE128" s="375"/>
      <c r="AF128" s="383"/>
      <c r="AG128" s="375"/>
      <c r="AH128" s="383"/>
      <c r="AI128" s="375"/>
      <c r="AJ128" s="383"/>
      <c r="AK128" s="375"/>
      <c r="AL128" s="375"/>
      <c r="AM128" s="375"/>
      <c r="AN128" s="375"/>
      <c r="AO128" s="375"/>
      <c r="AP128" s="375"/>
      <c r="AQ128" s="375"/>
      <c r="AR128" s="375"/>
      <c r="AS128" s="375"/>
      <c r="AT128" s="375"/>
      <c r="AU128" s="375"/>
      <c r="AV128" s="375"/>
      <c r="AW128" s="375"/>
      <c r="AX128" s="331"/>
    </row>
    <row r="129" spans="1:50" x14ac:dyDescent="0.2">
      <c r="A129" s="1050"/>
      <c r="B129" s="1019"/>
      <c r="C129" s="1051"/>
      <c r="D129" s="1040"/>
      <c r="E129" s="1270"/>
      <c r="F129" s="1267"/>
      <c r="G129" s="1115"/>
      <c r="H129" s="1104"/>
      <c r="I129" s="1045"/>
      <c r="J129" s="377"/>
      <c r="K129" s="482"/>
      <c r="L129" s="482"/>
      <c r="M129" s="851"/>
      <c r="N129" s="663"/>
      <c r="O129" s="383"/>
      <c r="P129" s="1008"/>
      <c r="Q129" s="1009"/>
      <c r="R129" s="375"/>
      <c r="S129" s="376"/>
      <c r="T129" s="375"/>
      <c r="U129" s="625"/>
      <c r="V129" s="560"/>
      <c r="W129" s="606"/>
      <c r="X129" s="377"/>
      <c r="Y129" s="606"/>
      <c r="Z129" s="377"/>
      <c r="AA129" s="606"/>
      <c r="AB129" s="707"/>
      <c r="AC129" s="331"/>
      <c r="AD129" s="383"/>
      <c r="AE129" s="375"/>
      <c r="AF129" s="383"/>
      <c r="AG129" s="375"/>
      <c r="AH129" s="383"/>
      <c r="AI129" s="375"/>
      <c r="AJ129" s="383"/>
      <c r="AK129" s="375"/>
      <c r="AL129" s="375"/>
      <c r="AM129" s="375"/>
      <c r="AN129" s="375"/>
      <c r="AO129" s="375"/>
      <c r="AP129" s="375"/>
      <c r="AQ129" s="375"/>
      <c r="AR129" s="375"/>
      <c r="AS129" s="375"/>
      <c r="AT129" s="375"/>
      <c r="AU129" s="375"/>
      <c r="AV129" s="375"/>
      <c r="AW129" s="375"/>
      <c r="AX129" s="331"/>
    </row>
    <row r="130" spans="1:50" x14ac:dyDescent="0.2">
      <c r="A130" s="1050"/>
      <c r="B130" s="1067"/>
      <c r="C130" s="1051"/>
      <c r="D130" s="1040"/>
      <c r="E130" s="1270"/>
      <c r="F130" s="1267"/>
      <c r="G130" s="1115"/>
      <c r="H130" s="1104"/>
      <c r="I130" s="1045"/>
      <c r="J130" s="377"/>
      <c r="K130" s="482"/>
      <c r="L130" s="482"/>
      <c r="M130" s="851"/>
      <c r="N130" s="663"/>
      <c r="O130" s="383"/>
      <c r="P130" s="1008"/>
      <c r="Q130" s="1009"/>
      <c r="R130" s="375"/>
      <c r="S130" s="376"/>
      <c r="T130" s="375"/>
      <c r="U130" s="625"/>
      <c r="V130" s="560"/>
      <c r="W130" s="606"/>
      <c r="X130" s="377"/>
      <c r="Y130" s="606"/>
      <c r="Z130" s="377"/>
      <c r="AA130" s="606"/>
      <c r="AB130" s="707"/>
      <c r="AC130" s="331"/>
      <c r="AD130" s="383"/>
      <c r="AE130" s="375"/>
      <c r="AF130" s="383"/>
      <c r="AG130" s="375"/>
      <c r="AH130" s="383"/>
      <c r="AI130" s="375"/>
      <c r="AJ130" s="383"/>
      <c r="AK130" s="375"/>
      <c r="AL130" s="375"/>
      <c r="AM130" s="375"/>
      <c r="AN130" s="375"/>
      <c r="AO130" s="375"/>
      <c r="AP130" s="375"/>
      <c r="AQ130" s="375"/>
      <c r="AR130" s="375"/>
      <c r="AS130" s="375"/>
      <c r="AT130" s="375"/>
      <c r="AU130" s="375"/>
      <c r="AV130" s="375"/>
      <c r="AW130" s="375"/>
      <c r="AX130" s="331"/>
    </row>
    <row r="131" spans="1:50" x14ac:dyDescent="0.2">
      <c r="A131" s="1050"/>
      <c r="B131" s="1019"/>
      <c r="C131" s="1051"/>
      <c r="D131" s="1040"/>
      <c r="E131" s="1270"/>
      <c r="F131" s="1267"/>
      <c r="G131" s="1115"/>
      <c r="H131" s="1104"/>
      <c r="I131" s="1045"/>
      <c r="J131" s="377"/>
      <c r="K131" s="482"/>
      <c r="L131" s="482"/>
      <c r="M131" s="851"/>
      <c r="N131" s="663"/>
      <c r="O131" s="383"/>
      <c r="P131" s="1008"/>
      <c r="Q131" s="1009"/>
      <c r="R131" s="375"/>
      <c r="S131" s="376"/>
      <c r="T131" s="375"/>
      <c r="U131" s="625"/>
      <c r="V131" s="560"/>
      <c r="W131" s="606"/>
      <c r="X131" s="377"/>
      <c r="Y131" s="606"/>
      <c r="Z131" s="377"/>
      <c r="AA131" s="606"/>
      <c r="AB131" s="707"/>
      <c r="AC131" s="331"/>
      <c r="AD131" s="383"/>
      <c r="AE131" s="375"/>
      <c r="AF131" s="383"/>
      <c r="AG131" s="375"/>
      <c r="AH131" s="383"/>
      <c r="AI131" s="375"/>
      <c r="AJ131" s="383"/>
      <c r="AK131" s="375"/>
      <c r="AL131" s="375"/>
      <c r="AM131" s="375"/>
      <c r="AN131" s="375"/>
      <c r="AO131" s="375"/>
      <c r="AP131" s="375"/>
      <c r="AQ131" s="375"/>
      <c r="AR131" s="375"/>
      <c r="AS131" s="375"/>
      <c r="AT131" s="375"/>
      <c r="AU131" s="375"/>
      <c r="AV131" s="375"/>
      <c r="AW131" s="375"/>
      <c r="AX131" s="331"/>
    </row>
    <row r="132" spans="1:50" x14ac:dyDescent="0.2">
      <c r="A132" s="1050"/>
      <c r="B132" s="1019"/>
      <c r="C132" s="1051"/>
      <c r="D132" s="1040"/>
      <c r="E132" s="1270"/>
      <c r="F132" s="1267"/>
      <c r="G132" s="1115"/>
      <c r="H132" s="1104"/>
      <c r="I132" s="1045"/>
      <c r="J132" s="377"/>
      <c r="K132" s="482"/>
      <c r="L132" s="482"/>
      <c r="M132" s="851"/>
      <c r="N132" s="663"/>
      <c r="O132" s="383"/>
      <c r="P132" s="1008"/>
      <c r="Q132" s="1009"/>
      <c r="R132" s="375"/>
      <c r="S132" s="376"/>
      <c r="T132" s="375"/>
      <c r="U132" s="625"/>
      <c r="V132" s="560"/>
      <c r="W132" s="606"/>
      <c r="X132" s="377"/>
      <c r="Y132" s="606"/>
      <c r="Z132" s="377"/>
      <c r="AA132" s="606"/>
      <c r="AB132" s="707"/>
      <c r="AC132" s="331"/>
      <c r="AD132" s="383"/>
      <c r="AE132" s="375"/>
      <c r="AF132" s="383"/>
      <c r="AG132" s="375"/>
      <c r="AH132" s="383"/>
      <c r="AI132" s="375"/>
      <c r="AJ132" s="383"/>
      <c r="AK132" s="375"/>
      <c r="AL132" s="375"/>
      <c r="AM132" s="375"/>
      <c r="AN132" s="375"/>
      <c r="AO132" s="375"/>
      <c r="AP132" s="375"/>
      <c r="AQ132" s="375"/>
      <c r="AR132" s="375"/>
      <c r="AS132" s="375"/>
      <c r="AT132" s="375"/>
      <c r="AU132" s="375"/>
      <c r="AV132" s="375"/>
      <c r="AW132" s="375"/>
      <c r="AX132" s="331"/>
    </row>
    <row r="133" spans="1:50" x14ac:dyDescent="0.2">
      <c r="A133" s="1050"/>
      <c r="B133" s="1019"/>
      <c r="C133" s="1051"/>
      <c r="D133" s="1040"/>
      <c r="E133" s="1270"/>
      <c r="F133" s="1267"/>
      <c r="G133" s="1115"/>
      <c r="H133" s="1104"/>
      <c r="I133" s="1045"/>
      <c r="J133" s="377"/>
      <c r="K133" s="482"/>
      <c r="L133" s="482"/>
      <c r="M133" s="851"/>
      <c r="N133" s="663"/>
      <c r="O133" s="383"/>
      <c r="P133" s="1008"/>
      <c r="Q133" s="1009"/>
      <c r="R133" s="375"/>
      <c r="S133" s="376"/>
      <c r="T133" s="375"/>
      <c r="U133" s="625"/>
      <c r="V133" s="560"/>
      <c r="W133" s="606"/>
      <c r="X133" s="377"/>
      <c r="Y133" s="606"/>
      <c r="Z133" s="377"/>
      <c r="AA133" s="606"/>
      <c r="AB133" s="707"/>
      <c r="AC133" s="331"/>
      <c r="AD133" s="383"/>
      <c r="AE133" s="375"/>
      <c r="AF133" s="383"/>
      <c r="AG133" s="375"/>
      <c r="AH133" s="383"/>
      <c r="AI133" s="375"/>
      <c r="AJ133" s="383"/>
      <c r="AK133" s="375"/>
      <c r="AL133" s="375"/>
      <c r="AM133" s="375"/>
      <c r="AN133" s="375"/>
      <c r="AO133" s="375"/>
      <c r="AP133" s="375"/>
      <c r="AQ133" s="375"/>
      <c r="AR133" s="375"/>
      <c r="AS133" s="375"/>
      <c r="AT133" s="375"/>
      <c r="AU133" s="375"/>
      <c r="AV133" s="375"/>
      <c r="AW133" s="375"/>
      <c r="AX133" s="331"/>
    </row>
    <row r="134" spans="1:50" x14ac:dyDescent="0.2">
      <c r="A134" s="1050"/>
      <c r="B134" s="1019"/>
      <c r="C134" s="1051"/>
      <c r="D134" s="1040"/>
      <c r="E134" s="1270"/>
      <c r="F134" s="1267"/>
      <c r="G134" s="1115"/>
      <c r="H134" s="1104"/>
      <c r="I134" s="1045"/>
      <c r="J134" s="377"/>
      <c r="K134" s="482"/>
      <c r="L134" s="482"/>
      <c r="M134" s="851"/>
      <c r="N134" s="663"/>
      <c r="O134" s="383"/>
      <c r="P134" s="1008"/>
      <c r="Q134" s="1009"/>
      <c r="R134" s="375"/>
      <c r="S134" s="376"/>
      <c r="T134" s="375"/>
      <c r="U134" s="625"/>
      <c r="V134" s="560"/>
      <c r="W134" s="606"/>
      <c r="X134" s="377"/>
      <c r="Y134" s="606"/>
      <c r="Z134" s="377"/>
      <c r="AA134" s="606"/>
      <c r="AB134" s="707"/>
      <c r="AC134" s="331"/>
      <c r="AD134" s="383"/>
      <c r="AE134" s="375"/>
      <c r="AF134" s="383"/>
      <c r="AG134" s="375"/>
      <c r="AH134" s="383"/>
      <c r="AI134" s="375"/>
      <c r="AJ134" s="383"/>
      <c r="AK134" s="375"/>
      <c r="AL134" s="375"/>
      <c r="AM134" s="375"/>
      <c r="AN134" s="375"/>
      <c r="AO134" s="375"/>
      <c r="AP134" s="375"/>
      <c r="AQ134" s="375"/>
      <c r="AR134" s="375"/>
      <c r="AS134" s="375"/>
      <c r="AT134" s="375"/>
      <c r="AU134" s="375"/>
      <c r="AV134" s="375"/>
      <c r="AW134" s="375"/>
      <c r="AX134" s="331"/>
    </row>
    <row r="135" spans="1:50" x14ac:dyDescent="0.2">
      <c r="A135" s="1050"/>
      <c r="B135" s="1019"/>
      <c r="C135" s="1051"/>
      <c r="D135" s="1040"/>
      <c r="E135" s="1270"/>
      <c r="F135" s="1267"/>
      <c r="G135" s="1115"/>
      <c r="H135" s="1104"/>
      <c r="I135" s="1045"/>
      <c r="J135" s="377"/>
      <c r="K135" s="482"/>
      <c r="L135" s="482"/>
      <c r="M135" s="851"/>
      <c r="N135" s="663"/>
      <c r="O135" s="383"/>
      <c r="P135" s="1008"/>
      <c r="Q135" s="1009"/>
      <c r="R135" s="375"/>
      <c r="S135" s="376"/>
      <c r="T135" s="375"/>
      <c r="U135" s="625"/>
      <c r="V135" s="560"/>
      <c r="W135" s="606"/>
      <c r="X135" s="377"/>
      <c r="Y135" s="606"/>
      <c r="Z135" s="377"/>
      <c r="AA135" s="606"/>
      <c r="AB135" s="707"/>
      <c r="AC135" s="331"/>
      <c r="AD135" s="383"/>
      <c r="AE135" s="375"/>
      <c r="AF135" s="383"/>
      <c r="AG135" s="375"/>
      <c r="AH135" s="383"/>
      <c r="AI135" s="375"/>
      <c r="AJ135" s="383"/>
      <c r="AK135" s="375"/>
      <c r="AL135" s="375"/>
      <c r="AM135" s="375"/>
      <c r="AN135" s="375"/>
      <c r="AO135" s="375"/>
      <c r="AP135" s="375"/>
      <c r="AQ135" s="375"/>
      <c r="AR135" s="375"/>
      <c r="AS135" s="375"/>
      <c r="AT135" s="375"/>
      <c r="AU135" s="375"/>
      <c r="AV135" s="375"/>
      <c r="AW135" s="375"/>
      <c r="AX135" s="331"/>
    </row>
    <row r="136" spans="1:50" x14ac:dyDescent="0.2">
      <c r="A136" s="1050"/>
      <c r="B136" s="1019"/>
      <c r="C136" s="1051"/>
      <c r="D136" s="1040"/>
      <c r="E136" s="1270"/>
      <c r="F136" s="1267"/>
      <c r="G136" s="1115"/>
      <c r="H136" s="1104"/>
      <c r="I136" s="1045"/>
      <c r="J136" s="377"/>
      <c r="K136" s="482"/>
      <c r="L136" s="482"/>
      <c r="M136" s="851"/>
      <c r="N136" s="663"/>
      <c r="O136" s="383"/>
      <c r="P136" s="1008"/>
      <c r="Q136" s="1009"/>
      <c r="R136" s="375"/>
      <c r="S136" s="376"/>
      <c r="T136" s="375"/>
      <c r="U136" s="625"/>
      <c r="V136" s="560"/>
      <c r="W136" s="606"/>
      <c r="X136" s="377"/>
      <c r="Y136" s="606"/>
      <c r="Z136" s="377"/>
      <c r="AA136" s="606"/>
      <c r="AB136" s="707"/>
      <c r="AC136" s="331"/>
      <c r="AD136" s="383"/>
      <c r="AE136" s="375"/>
      <c r="AF136" s="383"/>
      <c r="AG136" s="375"/>
      <c r="AH136" s="383"/>
      <c r="AI136" s="375"/>
      <c r="AJ136" s="383"/>
      <c r="AK136" s="375"/>
      <c r="AL136" s="375"/>
      <c r="AM136" s="375"/>
      <c r="AN136" s="375"/>
      <c r="AO136" s="375"/>
      <c r="AP136" s="375"/>
      <c r="AQ136" s="375"/>
      <c r="AR136" s="375"/>
      <c r="AS136" s="375"/>
      <c r="AT136" s="375"/>
      <c r="AU136" s="375"/>
      <c r="AV136" s="375"/>
      <c r="AW136" s="375"/>
      <c r="AX136" s="331"/>
    </row>
    <row r="137" spans="1:50" x14ac:dyDescent="0.2">
      <c r="A137" s="1050"/>
      <c r="B137" s="1019"/>
      <c r="C137" s="1051"/>
      <c r="D137" s="1040"/>
      <c r="E137" s="1270"/>
      <c r="F137" s="1267"/>
      <c r="G137" s="1115"/>
      <c r="H137" s="1104"/>
      <c r="I137" s="1045"/>
      <c r="J137" s="377"/>
      <c r="K137" s="482"/>
      <c r="L137" s="482"/>
      <c r="M137" s="851"/>
      <c r="N137" s="663"/>
      <c r="O137" s="383"/>
      <c r="P137" s="1008"/>
      <c r="Q137" s="1009"/>
      <c r="R137" s="1324"/>
      <c r="S137" s="1325"/>
      <c r="T137" s="375"/>
      <c r="U137" s="625"/>
      <c r="V137" s="560"/>
      <c r="W137" s="606"/>
      <c r="X137" s="377"/>
      <c r="Y137" s="606"/>
      <c r="Z137" s="377"/>
      <c r="AA137" s="606"/>
      <c r="AB137" s="707"/>
      <c r="AC137" s="331"/>
      <c r="AD137" s="383"/>
      <c r="AE137" s="375"/>
      <c r="AF137" s="383"/>
      <c r="AG137" s="375"/>
      <c r="AH137" s="383"/>
      <c r="AI137" s="375"/>
      <c r="AJ137" s="383"/>
      <c r="AK137" s="375"/>
      <c r="AL137" s="375"/>
      <c r="AM137" s="375"/>
      <c r="AN137" s="375"/>
      <c r="AO137" s="375"/>
      <c r="AP137" s="375"/>
      <c r="AQ137" s="375"/>
      <c r="AR137" s="375"/>
      <c r="AS137" s="375"/>
      <c r="AT137" s="375"/>
      <c r="AU137" s="375"/>
      <c r="AV137" s="375"/>
      <c r="AW137" s="375"/>
      <c r="AX137" s="331"/>
    </row>
    <row r="138" spans="1:50" x14ac:dyDescent="0.2">
      <c r="A138" s="1050"/>
      <c r="B138" s="1019"/>
      <c r="C138" s="1051"/>
      <c r="D138" s="1040"/>
      <c r="E138" s="1270"/>
      <c r="F138" s="1267"/>
      <c r="G138" s="1115"/>
      <c r="H138" s="1104"/>
      <c r="I138" s="1045"/>
      <c r="J138" s="377"/>
      <c r="K138" s="482"/>
      <c r="L138" s="482"/>
      <c r="M138" s="851"/>
      <c r="N138" s="663"/>
      <c r="O138" s="383"/>
      <c r="P138" s="1008"/>
      <c r="Q138" s="1009"/>
      <c r="R138" s="1324"/>
      <c r="S138" s="1325"/>
      <c r="T138" s="375"/>
      <c r="U138" s="625"/>
      <c r="V138" s="560"/>
      <c r="W138" s="606"/>
      <c r="X138" s="377"/>
      <c r="Y138" s="606"/>
      <c r="Z138" s="377"/>
      <c r="AA138" s="606"/>
      <c r="AB138" s="707"/>
      <c r="AC138" s="331"/>
      <c r="AD138" s="383"/>
      <c r="AE138" s="375"/>
      <c r="AF138" s="383"/>
      <c r="AG138" s="375"/>
      <c r="AH138" s="383"/>
      <c r="AI138" s="375"/>
      <c r="AJ138" s="383"/>
      <c r="AK138" s="375"/>
      <c r="AL138" s="375"/>
      <c r="AM138" s="375"/>
      <c r="AN138" s="375"/>
      <c r="AO138" s="375"/>
      <c r="AP138" s="375"/>
      <c r="AQ138" s="375"/>
      <c r="AR138" s="375"/>
      <c r="AS138" s="375"/>
      <c r="AT138" s="375"/>
      <c r="AU138" s="375"/>
      <c r="AV138" s="375"/>
      <c r="AW138" s="375"/>
      <c r="AX138" s="331"/>
    </row>
    <row r="139" spans="1:50" x14ac:dyDescent="0.2">
      <c r="A139" s="1050"/>
      <c r="B139" s="1019"/>
      <c r="C139" s="1051"/>
      <c r="D139" s="1040"/>
      <c r="E139" s="1270"/>
      <c r="F139" s="1267"/>
      <c r="G139" s="1115"/>
      <c r="H139" s="1104"/>
      <c r="I139" s="1045"/>
      <c r="J139" s="377"/>
      <c r="K139" s="482"/>
      <c r="L139" s="482"/>
      <c r="M139" s="851"/>
      <c r="N139" s="663"/>
      <c r="O139" s="383"/>
      <c r="P139" s="1008"/>
      <c r="Q139" s="1009"/>
      <c r="R139" s="1324"/>
      <c r="S139" s="1325"/>
      <c r="T139" s="375"/>
      <c r="U139" s="625"/>
      <c r="V139" s="560"/>
      <c r="W139" s="606"/>
      <c r="X139" s="377"/>
      <c r="Y139" s="606"/>
      <c r="Z139" s="377"/>
      <c r="AA139" s="606"/>
      <c r="AB139" s="707"/>
      <c r="AC139" s="331"/>
      <c r="AD139" s="383"/>
      <c r="AE139" s="375"/>
      <c r="AF139" s="383"/>
      <c r="AG139" s="375"/>
      <c r="AH139" s="383"/>
      <c r="AI139" s="375"/>
      <c r="AJ139" s="383"/>
      <c r="AK139" s="375"/>
      <c r="AL139" s="375"/>
      <c r="AM139" s="375"/>
      <c r="AN139" s="375"/>
      <c r="AO139" s="375"/>
      <c r="AP139" s="375"/>
      <c r="AQ139" s="375"/>
      <c r="AR139" s="375"/>
      <c r="AS139" s="375"/>
      <c r="AT139" s="375"/>
      <c r="AU139" s="375"/>
      <c r="AV139" s="375"/>
      <c r="AW139" s="375"/>
      <c r="AX139" s="331"/>
    </row>
    <row r="140" spans="1:50" x14ac:dyDescent="0.2">
      <c r="A140" s="1050"/>
      <c r="B140" s="1019"/>
      <c r="C140" s="1051"/>
      <c r="D140" s="1040"/>
      <c r="E140" s="1270"/>
      <c r="F140" s="1267"/>
      <c r="G140" s="1115"/>
      <c r="H140" s="1104"/>
      <c r="I140" s="1045"/>
      <c r="J140" s="377"/>
      <c r="K140" s="482"/>
      <c r="L140" s="482"/>
      <c r="M140" s="851"/>
      <c r="N140" s="663"/>
      <c r="O140" s="383"/>
      <c r="P140" s="1008"/>
      <c r="Q140" s="1009"/>
      <c r="R140" s="375"/>
      <c r="S140" s="376"/>
      <c r="T140" s="375"/>
      <c r="U140" s="625"/>
      <c r="V140" s="560"/>
      <c r="W140" s="606"/>
      <c r="X140" s="377"/>
      <c r="Y140" s="606"/>
      <c r="Z140" s="377"/>
      <c r="AA140" s="606"/>
      <c r="AB140" s="707"/>
      <c r="AC140" s="331"/>
      <c r="AD140" s="383"/>
      <c r="AE140" s="375"/>
      <c r="AF140" s="383"/>
      <c r="AG140" s="375"/>
      <c r="AH140" s="383"/>
      <c r="AI140" s="375"/>
      <c r="AJ140" s="383"/>
      <c r="AK140" s="375"/>
      <c r="AL140" s="375"/>
      <c r="AM140" s="375"/>
      <c r="AN140" s="375"/>
      <c r="AO140" s="375"/>
      <c r="AP140" s="375"/>
      <c r="AQ140" s="375"/>
      <c r="AR140" s="375"/>
      <c r="AS140" s="375"/>
      <c r="AT140" s="375"/>
      <c r="AU140" s="375"/>
      <c r="AV140" s="375"/>
      <c r="AW140" s="375"/>
      <c r="AX140" s="331"/>
    </row>
    <row r="141" spans="1:50" x14ac:dyDescent="0.2">
      <c r="A141" s="1050"/>
      <c r="B141" s="1019"/>
      <c r="C141" s="1051"/>
      <c r="D141" s="1040"/>
      <c r="E141" s="1270"/>
      <c r="F141" s="1267"/>
      <c r="G141" s="1115"/>
      <c r="H141" s="1104"/>
      <c r="I141" s="1045"/>
      <c r="J141" s="377"/>
      <c r="K141" s="482"/>
      <c r="L141" s="482"/>
      <c r="M141" s="851"/>
      <c r="N141" s="663"/>
      <c r="O141" s="383"/>
      <c r="P141" s="1008"/>
      <c r="Q141" s="1009"/>
      <c r="R141" s="375"/>
      <c r="S141" s="376"/>
      <c r="T141" s="375"/>
      <c r="U141" s="625"/>
      <c r="V141" s="560"/>
      <c r="W141" s="606"/>
      <c r="X141" s="377"/>
      <c r="Y141" s="606"/>
      <c r="Z141" s="377"/>
      <c r="AA141" s="606"/>
      <c r="AB141" s="707"/>
      <c r="AC141" s="331"/>
      <c r="AD141" s="383"/>
      <c r="AE141" s="375"/>
      <c r="AF141" s="383"/>
      <c r="AG141" s="375"/>
      <c r="AH141" s="383"/>
      <c r="AI141" s="375"/>
      <c r="AJ141" s="383"/>
      <c r="AK141" s="375"/>
      <c r="AL141" s="375"/>
      <c r="AM141" s="375"/>
      <c r="AN141" s="375"/>
      <c r="AO141" s="375"/>
      <c r="AP141" s="375"/>
      <c r="AQ141" s="375"/>
      <c r="AR141" s="375"/>
      <c r="AS141" s="375"/>
      <c r="AT141" s="375"/>
      <c r="AU141" s="375"/>
      <c r="AV141" s="375"/>
      <c r="AW141" s="375"/>
      <c r="AX141" s="331"/>
    </row>
    <row r="142" spans="1:50" x14ac:dyDescent="0.2">
      <c r="A142" s="1050"/>
      <c r="B142" s="1019"/>
      <c r="C142" s="1051"/>
      <c r="D142" s="1040"/>
      <c r="E142" s="1270"/>
      <c r="F142" s="1267"/>
      <c r="G142" s="1115"/>
      <c r="H142" s="1104"/>
      <c r="I142" s="1045"/>
      <c r="J142" s="377"/>
      <c r="K142" s="482"/>
      <c r="L142" s="482"/>
      <c r="M142" s="851"/>
      <c r="N142" s="663"/>
      <c r="O142" s="383"/>
      <c r="P142" s="1008"/>
      <c r="Q142" s="1009"/>
      <c r="R142" s="375"/>
      <c r="S142" s="376"/>
      <c r="T142" s="375"/>
      <c r="U142" s="625"/>
      <c r="V142" s="560"/>
      <c r="W142" s="606"/>
      <c r="X142" s="377"/>
      <c r="Y142" s="606"/>
      <c r="Z142" s="377"/>
      <c r="AA142" s="606"/>
      <c r="AB142" s="707"/>
      <c r="AC142" s="331"/>
      <c r="AD142" s="383"/>
      <c r="AE142" s="375"/>
      <c r="AF142" s="383"/>
      <c r="AG142" s="375"/>
      <c r="AH142" s="383"/>
      <c r="AI142" s="375"/>
      <c r="AJ142" s="383"/>
      <c r="AK142" s="375"/>
      <c r="AL142" s="375"/>
      <c r="AM142" s="375"/>
      <c r="AN142" s="375"/>
      <c r="AO142" s="375"/>
      <c r="AP142" s="375"/>
      <c r="AQ142" s="375"/>
      <c r="AR142" s="375"/>
      <c r="AS142" s="375"/>
      <c r="AT142" s="375"/>
      <c r="AU142" s="375"/>
      <c r="AV142" s="375"/>
      <c r="AW142" s="375"/>
      <c r="AX142" s="331"/>
    </row>
    <row r="143" spans="1:50" x14ac:dyDescent="0.2">
      <c r="A143" s="1050"/>
      <c r="B143" s="1019"/>
      <c r="C143" s="1051"/>
      <c r="D143" s="1040"/>
      <c r="E143" s="1270"/>
      <c r="F143" s="1267"/>
      <c r="G143" s="1115"/>
      <c r="H143" s="1104"/>
      <c r="I143" s="1045"/>
      <c r="J143" s="377"/>
      <c r="K143" s="482"/>
      <c r="L143" s="482"/>
      <c r="M143" s="851"/>
      <c r="N143" s="663"/>
      <c r="O143" s="383"/>
      <c r="P143" s="1008"/>
      <c r="Q143" s="1009"/>
      <c r="R143" s="375"/>
      <c r="S143" s="376"/>
      <c r="T143" s="375"/>
      <c r="U143" s="625"/>
      <c r="V143" s="560"/>
      <c r="W143" s="606"/>
      <c r="X143" s="377"/>
      <c r="Y143" s="606"/>
      <c r="Z143" s="377"/>
      <c r="AA143" s="606"/>
      <c r="AB143" s="707"/>
      <c r="AC143" s="331"/>
      <c r="AD143" s="383"/>
      <c r="AE143" s="375"/>
      <c r="AF143" s="383"/>
      <c r="AG143" s="375"/>
      <c r="AH143" s="383"/>
      <c r="AI143" s="375"/>
      <c r="AJ143" s="383"/>
      <c r="AK143" s="375"/>
      <c r="AL143" s="375"/>
      <c r="AM143" s="375"/>
      <c r="AN143" s="375"/>
      <c r="AO143" s="375"/>
      <c r="AP143" s="375"/>
      <c r="AQ143" s="375"/>
      <c r="AR143" s="375"/>
      <c r="AS143" s="375"/>
      <c r="AT143" s="375"/>
      <c r="AU143" s="375"/>
      <c r="AV143" s="375"/>
      <c r="AW143" s="375"/>
      <c r="AX143" s="331"/>
    </row>
    <row r="144" spans="1:50" x14ac:dyDescent="0.2">
      <c r="A144" s="1050"/>
      <c r="B144" s="1019"/>
      <c r="C144" s="1051"/>
      <c r="D144" s="1040"/>
      <c r="E144" s="1270"/>
      <c r="F144" s="1267"/>
      <c r="G144" s="1115"/>
      <c r="H144" s="1104"/>
      <c r="I144" s="1045"/>
      <c r="J144" s="377"/>
      <c r="K144" s="482"/>
      <c r="L144" s="482"/>
      <c r="M144" s="851"/>
      <c r="N144" s="663"/>
      <c r="O144" s="383"/>
      <c r="P144" s="1008"/>
      <c r="Q144" s="1009"/>
      <c r="R144" s="375"/>
      <c r="S144" s="376"/>
      <c r="T144" s="375"/>
      <c r="U144" s="625"/>
      <c r="V144" s="560"/>
      <c r="W144" s="606"/>
      <c r="X144" s="377"/>
      <c r="Y144" s="606"/>
      <c r="Z144" s="377"/>
      <c r="AA144" s="606"/>
      <c r="AB144" s="707"/>
      <c r="AC144" s="331"/>
      <c r="AD144" s="383"/>
      <c r="AE144" s="375"/>
      <c r="AF144" s="383"/>
      <c r="AG144" s="375"/>
      <c r="AH144" s="383"/>
      <c r="AI144" s="375"/>
      <c r="AJ144" s="383"/>
      <c r="AK144" s="375"/>
      <c r="AL144" s="375"/>
      <c r="AM144" s="375"/>
      <c r="AN144" s="375"/>
      <c r="AO144" s="375"/>
      <c r="AP144" s="375"/>
      <c r="AQ144" s="375"/>
      <c r="AR144" s="375"/>
      <c r="AS144" s="375"/>
      <c r="AT144" s="375"/>
      <c r="AU144" s="375"/>
      <c r="AV144" s="375"/>
      <c r="AW144" s="375"/>
      <c r="AX144" s="331"/>
    </row>
    <row r="145" spans="1:50" x14ac:dyDescent="0.2">
      <c r="A145" s="1050"/>
      <c r="B145" s="1019"/>
      <c r="C145" s="1051"/>
      <c r="D145" s="1040"/>
      <c r="E145" s="1270"/>
      <c r="F145" s="1267"/>
      <c r="G145" s="1115"/>
      <c r="H145" s="1104"/>
      <c r="I145" s="1045"/>
      <c r="J145" s="377"/>
      <c r="K145" s="482"/>
      <c r="L145" s="482"/>
      <c r="M145" s="851"/>
      <c r="N145" s="663"/>
      <c r="O145" s="383"/>
      <c r="P145" s="1008"/>
      <c r="Q145" s="1009"/>
      <c r="R145" s="375"/>
      <c r="S145" s="376"/>
      <c r="T145" s="375"/>
      <c r="U145" s="625"/>
      <c r="V145" s="560"/>
      <c r="W145" s="606"/>
      <c r="X145" s="377"/>
      <c r="Y145" s="606"/>
      <c r="Z145" s="377"/>
      <c r="AA145" s="606"/>
      <c r="AB145" s="707"/>
      <c r="AC145" s="331"/>
      <c r="AD145" s="383"/>
      <c r="AE145" s="375"/>
      <c r="AF145" s="383"/>
      <c r="AG145" s="375"/>
      <c r="AH145" s="383"/>
      <c r="AI145" s="375"/>
      <c r="AJ145" s="383"/>
      <c r="AK145" s="375"/>
      <c r="AL145" s="375"/>
      <c r="AM145" s="375"/>
      <c r="AN145" s="375"/>
      <c r="AO145" s="375"/>
      <c r="AP145" s="375"/>
      <c r="AQ145" s="375"/>
      <c r="AR145" s="375"/>
      <c r="AS145" s="375"/>
      <c r="AT145" s="375"/>
      <c r="AU145" s="375"/>
      <c r="AV145" s="375"/>
      <c r="AW145" s="375"/>
      <c r="AX145" s="331"/>
    </row>
    <row r="146" spans="1:50" x14ac:dyDescent="0.2">
      <c r="A146" s="1050"/>
      <c r="B146" s="1019"/>
      <c r="C146" s="1051"/>
      <c r="D146" s="1040"/>
      <c r="E146" s="1270"/>
      <c r="F146" s="1267"/>
      <c r="G146" s="1115"/>
      <c r="H146" s="1104"/>
      <c r="I146" s="1045"/>
      <c r="J146" s="377"/>
      <c r="K146" s="482"/>
      <c r="L146" s="482"/>
      <c r="M146" s="851"/>
      <c r="N146" s="663"/>
      <c r="O146" s="383"/>
      <c r="P146" s="1008"/>
      <c r="Q146" s="1009"/>
      <c r="R146" s="375"/>
      <c r="S146" s="376"/>
      <c r="T146" s="375"/>
      <c r="U146" s="625"/>
      <c r="V146" s="560"/>
      <c r="W146" s="606"/>
      <c r="X146" s="377"/>
      <c r="Y146" s="606"/>
      <c r="Z146" s="377"/>
      <c r="AA146" s="606"/>
      <c r="AB146" s="707"/>
      <c r="AC146" s="331"/>
      <c r="AD146" s="383"/>
      <c r="AE146" s="375"/>
      <c r="AF146" s="383"/>
      <c r="AG146" s="375"/>
      <c r="AH146" s="383"/>
      <c r="AI146" s="375"/>
      <c r="AJ146" s="383"/>
      <c r="AK146" s="375"/>
      <c r="AL146" s="375"/>
      <c r="AM146" s="375"/>
      <c r="AN146" s="375"/>
      <c r="AO146" s="375"/>
      <c r="AP146" s="375"/>
      <c r="AQ146" s="375"/>
      <c r="AR146" s="375"/>
      <c r="AS146" s="375"/>
      <c r="AT146" s="375"/>
      <c r="AU146" s="375"/>
      <c r="AV146" s="375"/>
      <c r="AW146" s="375"/>
      <c r="AX146" s="331"/>
    </row>
    <row r="147" spans="1:50" x14ac:dyDescent="0.2">
      <c r="A147" s="1050"/>
      <c r="B147" s="1019"/>
      <c r="C147" s="1051"/>
      <c r="D147" s="1040"/>
      <c r="E147" s="1270"/>
      <c r="F147" s="1267"/>
      <c r="G147" s="1115"/>
      <c r="H147" s="1104"/>
      <c r="I147" s="1045"/>
      <c r="J147" s="377"/>
      <c r="K147" s="482"/>
      <c r="L147" s="482"/>
      <c r="M147" s="851"/>
      <c r="N147" s="663"/>
      <c r="O147" s="383"/>
      <c r="P147" s="1008"/>
      <c r="Q147" s="1009"/>
      <c r="R147" s="375"/>
      <c r="S147" s="376"/>
      <c r="T147" s="375"/>
      <c r="U147" s="625"/>
      <c r="V147" s="560"/>
      <c r="W147" s="606"/>
      <c r="X147" s="377"/>
      <c r="Y147" s="606"/>
      <c r="Z147" s="377"/>
      <c r="AA147" s="606"/>
      <c r="AB147" s="707"/>
      <c r="AC147" s="331"/>
      <c r="AD147" s="383"/>
      <c r="AE147" s="375"/>
      <c r="AF147" s="383"/>
      <c r="AG147" s="375"/>
      <c r="AH147" s="383"/>
      <c r="AI147" s="375"/>
      <c r="AJ147" s="383"/>
      <c r="AK147" s="375"/>
      <c r="AL147" s="375"/>
      <c r="AM147" s="375"/>
      <c r="AN147" s="375"/>
      <c r="AO147" s="375"/>
      <c r="AP147" s="375"/>
      <c r="AQ147" s="375"/>
      <c r="AR147" s="375"/>
      <c r="AS147" s="375"/>
      <c r="AT147" s="375"/>
      <c r="AU147" s="375"/>
      <c r="AV147" s="375"/>
      <c r="AW147" s="375"/>
      <c r="AX147" s="331"/>
    </row>
    <row r="148" spans="1:50" x14ac:dyDescent="0.2">
      <c r="A148" s="1050"/>
      <c r="B148" s="1019"/>
      <c r="C148" s="1051"/>
      <c r="D148" s="1040"/>
      <c r="E148" s="1270"/>
      <c r="F148" s="1267"/>
      <c r="G148" s="1115"/>
      <c r="H148" s="1104"/>
      <c r="I148" s="1045"/>
      <c r="J148" s="377"/>
      <c r="K148" s="482"/>
      <c r="L148" s="482"/>
      <c r="M148" s="851"/>
      <c r="N148" s="663"/>
      <c r="O148" s="383"/>
      <c r="P148" s="1008"/>
      <c r="Q148" s="1009"/>
      <c r="R148" s="375"/>
      <c r="S148" s="376"/>
      <c r="T148" s="375"/>
      <c r="U148" s="625"/>
      <c r="V148" s="560"/>
      <c r="W148" s="606"/>
      <c r="X148" s="377"/>
      <c r="Y148" s="606"/>
      <c r="Z148" s="377"/>
      <c r="AA148" s="606"/>
      <c r="AB148" s="707"/>
      <c r="AC148" s="331"/>
      <c r="AD148" s="383"/>
      <c r="AE148" s="375"/>
      <c r="AF148" s="383"/>
      <c r="AG148" s="375"/>
      <c r="AH148" s="383"/>
      <c r="AI148" s="375"/>
      <c r="AJ148" s="383"/>
      <c r="AK148" s="375"/>
      <c r="AL148" s="375"/>
      <c r="AM148" s="375"/>
      <c r="AN148" s="375"/>
      <c r="AO148" s="375"/>
      <c r="AP148" s="375"/>
      <c r="AQ148" s="375"/>
      <c r="AR148" s="375"/>
      <c r="AS148" s="375"/>
      <c r="AT148" s="375"/>
      <c r="AU148" s="375"/>
      <c r="AV148" s="375"/>
      <c r="AW148" s="375"/>
      <c r="AX148" s="331"/>
    </row>
    <row r="149" spans="1:50" x14ac:dyDescent="0.2">
      <c r="A149" s="1050"/>
      <c r="B149" s="1019"/>
      <c r="C149" s="1051"/>
      <c r="D149" s="1040"/>
      <c r="E149" s="1270"/>
      <c r="F149" s="1267"/>
      <c r="G149" s="1115"/>
      <c r="H149" s="1104"/>
      <c r="I149" s="1045"/>
      <c r="J149" s="377"/>
      <c r="K149" s="482"/>
      <c r="L149" s="482"/>
      <c r="M149" s="851"/>
      <c r="N149" s="663"/>
      <c r="O149" s="383"/>
      <c r="P149" s="1008"/>
      <c r="Q149" s="1009"/>
      <c r="R149" s="375"/>
      <c r="S149" s="376"/>
      <c r="T149" s="375"/>
      <c r="U149" s="625"/>
      <c r="V149" s="560"/>
      <c r="W149" s="606"/>
      <c r="X149" s="377"/>
      <c r="Y149" s="606"/>
      <c r="Z149" s="377"/>
      <c r="AA149" s="606"/>
      <c r="AB149" s="707"/>
      <c r="AC149" s="331"/>
      <c r="AD149" s="383"/>
      <c r="AE149" s="375"/>
      <c r="AF149" s="383"/>
      <c r="AG149" s="375"/>
      <c r="AH149" s="383"/>
      <c r="AI149" s="375"/>
      <c r="AJ149" s="383"/>
      <c r="AK149" s="375"/>
      <c r="AL149" s="375"/>
      <c r="AM149" s="375"/>
      <c r="AN149" s="375"/>
      <c r="AO149" s="375"/>
      <c r="AP149" s="375"/>
      <c r="AQ149" s="375"/>
      <c r="AR149" s="375"/>
      <c r="AS149" s="375"/>
      <c r="AT149" s="375"/>
      <c r="AU149" s="375"/>
      <c r="AV149" s="375"/>
      <c r="AW149" s="375"/>
      <c r="AX149" s="331"/>
    </row>
    <row r="150" spans="1:50" x14ac:dyDescent="0.2">
      <c r="A150" s="1050"/>
      <c r="B150" s="1019"/>
      <c r="C150" s="1051"/>
      <c r="D150" s="1040"/>
      <c r="E150" s="1270"/>
      <c r="F150" s="1267"/>
      <c r="G150" s="1115"/>
      <c r="H150" s="1104"/>
      <c r="I150" s="1045"/>
      <c r="J150" s="377"/>
      <c r="K150" s="482"/>
      <c r="L150" s="482"/>
      <c r="M150" s="851"/>
      <c r="N150" s="663"/>
      <c r="O150" s="383"/>
      <c r="P150" s="1008"/>
      <c r="Q150" s="1009"/>
      <c r="R150" s="375"/>
      <c r="S150" s="376"/>
      <c r="T150" s="375"/>
      <c r="U150" s="625"/>
      <c r="V150" s="560"/>
      <c r="W150" s="606"/>
      <c r="X150" s="377"/>
      <c r="Y150" s="606"/>
      <c r="Z150" s="377"/>
      <c r="AA150" s="606"/>
      <c r="AB150" s="707"/>
      <c r="AC150" s="331"/>
      <c r="AD150" s="383"/>
      <c r="AE150" s="375"/>
      <c r="AF150" s="383"/>
      <c r="AG150" s="375"/>
      <c r="AH150" s="383"/>
      <c r="AI150" s="375"/>
      <c r="AJ150" s="383"/>
      <c r="AK150" s="375"/>
      <c r="AL150" s="375"/>
      <c r="AM150" s="375"/>
      <c r="AN150" s="375"/>
      <c r="AO150" s="375"/>
      <c r="AP150" s="375"/>
      <c r="AQ150" s="375"/>
      <c r="AR150" s="375"/>
      <c r="AS150" s="375"/>
      <c r="AT150" s="375"/>
      <c r="AU150" s="375"/>
      <c r="AV150" s="375"/>
      <c r="AW150" s="375"/>
      <c r="AX150" s="331"/>
    </row>
    <row r="151" spans="1:50" x14ac:dyDescent="0.2">
      <c r="A151" s="1050"/>
      <c r="B151" s="1067"/>
      <c r="C151" s="1051"/>
      <c r="D151" s="1040"/>
      <c r="E151" s="1270"/>
      <c r="F151" s="1267"/>
      <c r="G151" s="1115"/>
      <c r="H151" s="1104"/>
      <c r="I151" s="1045"/>
      <c r="J151" s="377"/>
      <c r="K151" s="482"/>
      <c r="L151" s="482"/>
      <c r="M151" s="851"/>
      <c r="N151" s="663"/>
      <c r="O151" s="383"/>
      <c r="P151" s="1008"/>
      <c r="Q151" s="1009"/>
      <c r="R151" s="375"/>
      <c r="S151" s="376"/>
      <c r="T151" s="375"/>
      <c r="U151" s="625"/>
      <c r="V151" s="560"/>
      <c r="W151" s="606"/>
      <c r="X151" s="377"/>
      <c r="Y151" s="606"/>
      <c r="Z151" s="377"/>
      <c r="AA151" s="606"/>
      <c r="AB151" s="707"/>
      <c r="AC151" s="331"/>
      <c r="AD151" s="383"/>
      <c r="AE151" s="375"/>
      <c r="AF151" s="383"/>
      <c r="AG151" s="375"/>
      <c r="AH151" s="383"/>
      <c r="AI151" s="375"/>
      <c r="AJ151" s="383"/>
      <c r="AK151" s="375"/>
      <c r="AL151" s="375"/>
      <c r="AM151" s="375"/>
      <c r="AN151" s="375"/>
      <c r="AO151" s="375"/>
      <c r="AP151" s="375"/>
      <c r="AQ151" s="375"/>
      <c r="AR151" s="375"/>
      <c r="AS151" s="375"/>
      <c r="AT151" s="375"/>
      <c r="AU151" s="375"/>
      <c r="AV151" s="375"/>
      <c r="AW151" s="375"/>
      <c r="AX151" s="331"/>
    </row>
    <row r="152" spans="1:50" x14ac:dyDescent="0.2">
      <c r="A152" s="1050"/>
      <c r="B152" s="1067"/>
      <c r="C152" s="1051"/>
      <c r="D152" s="1040"/>
      <c r="E152" s="1270"/>
      <c r="F152" s="1267"/>
      <c r="G152" s="1115"/>
      <c r="H152" s="1104"/>
      <c r="I152" s="1045"/>
      <c r="J152" s="377"/>
      <c r="K152" s="482"/>
      <c r="L152" s="482"/>
      <c r="M152" s="851"/>
      <c r="N152" s="663"/>
      <c r="O152" s="383"/>
      <c r="P152" s="1008"/>
      <c r="Q152" s="1009"/>
      <c r="R152" s="375"/>
      <c r="S152" s="376"/>
      <c r="T152" s="375"/>
      <c r="U152" s="625"/>
      <c r="V152" s="560"/>
      <c r="W152" s="606"/>
      <c r="X152" s="377"/>
      <c r="Y152" s="606"/>
      <c r="Z152" s="377"/>
      <c r="AA152" s="606"/>
      <c r="AB152" s="707"/>
      <c r="AC152" s="331"/>
      <c r="AD152" s="383"/>
      <c r="AE152" s="375"/>
      <c r="AF152" s="383"/>
      <c r="AG152" s="375"/>
      <c r="AH152" s="383"/>
      <c r="AI152" s="375"/>
      <c r="AJ152" s="383"/>
      <c r="AK152" s="375"/>
      <c r="AL152" s="375"/>
      <c r="AM152" s="375"/>
      <c r="AN152" s="375"/>
      <c r="AO152" s="375"/>
      <c r="AP152" s="375"/>
      <c r="AQ152" s="375"/>
      <c r="AR152" s="375"/>
      <c r="AS152" s="375"/>
      <c r="AT152" s="375"/>
      <c r="AU152" s="375"/>
      <c r="AV152" s="375"/>
      <c r="AW152" s="375"/>
      <c r="AX152" s="331"/>
    </row>
    <row r="153" spans="1:50" x14ac:dyDescent="0.2">
      <c r="A153" s="1050"/>
      <c r="B153" s="1019"/>
      <c r="C153" s="1051"/>
      <c r="D153" s="1040"/>
      <c r="E153" s="1270"/>
      <c r="F153" s="1267"/>
      <c r="G153" s="1115"/>
      <c r="H153" s="1104"/>
      <c r="I153" s="1045"/>
      <c r="J153" s="377"/>
      <c r="K153" s="482"/>
      <c r="L153" s="482"/>
      <c r="M153" s="851"/>
      <c r="N153" s="663"/>
      <c r="O153" s="383"/>
      <c r="P153" s="1008"/>
      <c r="Q153" s="1009"/>
      <c r="R153" s="375"/>
      <c r="S153" s="376"/>
      <c r="T153" s="375"/>
      <c r="U153" s="625"/>
      <c r="V153" s="560"/>
      <c r="W153" s="606"/>
      <c r="X153" s="377"/>
      <c r="Y153" s="606"/>
      <c r="Z153" s="377"/>
      <c r="AA153" s="606"/>
      <c r="AB153" s="707"/>
      <c r="AC153" s="331"/>
      <c r="AD153" s="383"/>
      <c r="AE153" s="375"/>
      <c r="AF153" s="383"/>
      <c r="AG153" s="375"/>
      <c r="AH153" s="383"/>
      <c r="AI153" s="375"/>
      <c r="AJ153" s="383"/>
      <c r="AK153" s="375"/>
      <c r="AL153" s="375"/>
      <c r="AM153" s="375"/>
      <c r="AN153" s="375"/>
      <c r="AO153" s="375"/>
      <c r="AP153" s="375"/>
      <c r="AQ153" s="375"/>
      <c r="AR153" s="375"/>
      <c r="AS153" s="375"/>
      <c r="AT153" s="375"/>
      <c r="AU153" s="375"/>
      <c r="AV153" s="375"/>
      <c r="AW153" s="375"/>
      <c r="AX153" s="331"/>
    </row>
    <row r="154" spans="1:50" x14ac:dyDescent="0.2">
      <c r="A154" s="1050"/>
      <c r="B154" s="1019"/>
      <c r="C154" s="1051"/>
      <c r="D154" s="1040"/>
      <c r="E154" s="1270"/>
      <c r="F154" s="1267"/>
      <c r="G154" s="1115"/>
      <c r="H154" s="1104"/>
      <c r="I154" s="1045"/>
      <c r="J154" s="377"/>
      <c r="K154" s="482"/>
      <c r="L154" s="482"/>
      <c r="M154" s="851"/>
      <c r="N154" s="663"/>
      <c r="O154" s="383"/>
      <c r="P154" s="1008"/>
      <c r="Q154" s="1009"/>
      <c r="R154" s="375"/>
      <c r="S154" s="376"/>
      <c r="T154" s="375"/>
      <c r="U154" s="625"/>
      <c r="V154" s="560"/>
      <c r="W154" s="606"/>
      <c r="X154" s="377"/>
      <c r="Y154" s="606"/>
      <c r="Z154" s="377"/>
      <c r="AA154" s="606"/>
      <c r="AB154" s="707"/>
      <c r="AC154" s="331"/>
      <c r="AD154" s="383"/>
      <c r="AE154" s="375"/>
      <c r="AF154" s="383"/>
      <c r="AG154" s="375"/>
      <c r="AH154" s="383"/>
      <c r="AI154" s="375"/>
      <c r="AJ154" s="383"/>
      <c r="AK154" s="375"/>
      <c r="AL154" s="375"/>
      <c r="AM154" s="375"/>
      <c r="AN154" s="375"/>
      <c r="AO154" s="375"/>
      <c r="AP154" s="375"/>
      <c r="AQ154" s="375"/>
      <c r="AR154" s="375"/>
      <c r="AS154" s="375"/>
      <c r="AT154" s="375"/>
      <c r="AU154" s="375"/>
      <c r="AV154" s="375"/>
      <c r="AW154" s="375"/>
      <c r="AX154" s="331"/>
    </row>
    <row r="155" spans="1:50" x14ac:dyDescent="0.2">
      <c r="A155" s="1050"/>
      <c r="B155" s="1019"/>
      <c r="C155" s="1051"/>
      <c r="D155" s="1040"/>
      <c r="E155" s="1270"/>
      <c r="F155" s="1267"/>
      <c r="G155" s="1115"/>
      <c r="H155" s="1104"/>
      <c r="I155" s="1045"/>
      <c r="J155" s="377"/>
      <c r="K155" s="482"/>
      <c r="L155" s="482"/>
      <c r="M155" s="851"/>
      <c r="N155" s="663"/>
      <c r="O155" s="383"/>
      <c r="P155" s="1008"/>
      <c r="Q155" s="1009"/>
      <c r="R155" s="375"/>
      <c r="S155" s="376"/>
      <c r="T155" s="375"/>
      <c r="U155" s="625"/>
      <c r="V155" s="560"/>
      <c r="W155" s="606"/>
      <c r="X155" s="377"/>
      <c r="Y155" s="606"/>
      <c r="Z155" s="377"/>
      <c r="AA155" s="606"/>
      <c r="AB155" s="707"/>
      <c r="AC155" s="331"/>
      <c r="AD155" s="383"/>
      <c r="AE155" s="375"/>
      <c r="AF155" s="383"/>
      <c r="AG155" s="375"/>
      <c r="AH155" s="383"/>
      <c r="AI155" s="375"/>
      <c r="AJ155" s="383"/>
      <c r="AK155" s="375"/>
      <c r="AL155" s="375"/>
      <c r="AM155" s="375"/>
      <c r="AN155" s="375"/>
      <c r="AO155" s="375"/>
      <c r="AP155" s="375"/>
      <c r="AQ155" s="375"/>
      <c r="AR155" s="375"/>
      <c r="AS155" s="375"/>
      <c r="AT155" s="375"/>
      <c r="AU155" s="375"/>
      <c r="AV155" s="375"/>
      <c r="AW155" s="375"/>
      <c r="AX155" s="331"/>
    </row>
    <row r="156" spans="1:50" x14ac:dyDescent="0.2">
      <c r="A156" s="1050"/>
      <c r="B156" s="1019"/>
      <c r="C156" s="1051"/>
      <c r="D156" s="1040"/>
      <c r="E156" s="1270"/>
      <c r="F156" s="1267"/>
      <c r="G156" s="1115"/>
      <c r="H156" s="1104"/>
      <c r="I156" s="1045"/>
      <c r="J156" s="377"/>
      <c r="K156" s="482"/>
      <c r="L156" s="482"/>
      <c r="M156" s="851"/>
      <c r="N156" s="663"/>
      <c r="O156" s="383"/>
      <c r="P156" s="1008"/>
      <c r="Q156" s="1009"/>
      <c r="R156" s="375"/>
      <c r="S156" s="376"/>
      <c r="T156" s="375"/>
      <c r="U156" s="625"/>
      <c r="V156" s="560"/>
      <c r="W156" s="606"/>
      <c r="X156" s="377"/>
      <c r="Y156" s="606"/>
      <c r="Z156" s="377"/>
      <c r="AA156" s="606"/>
      <c r="AB156" s="707"/>
      <c r="AC156" s="331"/>
      <c r="AD156" s="383"/>
      <c r="AE156" s="375"/>
      <c r="AF156" s="383"/>
      <c r="AG156" s="375"/>
      <c r="AH156" s="383"/>
      <c r="AI156" s="375"/>
      <c r="AJ156" s="383"/>
      <c r="AK156" s="375"/>
      <c r="AL156" s="375"/>
      <c r="AM156" s="375"/>
      <c r="AN156" s="375"/>
      <c r="AO156" s="375"/>
      <c r="AP156" s="375"/>
      <c r="AQ156" s="375"/>
      <c r="AR156" s="375"/>
      <c r="AS156" s="375"/>
      <c r="AT156" s="375"/>
      <c r="AU156" s="375"/>
      <c r="AV156" s="375"/>
      <c r="AW156" s="375"/>
      <c r="AX156" s="331"/>
    </row>
    <row r="157" spans="1:50" x14ac:dyDescent="0.2">
      <c r="A157" s="1050"/>
      <c r="B157" s="1019"/>
      <c r="C157" s="1051"/>
      <c r="D157" s="1040"/>
      <c r="E157" s="1270"/>
      <c r="F157" s="1267"/>
      <c r="G157" s="1115"/>
      <c r="H157" s="1104"/>
      <c r="I157" s="1045"/>
      <c r="J157" s="377"/>
      <c r="K157" s="482"/>
      <c r="L157" s="482"/>
      <c r="M157" s="851"/>
      <c r="N157" s="663"/>
      <c r="O157" s="383"/>
      <c r="P157" s="1008"/>
      <c r="Q157" s="1009"/>
      <c r="R157" s="375"/>
      <c r="S157" s="376"/>
      <c r="T157" s="375"/>
      <c r="U157" s="625"/>
      <c r="V157" s="560"/>
      <c r="W157" s="606"/>
      <c r="X157" s="377"/>
      <c r="Y157" s="606"/>
      <c r="Z157" s="377"/>
      <c r="AA157" s="606"/>
      <c r="AB157" s="707"/>
      <c r="AC157" s="331"/>
      <c r="AD157" s="383"/>
      <c r="AE157" s="375"/>
      <c r="AF157" s="383"/>
      <c r="AG157" s="375"/>
      <c r="AH157" s="383"/>
      <c r="AI157" s="375"/>
      <c r="AJ157" s="383"/>
      <c r="AK157" s="375"/>
      <c r="AL157" s="375"/>
      <c r="AM157" s="375"/>
      <c r="AN157" s="375"/>
      <c r="AO157" s="375"/>
      <c r="AP157" s="375"/>
      <c r="AQ157" s="375"/>
      <c r="AR157" s="375"/>
      <c r="AS157" s="375"/>
      <c r="AT157" s="375"/>
      <c r="AU157" s="375"/>
      <c r="AV157" s="375"/>
      <c r="AW157" s="375"/>
      <c r="AX157" s="331"/>
    </row>
    <row r="158" spans="1:50" x14ac:dyDescent="0.2">
      <c r="A158" s="1050"/>
      <c r="B158" s="1019"/>
      <c r="C158" s="1051"/>
      <c r="D158" s="1040"/>
      <c r="E158" s="1270"/>
      <c r="F158" s="1267"/>
      <c r="G158" s="1115"/>
      <c r="H158" s="1104"/>
      <c r="I158" s="1045"/>
      <c r="J158" s="377"/>
      <c r="K158" s="482"/>
      <c r="L158" s="482"/>
      <c r="M158" s="851"/>
      <c r="N158" s="663"/>
      <c r="O158" s="383"/>
      <c r="P158" s="1008"/>
      <c r="Q158" s="1009"/>
      <c r="R158" s="375"/>
      <c r="S158" s="376"/>
      <c r="T158" s="375"/>
      <c r="U158" s="625"/>
      <c r="V158" s="560"/>
      <c r="W158" s="606"/>
      <c r="X158" s="377"/>
      <c r="Y158" s="606"/>
      <c r="Z158" s="377"/>
      <c r="AA158" s="606"/>
      <c r="AB158" s="707"/>
      <c r="AC158" s="331"/>
      <c r="AD158" s="383"/>
      <c r="AE158" s="375"/>
      <c r="AF158" s="383"/>
      <c r="AG158" s="375"/>
      <c r="AH158" s="383"/>
      <c r="AI158" s="375"/>
      <c r="AJ158" s="383"/>
      <c r="AK158" s="375"/>
      <c r="AL158" s="375"/>
      <c r="AM158" s="375"/>
      <c r="AN158" s="375"/>
      <c r="AO158" s="375"/>
      <c r="AP158" s="375"/>
      <c r="AQ158" s="375"/>
      <c r="AR158" s="375"/>
      <c r="AS158" s="375"/>
      <c r="AT158" s="375"/>
      <c r="AU158" s="375"/>
      <c r="AV158" s="375"/>
      <c r="AW158" s="375"/>
      <c r="AX158" s="331"/>
    </row>
    <row r="159" spans="1:50" x14ac:dyDescent="0.2">
      <c r="A159" s="1050"/>
      <c r="B159" s="1019"/>
      <c r="C159" s="1051"/>
      <c r="D159" s="1040"/>
      <c r="E159" s="1270"/>
      <c r="F159" s="1267"/>
      <c r="G159" s="1115"/>
      <c r="H159" s="1104"/>
      <c r="I159" s="1045"/>
      <c r="J159" s="377"/>
      <c r="K159" s="482"/>
      <c r="L159" s="482"/>
      <c r="M159" s="851"/>
      <c r="N159" s="663"/>
      <c r="O159" s="383"/>
      <c r="P159" s="1008"/>
      <c r="Q159" s="1009"/>
      <c r="R159" s="375"/>
      <c r="S159" s="376"/>
      <c r="T159" s="375"/>
      <c r="U159" s="625"/>
      <c r="V159" s="560"/>
      <c r="W159" s="606"/>
      <c r="X159" s="377"/>
      <c r="Y159" s="606"/>
      <c r="Z159" s="377"/>
      <c r="AA159" s="606"/>
      <c r="AB159" s="707"/>
      <c r="AC159" s="331"/>
      <c r="AD159" s="383"/>
      <c r="AE159" s="375"/>
      <c r="AF159" s="383"/>
      <c r="AG159" s="375"/>
      <c r="AH159" s="383"/>
      <c r="AI159" s="375"/>
      <c r="AJ159" s="383"/>
      <c r="AK159" s="375"/>
      <c r="AL159" s="375"/>
      <c r="AM159" s="375"/>
      <c r="AN159" s="375"/>
      <c r="AO159" s="375"/>
      <c r="AP159" s="375"/>
      <c r="AQ159" s="375"/>
      <c r="AR159" s="375"/>
      <c r="AS159" s="375"/>
      <c r="AT159" s="375"/>
      <c r="AU159" s="375"/>
      <c r="AV159" s="375"/>
      <c r="AW159" s="375"/>
      <c r="AX159" s="331"/>
    </row>
    <row r="160" spans="1:50" x14ac:dyDescent="0.2">
      <c r="A160" s="1050"/>
      <c r="B160" s="1019"/>
      <c r="C160" s="1051"/>
      <c r="D160" s="1040"/>
      <c r="E160" s="1270"/>
      <c r="F160" s="1267"/>
      <c r="G160" s="1115"/>
      <c r="H160" s="1104"/>
      <c r="I160" s="1045"/>
      <c r="J160" s="377"/>
      <c r="K160" s="482"/>
      <c r="L160" s="482"/>
      <c r="M160" s="851"/>
      <c r="N160" s="663"/>
      <c r="O160" s="383"/>
      <c r="P160" s="1008"/>
      <c r="Q160" s="1009"/>
      <c r="R160" s="375"/>
      <c r="S160" s="376"/>
      <c r="T160" s="375"/>
      <c r="U160" s="625"/>
      <c r="V160" s="560"/>
      <c r="W160" s="606"/>
      <c r="X160" s="377"/>
      <c r="Y160" s="606"/>
      <c r="Z160" s="377"/>
      <c r="AA160" s="606"/>
      <c r="AB160" s="707"/>
      <c r="AC160" s="331"/>
      <c r="AD160" s="383"/>
      <c r="AE160" s="375"/>
      <c r="AF160" s="383"/>
      <c r="AG160" s="375"/>
      <c r="AH160" s="383"/>
      <c r="AI160" s="375"/>
      <c r="AJ160" s="383"/>
      <c r="AK160" s="375"/>
      <c r="AL160" s="375"/>
      <c r="AM160" s="375"/>
      <c r="AN160" s="375"/>
      <c r="AO160" s="375"/>
      <c r="AP160" s="375"/>
      <c r="AQ160" s="375"/>
      <c r="AR160" s="375"/>
      <c r="AS160" s="375"/>
      <c r="AT160" s="375"/>
      <c r="AU160" s="375"/>
      <c r="AV160" s="375"/>
      <c r="AW160" s="375"/>
      <c r="AX160" s="331"/>
    </row>
    <row r="161" spans="1:50" x14ac:dyDescent="0.2">
      <c r="A161" s="1050"/>
      <c r="B161" s="1019"/>
      <c r="C161" s="1051"/>
      <c r="D161" s="1040"/>
      <c r="E161" s="1270"/>
      <c r="F161" s="1267"/>
      <c r="G161" s="1115"/>
      <c r="H161" s="1104"/>
      <c r="I161" s="1045"/>
      <c r="J161" s="377"/>
      <c r="K161" s="482"/>
      <c r="L161" s="482"/>
      <c r="M161" s="851"/>
      <c r="N161" s="663"/>
      <c r="O161" s="383"/>
      <c r="P161" s="1008"/>
      <c r="Q161" s="1009"/>
      <c r="R161" s="375"/>
      <c r="S161" s="376"/>
      <c r="T161" s="375"/>
      <c r="U161" s="625"/>
      <c r="V161" s="560"/>
      <c r="W161" s="606"/>
      <c r="X161" s="377"/>
      <c r="Y161" s="606"/>
      <c r="Z161" s="377"/>
      <c r="AA161" s="606"/>
      <c r="AB161" s="707"/>
      <c r="AC161" s="331"/>
      <c r="AD161" s="383"/>
      <c r="AE161" s="375"/>
      <c r="AF161" s="383"/>
      <c r="AG161" s="375"/>
      <c r="AH161" s="383"/>
      <c r="AI161" s="375"/>
      <c r="AJ161" s="383"/>
      <c r="AK161" s="375"/>
      <c r="AL161" s="375"/>
      <c r="AM161" s="375"/>
      <c r="AN161" s="375"/>
      <c r="AO161" s="375"/>
      <c r="AP161" s="375"/>
      <c r="AQ161" s="375"/>
      <c r="AR161" s="375"/>
      <c r="AS161" s="375"/>
      <c r="AT161" s="375"/>
      <c r="AU161" s="375"/>
      <c r="AV161" s="375"/>
      <c r="AW161" s="375"/>
      <c r="AX161" s="331"/>
    </row>
    <row r="162" spans="1:50" x14ac:dyDescent="0.2">
      <c r="A162" s="1050"/>
      <c r="B162" s="1019"/>
      <c r="C162" s="1051"/>
      <c r="D162" s="1040"/>
      <c r="E162" s="1270"/>
      <c r="F162" s="1267"/>
      <c r="G162" s="1115"/>
      <c r="H162" s="1104"/>
      <c r="I162" s="1045"/>
      <c r="J162" s="377"/>
      <c r="K162" s="482"/>
      <c r="L162" s="482"/>
      <c r="M162" s="851"/>
      <c r="N162" s="663"/>
      <c r="O162" s="383"/>
      <c r="P162" s="1008"/>
      <c r="Q162" s="1009"/>
      <c r="R162" s="375"/>
      <c r="S162" s="376"/>
      <c r="T162" s="375"/>
      <c r="U162" s="625"/>
      <c r="V162" s="560"/>
      <c r="W162" s="606"/>
      <c r="X162" s="377"/>
      <c r="Y162" s="606"/>
      <c r="Z162" s="377"/>
      <c r="AA162" s="606"/>
      <c r="AB162" s="707"/>
      <c r="AC162" s="331"/>
      <c r="AD162" s="383"/>
      <c r="AE162" s="375"/>
      <c r="AF162" s="383"/>
      <c r="AG162" s="375"/>
      <c r="AH162" s="383"/>
      <c r="AI162" s="375"/>
      <c r="AJ162" s="383"/>
      <c r="AK162" s="375"/>
      <c r="AL162" s="375"/>
      <c r="AM162" s="375"/>
      <c r="AN162" s="375"/>
      <c r="AO162" s="375"/>
      <c r="AP162" s="375"/>
      <c r="AQ162" s="375"/>
      <c r="AR162" s="375"/>
      <c r="AS162" s="375"/>
      <c r="AT162" s="375"/>
      <c r="AU162" s="375"/>
      <c r="AV162" s="375"/>
      <c r="AW162" s="375"/>
      <c r="AX162" s="331"/>
    </row>
    <row r="163" spans="1:50" x14ac:dyDescent="0.2">
      <c r="A163" s="1050"/>
      <c r="B163" s="1019"/>
      <c r="C163" s="1051"/>
      <c r="D163" s="1040"/>
      <c r="E163" s="1270"/>
      <c r="F163" s="1267"/>
      <c r="G163" s="1115"/>
      <c r="H163" s="1104"/>
      <c r="I163" s="1045"/>
      <c r="J163" s="377"/>
      <c r="K163" s="482"/>
      <c r="L163" s="482"/>
      <c r="M163" s="851"/>
      <c r="N163" s="663"/>
      <c r="O163" s="383"/>
      <c r="P163" s="1008"/>
      <c r="Q163" s="1009"/>
      <c r="R163" s="375"/>
      <c r="S163" s="376"/>
      <c r="T163" s="375"/>
      <c r="U163" s="625"/>
      <c r="V163" s="560"/>
      <c r="W163" s="606"/>
      <c r="X163" s="377"/>
      <c r="Y163" s="606"/>
      <c r="Z163" s="377"/>
      <c r="AA163" s="606"/>
      <c r="AB163" s="707"/>
      <c r="AC163" s="331"/>
      <c r="AD163" s="383"/>
      <c r="AE163" s="375"/>
      <c r="AF163" s="383"/>
      <c r="AG163" s="375"/>
      <c r="AH163" s="383"/>
      <c r="AI163" s="375"/>
      <c r="AJ163" s="383"/>
      <c r="AK163" s="375"/>
      <c r="AL163" s="375"/>
      <c r="AM163" s="375"/>
      <c r="AN163" s="375"/>
      <c r="AO163" s="375"/>
      <c r="AP163" s="375"/>
      <c r="AQ163" s="375"/>
      <c r="AR163" s="375"/>
      <c r="AS163" s="375"/>
      <c r="AT163" s="375"/>
      <c r="AU163" s="375"/>
      <c r="AV163" s="375"/>
      <c r="AW163" s="375"/>
      <c r="AX163" s="331"/>
    </row>
    <row r="164" spans="1:50" x14ac:dyDescent="0.2">
      <c r="A164" s="1050"/>
      <c r="B164" s="1042"/>
      <c r="C164" s="1051"/>
      <c r="D164" s="1040"/>
      <c r="E164" s="1270"/>
      <c r="F164" s="1267"/>
      <c r="G164" s="1115"/>
      <c r="H164" s="1104"/>
      <c r="I164" s="1045"/>
      <c r="J164" s="377"/>
      <c r="K164" s="482"/>
      <c r="L164" s="482"/>
      <c r="M164" s="851"/>
      <c r="N164" s="663"/>
      <c r="O164" s="383"/>
      <c r="P164" s="1008"/>
      <c r="Q164" s="1009"/>
      <c r="R164" s="375"/>
      <c r="S164" s="376"/>
      <c r="T164" s="375"/>
      <c r="U164" s="625"/>
      <c r="V164" s="560"/>
      <c r="W164" s="606"/>
      <c r="X164" s="377"/>
      <c r="Y164" s="606"/>
      <c r="Z164" s="377"/>
      <c r="AA164" s="606"/>
      <c r="AB164" s="707"/>
      <c r="AC164" s="331"/>
      <c r="AD164" s="383"/>
      <c r="AE164" s="375"/>
      <c r="AF164" s="383"/>
      <c r="AG164" s="375"/>
      <c r="AH164" s="383"/>
      <c r="AI164" s="375"/>
      <c r="AJ164" s="383"/>
      <c r="AK164" s="375"/>
      <c r="AL164" s="375"/>
      <c r="AM164" s="375"/>
      <c r="AN164" s="375"/>
      <c r="AO164" s="375"/>
      <c r="AP164" s="375"/>
      <c r="AQ164" s="375"/>
      <c r="AR164" s="375"/>
      <c r="AS164" s="375"/>
      <c r="AT164" s="375"/>
      <c r="AU164" s="375"/>
      <c r="AV164" s="375"/>
      <c r="AW164" s="375"/>
      <c r="AX164" s="331"/>
    </row>
    <row r="165" spans="1:50" x14ac:dyDescent="0.2">
      <c r="A165" s="1050"/>
      <c r="B165" s="1019"/>
      <c r="C165" s="1051"/>
      <c r="D165" s="1040"/>
      <c r="E165" s="1270"/>
      <c r="F165" s="1267"/>
      <c r="G165" s="1115"/>
      <c r="H165" s="1104"/>
      <c r="I165" s="1045"/>
      <c r="J165" s="377"/>
      <c r="K165" s="482"/>
      <c r="L165" s="482"/>
      <c r="M165" s="851"/>
      <c r="N165" s="663"/>
      <c r="O165" s="383"/>
      <c r="P165" s="1008"/>
      <c r="Q165" s="1009"/>
      <c r="R165" s="375"/>
      <c r="S165" s="376"/>
      <c r="T165" s="375"/>
      <c r="U165" s="625"/>
      <c r="V165" s="560"/>
      <c r="W165" s="606"/>
      <c r="X165" s="377"/>
      <c r="Y165" s="606"/>
      <c r="Z165" s="377"/>
      <c r="AA165" s="606"/>
      <c r="AB165" s="707"/>
      <c r="AC165" s="331"/>
      <c r="AD165" s="383"/>
      <c r="AE165" s="375"/>
      <c r="AF165" s="383"/>
      <c r="AG165" s="375"/>
      <c r="AH165" s="383"/>
      <c r="AI165" s="375"/>
      <c r="AJ165" s="383"/>
      <c r="AK165" s="375"/>
      <c r="AL165" s="375"/>
      <c r="AM165" s="375"/>
      <c r="AN165" s="375"/>
      <c r="AO165" s="375"/>
      <c r="AP165" s="375"/>
      <c r="AQ165" s="375"/>
      <c r="AR165" s="375"/>
      <c r="AS165" s="375"/>
      <c r="AT165" s="375"/>
      <c r="AU165" s="375"/>
      <c r="AV165" s="375"/>
      <c r="AW165" s="375"/>
      <c r="AX165" s="331"/>
    </row>
    <row r="166" spans="1:50" x14ac:dyDescent="0.2">
      <c r="A166" s="1050"/>
      <c r="B166" s="1042"/>
      <c r="C166" s="1051"/>
      <c r="D166" s="1040"/>
      <c r="E166" s="1270"/>
      <c r="F166" s="1267"/>
      <c r="G166" s="1115"/>
      <c r="H166" s="1104"/>
      <c r="I166" s="1045"/>
      <c r="J166" s="377"/>
      <c r="K166" s="482"/>
      <c r="L166" s="482"/>
      <c r="M166" s="851"/>
      <c r="N166" s="663"/>
      <c r="O166" s="383"/>
      <c r="P166" s="1008"/>
      <c r="Q166" s="1009"/>
      <c r="R166" s="375"/>
      <c r="S166" s="376"/>
      <c r="T166" s="375"/>
      <c r="U166" s="625"/>
      <c r="V166" s="560"/>
      <c r="W166" s="606"/>
      <c r="X166" s="377"/>
      <c r="Y166" s="606"/>
      <c r="Z166" s="377"/>
      <c r="AA166" s="606"/>
      <c r="AB166" s="707"/>
      <c r="AC166" s="331"/>
      <c r="AD166" s="383"/>
      <c r="AE166" s="375"/>
      <c r="AF166" s="383"/>
      <c r="AG166" s="375"/>
      <c r="AH166" s="383"/>
      <c r="AI166" s="375"/>
      <c r="AJ166" s="383"/>
      <c r="AK166" s="375"/>
      <c r="AL166" s="375"/>
      <c r="AM166" s="375"/>
      <c r="AN166" s="375"/>
      <c r="AO166" s="375"/>
      <c r="AP166" s="375"/>
      <c r="AQ166" s="375"/>
      <c r="AR166" s="375"/>
      <c r="AS166" s="375"/>
      <c r="AT166" s="375"/>
      <c r="AU166" s="375"/>
      <c r="AV166" s="375"/>
      <c r="AW166" s="375"/>
      <c r="AX166" s="331"/>
    </row>
    <row r="167" spans="1:50" x14ac:dyDescent="0.2">
      <c r="A167" s="1050"/>
      <c r="B167" s="1019"/>
      <c r="C167" s="1051"/>
      <c r="D167" s="1040"/>
      <c r="E167" s="1270"/>
      <c r="F167" s="1267"/>
      <c r="G167" s="1115"/>
      <c r="H167" s="1104"/>
      <c r="I167" s="1045"/>
      <c r="J167" s="377"/>
      <c r="K167" s="482"/>
      <c r="L167" s="482"/>
      <c r="M167" s="851"/>
      <c r="N167" s="663"/>
      <c r="O167" s="383"/>
      <c r="P167" s="1008"/>
      <c r="Q167" s="1009"/>
      <c r="R167" s="375"/>
      <c r="S167" s="376"/>
      <c r="T167" s="375"/>
      <c r="U167" s="625"/>
      <c r="V167" s="560"/>
      <c r="W167" s="606"/>
      <c r="X167" s="377"/>
      <c r="Y167" s="606"/>
      <c r="Z167" s="377"/>
      <c r="AA167" s="606"/>
      <c r="AB167" s="707"/>
      <c r="AC167" s="331"/>
      <c r="AD167" s="383"/>
      <c r="AE167" s="375"/>
      <c r="AF167" s="383"/>
      <c r="AG167" s="375"/>
      <c r="AH167" s="383"/>
      <c r="AI167" s="375"/>
      <c r="AJ167" s="383"/>
      <c r="AK167" s="375"/>
      <c r="AL167" s="375"/>
      <c r="AM167" s="375"/>
      <c r="AN167" s="375"/>
      <c r="AO167" s="375"/>
      <c r="AP167" s="375"/>
      <c r="AQ167" s="375"/>
      <c r="AR167" s="375"/>
      <c r="AS167" s="375"/>
      <c r="AT167" s="375"/>
      <c r="AU167" s="375"/>
      <c r="AV167" s="375"/>
      <c r="AW167" s="375"/>
      <c r="AX167" s="331"/>
    </row>
    <row r="168" spans="1:50" x14ac:dyDescent="0.2">
      <c r="A168" s="1050"/>
      <c r="B168" s="1019"/>
      <c r="C168" s="1051"/>
      <c r="D168" s="1040"/>
      <c r="E168" s="1270"/>
      <c r="F168" s="1267"/>
      <c r="G168" s="1115"/>
      <c r="H168" s="1104"/>
      <c r="I168" s="1046"/>
      <c r="J168" s="377"/>
      <c r="K168" s="482"/>
      <c r="L168" s="482"/>
      <c r="M168" s="851"/>
      <c r="N168" s="663"/>
      <c r="O168" s="383"/>
      <c r="P168" s="1008"/>
      <c r="Q168" s="1009"/>
      <c r="R168" s="375"/>
      <c r="S168" s="376"/>
      <c r="T168" s="375"/>
      <c r="U168" s="625"/>
      <c r="V168" s="560"/>
      <c r="W168" s="606"/>
      <c r="X168" s="377"/>
      <c r="Y168" s="606"/>
      <c r="Z168" s="377"/>
      <c r="AA168" s="606"/>
      <c r="AB168" s="707"/>
      <c r="AC168" s="331"/>
      <c r="AD168" s="383"/>
      <c r="AE168" s="375"/>
      <c r="AF168" s="383"/>
      <c r="AG168" s="375"/>
      <c r="AH168" s="383"/>
      <c r="AI168" s="375"/>
      <c r="AJ168" s="383"/>
      <c r="AK168" s="375"/>
      <c r="AL168" s="375"/>
      <c r="AM168" s="375"/>
      <c r="AN168" s="375"/>
      <c r="AO168" s="375"/>
      <c r="AP168" s="375"/>
      <c r="AQ168" s="375"/>
      <c r="AR168" s="375"/>
      <c r="AS168" s="375"/>
      <c r="AT168" s="375"/>
      <c r="AU168" s="375"/>
      <c r="AV168" s="375"/>
      <c r="AW168" s="375"/>
      <c r="AX168" s="331"/>
    </row>
    <row r="169" spans="1:50" x14ac:dyDescent="0.2">
      <c r="A169" s="1050"/>
      <c r="B169" s="1019"/>
      <c r="C169" s="1051"/>
      <c r="D169" s="1040"/>
      <c r="E169" s="1270"/>
      <c r="F169" s="1267"/>
      <c r="G169" s="1115"/>
      <c r="H169" s="1104"/>
      <c r="I169" s="1045"/>
      <c r="J169" s="377"/>
      <c r="K169" s="482"/>
      <c r="L169" s="482"/>
      <c r="M169" s="851"/>
      <c r="N169" s="663"/>
      <c r="O169" s="383"/>
      <c r="P169" s="1008"/>
      <c r="Q169" s="1009"/>
      <c r="R169" s="375"/>
      <c r="S169" s="376"/>
      <c r="T169" s="375"/>
      <c r="U169" s="625"/>
      <c r="V169" s="560"/>
      <c r="W169" s="606"/>
      <c r="X169" s="377"/>
      <c r="Y169" s="606"/>
      <c r="Z169" s="377"/>
      <c r="AA169" s="606"/>
      <c r="AB169" s="707"/>
      <c r="AC169" s="331"/>
      <c r="AD169" s="383"/>
      <c r="AE169" s="375"/>
      <c r="AF169" s="383"/>
      <c r="AG169" s="375"/>
      <c r="AH169" s="383"/>
      <c r="AI169" s="375"/>
      <c r="AJ169" s="383"/>
      <c r="AK169" s="375"/>
      <c r="AL169" s="375"/>
      <c r="AM169" s="375"/>
      <c r="AN169" s="375"/>
      <c r="AO169" s="375"/>
      <c r="AP169" s="375"/>
      <c r="AQ169" s="375"/>
      <c r="AR169" s="375"/>
      <c r="AS169" s="375"/>
      <c r="AT169" s="375"/>
      <c r="AU169" s="375"/>
      <c r="AV169" s="375"/>
      <c r="AW169" s="375"/>
      <c r="AX169" s="331"/>
    </row>
    <row r="170" spans="1:50" x14ac:dyDescent="0.2">
      <c r="A170" s="1050"/>
      <c r="B170" s="1019"/>
      <c r="C170" s="1051"/>
      <c r="D170" s="1040"/>
      <c r="E170" s="1270"/>
      <c r="F170" s="1267"/>
      <c r="G170" s="1115"/>
      <c r="H170" s="1104"/>
      <c r="I170" s="1045"/>
      <c r="J170" s="377"/>
      <c r="K170" s="482"/>
      <c r="L170" s="482"/>
      <c r="M170" s="851"/>
      <c r="N170" s="663"/>
      <c r="O170" s="383"/>
      <c r="P170" s="1008"/>
      <c r="Q170" s="1009"/>
      <c r="R170" s="375"/>
      <c r="S170" s="376"/>
      <c r="T170" s="375"/>
      <c r="U170" s="625"/>
      <c r="V170" s="560"/>
      <c r="W170" s="606"/>
      <c r="X170" s="377"/>
      <c r="Y170" s="606"/>
      <c r="Z170" s="377"/>
      <c r="AA170" s="606"/>
      <c r="AB170" s="707"/>
      <c r="AC170" s="331"/>
      <c r="AD170" s="383"/>
      <c r="AE170" s="375"/>
      <c r="AF170" s="383"/>
      <c r="AG170" s="375"/>
      <c r="AH170" s="383"/>
      <c r="AI170" s="375"/>
      <c r="AJ170" s="383"/>
      <c r="AK170" s="375"/>
      <c r="AL170" s="375"/>
      <c r="AM170" s="375"/>
      <c r="AN170" s="375"/>
      <c r="AO170" s="375"/>
      <c r="AP170" s="375"/>
      <c r="AQ170" s="375"/>
      <c r="AR170" s="375"/>
      <c r="AS170" s="375"/>
      <c r="AT170" s="375"/>
      <c r="AU170" s="375"/>
      <c r="AV170" s="375"/>
      <c r="AW170" s="375"/>
      <c r="AX170" s="331"/>
    </row>
    <row r="171" spans="1:50" x14ac:dyDescent="0.2">
      <c r="A171" s="1050"/>
      <c r="B171" s="1019"/>
      <c r="C171" s="1051"/>
      <c r="D171" s="1040"/>
      <c r="E171" s="1270"/>
      <c r="F171" s="1267"/>
      <c r="G171" s="1115"/>
      <c r="H171" s="1104"/>
      <c r="I171" s="1045"/>
      <c r="J171" s="377"/>
      <c r="K171" s="482"/>
      <c r="L171" s="482"/>
      <c r="M171" s="851"/>
      <c r="N171" s="663"/>
      <c r="O171" s="383"/>
      <c r="P171" s="1008"/>
      <c r="Q171" s="1009"/>
      <c r="R171" s="375"/>
      <c r="S171" s="376"/>
      <c r="T171" s="375"/>
      <c r="U171" s="625"/>
      <c r="V171" s="560"/>
      <c r="W171" s="606"/>
      <c r="X171" s="377"/>
      <c r="Y171" s="606"/>
      <c r="Z171" s="377"/>
      <c r="AA171" s="606"/>
      <c r="AB171" s="707"/>
      <c r="AC171" s="331"/>
      <c r="AD171" s="383"/>
      <c r="AE171" s="375"/>
      <c r="AF171" s="383"/>
      <c r="AG171" s="375"/>
      <c r="AH171" s="383"/>
      <c r="AI171" s="375"/>
      <c r="AJ171" s="383"/>
      <c r="AK171" s="375"/>
      <c r="AL171" s="375"/>
      <c r="AM171" s="375"/>
      <c r="AN171" s="375"/>
      <c r="AO171" s="375"/>
      <c r="AP171" s="375"/>
      <c r="AQ171" s="375"/>
      <c r="AR171" s="375"/>
      <c r="AS171" s="375"/>
      <c r="AT171" s="375"/>
      <c r="AU171" s="375"/>
      <c r="AV171" s="375"/>
      <c r="AW171" s="375"/>
      <c r="AX171" s="331"/>
    </row>
    <row r="172" spans="1:50" x14ac:dyDescent="0.2">
      <c r="A172" s="1050"/>
      <c r="B172" s="1019"/>
      <c r="C172" s="1051"/>
      <c r="D172" s="1040"/>
      <c r="E172" s="1270"/>
      <c r="F172" s="1267"/>
      <c r="G172" s="1115"/>
      <c r="H172" s="1104"/>
      <c r="I172" s="1045"/>
      <c r="J172" s="377"/>
      <c r="K172" s="482"/>
      <c r="L172" s="482"/>
      <c r="M172" s="851"/>
      <c r="N172" s="663"/>
      <c r="O172" s="383"/>
      <c r="P172" s="1008"/>
      <c r="Q172" s="1009"/>
      <c r="R172" s="375"/>
      <c r="S172" s="376"/>
      <c r="T172" s="375"/>
      <c r="U172" s="625"/>
      <c r="V172" s="560"/>
      <c r="W172" s="606"/>
      <c r="X172" s="377"/>
      <c r="Y172" s="606"/>
      <c r="Z172" s="377"/>
      <c r="AA172" s="606"/>
      <c r="AB172" s="707"/>
      <c r="AC172" s="331"/>
      <c r="AD172" s="383"/>
      <c r="AE172" s="375"/>
      <c r="AF172" s="383"/>
      <c r="AG172" s="375"/>
      <c r="AH172" s="383"/>
      <c r="AI172" s="375"/>
      <c r="AJ172" s="383"/>
      <c r="AK172" s="375"/>
      <c r="AL172" s="375"/>
      <c r="AM172" s="375"/>
      <c r="AN172" s="375"/>
      <c r="AO172" s="375"/>
      <c r="AP172" s="375"/>
      <c r="AQ172" s="375"/>
      <c r="AR172" s="375"/>
      <c r="AS172" s="375"/>
      <c r="AT172" s="375"/>
      <c r="AU172" s="375"/>
      <c r="AV172" s="375"/>
      <c r="AW172" s="375"/>
      <c r="AX172" s="331"/>
    </row>
    <row r="173" spans="1:50" x14ac:dyDescent="0.2">
      <c r="A173" s="1050"/>
      <c r="B173" s="1019"/>
      <c r="C173" s="1051"/>
      <c r="D173" s="1040"/>
      <c r="E173" s="1270"/>
      <c r="F173" s="1267"/>
      <c r="G173" s="1115"/>
      <c r="H173" s="1104"/>
      <c r="I173" s="1045"/>
      <c r="J173" s="377"/>
      <c r="K173" s="482"/>
      <c r="L173" s="482"/>
      <c r="M173" s="851"/>
      <c r="N173" s="663"/>
      <c r="O173" s="383"/>
      <c r="P173" s="1008"/>
      <c r="Q173" s="1009"/>
      <c r="R173" s="375"/>
      <c r="S173" s="376"/>
      <c r="T173" s="375"/>
      <c r="U173" s="625"/>
      <c r="V173" s="560"/>
      <c r="W173" s="606"/>
      <c r="X173" s="377"/>
      <c r="Y173" s="606"/>
      <c r="Z173" s="377"/>
      <c r="AA173" s="606"/>
      <c r="AB173" s="707"/>
      <c r="AC173" s="331"/>
      <c r="AD173" s="383"/>
      <c r="AE173" s="375"/>
      <c r="AF173" s="383"/>
      <c r="AG173" s="375"/>
      <c r="AH173" s="383"/>
      <c r="AI173" s="375"/>
      <c r="AJ173" s="383"/>
      <c r="AK173" s="375"/>
      <c r="AL173" s="375"/>
      <c r="AM173" s="375"/>
      <c r="AN173" s="375"/>
      <c r="AO173" s="375"/>
      <c r="AP173" s="375"/>
      <c r="AQ173" s="375"/>
      <c r="AR173" s="375"/>
      <c r="AS173" s="375"/>
      <c r="AT173" s="375"/>
      <c r="AU173" s="375"/>
      <c r="AV173" s="375"/>
      <c r="AW173" s="375"/>
      <c r="AX173" s="331"/>
    </row>
    <row r="174" spans="1:50" x14ac:dyDescent="0.2">
      <c r="A174" s="1050"/>
      <c r="B174" s="1019"/>
      <c r="C174" s="1051"/>
      <c r="D174" s="1040"/>
      <c r="E174" s="1270"/>
      <c r="F174" s="1267"/>
      <c r="G174" s="1115"/>
      <c r="H174" s="1104"/>
      <c r="I174" s="1045"/>
      <c r="J174" s="377"/>
      <c r="K174" s="482"/>
      <c r="L174" s="482"/>
      <c r="M174" s="851"/>
      <c r="N174" s="663"/>
      <c r="O174" s="383"/>
      <c r="P174" s="1008"/>
      <c r="Q174" s="1009"/>
      <c r="R174" s="1331"/>
      <c r="S174" s="376"/>
      <c r="T174" s="375"/>
      <c r="U174" s="625"/>
      <c r="V174" s="560"/>
      <c r="W174" s="606"/>
      <c r="X174" s="377"/>
      <c r="Y174" s="606"/>
      <c r="Z174" s="377"/>
      <c r="AA174" s="606"/>
      <c r="AB174" s="707"/>
      <c r="AC174" s="331"/>
      <c r="AD174" s="383"/>
      <c r="AE174" s="375"/>
      <c r="AF174" s="383"/>
      <c r="AG174" s="375"/>
      <c r="AH174" s="383"/>
      <c r="AI174" s="375"/>
      <c r="AJ174" s="383"/>
      <c r="AK174" s="375"/>
      <c r="AL174" s="375"/>
      <c r="AM174" s="375"/>
      <c r="AN174" s="375"/>
      <c r="AO174" s="375"/>
      <c r="AP174" s="375"/>
      <c r="AQ174" s="375"/>
      <c r="AR174" s="375"/>
      <c r="AS174" s="375"/>
      <c r="AT174" s="375"/>
      <c r="AU174" s="375"/>
      <c r="AV174" s="375"/>
      <c r="AW174" s="375"/>
      <c r="AX174" s="331"/>
    </row>
    <row r="175" spans="1:50" x14ac:dyDescent="0.2">
      <c r="A175" s="1050"/>
      <c r="B175" s="1019"/>
      <c r="C175" s="1051"/>
      <c r="D175" s="1040"/>
      <c r="E175" s="1270"/>
      <c r="F175" s="1267"/>
      <c r="G175" s="1115"/>
      <c r="H175" s="1104"/>
      <c r="I175" s="1045"/>
      <c r="J175" s="377"/>
      <c r="K175" s="482"/>
      <c r="L175" s="482"/>
      <c r="M175" s="851"/>
      <c r="N175" s="663"/>
      <c r="O175" s="383"/>
      <c r="P175" s="1008"/>
      <c r="Q175" s="1009"/>
      <c r="R175" s="375"/>
      <c r="S175" s="376"/>
      <c r="T175" s="375"/>
      <c r="U175" s="625"/>
      <c r="V175" s="560"/>
      <c r="W175" s="606"/>
      <c r="X175" s="377"/>
      <c r="Y175" s="606"/>
      <c r="Z175" s="377"/>
      <c r="AA175" s="606"/>
      <c r="AB175" s="707"/>
      <c r="AC175" s="331"/>
      <c r="AD175" s="383"/>
      <c r="AE175" s="375"/>
      <c r="AF175" s="383"/>
      <c r="AG175" s="375"/>
      <c r="AH175" s="383"/>
      <c r="AI175" s="375"/>
      <c r="AJ175" s="383"/>
      <c r="AK175" s="375"/>
      <c r="AL175" s="375"/>
      <c r="AM175" s="375"/>
      <c r="AN175" s="375"/>
      <c r="AO175" s="375"/>
      <c r="AP175" s="375"/>
      <c r="AQ175" s="375"/>
      <c r="AR175" s="375"/>
      <c r="AS175" s="375"/>
      <c r="AT175" s="375"/>
      <c r="AU175" s="375"/>
      <c r="AV175" s="375"/>
      <c r="AW175" s="375"/>
      <c r="AX175" s="331"/>
    </row>
    <row r="176" spans="1:50" x14ac:dyDescent="0.2">
      <c r="A176" s="1050"/>
      <c r="B176" s="1019"/>
      <c r="C176" s="1051"/>
      <c r="D176" s="1040"/>
      <c r="E176" s="1270"/>
      <c r="F176" s="1267"/>
      <c r="G176" s="1115"/>
      <c r="H176" s="1104"/>
      <c r="I176" s="1046"/>
      <c r="J176" s="377"/>
      <c r="K176" s="482"/>
      <c r="L176" s="482"/>
      <c r="M176" s="851"/>
      <c r="N176" s="663"/>
      <c r="O176" s="383"/>
      <c r="P176" s="1008"/>
      <c r="Q176" s="1009"/>
      <c r="R176" s="1324"/>
      <c r="S176" s="376"/>
      <c r="T176" s="375"/>
      <c r="U176" s="625"/>
      <c r="V176" s="560"/>
      <c r="W176" s="606"/>
      <c r="X176" s="377"/>
      <c r="Y176" s="606"/>
      <c r="Z176" s="377"/>
      <c r="AA176" s="606"/>
      <c r="AB176" s="707"/>
      <c r="AC176" s="331"/>
      <c r="AD176" s="383"/>
      <c r="AE176" s="375"/>
      <c r="AF176" s="383"/>
      <c r="AG176" s="375"/>
      <c r="AH176" s="383"/>
      <c r="AI176" s="375"/>
      <c r="AJ176" s="383"/>
      <c r="AK176" s="375"/>
      <c r="AL176" s="375"/>
      <c r="AM176" s="375"/>
      <c r="AN176" s="375"/>
      <c r="AO176" s="375"/>
      <c r="AP176" s="375"/>
      <c r="AQ176" s="375"/>
      <c r="AR176" s="375"/>
      <c r="AS176" s="375"/>
      <c r="AT176" s="375"/>
      <c r="AU176" s="375"/>
      <c r="AV176" s="375"/>
      <c r="AW176" s="375"/>
      <c r="AX176" s="331"/>
    </row>
    <row r="177" spans="1:50" x14ac:dyDescent="0.2">
      <c r="A177" s="1050"/>
      <c r="B177" s="1042"/>
      <c r="C177" s="1051"/>
      <c r="D177" s="1040"/>
      <c r="E177" s="1270"/>
      <c r="F177" s="1267"/>
      <c r="G177" s="1115"/>
      <c r="H177" s="1104"/>
      <c r="I177" s="1045"/>
      <c r="J177" s="377"/>
      <c r="K177" s="482"/>
      <c r="L177" s="482"/>
      <c r="M177" s="851"/>
      <c r="N177" s="663"/>
      <c r="O177" s="383"/>
      <c r="P177" s="1008"/>
      <c r="Q177" s="1009"/>
      <c r="R177" s="375"/>
      <c r="S177" s="376"/>
      <c r="T177" s="375"/>
      <c r="U177" s="625"/>
      <c r="V177" s="560"/>
      <c r="W177" s="606"/>
      <c r="X177" s="377"/>
      <c r="Y177" s="606"/>
      <c r="Z177" s="377"/>
      <c r="AA177" s="606"/>
      <c r="AB177" s="707"/>
      <c r="AC177" s="331"/>
      <c r="AD177" s="383"/>
      <c r="AE177" s="375"/>
      <c r="AF177" s="383"/>
      <c r="AG177" s="375"/>
      <c r="AH177" s="383"/>
      <c r="AI177" s="375"/>
      <c r="AJ177" s="383"/>
      <c r="AK177" s="375"/>
      <c r="AL177" s="375"/>
      <c r="AM177" s="375"/>
      <c r="AN177" s="375"/>
      <c r="AO177" s="375"/>
      <c r="AP177" s="375"/>
      <c r="AQ177" s="375"/>
      <c r="AR177" s="375"/>
      <c r="AS177" s="375"/>
      <c r="AT177" s="375"/>
      <c r="AU177" s="375"/>
      <c r="AV177" s="375"/>
      <c r="AW177" s="375"/>
      <c r="AX177" s="331"/>
    </row>
    <row r="178" spans="1:50" x14ac:dyDescent="0.2">
      <c r="A178" s="1050"/>
      <c r="B178" s="1019"/>
      <c r="C178" s="1051"/>
      <c r="D178" s="1040"/>
      <c r="E178" s="1270"/>
      <c r="F178" s="1267"/>
      <c r="G178" s="1115"/>
      <c r="H178" s="1104"/>
      <c r="I178" s="1045"/>
      <c r="J178" s="377"/>
      <c r="K178" s="482"/>
      <c r="L178" s="482"/>
      <c r="M178" s="851"/>
      <c r="N178" s="663"/>
      <c r="O178" s="383"/>
      <c r="P178" s="1008"/>
      <c r="Q178" s="1009"/>
      <c r="R178" s="375"/>
      <c r="S178" s="376"/>
      <c r="T178" s="375"/>
      <c r="U178" s="625"/>
      <c r="V178" s="560"/>
      <c r="W178" s="606"/>
      <c r="X178" s="377"/>
      <c r="Y178" s="606"/>
      <c r="Z178" s="377"/>
      <c r="AA178" s="606"/>
      <c r="AB178" s="707"/>
      <c r="AC178" s="331"/>
      <c r="AD178" s="383"/>
      <c r="AE178" s="375"/>
      <c r="AF178" s="383"/>
      <c r="AG178" s="375"/>
      <c r="AH178" s="383"/>
      <c r="AI178" s="375"/>
      <c r="AJ178" s="383"/>
      <c r="AK178" s="375"/>
      <c r="AL178" s="375"/>
      <c r="AM178" s="375"/>
      <c r="AN178" s="375"/>
      <c r="AO178" s="375"/>
      <c r="AP178" s="375"/>
      <c r="AQ178" s="375"/>
      <c r="AR178" s="375"/>
      <c r="AS178" s="375"/>
      <c r="AT178" s="375"/>
      <c r="AU178" s="375"/>
      <c r="AV178" s="375"/>
      <c r="AW178" s="375"/>
      <c r="AX178" s="331"/>
    </row>
    <row r="179" spans="1:50" x14ac:dyDescent="0.2">
      <c r="A179" s="1050"/>
      <c r="B179" s="1019"/>
      <c r="C179" s="1051"/>
      <c r="D179" s="1040"/>
      <c r="E179" s="1270"/>
      <c r="F179" s="1267"/>
      <c r="G179" s="1115"/>
      <c r="H179" s="1104"/>
      <c r="I179" s="1045"/>
      <c r="J179" s="377"/>
      <c r="K179" s="482"/>
      <c r="L179" s="482"/>
      <c r="M179" s="851"/>
      <c r="N179" s="663"/>
      <c r="O179" s="383"/>
      <c r="P179" s="1008"/>
      <c r="Q179" s="1009"/>
      <c r="R179" s="375"/>
      <c r="S179" s="376"/>
      <c r="T179" s="375"/>
      <c r="U179" s="625"/>
      <c r="V179" s="560"/>
      <c r="W179" s="606"/>
      <c r="X179" s="377"/>
      <c r="Y179" s="606"/>
      <c r="Z179" s="377"/>
      <c r="AA179" s="606"/>
      <c r="AB179" s="707"/>
      <c r="AC179" s="331"/>
      <c r="AD179" s="383"/>
      <c r="AE179" s="375"/>
      <c r="AF179" s="383"/>
      <c r="AG179" s="375"/>
      <c r="AH179" s="383"/>
      <c r="AI179" s="375"/>
      <c r="AJ179" s="383"/>
      <c r="AK179" s="375"/>
      <c r="AL179" s="375"/>
      <c r="AM179" s="375"/>
      <c r="AN179" s="375"/>
      <c r="AO179" s="375"/>
      <c r="AP179" s="375"/>
      <c r="AQ179" s="375"/>
      <c r="AR179" s="375"/>
      <c r="AS179" s="375"/>
      <c r="AT179" s="375"/>
      <c r="AU179" s="375"/>
      <c r="AV179" s="375"/>
      <c r="AW179" s="375"/>
      <c r="AX179" s="331"/>
    </row>
    <row r="180" spans="1:50" x14ac:dyDescent="0.2">
      <c r="A180" s="1050"/>
      <c r="B180" s="1042"/>
      <c r="C180" s="1051"/>
      <c r="D180" s="1040"/>
      <c r="E180" s="1270"/>
      <c r="F180" s="1267"/>
      <c r="G180" s="1115"/>
      <c r="H180" s="1104"/>
      <c r="I180" s="1045"/>
      <c r="J180" s="377"/>
      <c r="K180" s="482"/>
      <c r="L180" s="482"/>
      <c r="M180" s="851"/>
      <c r="N180" s="663"/>
      <c r="O180" s="383"/>
      <c r="P180" s="1008"/>
      <c r="Q180" s="1009"/>
      <c r="R180" s="375"/>
      <c r="S180" s="376"/>
      <c r="T180" s="375"/>
      <c r="U180" s="625"/>
      <c r="V180" s="560"/>
      <c r="W180" s="606"/>
      <c r="X180" s="377"/>
      <c r="Y180" s="606"/>
      <c r="Z180" s="377"/>
      <c r="AA180" s="606"/>
      <c r="AB180" s="707"/>
      <c r="AC180" s="331"/>
      <c r="AD180" s="383"/>
      <c r="AE180" s="375"/>
      <c r="AF180" s="383"/>
      <c r="AG180" s="375"/>
      <c r="AH180" s="383"/>
      <c r="AI180" s="375"/>
      <c r="AJ180" s="383"/>
      <c r="AK180" s="375"/>
      <c r="AL180" s="375"/>
      <c r="AM180" s="375"/>
      <c r="AN180" s="375"/>
      <c r="AO180" s="375"/>
      <c r="AP180" s="375"/>
      <c r="AQ180" s="375"/>
      <c r="AR180" s="375"/>
      <c r="AS180" s="375"/>
      <c r="AT180" s="375"/>
      <c r="AU180" s="375"/>
      <c r="AV180" s="375"/>
      <c r="AW180" s="375"/>
      <c r="AX180" s="331"/>
    </row>
    <row r="181" spans="1:50" x14ac:dyDescent="0.2">
      <c r="A181" s="1050"/>
      <c r="B181" s="1019"/>
      <c r="C181" s="1051"/>
      <c r="D181" s="1040"/>
      <c r="E181" s="1270"/>
      <c r="F181" s="1267"/>
      <c r="G181" s="1115"/>
      <c r="H181" s="1104"/>
      <c r="I181" s="1045"/>
      <c r="J181" s="377"/>
      <c r="K181" s="482"/>
      <c r="L181" s="482"/>
      <c r="M181" s="851"/>
      <c r="N181" s="663"/>
      <c r="O181" s="383"/>
      <c r="P181" s="1008"/>
      <c r="Q181" s="1009"/>
      <c r="R181" s="375"/>
      <c r="S181" s="376"/>
      <c r="T181" s="375"/>
      <c r="U181" s="625"/>
      <c r="V181" s="560"/>
      <c r="W181" s="606"/>
      <c r="X181" s="377"/>
      <c r="Y181" s="606"/>
      <c r="Z181" s="377"/>
      <c r="AA181" s="606"/>
      <c r="AB181" s="707"/>
      <c r="AC181" s="331"/>
      <c r="AD181" s="383"/>
      <c r="AE181" s="375"/>
      <c r="AF181" s="383"/>
      <c r="AG181" s="375"/>
      <c r="AH181" s="383"/>
      <c r="AI181" s="375"/>
      <c r="AJ181" s="383"/>
      <c r="AK181" s="375"/>
      <c r="AL181" s="375"/>
      <c r="AM181" s="375"/>
      <c r="AN181" s="375"/>
      <c r="AO181" s="375"/>
      <c r="AP181" s="375"/>
      <c r="AQ181" s="375"/>
      <c r="AR181" s="375"/>
      <c r="AS181" s="375"/>
      <c r="AT181" s="375"/>
      <c r="AU181" s="375"/>
      <c r="AV181" s="375"/>
      <c r="AW181" s="375"/>
      <c r="AX181" s="331"/>
    </row>
    <row r="182" spans="1:50" x14ac:dyDescent="0.2">
      <c r="A182" s="1050"/>
      <c r="B182" s="1019"/>
      <c r="C182" s="1051"/>
      <c r="D182" s="1040"/>
      <c r="E182" s="1270"/>
      <c r="F182" s="1267"/>
      <c r="G182" s="1115"/>
      <c r="H182" s="1104"/>
      <c r="I182" s="1045"/>
      <c r="J182" s="377"/>
      <c r="K182" s="482"/>
      <c r="L182" s="482"/>
      <c r="M182" s="851"/>
      <c r="N182" s="663"/>
      <c r="O182" s="383"/>
      <c r="P182" s="1008"/>
      <c r="Q182" s="1009"/>
      <c r="R182" s="375"/>
      <c r="S182" s="376"/>
      <c r="T182" s="375"/>
      <c r="U182" s="625"/>
      <c r="V182" s="560"/>
      <c r="W182" s="606"/>
      <c r="X182" s="377"/>
      <c r="Y182" s="606"/>
      <c r="Z182" s="377"/>
      <c r="AA182" s="606"/>
      <c r="AB182" s="707"/>
      <c r="AC182" s="331"/>
      <c r="AD182" s="383"/>
      <c r="AE182" s="375"/>
      <c r="AF182" s="383"/>
      <c r="AG182" s="375"/>
      <c r="AH182" s="383"/>
      <c r="AI182" s="375"/>
      <c r="AJ182" s="383"/>
      <c r="AK182" s="375"/>
      <c r="AL182" s="375"/>
      <c r="AM182" s="375"/>
      <c r="AN182" s="375"/>
      <c r="AO182" s="375"/>
      <c r="AP182" s="375"/>
      <c r="AQ182" s="375"/>
      <c r="AR182" s="375"/>
      <c r="AS182" s="375"/>
      <c r="AT182" s="375"/>
      <c r="AU182" s="375"/>
      <c r="AV182" s="375"/>
      <c r="AW182" s="375"/>
      <c r="AX182" s="331"/>
    </row>
    <row r="183" spans="1:50" x14ac:dyDescent="0.2">
      <c r="A183" s="1050"/>
      <c r="B183" s="1019"/>
      <c r="C183" s="1051"/>
      <c r="D183" s="1040"/>
      <c r="E183" s="1270"/>
      <c r="F183" s="1267"/>
      <c r="G183" s="1115"/>
      <c r="H183" s="1104"/>
      <c r="I183" s="1045"/>
      <c r="J183" s="377"/>
      <c r="K183" s="482"/>
      <c r="L183" s="482"/>
      <c r="M183" s="851"/>
      <c r="N183" s="663"/>
      <c r="O183" s="383"/>
      <c r="P183" s="1008"/>
      <c r="Q183" s="1009"/>
      <c r="R183" s="375"/>
      <c r="S183" s="376"/>
      <c r="T183" s="375"/>
      <c r="U183" s="625"/>
      <c r="V183" s="560"/>
      <c r="W183" s="606"/>
      <c r="X183" s="377"/>
      <c r="Y183" s="606"/>
      <c r="Z183" s="377"/>
      <c r="AA183" s="606"/>
      <c r="AB183" s="707"/>
      <c r="AC183" s="331"/>
      <c r="AD183" s="383"/>
      <c r="AE183" s="375"/>
      <c r="AF183" s="383"/>
      <c r="AG183" s="375"/>
      <c r="AH183" s="383"/>
      <c r="AI183" s="375"/>
      <c r="AJ183" s="383"/>
      <c r="AK183" s="375"/>
      <c r="AL183" s="375"/>
      <c r="AM183" s="375"/>
      <c r="AN183" s="375"/>
      <c r="AO183" s="375"/>
      <c r="AP183" s="375"/>
      <c r="AQ183" s="375"/>
      <c r="AR183" s="375"/>
      <c r="AS183" s="375"/>
      <c r="AT183" s="375"/>
      <c r="AU183" s="375"/>
      <c r="AV183" s="375"/>
      <c r="AW183" s="375"/>
      <c r="AX183" s="331"/>
    </row>
    <row r="184" spans="1:50" x14ac:dyDescent="0.2">
      <c r="A184" s="1050"/>
      <c r="B184" s="1019"/>
      <c r="C184" s="1051"/>
      <c r="D184" s="1040"/>
      <c r="E184" s="1270"/>
      <c r="F184" s="1267"/>
      <c r="G184" s="1115"/>
      <c r="H184" s="1104"/>
      <c r="I184" s="1045"/>
      <c r="J184" s="377"/>
      <c r="K184" s="482"/>
      <c r="L184" s="482"/>
      <c r="M184" s="851"/>
      <c r="N184" s="663"/>
      <c r="O184" s="383"/>
      <c r="P184" s="1008"/>
      <c r="Q184" s="1009"/>
      <c r="R184" s="375"/>
      <c r="S184" s="376"/>
      <c r="T184" s="375"/>
      <c r="U184" s="625"/>
      <c r="V184" s="560"/>
      <c r="W184" s="606"/>
      <c r="X184" s="377"/>
      <c r="Y184" s="606"/>
      <c r="Z184" s="377"/>
      <c r="AA184" s="606"/>
      <c r="AB184" s="707"/>
      <c r="AC184" s="331"/>
      <c r="AD184" s="383"/>
      <c r="AE184" s="375"/>
      <c r="AF184" s="383"/>
      <c r="AG184" s="375"/>
      <c r="AH184" s="383"/>
      <c r="AI184" s="375"/>
      <c r="AJ184" s="383"/>
      <c r="AK184" s="375"/>
      <c r="AL184" s="375"/>
      <c r="AM184" s="375"/>
      <c r="AN184" s="375"/>
      <c r="AO184" s="375"/>
      <c r="AP184" s="375"/>
      <c r="AQ184" s="375"/>
      <c r="AR184" s="375"/>
      <c r="AS184" s="375"/>
      <c r="AT184" s="375"/>
      <c r="AU184" s="375"/>
      <c r="AV184" s="375"/>
      <c r="AW184" s="375"/>
      <c r="AX184" s="331"/>
    </row>
    <row r="185" spans="1:50" x14ac:dyDescent="0.2">
      <c r="A185" s="1050"/>
      <c r="B185" s="1019"/>
      <c r="C185" s="1051"/>
      <c r="D185" s="1040"/>
      <c r="E185" s="1270"/>
      <c r="F185" s="1267"/>
      <c r="G185" s="1115"/>
      <c r="H185" s="1104"/>
      <c r="I185" s="1045"/>
      <c r="J185" s="377"/>
      <c r="K185" s="482"/>
      <c r="L185" s="482"/>
      <c r="M185" s="851"/>
      <c r="N185" s="663"/>
      <c r="O185" s="383"/>
      <c r="P185" s="1008"/>
      <c r="Q185" s="1009"/>
      <c r="R185" s="375"/>
      <c r="S185" s="376"/>
      <c r="T185" s="375"/>
      <c r="U185" s="625"/>
      <c r="V185" s="560"/>
      <c r="W185" s="606"/>
      <c r="X185" s="377"/>
      <c r="Y185" s="606"/>
      <c r="Z185" s="377"/>
      <c r="AA185" s="606"/>
      <c r="AB185" s="707"/>
      <c r="AC185" s="331"/>
      <c r="AD185" s="383"/>
      <c r="AE185" s="375"/>
      <c r="AF185" s="383"/>
      <c r="AG185" s="375"/>
      <c r="AH185" s="383"/>
      <c r="AI185" s="375"/>
      <c r="AJ185" s="383"/>
      <c r="AK185" s="375"/>
      <c r="AL185" s="375"/>
      <c r="AM185" s="375"/>
      <c r="AN185" s="375"/>
      <c r="AO185" s="375"/>
      <c r="AP185" s="375"/>
      <c r="AQ185" s="375"/>
      <c r="AR185" s="375"/>
      <c r="AS185" s="375"/>
      <c r="AT185" s="375"/>
      <c r="AU185" s="375"/>
      <c r="AV185" s="375"/>
      <c r="AW185" s="375"/>
      <c r="AX185" s="331"/>
    </row>
    <row r="186" spans="1:50" x14ac:dyDescent="0.2">
      <c r="A186" s="1050"/>
      <c r="B186" s="1019"/>
      <c r="C186" s="1051"/>
      <c r="D186" s="1040"/>
      <c r="E186" s="1270"/>
      <c r="F186" s="1267"/>
      <c r="G186" s="1115"/>
      <c r="H186" s="1104"/>
      <c r="I186" s="1045"/>
      <c r="J186" s="377"/>
      <c r="K186" s="482"/>
      <c r="L186" s="482"/>
      <c r="M186" s="851"/>
      <c r="N186" s="663"/>
      <c r="O186" s="383"/>
      <c r="P186" s="1008"/>
      <c r="Q186" s="1009"/>
      <c r="R186" s="375"/>
      <c r="S186" s="376"/>
      <c r="T186" s="375"/>
      <c r="U186" s="625"/>
      <c r="V186" s="560"/>
      <c r="W186" s="606"/>
      <c r="X186" s="377"/>
      <c r="Y186" s="606"/>
      <c r="Z186" s="377"/>
      <c r="AA186" s="606"/>
      <c r="AB186" s="707"/>
      <c r="AC186" s="331"/>
      <c r="AD186" s="383"/>
      <c r="AE186" s="375"/>
      <c r="AF186" s="383"/>
      <c r="AG186" s="375"/>
      <c r="AH186" s="383"/>
      <c r="AI186" s="375"/>
      <c r="AJ186" s="383"/>
      <c r="AK186" s="375"/>
      <c r="AL186" s="375"/>
      <c r="AM186" s="375"/>
      <c r="AN186" s="375"/>
      <c r="AO186" s="375"/>
      <c r="AP186" s="375"/>
      <c r="AQ186" s="375"/>
      <c r="AR186" s="375"/>
      <c r="AS186" s="375"/>
      <c r="AT186" s="375"/>
      <c r="AU186" s="375"/>
      <c r="AV186" s="375"/>
      <c r="AW186" s="375"/>
      <c r="AX186" s="331"/>
    </row>
    <row r="187" spans="1:50" x14ac:dyDescent="0.2">
      <c r="A187" s="1050"/>
      <c r="B187" s="1019"/>
      <c r="C187" s="1051"/>
      <c r="D187" s="1040"/>
      <c r="E187" s="1270"/>
      <c r="F187" s="1267"/>
      <c r="G187" s="1115"/>
      <c r="H187" s="1104"/>
      <c r="I187" s="1046"/>
      <c r="J187" s="377"/>
      <c r="K187" s="482"/>
      <c r="L187" s="482"/>
      <c r="M187" s="851"/>
      <c r="N187" s="663"/>
      <c r="O187" s="383"/>
      <c r="P187" s="1008"/>
      <c r="Q187" s="1009"/>
      <c r="R187" s="375"/>
      <c r="S187" s="376"/>
      <c r="T187" s="375"/>
      <c r="U187" s="625"/>
      <c r="V187" s="560"/>
      <c r="W187" s="606"/>
      <c r="X187" s="377"/>
      <c r="Y187" s="606"/>
      <c r="Z187" s="377"/>
      <c r="AA187" s="606"/>
      <c r="AB187" s="707"/>
      <c r="AC187" s="331"/>
      <c r="AD187" s="383"/>
      <c r="AE187" s="375"/>
      <c r="AF187" s="383"/>
      <c r="AG187" s="375"/>
      <c r="AH187" s="383"/>
      <c r="AI187" s="375"/>
      <c r="AJ187" s="383"/>
      <c r="AK187" s="375"/>
      <c r="AL187" s="375"/>
      <c r="AM187" s="375"/>
      <c r="AN187" s="375"/>
      <c r="AO187" s="375"/>
      <c r="AP187" s="375"/>
      <c r="AQ187" s="375"/>
      <c r="AR187" s="375"/>
      <c r="AS187" s="375"/>
      <c r="AT187" s="375"/>
      <c r="AU187" s="375"/>
      <c r="AV187" s="375"/>
      <c r="AW187" s="375"/>
      <c r="AX187" s="331"/>
    </row>
    <row r="188" spans="1:50" x14ac:dyDescent="0.2">
      <c r="A188" s="1050"/>
      <c r="B188" s="1042"/>
      <c r="C188" s="1051"/>
      <c r="D188" s="1040"/>
      <c r="E188" s="1270"/>
      <c r="F188" s="1267"/>
      <c r="G188" s="1115"/>
      <c r="H188" s="1104"/>
      <c r="I188" s="1046"/>
      <c r="J188" s="377"/>
      <c r="K188" s="701"/>
      <c r="L188" s="482"/>
      <c r="M188" s="851"/>
      <c r="N188" s="663"/>
      <c r="O188" s="383"/>
      <c r="P188" s="1008"/>
      <c r="Q188" s="1009"/>
      <c r="R188" s="375"/>
      <c r="S188" s="376"/>
      <c r="T188" s="375"/>
      <c r="U188" s="625"/>
      <c r="V188" s="560"/>
      <c r="W188" s="606"/>
      <c r="X188" s="377"/>
      <c r="Y188" s="606"/>
      <c r="Z188" s="377"/>
      <c r="AA188" s="606"/>
      <c r="AB188" s="707"/>
      <c r="AC188" s="331"/>
      <c r="AD188" s="383"/>
      <c r="AE188" s="375"/>
      <c r="AF188" s="383"/>
      <c r="AG188" s="375"/>
      <c r="AH188" s="383"/>
      <c r="AI188" s="375"/>
      <c r="AJ188" s="383"/>
      <c r="AK188" s="375"/>
      <c r="AL188" s="375"/>
      <c r="AM188" s="375"/>
      <c r="AN188" s="375"/>
      <c r="AO188" s="375"/>
      <c r="AP188" s="375"/>
      <c r="AQ188" s="375"/>
      <c r="AR188" s="375"/>
      <c r="AS188" s="375"/>
      <c r="AT188" s="375"/>
      <c r="AU188" s="375"/>
      <c r="AV188" s="375"/>
      <c r="AW188" s="375"/>
      <c r="AX188" s="331"/>
    </row>
    <row r="189" spans="1:50" x14ac:dyDescent="0.2">
      <c r="A189" s="1050"/>
      <c r="B189" s="1019"/>
      <c r="C189" s="1051"/>
      <c r="D189" s="1040"/>
      <c r="E189" s="1270"/>
      <c r="F189" s="1267"/>
      <c r="G189" s="1115"/>
      <c r="H189" s="1104"/>
      <c r="I189" s="1045"/>
      <c r="J189" s="377"/>
      <c r="K189" s="482"/>
      <c r="L189" s="482"/>
      <c r="M189" s="851"/>
      <c r="N189" s="663"/>
      <c r="O189" s="383"/>
      <c r="P189" s="1008"/>
      <c r="Q189" s="1009"/>
      <c r="R189" s="375"/>
      <c r="S189" s="376"/>
      <c r="T189" s="375"/>
      <c r="U189" s="625"/>
      <c r="V189" s="560"/>
      <c r="W189" s="606"/>
      <c r="X189" s="377"/>
      <c r="Y189" s="606"/>
      <c r="Z189" s="377"/>
      <c r="AA189" s="606"/>
      <c r="AB189" s="707"/>
      <c r="AC189" s="331"/>
      <c r="AD189" s="383"/>
      <c r="AE189" s="375"/>
      <c r="AF189" s="383"/>
      <c r="AG189" s="375"/>
      <c r="AH189" s="383"/>
      <c r="AI189" s="375"/>
      <c r="AJ189" s="383"/>
      <c r="AK189" s="375"/>
      <c r="AL189" s="375"/>
      <c r="AM189" s="375"/>
      <c r="AN189" s="375"/>
      <c r="AO189" s="375"/>
      <c r="AP189" s="375"/>
      <c r="AQ189" s="375"/>
      <c r="AR189" s="375"/>
      <c r="AS189" s="375"/>
      <c r="AT189" s="375"/>
      <c r="AU189" s="375"/>
      <c r="AV189" s="375"/>
      <c r="AW189" s="375"/>
      <c r="AX189" s="331"/>
    </row>
    <row r="190" spans="1:50" x14ac:dyDescent="0.2">
      <c r="A190" s="1050"/>
      <c r="B190" s="1019"/>
      <c r="C190" s="1051"/>
      <c r="D190" s="1040"/>
      <c r="E190" s="1270"/>
      <c r="F190" s="1267"/>
      <c r="G190" s="1115"/>
      <c r="H190" s="1104"/>
      <c r="I190" s="1045"/>
      <c r="J190" s="377"/>
      <c r="K190" s="482"/>
      <c r="L190" s="482"/>
      <c r="M190" s="851"/>
      <c r="N190" s="663"/>
      <c r="O190" s="383"/>
      <c r="P190" s="1008"/>
      <c r="Q190" s="1009"/>
      <c r="R190" s="375"/>
      <c r="S190" s="376"/>
      <c r="T190" s="375"/>
      <c r="U190" s="625"/>
      <c r="V190" s="560"/>
      <c r="W190" s="606"/>
      <c r="X190" s="377"/>
      <c r="Y190" s="606"/>
      <c r="Z190" s="377"/>
      <c r="AA190" s="606"/>
      <c r="AB190" s="707"/>
      <c r="AC190" s="331"/>
      <c r="AD190" s="383"/>
      <c r="AE190" s="375"/>
      <c r="AF190" s="383"/>
      <c r="AG190" s="375"/>
      <c r="AH190" s="383"/>
      <c r="AI190" s="375"/>
      <c r="AJ190" s="383"/>
      <c r="AK190" s="375"/>
      <c r="AL190" s="375"/>
      <c r="AM190" s="375"/>
      <c r="AN190" s="375"/>
      <c r="AO190" s="375"/>
      <c r="AP190" s="375"/>
      <c r="AQ190" s="375"/>
      <c r="AR190" s="375"/>
      <c r="AS190" s="375"/>
      <c r="AT190" s="375"/>
      <c r="AU190" s="375"/>
      <c r="AV190" s="375"/>
      <c r="AW190" s="375"/>
      <c r="AX190" s="331"/>
    </row>
    <row r="191" spans="1:50" x14ac:dyDescent="0.2">
      <c r="A191" s="1050"/>
      <c r="B191" s="1019"/>
      <c r="C191" s="1051"/>
      <c r="D191" s="1040"/>
      <c r="E191" s="1270"/>
      <c r="F191" s="1267"/>
      <c r="G191" s="1115"/>
      <c r="H191" s="1104"/>
      <c r="I191" s="1046"/>
      <c r="J191" s="377"/>
      <c r="K191" s="482"/>
      <c r="L191" s="482"/>
      <c r="M191" s="851"/>
      <c r="N191" s="663"/>
      <c r="O191" s="383"/>
      <c r="P191" s="1008"/>
      <c r="Q191" s="1009"/>
      <c r="R191" s="375"/>
      <c r="S191" s="376"/>
      <c r="T191" s="375"/>
      <c r="U191" s="625"/>
      <c r="V191" s="560"/>
      <c r="W191" s="606"/>
      <c r="X191" s="377"/>
      <c r="Y191" s="606"/>
      <c r="Z191" s="377"/>
      <c r="AA191" s="606"/>
      <c r="AB191" s="707"/>
      <c r="AC191" s="331"/>
      <c r="AD191" s="383"/>
      <c r="AE191" s="375"/>
      <c r="AF191" s="383"/>
      <c r="AG191" s="375"/>
      <c r="AH191" s="383"/>
      <c r="AI191" s="375"/>
      <c r="AJ191" s="383"/>
      <c r="AK191" s="375"/>
      <c r="AL191" s="375"/>
      <c r="AM191" s="375"/>
      <c r="AN191" s="375"/>
      <c r="AO191" s="375"/>
      <c r="AP191" s="375"/>
      <c r="AQ191" s="375"/>
      <c r="AR191" s="375"/>
      <c r="AS191" s="375"/>
      <c r="AT191" s="375"/>
      <c r="AU191" s="375"/>
      <c r="AV191" s="375"/>
      <c r="AW191" s="375"/>
      <c r="AX191" s="331"/>
    </row>
    <row r="192" spans="1:50" x14ac:dyDescent="0.2">
      <c r="A192" s="1050"/>
      <c r="B192" s="1019"/>
      <c r="C192" s="1051"/>
      <c r="D192" s="1040"/>
      <c r="E192" s="1270"/>
      <c r="F192" s="1267"/>
      <c r="G192" s="1115"/>
      <c r="H192" s="1104"/>
      <c r="I192" s="1045"/>
      <c r="J192" s="377"/>
      <c r="K192" s="482"/>
      <c r="L192" s="482"/>
      <c r="M192" s="851"/>
      <c r="N192" s="663"/>
      <c r="O192" s="383"/>
      <c r="P192" s="1008"/>
      <c r="Q192" s="1009"/>
      <c r="R192" s="375"/>
      <c r="S192" s="376"/>
      <c r="T192" s="375"/>
      <c r="U192" s="625"/>
      <c r="V192" s="560"/>
      <c r="W192" s="606"/>
      <c r="X192" s="377"/>
      <c r="Y192" s="606"/>
      <c r="Z192" s="377"/>
      <c r="AA192" s="606"/>
      <c r="AB192" s="707"/>
      <c r="AC192" s="331"/>
      <c r="AD192" s="383"/>
      <c r="AE192" s="375"/>
      <c r="AF192" s="383"/>
      <c r="AG192" s="375"/>
      <c r="AH192" s="383"/>
      <c r="AI192" s="375"/>
      <c r="AJ192" s="383"/>
      <c r="AK192" s="375"/>
      <c r="AL192" s="375"/>
      <c r="AM192" s="375"/>
      <c r="AN192" s="375"/>
      <c r="AO192" s="375"/>
      <c r="AP192" s="375"/>
      <c r="AQ192" s="375"/>
      <c r="AR192" s="375"/>
      <c r="AS192" s="375"/>
      <c r="AT192" s="375"/>
      <c r="AU192" s="375"/>
      <c r="AV192" s="375"/>
      <c r="AW192" s="375"/>
      <c r="AX192" s="331"/>
    </row>
    <row r="193" spans="1:50" x14ac:dyDescent="0.2">
      <c r="A193" s="1050"/>
      <c r="B193" s="1019"/>
      <c r="C193" s="1051"/>
      <c r="D193" s="1040"/>
      <c r="E193" s="1270"/>
      <c r="F193" s="1267"/>
      <c r="G193" s="1115"/>
      <c r="H193" s="1104"/>
      <c r="I193" s="1045"/>
      <c r="J193" s="377"/>
      <c r="K193" s="482"/>
      <c r="L193" s="482"/>
      <c r="M193" s="851"/>
      <c r="N193" s="663"/>
      <c r="O193" s="383"/>
      <c r="P193" s="1008"/>
      <c r="Q193" s="1009"/>
      <c r="R193" s="375"/>
      <c r="S193" s="376"/>
      <c r="T193" s="375"/>
      <c r="U193" s="625"/>
      <c r="V193" s="560"/>
      <c r="W193" s="606"/>
      <c r="X193" s="377"/>
      <c r="Y193" s="606"/>
      <c r="Z193" s="377"/>
      <c r="AA193" s="606"/>
      <c r="AB193" s="707"/>
      <c r="AC193" s="331"/>
      <c r="AD193" s="383"/>
      <c r="AE193" s="375"/>
      <c r="AF193" s="383"/>
      <c r="AG193" s="375"/>
      <c r="AH193" s="383"/>
      <c r="AI193" s="375"/>
      <c r="AJ193" s="383"/>
      <c r="AK193" s="375"/>
      <c r="AL193" s="375"/>
      <c r="AM193" s="375"/>
      <c r="AN193" s="375"/>
      <c r="AO193" s="375"/>
      <c r="AP193" s="375"/>
      <c r="AQ193" s="375"/>
      <c r="AR193" s="375"/>
      <c r="AS193" s="375"/>
      <c r="AT193" s="375"/>
      <c r="AU193" s="375"/>
      <c r="AV193" s="375"/>
      <c r="AW193" s="375"/>
      <c r="AX193" s="331"/>
    </row>
    <row r="194" spans="1:50" x14ac:dyDescent="0.2">
      <c r="A194" s="1050"/>
      <c r="B194" s="1019"/>
      <c r="C194" s="1051"/>
      <c r="D194" s="1040"/>
      <c r="E194" s="1270"/>
      <c r="F194" s="1267"/>
      <c r="G194" s="1115"/>
      <c r="H194" s="1104"/>
      <c r="I194" s="1045"/>
      <c r="J194" s="377"/>
      <c r="K194" s="482"/>
      <c r="L194" s="482"/>
      <c r="M194" s="851"/>
      <c r="N194" s="663"/>
      <c r="O194" s="383"/>
      <c r="P194" s="1008"/>
      <c r="Q194" s="1009"/>
      <c r="R194" s="375"/>
      <c r="S194" s="376"/>
      <c r="T194" s="375"/>
      <c r="U194" s="625"/>
      <c r="V194" s="560"/>
      <c r="W194" s="606"/>
      <c r="X194" s="377"/>
      <c r="Y194" s="606"/>
      <c r="Z194" s="377"/>
      <c r="AA194" s="606"/>
      <c r="AB194" s="707"/>
      <c r="AC194" s="331"/>
      <c r="AD194" s="383"/>
      <c r="AE194" s="375"/>
      <c r="AF194" s="383"/>
      <c r="AG194" s="375"/>
      <c r="AH194" s="383"/>
      <c r="AI194" s="375"/>
      <c r="AJ194" s="383"/>
      <c r="AK194" s="375"/>
      <c r="AL194" s="375"/>
      <c r="AM194" s="375"/>
      <c r="AN194" s="375"/>
      <c r="AO194" s="375"/>
      <c r="AP194" s="375"/>
      <c r="AQ194" s="375"/>
      <c r="AR194" s="375"/>
      <c r="AS194" s="375"/>
      <c r="AT194" s="375"/>
      <c r="AU194" s="375"/>
      <c r="AV194" s="375"/>
      <c r="AW194" s="375"/>
      <c r="AX194" s="331"/>
    </row>
    <row r="195" spans="1:50" x14ac:dyDescent="0.2">
      <c r="A195" s="1050"/>
      <c r="B195" s="1019"/>
      <c r="C195" s="1051"/>
      <c r="D195" s="1040"/>
      <c r="E195" s="1270"/>
      <c r="F195" s="1267"/>
      <c r="G195" s="1115"/>
      <c r="H195" s="1104"/>
      <c r="I195" s="1045"/>
      <c r="J195" s="377"/>
      <c r="K195" s="482"/>
      <c r="L195" s="482"/>
      <c r="M195" s="851"/>
      <c r="N195" s="663"/>
      <c r="O195" s="383"/>
      <c r="P195" s="1008"/>
      <c r="Q195" s="1009"/>
      <c r="R195" s="375"/>
      <c r="S195" s="376"/>
      <c r="T195" s="375"/>
      <c r="U195" s="625"/>
      <c r="V195" s="560"/>
      <c r="W195" s="606"/>
      <c r="X195" s="377"/>
      <c r="Y195" s="606"/>
      <c r="Z195" s="377"/>
      <c r="AA195" s="606"/>
      <c r="AB195" s="707"/>
      <c r="AC195" s="331"/>
      <c r="AD195" s="383"/>
      <c r="AE195" s="375"/>
      <c r="AF195" s="383"/>
      <c r="AG195" s="375"/>
      <c r="AH195" s="383"/>
      <c r="AI195" s="375"/>
      <c r="AJ195" s="383"/>
      <c r="AK195" s="375"/>
      <c r="AL195" s="375"/>
      <c r="AM195" s="375"/>
      <c r="AN195" s="375"/>
      <c r="AO195" s="375"/>
      <c r="AP195" s="375"/>
      <c r="AQ195" s="375"/>
      <c r="AR195" s="375"/>
      <c r="AS195" s="375"/>
      <c r="AT195" s="375"/>
      <c r="AU195" s="375"/>
      <c r="AV195" s="375"/>
      <c r="AW195" s="375"/>
      <c r="AX195" s="331"/>
    </row>
    <row r="196" spans="1:50" x14ac:dyDescent="0.2">
      <c r="A196" s="1050"/>
      <c r="B196" s="1019"/>
      <c r="C196" s="1051"/>
      <c r="D196" s="1040"/>
      <c r="E196" s="1270"/>
      <c r="F196" s="1267"/>
      <c r="G196" s="1115"/>
      <c r="H196" s="1104"/>
      <c r="I196" s="1045"/>
      <c r="J196" s="377"/>
      <c r="K196" s="482"/>
      <c r="L196" s="482"/>
      <c r="M196" s="851"/>
      <c r="N196" s="663"/>
      <c r="O196" s="383"/>
      <c r="P196" s="1008"/>
      <c r="Q196" s="1009"/>
      <c r="R196" s="375"/>
      <c r="S196" s="376"/>
      <c r="T196" s="375"/>
      <c r="U196" s="625"/>
      <c r="V196" s="560"/>
      <c r="W196" s="606"/>
      <c r="X196" s="377"/>
      <c r="Y196" s="606"/>
      <c r="Z196" s="377"/>
      <c r="AA196" s="606"/>
      <c r="AB196" s="707"/>
      <c r="AC196" s="331"/>
      <c r="AD196" s="383"/>
      <c r="AE196" s="375"/>
      <c r="AF196" s="383"/>
      <c r="AG196" s="375"/>
      <c r="AH196" s="383"/>
      <c r="AI196" s="375"/>
      <c r="AJ196" s="383"/>
      <c r="AK196" s="375"/>
      <c r="AL196" s="375"/>
      <c r="AM196" s="375"/>
      <c r="AN196" s="375"/>
      <c r="AO196" s="375"/>
      <c r="AP196" s="375"/>
      <c r="AQ196" s="375"/>
      <c r="AR196" s="375"/>
      <c r="AS196" s="375"/>
      <c r="AT196" s="375"/>
      <c r="AU196" s="375"/>
      <c r="AV196" s="375"/>
      <c r="AW196" s="375"/>
      <c r="AX196" s="331"/>
    </row>
    <row r="197" spans="1:50" x14ac:dyDescent="0.2">
      <c r="A197" s="1050"/>
      <c r="B197" s="1042"/>
      <c r="C197" s="1051"/>
      <c r="D197" s="1040"/>
      <c r="E197" s="1270"/>
      <c r="F197" s="1267"/>
      <c r="G197" s="1115"/>
      <c r="H197" s="1104"/>
      <c r="I197" s="1046"/>
      <c r="J197" s="377"/>
      <c r="K197" s="701"/>
      <c r="L197" s="482"/>
      <c r="M197" s="851"/>
      <c r="N197" s="663"/>
      <c r="O197" s="383"/>
      <c r="P197" s="1008"/>
      <c r="Q197" s="1009"/>
      <c r="R197" s="375"/>
      <c r="S197" s="376"/>
      <c r="T197" s="375"/>
      <c r="U197" s="625"/>
      <c r="V197" s="560"/>
      <c r="W197" s="606"/>
      <c r="X197" s="377"/>
      <c r="Y197" s="606"/>
      <c r="Z197" s="377"/>
      <c r="AA197" s="606"/>
      <c r="AB197" s="707"/>
      <c r="AC197" s="331"/>
      <c r="AD197" s="383"/>
      <c r="AE197" s="375"/>
      <c r="AF197" s="383"/>
      <c r="AG197" s="375"/>
      <c r="AH197" s="383"/>
      <c r="AI197" s="375"/>
      <c r="AJ197" s="383"/>
      <c r="AK197" s="375"/>
      <c r="AL197" s="375"/>
      <c r="AM197" s="375"/>
      <c r="AN197" s="375"/>
      <c r="AO197" s="375"/>
      <c r="AP197" s="375"/>
      <c r="AQ197" s="375"/>
      <c r="AR197" s="375"/>
      <c r="AS197" s="375"/>
      <c r="AT197" s="375"/>
      <c r="AU197" s="375"/>
      <c r="AV197" s="375"/>
      <c r="AW197" s="375"/>
      <c r="AX197" s="331"/>
    </row>
    <row r="198" spans="1:50" x14ac:dyDescent="0.2">
      <c r="A198" s="1050"/>
      <c r="B198" s="1042"/>
      <c r="C198" s="1051"/>
      <c r="D198" s="1040"/>
      <c r="E198" s="1270"/>
      <c r="F198" s="1267"/>
      <c r="G198" s="1115"/>
      <c r="H198" s="1104"/>
      <c r="I198" s="1045"/>
      <c r="J198" s="377"/>
      <c r="K198" s="482"/>
      <c r="L198" s="482"/>
      <c r="M198" s="851"/>
      <c r="N198" s="663"/>
      <c r="O198" s="383"/>
      <c r="P198" s="1008"/>
      <c r="Q198" s="1009"/>
      <c r="R198" s="375"/>
      <c r="S198" s="376"/>
      <c r="T198" s="375"/>
      <c r="U198" s="625"/>
      <c r="V198" s="560"/>
      <c r="W198" s="606"/>
      <c r="X198" s="377"/>
      <c r="Y198" s="606"/>
      <c r="Z198" s="377"/>
      <c r="AA198" s="606"/>
      <c r="AB198" s="707"/>
      <c r="AC198" s="331"/>
      <c r="AD198" s="383"/>
      <c r="AE198" s="375"/>
      <c r="AF198" s="383"/>
      <c r="AG198" s="375"/>
      <c r="AH198" s="383"/>
      <c r="AI198" s="375"/>
      <c r="AJ198" s="383"/>
      <c r="AK198" s="375"/>
      <c r="AL198" s="375"/>
      <c r="AM198" s="375"/>
      <c r="AN198" s="375"/>
      <c r="AO198" s="375"/>
      <c r="AP198" s="375"/>
      <c r="AQ198" s="375"/>
      <c r="AR198" s="375"/>
      <c r="AS198" s="375"/>
      <c r="AT198" s="375"/>
      <c r="AU198" s="375"/>
      <c r="AV198" s="375"/>
      <c r="AW198" s="375"/>
      <c r="AX198" s="331"/>
    </row>
    <row r="199" spans="1:50" x14ac:dyDescent="0.2">
      <c r="A199" s="1050"/>
      <c r="B199" s="1019"/>
      <c r="C199" s="1051"/>
      <c r="D199" s="1040"/>
      <c r="E199" s="1270"/>
      <c r="F199" s="1267"/>
      <c r="G199" s="1115"/>
      <c r="H199" s="1104"/>
      <c r="I199" s="1045"/>
      <c r="J199" s="377"/>
      <c r="K199" s="482"/>
      <c r="L199" s="482"/>
      <c r="M199" s="851"/>
      <c r="N199" s="663"/>
      <c r="O199" s="383"/>
      <c r="P199" s="1008"/>
      <c r="Q199" s="1009"/>
      <c r="R199" s="375"/>
      <c r="S199" s="376"/>
      <c r="T199" s="375"/>
      <c r="U199" s="625"/>
      <c r="V199" s="560"/>
      <c r="W199" s="606"/>
      <c r="X199" s="377"/>
      <c r="Y199" s="606"/>
      <c r="Z199" s="377"/>
      <c r="AA199" s="606"/>
      <c r="AB199" s="707"/>
      <c r="AC199" s="331"/>
      <c r="AD199" s="383"/>
      <c r="AE199" s="375"/>
      <c r="AF199" s="383"/>
      <c r="AG199" s="375"/>
      <c r="AH199" s="383"/>
      <c r="AI199" s="375"/>
      <c r="AJ199" s="383"/>
      <c r="AK199" s="375"/>
      <c r="AL199" s="375"/>
      <c r="AM199" s="375"/>
      <c r="AN199" s="375"/>
      <c r="AO199" s="375"/>
      <c r="AP199" s="375"/>
      <c r="AQ199" s="375"/>
      <c r="AR199" s="375"/>
      <c r="AS199" s="375"/>
      <c r="AT199" s="375"/>
      <c r="AU199" s="375"/>
      <c r="AV199" s="375"/>
      <c r="AW199" s="375"/>
      <c r="AX199" s="331"/>
    </row>
    <row r="200" spans="1:50" x14ac:dyDescent="0.2">
      <c r="A200" s="1050"/>
      <c r="B200" s="1019"/>
      <c r="C200" s="1051"/>
      <c r="D200" s="1040"/>
      <c r="E200" s="1270"/>
      <c r="F200" s="1267"/>
      <c r="G200" s="1115"/>
      <c r="H200" s="1104"/>
      <c r="I200" s="1045"/>
      <c r="J200" s="377"/>
      <c r="K200" s="482"/>
      <c r="L200" s="482"/>
      <c r="M200" s="851"/>
      <c r="N200" s="663"/>
      <c r="O200" s="383"/>
      <c r="P200" s="1008"/>
      <c r="Q200" s="1009"/>
      <c r="R200" s="375"/>
      <c r="S200" s="376"/>
      <c r="T200" s="375"/>
      <c r="U200" s="625"/>
      <c r="V200" s="560"/>
      <c r="W200" s="606"/>
      <c r="X200" s="377"/>
      <c r="Y200" s="606"/>
      <c r="Z200" s="377"/>
      <c r="AA200" s="606"/>
      <c r="AB200" s="707"/>
      <c r="AC200" s="331"/>
      <c r="AD200" s="383"/>
      <c r="AE200" s="375"/>
      <c r="AF200" s="383"/>
      <c r="AG200" s="375"/>
      <c r="AH200" s="383"/>
      <c r="AI200" s="375"/>
      <c r="AJ200" s="383"/>
      <c r="AK200" s="375"/>
      <c r="AL200" s="375"/>
      <c r="AM200" s="375"/>
      <c r="AN200" s="375"/>
      <c r="AO200" s="375"/>
      <c r="AP200" s="375"/>
      <c r="AQ200" s="375"/>
      <c r="AR200" s="375"/>
      <c r="AS200" s="375"/>
      <c r="AT200" s="375"/>
      <c r="AU200" s="375"/>
      <c r="AV200" s="375"/>
      <c r="AW200" s="375"/>
      <c r="AX200" s="331"/>
    </row>
    <row r="201" spans="1:50" x14ac:dyDescent="0.2">
      <c r="A201" s="1050"/>
      <c r="B201" s="1019"/>
      <c r="C201" s="1051"/>
      <c r="D201" s="1040"/>
      <c r="E201" s="1270"/>
      <c r="F201" s="1267"/>
      <c r="G201" s="1115"/>
      <c r="H201" s="1104"/>
      <c r="I201" s="1045"/>
      <c r="J201" s="377"/>
      <c r="K201" s="482"/>
      <c r="L201" s="482"/>
      <c r="M201" s="851"/>
      <c r="N201" s="663"/>
      <c r="O201" s="383"/>
      <c r="P201" s="1008"/>
      <c r="Q201" s="1009"/>
      <c r="R201" s="375"/>
      <c r="S201" s="376"/>
      <c r="T201" s="375"/>
      <c r="U201" s="625"/>
      <c r="V201" s="560"/>
      <c r="W201" s="606"/>
      <c r="X201" s="377"/>
      <c r="Y201" s="606"/>
      <c r="Z201" s="377"/>
      <c r="AA201" s="606"/>
      <c r="AB201" s="707"/>
      <c r="AC201" s="331"/>
      <c r="AD201" s="383"/>
      <c r="AE201" s="375"/>
      <c r="AF201" s="383"/>
      <c r="AG201" s="375"/>
      <c r="AH201" s="383"/>
      <c r="AI201" s="375"/>
      <c r="AJ201" s="383"/>
      <c r="AK201" s="375"/>
      <c r="AL201" s="375"/>
      <c r="AM201" s="375"/>
      <c r="AN201" s="375"/>
      <c r="AO201" s="375"/>
      <c r="AP201" s="375"/>
      <c r="AQ201" s="375"/>
      <c r="AR201" s="375"/>
      <c r="AS201" s="375"/>
      <c r="AT201" s="375"/>
      <c r="AU201" s="375"/>
      <c r="AV201" s="375"/>
      <c r="AW201" s="375"/>
      <c r="AX201" s="331"/>
    </row>
    <row r="202" spans="1:50" x14ac:dyDescent="0.2">
      <c r="A202" s="1050"/>
      <c r="B202" s="1019"/>
      <c r="C202" s="1051"/>
      <c r="D202" s="1040"/>
      <c r="E202" s="1270"/>
      <c r="F202" s="1267"/>
      <c r="G202" s="1115"/>
      <c r="H202" s="1104"/>
      <c r="I202" s="1045"/>
      <c r="J202" s="377"/>
      <c r="K202" s="482"/>
      <c r="L202" s="482"/>
      <c r="M202" s="851"/>
      <c r="N202" s="663"/>
      <c r="O202" s="383"/>
      <c r="P202" s="1008"/>
      <c r="Q202" s="1009"/>
      <c r="R202" s="375"/>
      <c r="S202" s="376"/>
      <c r="T202" s="375"/>
      <c r="U202" s="625"/>
      <c r="V202" s="560"/>
      <c r="W202" s="606"/>
      <c r="X202" s="377"/>
      <c r="Y202" s="606"/>
      <c r="Z202" s="377"/>
      <c r="AA202" s="606"/>
      <c r="AB202" s="707"/>
      <c r="AC202" s="331"/>
      <c r="AD202" s="383"/>
      <c r="AE202" s="375"/>
      <c r="AF202" s="383"/>
      <c r="AG202" s="375"/>
      <c r="AH202" s="383"/>
      <c r="AI202" s="375"/>
      <c r="AJ202" s="383"/>
      <c r="AK202" s="375"/>
      <c r="AL202" s="375"/>
      <c r="AM202" s="375"/>
      <c r="AN202" s="375"/>
      <c r="AO202" s="375"/>
      <c r="AP202" s="375"/>
      <c r="AQ202" s="375"/>
      <c r="AR202" s="375"/>
      <c r="AS202" s="375"/>
      <c r="AT202" s="375"/>
      <c r="AU202" s="375"/>
      <c r="AV202" s="375"/>
      <c r="AW202" s="375"/>
      <c r="AX202" s="331"/>
    </row>
    <row r="203" spans="1:50" x14ac:dyDescent="0.2">
      <c r="A203" s="1050"/>
      <c r="B203" s="1019"/>
      <c r="C203" s="1051"/>
      <c r="D203" s="1040"/>
      <c r="E203" s="1270"/>
      <c r="F203" s="1267"/>
      <c r="G203" s="1115"/>
      <c r="H203" s="1104"/>
      <c r="I203" s="1045"/>
      <c r="J203" s="377"/>
      <c r="K203" s="482"/>
      <c r="L203" s="482"/>
      <c r="M203" s="851"/>
      <c r="N203" s="663"/>
      <c r="O203" s="383"/>
      <c r="P203" s="1008"/>
      <c r="Q203" s="1009"/>
      <c r="R203" s="375"/>
      <c r="S203" s="376"/>
      <c r="T203" s="375"/>
      <c r="U203" s="625"/>
      <c r="V203" s="560"/>
      <c r="W203" s="606"/>
      <c r="X203" s="377"/>
      <c r="Y203" s="606"/>
      <c r="Z203" s="377"/>
      <c r="AA203" s="606"/>
      <c r="AB203" s="707"/>
      <c r="AC203" s="331"/>
      <c r="AD203" s="383"/>
      <c r="AE203" s="375"/>
      <c r="AF203" s="383"/>
      <c r="AG203" s="375"/>
      <c r="AH203" s="383"/>
      <c r="AI203" s="375"/>
      <c r="AJ203" s="383"/>
      <c r="AK203" s="375"/>
      <c r="AL203" s="375"/>
      <c r="AM203" s="375"/>
      <c r="AN203" s="375"/>
      <c r="AO203" s="375"/>
      <c r="AP203" s="375"/>
      <c r="AQ203" s="375"/>
      <c r="AR203" s="375"/>
      <c r="AS203" s="375"/>
      <c r="AT203" s="375"/>
      <c r="AU203" s="375"/>
      <c r="AV203" s="375"/>
      <c r="AW203" s="375"/>
      <c r="AX203" s="331"/>
    </row>
    <row r="204" spans="1:50" x14ac:dyDescent="0.2">
      <c r="A204" s="1050"/>
      <c r="B204" s="1019"/>
      <c r="C204" s="1051"/>
      <c r="D204" s="1040"/>
      <c r="E204" s="1270"/>
      <c r="F204" s="1267"/>
      <c r="G204" s="1115"/>
      <c r="H204" s="1104"/>
      <c r="I204" s="1045"/>
      <c r="J204" s="377"/>
      <c r="K204" s="482"/>
      <c r="L204" s="482"/>
      <c r="M204" s="851"/>
      <c r="N204" s="663"/>
      <c r="O204" s="383"/>
      <c r="P204" s="1008"/>
      <c r="Q204" s="1009"/>
      <c r="R204" s="375"/>
      <c r="S204" s="376"/>
      <c r="T204" s="375"/>
      <c r="U204" s="625"/>
      <c r="V204" s="560"/>
      <c r="W204" s="606"/>
      <c r="X204" s="377"/>
      <c r="Y204" s="606"/>
      <c r="Z204" s="377"/>
      <c r="AA204" s="606"/>
      <c r="AB204" s="707"/>
      <c r="AC204" s="331"/>
      <c r="AD204" s="383"/>
      <c r="AE204" s="375"/>
      <c r="AF204" s="383"/>
      <c r="AG204" s="375"/>
      <c r="AH204" s="383"/>
      <c r="AI204" s="375"/>
      <c r="AJ204" s="383"/>
      <c r="AK204" s="375"/>
      <c r="AL204" s="375"/>
      <c r="AM204" s="375"/>
      <c r="AN204" s="375"/>
      <c r="AO204" s="375"/>
      <c r="AP204" s="375"/>
      <c r="AQ204" s="375"/>
      <c r="AR204" s="375"/>
      <c r="AS204" s="375"/>
      <c r="AT204" s="375"/>
      <c r="AU204" s="375"/>
      <c r="AV204" s="375"/>
      <c r="AW204" s="375"/>
      <c r="AX204" s="331"/>
    </row>
    <row r="205" spans="1:50" x14ac:dyDescent="0.2">
      <c r="A205" s="1050"/>
      <c r="B205" s="1019"/>
      <c r="C205" s="1051"/>
      <c r="D205" s="1040"/>
      <c r="E205" s="1270"/>
      <c r="F205" s="1267"/>
      <c r="G205" s="1115"/>
      <c r="H205" s="1104"/>
      <c r="I205" s="1045"/>
      <c r="J205" s="377"/>
      <c r="K205" s="482"/>
      <c r="L205" s="482"/>
      <c r="M205" s="851"/>
      <c r="N205" s="663"/>
      <c r="O205" s="383"/>
      <c r="P205" s="1008"/>
      <c r="Q205" s="1009"/>
      <c r="R205" s="375"/>
      <c r="S205" s="376"/>
      <c r="T205" s="375"/>
      <c r="U205" s="625"/>
      <c r="V205" s="560"/>
      <c r="W205" s="606"/>
      <c r="X205" s="377"/>
      <c r="Y205" s="606"/>
      <c r="Z205" s="377"/>
      <c r="AA205" s="606"/>
      <c r="AB205" s="707"/>
      <c r="AC205" s="331"/>
      <c r="AD205" s="383"/>
      <c r="AE205" s="375"/>
      <c r="AF205" s="383"/>
      <c r="AG205" s="375"/>
      <c r="AH205" s="383"/>
      <c r="AI205" s="375"/>
      <c r="AJ205" s="383"/>
      <c r="AK205" s="375"/>
      <c r="AL205" s="375"/>
      <c r="AM205" s="375"/>
      <c r="AN205" s="375"/>
      <c r="AO205" s="375"/>
      <c r="AP205" s="375"/>
      <c r="AQ205" s="375"/>
      <c r="AR205" s="375"/>
      <c r="AS205" s="375"/>
      <c r="AT205" s="375"/>
      <c r="AU205" s="375"/>
      <c r="AV205" s="375"/>
      <c r="AW205" s="375"/>
      <c r="AX205" s="331"/>
    </row>
    <row r="206" spans="1:50" x14ac:dyDescent="0.2">
      <c r="A206" s="1050"/>
      <c r="B206" s="1019"/>
      <c r="C206" s="1051"/>
      <c r="D206" s="1040"/>
      <c r="E206" s="1270"/>
      <c r="F206" s="1267"/>
      <c r="G206" s="1115"/>
      <c r="H206" s="1104"/>
      <c r="I206" s="1045"/>
      <c r="J206" s="377"/>
      <c r="K206" s="482"/>
      <c r="L206" s="482"/>
      <c r="M206" s="851"/>
      <c r="N206" s="663"/>
      <c r="O206" s="383"/>
      <c r="P206" s="1008"/>
      <c r="Q206" s="1009"/>
      <c r="R206" s="375"/>
      <c r="S206" s="376"/>
      <c r="T206" s="375"/>
      <c r="U206" s="625"/>
      <c r="V206" s="560"/>
      <c r="W206" s="606"/>
      <c r="X206" s="377"/>
      <c r="Y206" s="606"/>
      <c r="Z206" s="377"/>
      <c r="AA206" s="606"/>
      <c r="AB206" s="707"/>
      <c r="AC206" s="331"/>
      <c r="AD206" s="383"/>
      <c r="AE206" s="375"/>
      <c r="AF206" s="383"/>
      <c r="AG206" s="375"/>
      <c r="AH206" s="383"/>
      <c r="AI206" s="375"/>
      <c r="AJ206" s="383"/>
      <c r="AK206" s="375"/>
      <c r="AL206" s="375"/>
      <c r="AM206" s="375"/>
      <c r="AN206" s="375"/>
      <c r="AO206" s="375"/>
      <c r="AP206" s="375"/>
      <c r="AQ206" s="375"/>
      <c r="AR206" s="375"/>
      <c r="AS206" s="375"/>
      <c r="AT206" s="375"/>
      <c r="AU206" s="375"/>
      <c r="AV206" s="375"/>
      <c r="AW206" s="375"/>
      <c r="AX206" s="331"/>
    </row>
    <row r="207" spans="1:50" x14ac:dyDescent="0.2">
      <c r="A207" s="1050"/>
      <c r="B207" s="1019"/>
      <c r="C207" s="1051"/>
      <c r="D207" s="1040"/>
      <c r="E207" s="1270"/>
      <c r="F207" s="1267"/>
      <c r="G207" s="1115"/>
      <c r="H207" s="1104"/>
      <c r="I207" s="1045"/>
      <c r="J207" s="377"/>
      <c r="K207" s="482"/>
      <c r="L207" s="482"/>
      <c r="M207" s="851"/>
      <c r="N207" s="663"/>
      <c r="O207" s="383"/>
      <c r="P207" s="1008"/>
      <c r="Q207" s="1009"/>
      <c r="R207" s="375"/>
      <c r="S207" s="376"/>
      <c r="T207" s="375"/>
      <c r="U207" s="625"/>
      <c r="V207" s="560"/>
      <c r="W207" s="606"/>
      <c r="X207" s="377"/>
      <c r="Y207" s="606"/>
      <c r="Z207" s="377"/>
      <c r="AA207" s="606"/>
      <c r="AB207" s="707"/>
      <c r="AC207" s="331"/>
      <c r="AD207" s="383"/>
      <c r="AE207" s="375"/>
      <c r="AF207" s="383"/>
      <c r="AG207" s="375"/>
      <c r="AH207" s="383"/>
      <c r="AI207" s="375"/>
      <c r="AJ207" s="383"/>
      <c r="AK207" s="375"/>
      <c r="AL207" s="375"/>
      <c r="AM207" s="375"/>
      <c r="AN207" s="375"/>
      <c r="AO207" s="375"/>
      <c r="AP207" s="375"/>
      <c r="AQ207" s="375"/>
      <c r="AR207" s="375"/>
      <c r="AS207" s="375"/>
      <c r="AT207" s="375"/>
      <c r="AU207" s="375"/>
      <c r="AV207" s="375"/>
      <c r="AW207" s="375"/>
      <c r="AX207" s="331"/>
    </row>
    <row r="208" spans="1:50" x14ac:dyDescent="0.2">
      <c r="A208" s="1050"/>
      <c r="B208" s="1019"/>
      <c r="C208" s="1051"/>
      <c r="D208" s="1040"/>
      <c r="E208" s="1270"/>
      <c r="F208" s="1267"/>
      <c r="G208" s="1115"/>
      <c r="H208" s="1104"/>
      <c r="I208" s="1045"/>
      <c r="J208" s="377"/>
      <c r="K208" s="482"/>
      <c r="L208" s="482"/>
      <c r="M208" s="851"/>
      <c r="N208" s="663"/>
      <c r="O208" s="383"/>
      <c r="P208" s="1008"/>
      <c r="Q208" s="1009"/>
      <c r="R208" s="1324"/>
      <c r="S208" s="1325"/>
      <c r="T208" s="375"/>
      <c r="U208" s="625"/>
      <c r="V208" s="560"/>
      <c r="W208" s="606"/>
      <c r="X208" s="377"/>
      <c r="Y208" s="606"/>
      <c r="Z208" s="377"/>
      <c r="AA208" s="606"/>
      <c r="AB208" s="707"/>
      <c r="AC208" s="331"/>
      <c r="AD208" s="383"/>
      <c r="AE208" s="375"/>
      <c r="AF208" s="383"/>
      <c r="AG208" s="375"/>
      <c r="AH208" s="383"/>
      <c r="AI208" s="375"/>
      <c r="AJ208" s="383"/>
      <c r="AK208" s="375"/>
      <c r="AL208" s="375"/>
      <c r="AM208" s="375"/>
      <c r="AN208" s="375"/>
      <c r="AO208" s="375"/>
      <c r="AP208" s="375"/>
      <c r="AQ208" s="375"/>
      <c r="AR208" s="375"/>
      <c r="AS208" s="375"/>
      <c r="AT208" s="375"/>
      <c r="AU208" s="375"/>
      <c r="AV208" s="375"/>
      <c r="AW208" s="375"/>
      <c r="AX208" s="331"/>
    </row>
    <row r="209" spans="1:50" x14ac:dyDescent="0.2">
      <c r="A209" s="1050"/>
      <c r="B209" s="1019"/>
      <c r="C209" s="1051"/>
      <c r="D209" s="1040"/>
      <c r="E209" s="1270"/>
      <c r="F209" s="1267"/>
      <c r="G209" s="1115"/>
      <c r="H209" s="1104"/>
      <c r="I209" s="1045"/>
      <c r="J209" s="377"/>
      <c r="K209" s="482"/>
      <c r="L209" s="482"/>
      <c r="M209" s="851"/>
      <c r="N209" s="663"/>
      <c r="O209" s="383"/>
      <c r="P209" s="1008"/>
      <c r="Q209" s="1009"/>
      <c r="R209" s="375"/>
      <c r="S209" s="376"/>
      <c r="T209" s="375"/>
      <c r="U209" s="625"/>
      <c r="V209" s="560"/>
      <c r="W209" s="606"/>
      <c r="X209" s="377"/>
      <c r="Y209" s="606"/>
      <c r="Z209" s="377"/>
      <c r="AA209" s="606"/>
      <c r="AB209" s="707"/>
      <c r="AC209" s="331"/>
      <c r="AD209" s="383"/>
      <c r="AE209" s="375"/>
      <c r="AF209" s="383"/>
      <c r="AG209" s="375"/>
      <c r="AH209" s="383"/>
      <c r="AI209" s="375"/>
      <c r="AJ209" s="383"/>
      <c r="AK209" s="375"/>
      <c r="AL209" s="375"/>
      <c r="AM209" s="375"/>
      <c r="AN209" s="375"/>
      <c r="AO209" s="375"/>
      <c r="AP209" s="375"/>
      <c r="AQ209" s="375"/>
      <c r="AR209" s="375"/>
      <c r="AS209" s="375"/>
      <c r="AT209" s="375"/>
      <c r="AU209" s="375"/>
      <c r="AV209" s="375"/>
      <c r="AW209" s="375"/>
      <c r="AX209" s="331"/>
    </row>
    <row r="210" spans="1:50" x14ac:dyDescent="0.2">
      <c r="A210" s="1050"/>
      <c r="B210" s="1242"/>
      <c r="C210" s="1051"/>
      <c r="D210" s="1040"/>
      <c r="E210" s="1270"/>
      <c r="F210" s="1267"/>
      <c r="G210" s="1115"/>
      <c r="H210" s="1104"/>
      <c r="I210" s="1045"/>
      <c r="J210" s="377"/>
      <c r="K210" s="482"/>
      <c r="L210" s="482"/>
      <c r="M210" s="851"/>
      <c r="N210" s="663"/>
      <c r="O210" s="383"/>
      <c r="P210" s="1008"/>
      <c r="Q210" s="1009"/>
      <c r="R210" s="375"/>
      <c r="S210" s="376"/>
      <c r="T210" s="375"/>
      <c r="U210" s="625"/>
      <c r="V210" s="560"/>
      <c r="W210" s="606"/>
      <c r="X210" s="377"/>
      <c r="Y210" s="606"/>
      <c r="Z210" s="377"/>
      <c r="AA210" s="606"/>
      <c r="AB210" s="707"/>
      <c r="AC210" s="331"/>
      <c r="AD210" s="383"/>
      <c r="AE210" s="375"/>
      <c r="AF210" s="383"/>
      <c r="AG210" s="375"/>
      <c r="AH210" s="383"/>
      <c r="AI210" s="375"/>
      <c r="AJ210" s="383"/>
      <c r="AK210" s="375"/>
      <c r="AL210" s="375"/>
      <c r="AM210" s="375"/>
      <c r="AN210" s="375"/>
      <c r="AO210" s="375"/>
      <c r="AP210" s="375"/>
      <c r="AQ210" s="375"/>
      <c r="AR210" s="375"/>
      <c r="AS210" s="375"/>
      <c r="AT210" s="375"/>
      <c r="AU210" s="375"/>
      <c r="AV210" s="375"/>
      <c r="AW210" s="375"/>
      <c r="AX210" s="331"/>
    </row>
    <row r="211" spans="1:50" x14ac:dyDescent="0.2">
      <c r="A211" s="1050"/>
      <c r="B211" s="1067"/>
      <c r="C211" s="1051"/>
      <c r="D211" s="1040"/>
      <c r="E211" s="1270"/>
      <c r="F211" s="1267"/>
      <c r="G211" s="1115"/>
      <c r="H211" s="1104"/>
      <c r="I211" s="1046"/>
      <c r="J211" s="377"/>
      <c r="K211" s="482"/>
      <c r="L211" s="482"/>
      <c r="M211" s="851"/>
      <c r="N211" s="663"/>
      <c r="O211" s="383"/>
      <c r="P211" s="1330"/>
      <c r="Q211" s="1009"/>
      <c r="R211" s="375"/>
      <c r="S211" s="376"/>
      <c r="T211" s="375"/>
      <c r="U211" s="625"/>
      <c r="V211" s="560"/>
      <c r="W211" s="606"/>
      <c r="X211" s="377"/>
      <c r="Y211" s="606"/>
      <c r="Z211" s="377"/>
      <c r="AA211" s="606"/>
      <c r="AB211" s="707"/>
      <c r="AC211" s="331"/>
      <c r="AD211" s="383"/>
      <c r="AE211" s="375"/>
      <c r="AF211" s="383"/>
      <c r="AG211" s="375"/>
      <c r="AH211" s="383"/>
      <c r="AI211" s="375"/>
      <c r="AJ211" s="383"/>
      <c r="AK211" s="375"/>
      <c r="AL211" s="375"/>
      <c r="AM211" s="375"/>
      <c r="AN211" s="375"/>
      <c r="AO211" s="375"/>
      <c r="AP211" s="375"/>
      <c r="AQ211" s="375"/>
      <c r="AR211" s="375"/>
      <c r="AS211" s="375"/>
      <c r="AT211" s="375"/>
      <c r="AU211" s="375"/>
      <c r="AV211" s="375"/>
      <c r="AW211" s="375"/>
      <c r="AX211" s="331"/>
    </row>
    <row r="212" spans="1:50" x14ac:dyDescent="0.2">
      <c r="A212" s="1050"/>
      <c r="B212" s="1019"/>
      <c r="C212" s="1051"/>
      <c r="D212" s="1040"/>
      <c r="E212" s="1270"/>
      <c r="F212" s="1267"/>
      <c r="G212" s="1115"/>
      <c r="H212" s="1104"/>
      <c r="I212" s="1045"/>
      <c r="J212" s="377"/>
      <c r="K212" s="482"/>
      <c r="L212" s="482"/>
      <c r="M212" s="851"/>
      <c r="N212" s="663"/>
      <c r="O212" s="383"/>
      <c r="P212" s="1008"/>
      <c r="Q212" s="1009"/>
      <c r="R212" s="375"/>
      <c r="S212" s="376"/>
      <c r="T212" s="375"/>
      <c r="U212" s="625"/>
      <c r="V212" s="560"/>
      <c r="W212" s="606"/>
      <c r="X212" s="377"/>
      <c r="Y212" s="606"/>
      <c r="Z212" s="377"/>
      <c r="AA212" s="606"/>
      <c r="AB212" s="707"/>
      <c r="AC212" s="331"/>
      <c r="AD212" s="383"/>
      <c r="AE212" s="375"/>
      <c r="AF212" s="383"/>
      <c r="AG212" s="375"/>
      <c r="AH212" s="383"/>
      <c r="AI212" s="375"/>
      <c r="AJ212" s="383"/>
      <c r="AK212" s="375"/>
      <c r="AL212" s="375"/>
      <c r="AM212" s="375"/>
      <c r="AN212" s="375"/>
      <c r="AO212" s="375"/>
      <c r="AP212" s="375"/>
      <c r="AQ212" s="375"/>
      <c r="AR212" s="375"/>
      <c r="AS212" s="375"/>
      <c r="AT212" s="375"/>
      <c r="AU212" s="375"/>
      <c r="AV212" s="375"/>
      <c r="AW212" s="375"/>
      <c r="AX212" s="331"/>
    </row>
    <row r="213" spans="1:50" x14ac:dyDescent="0.2">
      <c r="A213" s="1050"/>
      <c r="B213" s="1042"/>
      <c r="C213" s="1051"/>
      <c r="D213" s="1040"/>
      <c r="E213" s="1270"/>
      <c r="F213" s="1267"/>
      <c r="G213" s="1115"/>
      <c r="H213" s="1104"/>
      <c r="I213" s="1045"/>
      <c r="J213" s="377"/>
      <c r="K213" s="482"/>
      <c r="L213" s="482"/>
      <c r="M213" s="851"/>
      <c r="N213" s="663"/>
      <c r="O213" s="383"/>
      <c r="P213" s="1008"/>
      <c r="Q213" s="1009"/>
      <c r="R213" s="375"/>
      <c r="S213" s="376"/>
      <c r="T213" s="375"/>
      <c r="U213" s="625"/>
      <c r="V213" s="560"/>
      <c r="W213" s="606"/>
      <c r="X213" s="377"/>
      <c r="Y213" s="606"/>
      <c r="Z213" s="377"/>
      <c r="AA213" s="606"/>
      <c r="AB213" s="707"/>
      <c r="AC213" s="331"/>
      <c r="AD213" s="383"/>
      <c r="AE213" s="375"/>
      <c r="AF213" s="383"/>
      <c r="AG213" s="375"/>
      <c r="AH213" s="383"/>
      <c r="AI213" s="375"/>
      <c r="AJ213" s="383"/>
      <c r="AK213" s="375"/>
      <c r="AL213" s="375"/>
      <c r="AM213" s="375"/>
      <c r="AN213" s="375"/>
      <c r="AO213" s="375"/>
      <c r="AP213" s="375"/>
      <c r="AQ213" s="375"/>
      <c r="AR213" s="375"/>
      <c r="AS213" s="375"/>
      <c r="AT213" s="375"/>
      <c r="AU213" s="375"/>
      <c r="AV213" s="375"/>
      <c r="AW213" s="375"/>
      <c r="AX213" s="331"/>
    </row>
    <row r="214" spans="1:50" x14ac:dyDescent="0.2">
      <c r="A214" s="1050"/>
      <c r="B214" s="1019"/>
      <c r="C214" s="1051"/>
      <c r="D214" s="1040"/>
      <c r="E214" s="1270"/>
      <c r="F214" s="1267"/>
      <c r="G214" s="1115"/>
      <c r="H214" s="1104"/>
      <c r="I214" s="1045"/>
      <c r="J214" s="377"/>
      <c r="K214" s="482"/>
      <c r="L214" s="482"/>
      <c r="M214" s="851"/>
      <c r="N214" s="663"/>
      <c r="O214" s="383"/>
      <c r="P214" s="1008"/>
      <c r="Q214" s="1009"/>
      <c r="R214" s="375"/>
      <c r="S214" s="376"/>
      <c r="T214" s="375"/>
      <c r="U214" s="625"/>
      <c r="V214" s="560"/>
      <c r="W214" s="606"/>
      <c r="X214" s="377"/>
      <c r="Y214" s="606"/>
      <c r="Z214" s="377"/>
      <c r="AA214" s="606"/>
      <c r="AB214" s="707"/>
      <c r="AC214" s="331"/>
      <c r="AD214" s="383"/>
      <c r="AE214" s="375"/>
      <c r="AF214" s="383"/>
      <c r="AG214" s="375"/>
      <c r="AH214" s="383"/>
      <c r="AI214" s="375"/>
      <c r="AJ214" s="383"/>
      <c r="AK214" s="375"/>
      <c r="AL214" s="375"/>
      <c r="AM214" s="375"/>
      <c r="AN214" s="375"/>
      <c r="AO214" s="375"/>
      <c r="AP214" s="375"/>
      <c r="AQ214" s="375"/>
      <c r="AR214" s="375"/>
      <c r="AS214" s="375"/>
      <c r="AT214" s="375"/>
      <c r="AU214" s="375"/>
      <c r="AV214" s="375"/>
      <c r="AW214" s="375"/>
      <c r="AX214" s="331"/>
    </row>
    <row r="215" spans="1:50" x14ac:dyDescent="0.2">
      <c r="A215" s="1050"/>
      <c r="B215" s="1019"/>
      <c r="C215" s="1051"/>
      <c r="D215" s="1040"/>
      <c r="E215" s="1270"/>
      <c r="F215" s="1267"/>
      <c r="G215" s="1115"/>
      <c r="H215" s="1104"/>
      <c r="I215" s="1045"/>
      <c r="J215" s="377"/>
      <c r="K215" s="482"/>
      <c r="L215" s="482"/>
      <c r="M215" s="851"/>
      <c r="N215" s="663"/>
      <c r="O215" s="383"/>
      <c r="P215" s="1008"/>
      <c r="Q215" s="1009"/>
      <c r="R215" s="375"/>
      <c r="S215" s="376"/>
      <c r="T215" s="375"/>
      <c r="U215" s="625"/>
      <c r="V215" s="560"/>
      <c r="W215" s="606"/>
      <c r="X215" s="377"/>
      <c r="Y215" s="606"/>
      <c r="Z215" s="377"/>
      <c r="AA215" s="606"/>
      <c r="AB215" s="707"/>
      <c r="AC215" s="331"/>
      <c r="AD215" s="383"/>
      <c r="AE215" s="375"/>
      <c r="AF215" s="383"/>
      <c r="AG215" s="375"/>
      <c r="AH215" s="383"/>
      <c r="AI215" s="375"/>
      <c r="AJ215" s="383"/>
      <c r="AK215" s="375"/>
      <c r="AL215" s="375"/>
      <c r="AM215" s="375"/>
      <c r="AN215" s="375"/>
      <c r="AO215" s="375"/>
      <c r="AP215" s="375"/>
      <c r="AQ215" s="375"/>
      <c r="AR215" s="375"/>
      <c r="AS215" s="375"/>
      <c r="AT215" s="375"/>
      <c r="AU215" s="375"/>
      <c r="AV215" s="375"/>
      <c r="AW215" s="375"/>
      <c r="AX215" s="331"/>
    </row>
    <row r="216" spans="1:50" x14ac:dyDescent="0.2">
      <c r="A216" s="1050"/>
      <c r="B216" s="1019"/>
      <c r="C216" s="1051"/>
      <c r="D216" s="1040"/>
      <c r="E216" s="1270"/>
      <c r="F216" s="1267"/>
      <c r="G216" s="1115"/>
      <c r="H216" s="1104"/>
      <c r="I216" s="1046"/>
      <c r="J216" s="377"/>
      <c r="K216" s="482"/>
      <c r="L216" s="482"/>
      <c r="M216" s="851"/>
      <c r="N216" s="663"/>
      <c r="O216" s="383"/>
      <c r="P216" s="1008"/>
      <c r="Q216" s="1009"/>
      <c r="R216" s="375"/>
      <c r="S216" s="376"/>
      <c r="T216" s="375"/>
      <c r="U216" s="625"/>
      <c r="V216" s="560"/>
      <c r="W216" s="606"/>
      <c r="X216" s="377"/>
      <c r="Y216" s="606"/>
      <c r="Z216" s="377"/>
      <c r="AA216" s="606"/>
      <c r="AB216" s="707"/>
      <c r="AC216" s="331"/>
      <c r="AD216" s="383"/>
      <c r="AE216" s="375"/>
      <c r="AF216" s="383"/>
      <c r="AG216" s="375"/>
      <c r="AH216" s="383"/>
      <c r="AI216" s="375"/>
      <c r="AJ216" s="383"/>
      <c r="AK216" s="375"/>
      <c r="AL216" s="375"/>
      <c r="AM216" s="375"/>
      <c r="AN216" s="375"/>
      <c r="AO216" s="375"/>
      <c r="AP216" s="375"/>
      <c r="AQ216" s="375"/>
      <c r="AR216" s="375"/>
      <c r="AS216" s="375"/>
      <c r="AT216" s="375"/>
      <c r="AU216" s="375"/>
      <c r="AV216" s="375"/>
      <c r="AW216" s="375"/>
      <c r="AX216" s="331"/>
    </row>
    <row r="217" spans="1:50" x14ac:dyDescent="0.2">
      <c r="A217" s="1050"/>
      <c r="B217" s="1019"/>
      <c r="C217" s="1051"/>
      <c r="D217" s="1040"/>
      <c r="E217" s="1270"/>
      <c r="F217" s="1267"/>
      <c r="G217" s="1115"/>
      <c r="H217" s="1104"/>
      <c r="I217" s="1045"/>
      <c r="J217" s="377"/>
      <c r="K217" s="482"/>
      <c r="L217" s="482"/>
      <c r="M217" s="851"/>
      <c r="N217" s="663"/>
      <c r="O217" s="383"/>
      <c r="P217" s="1008"/>
      <c r="Q217" s="1009"/>
      <c r="R217" s="375"/>
      <c r="S217" s="376"/>
      <c r="T217" s="375"/>
      <c r="U217" s="625"/>
      <c r="V217" s="560"/>
      <c r="W217" s="606"/>
      <c r="X217" s="377"/>
      <c r="Y217" s="606"/>
      <c r="Z217" s="377"/>
      <c r="AA217" s="606"/>
      <c r="AB217" s="707"/>
      <c r="AC217" s="331"/>
      <c r="AD217" s="383"/>
      <c r="AE217" s="375"/>
      <c r="AF217" s="383"/>
      <c r="AG217" s="375"/>
      <c r="AH217" s="383"/>
      <c r="AI217" s="375"/>
      <c r="AJ217" s="383"/>
      <c r="AK217" s="375"/>
      <c r="AL217" s="375"/>
      <c r="AM217" s="375"/>
      <c r="AN217" s="375"/>
      <c r="AO217" s="375"/>
      <c r="AP217" s="375"/>
      <c r="AQ217" s="375"/>
      <c r="AR217" s="375"/>
      <c r="AS217" s="375"/>
      <c r="AT217" s="375"/>
      <c r="AU217" s="375"/>
      <c r="AV217" s="375"/>
      <c r="AW217" s="375"/>
      <c r="AX217" s="331"/>
    </row>
    <row r="218" spans="1:50" x14ac:dyDescent="0.2">
      <c r="A218" s="1050"/>
      <c r="B218" s="1019"/>
      <c r="C218" s="1051"/>
      <c r="D218" s="1040"/>
      <c r="E218" s="1270"/>
      <c r="F218" s="1267"/>
      <c r="G218" s="1115"/>
      <c r="H218" s="1104"/>
      <c r="I218" s="1045"/>
      <c r="J218" s="377"/>
      <c r="K218" s="482"/>
      <c r="L218" s="482"/>
      <c r="M218" s="851"/>
      <c r="N218" s="663"/>
      <c r="O218" s="383"/>
      <c r="P218" s="1008"/>
      <c r="Q218" s="1009"/>
      <c r="R218" s="375"/>
      <c r="S218" s="376"/>
      <c r="T218" s="375"/>
      <c r="U218" s="625"/>
      <c r="V218" s="560"/>
      <c r="W218" s="606"/>
      <c r="X218" s="377"/>
      <c r="Y218" s="606"/>
      <c r="Z218" s="377"/>
      <c r="AA218" s="606"/>
      <c r="AB218" s="707"/>
      <c r="AC218" s="331"/>
      <c r="AD218" s="383"/>
      <c r="AE218" s="375"/>
      <c r="AF218" s="383"/>
      <c r="AG218" s="375"/>
      <c r="AH218" s="383"/>
      <c r="AI218" s="375"/>
      <c r="AJ218" s="383"/>
      <c r="AK218" s="375"/>
      <c r="AL218" s="375"/>
      <c r="AM218" s="375"/>
      <c r="AN218" s="375"/>
      <c r="AO218" s="375"/>
      <c r="AP218" s="375"/>
      <c r="AQ218" s="375"/>
      <c r="AR218" s="375"/>
      <c r="AS218" s="375"/>
      <c r="AT218" s="375"/>
      <c r="AU218" s="375"/>
      <c r="AV218" s="375"/>
      <c r="AW218" s="375"/>
      <c r="AX218" s="331"/>
    </row>
    <row r="219" spans="1:50" x14ac:dyDescent="0.2">
      <c r="A219" s="1050"/>
      <c r="B219" s="1019"/>
      <c r="C219" s="1051"/>
      <c r="D219" s="1040"/>
      <c r="E219" s="1270"/>
      <c r="F219" s="1267"/>
      <c r="G219" s="1115"/>
      <c r="H219" s="1104"/>
      <c r="I219" s="1045"/>
      <c r="J219" s="377"/>
      <c r="K219" s="482"/>
      <c r="L219" s="482"/>
      <c r="M219" s="851"/>
      <c r="N219" s="663"/>
      <c r="O219" s="383"/>
      <c r="P219" s="1008"/>
      <c r="Q219" s="1009"/>
      <c r="R219" s="375"/>
      <c r="S219" s="376"/>
      <c r="T219" s="375"/>
      <c r="U219" s="625"/>
      <c r="V219" s="560"/>
      <c r="W219" s="606"/>
      <c r="X219" s="377"/>
      <c r="Y219" s="606"/>
      <c r="Z219" s="377"/>
      <c r="AA219" s="606"/>
      <c r="AB219" s="707"/>
      <c r="AC219" s="331"/>
      <c r="AD219" s="383"/>
      <c r="AE219" s="375"/>
      <c r="AF219" s="383"/>
      <c r="AG219" s="375"/>
      <c r="AH219" s="383"/>
      <c r="AI219" s="375"/>
      <c r="AJ219" s="383"/>
      <c r="AK219" s="375"/>
      <c r="AL219" s="375"/>
      <c r="AM219" s="375"/>
      <c r="AN219" s="375"/>
      <c r="AO219" s="375"/>
      <c r="AP219" s="375"/>
      <c r="AQ219" s="375"/>
      <c r="AR219" s="375"/>
      <c r="AS219" s="375"/>
      <c r="AT219" s="375"/>
      <c r="AU219" s="375"/>
      <c r="AV219" s="375"/>
      <c r="AW219" s="375"/>
      <c r="AX219" s="331"/>
    </row>
    <row r="220" spans="1:50" x14ac:dyDescent="0.2">
      <c r="A220" s="1050"/>
      <c r="B220" s="1019"/>
      <c r="C220" s="1051"/>
      <c r="D220" s="1040"/>
      <c r="E220" s="1270"/>
      <c r="F220" s="1267"/>
      <c r="G220" s="1115"/>
      <c r="H220" s="1104"/>
      <c r="I220" s="1045"/>
      <c r="J220" s="377"/>
      <c r="K220" s="482"/>
      <c r="L220" s="482"/>
      <c r="M220" s="851"/>
      <c r="N220" s="663"/>
      <c r="O220" s="383"/>
      <c r="P220" s="1008"/>
      <c r="Q220" s="1009"/>
      <c r="R220" s="375"/>
      <c r="S220" s="376"/>
      <c r="T220" s="375"/>
      <c r="U220" s="625"/>
      <c r="V220" s="560"/>
      <c r="W220" s="606"/>
      <c r="X220" s="377"/>
      <c r="Y220" s="606"/>
      <c r="Z220" s="377"/>
      <c r="AA220" s="606"/>
      <c r="AB220" s="707"/>
      <c r="AC220" s="331"/>
      <c r="AD220" s="383"/>
      <c r="AE220" s="375"/>
      <c r="AF220" s="383"/>
      <c r="AG220" s="375"/>
      <c r="AH220" s="383"/>
      <c r="AI220" s="375"/>
      <c r="AJ220" s="383"/>
      <c r="AK220" s="375"/>
      <c r="AL220" s="375"/>
      <c r="AM220" s="375"/>
      <c r="AN220" s="375"/>
      <c r="AO220" s="375"/>
      <c r="AP220" s="375"/>
      <c r="AQ220" s="375"/>
      <c r="AR220" s="375"/>
      <c r="AS220" s="375"/>
      <c r="AT220" s="375"/>
      <c r="AU220" s="375"/>
      <c r="AV220" s="375"/>
      <c r="AW220" s="375"/>
      <c r="AX220" s="331"/>
    </row>
    <row r="221" spans="1:50" x14ac:dyDescent="0.2">
      <c r="A221" s="1050"/>
      <c r="B221" s="1019"/>
      <c r="C221" s="1051"/>
      <c r="D221" s="1040"/>
      <c r="E221" s="1270"/>
      <c r="F221" s="1267"/>
      <c r="G221" s="1115"/>
      <c r="H221" s="1104"/>
      <c r="I221" s="1045"/>
      <c r="J221" s="377"/>
      <c r="K221" s="482"/>
      <c r="L221" s="482"/>
      <c r="M221" s="851"/>
      <c r="N221" s="663"/>
      <c r="O221" s="383"/>
      <c r="P221" s="1008"/>
      <c r="Q221" s="1009"/>
      <c r="R221" s="375"/>
      <c r="S221" s="376"/>
      <c r="T221" s="375"/>
      <c r="U221" s="625"/>
      <c r="V221" s="560"/>
      <c r="W221" s="606"/>
      <c r="X221" s="377"/>
      <c r="Y221" s="606"/>
      <c r="Z221" s="377"/>
      <c r="AA221" s="606"/>
      <c r="AB221" s="707"/>
      <c r="AC221" s="331"/>
      <c r="AD221" s="383"/>
      <c r="AE221" s="375"/>
      <c r="AF221" s="383"/>
      <c r="AG221" s="375"/>
      <c r="AH221" s="383"/>
      <c r="AI221" s="375"/>
      <c r="AJ221" s="383"/>
      <c r="AK221" s="375"/>
      <c r="AL221" s="375"/>
      <c r="AM221" s="375"/>
      <c r="AN221" s="375"/>
      <c r="AO221" s="375"/>
      <c r="AP221" s="375"/>
      <c r="AQ221" s="375"/>
      <c r="AR221" s="375"/>
      <c r="AS221" s="375"/>
      <c r="AT221" s="375"/>
      <c r="AU221" s="375"/>
      <c r="AV221" s="375"/>
      <c r="AW221" s="375"/>
      <c r="AX221" s="331"/>
    </row>
    <row r="222" spans="1:50" x14ac:dyDescent="0.2">
      <c r="A222" s="1050"/>
      <c r="B222" s="1019"/>
      <c r="C222" s="1051"/>
      <c r="D222" s="1040"/>
      <c r="E222" s="1270"/>
      <c r="F222" s="1267"/>
      <c r="G222" s="1115"/>
      <c r="H222" s="1104"/>
      <c r="I222" s="1045"/>
      <c r="J222" s="377"/>
      <c r="K222" s="482"/>
      <c r="L222" s="482"/>
      <c r="M222" s="851"/>
      <c r="N222" s="663"/>
      <c r="O222" s="383"/>
      <c r="P222" s="1008"/>
      <c r="Q222" s="1009"/>
      <c r="R222" s="375"/>
      <c r="S222" s="376"/>
      <c r="T222" s="375"/>
      <c r="U222" s="625"/>
      <c r="V222" s="560"/>
      <c r="W222" s="606"/>
      <c r="X222" s="377"/>
      <c r="Y222" s="606"/>
      <c r="Z222" s="377"/>
      <c r="AA222" s="606"/>
      <c r="AB222" s="707"/>
      <c r="AC222" s="331"/>
      <c r="AD222" s="383"/>
      <c r="AE222" s="375"/>
      <c r="AF222" s="383"/>
      <c r="AG222" s="375"/>
      <c r="AH222" s="383"/>
      <c r="AI222" s="375"/>
      <c r="AJ222" s="383"/>
      <c r="AK222" s="375"/>
      <c r="AL222" s="375"/>
      <c r="AM222" s="375"/>
      <c r="AN222" s="375"/>
      <c r="AO222" s="375"/>
      <c r="AP222" s="375"/>
      <c r="AQ222" s="375"/>
      <c r="AR222" s="375"/>
      <c r="AS222" s="375"/>
      <c r="AT222" s="375"/>
      <c r="AU222" s="375"/>
      <c r="AV222" s="375"/>
      <c r="AW222" s="375"/>
      <c r="AX222" s="331"/>
    </row>
    <row r="223" spans="1:50" x14ac:dyDescent="0.2">
      <c r="A223" s="1050"/>
      <c r="B223" s="1019"/>
      <c r="C223" s="1051"/>
      <c r="D223" s="1040"/>
      <c r="E223" s="1270"/>
      <c r="F223" s="1267"/>
      <c r="G223" s="1115"/>
      <c r="H223" s="1104"/>
      <c r="I223" s="1046"/>
      <c r="J223" s="377"/>
      <c r="K223" s="482"/>
      <c r="L223" s="482"/>
      <c r="M223" s="851"/>
      <c r="N223" s="663"/>
      <c r="O223" s="383"/>
      <c r="P223" s="1008"/>
      <c r="Q223" s="1009"/>
      <c r="R223" s="375"/>
      <c r="S223" s="376"/>
      <c r="T223" s="375"/>
      <c r="U223" s="625"/>
      <c r="V223" s="560"/>
      <c r="W223" s="606"/>
      <c r="X223" s="377"/>
      <c r="Y223" s="606"/>
      <c r="Z223" s="377"/>
      <c r="AA223" s="606"/>
      <c r="AB223" s="707"/>
      <c r="AC223" s="331"/>
      <c r="AD223" s="383"/>
      <c r="AE223" s="375"/>
      <c r="AF223" s="383"/>
      <c r="AG223" s="375"/>
      <c r="AH223" s="383"/>
      <c r="AI223" s="375"/>
      <c r="AJ223" s="383"/>
      <c r="AK223" s="375"/>
      <c r="AL223" s="375"/>
      <c r="AM223" s="375"/>
      <c r="AN223" s="375"/>
      <c r="AO223" s="375"/>
      <c r="AP223" s="375"/>
      <c r="AQ223" s="375"/>
      <c r="AR223" s="375"/>
      <c r="AS223" s="375"/>
      <c r="AT223" s="375"/>
      <c r="AU223" s="375"/>
      <c r="AV223" s="375"/>
      <c r="AW223" s="375"/>
      <c r="AX223" s="331"/>
    </row>
    <row r="224" spans="1:50" x14ac:dyDescent="0.2">
      <c r="A224" s="1050"/>
      <c r="B224" s="1019"/>
      <c r="C224" s="1051"/>
      <c r="D224" s="1040"/>
      <c r="E224" s="1270"/>
      <c r="F224" s="1267"/>
      <c r="G224" s="1115"/>
      <c r="H224" s="1104"/>
      <c r="I224" s="1045"/>
      <c r="J224" s="377"/>
      <c r="K224" s="482"/>
      <c r="L224" s="482"/>
      <c r="M224" s="851"/>
      <c r="N224" s="663"/>
      <c r="O224" s="383"/>
      <c r="P224" s="1008"/>
      <c r="Q224" s="1009"/>
      <c r="R224" s="375"/>
      <c r="S224" s="376"/>
      <c r="T224" s="375"/>
      <c r="U224" s="625"/>
      <c r="V224" s="560"/>
      <c r="W224" s="606"/>
      <c r="X224" s="377"/>
      <c r="Y224" s="606"/>
      <c r="Z224" s="377"/>
      <c r="AA224" s="606"/>
      <c r="AB224" s="707"/>
      <c r="AC224" s="331"/>
      <c r="AD224" s="383"/>
      <c r="AE224" s="375"/>
      <c r="AF224" s="383"/>
      <c r="AG224" s="375"/>
      <c r="AH224" s="383"/>
      <c r="AI224" s="375"/>
      <c r="AJ224" s="383"/>
      <c r="AK224" s="375"/>
      <c r="AL224" s="375"/>
      <c r="AM224" s="375"/>
      <c r="AN224" s="375"/>
      <c r="AO224" s="375"/>
      <c r="AP224" s="375"/>
      <c r="AQ224" s="375"/>
      <c r="AR224" s="375"/>
      <c r="AS224" s="375"/>
      <c r="AT224" s="375"/>
      <c r="AU224" s="375"/>
      <c r="AV224" s="375"/>
      <c r="AW224" s="375"/>
      <c r="AX224" s="331"/>
    </row>
    <row r="225" spans="1:50" x14ac:dyDescent="0.2">
      <c r="A225" s="1050"/>
      <c r="B225" s="1019"/>
      <c r="C225" s="1051"/>
      <c r="D225" s="1040"/>
      <c r="E225" s="1270"/>
      <c r="F225" s="1267"/>
      <c r="G225" s="1115"/>
      <c r="H225" s="1104"/>
      <c r="I225" s="1045"/>
      <c r="J225" s="377"/>
      <c r="K225" s="482"/>
      <c r="L225" s="482"/>
      <c r="M225" s="851"/>
      <c r="N225" s="663"/>
      <c r="O225" s="383"/>
      <c r="P225" s="1008"/>
      <c r="Q225" s="1009"/>
      <c r="R225" s="375"/>
      <c r="S225" s="376"/>
      <c r="T225" s="375"/>
      <c r="U225" s="625"/>
      <c r="V225" s="560"/>
      <c r="W225" s="606"/>
      <c r="X225" s="377"/>
      <c r="Y225" s="606"/>
      <c r="Z225" s="377"/>
      <c r="AA225" s="606"/>
      <c r="AB225" s="707"/>
      <c r="AC225" s="331"/>
      <c r="AD225" s="383"/>
      <c r="AE225" s="375"/>
      <c r="AF225" s="383"/>
      <c r="AG225" s="375"/>
      <c r="AH225" s="383"/>
      <c r="AI225" s="375"/>
      <c r="AJ225" s="383"/>
      <c r="AK225" s="375"/>
      <c r="AL225" s="375"/>
      <c r="AM225" s="375"/>
      <c r="AN225" s="375"/>
      <c r="AO225" s="375"/>
      <c r="AP225" s="375"/>
      <c r="AQ225" s="375"/>
      <c r="AR225" s="375"/>
      <c r="AS225" s="375"/>
      <c r="AT225" s="375"/>
      <c r="AU225" s="375"/>
      <c r="AV225" s="375"/>
      <c r="AW225" s="375"/>
      <c r="AX225" s="331"/>
    </row>
    <row r="226" spans="1:50" x14ac:dyDescent="0.2">
      <c r="A226" s="1050"/>
      <c r="B226" s="1042"/>
      <c r="C226" s="1051"/>
      <c r="D226" s="1040"/>
      <c r="E226" s="1270"/>
      <c r="F226" s="1267"/>
      <c r="G226" s="1115"/>
      <c r="H226" s="1104"/>
      <c r="I226" s="1045"/>
      <c r="J226" s="377"/>
      <c r="K226" s="482"/>
      <c r="L226" s="482"/>
      <c r="M226" s="851"/>
      <c r="N226" s="663"/>
      <c r="O226" s="383"/>
      <c r="P226" s="1008"/>
      <c r="Q226" s="1009"/>
      <c r="R226" s="375"/>
      <c r="S226" s="376"/>
      <c r="T226" s="375"/>
      <c r="U226" s="625"/>
      <c r="V226" s="560"/>
      <c r="W226" s="606"/>
      <c r="X226" s="377"/>
      <c r="Y226" s="606"/>
      <c r="Z226" s="377"/>
      <c r="AA226" s="606"/>
      <c r="AB226" s="707"/>
      <c r="AC226" s="331"/>
      <c r="AD226" s="383"/>
      <c r="AE226" s="375"/>
      <c r="AF226" s="383"/>
      <c r="AG226" s="375"/>
      <c r="AH226" s="383"/>
      <c r="AI226" s="375"/>
      <c r="AJ226" s="383"/>
      <c r="AK226" s="375"/>
      <c r="AL226" s="375"/>
      <c r="AM226" s="375"/>
      <c r="AN226" s="375"/>
      <c r="AO226" s="375"/>
      <c r="AP226" s="375"/>
      <c r="AQ226" s="375"/>
      <c r="AR226" s="375"/>
      <c r="AS226" s="375"/>
      <c r="AT226" s="375"/>
      <c r="AU226" s="375"/>
      <c r="AV226" s="375"/>
      <c r="AW226" s="375"/>
      <c r="AX226" s="331"/>
    </row>
    <row r="227" spans="1:50" x14ac:dyDescent="0.2">
      <c r="A227" s="1050"/>
      <c r="B227" s="1019"/>
      <c r="C227" s="1051"/>
      <c r="D227" s="1040"/>
      <c r="E227" s="1270"/>
      <c r="F227" s="1267"/>
      <c r="G227" s="1115"/>
      <c r="H227" s="1104"/>
      <c r="I227" s="1045"/>
      <c r="J227" s="377"/>
      <c r="K227" s="482"/>
      <c r="L227" s="482"/>
      <c r="M227" s="851"/>
      <c r="N227" s="663"/>
      <c r="O227" s="383"/>
      <c r="P227" s="1008"/>
      <c r="Q227" s="1009"/>
      <c r="R227" s="375"/>
      <c r="S227" s="376"/>
      <c r="T227" s="375"/>
      <c r="U227" s="625"/>
      <c r="V227" s="560"/>
      <c r="W227" s="606"/>
      <c r="X227" s="377"/>
      <c r="Y227" s="606"/>
      <c r="Z227" s="377"/>
      <c r="AA227" s="606"/>
      <c r="AB227" s="707"/>
      <c r="AC227" s="331"/>
      <c r="AD227" s="383"/>
      <c r="AE227" s="375"/>
      <c r="AF227" s="383"/>
      <c r="AG227" s="375"/>
      <c r="AH227" s="383"/>
      <c r="AI227" s="375"/>
      <c r="AJ227" s="383"/>
      <c r="AK227" s="375"/>
      <c r="AL227" s="375"/>
      <c r="AM227" s="375"/>
      <c r="AN227" s="375"/>
      <c r="AO227" s="375"/>
      <c r="AP227" s="375"/>
      <c r="AQ227" s="375"/>
      <c r="AR227" s="375"/>
      <c r="AS227" s="375"/>
      <c r="AT227" s="375"/>
      <c r="AU227" s="375"/>
      <c r="AV227" s="375"/>
      <c r="AW227" s="375"/>
      <c r="AX227" s="331"/>
    </row>
    <row r="228" spans="1:50" x14ac:dyDescent="0.2">
      <c r="A228" s="1050"/>
      <c r="B228" s="1019"/>
      <c r="C228" s="1051"/>
      <c r="D228" s="1040"/>
      <c r="E228" s="1270"/>
      <c r="F228" s="1267"/>
      <c r="G228" s="1115"/>
      <c r="H228" s="1104"/>
      <c r="I228" s="1045"/>
      <c r="J228" s="377"/>
      <c r="K228" s="482"/>
      <c r="L228" s="482"/>
      <c r="M228" s="851"/>
      <c r="N228" s="663"/>
      <c r="O228" s="383"/>
      <c r="P228" s="1008"/>
      <c r="Q228" s="1009"/>
      <c r="R228" s="375"/>
      <c r="S228" s="376"/>
      <c r="T228" s="375"/>
      <c r="U228" s="625"/>
      <c r="V228" s="560"/>
      <c r="W228" s="606"/>
      <c r="X228" s="377"/>
      <c r="Y228" s="606"/>
      <c r="Z228" s="377"/>
      <c r="AA228" s="606"/>
      <c r="AB228" s="707"/>
      <c r="AC228" s="331"/>
      <c r="AD228" s="383"/>
      <c r="AE228" s="375"/>
      <c r="AF228" s="383"/>
      <c r="AG228" s="375"/>
      <c r="AH228" s="383"/>
      <c r="AI228" s="375"/>
      <c r="AJ228" s="383"/>
      <c r="AK228" s="375"/>
      <c r="AL228" s="375"/>
      <c r="AM228" s="375"/>
      <c r="AN228" s="375"/>
      <c r="AO228" s="375"/>
      <c r="AP228" s="375"/>
      <c r="AQ228" s="375"/>
      <c r="AR228" s="375"/>
      <c r="AS228" s="375"/>
      <c r="AT228" s="375"/>
      <c r="AU228" s="375"/>
      <c r="AV228" s="375"/>
      <c r="AW228" s="375"/>
      <c r="AX228" s="331"/>
    </row>
    <row r="229" spans="1:50" x14ac:dyDescent="0.2">
      <c r="A229" s="1050"/>
      <c r="B229" s="1019"/>
      <c r="C229" s="1051"/>
      <c r="D229" s="1040"/>
      <c r="E229" s="1270"/>
      <c r="F229" s="1267"/>
      <c r="G229" s="1115"/>
      <c r="H229" s="1104"/>
      <c r="I229" s="1045"/>
      <c r="J229" s="377"/>
      <c r="K229" s="482"/>
      <c r="L229" s="482"/>
      <c r="M229" s="851"/>
      <c r="N229" s="663"/>
      <c r="O229" s="383"/>
      <c r="P229" s="1008"/>
      <c r="Q229" s="1009"/>
      <c r="R229" s="375"/>
      <c r="S229" s="376"/>
      <c r="T229" s="375"/>
      <c r="U229" s="625"/>
      <c r="V229" s="560"/>
      <c r="W229" s="606"/>
      <c r="X229" s="377"/>
      <c r="Y229" s="606"/>
      <c r="Z229" s="377"/>
      <c r="AA229" s="606"/>
      <c r="AB229" s="707"/>
      <c r="AC229" s="331"/>
      <c r="AD229" s="383"/>
      <c r="AE229" s="375"/>
      <c r="AF229" s="383"/>
      <c r="AG229" s="375"/>
      <c r="AH229" s="383"/>
      <c r="AI229" s="375"/>
      <c r="AJ229" s="383"/>
      <c r="AK229" s="375"/>
      <c r="AL229" s="375"/>
      <c r="AM229" s="375"/>
      <c r="AN229" s="375"/>
      <c r="AO229" s="375"/>
      <c r="AP229" s="375"/>
      <c r="AQ229" s="375"/>
      <c r="AR229" s="375"/>
      <c r="AS229" s="375"/>
      <c r="AT229" s="375"/>
      <c r="AU229" s="375"/>
      <c r="AV229" s="375"/>
      <c r="AW229" s="375"/>
      <c r="AX229" s="331"/>
    </row>
    <row r="230" spans="1:50" x14ac:dyDescent="0.2">
      <c r="A230" s="1050"/>
      <c r="B230" s="1019"/>
      <c r="C230" s="1051"/>
      <c r="D230" s="1040"/>
      <c r="E230" s="1270"/>
      <c r="F230" s="1267"/>
      <c r="G230" s="1115"/>
      <c r="H230" s="1104"/>
      <c r="I230" s="1045"/>
      <c r="J230" s="377"/>
      <c r="K230" s="482"/>
      <c r="L230" s="482"/>
      <c r="M230" s="851"/>
      <c r="N230" s="663"/>
      <c r="O230" s="383"/>
      <c r="P230" s="1008"/>
      <c r="Q230" s="1009"/>
      <c r="R230" s="375"/>
      <c r="S230" s="376"/>
      <c r="T230" s="375"/>
      <c r="U230" s="625"/>
      <c r="V230" s="560"/>
      <c r="W230" s="606"/>
      <c r="X230" s="377"/>
      <c r="Y230" s="606"/>
      <c r="Z230" s="377"/>
      <c r="AA230" s="606"/>
      <c r="AB230" s="707"/>
      <c r="AC230" s="331"/>
      <c r="AD230" s="383"/>
      <c r="AE230" s="375"/>
      <c r="AF230" s="383"/>
      <c r="AG230" s="375"/>
      <c r="AH230" s="383"/>
      <c r="AI230" s="375"/>
      <c r="AJ230" s="383"/>
      <c r="AK230" s="375"/>
      <c r="AL230" s="375"/>
      <c r="AM230" s="375"/>
      <c r="AN230" s="375"/>
      <c r="AO230" s="375"/>
      <c r="AP230" s="375"/>
      <c r="AQ230" s="375"/>
      <c r="AR230" s="375"/>
      <c r="AS230" s="375"/>
      <c r="AT230" s="375"/>
      <c r="AU230" s="375"/>
      <c r="AV230" s="375"/>
      <c r="AW230" s="375"/>
      <c r="AX230" s="331"/>
    </row>
    <row r="231" spans="1:50" x14ac:dyDescent="0.2">
      <c r="A231" s="1050"/>
      <c r="B231" s="1019"/>
      <c r="C231" s="1051"/>
      <c r="D231" s="1040"/>
      <c r="E231" s="1270"/>
      <c r="F231" s="1267"/>
      <c r="G231" s="1115"/>
      <c r="H231" s="1104"/>
      <c r="I231" s="1045"/>
      <c r="J231" s="377"/>
      <c r="K231" s="482"/>
      <c r="L231" s="482"/>
      <c r="M231" s="851"/>
      <c r="N231" s="663"/>
      <c r="O231" s="383"/>
      <c r="P231" s="1008"/>
      <c r="Q231" s="1009"/>
      <c r="R231" s="375"/>
      <c r="S231" s="376"/>
      <c r="T231" s="375"/>
      <c r="U231" s="625"/>
      <c r="V231" s="560"/>
      <c r="W231" s="606"/>
      <c r="X231" s="377"/>
      <c r="Y231" s="606"/>
      <c r="Z231" s="377"/>
      <c r="AA231" s="606"/>
      <c r="AB231" s="707"/>
      <c r="AC231" s="331"/>
      <c r="AD231" s="383"/>
      <c r="AE231" s="375"/>
      <c r="AF231" s="383"/>
      <c r="AG231" s="375"/>
      <c r="AH231" s="383"/>
      <c r="AI231" s="375"/>
      <c r="AJ231" s="383"/>
      <c r="AK231" s="375"/>
      <c r="AL231" s="375"/>
      <c r="AM231" s="375"/>
      <c r="AN231" s="375"/>
      <c r="AO231" s="375"/>
      <c r="AP231" s="375"/>
      <c r="AQ231" s="375"/>
      <c r="AR231" s="375"/>
      <c r="AS231" s="375"/>
      <c r="AT231" s="375"/>
      <c r="AU231" s="375"/>
      <c r="AV231" s="375"/>
      <c r="AW231" s="375"/>
      <c r="AX231" s="331"/>
    </row>
    <row r="232" spans="1:50" x14ac:dyDescent="0.2">
      <c r="A232" s="1050"/>
      <c r="B232" s="1019"/>
      <c r="C232" s="1019"/>
      <c r="D232" s="1019"/>
      <c r="E232" s="1271"/>
      <c r="F232" s="1267"/>
      <c r="G232" s="1115"/>
      <c r="H232" s="1104"/>
      <c r="I232" s="1045"/>
      <c r="J232" s="377"/>
      <c r="K232" s="701"/>
      <c r="L232" s="482"/>
      <c r="M232" s="851"/>
      <c r="N232" s="663"/>
      <c r="O232" s="702"/>
      <c r="P232" s="1008"/>
      <c r="Q232" s="1009"/>
      <c r="R232" s="375"/>
      <c r="S232" s="376"/>
      <c r="T232" s="375"/>
      <c r="U232" s="625"/>
      <c r="V232" s="560"/>
      <c r="W232" s="606"/>
      <c r="X232" s="377"/>
      <c r="Y232" s="606"/>
      <c r="Z232" s="377"/>
      <c r="AA232" s="606"/>
      <c r="AB232" s="707"/>
      <c r="AC232" s="331"/>
      <c r="AD232" s="383"/>
      <c r="AE232" s="375"/>
      <c r="AF232" s="383"/>
      <c r="AG232" s="375"/>
      <c r="AH232" s="383"/>
      <c r="AI232" s="375"/>
      <c r="AJ232" s="383"/>
      <c r="AK232" s="375"/>
      <c r="AL232" s="375"/>
      <c r="AM232" s="375"/>
      <c r="AN232" s="375"/>
      <c r="AO232" s="375"/>
      <c r="AP232" s="375"/>
      <c r="AQ232" s="375"/>
      <c r="AR232" s="375"/>
      <c r="AS232" s="375"/>
      <c r="AT232" s="375"/>
      <c r="AU232" s="375"/>
      <c r="AV232" s="375"/>
      <c r="AW232" s="375"/>
      <c r="AX232" s="331"/>
    </row>
    <row r="233" spans="1:50" x14ac:dyDescent="0.2">
      <c r="A233" s="1050"/>
      <c r="B233" s="1019"/>
      <c r="C233" s="1019"/>
      <c r="D233" s="1019"/>
      <c r="E233" s="1271"/>
      <c r="F233" s="1267"/>
      <c r="G233" s="1115"/>
      <c r="H233" s="1104"/>
      <c r="I233" s="1045"/>
      <c r="J233" s="377"/>
      <c r="K233" s="701"/>
      <c r="L233" s="482"/>
      <c r="M233" s="851"/>
      <c r="N233" s="663"/>
      <c r="O233" s="702"/>
      <c r="P233" s="1008"/>
      <c r="Q233" s="1009"/>
      <c r="R233" s="375"/>
      <c r="S233" s="376"/>
      <c r="T233" s="375"/>
      <c r="U233" s="625"/>
      <c r="V233" s="560"/>
      <c r="W233" s="606"/>
      <c r="X233" s="377"/>
      <c r="Y233" s="606"/>
      <c r="Z233" s="377"/>
      <c r="AA233" s="606"/>
      <c r="AB233" s="707"/>
      <c r="AC233" s="331"/>
      <c r="AD233" s="383"/>
      <c r="AE233" s="375"/>
      <c r="AF233" s="383"/>
      <c r="AG233" s="375"/>
      <c r="AH233" s="383"/>
      <c r="AI233" s="375"/>
      <c r="AJ233" s="383"/>
      <c r="AK233" s="375"/>
      <c r="AL233" s="375"/>
      <c r="AM233" s="375"/>
      <c r="AN233" s="375"/>
      <c r="AO233" s="375"/>
      <c r="AP233" s="375"/>
      <c r="AQ233" s="375"/>
      <c r="AR233" s="375"/>
      <c r="AS233" s="375"/>
      <c r="AT233" s="375"/>
      <c r="AU233" s="375"/>
      <c r="AV233" s="375"/>
      <c r="AW233" s="375"/>
      <c r="AX233" s="331"/>
    </row>
    <row r="234" spans="1:50" x14ac:dyDescent="0.2">
      <c r="A234" s="1050"/>
      <c r="B234" s="1019"/>
      <c r="C234" s="1019"/>
      <c r="D234" s="1019"/>
      <c r="E234" s="1271"/>
      <c r="F234" s="1267"/>
      <c r="G234" s="1115"/>
      <c r="H234" s="1104"/>
      <c r="I234" s="1045"/>
      <c r="J234" s="377"/>
      <c r="K234" s="701"/>
      <c r="L234" s="482"/>
      <c r="M234" s="851"/>
      <c r="N234" s="663"/>
      <c r="O234" s="702"/>
      <c r="P234" s="1008"/>
      <c r="Q234" s="1009"/>
      <c r="R234" s="375"/>
      <c r="S234" s="376"/>
      <c r="T234" s="375"/>
      <c r="U234" s="625"/>
      <c r="V234" s="560"/>
      <c r="W234" s="606"/>
      <c r="X234" s="377"/>
      <c r="Y234" s="606"/>
      <c r="Z234" s="377"/>
      <c r="AA234" s="606"/>
      <c r="AB234" s="707"/>
      <c r="AC234" s="331"/>
      <c r="AD234" s="383"/>
      <c r="AE234" s="375"/>
      <c r="AF234" s="383"/>
      <c r="AG234" s="375"/>
      <c r="AH234" s="383"/>
      <c r="AI234" s="375"/>
      <c r="AJ234" s="383"/>
      <c r="AK234" s="375"/>
      <c r="AL234" s="375"/>
      <c r="AM234" s="375"/>
      <c r="AN234" s="375"/>
      <c r="AO234" s="375"/>
      <c r="AP234" s="375"/>
      <c r="AQ234" s="375"/>
      <c r="AR234" s="375"/>
      <c r="AS234" s="375"/>
      <c r="AT234" s="375"/>
      <c r="AU234" s="375"/>
      <c r="AV234" s="375"/>
      <c r="AW234" s="375"/>
      <c r="AX234" s="331"/>
    </row>
    <row r="235" spans="1:50" x14ac:dyDescent="0.2">
      <c r="A235" s="1050"/>
      <c r="B235" s="1019"/>
      <c r="C235" s="1019"/>
      <c r="D235" s="1019"/>
      <c r="E235" s="1271"/>
      <c r="F235" s="1267"/>
      <c r="G235" s="1115"/>
      <c r="H235" s="1104"/>
      <c r="I235" s="1045"/>
      <c r="J235" s="377"/>
      <c r="K235" s="701"/>
      <c r="L235" s="482"/>
      <c r="M235" s="851"/>
      <c r="N235" s="663"/>
      <c r="O235" s="702"/>
      <c r="P235" s="1008"/>
      <c r="Q235" s="1009"/>
      <c r="R235" s="375"/>
      <c r="S235" s="376"/>
      <c r="T235" s="375"/>
      <c r="U235" s="625"/>
      <c r="V235" s="560"/>
      <c r="W235" s="606"/>
      <c r="X235" s="377"/>
      <c r="Y235" s="606"/>
      <c r="Z235" s="377"/>
      <c r="AA235" s="606"/>
      <c r="AB235" s="707"/>
      <c r="AC235" s="331"/>
      <c r="AD235" s="383"/>
      <c r="AE235" s="375"/>
      <c r="AF235" s="383"/>
      <c r="AG235" s="375"/>
      <c r="AH235" s="383"/>
      <c r="AI235" s="375"/>
      <c r="AJ235" s="383"/>
      <c r="AK235" s="375"/>
      <c r="AL235" s="375"/>
      <c r="AM235" s="375"/>
      <c r="AN235" s="375"/>
      <c r="AO235" s="375"/>
      <c r="AP235" s="375"/>
      <c r="AQ235" s="375"/>
      <c r="AR235" s="375"/>
      <c r="AS235" s="375"/>
      <c r="AT235" s="375"/>
      <c r="AU235" s="375"/>
      <c r="AV235" s="375"/>
      <c r="AW235" s="375"/>
      <c r="AX235" s="331"/>
    </row>
    <row r="236" spans="1:50" ht="13.5" thickBot="1" x14ac:dyDescent="0.25">
      <c r="A236" s="387"/>
      <c r="B236" s="731"/>
      <c r="C236" s="777"/>
      <c r="D236" s="777"/>
      <c r="E236" s="1272"/>
      <c r="F236" s="1268"/>
      <c r="G236" s="1116"/>
      <c r="H236" s="1105"/>
      <c r="I236" s="732"/>
      <c r="J236" s="732"/>
      <c r="K236" s="703"/>
      <c r="L236" s="510"/>
      <c r="M236" s="852"/>
      <c r="N236" s="704"/>
      <c r="O236" s="705"/>
      <c r="P236" s="733"/>
      <c r="Q236" s="734"/>
      <c r="R236" s="386"/>
      <c r="S236" s="735"/>
      <c r="T236" s="386"/>
      <c r="U236" s="736"/>
      <c r="V236" s="623"/>
      <c r="W236" s="624"/>
      <c r="X236" s="732"/>
      <c r="Y236" s="624"/>
      <c r="Z236" s="732"/>
      <c r="AA236" s="624"/>
      <c r="AB236" s="737"/>
      <c r="AC236" s="331"/>
      <c r="AD236" s="383"/>
      <c r="AE236" s="482"/>
      <c r="AF236" s="383"/>
      <c r="AG236" s="375"/>
      <c r="AH236" s="383"/>
      <c r="AI236" s="375"/>
      <c r="AJ236" s="383"/>
      <c r="AK236" s="482"/>
      <c r="AL236" s="375"/>
      <c r="AM236" s="375"/>
      <c r="AN236" s="376"/>
      <c r="AO236" s="375"/>
      <c r="AP236" s="375"/>
      <c r="AQ236" s="377"/>
      <c r="AR236" s="377"/>
      <c r="AS236" s="377"/>
      <c r="AT236" s="377"/>
      <c r="AU236" s="377"/>
      <c r="AV236" s="377"/>
      <c r="AW236" s="377"/>
      <c r="AX236" s="331"/>
    </row>
    <row r="237" spans="1:50" ht="13.5" thickBot="1" x14ac:dyDescent="0.25">
      <c r="A237" s="716"/>
      <c r="B237" s="717"/>
      <c r="C237" s="778"/>
      <c r="D237" s="778"/>
      <c r="E237" s="778"/>
      <c r="F237" s="718"/>
      <c r="G237" s="1117"/>
      <c r="H237" s="1107"/>
      <c r="I237" s="1403"/>
      <c r="J237" s="719"/>
      <c r="K237" s="720"/>
      <c r="L237" s="721"/>
      <c r="M237" s="853"/>
      <c r="N237" s="722"/>
      <c r="O237" s="723"/>
      <c r="P237" s="724"/>
      <c r="Q237" s="725"/>
      <c r="R237" s="726"/>
      <c r="S237" s="727"/>
      <c r="T237" s="229"/>
      <c r="U237" s="718"/>
      <c r="V237" s="728"/>
      <c r="W237" s="729"/>
      <c r="X237" s="719"/>
      <c r="Y237" s="729"/>
      <c r="Z237" s="719"/>
      <c r="AA237" s="729"/>
      <c r="AB237" s="730"/>
      <c r="AC237" s="331"/>
      <c r="AD237" s="383"/>
      <c r="AE237" s="675"/>
      <c r="AF237" s="375"/>
      <c r="AG237" s="675"/>
      <c r="AH237" s="375"/>
      <c r="AI237" s="675"/>
      <c r="AJ237" s="383"/>
      <c r="AK237" s="675"/>
      <c r="AL237" s="675"/>
      <c r="AM237" s="675"/>
      <c r="AN237" s="675"/>
      <c r="AO237" s="375"/>
      <c r="AP237" s="675"/>
      <c r="AQ237" s="675"/>
      <c r="AR237" s="675"/>
      <c r="AS237" s="675"/>
      <c r="AT237" s="675"/>
      <c r="AU237" s="675"/>
      <c r="AV237" s="675"/>
      <c r="AW237" s="675"/>
      <c r="AX237" s="331"/>
    </row>
    <row r="238" spans="1:50" x14ac:dyDescent="0.2">
      <c r="A238" s="683"/>
      <c r="B238" s="333"/>
      <c r="C238" s="333"/>
      <c r="D238" s="333"/>
      <c r="E238" s="333"/>
      <c r="F238" s="332"/>
      <c r="G238" s="1114"/>
      <c r="H238" s="332"/>
      <c r="AC238" s="331"/>
      <c r="AD238" s="677"/>
      <c r="AE238" s="678"/>
      <c r="AF238" s="679"/>
      <c r="AG238" s="678"/>
      <c r="AH238" s="679"/>
      <c r="AI238" s="679"/>
      <c r="AJ238" s="679"/>
      <c r="AK238" s="679"/>
      <c r="AL238" s="679"/>
      <c r="AM238" s="680"/>
      <c r="AN238" s="678"/>
      <c r="AO238" s="679"/>
      <c r="AP238" s="681"/>
      <c r="AX238" s="331"/>
    </row>
    <row r="239" spans="1:50" x14ac:dyDescent="0.2">
      <c r="A239" s="334"/>
      <c r="B239" s="335"/>
      <c r="C239" s="335"/>
      <c r="D239" s="335"/>
      <c r="E239" s="335"/>
      <c r="F239" s="336"/>
      <c r="G239" s="700"/>
      <c r="H239" s="336"/>
      <c r="I239" s="1404"/>
      <c r="J239" s="340"/>
      <c r="K239" s="336"/>
      <c r="L239" s="331"/>
      <c r="M239" s="854"/>
      <c r="N239" s="664"/>
      <c r="O239" s="670"/>
      <c r="P239" s="671"/>
      <c r="Q239" s="674"/>
      <c r="R239" s="676"/>
      <c r="S239" s="342"/>
      <c r="T239" s="331"/>
      <c r="U239" s="331"/>
      <c r="V239" s="700"/>
      <c r="W239" s="700"/>
      <c r="X239" s="340"/>
      <c r="Y239" s="700"/>
      <c r="Z239" s="340"/>
      <c r="AA239" s="700"/>
      <c r="AB239" s="340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</row>
    <row r="240" spans="1:50" x14ac:dyDescent="0.2">
      <c r="A240" s="846"/>
      <c r="C240" s="699"/>
      <c r="D240" s="699"/>
      <c r="E240" s="699"/>
      <c r="F240" s="332"/>
      <c r="G240" s="1114"/>
      <c r="H240" s="332"/>
    </row>
    <row r="241" spans="1:50" x14ac:dyDescent="0.2">
      <c r="A241" s="847"/>
      <c r="B241" s="699"/>
      <c r="C241" s="699"/>
      <c r="D241" s="699"/>
      <c r="E241" s="699"/>
      <c r="F241" s="332"/>
      <c r="G241" s="1114"/>
      <c r="H241" s="332"/>
    </row>
    <row r="245" spans="1:50" x14ac:dyDescent="0.2">
      <c r="A245" s="1265"/>
      <c r="B245" s="1246"/>
    </row>
    <row r="246" spans="1:50" x14ac:dyDescent="0.2">
      <c r="A246" s="1247"/>
      <c r="B246" s="1179"/>
      <c r="C246" s="484"/>
      <c r="D246" s="781"/>
      <c r="E246" s="491"/>
      <c r="F246" s="710"/>
      <c r="G246" s="1115"/>
      <c r="H246" s="1104"/>
      <c r="I246" s="1400"/>
      <c r="J246" s="377"/>
      <c r="K246" s="701"/>
      <c r="L246" s="482"/>
      <c r="M246" s="851"/>
      <c r="N246" s="663"/>
      <c r="O246" s="383"/>
      <c r="P246" s="1008"/>
      <c r="Q246" s="1009"/>
      <c r="R246" s="375"/>
      <c r="S246" s="376"/>
      <c r="T246" s="375"/>
      <c r="U246" s="625"/>
      <c r="V246" s="560"/>
      <c r="W246" s="606"/>
      <c r="X246" s="377"/>
      <c r="Y246" s="606"/>
      <c r="Z246" s="377"/>
      <c r="AA246" s="606"/>
      <c r="AB246" s="707"/>
      <c r="AC246" s="331"/>
      <c r="AD246" s="383"/>
      <c r="AE246" s="375"/>
      <c r="AF246" s="383"/>
      <c r="AG246" s="375"/>
      <c r="AH246" s="383"/>
      <c r="AI246" s="375"/>
      <c r="AJ246" s="383"/>
      <c r="AK246" s="375"/>
      <c r="AL246" s="375"/>
      <c r="AM246" s="375"/>
      <c r="AN246" s="375"/>
      <c r="AO246" s="375"/>
      <c r="AP246" s="375"/>
      <c r="AQ246" s="375"/>
      <c r="AR246" s="375"/>
      <c r="AS246" s="375"/>
      <c r="AT246" s="375"/>
      <c r="AU246" s="375"/>
      <c r="AV246" s="375"/>
      <c r="AW246" s="375"/>
      <c r="AX246" s="331"/>
    </row>
    <row r="247" spans="1:50" x14ac:dyDescent="0.2">
      <c r="A247" s="1247"/>
      <c r="B247" s="1179"/>
      <c r="C247" s="484"/>
      <c r="D247" s="781"/>
      <c r="E247" s="491"/>
      <c r="F247" s="710"/>
      <c r="G247" s="1115"/>
      <c r="H247" s="1104"/>
      <c r="I247" s="1400"/>
      <c r="J247" s="377"/>
      <c r="K247" s="701"/>
      <c r="L247" s="482"/>
      <c r="M247" s="851"/>
      <c r="N247" s="663"/>
      <c r="O247" s="383"/>
      <c r="P247" s="1008"/>
      <c r="Q247" s="1009"/>
      <c r="R247" s="375"/>
      <c r="S247" s="376"/>
      <c r="T247" s="375"/>
      <c r="U247" s="625"/>
      <c r="V247" s="560"/>
      <c r="W247" s="606"/>
      <c r="X247" s="377"/>
      <c r="Y247" s="606"/>
      <c r="Z247" s="377"/>
      <c r="AA247" s="606"/>
      <c r="AB247" s="707"/>
      <c r="AC247" s="331"/>
      <c r="AD247" s="383"/>
      <c r="AE247" s="375"/>
      <c r="AF247" s="383"/>
      <c r="AG247" s="375"/>
      <c r="AH247" s="383"/>
      <c r="AI247" s="375"/>
      <c r="AJ247" s="383"/>
      <c r="AK247" s="375"/>
      <c r="AL247" s="375"/>
      <c r="AM247" s="375"/>
      <c r="AN247" s="375"/>
      <c r="AO247" s="375"/>
      <c r="AP247" s="375"/>
      <c r="AQ247" s="375"/>
      <c r="AR247" s="375"/>
      <c r="AS247" s="375"/>
      <c r="AT247" s="375"/>
      <c r="AU247" s="375"/>
      <c r="AV247" s="375"/>
      <c r="AW247" s="375"/>
      <c r="AX247" s="331"/>
    </row>
    <row r="248" spans="1:50" x14ac:dyDescent="0.2">
      <c r="A248" s="1247"/>
      <c r="B248" s="1179"/>
      <c r="C248" s="484"/>
      <c r="D248" s="781"/>
      <c r="E248" s="491"/>
      <c r="F248" s="710"/>
      <c r="G248" s="1115"/>
      <c r="H248" s="1104"/>
      <c r="I248" s="1400"/>
      <c r="J248" s="377"/>
      <c r="K248" s="701"/>
      <c r="L248" s="482"/>
      <c r="M248" s="851"/>
      <c r="N248" s="663"/>
      <c r="O248" s="383"/>
      <c r="P248" s="1008"/>
      <c r="Q248" s="1009"/>
      <c r="R248" s="375"/>
      <c r="S248" s="376"/>
      <c r="T248" s="375"/>
      <c r="U248" s="625"/>
      <c r="V248" s="560"/>
      <c r="W248" s="606"/>
      <c r="X248" s="377"/>
      <c r="Y248" s="606"/>
      <c r="Z248" s="377"/>
      <c r="AA248" s="606"/>
      <c r="AB248" s="707"/>
      <c r="AC248" s="331"/>
      <c r="AD248" s="383"/>
      <c r="AE248" s="375"/>
      <c r="AF248" s="383"/>
      <c r="AG248" s="375"/>
      <c r="AH248" s="383"/>
      <c r="AI248" s="375"/>
      <c r="AJ248" s="383"/>
      <c r="AK248" s="375"/>
      <c r="AL248" s="375"/>
      <c r="AM248" s="375"/>
      <c r="AN248" s="375"/>
      <c r="AO248" s="375"/>
      <c r="AP248" s="375"/>
      <c r="AQ248" s="375"/>
      <c r="AR248" s="375"/>
      <c r="AS248" s="375"/>
      <c r="AT248" s="375"/>
      <c r="AU248" s="375"/>
      <c r="AV248" s="375"/>
      <c r="AW248" s="375"/>
      <c r="AX248" s="331"/>
    </row>
    <row r="249" spans="1:50" x14ac:dyDescent="0.2">
      <c r="A249" s="1247"/>
      <c r="B249" s="1248"/>
      <c r="C249" s="484"/>
      <c r="D249" s="781"/>
      <c r="E249" s="491"/>
      <c r="F249" s="710"/>
      <c r="G249" s="1115"/>
      <c r="H249" s="1104"/>
      <c r="I249" s="1400"/>
      <c r="J249" s="377"/>
      <c r="K249" s="701"/>
      <c r="L249" s="482"/>
      <c r="M249" s="851"/>
      <c r="N249" s="663"/>
      <c r="O249" s="383"/>
      <c r="P249" s="1008"/>
      <c r="Q249" s="1009"/>
      <c r="R249" s="375"/>
      <c r="S249" s="376"/>
      <c r="T249" s="375"/>
      <c r="U249" s="625"/>
      <c r="V249" s="560"/>
      <c r="W249" s="606"/>
      <c r="X249" s="377"/>
      <c r="Y249" s="606"/>
      <c r="Z249" s="377"/>
      <c r="AA249" s="606"/>
      <c r="AB249" s="707"/>
      <c r="AC249" s="331"/>
      <c r="AD249" s="383"/>
      <c r="AE249" s="375"/>
      <c r="AF249" s="383"/>
      <c r="AG249" s="375"/>
      <c r="AH249" s="383"/>
      <c r="AI249" s="375"/>
      <c r="AJ249" s="383"/>
      <c r="AK249" s="375"/>
      <c r="AL249" s="375"/>
      <c r="AM249" s="375"/>
      <c r="AN249" s="375"/>
      <c r="AO249" s="375"/>
      <c r="AP249" s="375"/>
      <c r="AQ249" s="375"/>
      <c r="AR249" s="375"/>
      <c r="AS249" s="375"/>
      <c r="AT249" s="375"/>
      <c r="AU249" s="375"/>
      <c r="AV249" s="375"/>
      <c r="AW249" s="375"/>
      <c r="AX249" s="331"/>
    </row>
    <row r="250" spans="1:50" x14ac:dyDescent="0.2">
      <c r="A250" s="1247"/>
      <c r="B250" s="1248"/>
      <c r="C250" s="484"/>
      <c r="D250" s="781"/>
      <c r="E250" s="491"/>
      <c r="F250" s="710"/>
      <c r="G250" s="1115"/>
      <c r="H250" s="1104"/>
      <c r="I250" s="1400"/>
      <c r="J250" s="377"/>
      <c r="K250" s="701"/>
      <c r="L250" s="482"/>
      <c r="M250" s="851"/>
      <c r="N250" s="663"/>
      <c r="O250" s="383"/>
      <c r="P250" s="1008"/>
      <c r="Q250" s="1009"/>
      <c r="R250" s="375"/>
      <c r="S250" s="376"/>
      <c r="T250" s="375"/>
      <c r="U250" s="625"/>
      <c r="V250" s="560"/>
      <c r="W250" s="606"/>
      <c r="X250" s="377"/>
      <c r="Y250" s="606"/>
      <c r="Z250" s="377"/>
      <c r="AA250" s="606"/>
      <c r="AB250" s="707"/>
      <c r="AC250" s="331"/>
      <c r="AD250" s="383"/>
      <c r="AE250" s="375"/>
      <c r="AF250" s="383"/>
      <c r="AG250" s="375"/>
      <c r="AH250" s="383"/>
      <c r="AI250" s="375"/>
      <c r="AJ250" s="383"/>
      <c r="AK250" s="375"/>
      <c r="AL250" s="375"/>
      <c r="AM250" s="375"/>
      <c r="AN250" s="375"/>
      <c r="AO250" s="375"/>
      <c r="AP250" s="375"/>
      <c r="AQ250" s="375"/>
      <c r="AR250" s="375"/>
      <c r="AS250" s="375"/>
      <c r="AT250" s="375"/>
      <c r="AU250" s="375"/>
      <c r="AV250" s="375"/>
      <c r="AW250" s="375"/>
      <c r="AX250" s="331"/>
    </row>
    <row r="251" spans="1:50" x14ac:dyDescent="0.2">
      <c r="A251" s="1247"/>
      <c r="B251" s="1179"/>
      <c r="C251" s="484"/>
      <c r="D251" s="781"/>
      <c r="E251" s="491"/>
      <c r="F251" s="710"/>
      <c r="G251" s="1115"/>
      <c r="H251" s="1104"/>
      <c r="I251" s="1400"/>
      <c r="J251" s="377"/>
      <c r="K251" s="701"/>
      <c r="L251" s="482"/>
      <c r="M251" s="851"/>
      <c r="N251" s="663"/>
      <c r="O251" s="383"/>
      <c r="P251" s="1008"/>
      <c r="Q251" s="1009"/>
      <c r="R251" s="375"/>
      <c r="S251" s="376"/>
      <c r="T251" s="375"/>
      <c r="U251" s="625"/>
      <c r="V251" s="560"/>
      <c r="W251" s="606"/>
      <c r="X251" s="377"/>
      <c r="Y251" s="606"/>
      <c r="Z251" s="377"/>
      <c r="AA251" s="606"/>
      <c r="AB251" s="707"/>
      <c r="AC251" s="331"/>
      <c r="AD251" s="383"/>
      <c r="AE251" s="375"/>
      <c r="AF251" s="383"/>
      <c r="AG251" s="375"/>
      <c r="AH251" s="383"/>
      <c r="AI251" s="375"/>
      <c r="AJ251" s="383"/>
      <c r="AK251" s="375"/>
      <c r="AL251" s="375"/>
      <c r="AM251" s="375"/>
      <c r="AN251" s="375"/>
      <c r="AO251" s="375"/>
      <c r="AP251" s="375"/>
      <c r="AQ251" s="375"/>
      <c r="AR251" s="375"/>
      <c r="AS251" s="375"/>
      <c r="AT251" s="375"/>
      <c r="AU251" s="375"/>
      <c r="AV251" s="375"/>
      <c r="AW251" s="375"/>
      <c r="AX251" s="331"/>
    </row>
    <row r="252" spans="1:50" x14ac:dyDescent="0.2">
      <c r="A252" s="1247"/>
      <c r="B252" s="1179"/>
      <c r="C252" s="484"/>
      <c r="D252" s="781"/>
      <c r="E252" s="491"/>
      <c r="F252" s="710"/>
      <c r="G252" s="1115"/>
      <c r="H252" s="1104"/>
      <c r="I252" s="1400"/>
      <c r="J252" s="377"/>
      <c r="K252" s="701"/>
      <c r="L252" s="482"/>
      <c r="M252" s="851"/>
      <c r="N252" s="663"/>
      <c r="O252" s="383"/>
      <c r="P252" s="1008"/>
      <c r="Q252" s="1009"/>
      <c r="R252" s="375"/>
      <c r="S252" s="376"/>
      <c r="T252" s="375"/>
      <c r="U252" s="625"/>
      <c r="V252" s="560"/>
      <c r="W252" s="606"/>
      <c r="X252" s="377"/>
      <c r="Y252" s="606"/>
      <c r="Z252" s="377"/>
      <c r="AA252" s="606"/>
      <c r="AB252" s="707"/>
      <c r="AC252" s="331"/>
      <c r="AD252" s="383"/>
      <c r="AE252" s="375"/>
      <c r="AF252" s="383"/>
      <c r="AG252" s="375"/>
      <c r="AH252" s="383"/>
      <c r="AI252" s="375"/>
      <c r="AJ252" s="383"/>
      <c r="AK252" s="375"/>
      <c r="AL252" s="375"/>
      <c r="AM252" s="375"/>
      <c r="AN252" s="375"/>
      <c r="AO252" s="375"/>
      <c r="AP252" s="375"/>
      <c r="AQ252" s="375"/>
      <c r="AR252" s="375"/>
      <c r="AS252" s="375"/>
      <c r="AT252" s="375"/>
      <c r="AU252" s="375"/>
      <c r="AV252" s="375"/>
      <c r="AW252" s="375"/>
      <c r="AX252" s="331"/>
    </row>
    <row r="253" spans="1:50" x14ac:dyDescent="0.2">
      <c r="A253" s="1247"/>
      <c r="B253" s="1179"/>
      <c r="C253" s="1249"/>
      <c r="D253" s="1197"/>
      <c r="E253" s="1250"/>
      <c r="F253" s="1251"/>
      <c r="G253" s="1252"/>
      <c r="H253" s="1253"/>
      <c r="I253" s="1405"/>
      <c r="J253" s="1254"/>
      <c r="K253" s="1255"/>
      <c r="L253" s="1256"/>
      <c r="M253" s="1257"/>
      <c r="N253" s="1258"/>
      <c r="O253" s="1259"/>
      <c r="P253" s="1260"/>
      <c r="Q253" s="1009"/>
      <c r="R253" s="375"/>
      <c r="S253" s="376"/>
      <c r="T253" s="375"/>
      <c r="U253" s="625"/>
      <c r="V253" s="560"/>
      <c r="W253" s="606"/>
      <c r="X253" s="377"/>
      <c r="Y253" s="606"/>
      <c r="Z253" s="377"/>
      <c r="AA253" s="606"/>
      <c r="AB253" s="707"/>
      <c r="AC253" s="331"/>
      <c r="AD253" s="383"/>
      <c r="AE253" s="375"/>
      <c r="AF253" s="383"/>
      <c r="AG253" s="375"/>
      <c r="AH253" s="383"/>
      <c r="AI253" s="375"/>
      <c r="AJ253" s="383"/>
      <c r="AK253" s="375"/>
      <c r="AL253" s="375"/>
      <c r="AM253" s="375"/>
      <c r="AN253" s="375"/>
      <c r="AO253" s="375"/>
      <c r="AP253" s="375"/>
      <c r="AQ253" s="375"/>
      <c r="AR253" s="375"/>
      <c r="AS253" s="375"/>
      <c r="AT253" s="375"/>
      <c r="AU253" s="375"/>
      <c r="AV253" s="375"/>
      <c r="AW253" s="375"/>
      <c r="AX253" s="331"/>
    </row>
    <row r="254" spans="1:50" x14ac:dyDescent="0.2">
      <c r="A254" s="1247"/>
      <c r="B254" s="1179"/>
      <c r="C254" s="1249"/>
      <c r="D254" s="1197"/>
      <c r="E254" s="1250"/>
      <c r="F254" s="1251"/>
      <c r="G254" s="1252"/>
      <c r="H254" s="1253"/>
      <c r="I254" s="1405"/>
      <c r="J254" s="1254"/>
      <c r="K254" s="1255"/>
      <c r="L254" s="1256"/>
      <c r="M254" s="1257"/>
      <c r="N254" s="1258"/>
      <c r="O254" s="1259"/>
      <c r="P254" s="1260"/>
      <c r="Q254" s="1009"/>
      <c r="R254" s="375"/>
      <c r="S254" s="376"/>
      <c r="T254" s="375"/>
      <c r="U254" s="625"/>
      <c r="V254" s="560"/>
      <c r="W254" s="606"/>
      <c r="X254" s="377"/>
      <c r="Y254" s="606"/>
      <c r="Z254" s="377"/>
      <c r="AA254" s="606"/>
      <c r="AB254" s="707"/>
      <c r="AC254" s="331"/>
      <c r="AD254" s="383"/>
      <c r="AE254" s="375"/>
      <c r="AF254" s="383"/>
      <c r="AG254" s="375"/>
      <c r="AH254" s="383"/>
      <c r="AI254" s="375"/>
      <c r="AJ254" s="383"/>
      <c r="AK254" s="375"/>
      <c r="AL254" s="375"/>
      <c r="AM254" s="375"/>
      <c r="AN254" s="375"/>
      <c r="AO254" s="375"/>
      <c r="AP254" s="375"/>
      <c r="AQ254" s="375"/>
      <c r="AR254" s="375"/>
      <c r="AS254" s="375"/>
      <c r="AT254" s="375"/>
      <c r="AU254" s="375"/>
      <c r="AV254" s="375"/>
      <c r="AW254" s="375"/>
      <c r="AX254" s="331"/>
    </row>
    <row r="255" spans="1:50" x14ac:dyDescent="0.2">
      <c r="A255" s="1247"/>
      <c r="B255" s="1179"/>
      <c r="C255" s="1249"/>
      <c r="D255" s="1197"/>
      <c r="E255" s="1250"/>
      <c r="F255" s="1251"/>
      <c r="G255" s="1252"/>
      <c r="H255" s="1253"/>
      <c r="I255" s="1405"/>
      <c r="J255" s="1254"/>
      <c r="K255" s="1255"/>
      <c r="L255" s="1256"/>
      <c r="M255" s="1257"/>
      <c r="N255" s="1258"/>
      <c r="O255" s="1259"/>
      <c r="P255" s="1260"/>
      <c r="Q255" s="1009"/>
      <c r="R255" s="375"/>
      <c r="S255" s="376"/>
      <c r="T255" s="375"/>
      <c r="U255" s="625"/>
      <c r="V255" s="560"/>
      <c r="W255" s="606"/>
      <c r="X255" s="377"/>
      <c r="Y255" s="606"/>
      <c r="Z255" s="377"/>
      <c r="AA255" s="606"/>
      <c r="AB255" s="707"/>
      <c r="AC255" s="331"/>
      <c r="AD255" s="383"/>
      <c r="AE255" s="375"/>
      <c r="AF255" s="383"/>
      <c r="AG255" s="375"/>
      <c r="AH255" s="383"/>
      <c r="AI255" s="375"/>
      <c r="AJ255" s="383"/>
      <c r="AK255" s="375"/>
      <c r="AL255" s="375"/>
      <c r="AM255" s="375"/>
      <c r="AN255" s="375"/>
      <c r="AO255" s="375"/>
      <c r="AP255" s="375"/>
      <c r="AQ255" s="375"/>
      <c r="AR255" s="375"/>
      <c r="AS255" s="375"/>
      <c r="AT255" s="375"/>
      <c r="AU255" s="375"/>
      <c r="AV255" s="375"/>
      <c r="AW255" s="375"/>
      <c r="AX255" s="331"/>
    </row>
    <row r="256" spans="1:50" x14ac:dyDescent="0.2">
      <c r="A256" s="1247"/>
      <c r="B256" s="1179"/>
      <c r="C256" s="1249"/>
      <c r="D256" s="1197"/>
      <c r="E256" s="1250"/>
      <c r="F256" s="1251"/>
      <c r="G256" s="1252"/>
      <c r="H256" s="1253"/>
      <c r="I256" s="1405"/>
      <c r="J256" s="1254"/>
      <c r="K256" s="1255"/>
      <c r="L256" s="1256"/>
      <c r="M256" s="1257"/>
      <c r="N256" s="1258"/>
      <c r="O256" s="1259"/>
      <c r="P256" s="1260"/>
      <c r="Q256" s="1009"/>
      <c r="R256" s="375"/>
      <c r="S256" s="376"/>
      <c r="T256" s="375"/>
      <c r="U256" s="625"/>
      <c r="V256" s="560"/>
      <c r="W256" s="606"/>
      <c r="X256" s="377"/>
      <c r="Y256" s="606"/>
      <c r="Z256" s="377"/>
      <c r="AA256" s="606"/>
      <c r="AB256" s="707"/>
      <c r="AC256" s="331"/>
      <c r="AD256" s="383"/>
      <c r="AE256" s="375"/>
      <c r="AF256" s="383"/>
      <c r="AG256" s="375"/>
      <c r="AH256" s="383"/>
      <c r="AI256" s="375"/>
      <c r="AJ256" s="383"/>
      <c r="AK256" s="375"/>
      <c r="AL256" s="375"/>
      <c r="AM256" s="375"/>
      <c r="AN256" s="375"/>
      <c r="AO256" s="375"/>
      <c r="AP256" s="375"/>
      <c r="AQ256" s="375"/>
      <c r="AR256" s="375"/>
      <c r="AS256" s="375"/>
      <c r="AT256" s="375"/>
      <c r="AU256" s="375"/>
      <c r="AV256" s="375"/>
      <c r="AW256" s="375"/>
      <c r="AX256" s="331"/>
    </row>
    <row r="257" spans="1:50" x14ac:dyDescent="0.2">
      <c r="A257" s="1247"/>
      <c r="B257" s="1179"/>
      <c r="C257" s="484"/>
      <c r="D257" s="781"/>
      <c r="E257" s="491"/>
      <c r="F257" s="710"/>
      <c r="G257" s="1115"/>
      <c r="H257" s="1104"/>
      <c r="I257" s="1400"/>
      <c r="J257" s="377"/>
      <c r="K257" s="701"/>
      <c r="L257" s="482"/>
      <c r="M257" s="851"/>
      <c r="N257" s="663"/>
      <c r="O257" s="383"/>
      <c r="P257" s="1008"/>
      <c r="Q257" s="1009"/>
      <c r="R257" s="375"/>
      <c r="S257" s="376"/>
      <c r="T257" s="375"/>
      <c r="U257" s="625"/>
      <c r="V257" s="560"/>
      <c r="W257" s="606"/>
      <c r="X257" s="377"/>
      <c r="Y257" s="606"/>
      <c r="Z257" s="377"/>
      <c r="AA257" s="606"/>
      <c r="AB257" s="707"/>
      <c r="AC257" s="331"/>
      <c r="AD257" s="383"/>
      <c r="AE257" s="375"/>
      <c r="AF257" s="383"/>
      <c r="AG257" s="375"/>
      <c r="AH257" s="383"/>
      <c r="AI257" s="375"/>
      <c r="AJ257" s="383"/>
      <c r="AK257" s="375"/>
      <c r="AL257" s="375"/>
      <c r="AM257" s="375"/>
      <c r="AN257" s="375"/>
      <c r="AO257" s="375"/>
      <c r="AP257" s="375"/>
      <c r="AQ257" s="375"/>
      <c r="AR257" s="375"/>
      <c r="AS257" s="375"/>
      <c r="AT257" s="375"/>
      <c r="AU257" s="375"/>
      <c r="AV257" s="375"/>
      <c r="AW257" s="375"/>
      <c r="AX257" s="331"/>
    </row>
    <row r="258" spans="1:50" x14ac:dyDescent="0.2">
      <c r="A258" s="1247"/>
      <c r="B258" s="1261"/>
      <c r="C258" s="484"/>
      <c r="D258" s="781"/>
      <c r="E258" s="491"/>
      <c r="F258" s="710"/>
      <c r="G258" s="1115"/>
      <c r="H258" s="1104"/>
      <c r="I258" s="1400"/>
      <c r="J258" s="377"/>
      <c r="K258" s="701"/>
      <c r="L258" s="482"/>
      <c r="M258" s="851"/>
      <c r="N258" s="663"/>
      <c r="O258" s="383"/>
      <c r="P258" s="1008"/>
      <c r="Q258" s="1009"/>
      <c r="R258" s="375"/>
      <c r="S258" s="376"/>
      <c r="T258" s="375"/>
      <c r="U258" s="625"/>
      <c r="V258" s="560"/>
      <c r="W258" s="606"/>
      <c r="X258" s="377"/>
      <c r="Y258" s="606"/>
      <c r="Z258" s="377"/>
      <c r="AA258" s="606"/>
      <c r="AB258" s="707"/>
      <c r="AC258" s="331"/>
      <c r="AD258" s="383"/>
      <c r="AE258" s="375"/>
      <c r="AF258" s="383"/>
      <c r="AG258" s="375"/>
      <c r="AH258" s="383"/>
      <c r="AI258" s="375"/>
      <c r="AJ258" s="383"/>
      <c r="AK258" s="375"/>
      <c r="AL258" s="375"/>
      <c r="AM258" s="375"/>
      <c r="AN258" s="375"/>
      <c r="AO258" s="375"/>
      <c r="AP258" s="375"/>
      <c r="AQ258" s="375"/>
      <c r="AR258" s="375"/>
      <c r="AS258" s="375"/>
      <c r="AT258" s="375"/>
      <c r="AU258" s="375"/>
      <c r="AV258" s="375"/>
      <c r="AW258" s="375"/>
      <c r="AX258" s="331"/>
    </row>
    <row r="259" spans="1:50" x14ac:dyDescent="0.2">
      <c r="A259" s="1247"/>
      <c r="B259" s="1179"/>
      <c r="C259" s="484"/>
      <c r="D259" s="781"/>
      <c r="E259" s="491"/>
      <c r="F259" s="710"/>
      <c r="G259" s="1115"/>
      <c r="H259" s="1104"/>
      <c r="I259" s="1400"/>
      <c r="J259" s="377"/>
      <c r="K259" s="701"/>
      <c r="L259" s="482"/>
      <c r="M259" s="851"/>
      <c r="N259" s="663"/>
      <c r="O259" s="383"/>
      <c r="P259" s="1008"/>
      <c r="Q259" s="1009"/>
      <c r="R259" s="375"/>
      <c r="S259" s="376"/>
      <c r="T259" s="375"/>
      <c r="U259" s="625"/>
      <c r="V259" s="560"/>
      <c r="W259" s="606"/>
      <c r="X259" s="377"/>
      <c r="Y259" s="606"/>
      <c r="Z259" s="377"/>
      <c r="AA259" s="606"/>
      <c r="AB259" s="707"/>
      <c r="AC259" s="331"/>
      <c r="AD259" s="383"/>
      <c r="AE259" s="375"/>
      <c r="AF259" s="383"/>
      <c r="AG259" s="375"/>
      <c r="AH259" s="383"/>
      <c r="AI259" s="375"/>
      <c r="AJ259" s="383"/>
      <c r="AK259" s="375"/>
      <c r="AL259" s="375"/>
      <c r="AM259" s="375"/>
      <c r="AN259" s="375"/>
      <c r="AO259" s="375"/>
      <c r="AP259" s="375"/>
      <c r="AQ259" s="375"/>
      <c r="AR259" s="375"/>
      <c r="AS259" s="375"/>
      <c r="AT259" s="375"/>
      <c r="AU259" s="375"/>
      <c r="AV259" s="375"/>
      <c r="AW259" s="375"/>
      <c r="AX259" s="331"/>
    </row>
    <row r="260" spans="1:50" x14ac:dyDescent="0.2">
      <c r="A260" s="1247"/>
      <c r="B260" s="1179"/>
      <c r="C260" s="484"/>
      <c r="D260" s="781"/>
      <c r="E260" s="491"/>
      <c r="F260" s="710"/>
      <c r="G260" s="1115"/>
      <c r="H260" s="1104"/>
      <c r="I260" s="1400"/>
      <c r="J260" s="377"/>
      <c r="K260" s="701"/>
      <c r="L260" s="482"/>
      <c r="M260" s="851"/>
      <c r="N260" s="663"/>
      <c r="O260" s="383"/>
      <c r="P260" s="1008"/>
      <c r="Q260" s="1009"/>
      <c r="R260" s="375"/>
      <c r="S260" s="376"/>
      <c r="T260" s="375"/>
      <c r="U260" s="625"/>
      <c r="V260" s="560"/>
      <c r="W260" s="606"/>
      <c r="X260" s="377"/>
      <c r="Y260" s="606"/>
      <c r="Z260" s="377"/>
      <c r="AA260" s="606"/>
      <c r="AB260" s="707"/>
      <c r="AC260" s="331"/>
      <c r="AD260" s="383"/>
      <c r="AE260" s="375"/>
      <c r="AF260" s="383"/>
      <c r="AG260" s="375"/>
      <c r="AH260" s="383"/>
      <c r="AI260" s="375"/>
      <c r="AJ260" s="383"/>
      <c r="AK260" s="375"/>
      <c r="AL260" s="375"/>
      <c r="AM260" s="375"/>
      <c r="AN260" s="375"/>
      <c r="AO260" s="375"/>
      <c r="AP260" s="375"/>
      <c r="AQ260" s="375"/>
      <c r="AR260" s="375"/>
      <c r="AS260" s="375"/>
      <c r="AT260" s="375"/>
      <c r="AU260" s="375"/>
      <c r="AV260" s="375"/>
      <c r="AW260" s="375"/>
      <c r="AX260" s="331"/>
    </row>
    <row r="261" spans="1:50" x14ac:dyDescent="0.2">
      <c r="A261" s="1262"/>
      <c r="B261" s="1179"/>
      <c r="C261" s="484"/>
      <c r="D261" s="781"/>
      <c r="E261" s="491"/>
      <c r="F261" s="710"/>
      <c r="G261" s="1115"/>
      <c r="H261" s="1104"/>
      <c r="I261" s="1400"/>
      <c r="J261" s="377"/>
      <c r="K261" s="701"/>
      <c r="L261" s="482"/>
      <c r="M261" s="851"/>
      <c r="N261" s="663"/>
      <c r="O261" s="383"/>
      <c r="P261" s="1008"/>
      <c r="Q261" s="1009"/>
      <c r="R261" s="375"/>
      <c r="S261" s="376"/>
      <c r="T261" s="375"/>
      <c r="U261" s="625"/>
      <c r="V261" s="560"/>
      <c r="W261" s="606"/>
      <c r="X261" s="377"/>
      <c r="Y261" s="606"/>
      <c r="Z261" s="377"/>
      <c r="AA261" s="606"/>
      <c r="AB261" s="707"/>
      <c r="AC261" s="331"/>
      <c r="AD261" s="383"/>
      <c r="AE261" s="375"/>
      <c r="AF261" s="383"/>
      <c r="AG261" s="375"/>
      <c r="AH261" s="383"/>
      <c r="AI261" s="375"/>
      <c r="AJ261" s="383"/>
      <c r="AK261" s="375"/>
      <c r="AL261" s="375"/>
      <c r="AM261" s="375"/>
      <c r="AN261" s="375"/>
      <c r="AO261" s="375"/>
      <c r="AP261" s="375"/>
      <c r="AQ261" s="375"/>
      <c r="AR261" s="375"/>
      <c r="AS261" s="375"/>
      <c r="AT261" s="375"/>
      <c r="AU261" s="375"/>
      <c r="AV261" s="375"/>
      <c r="AW261" s="375"/>
      <c r="AX261" s="331"/>
    </row>
    <row r="262" spans="1:50" x14ac:dyDescent="0.2">
      <c r="A262" s="1262"/>
      <c r="B262" s="1179"/>
      <c r="C262" s="484"/>
      <c r="D262" s="781"/>
      <c r="E262" s="491"/>
      <c r="F262" s="710"/>
      <c r="G262" s="1115"/>
      <c r="H262" s="1104"/>
      <c r="I262" s="1400"/>
      <c r="J262" s="377"/>
      <c r="K262" s="701"/>
      <c r="L262" s="482"/>
      <c r="M262" s="851"/>
      <c r="N262" s="663"/>
      <c r="O262" s="383"/>
      <c r="P262" s="1008"/>
      <c r="Q262" s="1009"/>
      <c r="R262" s="375"/>
      <c r="S262" s="376"/>
      <c r="T262" s="375"/>
      <c r="U262" s="625"/>
      <c r="V262" s="560"/>
      <c r="W262" s="606"/>
      <c r="X262" s="377"/>
      <c r="Y262" s="606"/>
      <c r="Z262" s="377"/>
      <c r="AA262" s="606"/>
      <c r="AB262" s="707"/>
      <c r="AC262" s="331"/>
      <c r="AD262" s="383"/>
      <c r="AE262" s="375"/>
      <c r="AF262" s="383"/>
      <c r="AG262" s="375"/>
      <c r="AH262" s="383"/>
      <c r="AI262" s="375"/>
      <c r="AJ262" s="383"/>
      <c r="AK262" s="375"/>
      <c r="AL262" s="375"/>
      <c r="AM262" s="375"/>
      <c r="AN262" s="375"/>
      <c r="AO262" s="375"/>
      <c r="AP262" s="375"/>
      <c r="AQ262" s="375"/>
      <c r="AR262" s="375"/>
      <c r="AS262" s="375"/>
      <c r="AT262" s="375"/>
      <c r="AU262" s="375"/>
      <c r="AV262" s="375"/>
      <c r="AW262" s="375"/>
      <c r="AX262" s="331"/>
    </row>
    <row r="263" spans="1:50" x14ac:dyDescent="0.2">
      <c r="A263" s="1262"/>
      <c r="B263" s="1261"/>
      <c r="C263" s="484"/>
      <c r="D263" s="781"/>
      <c r="E263" s="491"/>
      <c r="F263" s="710"/>
      <c r="G263" s="1115"/>
      <c r="H263" s="1104"/>
      <c r="I263" s="1400"/>
      <c r="J263" s="377"/>
      <c r="K263" s="701"/>
      <c r="L263" s="482"/>
      <c r="M263" s="851"/>
      <c r="N263" s="663"/>
      <c r="O263" s="383"/>
      <c r="P263" s="1008"/>
      <c r="Q263" s="1009"/>
      <c r="R263" s="375"/>
      <c r="S263" s="376"/>
      <c r="T263" s="375"/>
      <c r="U263" s="625"/>
      <c r="V263" s="560"/>
      <c r="W263" s="606"/>
      <c r="X263" s="377"/>
      <c r="Y263" s="606"/>
      <c r="Z263" s="377"/>
      <c r="AA263" s="606"/>
      <c r="AB263" s="707"/>
      <c r="AC263" s="331"/>
      <c r="AD263" s="383"/>
      <c r="AE263" s="375"/>
      <c r="AF263" s="383"/>
      <c r="AG263" s="375"/>
      <c r="AH263" s="383"/>
      <c r="AI263" s="375"/>
      <c r="AJ263" s="383"/>
      <c r="AK263" s="375"/>
      <c r="AL263" s="375"/>
      <c r="AM263" s="375"/>
      <c r="AN263" s="375"/>
      <c r="AO263" s="375"/>
      <c r="AP263" s="375"/>
      <c r="AQ263" s="375"/>
      <c r="AR263" s="375"/>
      <c r="AS263" s="375"/>
      <c r="AT263" s="375"/>
      <c r="AU263" s="375"/>
      <c r="AV263" s="375"/>
      <c r="AW263" s="375"/>
      <c r="AX263" s="331"/>
    </row>
    <row r="264" spans="1:50" x14ac:dyDescent="0.2">
      <c r="A264" s="1224"/>
      <c r="B264" s="848"/>
      <c r="C264" s="1225"/>
      <c r="D264" s="1226"/>
      <c r="E264" s="1227"/>
      <c r="F264" s="710"/>
      <c r="G264" s="1115"/>
      <c r="H264" s="1104"/>
      <c r="I264" s="1400"/>
      <c r="J264" s="377"/>
      <c r="K264" s="701"/>
      <c r="L264" s="482"/>
      <c r="M264" s="851"/>
      <c r="N264" s="663"/>
      <c r="O264" s="1228"/>
      <c r="P264" s="1008"/>
      <c r="Q264" s="1009"/>
      <c r="R264" s="375"/>
      <c r="S264" s="376"/>
      <c r="T264" s="375"/>
      <c r="U264" s="625"/>
      <c r="V264" s="560"/>
      <c r="W264" s="606"/>
      <c r="X264" s="377"/>
      <c r="Y264" s="606"/>
      <c r="Z264" s="377"/>
      <c r="AA264" s="606"/>
      <c r="AB264" s="707"/>
      <c r="AC264" s="331"/>
      <c r="AD264" s="383"/>
      <c r="AE264" s="375"/>
      <c r="AF264" s="383"/>
      <c r="AG264" s="375"/>
      <c r="AH264" s="383"/>
      <c r="AI264" s="375"/>
      <c r="AJ264" s="383"/>
      <c r="AK264" s="375"/>
      <c r="AL264" s="375"/>
      <c r="AM264" s="375"/>
      <c r="AN264" s="375"/>
      <c r="AO264" s="375"/>
      <c r="AP264" s="375"/>
      <c r="AQ264" s="375"/>
      <c r="AR264" s="375"/>
      <c r="AS264" s="375"/>
      <c r="AT264" s="375"/>
      <c r="AU264" s="375"/>
      <c r="AV264" s="375"/>
      <c r="AW264" s="375"/>
      <c r="AX264" s="331"/>
    </row>
    <row r="265" spans="1:50" x14ac:dyDescent="0.2">
      <c r="A265" s="1247"/>
      <c r="B265" s="1261"/>
      <c r="C265" s="484"/>
      <c r="D265" s="781"/>
      <c r="E265" s="491"/>
      <c r="F265" s="710"/>
      <c r="G265" s="1115"/>
      <c r="H265" s="1104"/>
      <c r="I265" s="1400"/>
      <c r="J265" s="377"/>
      <c r="K265" s="701"/>
      <c r="L265" s="482"/>
      <c r="M265" s="851"/>
      <c r="N265" s="663"/>
      <c r="O265" s="383"/>
      <c r="P265" s="1008"/>
      <c r="Q265" s="1009"/>
      <c r="R265" s="375"/>
      <c r="S265" s="376"/>
      <c r="T265" s="375"/>
      <c r="U265" s="625"/>
      <c r="V265" s="560"/>
      <c r="W265" s="606"/>
      <c r="X265" s="377"/>
      <c r="Y265" s="606"/>
      <c r="Z265" s="377"/>
      <c r="AA265" s="606"/>
      <c r="AB265" s="707"/>
      <c r="AC265" s="331"/>
      <c r="AD265" s="383"/>
      <c r="AE265" s="375"/>
      <c r="AF265" s="383"/>
      <c r="AG265" s="375"/>
      <c r="AH265" s="383"/>
      <c r="AI265" s="375"/>
      <c r="AJ265" s="383"/>
      <c r="AK265" s="375"/>
      <c r="AL265" s="375"/>
      <c r="AM265" s="375"/>
      <c r="AN265" s="375"/>
      <c r="AO265" s="375"/>
      <c r="AP265" s="375"/>
      <c r="AQ265" s="375"/>
      <c r="AR265" s="375"/>
      <c r="AS265" s="375"/>
      <c r="AT265" s="375"/>
      <c r="AU265" s="375"/>
      <c r="AV265" s="375"/>
      <c r="AW265" s="375"/>
      <c r="AX265" s="331"/>
    </row>
    <row r="266" spans="1:50" x14ac:dyDescent="0.2">
      <c r="A266" s="1224"/>
      <c r="B266" s="848"/>
      <c r="C266" s="1225"/>
      <c r="D266" s="1226"/>
      <c r="E266" s="1227"/>
      <c r="F266" s="710"/>
      <c r="G266" s="1115"/>
      <c r="H266" s="1104"/>
      <c r="I266" s="1400"/>
      <c r="J266" s="377"/>
      <c r="K266" s="701"/>
      <c r="L266" s="482"/>
      <c r="M266" s="851"/>
      <c r="N266" s="663"/>
      <c r="O266" s="1228"/>
      <c r="P266" s="1008"/>
      <c r="Q266" s="1009"/>
      <c r="R266" s="375"/>
      <c r="S266" s="376"/>
      <c r="T266" s="375"/>
      <c r="U266" s="625"/>
      <c r="V266" s="560"/>
      <c r="W266" s="606"/>
      <c r="X266" s="377"/>
      <c r="Y266" s="606"/>
      <c r="Z266" s="377"/>
      <c r="AA266" s="606"/>
      <c r="AB266" s="707"/>
      <c r="AC266" s="331"/>
      <c r="AD266" s="383"/>
      <c r="AE266" s="375"/>
      <c r="AF266" s="383"/>
      <c r="AG266" s="375"/>
      <c r="AH266" s="383"/>
      <c r="AI266" s="375"/>
      <c r="AJ266" s="383"/>
      <c r="AK266" s="375"/>
      <c r="AL266" s="375"/>
      <c r="AM266" s="375"/>
      <c r="AN266" s="375"/>
      <c r="AO266" s="375"/>
      <c r="AP266" s="375"/>
      <c r="AQ266" s="375"/>
      <c r="AR266" s="375"/>
      <c r="AS266" s="375"/>
      <c r="AT266" s="375"/>
      <c r="AU266" s="375"/>
      <c r="AV266" s="375"/>
      <c r="AW266" s="375"/>
      <c r="AX266" s="331"/>
    </row>
    <row r="267" spans="1:50" x14ac:dyDescent="0.2">
      <c r="A267" s="1247"/>
      <c r="B267" s="1261"/>
      <c r="C267" s="484"/>
      <c r="D267" s="781"/>
      <c r="E267" s="491"/>
      <c r="F267" s="710"/>
      <c r="G267" s="1115"/>
      <c r="H267" s="1104"/>
      <c r="I267" s="1400"/>
      <c r="J267" s="377"/>
      <c r="K267" s="701"/>
      <c r="L267" s="482"/>
      <c r="M267" s="851"/>
      <c r="N267" s="663"/>
      <c r="O267" s="383"/>
      <c r="P267" s="1008"/>
      <c r="Q267" s="1009"/>
      <c r="R267" s="375"/>
      <c r="S267" s="376"/>
      <c r="T267" s="375"/>
      <c r="U267" s="625"/>
      <c r="V267" s="560"/>
      <c r="W267" s="606"/>
      <c r="X267" s="377"/>
      <c r="Y267" s="606"/>
      <c r="Z267" s="377"/>
      <c r="AA267" s="606"/>
      <c r="AB267" s="707"/>
      <c r="AC267" s="331"/>
      <c r="AD267" s="383"/>
      <c r="AE267" s="375"/>
      <c r="AF267" s="383"/>
      <c r="AG267" s="375"/>
      <c r="AH267" s="383"/>
      <c r="AI267" s="375"/>
      <c r="AJ267" s="383"/>
      <c r="AK267" s="375"/>
      <c r="AL267" s="375"/>
      <c r="AM267" s="375"/>
      <c r="AN267" s="375"/>
      <c r="AO267" s="375"/>
      <c r="AP267" s="375"/>
      <c r="AQ267" s="375"/>
      <c r="AR267" s="375"/>
      <c r="AS267" s="375"/>
      <c r="AT267" s="375"/>
      <c r="AU267" s="375"/>
      <c r="AV267" s="375"/>
      <c r="AW267" s="375"/>
      <c r="AX267" s="331"/>
    </row>
    <row r="268" spans="1:50" x14ac:dyDescent="0.2">
      <c r="A268" s="1224"/>
      <c r="B268" s="848"/>
      <c r="C268" s="1225"/>
      <c r="D268" s="1226"/>
      <c r="E268" s="1227"/>
      <c r="F268" s="710"/>
      <c r="G268" s="1115"/>
      <c r="H268" s="1104"/>
      <c r="I268" s="1400"/>
      <c r="J268" s="377"/>
      <c r="K268" s="701"/>
      <c r="L268" s="482"/>
      <c r="M268" s="851"/>
      <c r="N268" s="663"/>
      <c r="O268" s="1228"/>
      <c r="P268" s="1008"/>
      <c r="Q268" s="1009"/>
      <c r="R268" s="375"/>
      <c r="S268" s="376"/>
      <c r="T268" s="375"/>
      <c r="U268" s="625"/>
      <c r="V268" s="560"/>
      <c r="W268" s="606"/>
      <c r="X268" s="377"/>
      <c r="Y268" s="606"/>
      <c r="Z268" s="377"/>
      <c r="AA268" s="606"/>
      <c r="AB268" s="707"/>
      <c r="AC268" s="331"/>
      <c r="AD268" s="383"/>
      <c r="AE268" s="375"/>
      <c r="AF268" s="383"/>
      <c r="AG268" s="375"/>
      <c r="AH268" s="383"/>
      <c r="AI268" s="375"/>
      <c r="AJ268" s="383"/>
      <c r="AK268" s="375"/>
      <c r="AL268" s="375"/>
      <c r="AM268" s="375"/>
      <c r="AN268" s="375"/>
      <c r="AO268" s="375"/>
      <c r="AP268" s="375"/>
      <c r="AQ268" s="375"/>
      <c r="AR268" s="375"/>
      <c r="AS268" s="375"/>
      <c r="AT268" s="375"/>
      <c r="AU268" s="375"/>
      <c r="AV268" s="375"/>
      <c r="AW268" s="375"/>
      <c r="AX268" s="331"/>
    </row>
    <row r="269" spans="1:50" x14ac:dyDescent="0.2">
      <c r="A269" s="1247"/>
      <c r="B269" s="1263"/>
      <c r="C269" s="484"/>
      <c r="D269" s="781"/>
      <c r="E269" s="491"/>
      <c r="F269" s="710"/>
      <c r="G269" s="1115"/>
      <c r="H269" s="1104"/>
      <c r="I269" s="1400"/>
      <c r="J269" s="377"/>
      <c r="K269" s="701"/>
      <c r="L269" s="482"/>
      <c r="M269" s="851"/>
      <c r="N269" s="663"/>
      <c r="O269" s="383"/>
      <c r="P269" s="1008"/>
      <c r="Q269" s="1009"/>
      <c r="R269" s="375"/>
      <c r="S269" s="376"/>
      <c r="T269" s="375"/>
      <c r="U269" s="625"/>
      <c r="V269" s="560"/>
      <c r="W269" s="606"/>
      <c r="X269" s="377"/>
      <c r="Y269" s="606"/>
      <c r="Z269" s="377"/>
      <c r="AA269" s="606"/>
      <c r="AB269" s="707"/>
      <c r="AC269" s="331"/>
      <c r="AD269" s="383"/>
      <c r="AE269" s="375"/>
      <c r="AF269" s="383"/>
      <c r="AG269" s="375"/>
      <c r="AH269" s="383"/>
      <c r="AI269" s="375"/>
      <c r="AJ269" s="383"/>
      <c r="AK269" s="375"/>
      <c r="AL269" s="375"/>
      <c r="AM269" s="375"/>
      <c r="AN269" s="375"/>
      <c r="AO269" s="375"/>
      <c r="AP269" s="375"/>
      <c r="AQ269" s="375"/>
      <c r="AR269" s="375"/>
      <c r="AS269" s="375"/>
      <c r="AT269" s="375"/>
      <c r="AU269" s="375"/>
      <c r="AV269" s="375"/>
      <c r="AW269" s="375"/>
      <c r="AX269" s="331"/>
    </row>
    <row r="270" spans="1:50" x14ac:dyDescent="0.2">
      <c r="A270" s="1247"/>
      <c r="B270" s="1179"/>
      <c r="C270" s="484"/>
      <c r="D270" s="781"/>
      <c r="E270" s="491"/>
      <c r="F270" s="710"/>
      <c r="G270" s="1115"/>
      <c r="H270" s="1104"/>
      <c r="I270" s="1400"/>
      <c r="J270" s="377"/>
      <c r="K270" s="701"/>
      <c r="L270" s="482"/>
      <c r="M270" s="851"/>
      <c r="N270" s="663"/>
      <c r="O270" s="383"/>
      <c r="P270" s="1008"/>
      <c r="Q270" s="1009"/>
      <c r="R270" s="375"/>
      <c r="S270" s="376"/>
      <c r="T270" s="375"/>
      <c r="U270" s="625"/>
      <c r="V270" s="560"/>
      <c r="W270" s="606"/>
      <c r="X270" s="377"/>
      <c r="Y270" s="606"/>
      <c r="Z270" s="377"/>
      <c r="AA270" s="606"/>
      <c r="AB270" s="707"/>
      <c r="AC270" s="331"/>
      <c r="AD270" s="383"/>
      <c r="AE270" s="375"/>
      <c r="AF270" s="383"/>
      <c r="AG270" s="375"/>
      <c r="AH270" s="383"/>
      <c r="AI270" s="375"/>
      <c r="AJ270" s="383"/>
      <c r="AK270" s="375"/>
      <c r="AL270" s="375"/>
      <c r="AM270" s="375"/>
      <c r="AN270" s="375"/>
      <c r="AO270" s="375"/>
      <c r="AP270" s="375"/>
      <c r="AQ270" s="375"/>
      <c r="AR270" s="375"/>
      <c r="AS270" s="375"/>
      <c r="AT270" s="375"/>
      <c r="AU270" s="375"/>
      <c r="AV270" s="375"/>
      <c r="AW270" s="375"/>
      <c r="AX270" s="331"/>
    </row>
    <row r="271" spans="1:50" x14ac:dyDescent="0.2">
      <c r="A271" s="1247"/>
      <c r="B271" s="1179"/>
      <c r="C271" s="484"/>
      <c r="D271" s="781"/>
      <c r="E271" s="491"/>
      <c r="F271" s="710"/>
      <c r="G271" s="1115"/>
      <c r="H271" s="1104"/>
      <c r="I271" s="1400"/>
      <c r="J271" s="377"/>
      <c r="K271" s="701"/>
      <c r="L271" s="482"/>
      <c r="M271" s="851"/>
      <c r="N271" s="663"/>
      <c r="O271" s="383"/>
      <c r="P271" s="1008"/>
      <c r="Q271" s="1009"/>
      <c r="R271" s="375"/>
      <c r="S271" s="376"/>
      <c r="T271" s="375"/>
      <c r="U271" s="625"/>
      <c r="V271" s="560"/>
      <c r="W271" s="606"/>
      <c r="X271" s="377"/>
      <c r="Y271" s="606"/>
      <c r="Z271" s="377"/>
      <c r="AA271" s="606"/>
      <c r="AB271" s="707"/>
      <c r="AC271" s="331"/>
      <c r="AD271" s="383"/>
      <c r="AE271" s="375"/>
      <c r="AF271" s="383"/>
      <c r="AG271" s="375"/>
      <c r="AH271" s="383"/>
      <c r="AI271" s="375"/>
      <c r="AJ271" s="383"/>
      <c r="AK271" s="375"/>
      <c r="AL271" s="375"/>
      <c r="AM271" s="375"/>
      <c r="AN271" s="375"/>
      <c r="AO271" s="375"/>
      <c r="AP271" s="375"/>
      <c r="AQ271" s="375"/>
      <c r="AR271" s="375"/>
      <c r="AS271" s="375"/>
      <c r="AT271" s="375"/>
      <c r="AU271" s="375"/>
      <c r="AV271" s="375"/>
      <c r="AW271" s="375"/>
      <c r="AX271" s="331"/>
    </row>
    <row r="272" spans="1:50" x14ac:dyDescent="0.2">
      <c r="A272" s="1247"/>
      <c r="B272" s="1179"/>
      <c r="C272" s="484"/>
      <c r="D272" s="781"/>
      <c r="E272" s="491"/>
      <c r="F272" s="710"/>
      <c r="G272" s="1115"/>
      <c r="H272" s="1104"/>
      <c r="I272" s="1400"/>
      <c r="J272" s="377"/>
      <c r="K272" s="701"/>
      <c r="L272" s="482"/>
      <c r="M272" s="851"/>
      <c r="N272" s="663"/>
      <c r="O272" s="383"/>
      <c r="P272" s="1008"/>
      <c r="Q272" s="1009"/>
      <c r="R272" s="375"/>
      <c r="S272" s="376"/>
      <c r="T272" s="375"/>
      <c r="U272" s="625"/>
      <c r="V272" s="560"/>
      <c r="W272" s="606"/>
      <c r="X272" s="377"/>
      <c r="Y272" s="606"/>
      <c r="Z272" s="377"/>
      <c r="AA272" s="606"/>
      <c r="AB272" s="707"/>
      <c r="AC272" s="331"/>
      <c r="AD272" s="383"/>
      <c r="AE272" s="375"/>
      <c r="AF272" s="383"/>
      <c r="AG272" s="375"/>
      <c r="AH272" s="383"/>
      <c r="AI272" s="375"/>
      <c r="AJ272" s="383"/>
      <c r="AK272" s="375"/>
      <c r="AL272" s="375"/>
      <c r="AM272" s="375"/>
      <c r="AN272" s="375"/>
      <c r="AO272" s="375"/>
      <c r="AP272" s="375"/>
      <c r="AQ272" s="375"/>
      <c r="AR272" s="375"/>
      <c r="AS272" s="375"/>
      <c r="AT272" s="375"/>
      <c r="AU272" s="375"/>
      <c r="AV272" s="375"/>
      <c r="AW272" s="375"/>
      <c r="AX272" s="331"/>
    </row>
    <row r="273" spans="1:50" x14ac:dyDescent="0.2">
      <c r="A273" s="1247"/>
      <c r="B273" s="1179"/>
      <c r="C273" s="484"/>
      <c r="D273" s="781"/>
      <c r="E273" s="491"/>
      <c r="F273" s="710"/>
      <c r="G273" s="1115"/>
      <c r="H273" s="1104"/>
      <c r="I273" s="1400"/>
      <c r="J273" s="377"/>
      <c r="K273" s="701"/>
      <c r="L273" s="482"/>
      <c r="M273" s="851"/>
      <c r="N273" s="663"/>
      <c r="O273" s="383"/>
      <c r="P273" s="1008"/>
      <c r="Q273" s="1009"/>
      <c r="R273" s="375"/>
      <c r="S273" s="376"/>
      <c r="T273" s="375"/>
      <c r="U273" s="625"/>
      <c r="V273" s="560"/>
      <c r="W273" s="606"/>
      <c r="X273" s="377"/>
      <c r="Y273" s="606"/>
      <c r="Z273" s="377"/>
      <c r="AA273" s="606"/>
      <c r="AB273" s="707"/>
      <c r="AC273" s="331"/>
      <c r="AD273" s="383"/>
      <c r="AE273" s="375"/>
      <c r="AF273" s="383"/>
      <c r="AG273" s="375"/>
      <c r="AH273" s="383"/>
      <c r="AI273" s="375"/>
      <c r="AJ273" s="383"/>
      <c r="AK273" s="375"/>
      <c r="AL273" s="375"/>
      <c r="AM273" s="375"/>
      <c r="AN273" s="375"/>
      <c r="AO273" s="375"/>
      <c r="AP273" s="375"/>
      <c r="AQ273" s="375"/>
      <c r="AR273" s="375"/>
      <c r="AS273" s="375"/>
      <c r="AT273" s="375"/>
      <c r="AU273" s="375"/>
      <c r="AV273" s="375"/>
      <c r="AW273" s="375"/>
      <c r="AX273" s="331"/>
    </row>
    <row r="274" spans="1:50" x14ac:dyDescent="0.2">
      <c r="A274" s="1247"/>
      <c r="B274" s="1264"/>
      <c r="C274" s="484"/>
      <c r="D274" s="781"/>
      <c r="E274" s="491"/>
      <c r="F274" s="710"/>
      <c r="G274" s="1115"/>
      <c r="H274" s="1104"/>
      <c r="I274" s="1400"/>
      <c r="J274" s="377"/>
      <c r="K274" s="701"/>
      <c r="L274" s="482"/>
      <c r="M274" s="851"/>
      <c r="N274" s="663"/>
      <c r="O274" s="383"/>
      <c r="P274" s="1008"/>
      <c r="Q274" s="1009"/>
      <c r="R274" s="375"/>
      <c r="S274" s="376"/>
      <c r="T274" s="375"/>
      <c r="U274" s="625"/>
      <c r="V274" s="560"/>
      <c r="W274" s="606"/>
      <c r="X274" s="377"/>
      <c r="Y274" s="606"/>
      <c r="Z274" s="377"/>
      <c r="AA274" s="606"/>
      <c r="AB274" s="707"/>
      <c r="AC274" s="331"/>
      <c r="AD274" s="383"/>
      <c r="AE274" s="375"/>
      <c r="AF274" s="383"/>
      <c r="AG274" s="375"/>
      <c r="AH274" s="383"/>
      <c r="AI274" s="375"/>
      <c r="AJ274" s="383"/>
      <c r="AK274" s="375"/>
      <c r="AL274" s="375"/>
      <c r="AM274" s="375"/>
      <c r="AN274" s="375"/>
      <c r="AO274" s="375"/>
      <c r="AP274" s="375"/>
      <c r="AQ274" s="375"/>
      <c r="AR274" s="375"/>
      <c r="AS274" s="375"/>
      <c r="AT274" s="375"/>
      <c r="AU274" s="375"/>
      <c r="AV274" s="375"/>
      <c r="AW274" s="375"/>
      <c r="AX274" s="331"/>
    </row>
    <row r="275" spans="1:50" x14ac:dyDescent="0.2">
      <c r="A275" s="1247"/>
      <c r="B275" s="1179"/>
      <c r="C275" s="484"/>
      <c r="D275" s="781"/>
      <c r="E275" s="491"/>
      <c r="F275" s="710"/>
      <c r="G275" s="1115"/>
      <c r="H275" s="1104"/>
      <c r="I275" s="1400"/>
      <c r="J275" s="377"/>
      <c r="K275" s="701"/>
      <c r="L275" s="482"/>
      <c r="M275" s="851"/>
      <c r="N275" s="663"/>
      <c r="O275" s="383"/>
      <c r="P275" s="1008"/>
      <c r="Q275" s="1009"/>
      <c r="R275" s="375"/>
      <c r="S275" s="376"/>
      <c r="T275" s="375"/>
      <c r="U275" s="625"/>
      <c r="V275" s="560"/>
      <c r="W275" s="606"/>
      <c r="X275" s="377"/>
      <c r="Y275" s="606"/>
      <c r="Z275" s="377"/>
      <c r="AA275" s="606"/>
      <c r="AB275" s="707"/>
      <c r="AC275" s="331"/>
      <c r="AD275" s="383"/>
      <c r="AE275" s="375"/>
      <c r="AF275" s="383"/>
      <c r="AG275" s="375"/>
      <c r="AH275" s="383"/>
      <c r="AI275" s="375"/>
      <c r="AJ275" s="383"/>
      <c r="AK275" s="375"/>
      <c r="AL275" s="375"/>
      <c r="AM275" s="375"/>
      <c r="AN275" s="375"/>
      <c r="AO275" s="375"/>
      <c r="AP275" s="375"/>
      <c r="AQ275" s="375"/>
      <c r="AR275" s="375"/>
      <c r="AS275" s="375"/>
      <c r="AT275" s="375"/>
      <c r="AU275" s="375"/>
      <c r="AV275" s="375"/>
      <c r="AW275" s="375"/>
      <c r="AX275" s="331"/>
    </row>
    <row r="276" spans="1:50" x14ac:dyDescent="0.2">
      <c r="A276" s="1247"/>
      <c r="B276" s="1179"/>
      <c r="C276" s="484"/>
      <c r="D276" s="781"/>
      <c r="E276" s="491"/>
      <c r="F276" s="710"/>
      <c r="G276" s="1115"/>
      <c r="H276" s="1104"/>
      <c r="I276" s="1400"/>
      <c r="J276" s="377"/>
      <c r="K276" s="701"/>
      <c r="L276" s="482"/>
      <c r="M276" s="851"/>
      <c r="N276" s="663"/>
      <c r="O276" s="383"/>
      <c r="P276" s="1008"/>
      <c r="Q276" s="1009"/>
      <c r="R276" s="375"/>
      <c r="S276" s="376"/>
      <c r="T276" s="375"/>
      <c r="U276" s="625"/>
      <c r="V276" s="560"/>
      <c r="W276" s="606"/>
      <c r="X276" s="377"/>
      <c r="Y276" s="606"/>
      <c r="Z276" s="377"/>
      <c r="AA276" s="606"/>
      <c r="AB276" s="707"/>
      <c r="AC276" s="331"/>
      <c r="AD276" s="383"/>
      <c r="AE276" s="375"/>
      <c r="AF276" s="383"/>
      <c r="AG276" s="375"/>
      <c r="AH276" s="383"/>
      <c r="AI276" s="375"/>
      <c r="AJ276" s="383"/>
      <c r="AK276" s="375"/>
      <c r="AL276" s="375"/>
      <c r="AM276" s="375"/>
      <c r="AN276" s="375"/>
      <c r="AO276" s="375"/>
      <c r="AP276" s="375"/>
      <c r="AQ276" s="375"/>
      <c r="AR276" s="375"/>
      <c r="AS276" s="375"/>
      <c r="AT276" s="375"/>
      <c r="AU276" s="375"/>
      <c r="AV276" s="375"/>
      <c r="AW276" s="375"/>
      <c r="AX276" s="331"/>
    </row>
    <row r="277" spans="1:50" x14ac:dyDescent="0.2">
      <c r="A277" s="1247"/>
      <c r="B277" s="1179"/>
      <c r="C277" s="484"/>
      <c r="D277" s="781"/>
      <c r="E277" s="491"/>
      <c r="F277" s="710"/>
      <c r="G277" s="1115"/>
      <c r="H277" s="1104"/>
      <c r="I277" s="1400"/>
      <c r="J277" s="377"/>
      <c r="K277" s="701"/>
      <c r="L277" s="482"/>
      <c r="M277" s="851"/>
      <c r="N277" s="663"/>
      <c r="O277" s="383"/>
      <c r="P277" s="1008"/>
      <c r="Q277" s="1009"/>
      <c r="R277" s="375"/>
      <c r="S277" s="376"/>
      <c r="T277" s="375"/>
      <c r="U277" s="625"/>
      <c r="V277" s="560"/>
      <c r="W277" s="606"/>
      <c r="X277" s="377"/>
      <c r="Y277" s="606"/>
      <c r="Z277" s="377"/>
      <c r="AA277" s="606"/>
      <c r="AB277" s="707"/>
      <c r="AC277" s="331"/>
      <c r="AD277" s="383"/>
      <c r="AE277" s="375"/>
      <c r="AF277" s="383"/>
      <c r="AG277" s="375"/>
      <c r="AH277" s="383"/>
      <c r="AI277" s="375"/>
      <c r="AJ277" s="383"/>
      <c r="AK277" s="375"/>
      <c r="AL277" s="375"/>
      <c r="AM277" s="375"/>
      <c r="AN277" s="375"/>
      <c r="AO277" s="375"/>
      <c r="AP277" s="375"/>
      <c r="AQ277" s="375"/>
      <c r="AR277" s="375"/>
      <c r="AS277" s="375"/>
      <c r="AT277" s="375"/>
      <c r="AU277" s="375"/>
      <c r="AV277" s="375"/>
      <c r="AW277" s="375"/>
      <c r="AX277" s="331"/>
    </row>
    <row r="278" spans="1:50" x14ac:dyDescent="0.2">
      <c r="A278" s="1247"/>
      <c r="B278" s="1179"/>
      <c r="C278" s="484"/>
      <c r="D278" s="781"/>
      <c r="E278" s="491"/>
      <c r="F278" s="710"/>
      <c r="G278" s="1115"/>
      <c r="H278" s="1104"/>
      <c r="I278" s="1400"/>
      <c r="J278" s="377"/>
      <c r="K278" s="701"/>
      <c r="L278" s="482"/>
      <c r="M278" s="851"/>
      <c r="N278" s="663"/>
      <c r="O278" s="702"/>
      <c r="P278" s="1008"/>
      <c r="Q278" s="1009"/>
      <c r="R278" s="375"/>
      <c r="S278" s="376"/>
      <c r="T278" s="375"/>
      <c r="U278" s="625"/>
      <c r="V278" s="560"/>
      <c r="W278" s="606"/>
      <c r="X278" s="377"/>
      <c r="Y278" s="606"/>
      <c r="Z278" s="377"/>
      <c r="AA278" s="606"/>
      <c r="AB278" s="707"/>
      <c r="AC278" s="331"/>
      <c r="AD278" s="383"/>
      <c r="AE278" s="375"/>
      <c r="AF278" s="383"/>
      <c r="AG278" s="375"/>
      <c r="AH278" s="383"/>
      <c r="AI278" s="375"/>
      <c r="AJ278" s="383"/>
      <c r="AK278" s="375"/>
      <c r="AL278" s="375"/>
      <c r="AM278" s="375"/>
      <c r="AN278" s="375"/>
      <c r="AO278" s="375"/>
      <c r="AP278" s="375"/>
      <c r="AQ278" s="375"/>
      <c r="AR278" s="375"/>
      <c r="AS278" s="375"/>
      <c r="AT278" s="375"/>
      <c r="AU278" s="375"/>
      <c r="AV278" s="375"/>
      <c r="AW278" s="375"/>
      <c r="AX278" s="331"/>
    </row>
    <row r="279" spans="1:50" x14ac:dyDescent="0.2">
      <c r="A279" s="1247"/>
      <c r="B279" s="1261"/>
      <c r="C279" s="1249"/>
      <c r="D279" s="1197"/>
      <c r="E279" s="1250"/>
      <c r="F279" s="710"/>
      <c r="G279" s="1115"/>
      <c r="H279" s="1104"/>
      <c r="I279" s="1400"/>
      <c r="J279" s="377"/>
      <c r="K279" s="701"/>
      <c r="L279" s="482"/>
      <c r="M279" s="851"/>
      <c r="N279" s="663"/>
      <c r="O279" s="383"/>
      <c r="P279" s="1008"/>
      <c r="Q279" s="1009"/>
      <c r="R279" s="375"/>
      <c r="S279" s="376"/>
      <c r="T279" s="375"/>
      <c r="U279" s="625"/>
      <c r="V279" s="560"/>
      <c r="W279" s="606"/>
      <c r="X279" s="377"/>
      <c r="Y279" s="606"/>
      <c r="Z279" s="377"/>
      <c r="AA279" s="606"/>
      <c r="AB279" s="707"/>
      <c r="AC279" s="331"/>
      <c r="AD279" s="383"/>
      <c r="AE279" s="375"/>
      <c r="AF279" s="383"/>
      <c r="AG279" s="375"/>
      <c r="AH279" s="383"/>
      <c r="AI279" s="375"/>
      <c r="AJ279" s="383"/>
      <c r="AK279" s="375"/>
      <c r="AL279" s="375"/>
      <c r="AM279" s="375"/>
      <c r="AN279" s="375"/>
      <c r="AO279" s="375"/>
      <c r="AP279" s="375"/>
      <c r="AQ279" s="375"/>
      <c r="AR279" s="375"/>
      <c r="AS279" s="375"/>
      <c r="AT279" s="375"/>
      <c r="AU279" s="375"/>
      <c r="AV279" s="375"/>
      <c r="AW279" s="375"/>
      <c r="AX279" s="331"/>
    </row>
    <row r="280" spans="1:50" x14ac:dyDescent="0.2">
      <c r="A280" s="1247"/>
      <c r="B280" s="1179"/>
      <c r="C280" s="1249"/>
      <c r="D280" s="1197"/>
      <c r="E280" s="1250"/>
      <c r="F280" s="710"/>
      <c r="G280" s="1115"/>
      <c r="H280" s="1104"/>
      <c r="I280" s="1400"/>
      <c r="J280" s="377"/>
      <c r="K280" s="701"/>
      <c r="L280" s="482"/>
      <c r="M280" s="851"/>
      <c r="N280" s="663"/>
      <c r="O280" s="383"/>
      <c r="P280" s="1008"/>
      <c r="Q280" s="1009"/>
      <c r="R280" s="375"/>
      <c r="S280" s="376"/>
      <c r="T280" s="375"/>
      <c r="U280" s="625"/>
      <c r="V280" s="560"/>
      <c r="W280" s="606"/>
      <c r="X280" s="377"/>
      <c r="Y280" s="606"/>
      <c r="Z280" s="377"/>
      <c r="AA280" s="606"/>
      <c r="AB280" s="707"/>
      <c r="AC280" s="331"/>
      <c r="AD280" s="383"/>
      <c r="AE280" s="375"/>
      <c r="AF280" s="383"/>
      <c r="AG280" s="375"/>
      <c r="AH280" s="383"/>
      <c r="AI280" s="375"/>
      <c r="AJ280" s="383"/>
      <c r="AK280" s="375"/>
      <c r="AL280" s="375"/>
      <c r="AM280" s="375"/>
      <c r="AN280" s="375"/>
      <c r="AO280" s="375"/>
      <c r="AP280" s="375"/>
      <c r="AQ280" s="375"/>
      <c r="AR280" s="375"/>
      <c r="AS280" s="375"/>
      <c r="AT280" s="375"/>
      <c r="AU280" s="375"/>
      <c r="AV280" s="375"/>
      <c r="AW280" s="375"/>
      <c r="AX280" s="331"/>
    </row>
    <row r="281" spans="1:50" x14ac:dyDescent="0.2">
      <c r="A281" s="1247"/>
      <c r="B281" s="1261"/>
      <c r="C281" s="1249"/>
      <c r="D281" s="1197"/>
      <c r="E281" s="1250"/>
      <c r="F281" s="710"/>
      <c r="G281" s="1115"/>
      <c r="H281" s="1104"/>
      <c r="I281" s="1400"/>
      <c r="J281" s="377"/>
      <c r="K281" s="701"/>
      <c r="L281" s="482"/>
      <c r="M281" s="851"/>
      <c r="N281" s="663"/>
      <c r="O281" s="383"/>
      <c r="P281" s="1008"/>
      <c r="Q281" s="1009"/>
      <c r="R281" s="375"/>
      <c r="S281" s="376"/>
      <c r="T281" s="375"/>
      <c r="U281" s="625"/>
      <c r="V281" s="560"/>
      <c r="W281" s="606"/>
      <c r="X281" s="377"/>
      <c r="Y281" s="606"/>
      <c r="Z281" s="377"/>
      <c r="AA281" s="606"/>
      <c r="AB281" s="707"/>
      <c r="AC281" s="331"/>
      <c r="AD281" s="383"/>
      <c r="AE281" s="375"/>
      <c r="AF281" s="383"/>
      <c r="AG281" s="375"/>
      <c r="AH281" s="383"/>
      <c r="AI281" s="375"/>
      <c r="AJ281" s="383"/>
      <c r="AK281" s="375"/>
      <c r="AL281" s="375"/>
      <c r="AM281" s="375"/>
      <c r="AN281" s="375"/>
      <c r="AO281" s="375"/>
      <c r="AP281" s="375"/>
      <c r="AQ281" s="375"/>
      <c r="AR281" s="375"/>
      <c r="AS281" s="375"/>
      <c r="AT281" s="375"/>
      <c r="AU281" s="375"/>
      <c r="AV281" s="375"/>
      <c r="AW281" s="375"/>
      <c r="AX281" s="331"/>
    </row>
    <row r="282" spans="1:50" x14ac:dyDescent="0.2">
      <c r="A282" s="1247"/>
      <c r="B282" s="1179"/>
      <c r="C282" s="1249"/>
      <c r="D282" s="1197"/>
      <c r="E282" s="1250"/>
      <c r="F282" s="710"/>
      <c r="G282" s="1115"/>
      <c r="H282" s="1104"/>
      <c r="I282" s="1400"/>
      <c r="J282" s="377"/>
      <c r="K282" s="701"/>
      <c r="L282" s="482"/>
      <c r="M282" s="851"/>
      <c r="N282" s="663"/>
      <c r="O282" s="383"/>
      <c r="P282" s="1008"/>
      <c r="Q282" s="1009"/>
      <c r="R282" s="375"/>
      <c r="S282" s="376"/>
      <c r="T282" s="375"/>
      <c r="U282" s="625"/>
      <c r="V282" s="560"/>
      <c r="W282" s="606"/>
      <c r="X282" s="377"/>
      <c r="Y282" s="606"/>
      <c r="Z282" s="377"/>
      <c r="AA282" s="606"/>
      <c r="AB282" s="707"/>
      <c r="AC282" s="331"/>
      <c r="AD282" s="383"/>
      <c r="AE282" s="375"/>
      <c r="AF282" s="383"/>
      <c r="AG282" s="375"/>
      <c r="AH282" s="383"/>
      <c r="AI282" s="375"/>
      <c r="AJ282" s="383"/>
      <c r="AK282" s="375"/>
      <c r="AL282" s="375"/>
      <c r="AM282" s="375"/>
      <c r="AN282" s="375"/>
      <c r="AO282" s="375"/>
      <c r="AP282" s="375"/>
      <c r="AQ282" s="375"/>
      <c r="AR282" s="375"/>
      <c r="AS282" s="375"/>
      <c r="AT282" s="375"/>
      <c r="AU282" s="375"/>
      <c r="AV282" s="375"/>
      <c r="AW282" s="375"/>
      <c r="AX282" s="331"/>
    </row>
    <row r="283" spans="1:50" x14ac:dyDescent="0.2">
      <c r="AE283" s="969"/>
      <c r="AF283" s="969"/>
      <c r="AG283" s="969"/>
      <c r="AH283" s="969"/>
      <c r="AI283" s="969"/>
      <c r="AJ283" s="969"/>
      <c r="AK283" s="969"/>
      <c r="AL283" s="969"/>
      <c r="AM283" s="969"/>
      <c r="AN283" s="969"/>
      <c r="AO283" s="969"/>
      <c r="AP283" s="969"/>
      <c r="AQ283" s="969"/>
      <c r="AR283" s="969"/>
      <c r="AS283" s="969"/>
      <c r="AT283" s="969"/>
      <c r="AU283" s="969"/>
      <c r="AV283" s="969"/>
      <c r="AW283" s="969"/>
    </row>
    <row r="284" spans="1:50" x14ac:dyDescent="0.2">
      <c r="A284" s="1277"/>
      <c r="AD284" s="352"/>
      <c r="AE284" s="997"/>
      <c r="AF284" s="997"/>
      <c r="AG284" s="997"/>
      <c r="AH284" s="997"/>
      <c r="AI284" s="997"/>
      <c r="AJ284" s="997"/>
      <c r="AK284" s="997"/>
      <c r="AL284" s="997"/>
      <c r="AM284" s="997"/>
      <c r="AN284" s="997"/>
      <c r="AO284" s="997"/>
      <c r="AP284" s="997"/>
      <c r="AQ284" s="997"/>
      <c r="AR284" s="997"/>
      <c r="AS284" s="997"/>
      <c r="AT284" s="997"/>
      <c r="AU284" s="997"/>
      <c r="AV284" s="997"/>
      <c r="AW284" s="997"/>
    </row>
  </sheetData>
  <phoneticPr fontId="9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AC70-C334-4139-8FBE-F9DF7657D0DA}">
  <sheetPr codeName="Hoja13"/>
  <dimension ref="A1:GF409"/>
  <sheetViews>
    <sheetView showGridLines="0" zoomScale="80" zoomScaleNormal="80" workbookViewId="0">
      <pane ySplit="6" topLeftCell="A7" activePane="bottomLeft" state="frozen"/>
      <selection pane="bottomLeft" activeCell="A7" sqref="A7"/>
    </sheetView>
  </sheetViews>
  <sheetFormatPr baseColWidth="10" defaultColWidth="9.6640625" defaultRowHeight="12.75" x14ac:dyDescent="0.2"/>
  <cols>
    <col min="1" max="1" width="6.6640625" style="90" customWidth="1"/>
    <col min="2" max="2" width="74.44140625" style="353" customWidth="1"/>
    <col min="3" max="3" width="35.44140625" style="353" customWidth="1"/>
    <col min="4" max="4" width="50.77734375" style="354" customWidth="1"/>
    <col min="5" max="5" width="2.6640625" style="370" customWidth="1"/>
    <col min="6" max="16384" width="9.6640625" style="70"/>
  </cols>
  <sheetData>
    <row r="1" spans="1:188" ht="12" customHeight="1" x14ac:dyDescent="0.2">
      <c r="A1" s="652" t="s">
        <v>91</v>
      </c>
      <c r="E1" s="355"/>
    </row>
    <row r="2" spans="1:188" ht="12" customHeight="1" x14ac:dyDescent="0.2">
      <c r="A2" s="652" t="s">
        <v>110</v>
      </c>
      <c r="E2" s="355"/>
    </row>
    <row r="3" spans="1:188" ht="12" customHeight="1" x14ac:dyDescent="0.2">
      <c r="A3" s="260" t="str">
        <f>+'Grupos Familiares'!A4</f>
        <v>AÑO  GRAVABLE 2024</v>
      </c>
      <c r="B3" s="356"/>
      <c r="C3" s="356"/>
      <c r="D3" s="357"/>
      <c r="E3" s="355"/>
    </row>
    <row r="4" spans="1:188" ht="12" customHeight="1" x14ac:dyDescent="0.2">
      <c r="A4" s="358"/>
      <c r="B4" s="359"/>
      <c r="C4" s="359"/>
      <c r="D4" s="357"/>
      <c r="E4" s="355"/>
    </row>
    <row r="5" spans="1:188" x14ac:dyDescent="0.2">
      <c r="A5" s="360" t="s">
        <v>111</v>
      </c>
      <c r="B5" s="361" t="s">
        <v>139</v>
      </c>
      <c r="C5" s="361"/>
      <c r="D5" s="362" t="s">
        <v>9</v>
      </c>
      <c r="E5" s="363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364"/>
      <c r="CK5" s="364"/>
      <c r="CL5" s="364"/>
      <c r="CM5" s="364"/>
      <c r="CN5" s="364"/>
      <c r="CO5" s="364"/>
      <c r="CP5" s="364"/>
      <c r="CQ5" s="364"/>
      <c r="CR5" s="364"/>
      <c r="CS5" s="364"/>
      <c r="CT5" s="364"/>
      <c r="CU5" s="364"/>
      <c r="CV5" s="364"/>
      <c r="CW5" s="364"/>
      <c r="CX5" s="364"/>
      <c r="CY5" s="364"/>
      <c r="CZ5" s="364"/>
      <c r="DA5" s="364"/>
      <c r="DB5" s="364"/>
      <c r="DC5" s="364"/>
      <c r="DD5" s="364"/>
      <c r="DE5" s="364"/>
      <c r="DF5" s="364"/>
      <c r="DG5" s="364"/>
      <c r="DH5" s="364"/>
      <c r="DI5" s="364"/>
      <c r="DJ5" s="364"/>
      <c r="DK5" s="364"/>
      <c r="DL5" s="364"/>
      <c r="DM5" s="364"/>
      <c r="DN5" s="364"/>
      <c r="DO5" s="364"/>
      <c r="DP5" s="364"/>
      <c r="DQ5" s="364"/>
      <c r="DR5" s="364"/>
      <c r="DS5" s="364"/>
      <c r="DT5" s="364"/>
      <c r="DU5" s="364"/>
      <c r="DV5" s="364"/>
      <c r="DW5" s="364"/>
      <c r="DX5" s="364"/>
      <c r="DY5" s="364"/>
      <c r="DZ5" s="364"/>
      <c r="EA5" s="364"/>
      <c r="EB5" s="364"/>
      <c r="EC5" s="364"/>
      <c r="ED5" s="364"/>
      <c r="EE5" s="364"/>
      <c r="EF5" s="364"/>
      <c r="EG5" s="364"/>
      <c r="EH5" s="364"/>
      <c r="EI5" s="364"/>
      <c r="EJ5" s="364"/>
      <c r="EK5" s="364"/>
      <c r="EL5" s="364"/>
      <c r="EM5" s="364"/>
      <c r="EN5" s="364"/>
      <c r="EO5" s="364"/>
      <c r="EP5" s="364"/>
      <c r="EQ5" s="364"/>
      <c r="ER5" s="364"/>
      <c r="ES5" s="364"/>
      <c r="ET5" s="364"/>
      <c r="EU5" s="364"/>
      <c r="EV5" s="364"/>
      <c r="EW5" s="364"/>
      <c r="EX5" s="364"/>
      <c r="EY5" s="364"/>
      <c r="EZ5" s="364"/>
      <c r="FA5" s="364"/>
      <c r="FB5" s="364"/>
      <c r="FC5" s="364"/>
      <c r="FD5" s="364"/>
      <c r="FE5" s="364"/>
      <c r="FF5" s="364"/>
      <c r="FG5" s="364"/>
      <c r="FH5" s="364"/>
      <c r="FI5" s="364"/>
      <c r="FJ5" s="364"/>
      <c r="FK5" s="364"/>
      <c r="FL5" s="364"/>
      <c r="FM5" s="364"/>
      <c r="FN5" s="364"/>
      <c r="FO5" s="364"/>
      <c r="FP5" s="364"/>
      <c r="FQ5" s="364"/>
      <c r="FR5" s="364"/>
      <c r="FS5" s="364"/>
      <c r="FT5" s="364"/>
      <c r="FU5" s="364"/>
      <c r="FV5" s="364"/>
      <c r="FW5" s="364"/>
      <c r="FX5" s="364"/>
      <c r="FY5" s="364"/>
      <c r="FZ5" s="364"/>
      <c r="GA5" s="364"/>
      <c r="GB5" s="364"/>
      <c r="GC5" s="364"/>
      <c r="GD5" s="364"/>
      <c r="GE5" s="364"/>
      <c r="GF5" s="364"/>
    </row>
    <row r="6" spans="1:188" x14ac:dyDescent="0.2">
      <c r="A6" s="365"/>
      <c r="B6" s="366"/>
      <c r="C6" s="366"/>
      <c r="D6" s="367"/>
      <c r="E6" s="355"/>
    </row>
    <row r="7" spans="1:188" x14ac:dyDescent="0.2">
      <c r="A7" s="214"/>
      <c r="B7" s="368"/>
      <c r="C7" s="368"/>
      <c r="E7" s="355"/>
    </row>
    <row r="8" spans="1:188" x14ac:dyDescent="0.2">
      <c r="A8" s="1049">
        <v>41</v>
      </c>
      <c r="B8" s="1067" t="s">
        <v>271</v>
      </c>
      <c r="C8" s="1067"/>
      <c r="D8" s="1121"/>
      <c r="E8" s="355"/>
    </row>
    <row r="9" spans="1:188" x14ac:dyDescent="0.2">
      <c r="A9" s="1049">
        <v>346</v>
      </c>
      <c r="B9" s="1067" t="s">
        <v>281</v>
      </c>
      <c r="C9" s="1067"/>
      <c r="D9" s="1121"/>
      <c r="E9" s="355"/>
    </row>
    <row r="10" spans="1:188" x14ac:dyDescent="0.2">
      <c r="A10" s="1049">
        <v>300</v>
      </c>
      <c r="B10" s="1067" t="s">
        <v>282</v>
      </c>
      <c r="C10" s="1067"/>
      <c r="D10" s="1121"/>
      <c r="E10" s="355"/>
    </row>
    <row r="11" spans="1:188" x14ac:dyDescent="0.2">
      <c r="A11" s="1049">
        <v>312</v>
      </c>
      <c r="B11" s="1067" t="s">
        <v>283</v>
      </c>
      <c r="C11" s="1067"/>
      <c r="D11" s="1121"/>
      <c r="E11" s="355"/>
    </row>
    <row r="12" spans="1:188" x14ac:dyDescent="0.2">
      <c r="A12" s="1049">
        <v>217</v>
      </c>
      <c r="B12" s="1067" t="s">
        <v>284</v>
      </c>
      <c r="C12" s="1067"/>
      <c r="D12" s="1121"/>
      <c r="E12" s="355"/>
    </row>
    <row r="13" spans="1:188" x14ac:dyDescent="0.2">
      <c r="A13" s="1049">
        <v>42</v>
      </c>
      <c r="B13" s="1067" t="s">
        <v>272</v>
      </c>
      <c r="C13" s="1067"/>
      <c r="D13" s="1121"/>
      <c r="E13" s="355"/>
    </row>
    <row r="14" spans="1:188" x14ac:dyDescent="0.2">
      <c r="A14" s="1049">
        <v>43</v>
      </c>
      <c r="B14" s="1067" t="s">
        <v>273</v>
      </c>
      <c r="C14" s="1067"/>
      <c r="D14" s="1121"/>
      <c r="E14" s="355"/>
    </row>
    <row r="15" spans="1:188" x14ac:dyDescent="0.2">
      <c r="A15" s="1049">
        <v>44</v>
      </c>
      <c r="B15" s="1067" t="s">
        <v>274</v>
      </c>
      <c r="C15" s="1067"/>
      <c r="D15" s="1121"/>
      <c r="E15" s="355"/>
    </row>
    <row r="16" spans="1:188" x14ac:dyDescent="0.2">
      <c r="A16" s="1049">
        <v>45</v>
      </c>
      <c r="B16" s="1067" t="s">
        <v>275</v>
      </c>
      <c r="C16" s="1067"/>
      <c r="D16" s="1121"/>
      <c r="E16" s="355"/>
    </row>
    <row r="17" spans="1:5" x14ac:dyDescent="0.2">
      <c r="A17" s="1049">
        <v>172</v>
      </c>
      <c r="B17" s="1067" t="s">
        <v>276</v>
      </c>
      <c r="C17" s="1067"/>
      <c r="D17" s="1121"/>
      <c r="E17" s="355"/>
    </row>
    <row r="18" spans="1:5" x14ac:dyDescent="0.2">
      <c r="A18" s="1049">
        <v>156</v>
      </c>
      <c r="B18" s="1067" t="s">
        <v>277</v>
      </c>
      <c r="C18" s="1067"/>
      <c r="D18" s="1121"/>
      <c r="E18" s="355"/>
    </row>
    <row r="19" spans="1:5" x14ac:dyDescent="0.2">
      <c r="A19" s="1049">
        <v>47</v>
      </c>
      <c r="B19" s="1067" t="s">
        <v>278</v>
      </c>
      <c r="C19" s="1067"/>
      <c r="D19" s="1121"/>
      <c r="E19" s="355"/>
    </row>
    <row r="20" spans="1:5" x14ac:dyDescent="0.2">
      <c r="A20" s="1049">
        <v>179</v>
      </c>
      <c r="B20" s="1067" t="s">
        <v>279</v>
      </c>
      <c r="C20" s="1067"/>
      <c r="D20" s="1121"/>
      <c r="E20" s="355"/>
    </row>
    <row r="21" spans="1:5" x14ac:dyDescent="0.2">
      <c r="A21" s="1049">
        <v>48</v>
      </c>
      <c r="B21" s="1067" t="s">
        <v>280</v>
      </c>
      <c r="C21" s="1067"/>
      <c r="D21" s="1121"/>
      <c r="E21" s="355"/>
    </row>
    <row r="22" spans="1:5" x14ac:dyDescent="0.2">
      <c r="A22" s="1049">
        <v>36</v>
      </c>
      <c r="B22" s="1067"/>
      <c r="C22" s="1067"/>
      <c r="D22" s="1121"/>
      <c r="E22" s="355"/>
    </row>
    <row r="23" spans="1:5" x14ac:dyDescent="0.2">
      <c r="A23" s="1049">
        <v>38</v>
      </c>
      <c r="B23" s="1067"/>
      <c r="C23" s="1067"/>
      <c r="D23" s="1121"/>
      <c r="E23" s="355"/>
    </row>
    <row r="24" spans="1:5" x14ac:dyDescent="0.2">
      <c r="A24" s="1049">
        <v>49</v>
      </c>
      <c r="B24" s="1067"/>
      <c r="C24" s="1067"/>
      <c r="D24" s="1121"/>
      <c r="E24" s="355"/>
    </row>
    <row r="25" spans="1:5" x14ac:dyDescent="0.2">
      <c r="A25" s="1049">
        <v>50</v>
      </c>
      <c r="B25" s="1067"/>
      <c r="C25" s="1067"/>
      <c r="D25" s="1121"/>
      <c r="E25" s="355"/>
    </row>
    <row r="26" spans="1:5" x14ac:dyDescent="0.2">
      <c r="A26" s="1049">
        <v>51</v>
      </c>
      <c r="B26" s="1067"/>
      <c r="C26" s="1067"/>
      <c r="D26" s="1121"/>
      <c r="E26" s="355"/>
    </row>
    <row r="27" spans="1:5" x14ac:dyDescent="0.2">
      <c r="A27" s="1049">
        <v>52</v>
      </c>
      <c r="B27" s="1067"/>
      <c r="C27" s="1067"/>
      <c r="D27" s="1121"/>
      <c r="E27" s="355"/>
    </row>
    <row r="28" spans="1:5" x14ac:dyDescent="0.2">
      <c r="A28" s="1049">
        <v>1</v>
      </c>
      <c r="B28" s="1067"/>
      <c r="C28" s="1067"/>
      <c r="D28" s="1121"/>
      <c r="E28" s="355"/>
    </row>
    <row r="29" spans="1:5" x14ac:dyDescent="0.2">
      <c r="A29" s="1049">
        <v>53</v>
      </c>
      <c r="B29" s="1067"/>
      <c r="C29" s="1067"/>
      <c r="D29" s="1121"/>
      <c r="E29" s="355"/>
    </row>
    <row r="30" spans="1:5" x14ac:dyDescent="0.2">
      <c r="A30" s="1049">
        <v>2</v>
      </c>
      <c r="B30" s="1067"/>
      <c r="C30" s="1067"/>
      <c r="D30" s="1121"/>
      <c r="E30" s="355"/>
    </row>
    <row r="31" spans="1:5" x14ac:dyDescent="0.2">
      <c r="A31" s="1049">
        <v>3</v>
      </c>
      <c r="B31" s="1067"/>
      <c r="C31" s="1067"/>
      <c r="D31" s="1121"/>
      <c r="E31" s="355"/>
    </row>
    <row r="32" spans="1:5" x14ac:dyDescent="0.2">
      <c r="A32" s="1049">
        <v>5</v>
      </c>
      <c r="B32" s="1067"/>
      <c r="C32" s="1067"/>
      <c r="D32" s="1121"/>
      <c r="E32" s="355"/>
    </row>
    <row r="33" spans="1:5" x14ac:dyDescent="0.2">
      <c r="A33" s="1049">
        <v>341</v>
      </c>
      <c r="B33" s="1067"/>
      <c r="C33" s="1067"/>
      <c r="D33" s="1121"/>
      <c r="E33" s="355"/>
    </row>
    <row r="34" spans="1:5" x14ac:dyDescent="0.2">
      <c r="A34" s="1049">
        <v>260</v>
      </c>
      <c r="B34" s="1067"/>
      <c r="C34" s="1067"/>
      <c r="D34" s="1121"/>
      <c r="E34" s="355"/>
    </row>
    <row r="35" spans="1:5" x14ac:dyDescent="0.2">
      <c r="A35" s="1049">
        <v>225</v>
      </c>
      <c r="B35" s="1067"/>
      <c r="C35" s="1067"/>
      <c r="D35" s="1121"/>
      <c r="E35" s="355"/>
    </row>
    <row r="36" spans="1:5" x14ac:dyDescent="0.2">
      <c r="A36" s="1049">
        <v>257</v>
      </c>
      <c r="B36" s="1067"/>
      <c r="C36" s="1067"/>
      <c r="D36" s="1121"/>
      <c r="E36" s="355"/>
    </row>
    <row r="37" spans="1:5" x14ac:dyDescent="0.2">
      <c r="A37" s="1049">
        <v>56</v>
      </c>
      <c r="B37" s="1067"/>
      <c r="C37" s="1067"/>
      <c r="D37" s="1121"/>
      <c r="E37" s="355"/>
    </row>
    <row r="38" spans="1:5" x14ac:dyDescent="0.2">
      <c r="A38" s="1049">
        <v>353</v>
      </c>
      <c r="B38" s="1067"/>
      <c r="C38" s="1067"/>
      <c r="D38" s="1121"/>
      <c r="E38" s="355"/>
    </row>
    <row r="39" spans="1:5" x14ac:dyDescent="0.2">
      <c r="A39" s="1049">
        <v>218</v>
      </c>
      <c r="B39" s="1067"/>
      <c r="C39" s="1067"/>
      <c r="D39" s="1121"/>
      <c r="E39" s="355"/>
    </row>
    <row r="40" spans="1:5" x14ac:dyDescent="0.2">
      <c r="A40" s="1049">
        <v>306</v>
      </c>
      <c r="B40" s="1067"/>
      <c r="C40" s="1067"/>
      <c r="D40" s="1121"/>
      <c r="E40" s="355"/>
    </row>
    <row r="41" spans="1:5" x14ac:dyDescent="0.2">
      <c r="A41" s="1049">
        <v>270</v>
      </c>
      <c r="B41" s="1067"/>
      <c r="C41" s="1067"/>
      <c r="D41" s="1121"/>
      <c r="E41" s="355"/>
    </row>
    <row r="42" spans="1:5" x14ac:dyDescent="0.2">
      <c r="A42" s="1049">
        <v>4</v>
      </c>
      <c r="B42" s="1067"/>
      <c r="C42" s="1067"/>
      <c r="D42" s="1121"/>
      <c r="E42" s="355"/>
    </row>
    <row r="43" spans="1:5" x14ac:dyDescent="0.2">
      <c r="A43" s="1049">
        <v>59</v>
      </c>
      <c r="B43" s="1067"/>
      <c r="C43" s="1067"/>
      <c r="D43" s="1121"/>
      <c r="E43" s="355"/>
    </row>
    <row r="44" spans="1:5" x14ac:dyDescent="0.2">
      <c r="A44" s="1049">
        <v>322</v>
      </c>
      <c r="B44" s="1067"/>
      <c r="C44" s="1067"/>
      <c r="D44" s="1121"/>
      <c r="E44" s="355"/>
    </row>
    <row r="45" spans="1:5" x14ac:dyDescent="0.2">
      <c r="A45" s="1049">
        <v>271</v>
      </c>
      <c r="B45" s="1067"/>
      <c r="C45" s="1067"/>
      <c r="D45" s="1121"/>
      <c r="E45" s="355"/>
    </row>
    <row r="46" spans="1:5" x14ac:dyDescent="0.2">
      <c r="A46" s="1049">
        <v>60</v>
      </c>
      <c r="B46" s="1067"/>
      <c r="C46" s="1067"/>
      <c r="D46" s="1121"/>
      <c r="E46" s="355"/>
    </row>
    <row r="47" spans="1:5" x14ac:dyDescent="0.2">
      <c r="A47" s="1049">
        <v>61</v>
      </c>
      <c r="B47" s="1067"/>
      <c r="C47" s="1067"/>
      <c r="D47" s="1121"/>
      <c r="E47" s="355"/>
    </row>
    <row r="48" spans="1:5" x14ac:dyDescent="0.2">
      <c r="A48" s="1049">
        <v>246</v>
      </c>
      <c r="B48" s="1042"/>
      <c r="C48" s="1042"/>
      <c r="D48" s="1121"/>
      <c r="E48" s="355"/>
    </row>
    <row r="49" spans="1:5" x14ac:dyDescent="0.2">
      <c r="A49" s="1049">
        <v>62</v>
      </c>
      <c r="B49" s="1067"/>
      <c r="C49" s="1067"/>
      <c r="D49" s="1121"/>
      <c r="E49" s="355"/>
    </row>
    <row r="50" spans="1:5" x14ac:dyDescent="0.2">
      <c r="A50" s="1049">
        <v>63</v>
      </c>
      <c r="B50" s="1067"/>
      <c r="C50" s="1067"/>
      <c r="D50" s="1121"/>
      <c r="E50" s="355"/>
    </row>
    <row r="51" spans="1:5" x14ac:dyDescent="0.2">
      <c r="A51" s="1049">
        <v>65</v>
      </c>
      <c r="B51" s="1067"/>
      <c r="C51" s="1067"/>
      <c r="D51" s="1121"/>
      <c r="E51" s="355"/>
    </row>
    <row r="52" spans="1:5" x14ac:dyDescent="0.2">
      <c r="A52" s="1049">
        <v>67</v>
      </c>
      <c r="B52" s="1067"/>
      <c r="C52" s="1067"/>
      <c r="D52" s="1121"/>
      <c r="E52" s="355"/>
    </row>
    <row r="53" spans="1:5" x14ac:dyDescent="0.2">
      <c r="A53" s="1049">
        <v>279</v>
      </c>
      <c r="B53" s="1067"/>
      <c r="C53" s="1067"/>
      <c r="D53" s="1121"/>
      <c r="E53" s="355"/>
    </row>
    <row r="54" spans="1:5" x14ac:dyDescent="0.2">
      <c r="A54" s="1049">
        <v>68</v>
      </c>
      <c r="B54" s="1067"/>
      <c r="C54" s="1067"/>
      <c r="D54" s="1121"/>
      <c r="E54" s="355"/>
    </row>
    <row r="55" spans="1:5" x14ac:dyDescent="0.2">
      <c r="A55" s="1049">
        <v>236</v>
      </c>
      <c r="B55" s="1067"/>
      <c r="C55" s="1067"/>
      <c r="D55" s="1121"/>
      <c r="E55" s="355"/>
    </row>
    <row r="56" spans="1:5" x14ac:dyDescent="0.2">
      <c r="A56" s="1049">
        <v>361</v>
      </c>
      <c r="B56" s="1067"/>
      <c r="C56" s="1067"/>
      <c r="D56" s="1121"/>
      <c r="E56" s="355"/>
    </row>
    <row r="57" spans="1:5" x14ac:dyDescent="0.2">
      <c r="A57" s="1049">
        <v>13</v>
      </c>
      <c r="B57" s="1042"/>
      <c r="C57" s="1042"/>
      <c r="D57" s="1121"/>
      <c r="E57" s="355"/>
    </row>
    <row r="58" spans="1:5" x14ac:dyDescent="0.2">
      <c r="A58" s="1049">
        <v>69</v>
      </c>
      <c r="B58" s="1067"/>
      <c r="C58" s="1067"/>
      <c r="D58" s="1121"/>
      <c r="E58" s="355"/>
    </row>
    <row r="59" spans="1:5" x14ac:dyDescent="0.2">
      <c r="A59" s="1049">
        <v>70</v>
      </c>
      <c r="B59" s="1067"/>
      <c r="C59" s="1067"/>
      <c r="D59" s="1121"/>
      <c r="E59" s="355"/>
    </row>
    <row r="60" spans="1:5" x14ac:dyDescent="0.2">
      <c r="A60" s="1049">
        <v>71</v>
      </c>
      <c r="B60" s="1067"/>
      <c r="C60" s="1067"/>
      <c r="D60" s="1121"/>
      <c r="E60" s="355"/>
    </row>
    <row r="61" spans="1:5" x14ac:dyDescent="0.2">
      <c r="A61" s="1049">
        <v>72</v>
      </c>
      <c r="B61" s="1067"/>
      <c r="C61" s="1067"/>
      <c r="D61" s="1121"/>
      <c r="E61" s="355"/>
    </row>
    <row r="62" spans="1:5" x14ac:dyDescent="0.2">
      <c r="A62" s="1049">
        <v>73</v>
      </c>
      <c r="B62" s="1067"/>
      <c r="C62" s="1067"/>
      <c r="D62" s="1121"/>
      <c r="E62" s="355"/>
    </row>
    <row r="63" spans="1:5" x14ac:dyDescent="0.2">
      <c r="A63" s="1049">
        <v>74</v>
      </c>
      <c r="B63" s="1067"/>
      <c r="C63" s="1067"/>
      <c r="D63" s="1121"/>
      <c r="E63" s="355"/>
    </row>
    <row r="64" spans="1:5" x14ac:dyDescent="0.2">
      <c r="A64" s="1049">
        <v>6</v>
      </c>
      <c r="B64" s="1067"/>
      <c r="C64" s="1067"/>
      <c r="D64" s="1121"/>
      <c r="E64" s="355"/>
    </row>
    <row r="65" spans="1:5" x14ac:dyDescent="0.2">
      <c r="A65" s="1049">
        <v>0</v>
      </c>
      <c r="B65" s="1067"/>
      <c r="C65" s="1067"/>
      <c r="D65" s="1121"/>
      <c r="E65" s="355"/>
    </row>
    <row r="66" spans="1:5" x14ac:dyDescent="0.2">
      <c r="A66" s="1049">
        <v>7</v>
      </c>
      <c r="B66" s="1067"/>
      <c r="C66" s="1067"/>
      <c r="D66" s="1121"/>
      <c r="E66" s="355"/>
    </row>
    <row r="67" spans="1:5" x14ac:dyDescent="0.2">
      <c r="A67" s="1049">
        <v>75</v>
      </c>
      <c r="B67" s="1067"/>
      <c r="C67" s="1067"/>
      <c r="D67" s="1121"/>
      <c r="E67" s="355"/>
    </row>
    <row r="68" spans="1:5" x14ac:dyDescent="0.2">
      <c r="A68" s="1049">
        <v>76</v>
      </c>
      <c r="B68" s="1067"/>
      <c r="C68" s="1067"/>
      <c r="D68" s="1121"/>
      <c r="E68" s="355"/>
    </row>
    <row r="69" spans="1:5" x14ac:dyDescent="0.2">
      <c r="A69" s="1049">
        <v>77</v>
      </c>
      <c r="B69" s="1067"/>
      <c r="C69" s="1067"/>
      <c r="D69" s="1121"/>
      <c r="E69" s="355"/>
    </row>
    <row r="70" spans="1:5" x14ac:dyDescent="0.2">
      <c r="A70" s="1049">
        <v>78</v>
      </c>
      <c r="B70" s="1067"/>
      <c r="C70" s="1067"/>
      <c r="D70" s="1121"/>
      <c r="E70" s="355"/>
    </row>
    <row r="71" spans="1:5" x14ac:dyDescent="0.2">
      <c r="A71" s="1049">
        <v>8</v>
      </c>
      <c r="B71" s="1067"/>
      <c r="C71" s="1067"/>
      <c r="D71" s="1121"/>
      <c r="E71" s="355"/>
    </row>
    <row r="72" spans="1:5" x14ac:dyDescent="0.2">
      <c r="A72" s="1049">
        <v>9</v>
      </c>
      <c r="B72" s="1067"/>
      <c r="C72" s="1067"/>
      <c r="D72" s="1121"/>
      <c r="E72" s="355"/>
    </row>
    <row r="73" spans="1:5" x14ac:dyDescent="0.2">
      <c r="A73" s="1049">
        <v>303</v>
      </c>
      <c r="B73" s="1067"/>
      <c r="C73" s="1067"/>
      <c r="D73" s="1121"/>
      <c r="E73" s="355"/>
    </row>
    <row r="74" spans="1:5" x14ac:dyDescent="0.2">
      <c r="A74" s="1049">
        <v>79</v>
      </c>
      <c r="B74" s="1067"/>
      <c r="C74" s="1067"/>
      <c r="D74" s="1121"/>
      <c r="E74" s="355"/>
    </row>
    <row r="75" spans="1:5" x14ac:dyDescent="0.2">
      <c r="A75" s="1049">
        <v>348</v>
      </c>
      <c r="B75" s="1067"/>
      <c r="C75" s="1067"/>
      <c r="D75" s="1121"/>
      <c r="E75" s="355"/>
    </row>
    <row r="76" spans="1:5" x14ac:dyDescent="0.2">
      <c r="A76" s="1049">
        <v>338</v>
      </c>
      <c r="B76" s="1067"/>
      <c r="C76" s="1067"/>
      <c r="D76" s="1121"/>
      <c r="E76" s="355"/>
    </row>
    <row r="77" spans="1:5" x14ac:dyDescent="0.2">
      <c r="A77" s="1049">
        <v>313</v>
      </c>
      <c r="B77" s="1067"/>
      <c r="C77" s="1067"/>
      <c r="D77" s="1121"/>
      <c r="E77" s="355"/>
    </row>
    <row r="78" spans="1:5" x14ac:dyDescent="0.2">
      <c r="A78" s="1049">
        <v>324</v>
      </c>
      <c r="B78" s="1067"/>
      <c r="C78" s="1067"/>
      <c r="D78" s="1121"/>
      <c r="E78" s="355"/>
    </row>
    <row r="79" spans="1:5" x14ac:dyDescent="0.2">
      <c r="A79" s="1049">
        <v>340</v>
      </c>
      <c r="B79" s="1067"/>
      <c r="C79" s="1067"/>
      <c r="D79" s="1121"/>
      <c r="E79" s="355"/>
    </row>
    <row r="80" spans="1:5" x14ac:dyDescent="0.2">
      <c r="A80" s="1049">
        <v>349</v>
      </c>
      <c r="B80" s="1067"/>
      <c r="C80" s="1067"/>
      <c r="D80" s="1121"/>
      <c r="E80" s="355"/>
    </row>
    <row r="81" spans="1:5" x14ac:dyDescent="0.2">
      <c r="A81" s="1049">
        <v>227</v>
      </c>
      <c r="B81" s="1067"/>
      <c r="C81" s="1067"/>
      <c r="D81" s="1121"/>
      <c r="E81" s="355"/>
    </row>
    <row r="82" spans="1:5" x14ac:dyDescent="0.2">
      <c r="A82" s="1049">
        <v>250</v>
      </c>
      <c r="B82" s="1067"/>
      <c r="C82" s="1067"/>
      <c r="D82" s="1121"/>
      <c r="E82" s="355"/>
    </row>
    <row r="83" spans="1:5" x14ac:dyDescent="0.2">
      <c r="A83" s="1049">
        <v>299</v>
      </c>
      <c r="B83" s="1067"/>
      <c r="C83" s="1067"/>
      <c r="D83" s="1121"/>
      <c r="E83" s="355"/>
    </row>
    <row r="84" spans="1:5" x14ac:dyDescent="0.2">
      <c r="A84" s="1049">
        <v>295</v>
      </c>
      <c r="B84" s="1067"/>
      <c r="C84" s="1067"/>
      <c r="D84" s="1121"/>
      <c r="E84" s="355"/>
    </row>
    <row r="85" spans="1:5" x14ac:dyDescent="0.2">
      <c r="A85" s="1049">
        <v>81</v>
      </c>
      <c r="B85" s="1067"/>
      <c r="C85" s="1067"/>
      <c r="D85" s="1121"/>
      <c r="E85" s="355"/>
    </row>
    <row r="86" spans="1:5" x14ac:dyDescent="0.2">
      <c r="A86" s="1049">
        <v>39</v>
      </c>
      <c r="B86" s="1067"/>
      <c r="C86" s="1067"/>
      <c r="D86" s="1121"/>
      <c r="E86" s="355"/>
    </row>
    <row r="87" spans="1:5" x14ac:dyDescent="0.2">
      <c r="A87" s="1049">
        <v>10</v>
      </c>
      <c r="B87" s="1067"/>
      <c r="C87" s="1067"/>
      <c r="D87" s="1121"/>
      <c r="E87" s="355"/>
    </row>
    <row r="88" spans="1:5" x14ac:dyDescent="0.2">
      <c r="A88" s="1049">
        <v>272</v>
      </c>
      <c r="B88" s="1067"/>
      <c r="C88" s="1067"/>
      <c r="D88" s="1121"/>
      <c r="E88" s="355"/>
    </row>
    <row r="89" spans="1:5" x14ac:dyDescent="0.2">
      <c r="A89" s="1049">
        <v>83</v>
      </c>
      <c r="B89" s="1067"/>
      <c r="C89" s="1067"/>
      <c r="D89" s="1121"/>
      <c r="E89" s="355"/>
    </row>
    <row r="90" spans="1:5" x14ac:dyDescent="0.2">
      <c r="A90" s="1049">
        <v>84</v>
      </c>
      <c r="B90" s="1067"/>
      <c r="C90" s="1067"/>
      <c r="D90" s="1121"/>
      <c r="E90" s="355"/>
    </row>
    <row r="91" spans="1:5" x14ac:dyDescent="0.2">
      <c r="A91" s="1049">
        <v>301</v>
      </c>
      <c r="B91" s="1067"/>
      <c r="C91" s="1067"/>
      <c r="D91" s="1121"/>
      <c r="E91" s="355"/>
    </row>
    <row r="92" spans="1:5" x14ac:dyDescent="0.2">
      <c r="A92" s="1049">
        <v>329</v>
      </c>
      <c r="B92" s="1067"/>
      <c r="C92" s="1067"/>
      <c r="D92" s="1121"/>
      <c r="E92" s="355"/>
    </row>
    <row r="93" spans="1:5" x14ac:dyDescent="0.2">
      <c r="A93" s="1049">
        <v>85</v>
      </c>
      <c r="B93" s="1067"/>
      <c r="C93" s="1067"/>
      <c r="D93" s="1121"/>
      <c r="E93" s="355"/>
    </row>
    <row r="94" spans="1:5" x14ac:dyDescent="0.2">
      <c r="A94" s="1049">
        <v>86</v>
      </c>
      <c r="B94" s="1067"/>
      <c r="C94" s="1067"/>
      <c r="D94" s="1121"/>
      <c r="E94" s="355"/>
    </row>
    <row r="95" spans="1:5" x14ac:dyDescent="0.2">
      <c r="A95" s="1049">
        <v>273</v>
      </c>
      <c r="B95" s="1067"/>
      <c r="C95" s="1067"/>
      <c r="D95" s="1121"/>
      <c r="E95" s="355"/>
    </row>
    <row r="96" spans="1:5" x14ac:dyDescent="0.2">
      <c r="A96" s="1049">
        <v>87</v>
      </c>
      <c r="B96" s="1067"/>
      <c r="C96" s="1067"/>
      <c r="D96" s="1121"/>
      <c r="E96" s="355"/>
    </row>
    <row r="97" spans="1:5" x14ac:dyDescent="0.2">
      <c r="A97" s="1049">
        <v>88</v>
      </c>
      <c r="B97" s="1067"/>
      <c r="C97" s="1067"/>
      <c r="D97" s="1121"/>
      <c r="E97" s="355"/>
    </row>
    <row r="98" spans="1:5" x14ac:dyDescent="0.2">
      <c r="A98" s="1049">
        <v>11</v>
      </c>
      <c r="B98" s="1067"/>
      <c r="C98" s="1067"/>
      <c r="D98" s="1121"/>
      <c r="E98" s="355"/>
    </row>
    <row r="99" spans="1:5" x14ac:dyDescent="0.2">
      <c r="A99" s="1049">
        <v>90</v>
      </c>
      <c r="B99" s="1067"/>
      <c r="C99" s="1067"/>
      <c r="D99" s="1121"/>
      <c r="E99" s="355"/>
    </row>
    <row r="100" spans="1:5" x14ac:dyDescent="0.2">
      <c r="A100" s="1049">
        <v>360</v>
      </c>
      <c r="B100" s="1067"/>
      <c r="C100" s="1067"/>
      <c r="D100" s="1121"/>
      <c r="E100" s="355"/>
    </row>
    <row r="101" spans="1:5" x14ac:dyDescent="0.2">
      <c r="A101" s="1049">
        <v>262</v>
      </c>
      <c r="B101" s="1067"/>
      <c r="C101" s="1067"/>
      <c r="D101" s="1121"/>
      <c r="E101" s="355"/>
    </row>
    <row r="102" spans="1:5" x14ac:dyDescent="0.2">
      <c r="A102" s="1049">
        <v>355</v>
      </c>
      <c r="B102" s="1067"/>
      <c r="C102" s="1067"/>
      <c r="D102" s="1121"/>
      <c r="E102" s="355"/>
    </row>
    <row r="103" spans="1:5" x14ac:dyDescent="0.2">
      <c r="A103" s="1049">
        <v>362</v>
      </c>
      <c r="B103" s="1067"/>
      <c r="C103" s="1067"/>
      <c r="D103" s="1121"/>
      <c r="E103" s="355"/>
    </row>
    <row r="104" spans="1:5" x14ac:dyDescent="0.2">
      <c r="A104" s="1049">
        <v>244</v>
      </c>
      <c r="B104" s="1042"/>
      <c r="C104" s="1042"/>
      <c r="D104" s="1121"/>
      <c r="E104" s="355"/>
    </row>
    <row r="105" spans="1:5" x14ac:dyDescent="0.2">
      <c r="A105" s="1049">
        <v>285</v>
      </c>
      <c r="B105" s="1067"/>
      <c r="C105" s="1067"/>
      <c r="D105" s="1121"/>
      <c r="E105" s="355"/>
    </row>
    <row r="106" spans="1:5" x14ac:dyDescent="0.2">
      <c r="A106" s="1049">
        <v>91</v>
      </c>
      <c r="B106" s="1067"/>
      <c r="C106" s="1067"/>
      <c r="D106" s="1121"/>
      <c r="E106" s="355"/>
    </row>
    <row r="107" spans="1:5" x14ac:dyDescent="0.2">
      <c r="A107" s="1049">
        <v>222</v>
      </c>
      <c r="B107" s="1067"/>
      <c r="C107" s="1067"/>
      <c r="D107" s="1121"/>
      <c r="E107" s="355"/>
    </row>
    <row r="108" spans="1:5" x14ac:dyDescent="0.2">
      <c r="A108" s="1049">
        <v>253</v>
      </c>
      <c r="B108" s="1067"/>
      <c r="C108" s="1067"/>
      <c r="D108" s="1121"/>
      <c r="E108" s="355"/>
    </row>
    <row r="109" spans="1:5" x14ac:dyDescent="0.2">
      <c r="A109" s="1049">
        <v>284</v>
      </c>
      <c r="B109" s="1067"/>
      <c r="C109" s="1067"/>
      <c r="D109" s="1121"/>
      <c r="E109" s="355"/>
    </row>
    <row r="110" spans="1:5" x14ac:dyDescent="0.2">
      <c r="A110" s="1049">
        <v>283</v>
      </c>
      <c r="B110" s="1067"/>
      <c r="C110" s="1067"/>
      <c r="D110" s="1121"/>
      <c r="E110" s="355"/>
    </row>
    <row r="111" spans="1:5" x14ac:dyDescent="0.2">
      <c r="A111" s="1049">
        <v>16</v>
      </c>
      <c r="B111" s="1067"/>
      <c r="C111" s="1067"/>
      <c r="D111" s="1121"/>
      <c r="E111" s="355"/>
    </row>
    <row r="112" spans="1:5" x14ac:dyDescent="0.2">
      <c r="A112" s="1049">
        <v>92</v>
      </c>
      <c r="B112" s="1067"/>
      <c r="C112" s="1067"/>
      <c r="D112" s="1121"/>
      <c r="E112" s="355"/>
    </row>
    <row r="113" spans="1:5" x14ac:dyDescent="0.2">
      <c r="A113" s="1049">
        <v>357</v>
      </c>
      <c r="B113" s="1067"/>
      <c r="C113" s="1067"/>
      <c r="D113" s="1121"/>
      <c r="E113" s="355"/>
    </row>
    <row r="114" spans="1:5" x14ac:dyDescent="0.2">
      <c r="A114" s="1049">
        <v>356</v>
      </c>
      <c r="B114" s="1067"/>
      <c r="C114" s="1067"/>
      <c r="D114" s="1121"/>
      <c r="E114" s="355"/>
    </row>
    <row r="115" spans="1:5" x14ac:dyDescent="0.2">
      <c r="A115" s="1049">
        <v>287</v>
      </c>
      <c r="B115" s="1067"/>
      <c r="C115" s="1067"/>
      <c r="D115" s="1121"/>
      <c r="E115" s="355"/>
    </row>
    <row r="116" spans="1:5" x14ac:dyDescent="0.2">
      <c r="A116" s="1049">
        <v>347</v>
      </c>
      <c r="B116" s="1067"/>
      <c r="C116" s="1067"/>
      <c r="D116" s="1121"/>
      <c r="E116" s="355"/>
    </row>
    <row r="117" spans="1:5" x14ac:dyDescent="0.2">
      <c r="A117" s="1049">
        <v>95</v>
      </c>
      <c r="B117" s="1067"/>
      <c r="C117" s="1067"/>
      <c r="D117" s="1121"/>
      <c r="E117" s="355"/>
    </row>
    <row r="118" spans="1:5" x14ac:dyDescent="0.2">
      <c r="A118" s="1049">
        <v>96</v>
      </c>
      <c r="B118" s="1067"/>
      <c r="C118" s="1067"/>
      <c r="D118" s="1121"/>
      <c r="E118" s="355"/>
    </row>
    <row r="119" spans="1:5" x14ac:dyDescent="0.2">
      <c r="A119" s="1049">
        <v>97</v>
      </c>
      <c r="B119" s="1067"/>
      <c r="C119" s="1067"/>
      <c r="D119" s="1121"/>
      <c r="E119" s="355"/>
    </row>
    <row r="120" spans="1:5" x14ac:dyDescent="0.2">
      <c r="A120" s="1049">
        <v>98</v>
      </c>
      <c r="B120" s="1067"/>
      <c r="C120" s="1067"/>
      <c r="D120" s="1121"/>
      <c r="E120" s="355"/>
    </row>
    <row r="121" spans="1:5" x14ac:dyDescent="0.2">
      <c r="A121" s="1049">
        <v>12</v>
      </c>
      <c r="B121" s="1067"/>
      <c r="C121" s="1067"/>
      <c r="D121" s="1121"/>
      <c r="E121" s="355"/>
    </row>
    <row r="122" spans="1:5" x14ac:dyDescent="0.2">
      <c r="A122" s="1049">
        <v>46</v>
      </c>
      <c r="B122" s="1067"/>
      <c r="C122" s="1067"/>
      <c r="D122" s="1121"/>
      <c r="E122" s="355"/>
    </row>
    <row r="123" spans="1:5" x14ac:dyDescent="0.2">
      <c r="A123" s="1049">
        <v>131</v>
      </c>
      <c r="B123" s="1067"/>
      <c r="C123" s="1067"/>
      <c r="D123" s="1121"/>
      <c r="E123" s="355"/>
    </row>
    <row r="124" spans="1:5" x14ac:dyDescent="0.2">
      <c r="A124" s="1049">
        <v>54</v>
      </c>
      <c r="B124" s="1067"/>
      <c r="C124" s="1067"/>
      <c r="D124" s="1121"/>
      <c r="E124" s="355"/>
    </row>
    <row r="125" spans="1:5" x14ac:dyDescent="0.2">
      <c r="A125" s="1049">
        <v>99</v>
      </c>
      <c r="B125" s="1067"/>
      <c r="C125" s="1067"/>
      <c r="D125" s="1121"/>
      <c r="E125" s="355"/>
    </row>
    <row r="126" spans="1:5" x14ac:dyDescent="0.2">
      <c r="A126" s="1049">
        <v>55</v>
      </c>
      <c r="B126" s="1067"/>
      <c r="C126" s="1067"/>
      <c r="D126" s="1121"/>
      <c r="E126" s="355"/>
    </row>
    <row r="127" spans="1:5" x14ac:dyDescent="0.2">
      <c r="A127" s="1049">
        <v>232</v>
      </c>
      <c r="B127" s="1067"/>
      <c r="C127" s="1067"/>
      <c r="D127" s="1121"/>
      <c r="E127" s="355"/>
    </row>
    <row r="128" spans="1:5" x14ac:dyDescent="0.2">
      <c r="A128" s="1049">
        <v>233</v>
      </c>
      <c r="B128" s="1042"/>
      <c r="C128" s="1042"/>
      <c r="D128" s="1121"/>
      <c r="E128" s="355"/>
    </row>
    <row r="129" spans="1:5" x14ac:dyDescent="0.2">
      <c r="A129" s="1049">
        <v>330</v>
      </c>
      <c r="B129" s="1067"/>
      <c r="C129" s="1067"/>
      <c r="D129" s="1121"/>
      <c r="E129" s="355"/>
    </row>
    <row r="130" spans="1:5" x14ac:dyDescent="0.2">
      <c r="A130" s="1049">
        <v>100</v>
      </c>
      <c r="B130" s="1067"/>
      <c r="C130" s="1067"/>
      <c r="D130" s="1121"/>
      <c r="E130" s="355"/>
    </row>
    <row r="131" spans="1:5" x14ac:dyDescent="0.2">
      <c r="A131" s="1049">
        <v>223</v>
      </c>
      <c r="B131" s="1067"/>
      <c r="C131" s="1067"/>
      <c r="D131" s="1121"/>
      <c r="E131" s="355"/>
    </row>
    <row r="132" spans="1:5" x14ac:dyDescent="0.2">
      <c r="A132" s="1049">
        <v>101</v>
      </c>
      <c r="B132" s="1067"/>
      <c r="C132" s="1067"/>
      <c r="D132" s="1121"/>
      <c r="E132" s="355"/>
    </row>
    <row r="133" spans="1:5" x14ac:dyDescent="0.2">
      <c r="A133" s="1049">
        <v>239</v>
      </c>
      <c r="B133" s="1067"/>
      <c r="C133" s="1067"/>
      <c r="D133" s="1121"/>
      <c r="E133" s="355"/>
    </row>
    <row r="134" spans="1:5" x14ac:dyDescent="0.2">
      <c r="A134" s="1049">
        <v>263</v>
      </c>
      <c r="B134" s="1067"/>
      <c r="C134" s="1067"/>
      <c r="D134" s="1121"/>
      <c r="E134" s="355"/>
    </row>
    <row r="135" spans="1:5" x14ac:dyDescent="0.2">
      <c r="A135" s="1049">
        <v>286</v>
      </c>
      <c r="B135" s="1067"/>
      <c r="C135" s="1067"/>
      <c r="D135" s="1121"/>
      <c r="E135" s="355"/>
    </row>
    <row r="136" spans="1:5" x14ac:dyDescent="0.2">
      <c r="A136" s="1049">
        <v>57</v>
      </c>
      <c r="B136" s="1067"/>
      <c r="C136" s="1067"/>
      <c r="D136" s="1121"/>
      <c r="E136" s="355"/>
    </row>
    <row r="137" spans="1:5" x14ac:dyDescent="0.2">
      <c r="A137" s="1049">
        <v>108</v>
      </c>
      <c r="B137" s="1067"/>
      <c r="C137" s="1067"/>
      <c r="D137" s="1121"/>
      <c r="E137" s="355"/>
    </row>
    <row r="138" spans="1:5" x14ac:dyDescent="0.2">
      <c r="A138" s="1049">
        <v>24</v>
      </c>
      <c r="B138" s="1067"/>
      <c r="C138" s="1067"/>
      <c r="D138" s="1121"/>
      <c r="E138" s="355"/>
    </row>
    <row r="139" spans="1:5" x14ac:dyDescent="0.2">
      <c r="A139" s="1049">
        <v>109</v>
      </c>
      <c r="B139" s="1067"/>
      <c r="C139" s="1067"/>
      <c r="D139" s="1121"/>
      <c r="E139" s="355"/>
    </row>
    <row r="140" spans="1:5" x14ac:dyDescent="0.2">
      <c r="A140" s="1049">
        <v>110</v>
      </c>
      <c r="B140" s="1067"/>
      <c r="C140" s="1067"/>
      <c r="D140" s="1121"/>
      <c r="E140" s="355"/>
    </row>
    <row r="141" spans="1:5" x14ac:dyDescent="0.2">
      <c r="A141" s="1049">
        <v>111</v>
      </c>
      <c r="B141" s="1067"/>
      <c r="C141" s="1067"/>
      <c r="D141" s="1121"/>
      <c r="E141" s="355"/>
    </row>
    <row r="142" spans="1:5" x14ac:dyDescent="0.2">
      <c r="A142" s="1049">
        <v>343</v>
      </c>
      <c r="B142" s="1067"/>
      <c r="C142" s="1067"/>
      <c r="D142" s="1121"/>
      <c r="E142" s="355"/>
    </row>
    <row r="143" spans="1:5" x14ac:dyDescent="0.2">
      <c r="A143" s="1049">
        <v>305</v>
      </c>
      <c r="B143" s="1067"/>
      <c r="C143" s="1067"/>
      <c r="D143" s="1121"/>
      <c r="E143" s="355"/>
    </row>
    <row r="144" spans="1:5" x14ac:dyDescent="0.2">
      <c r="A144" s="1049">
        <v>224</v>
      </c>
      <c r="B144" s="1042"/>
      <c r="C144" s="1042"/>
      <c r="D144" s="1121"/>
      <c r="E144" s="355"/>
    </row>
    <row r="145" spans="1:5" x14ac:dyDescent="0.2">
      <c r="A145" s="1049">
        <v>228</v>
      </c>
      <c r="B145" s="1042"/>
      <c r="C145" s="1042"/>
      <c r="D145" s="1121"/>
      <c r="E145" s="355"/>
    </row>
    <row r="146" spans="1:5" x14ac:dyDescent="0.2">
      <c r="A146" s="1049">
        <v>289</v>
      </c>
      <c r="B146" s="1067"/>
      <c r="C146" s="1067"/>
      <c r="D146" s="1121"/>
      <c r="E146" s="355"/>
    </row>
    <row r="147" spans="1:5" x14ac:dyDescent="0.2">
      <c r="A147" s="1049">
        <v>112</v>
      </c>
      <c r="B147" s="1067"/>
      <c r="C147" s="1067"/>
      <c r="D147" s="1121"/>
      <c r="E147" s="355"/>
    </row>
    <row r="148" spans="1:5" x14ac:dyDescent="0.2">
      <c r="A148" s="1049">
        <v>113</v>
      </c>
      <c r="B148" s="1067"/>
      <c r="C148" s="1067"/>
      <c r="D148" s="1121"/>
      <c r="E148" s="355"/>
    </row>
    <row r="149" spans="1:5" x14ac:dyDescent="0.2">
      <c r="A149" s="1049">
        <v>148</v>
      </c>
      <c r="B149" s="1067"/>
      <c r="C149" s="1067"/>
      <c r="D149" s="1121"/>
      <c r="E149" s="355"/>
    </row>
    <row r="150" spans="1:5" x14ac:dyDescent="0.2">
      <c r="A150" s="1049">
        <v>258</v>
      </c>
      <c r="B150" s="1067"/>
      <c r="C150" s="1067"/>
      <c r="D150" s="1121"/>
      <c r="E150" s="355"/>
    </row>
    <row r="151" spans="1:5" x14ac:dyDescent="0.2">
      <c r="A151" s="1049">
        <v>115</v>
      </c>
      <c r="B151" s="1067"/>
      <c r="C151" s="1067"/>
      <c r="D151" s="1121"/>
      <c r="E151" s="355"/>
    </row>
    <row r="152" spans="1:5" x14ac:dyDescent="0.2">
      <c r="A152" s="1049">
        <v>116</v>
      </c>
      <c r="B152" s="1067"/>
      <c r="C152" s="1067"/>
      <c r="D152" s="1121"/>
      <c r="E152" s="355"/>
    </row>
    <row r="153" spans="1:5" x14ac:dyDescent="0.2">
      <c r="A153" s="1049">
        <v>331</v>
      </c>
      <c r="B153" s="1067"/>
      <c r="C153" s="1067"/>
      <c r="D153" s="1121"/>
      <c r="E153" s="355"/>
    </row>
    <row r="154" spans="1:5" x14ac:dyDescent="0.2">
      <c r="A154" s="1049">
        <v>256</v>
      </c>
      <c r="B154" s="1042"/>
      <c r="C154" s="1042"/>
      <c r="D154" s="1121"/>
      <c r="E154" s="355"/>
    </row>
    <row r="155" spans="1:5" x14ac:dyDescent="0.2">
      <c r="A155" s="1049">
        <v>242</v>
      </c>
      <c r="B155" s="1067"/>
      <c r="C155" s="1067"/>
      <c r="D155" s="1121"/>
      <c r="E155" s="355"/>
    </row>
    <row r="156" spans="1:5" x14ac:dyDescent="0.2">
      <c r="A156" s="1049">
        <v>314</v>
      </c>
      <c r="B156" s="1067"/>
      <c r="C156" s="1067"/>
      <c r="D156" s="1121"/>
      <c r="E156" s="355"/>
    </row>
    <row r="157" spans="1:5" x14ac:dyDescent="0.2">
      <c r="A157" s="1049">
        <v>248</v>
      </c>
      <c r="B157" s="1067"/>
      <c r="C157" s="1067"/>
      <c r="D157" s="1121"/>
      <c r="E157" s="355"/>
    </row>
    <row r="158" spans="1:5" x14ac:dyDescent="0.2">
      <c r="A158" s="1049">
        <v>251</v>
      </c>
      <c r="B158" s="1067"/>
      <c r="C158" s="1067"/>
      <c r="D158" s="1121"/>
      <c r="E158" s="355"/>
    </row>
    <row r="159" spans="1:5" x14ac:dyDescent="0.2">
      <c r="A159" s="1049">
        <v>261</v>
      </c>
      <c r="B159" s="1067"/>
      <c r="C159" s="1067"/>
      <c r="D159" s="1121"/>
      <c r="E159" s="355"/>
    </row>
    <row r="160" spans="1:5" x14ac:dyDescent="0.2">
      <c r="A160" s="1049">
        <v>118</v>
      </c>
      <c r="B160" s="1067"/>
      <c r="C160" s="1067"/>
      <c r="D160" s="1121"/>
      <c r="E160" s="355"/>
    </row>
    <row r="161" spans="1:5" x14ac:dyDescent="0.2">
      <c r="A161" s="1049">
        <v>275</v>
      </c>
      <c r="B161" s="1067"/>
      <c r="C161" s="1067"/>
      <c r="D161" s="1121"/>
      <c r="E161" s="355"/>
    </row>
    <row r="162" spans="1:5" x14ac:dyDescent="0.2">
      <c r="A162" s="1049">
        <v>276</v>
      </c>
      <c r="B162" s="1067"/>
      <c r="C162" s="1067"/>
      <c r="D162" s="1121"/>
      <c r="E162" s="355"/>
    </row>
    <row r="163" spans="1:5" x14ac:dyDescent="0.2">
      <c r="A163" s="1049">
        <v>119</v>
      </c>
      <c r="B163" s="1067"/>
      <c r="C163" s="1067"/>
      <c r="D163" s="1121"/>
      <c r="E163" s="355"/>
    </row>
    <row r="164" spans="1:5" x14ac:dyDescent="0.2">
      <c r="A164" s="1049">
        <v>14</v>
      </c>
      <c r="B164" s="1067"/>
      <c r="C164" s="1067"/>
      <c r="D164" s="1121"/>
      <c r="E164" s="355"/>
    </row>
    <row r="165" spans="1:5" x14ac:dyDescent="0.2">
      <c r="A165" s="1049">
        <v>15</v>
      </c>
      <c r="B165" s="1067"/>
      <c r="C165" s="1067"/>
      <c r="D165" s="1121"/>
      <c r="E165" s="355"/>
    </row>
    <row r="166" spans="1:5" x14ac:dyDescent="0.2">
      <c r="A166" s="1049">
        <v>17</v>
      </c>
      <c r="B166" s="1067"/>
      <c r="C166" s="1067"/>
      <c r="D166" s="1121"/>
      <c r="E166" s="355"/>
    </row>
    <row r="167" spans="1:5" x14ac:dyDescent="0.2">
      <c r="A167" s="1049">
        <v>18</v>
      </c>
      <c r="B167" s="1067"/>
      <c r="C167" s="1067"/>
      <c r="D167" s="1121"/>
      <c r="E167" s="355"/>
    </row>
    <row r="168" spans="1:5" x14ac:dyDescent="0.2">
      <c r="A168" s="1049">
        <v>245</v>
      </c>
      <c r="B168" s="1042"/>
      <c r="C168" s="1042"/>
      <c r="D168" s="1121"/>
      <c r="E168" s="355"/>
    </row>
    <row r="169" spans="1:5" x14ac:dyDescent="0.2">
      <c r="A169" s="1049">
        <v>337</v>
      </c>
      <c r="B169" s="1042"/>
      <c r="C169" s="1042"/>
      <c r="D169" s="1121"/>
      <c r="E169" s="355"/>
    </row>
    <row r="170" spans="1:5" x14ac:dyDescent="0.2">
      <c r="A170" s="1049">
        <v>19</v>
      </c>
      <c r="B170" s="1042"/>
      <c r="C170" s="1042"/>
      <c r="D170" s="1121"/>
      <c r="E170" s="355"/>
    </row>
    <row r="171" spans="1:5" x14ac:dyDescent="0.2">
      <c r="A171" s="1049">
        <v>196</v>
      </c>
      <c r="B171" s="1047"/>
      <c r="C171" s="1047"/>
      <c r="D171" s="1121"/>
      <c r="E171" s="355"/>
    </row>
    <row r="172" spans="1:5" x14ac:dyDescent="0.2">
      <c r="A172" s="1049">
        <v>255</v>
      </c>
      <c r="B172" s="1067"/>
      <c r="C172" s="1067"/>
      <c r="D172" s="1121"/>
      <c r="E172" s="355"/>
    </row>
    <row r="173" spans="1:5" x14ac:dyDescent="0.2">
      <c r="A173" s="1049">
        <v>20</v>
      </c>
      <c r="B173" s="1067"/>
      <c r="C173" s="1067"/>
      <c r="D173" s="1121"/>
      <c r="E173" s="355"/>
    </row>
    <row r="174" spans="1:5" x14ac:dyDescent="0.2">
      <c r="A174" s="1049">
        <v>21</v>
      </c>
      <c r="B174" s="1042"/>
      <c r="C174" s="1042"/>
      <c r="D174" s="1121"/>
      <c r="E174" s="355"/>
    </row>
    <row r="175" spans="1:5" x14ac:dyDescent="0.2">
      <c r="A175" s="1049">
        <v>23</v>
      </c>
      <c r="B175" s="1067"/>
      <c r="C175" s="1067"/>
      <c r="D175" s="1121"/>
      <c r="E175" s="355"/>
    </row>
    <row r="176" spans="1:5" x14ac:dyDescent="0.2">
      <c r="A176" s="1049">
        <v>290</v>
      </c>
      <c r="B176" s="1067"/>
      <c r="C176" s="1067"/>
      <c r="D176" s="1121"/>
      <c r="E176" s="355"/>
    </row>
    <row r="177" spans="1:5" x14ac:dyDescent="0.2">
      <c r="A177" s="1049">
        <v>33</v>
      </c>
      <c r="B177" s="1042"/>
      <c r="C177" s="1042"/>
      <c r="D177" s="1121"/>
      <c r="E177" s="355"/>
    </row>
    <row r="178" spans="1:5" x14ac:dyDescent="0.2">
      <c r="A178" s="1049">
        <v>318</v>
      </c>
      <c r="B178" s="1042"/>
      <c r="C178" s="1042"/>
      <c r="D178" s="1121"/>
      <c r="E178" s="355"/>
    </row>
    <row r="179" spans="1:5" x14ac:dyDescent="0.2">
      <c r="A179" s="1049">
        <v>291</v>
      </c>
      <c r="B179" s="1042"/>
      <c r="C179" s="1042"/>
      <c r="D179" s="1121"/>
      <c r="E179" s="355"/>
    </row>
    <row r="180" spans="1:5" x14ac:dyDescent="0.2">
      <c r="A180" s="1049">
        <v>292</v>
      </c>
      <c r="B180" s="1042"/>
      <c r="C180" s="1042"/>
      <c r="D180" s="1121"/>
      <c r="E180" s="355"/>
    </row>
    <row r="181" spans="1:5" x14ac:dyDescent="0.2">
      <c r="A181" s="1049">
        <v>293</v>
      </c>
      <c r="B181" s="1042"/>
      <c r="C181" s="1042"/>
      <c r="D181" s="1121"/>
      <c r="E181" s="355"/>
    </row>
    <row r="182" spans="1:5" x14ac:dyDescent="0.2">
      <c r="A182" s="1049">
        <v>34</v>
      </c>
      <c r="B182" s="1042"/>
      <c r="C182" s="1042"/>
      <c r="D182" s="1121"/>
      <c r="E182" s="355"/>
    </row>
    <row r="183" spans="1:5" x14ac:dyDescent="0.2">
      <c r="A183" s="1049">
        <v>310</v>
      </c>
      <c r="B183" s="1042"/>
      <c r="C183" s="1042"/>
      <c r="D183" s="1121"/>
      <c r="E183" s="355"/>
    </row>
    <row r="184" spans="1:5" x14ac:dyDescent="0.2">
      <c r="A184" s="1049">
        <v>25</v>
      </c>
      <c r="B184" s="1067"/>
      <c r="C184" s="1067"/>
      <c r="D184" s="1121"/>
      <c r="E184" s="355"/>
    </row>
    <row r="185" spans="1:5" x14ac:dyDescent="0.2">
      <c r="A185" s="1049">
        <v>325</v>
      </c>
      <c r="B185" s="1067"/>
      <c r="C185" s="1067"/>
      <c r="D185" s="1121"/>
      <c r="E185" s="355"/>
    </row>
    <row r="186" spans="1:5" x14ac:dyDescent="0.2">
      <c r="A186" s="1049">
        <v>28</v>
      </c>
      <c r="B186" s="1042"/>
      <c r="C186" s="1042"/>
      <c r="D186" s="1121"/>
      <c r="E186" s="355"/>
    </row>
    <row r="187" spans="1:5" x14ac:dyDescent="0.2">
      <c r="A187" s="1049">
        <v>254</v>
      </c>
      <c r="B187" s="1067"/>
      <c r="C187" s="1067"/>
      <c r="D187" s="1121"/>
      <c r="E187" s="355"/>
    </row>
    <row r="188" spans="1:5" x14ac:dyDescent="0.2">
      <c r="A188" s="1049">
        <v>288</v>
      </c>
      <c r="B188" s="1067"/>
      <c r="C188" s="1067"/>
      <c r="D188" s="1121"/>
      <c r="E188" s="355"/>
    </row>
    <row r="189" spans="1:5" x14ac:dyDescent="0.2">
      <c r="A189" s="1049">
        <v>315</v>
      </c>
      <c r="B189" s="1067"/>
      <c r="C189" s="1067"/>
      <c r="D189" s="1121"/>
      <c r="E189" s="355"/>
    </row>
    <row r="190" spans="1:5" x14ac:dyDescent="0.2">
      <c r="A190" s="1049">
        <v>230</v>
      </c>
      <c r="B190" s="1042"/>
      <c r="C190" s="1042"/>
      <c r="D190" s="1121"/>
      <c r="E190" s="355"/>
    </row>
    <row r="191" spans="1:5" x14ac:dyDescent="0.2">
      <c r="A191" s="1049">
        <v>235</v>
      </c>
      <c r="B191" s="1067"/>
      <c r="C191" s="1067"/>
      <c r="D191" s="1121"/>
      <c r="E191" s="355"/>
    </row>
    <row r="192" spans="1:5" x14ac:dyDescent="0.2">
      <c r="A192" s="1049">
        <v>259</v>
      </c>
      <c r="B192" s="1067"/>
      <c r="C192" s="1067"/>
      <c r="D192" s="1121"/>
      <c r="E192" s="355"/>
    </row>
    <row r="193" spans="1:5" x14ac:dyDescent="0.2">
      <c r="A193" s="1049">
        <v>29</v>
      </c>
      <c r="B193" s="1042"/>
      <c r="C193" s="1042"/>
      <c r="D193" s="1121"/>
      <c r="E193" s="355"/>
    </row>
    <row r="194" spans="1:5" x14ac:dyDescent="0.2">
      <c r="A194" s="1049">
        <v>30</v>
      </c>
      <c r="B194" s="1067"/>
      <c r="C194" s="1067"/>
      <c r="D194" s="1121"/>
      <c r="E194" s="355"/>
    </row>
    <row r="195" spans="1:5" x14ac:dyDescent="0.2">
      <c r="A195" s="1049">
        <v>31</v>
      </c>
      <c r="B195" s="1067"/>
      <c r="C195" s="1067"/>
      <c r="D195" s="1121"/>
      <c r="E195" s="355"/>
    </row>
    <row r="196" spans="1:5" x14ac:dyDescent="0.2">
      <c r="A196" s="1049">
        <v>121</v>
      </c>
      <c r="B196" s="1067"/>
      <c r="C196" s="1067"/>
      <c r="D196" s="1121"/>
      <c r="E196" s="355"/>
    </row>
    <row r="197" spans="1:5" x14ac:dyDescent="0.2">
      <c r="A197" s="1049">
        <v>122</v>
      </c>
      <c r="B197" s="1067"/>
      <c r="C197" s="1067"/>
      <c r="D197" s="1121"/>
      <c r="E197" s="355"/>
    </row>
    <row r="198" spans="1:5" x14ac:dyDescent="0.2">
      <c r="A198" s="1049">
        <v>58</v>
      </c>
      <c r="B198" s="1067"/>
      <c r="C198" s="1067"/>
      <c r="D198" s="1121"/>
      <c r="E198" s="355"/>
    </row>
    <row r="199" spans="1:5" x14ac:dyDescent="0.2">
      <c r="A199" s="1049">
        <v>162</v>
      </c>
      <c r="B199" s="1067"/>
      <c r="C199" s="1067"/>
      <c r="D199" s="1121"/>
      <c r="E199" s="355"/>
    </row>
    <row r="200" spans="1:5" x14ac:dyDescent="0.2">
      <c r="A200" s="1049">
        <v>123</v>
      </c>
      <c r="B200" s="1067"/>
      <c r="C200" s="1067"/>
      <c r="D200" s="1121"/>
      <c r="E200" s="355"/>
    </row>
    <row r="201" spans="1:5" x14ac:dyDescent="0.2">
      <c r="A201" s="1049">
        <v>345</v>
      </c>
      <c r="B201" s="1067"/>
      <c r="C201" s="1067"/>
      <c r="D201" s="1121"/>
      <c r="E201" s="355"/>
    </row>
    <row r="202" spans="1:5" x14ac:dyDescent="0.2">
      <c r="A202" s="1049">
        <v>124</v>
      </c>
      <c r="B202" s="1067"/>
      <c r="C202" s="1067"/>
      <c r="D202" s="1121"/>
      <c r="E202" s="355"/>
    </row>
    <row r="203" spans="1:5" x14ac:dyDescent="0.2">
      <c r="A203" s="1049">
        <v>350</v>
      </c>
      <c r="B203" s="1067"/>
      <c r="C203" s="1067"/>
      <c r="D203" s="1121"/>
      <c r="E203" s="355"/>
    </row>
    <row r="204" spans="1:5" x14ac:dyDescent="0.2">
      <c r="A204" s="1049">
        <v>351</v>
      </c>
      <c r="B204" s="1067"/>
      <c r="C204" s="1067"/>
      <c r="D204" s="1121"/>
      <c r="E204" s="355"/>
    </row>
    <row r="205" spans="1:5" x14ac:dyDescent="0.2">
      <c r="A205" s="1049">
        <v>32</v>
      </c>
      <c r="B205" s="1067"/>
      <c r="C205" s="1067"/>
      <c r="D205" s="1121"/>
      <c r="E205" s="355"/>
    </row>
    <row r="206" spans="1:5" x14ac:dyDescent="0.2">
      <c r="A206" s="1049">
        <v>247</v>
      </c>
      <c r="B206" s="1042"/>
      <c r="C206" s="1042"/>
      <c r="D206" s="1121"/>
      <c r="E206" s="355"/>
    </row>
    <row r="207" spans="1:5" x14ac:dyDescent="0.2">
      <c r="A207" s="1049">
        <v>26</v>
      </c>
      <c r="B207" s="1067"/>
      <c r="C207" s="1067"/>
      <c r="D207" s="1121"/>
      <c r="E207" s="355"/>
    </row>
    <row r="208" spans="1:5" x14ac:dyDescent="0.2">
      <c r="A208" s="1049">
        <v>64</v>
      </c>
      <c r="B208" s="1067"/>
      <c r="C208" s="1067"/>
      <c r="D208" s="1121"/>
      <c r="E208" s="355"/>
    </row>
    <row r="209" spans="1:5" x14ac:dyDescent="0.2">
      <c r="A209" s="1049">
        <v>333</v>
      </c>
      <c r="B209" s="1067"/>
      <c r="C209" s="1067"/>
      <c r="D209" s="1121"/>
      <c r="E209" s="355"/>
    </row>
    <row r="210" spans="1:5" x14ac:dyDescent="0.2">
      <c r="A210" s="1049">
        <v>344</v>
      </c>
      <c r="B210" s="1067"/>
      <c r="C210" s="1067"/>
      <c r="D210" s="1121"/>
      <c r="E210" s="355"/>
    </row>
    <row r="211" spans="1:5" x14ac:dyDescent="0.2">
      <c r="A211" s="1049">
        <v>186</v>
      </c>
      <c r="B211" s="1067"/>
      <c r="C211" s="1067"/>
      <c r="D211" s="1121"/>
      <c r="E211" s="355"/>
    </row>
    <row r="212" spans="1:5" x14ac:dyDescent="0.2">
      <c r="A212" s="1049">
        <v>126</v>
      </c>
      <c r="B212" s="1067"/>
      <c r="C212" s="1067"/>
      <c r="D212" s="1121"/>
      <c r="E212" s="355"/>
    </row>
    <row r="213" spans="1:5" x14ac:dyDescent="0.2">
      <c r="A213" s="1049">
        <v>66</v>
      </c>
      <c r="B213" s="1067"/>
      <c r="C213" s="1067"/>
      <c r="D213" s="1121"/>
      <c r="E213" s="355"/>
    </row>
    <row r="214" spans="1:5" x14ac:dyDescent="0.2">
      <c r="A214" s="1049">
        <v>127</v>
      </c>
      <c r="B214" s="1067"/>
      <c r="C214" s="1067"/>
      <c r="D214" s="1121"/>
      <c r="E214" s="355"/>
    </row>
    <row r="215" spans="1:5" x14ac:dyDescent="0.2">
      <c r="A215" s="1049">
        <v>128</v>
      </c>
      <c r="B215" s="1067"/>
      <c r="C215" s="1067"/>
      <c r="D215" s="1121"/>
      <c r="E215" s="355"/>
    </row>
    <row r="216" spans="1:5" x14ac:dyDescent="0.2">
      <c r="A216" s="1049">
        <v>221</v>
      </c>
      <c r="B216" s="1067"/>
      <c r="C216" s="1067"/>
      <c r="D216" s="1121"/>
      <c r="E216" s="355"/>
    </row>
    <row r="217" spans="1:5" x14ac:dyDescent="0.2">
      <c r="A217" s="1049">
        <v>80</v>
      </c>
      <c r="B217" s="1067"/>
      <c r="C217" s="1067"/>
      <c r="D217" s="1121"/>
      <c r="E217" s="355"/>
    </row>
    <row r="218" spans="1:5" x14ac:dyDescent="0.2">
      <c r="A218" s="1049">
        <v>231</v>
      </c>
      <c r="B218" s="1067"/>
      <c r="C218" s="1067"/>
      <c r="D218" s="1121"/>
      <c r="E218" s="355"/>
    </row>
    <row r="219" spans="1:5" x14ac:dyDescent="0.2">
      <c r="A219" s="1049">
        <v>216</v>
      </c>
      <c r="B219" s="1067"/>
      <c r="C219" s="1067"/>
      <c r="D219" s="1121"/>
      <c r="E219" s="355"/>
    </row>
    <row r="220" spans="1:5" x14ac:dyDescent="0.2">
      <c r="A220" s="1049">
        <v>129</v>
      </c>
      <c r="B220" s="1067"/>
      <c r="C220" s="1067"/>
      <c r="D220" s="1121"/>
      <c r="E220" s="355"/>
    </row>
    <row r="221" spans="1:5" x14ac:dyDescent="0.2">
      <c r="A221" s="1049">
        <v>132</v>
      </c>
      <c r="B221" s="1067"/>
      <c r="C221" s="1067"/>
      <c r="D221" s="1121"/>
      <c r="E221" s="355"/>
    </row>
    <row r="222" spans="1:5" x14ac:dyDescent="0.2">
      <c r="A222" s="1049">
        <v>133</v>
      </c>
      <c r="B222" s="1067"/>
      <c r="C222" s="1067"/>
      <c r="D222" s="1121"/>
      <c r="E222" s="355"/>
    </row>
    <row r="223" spans="1:5" x14ac:dyDescent="0.2">
      <c r="A223" s="1049">
        <v>134</v>
      </c>
      <c r="B223" s="1067"/>
      <c r="C223" s="1067"/>
      <c r="D223" s="1121"/>
      <c r="E223" s="355"/>
    </row>
    <row r="224" spans="1:5" x14ac:dyDescent="0.2">
      <c r="A224" s="1049">
        <v>269</v>
      </c>
      <c r="B224" s="1067"/>
      <c r="C224" s="1067"/>
      <c r="D224" s="1121"/>
      <c r="E224" s="355"/>
    </row>
    <row r="225" spans="1:5" x14ac:dyDescent="0.2">
      <c r="A225" s="1049">
        <v>252</v>
      </c>
      <c r="B225" s="1067"/>
      <c r="C225" s="1067"/>
      <c r="D225" s="1121"/>
      <c r="E225" s="355"/>
    </row>
    <row r="226" spans="1:5" x14ac:dyDescent="0.2">
      <c r="A226" s="1049">
        <v>249</v>
      </c>
      <c r="B226" s="1067"/>
      <c r="C226" s="1067"/>
      <c r="D226" s="1121"/>
      <c r="E226" s="355"/>
    </row>
    <row r="227" spans="1:5" x14ac:dyDescent="0.2">
      <c r="A227" s="1049">
        <v>82</v>
      </c>
      <c r="B227" s="1067"/>
      <c r="C227" s="1067"/>
      <c r="D227" s="1121"/>
      <c r="E227" s="355"/>
    </row>
    <row r="228" spans="1:5" x14ac:dyDescent="0.2">
      <c r="A228" s="1049">
        <v>136</v>
      </c>
      <c r="B228" s="1067"/>
      <c r="C228" s="1067"/>
      <c r="D228" s="1121"/>
      <c r="E228" s="355"/>
    </row>
    <row r="229" spans="1:5" x14ac:dyDescent="0.2">
      <c r="A229" s="1049">
        <v>137</v>
      </c>
      <c r="B229" s="1067"/>
      <c r="C229" s="1067"/>
      <c r="D229" s="1121"/>
      <c r="E229" s="355"/>
    </row>
    <row r="230" spans="1:5" x14ac:dyDescent="0.2">
      <c r="A230" s="1049">
        <v>267</v>
      </c>
      <c r="B230" s="1067"/>
      <c r="C230" s="1067"/>
      <c r="D230" s="1121"/>
      <c r="E230" s="355"/>
    </row>
    <row r="231" spans="1:5" x14ac:dyDescent="0.2">
      <c r="A231" s="1049">
        <v>280</v>
      </c>
      <c r="B231" s="1067"/>
      <c r="C231" s="1067"/>
      <c r="D231" s="1121"/>
      <c r="E231" s="355"/>
    </row>
    <row r="232" spans="1:5" x14ac:dyDescent="0.2">
      <c r="A232" s="1049">
        <v>89</v>
      </c>
      <c r="B232" s="1067"/>
      <c r="C232" s="1067"/>
      <c r="D232" s="1121"/>
      <c r="E232" s="355"/>
    </row>
    <row r="233" spans="1:5" x14ac:dyDescent="0.2">
      <c r="A233" s="1049">
        <v>352</v>
      </c>
      <c r="B233" s="1067"/>
      <c r="C233" s="1067"/>
      <c r="D233" s="1121"/>
      <c r="E233" s="355"/>
    </row>
    <row r="234" spans="1:5" x14ac:dyDescent="0.2">
      <c r="A234" s="1049">
        <v>138</v>
      </c>
      <c r="B234" s="1067"/>
      <c r="C234" s="1067"/>
      <c r="D234" s="1121"/>
      <c r="E234" s="355"/>
    </row>
    <row r="235" spans="1:5" x14ac:dyDescent="0.2">
      <c r="A235" s="1049">
        <v>139</v>
      </c>
      <c r="B235" s="1067"/>
      <c r="C235" s="1067"/>
      <c r="D235" s="1121"/>
      <c r="E235" s="355"/>
    </row>
    <row r="236" spans="1:5" x14ac:dyDescent="0.2">
      <c r="A236" s="1049">
        <v>140</v>
      </c>
      <c r="B236" s="1067"/>
      <c r="C236" s="1067"/>
      <c r="D236" s="1121"/>
      <c r="E236" s="355"/>
    </row>
    <row r="237" spans="1:5" x14ac:dyDescent="0.2">
      <c r="A237" s="1049">
        <v>359</v>
      </c>
      <c r="B237" s="1067"/>
      <c r="C237" s="1067"/>
      <c r="D237" s="1121"/>
      <c r="E237" s="355"/>
    </row>
    <row r="238" spans="1:5" x14ac:dyDescent="0.2">
      <c r="A238" s="1049">
        <v>195</v>
      </c>
      <c r="B238" s="1067"/>
      <c r="C238" s="1067"/>
      <c r="D238" s="1121"/>
      <c r="E238" s="355"/>
    </row>
    <row r="239" spans="1:5" x14ac:dyDescent="0.2">
      <c r="A239" s="1049">
        <v>170</v>
      </c>
      <c r="B239" s="1067"/>
      <c r="C239" s="1067"/>
      <c r="D239" s="1121"/>
      <c r="E239" s="355"/>
    </row>
    <row r="240" spans="1:5" x14ac:dyDescent="0.2">
      <c r="A240" s="1049">
        <v>142</v>
      </c>
      <c r="B240" s="1067"/>
      <c r="C240" s="1067"/>
      <c r="D240" s="1121"/>
      <c r="E240" s="355"/>
    </row>
    <row r="241" spans="1:5" x14ac:dyDescent="0.2">
      <c r="A241" s="1049">
        <v>143</v>
      </c>
      <c r="B241" s="1067"/>
      <c r="C241" s="1067"/>
      <c r="D241" s="1121"/>
      <c r="E241" s="355"/>
    </row>
    <row r="242" spans="1:5" x14ac:dyDescent="0.2">
      <c r="A242" s="1049">
        <v>144</v>
      </c>
      <c r="B242" s="1067"/>
      <c r="C242" s="1067"/>
      <c r="D242" s="1121"/>
      <c r="E242" s="355"/>
    </row>
    <row r="243" spans="1:5" x14ac:dyDescent="0.2">
      <c r="A243" s="1049">
        <v>145</v>
      </c>
      <c r="B243" s="1067"/>
      <c r="C243" s="1067"/>
      <c r="D243" s="1121"/>
      <c r="E243" s="355"/>
    </row>
    <row r="244" spans="1:5" x14ac:dyDescent="0.2">
      <c r="A244" s="1049">
        <v>146</v>
      </c>
      <c r="B244" s="1067"/>
      <c r="C244" s="1067"/>
      <c r="D244" s="1121"/>
      <c r="E244" s="355"/>
    </row>
    <row r="245" spans="1:5" x14ac:dyDescent="0.2">
      <c r="A245" s="1049">
        <v>22</v>
      </c>
      <c r="B245" s="1067"/>
      <c r="C245" s="1067"/>
      <c r="D245" s="1121"/>
      <c r="E245" s="355"/>
    </row>
    <row r="246" spans="1:5" x14ac:dyDescent="0.2">
      <c r="A246" s="1049">
        <v>147</v>
      </c>
      <c r="B246" s="1067"/>
      <c r="C246" s="1067"/>
      <c r="D246" s="1121"/>
      <c r="E246" s="355"/>
    </row>
    <row r="247" spans="1:5" x14ac:dyDescent="0.2">
      <c r="A247" s="1049">
        <v>320</v>
      </c>
      <c r="B247" s="1067"/>
      <c r="C247" s="1067"/>
      <c r="D247" s="1121"/>
      <c r="E247" s="355"/>
    </row>
    <row r="248" spans="1:5" x14ac:dyDescent="0.2">
      <c r="A248" s="1049">
        <v>93</v>
      </c>
      <c r="B248" s="1067"/>
      <c r="C248" s="1067"/>
      <c r="D248" s="1121"/>
      <c r="E248" s="355"/>
    </row>
    <row r="249" spans="1:5" x14ac:dyDescent="0.2">
      <c r="A249" s="1049">
        <v>149</v>
      </c>
      <c r="B249" s="1067"/>
      <c r="C249" s="1067"/>
      <c r="D249" s="1121"/>
      <c r="E249" s="355"/>
    </row>
    <row r="250" spans="1:5" x14ac:dyDescent="0.2">
      <c r="A250" s="1049">
        <v>184</v>
      </c>
      <c r="B250" s="1067"/>
      <c r="C250" s="1067"/>
      <c r="D250" s="1121"/>
      <c r="E250" s="355"/>
    </row>
    <row r="251" spans="1:5" x14ac:dyDescent="0.2">
      <c r="A251" s="1049">
        <v>265</v>
      </c>
      <c r="B251" s="1067"/>
      <c r="C251" s="1067"/>
      <c r="D251" s="1121"/>
      <c r="E251" s="355"/>
    </row>
    <row r="252" spans="1:5" x14ac:dyDescent="0.2">
      <c r="A252" s="1049">
        <v>150</v>
      </c>
      <c r="B252" s="1067"/>
      <c r="C252" s="1067"/>
      <c r="D252" s="1121"/>
      <c r="E252" s="355"/>
    </row>
    <row r="253" spans="1:5" x14ac:dyDescent="0.2">
      <c r="A253" s="1049">
        <v>151</v>
      </c>
      <c r="B253" s="1067"/>
      <c r="C253" s="1067"/>
      <c r="D253" s="1121"/>
      <c r="E253" s="355"/>
    </row>
    <row r="254" spans="1:5" x14ac:dyDescent="0.2">
      <c r="A254" s="1049">
        <v>152</v>
      </c>
      <c r="B254" s="1067"/>
      <c r="C254" s="1067"/>
      <c r="D254" s="1121"/>
      <c r="E254" s="355"/>
    </row>
    <row r="255" spans="1:5" x14ac:dyDescent="0.2">
      <c r="A255" s="1049">
        <v>94</v>
      </c>
      <c r="B255" s="1067"/>
      <c r="C255" s="1067"/>
      <c r="D255" s="1121"/>
      <c r="E255" s="355"/>
    </row>
    <row r="256" spans="1:5" x14ac:dyDescent="0.2">
      <c r="A256" s="1049">
        <v>154</v>
      </c>
      <c r="B256" s="1067"/>
      <c r="C256" s="1067"/>
      <c r="D256" s="1121"/>
      <c r="E256" s="355"/>
    </row>
    <row r="257" spans="1:5" x14ac:dyDescent="0.2">
      <c r="A257" s="1049">
        <v>297</v>
      </c>
      <c r="B257" s="1067"/>
      <c r="C257" s="1067"/>
      <c r="D257" s="1121"/>
      <c r="E257" s="355"/>
    </row>
    <row r="258" spans="1:5" x14ac:dyDescent="0.2">
      <c r="A258" s="1049">
        <v>163</v>
      </c>
      <c r="B258" s="1067"/>
      <c r="C258" s="1067"/>
      <c r="D258" s="1121"/>
      <c r="E258" s="355"/>
    </row>
    <row r="259" spans="1:5" x14ac:dyDescent="0.2">
      <c r="A259" s="1049">
        <v>339</v>
      </c>
      <c r="B259" s="1067"/>
      <c r="C259" s="1067"/>
      <c r="D259" s="1121"/>
      <c r="E259" s="355"/>
    </row>
    <row r="260" spans="1:5" x14ac:dyDescent="0.2">
      <c r="A260" s="1049">
        <v>102</v>
      </c>
      <c r="B260" s="1067"/>
      <c r="C260" s="1067"/>
      <c r="D260" s="1121"/>
      <c r="E260" s="355"/>
    </row>
    <row r="261" spans="1:5" x14ac:dyDescent="0.2">
      <c r="A261" s="1049">
        <v>321</v>
      </c>
      <c r="B261" s="1067"/>
      <c r="C261" s="1067"/>
      <c r="D261" s="1121"/>
      <c r="E261" s="355"/>
    </row>
    <row r="262" spans="1:5" x14ac:dyDescent="0.2">
      <c r="A262" s="1049">
        <v>277</v>
      </c>
      <c r="B262" s="1067"/>
      <c r="C262" s="1067"/>
      <c r="D262" s="1121"/>
      <c r="E262" s="355"/>
    </row>
    <row r="263" spans="1:5" x14ac:dyDescent="0.2">
      <c r="A263" s="1049">
        <v>302</v>
      </c>
      <c r="B263" s="1042"/>
      <c r="C263" s="1042"/>
      <c r="D263" s="1121"/>
      <c r="E263" s="355"/>
    </row>
    <row r="264" spans="1:5" x14ac:dyDescent="0.2">
      <c r="A264" s="1049">
        <v>155</v>
      </c>
      <c r="B264" s="1067"/>
      <c r="C264" s="1067"/>
      <c r="D264" s="1121"/>
      <c r="E264" s="355"/>
    </row>
    <row r="265" spans="1:5" x14ac:dyDescent="0.2">
      <c r="A265" s="1049">
        <v>157</v>
      </c>
      <c r="B265" s="1067"/>
      <c r="C265" s="1067"/>
      <c r="D265" s="1121"/>
      <c r="E265" s="355"/>
    </row>
    <row r="266" spans="1:5" x14ac:dyDescent="0.2">
      <c r="A266" s="1049">
        <v>103</v>
      </c>
      <c r="B266" s="1067"/>
      <c r="C266" s="1067"/>
      <c r="D266" s="1121"/>
      <c r="E266" s="355"/>
    </row>
    <row r="267" spans="1:5" x14ac:dyDescent="0.2">
      <c r="A267" s="1049">
        <v>158</v>
      </c>
      <c r="B267" s="1067"/>
      <c r="C267" s="1067"/>
      <c r="D267" s="1121"/>
      <c r="E267" s="355"/>
    </row>
    <row r="268" spans="1:5" x14ac:dyDescent="0.2">
      <c r="A268" s="1049">
        <v>334</v>
      </c>
      <c r="B268" s="1067"/>
      <c r="C268" s="1067"/>
      <c r="D268" s="1121"/>
      <c r="E268" s="355"/>
    </row>
    <row r="269" spans="1:5" x14ac:dyDescent="0.2">
      <c r="A269" s="1049">
        <v>342</v>
      </c>
      <c r="B269" s="1067"/>
      <c r="C269" s="1067"/>
      <c r="D269" s="1121"/>
      <c r="E269" s="355"/>
    </row>
    <row r="270" spans="1:5" x14ac:dyDescent="0.2">
      <c r="A270" s="1049">
        <v>328</v>
      </c>
      <c r="B270" s="1067"/>
      <c r="C270" s="1067"/>
      <c r="D270" s="1121"/>
      <c r="E270" s="355"/>
    </row>
    <row r="271" spans="1:5" x14ac:dyDescent="0.2">
      <c r="A271" s="1049">
        <v>159</v>
      </c>
      <c r="B271" s="1067"/>
      <c r="C271" s="1067"/>
      <c r="D271" s="1121"/>
      <c r="E271" s="355"/>
    </row>
    <row r="272" spans="1:5" x14ac:dyDescent="0.2">
      <c r="A272" s="1049">
        <v>160</v>
      </c>
      <c r="B272" s="1067"/>
      <c r="C272" s="1067"/>
      <c r="D272" s="1121"/>
      <c r="E272" s="355"/>
    </row>
    <row r="273" spans="1:5" x14ac:dyDescent="0.2">
      <c r="A273" s="1049">
        <v>161</v>
      </c>
      <c r="B273" s="1067"/>
      <c r="C273" s="1067"/>
      <c r="D273" s="1121"/>
      <c r="E273" s="355"/>
    </row>
    <row r="274" spans="1:5" x14ac:dyDescent="0.2">
      <c r="A274" s="1049">
        <v>164</v>
      </c>
      <c r="B274" s="1067"/>
      <c r="C274" s="1067"/>
      <c r="D274" s="1121"/>
      <c r="E274" s="355"/>
    </row>
    <row r="275" spans="1:5" x14ac:dyDescent="0.2">
      <c r="A275" s="1049">
        <v>165</v>
      </c>
      <c r="B275" s="1067"/>
      <c r="C275" s="1067"/>
      <c r="D275" s="1121"/>
      <c r="E275" s="355"/>
    </row>
    <row r="276" spans="1:5" x14ac:dyDescent="0.2">
      <c r="A276" s="1049">
        <v>166</v>
      </c>
      <c r="B276" s="1067"/>
      <c r="C276" s="1067"/>
      <c r="D276" s="1121"/>
      <c r="E276" s="355"/>
    </row>
    <row r="277" spans="1:5" x14ac:dyDescent="0.2">
      <c r="A277" s="1049">
        <v>167</v>
      </c>
      <c r="B277" s="1067"/>
      <c r="C277" s="1067"/>
      <c r="D277" s="1121"/>
      <c r="E277" s="355"/>
    </row>
    <row r="278" spans="1:5" x14ac:dyDescent="0.2">
      <c r="A278" s="1049">
        <v>168</v>
      </c>
      <c r="B278" s="1067"/>
      <c r="C278" s="1067"/>
      <c r="D278" s="1121"/>
      <c r="E278" s="355"/>
    </row>
    <row r="279" spans="1:5" x14ac:dyDescent="0.2">
      <c r="A279" s="1049">
        <v>35</v>
      </c>
      <c r="B279" s="1067"/>
      <c r="C279" s="1067"/>
      <c r="D279" s="1121"/>
      <c r="E279" s="355"/>
    </row>
    <row r="280" spans="1:5" x14ac:dyDescent="0.2">
      <c r="A280" s="1049">
        <v>307</v>
      </c>
      <c r="B280" s="1067"/>
      <c r="C280" s="1067"/>
      <c r="D280" s="1121"/>
      <c r="E280" s="355"/>
    </row>
    <row r="281" spans="1:5" x14ac:dyDescent="0.2">
      <c r="A281" s="1049">
        <v>104</v>
      </c>
      <c r="B281" s="1067"/>
      <c r="C281" s="1067"/>
      <c r="D281" s="1121"/>
      <c r="E281" s="355"/>
    </row>
    <row r="282" spans="1:5" x14ac:dyDescent="0.2">
      <c r="A282" s="1049">
        <v>141</v>
      </c>
      <c r="B282" s="1070"/>
      <c r="C282" s="1067"/>
      <c r="D282" s="1121"/>
      <c r="E282" s="355"/>
    </row>
    <row r="283" spans="1:5" x14ac:dyDescent="0.2">
      <c r="A283" s="1049">
        <v>105</v>
      </c>
      <c r="B283" s="1155"/>
      <c r="C283" s="1067"/>
      <c r="D283" s="1121"/>
      <c r="E283" s="355"/>
    </row>
    <row r="284" spans="1:5" x14ac:dyDescent="0.2">
      <c r="A284" s="1049">
        <v>323</v>
      </c>
      <c r="B284" s="1067"/>
      <c r="C284" s="1067"/>
      <c r="D284" s="1121"/>
      <c r="E284" s="355"/>
    </row>
    <row r="285" spans="1:5" x14ac:dyDescent="0.2">
      <c r="A285" s="1049">
        <v>106</v>
      </c>
      <c r="B285" s="1067"/>
      <c r="C285" s="1067"/>
      <c r="D285" s="1121"/>
      <c r="E285" s="355"/>
    </row>
    <row r="286" spans="1:5" x14ac:dyDescent="0.2">
      <c r="A286" s="1049">
        <v>274</v>
      </c>
      <c r="B286" s="1067"/>
      <c r="C286" s="1067"/>
      <c r="D286" s="1121"/>
      <c r="E286" s="355"/>
    </row>
    <row r="287" spans="1:5" x14ac:dyDescent="0.2">
      <c r="A287" s="1049">
        <v>304</v>
      </c>
      <c r="B287" s="1067"/>
      <c r="C287" s="1067"/>
      <c r="D287" s="1121"/>
      <c r="E287" s="355"/>
    </row>
    <row r="288" spans="1:5" x14ac:dyDescent="0.2">
      <c r="A288" s="1049">
        <v>237</v>
      </c>
      <c r="B288" s="1042"/>
      <c r="C288" s="1042"/>
      <c r="D288" s="1121"/>
      <c r="E288" s="355"/>
    </row>
    <row r="289" spans="1:5" x14ac:dyDescent="0.2">
      <c r="A289" s="1049">
        <v>298</v>
      </c>
      <c r="B289" s="1042"/>
      <c r="C289" s="1042"/>
      <c r="D289" s="1121"/>
      <c r="E289" s="355"/>
    </row>
    <row r="290" spans="1:5" x14ac:dyDescent="0.2">
      <c r="A290" s="1049">
        <v>169</v>
      </c>
      <c r="B290" s="1067"/>
      <c r="C290" s="1067"/>
      <c r="D290" s="1121"/>
      <c r="E290" s="355"/>
    </row>
    <row r="291" spans="1:5" x14ac:dyDescent="0.2">
      <c r="A291" s="1118">
        <v>316</v>
      </c>
      <c r="B291" s="1067"/>
      <c r="C291" s="1067"/>
      <c r="D291" s="1121"/>
      <c r="E291" s="355"/>
    </row>
    <row r="292" spans="1:5" x14ac:dyDescent="0.2">
      <c r="A292" s="1118">
        <v>281</v>
      </c>
      <c r="B292" s="580"/>
      <c r="C292" s="1067"/>
      <c r="D292" s="1121"/>
      <c r="E292" s="355"/>
    </row>
    <row r="293" spans="1:5" x14ac:dyDescent="0.2">
      <c r="A293" s="1049">
        <v>153</v>
      </c>
      <c r="B293" s="1067"/>
      <c r="C293" s="1067"/>
      <c r="D293" s="1121"/>
      <c r="E293" s="355"/>
    </row>
    <row r="294" spans="1:5" x14ac:dyDescent="0.2">
      <c r="A294" s="1049">
        <v>181</v>
      </c>
      <c r="B294" s="1067"/>
      <c r="C294" s="1067"/>
      <c r="D294" s="1121"/>
      <c r="E294" s="355"/>
    </row>
    <row r="295" spans="1:5" x14ac:dyDescent="0.2">
      <c r="A295" s="1049">
        <v>107</v>
      </c>
      <c r="B295" s="1067"/>
      <c r="C295" s="1067"/>
      <c r="D295" s="1121"/>
      <c r="E295" s="355"/>
    </row>
    <row r="296" spans="1:5" x14ac:dyDescent="0.2">
      <c r="A296" s="1049">
        <v>229</v>
      </c>
      <c r="B296" s="1076"/>
      <c r="C296" s="1076"/>
      <c r="D296" s="1121"/>
      <c r="E296" s="355"/>
    </row>
    <row r="297" spans="1:5" x14ac:dyDescent="0.2">
      <c r="A297" s="1049">
        <v>171</v>
      </c>
      <c r="B297" s="1067"/>
      <c r="C297" s="1067"/>
      <c r="D297" s="1121"/>
      <c r="E297" s="355"/>
    </row>
    <row r="298" spans="1:5" x14ac:dyDescent="0.2">
      <c r="A298" s="1049">
        <v>238</v>
      </c>
      <c r="B298" s="1067"/>
      <c r="C298" s="1067"/>
      <c r="D298" s="1121"/>
      <c r="E298" s="355"/>
    </row>
    <row r="299" spans="1:5" x14ac:dyDescent="0.2">
      <c r="A299" s="1049">
        <v>282</v>
      </c>
      <c r="B299" s="1067"/>
      <c r="C299" s="1067"/>
      <c r="D299" s="1121"/>
      <c r="E299" s="355"/>
    </row>
    <row r="300" spans="1:5" x14ac:dyDescent="0.2">
      <c r="A300" s="1049">
        <v>174</v>
      </c>
      <c r="B300" s="1067"/>
      <c r="C300" s="1067"/>
      <c r="D300" s="1121"/>
      <c r="E300" s="355"/>
    </row>
    <row r="301" spans="1:5" x14ac:dyDescent="0.2">
      <c r="A301" s="1049">
        <v>173</v>
      </c>
      <c r="B301" s="1067"/>
      <c r="C301" s="1067"/>
      <c r="D301" s="1121"/>
      <c r="E301" s="355"/>
    </row>
    <row r="302" spans="1:5" x14ac:dyDescent="0.2">
      <c r="A302" s="1049">
        <v>332</v>
      </c>
      <c r="B302" s="1067"/>
      <c r="C302" s="1067"/>
      <c r="D302" s="1121"/>
      <c r="E302" s="355"/>
    </row>
    <row r="303" spans="1:5" x14ac:dyDescent="0.2">
      <c r="A303" s="1049">
        <v>294</v>
      </c>
      <c r="B303" s="1067"/>
      <c r="C303" s="1067"/>
      <c r="D303" s="1121"/>
      <c r="E303" s="355"/>
    </row>
    <row r="304" spans="1:5" x14ac:dyDescent="0.2">
      <c r="A304" s="1049">
        <v>326</v>
      </c>
      <c r="B304" s="1067"/>
      <c r="C304" s="1067"/>
      <c r="D304" s="1121"/>
      <c r="E304" s="355"/>
    </row>
    <row r="305" spans="1:5" x14ac:dyDescent="0.2">
      <c r="A305" s="1049">
        <v>243</v>
      </c>
      <c r="B305" s="1067"/>
      <c r="C305" s="1067"/>
      <c r="D305" s="1121"/>
      <c r="E305" s="355"/>
    </row>
    <row r="306" spans="1:5" x14ac:dyDescent="0.2">
      <c r="A306" s="1049">
        <v>175</v>
      </c>
      <c r="B306" s="1067"/>
      <c r="C306" s="1067"/>
      <c r="D306" s="1121"/>
      <c r="E306" s="355"/>
    </row>
    <row r="307" spans="1:5" x14ac:dyDescent="0.2">
      <c r="A307" s="1049">
        <v>296</v>
      </c>
      <c r="B307" s="1067"/>
      <c r="C307" s="1067"/>
      <c r="D307" s="1121"/>
      <c r="E307" s="355"/>
    </row>
    <row r="308" spans="1:5" x14ac:dyDescent="0.2">
      <c r="A308" s="1049">
        <v>176</v>
      </c>
      <c r="B308" s="1067"/>
      <c r="C308" s="1067"/>
      <c r="D308" s="1326"/>
      <c r="E308" s="355"/>
    </row>
    <row r="309" spans="1:5" x14ac:dyDescent="0.2">
      <c r="A309" s="1049">
        <v>177</v>
      </c>
      <c r="B309" s="1067"/>
      <c r="C309" s="1067"/>
      <c r="D309" s="1121"/>
      <c r="E309" s="355"/>
    </row>
    <row r="310" spans="1:5" x14ac:dyDescent="0.2">
      <c r="A310" s="1049">
        <v>234</v>
      </c>
      <c r="B310" s="1067"/>
      <c r="C310" s="1067"/>
      <c r="D310" s="1121"/>
      <c r="E310" s="355"/>
    </row>
    <row r="311" spans="1:5" x14ac:dyDescent="0.2">
      <c r="A311" s="1049">
        <v>266</v>
      </c>
      <c r="B311" s="1077"/>
      <c r="C311" s="1077"/>
      <c r="D311" s="1121"/>
      <c r="E311" s="355"/>
    </row>
    <row r="312" spans="1:5" x14ac:dyDescent="0.2">
      <c r="A312" s="1049">
        <v>317</v>
      </c>
      <c r="B312" s="1067"/>
      <c r="C312" s="1067"/>
      <c r="D312" s="1121"/>
      <c r="E312" s="355"/>
    </row>
    <row r="313" spans="1:5" x14ac:dyDescent="0.2">
      <c r="A313" s="1049">
        <v>135</v>
      </c>
      <c r="B313" s="1067"/>
      <c r="C313" s="1067"/>
      <c r="D313" s="1121"/>
      <c r="E313" s="355"/>
    </row>
    <row r="314" spans="1:5" x14ac:dyDescent="0.2">
      <c r="A314" s="1049">
        <v>178</v>
      </c>
      <c r="B314" s="1067"/>
      <c r="C314" s="1067"/>
      <c r="D314" s="1121"/>
      <c r="E314" s="355"/>
    </row>
    <row r="315" spans="1:5" x14ac:dyDescent="0.2">
      <c r="A315" s="1049">
        <v>114</v>
      </c>
      <c r="B315" s="1067"/>
      <c r="C315" s="1067"/>
      <c r="D315" s="1121"/>
      <c r="E315" s="355"/>
    </row>
    <row r="316" spans="1:5" x14ac:dyDescent="0.2">
      <c r="A316" s="1049">
        <v>319</v>
      </c>
      <c r="B316" s="1067"/>
      <c r="C316" s="1067"/>
      <c r="D316" s="1121"/>
      <c r="E316" s="355"/>
    </row>
    <row r="317" spans="1:5" x14ac:dyDescent="0.2">
      <c r="A317" s="1049">
        <v>37</v>
      </c>
      <c r="B317" s="1042"/>
      <c r="C317" s="1042"/>
      <c r="D317" s="1121"/>
      <c r="E317" s="355"/>
    </row>
    <row r="318" spans="1:5" x14ac:dyDescent="0.2">
      <c r="A318" s="1049">
        <v>264</v>
      </c>
      <c r="B318" s="1067"/>
      <c r="C318" s="1067"/>
      <c r="D318" s="1121"/>
      <c r="E318" s="355"/>
    </row>
    <row r="319" spans="1:5" x14ac:dyDescent="0.2">
      <c r="A319" s="1049">
        <v>180</v>
      </c>
      <c r="B319" s="1067"/>
      <c r="C319" s="1067"/>
      <c r="D319" s="1121"/>
      <c r="E319" s="355"/>
    </row>
    <row r="320" spans="1:5" x14ac:dyDescent="0.2">
      <c r="A320" s="1049">
        <v>311</v>
      </c>
      <c r="B320" s="1067"/>
      <c r="C320" s="1067"/>
      <c r="D320" s="1121"/>
      <c r="E320" s="355"/>
    </row>
    <row r="321" spans="1:5" x14ac:dyDescent="0.2">
      <c r="A321" s="1049">
        <v>241</v>
      </c>
      <c r="B321" s="1067"/>
      <c r="C321" s="1067"/>
      <c r="D321" s="1121"/>
      <c r="E321" s="355"/>
    </row>
    <row r="322" spans="1:5" x14ac:dyDescent="0.2">
      <c r="A322" s="1049">
        <v>182</v>
      </c>
      <c r="B322" s="1067"/>
      <c r="C322" s="1067"/>
      <c r="D322" s="1121"/>
      <c r="E322" s="355"/>
    </row>
    <row r="323" spans="1:5" x14ac:dyDescent="0.2">
      <c r="A323" s="1049">
        <v>354</v>
      </c>
      <c r="B323" s="1067"/>
      <c r="C323" s="1067"/>
      <c r="D323" s="1121"/>
      <c r="E323" s="355"/>
    </row>
    <row r="324" spans="1:5" x14ac:dyDescent="0.2">
      <c r="A324" s="1049">
        <v>183</v>
      </c>
      <c r="B324" s="1067"/>
      <c r="C324" s="1067"/>
      <c r="D324" s="1121"/>
      <c r="E324" s="355"/>
    </row>
    <row r="325" spans="1:5" x14ac:dyDescent="0.2">
      <c r="A325" s="1049">
        <v>201</v>
      </c>
      <c r="B325" s="1067"/>
      <c r="C325" s="1067"/>
      <c r="D325" s="1121"/>
      <c r="E325" s="355"/>
    </row>
    <row r="326" spans="1:5" x14ac:dyDescent="0.2">
      <c r="A326" s="1049">
        <v>205</v>
      </c>
      <c r="B326" s="1067"/>
      <c r="C326" s="1067"/>
      <c r="D326" s="1121"/>
      <c r="E326" s="355"/>
    </row>
    <row r="327" spans="1:5" x14ac:dyDescent="0.2">
      <c r="A327" s="1049">
        <v>185</v>
      </c>
      <c r="B327" s="1067"/>
      <c r="C327" s="1067"/>
      <c r="D327" s="1121"/>
      <c r="E327" s="355"/>
    </row>
    <row r="328" spans="1:5" x14ac:dyDescent="0.2">
      <c r="A328" s="1049">
        <v>187</v>
      </c>
      <c r="B328" s="1067"/>
      <c r="C328" s="1067"/>
      <c r="D328" s="1121"/>
      <c r="E328" s="355"/>
    </row>
    <row r="329" spans="1:5" x14ac:dyDescent="0.2">
      <c r="A329" s="1049">
        <v>40</v>
      </c>
      <c r="B329" s="1067"/>
      <c r="C329" s="1067"/>
      <c r="D329" s="1121"/>
      <c r="E329" s="355"/>
    </row>
    <row r="330" spans="1:5" x14ac:dyDescent="0.2">
      <c r="A330" s="1049">
        <v>268</v>
      </c>
      <c r="B330" s="1042"/>
      <c r="C330" s="1042"/>
      <c r="D330" s="1121"/>
      <c r="E330" s="355"/>
    </row>
    <row r="331" spans="1:5" x14ac:dyDescent="0.2">
      <c r="A331" s="1049">
        <v>188</v>
      </c>
      <c r="B331" s="1067"/>
      <c r="C331" s="1067"/>
      <c r="D331" s="1121"/>
      <c r="E331" s="355"/>
    </row>
    <row r="332" spans="1:5" x14ac:dyDescent="0.2">
      <c r="A332" s="1049">
        <v>189</v>
      </c>
      <c r="B332" s="1067"/>
      <c r="C332" s="1067"/>
      <c r="D332" s="1121"/>
      <c r="E332" s="355"/>
    </row>
    <row r="333" spans="1:5" x14ac:dyDescent="0.2">
      <c r="A333" s="1049">
        <v>190</v>
      </c>
      <c r="B333" s="1067"/>
      <c r="C333" s="1067"/>
      <c r="D333" s="1121"/>
      <c r="E333" s="355"/>
    </row>
    <row r="334" spans="1:5" x14ac:dyDescent="0.2">
      <c r="A334" s="1049">
        <v>191</v>
      </c>
      <c r="B334" s="1067"/>
      <c r="C334" s="1067"/>
      <c r="D334" s="1121"/>
      <c r="E334" s="355"/>
    </row>
    <row r="335" spans="1:5" x14ac:dyDescent="0.2">
      <c r="A335" s="1049">
        <v>192</v>
      </c>
      <c r="B335" s="1042"/>
      <c r="C335" s="1042"/>
      <c r="D335" s="1121"/>
      <c r="E335" s="355"/>
    </row>
    <row r="336" spans="1:5" x14ac:dyDescent="0.2">
      <c r="A336" s="1049">
        <v>193</v>
      </c>
      <c r="B336" s="1067"/>
      <c r="C336" s="1067"/>
      <c r="D336" s="1121"/>
      <c r="E336" s="355"/>
    </row>
    <row r="337" spans="1:5" x14ac:dyDescent="0.2">
      <c r="A337" s="1049">
        <v>194</v>
      </c>
      <c r="B337" s="1067"/>
      <c r="C337" s="1067"/>
      <c r="D337" s="1121"/>
      <c r="E337" s="355"/>
    </row>
    <row r="338" spans="1:5" x14ac:dyDescent="0.2">
      <c r="A338" s="1049">
        <v>197</v>
      </c>
      <c r="B338" s="1067"/>
      <c r="C338" s="1067"/>
      <c r="D338" s="1121"/>
      <c r="E338" s="355"/>
    </row>
    <row r="339" spans="1:5" x14ac:dyDescent="0.2">
      <c r="A339" s="1049">
        <v>226</v>
      </c>
      <c r="B339" s="1067"/>
      <c r="C339" s="1067"/>
      <c r="D339" s="1121"/>
      <c r="E339" s="355"/>
    </row>
    <row r="340" spans="1:5" x14ac:dyDescent="0.2">
      <c r="A340" s="1049">
        <v>198</v>
      </c>
      <c r="B340" s="1067"/>
      <c r="C340" s="1067"/>
      <c r="D340" s="1121"/>
      <c r="E340" s="355"/>
    </row>
    <row r="341" spans="1:5" x14ac:dyDescent="0.2">
      <c r="A341" s="1049">
        <v>199</v>
      </c>
      <c r="B341" s="1067"/>
      <c r="C341" s="1067"/>
      <c r="D341" s="1121"/>
      <c r="E341" s="355"/>
    </row>
    <row r="342" spans="1:5" x14ac:dyDescent="0.2">
      <c r="A342" s="1049">
        <v>358</v>
      </c>
      <c r="B342" s="1067"/>
      <c r="C342" s="1067"/>
      <c r="D342" s="1121"/>
      <c r="E342" s="355"/>
    </row>
    <row r="343" spans="1:5" x14ac:dyDescent="0.2">
      <c r="A343" s="1049">
        <v>200</v>
      </c>
      <c r="B343" s="1067"/>
      <c r="C343" s="1067"/>
      <c r="D343" s="1121"/>
      <c r="E343" s="355"/>
    </row>
    <row r="344" spans="1:5" x14ac:dyDescent="0.2">
      <c r="A344" s="1049">
        <v>117</v>
      </c>
      <c r="B344" s="1067"/>
      <c r="C344" s="1067"/>
      <c r="D344" s="1121"/>
      <c r="E344" s="355"/>
    </row>
    <row r="345" spans="1:5" x14ac:dyDescent="0.2">
      <c r="A345" s="1049">
        <v>240</v>
      </c>
      <c r="B345" s="1067"/>
      <c r="C345" s="1067"/>
      <c r="D345" s="1121"/>
      <c r="E345" s="355"/>
    </row>
    <row r="346" spans="1:5" x14ac:dyDescent="0.2">
      <c r="A346" s="1049">
        <v>202</v>
      </c>
      <c r="B346" s="1067"/>
      <c r="C346" s="1067"/>
      <c r="D346" s="1121"/>
      <c r="E346" s="355"/>
    </row>
    <row r="347" spans="1:5" x14ac:dyDescent="0.2">
      <c r="A347" s="1049">
        <v>120</v>
      </c>
      <c r="B347" s="1067"/>
      <c r="C347" s="1067"/>
      <c r="D347" s="1121"/>
      <c r="E347" s="355"/>
    </row>
    <row r="348" spans="1:5" x14ac:dyDescent="0.2">
      <c r="A348" s="1049">
        <v>203</v>
      </c>
      <c r="B348" s="1067"/>
      <c r="C348" s="1067"/>
      <c r="D348" s="1121"/>
      <c r="E348" s="355"/>
    </row>
    <row r="349" spans="1:5" x14ac:dyDescent="0.2">
      <c r="A349" s="1049">
        <v>27</v>
      </c>
      <c r="B349" s="1067"/>
      <c r="C349" s="1067"/>
      <c r="D349" s="1121"/>
      <c r="E349" s="355"/>
    </row>
    <row r="350" spans="1:5" x14ac:dyDescent="0.2">
      <c r="A350" s="1049">
        <v>204</v>
      </c>
      <c r="B350" s="1067"/>
      <c r="C350" s="1067"/>
      <c r="D350" s="1121"/>
      <c r="E350" s="355"/>
    </row>
    <row r="351" spans="1:5" x14ac:dyDescent="0.2">
      <c r="A351" s="1049">
        <v>220</v>
      </c>
      <c r="B351" s="1067"/>
      <c r="C351" s="1067"/>
      <c r="D351" s="1121"/>
      <c r="E351" s="355"/>
    </row>
    <row r="352" spans="1:5" x14ac:dyDescent="0.2">
      <c r="A352" s="1049">
        <v>219</v>
      </c>
      <c r="B352" s="1067"/>
      <c r="C352" s="1067"/>
      <c r="D352" s="1121"/>
      <c r="E352" s="355"/>
    </row>
    <row r="353" spans="1:5" x14ac:dyDescent="0.2">
      <c r="A353" s="1049">
        <v>206</v>
      </c>
      <c r="B353" s="1042"/>
      <c r="C353" s="1042"/>
      <c r="D353" s="1121"/>
      <c r="E353" s="355"/>
    </row>
    <row r="354" spans="1:5" x14ac:dyDescent="0.2">
      <c r="A354" s="1049">
        <v>207</v>
      </c>
      <c r="B354" s="630"/>
      <c r="C354" s="630"/>
      <c r="D354" s="1121"/>
      <c r="E354" s="355"/>
    </row>
    <row r="355" spans="1:5" x14ac:dyDescent="0.2">
      <c r="A355" s="1049">
        <v>208</v>
      </c>
      <c r="B355" s="1067"/>
      <c r="C355" s="1067"/>
      <c r="D355" s="1121"/>
      <c r="E355" s="355"/>
    </row>
    <row r="356" spans="1:5" x14ac:dyDescent="0.2">
      <c r="A356" s="1049">
        <v>209</v>
      </c>
      <c r="B356" s="1067"/>
      <c r="C356" s="1067"/>
      <c r="D356" s="1121"/>
      <c r="E356" s="355"/>
    </row>
    <row r="357" spans="1:5" x14ac:dyDescent="0.2">
      <c r="A357" s="1049">
        <v>210</v>
      </c>
      <c r="B357" s="1067"/>
      <c r="C357" s="1067"/>
      <c r="D357" s="1121"/>
      <c r="E357" s="355"/>
    </row>
    <row r="358" spans="1:5" x14ac:dyDescent="0.2">
      <c r="A358" s="1049">
        <v>211</v>
      </c>
      <c r="B358" s="630"/>
      <c r="C358" s="630"/>
      <c r="D358" s="1121"/>
      <c r="E358" s="355"/>
    </row>
    <row r="359" spans="1:5" x14ac:dyDescent="0.2">
      <c r="A359" s="1049">
        <v>125</v>
      </c>
      <c r="B359" s="1067"/>
      <c r="C359" s="1067"/>
      <c r="D359" s="1121"/>
      <c r="E359" s="355"/>
    </row>
    <row r="360" spans="1:5" x14ac:dyDescent="0.2">
      <c r="A360" s="1049">
        <v>335</v>
      </c>
      <c r="B360" s="1067"/>
      <c r="C360" s="1067"/>
      <c r="D360" s="1121"/>
      <c r="E360" s="355"/>
    </row>
    <row r="361" spans="1:5" x14ac:dyDescent="0.2">
      <c r="A361" s="1049">
        <v>278</v>
      </c>
      <c r="B361" s="1067"/>
      <c r="C361" s="1067"/>
      <c r="D361" s="1121"/>
      <c r="E361" s="355"/>
    </row>
    <row r="362" spans="1:5" x14ac:dyDescent="0.2">
      <c r="A362" s="1049">
        <v>130</v>
      </c>
      <c r="B362" s="1067"/>
      <c r="C362" s="1067"/>
      <c r="D362" s="1121"/>
      <c r="E362" s="355"/>
    </row>
    <row r="363" spans="1:5" x14ac:dyDescent="0.2">
      <c r="A363" s="1049">
        <v>212</v>
      </c>
      <c r="B363" s="1067"/>
      <c r="C363" s="1067"/>
      <c r="D363" s="1121"/>
      <c r="E363" s="355"/>
    </row>
    <row r="364" spans="1:5" x14ac:dyDescent="0.2">
      <c r="A364" s="1049">
        <v>336</v>
      </c>
      <c r="B364" s="1067"/>
      <c r="C364" s="1067"/>
      <c r="D364" s="1121"/>
      <c r="E364" s="355"/>
    </row>
    <row r="365" spans="1:5" x14ac:dyDescent="0.2">
      <c r="A365" s="1049">
        <v>213</v>
      </c>
      <c r="B365" s="1067"/>
      <c r="C365" s="1067"/>
      <c r="D365" s="1121"/>
      <c r="E365" s="355"/>
    </row>
    <row r="366" spans="1:5" x14ac:dyDescent="0.2">
      <c r="A366" s="1049">
        <v>214</v>
      </c>
      <c r="B366" s="1067"/>
      <c r="C366" s="1067"/>
      <c r="D366" s="1121"/>
      <c r="E366" s="355"/>
    </row>
    <row r="367" spans="1:5" x14ac:dyDescent="0.2">
      <c r="A367" s="1049">
        <v>215</v>
      </c>
      <c r="B367" s="1067"/>
      <c r="C367" s="1067"/>
      <c r="D367" s="1121"/>
      <c r="E367" s="355"/>
    </row>
    <row r="368" spans="1:5" x14ac:dyDescent="0.2">
      <c r="A368" s="1120">
        <v>308</v>
      </c>
      <c r="B368" s="1119"/>
      <c r="C368" s="1067"/>
      <c r="D368" s="1121"/>
      <c r="E368" s="355"/>
    </row>
    <row r="369" spans="1:5" x14ac:dyDescent="0.2">
      <c r="A369" s="1120">
        <v>309</v>
      </c>
      <c r="B369" s="1119"/>
      <c r="C369" s="1067"/>
      <c r="D369" s="1121"/>
      <c r="E369" s="355"/>
    </row>
    <row r="370" spans="1:5" x14ac:dyDescent="0.2">
      <c r="A370" s="1120">
        <v>327</v>
      </c>
      <c r="B370" s="1155"/>
      <c r="C370" s="1067"/>
      <c r="D370" s="1121"/>
      <c r="E370" s="355"/>
    </row>
    <row r="371" spans="1:5" x14ac:dyDescent="0.2">
      <c r="A371" s="1120">
        <v>363</v>
      </c>
      <c r="B371" s="1119"/>
      <c r="C371" s="1067"/>
      <c r="D371" s="1121"/>
      <c r="E371" s="355"/>
    </row>
    <row r="372" spans="1:5" x14ac:dyDescent="0.2">
      <c r="A372" s="1049">
        <v>364</v>
      </c>
      <c r="B372" s="1067"/>
      <c r="C372" s="1067"/>
      <c r="D372" s="1121"/>
      <c r="E372" s="355"/>
    </row>
    <row r="373" spans="1:5" x14ac:dyDescent="0.2">
      <c r="A373" s="1049">
        <v>365</v>
      </c>
      <c r="B373" s="1076"/>
      <c r="C373" s="1067"/>
      <c r="D373" s="1121"/>
      <c r="E373" s="355"/>
    </row>
    <row r="374" spans="1:5" x14ac:dyDescent="0.2">
      <c r="A374" s="1049">
        <v>366</v>
      </c>
      <c r="B374" s="1493"/>
      <c r="C374" s="1067"/>
      <c r="D374" s="1121"/>
      <c r="E374" s="355"/>
    </row>
    <row r="375" spans="1:5" x14ac:dyDescent="0.2">
      <c r="A375" s="1049">
        <v>367</v>
      </c>
      <c r="B375" s="1076"/>
      <c r="C375" s="1067"/>
      <c r="D375" s="1121"/>
      <c r="E375" s="355"/>
    </row>
    <row r="376" spans="1:5" x14ac:dyDescent="0.2">
      <c r="A376" s="1049">
        <v>368</v>
      </c>
      <c r="B376" s="1067"/>
      <c r="C376" s="1067"/>
      <c r="D376" s="1121"/>
      <c r="E376" s="355"/>
    </row>
    <row r="377" spans="1:5" x14ac:dyDescent="0.2">
      <c r="A377" s="1049">
        <v>369</v>
      </c>
      <c r="B377" s="1067"/>
      <c r="C377" s="1067"/>
      <c r="D377" s="1121"/>
      <c r="E377" s="355"/>
    </row>
    <row r="378" spans="1:5" x14ac:dyDescent="0.2">
      <c r="A378" s="1049">
        <v>370</v>
      </c>
      <c r="B378" s="1067"/>
      <c r="C378" s="1067"/>
      <c r="D378" s="1121"/>
      <c r="E378" s="355"/>
    </row>
    <row r="379" spans="1:5" x14ac:dyDescent="0.2">
      <c r="A379" s="1049">
        <f t="shared" ref="A379:A388" si="0">+A378+1</f>
        <v>371</v>
      </c>
      <c r="B379" s="1067"/>
      <c r="C379" s="1067"/>
      <c r="D379" s="1121"/>
      <c r="E379" s="355"/>
    </row>
    <row r="380" spans="1:5" x14ac:dyDescent="0.2">
      <c r="A380" s="1049">
        <f t="shared" si="0"/>
        <v>372</v>
      </c>
      <c r="B380" s="1067"/>
      <c r="C380" s="1067"/>
      <c r="D380" s="1121"/>
      <c r="E380" s="355"/>
    </row>
    <row r="381" spans="1:5" x14ac:dyDescent="0.2">
      <c r="A381" s="1049">
        <f t="shared" si="0"/>
        <v>373</v>
      </c>
      <c r="B381" s="1067"/>
      <c r="C381" s="1067"/>
      <c r="D381" s="1121"/>
      <c r="E381" s="355"/>
    </row>
    <row r="382" spans="1:5" x14ac:dyDescent="0.2">
      <c r="A382" s="1049">
        <f t="shared" si="0"/>
        <v>374</v>
      </c>
      <c r="B382" s="1067"/>
      <c r="C382" s="1067"/>
      <c r="D382" s="1121"/>
      <c r="E382" s="355"/>
    </row>
    <row r="383" spans="1:5" x14ac:dyDescent="0.2">
      <c r="A383" s="1049">
        <f t="shared" si="0"/>
        <v>375</v>
      </c>
      <c r="B383" s="1067"/>
      <c r="C383" s="1067"/>
      <c r="D383" s="1121"/>
      <c r="E383" s="355"/>
    </row>
    <row r="384" spans="1:5" x14ac:dyDescent="0.2">
      <c r="A384" s="1049">
        <f t="shared" si="0"/>
        <v>376</v>
      </c>
      <c r="B384" s="1067"/>
      <c r="C384" s="1067"/>
      <c r="D384" s="1121"/>
      <c r="E384" s="355"/>
    </row>
    <row r="385" spans="1:5" x14ac:dyDescent="0.2">
      <c r="A385" s="1049">
        <f t="shared" si="0"/>
        <v>377</v>
      </c>
      <c r="B385" s="1067"/>
      <c r="C385" s="1067"/>
      <c r="D385" s="1121"/>
      <c r="E385" s="355"/>
    </row>
    <row r="386" spans="1:5" x14ac:dyDescent="0.2">
      <c r="A386" s="1049">
        <f t="shared" si="0"/>
        <v>378</v>
      </c>
      <c r="B386" s="1067"/>
      <c r="C386" s="1067"/>
      <c r="D386" s="1121"/>
      <c r="E386" s="355"/>
    </row>
    <row r="387" spans="1:5" x14ac:dyDescent="0.2">
      <c r="A387" s="1049">
        <f t="shared" si="0"/>
        <v>379</v>
      </c>
      <c r="B387" s="1067"/>
      <c r="C387" s="1067"/>
      <c r="D387" s="1121"/>
      <c r="E387" s="355"/>
    </row>
    <row r="388" spans="1:5" x14ac:dyDescent="0.2">
      <c r="A388" s="1049">
        <f t="shared" si="0"/>
        <v>380</v>
      </c>
      <c r="B388" s="1067"/>
      <c r="C388" s="1067"/>
      <c r="D388" s="1121"/>
      <c r="E388" s="355"/>
    </row>
    <row r="389" spans="1:5" x14ac:dyDescent="0.2">
      <c r="A389" s="1049"/>
      <c r="B389" s="1067"/>
      <c r="C389" s="1067"/>
      <c r="D389" s="1121"/>
      <c r="E389" s="355"/>
    </row>
    <row r="390" spans="1:5" x14ac:dyDescent="0.2">
      <c r="A390" s="1049"/>
      <c r="B390" s="1067"/>
      <c r="C390" s="1067"/>
      <c r="D390" s="1121"/>
      <c r="E390" s="355"/>
    </row>
    <row r="391" spans="1:5" x14ac:dyDescent="0.2">
      <c r="A391" s="1049"/>
      <c r="B391" s="1067"/>
      <c r="C391" s="1067"/>
      <c r="D391" s="1121"/>
      <c r="E391" s="355"/>
    </row>
    <row r="392" spans="1:5" x14ac:dyDescent="0.2">
      <c r="A392" s="1049"/>
      <c r="B392" s="1067"/>
      <c r="C392" s="1067"/>
      <c r="D392" s="1121"/>
      <c r="E392" s="355"/>
    </row>
    <row r="393" spans="1:5" x14ac:dyDescent="0.2">
      <c r="A393" s="1049"/>
      <c r="B393" s="1067"/>
      <c r="C393" s="1067"/>
      <c r="D393" s="1121"/>
      <c r="E393" s="355"/>
    </row>
    <row r="394" spans="1:5" x14ac:dyDescent="0.2">
      <c r="A394" s="1049"/>
      <c r="B394" s="1067"/>
      <c r="C394" s="1067"/>
      <c r="D394" s="1121"/>
      <c r="E394" s="355"/>
    </row>
    <row r="395" spans="1:5" x14ac:dyDescent="0.2">
      <c r="A395" s="1049"/>
      <c r="B395" s="1067"/>
      <c r="C395" s="1067"/>
      <c r="D395" s="1121"/>
      <c r="E395" s="355"/>
    </row>
    <row r="396" spans="1:5" x14ac:dyDescent="0.2">
      <c r="A396" s="1049"/>
      <c r="B396" s="1067"/>
      <c r="C396" s="1067"/>
      <c r="D396" s="1121"/>
      <c r="E396" s="355"/>
    </row>
    <row r="397" spans="1:5" x14ac:dyDescent="0.2">
      <c r="A397" s="1049"/>
      <c r="B397" s="1067"/>
      <c r="C397" s="1067"/>
      <c r="D397" s="1121"/>
      <c r="E397" s="355"/>
    </row>
    <row r="398" spans="1:5" x14ac:dyDescent="0.2">
      <c r="A398" s="1049"/>
      <c r="B398" s="1067"/>
      <c r="C398" s="1067"/>
      <c r="D398" s="1121"/>
      <c r="E398" s="355"/>
    </row>
    <row r="399" spans="1:5" x14ac:dyDescent="0.2">
      <c r="A399" s="1049"/>
      <c r="B399" s="1067"/>
      <c r="C399" s="1067"/>
      <c r="D399" s="1121"/>
      <c r="E399" s="355"/>
    </row>
    <row r="400" spans="1:5" x14ac:dyDescent="0.2">
      <c r="A400" s="1049"/>
      <c r="B400" s="1067"/>
      <c r="C400" s="1067"/>
      <c r="D400" s="1121"/>
      <c r="E400" s="355"/>
    </row>
    <row r="401" spans="1:5" x14ac:dyDescent="0.2">
      <c r="A401" s="1049"/>
      <c r="B401" s="1067"/>
      <c r="C401" s="1067"/>
      <c r="D401" s="1121"/>
      <c r="E401" s="355"/>
    </row>
    <row r="402" spans="1:5" x14ac:dyDescent="0.2">
      <c r="A402" s="1049"/>
      <c r="B402" s="1067"/>
      <c r="C402" s="1067"/>
      <c r="D402" s="1121"/>
      <c r="E402" s="355"/>
    </row>
    <row r="403" spans="1:5" x14ac:dyDescent="0.2">
      <c r="A403" s="1049"/>
      <c r="B403" s="1067"/>
      <c r="C403" s="1067"/>
      <c r="D403" s="1121"/>
      <c r="E403" s="355"/>
    </row>
    <row r="404" spans="1:5" x14ac:dyDescent="0.2">
      <c r="A404" s="1049"/>
      <c r="B404" s="1067"/>
      <c r="C404" s="1067"/>
      <c r="D404" s="1121"/>
      <c r="E404" s="355"/>
    </row>
    <row r="405" spans="1:5" x14ac:dyDescent="0.2">
      <c r="A405" s="1118"/>
      <c r="B405" s="1076"/>
      <c r="C405" s="1076"/>
      <c r="D405" s="1327"/>
      <c r="E405" s="355"/>
    </row>
    <row r="406" spans="1:5" x14ac:dyDescent="0.2">
      <c r="A406" s="1118"/>
      <c r="B406" s="1076"/>
      <c r="C406" s="1076"/>
      <c r="D406" s="1327"/>
      <c r="E406" s="355"/>
    </row>
    <row r="407" spans="1:5" x14ac:dyDescent="0.2">
      <c r="A407" s="214"/>
      <c r="E407" s="355"/>
    </row>
    <row r="408" spans="1:5" x14ac:dyDescent="0.2">
      <c r="A408" s="355"/>
      <c r="B408" s="355"/>
      <c r="C408" s="355"/>
      <c r="D408" s="355"/>
      <c r="E408" s="355"/>
    </row>
    <row r="409" spans="1:5" x14ac:dyDescent="0.2">
      <c r="A409" s="214"/>
    </row>
  </sheetData>
  <phoneticPr fontId="9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D7B9-C610-4FDD-BED4-7DBDBE3AE8C6}">
  <sheetPr codeName="Hoja14"/>
  <dimension ref="A1:HQ34"/>
  <sheetViews>
    <sheetView showGridLines="0" workbookViewId="0"/>
  </sheetViews>
  <sheetFormatPr baseColWidth="10" defaultColWidth="10.6640625" defaultRowHeight="12.75" x14ac:dyDescent="0.2"/>
  <cols>
    <col min="1" max="1" width="51.109375" style="380" customWidth="1"/>
    <col min="2" max="2" width="14.33203125" style="380" bestFit="1" customWidth="1"/>
    <col min="3" max="3" width="12.6640625" style="380" bestFit="1" customWidth="1"/>
    <col min="4" max="4" width="8.44140625" style="873" bestFit="1" customWidth="1"/>
    <col min="5" max="5" width="54.44140625" style="873" bestFit="1" customWidth="1"/>
    <col min="6" max="6" width="25.6640625" style="380" bestFit="1" customWidth="1"/>
    <col min="7" max="7" width="0.88671875" style="380" customWidth="1"/>
    <col min="8" max="221" width="10.6640625" style="380"/>
    <col min="222" max="16384" width="10.6640625" style="845"/>
  </cols>
  <sheetData>
    <row r="1" spans="1:225" ht="13.5" thickBot="1" x14ac:dyDescent="0.25">
      <c r="D1" s="380"/>
      <c r="G1" s="639"/>
      <c r="H1" s="1518" t="s">
        <v>159</v>
      </c>
      <c r="I1" s="1519"/>
    </row>
    <row r="2" spans="1:225" x14ac:dyDescent="0.2">
      <c r="D2" s="380"/>
      <c r="G2" s="639"/>
      <c r="H2" s="868" t="s">
        <v>160</v>
      </c>
      <c r="I2" s="869">
        <v>42412</v>
      </c>
    </row>
    <row r="3" spans="1:225" ht="13.5" thickBot="1" x14ac:dyDescent="0.25">
      <c r="A3" s="874"/>
      <c r="B3" s="874"/>
      <c r="C3" s="875"/>
      <c r="D3" s="874"/>
      <c r="G3" s="639"/>
      <c r="H3" s="911" t="s">
        <v>170</v>
      </c>
      <c r="I3" s="912">
        <v>38004</v>
      </c>
    </row>
    <row r="4" spans="1:225" x14ac:dyDescent="0.2">
      <c r="A4" s="876"/>
      <c r="B4" s="877"/>
      <c r="C4" s="874"/>
      <c r="D4" s="874"/>
      <c r="G4" s="639"/>
    </row>
    <row r="5" spans="1:225" x14ac:dyDescent="0.2">
      <c r="A5" s="878"/>
      <c r="B5" s="876"/>
      <c r="C5" s="874"/>
      <c r="D5" s="874"/>
      <c r="G5" s="639"/>
    </row>
    <row r="6" spans="1:225" x14ac:dyDescent="0.2">
      <c r="C6" s="874"/>
      <c r="D6" s="874"/>
      <c r="G6" s="639"/>
    </row>
    <row r="7" spans="1:225" x14ac:dyDescent="0.2">
      <c r="A7" s="879" t="s">
        <v>171</v>
      </c>
      <c r="C7" s="874"/>
      <c r="D7" s="874"/>
      <c r="G7" s="639"/>
    </row>
    <row r="8" spans="1:225" x14ac:dyDescent="0.2">
      <c r="A8" s="879"/>
      <c r="C8" s="874"/>
      <c r="D8" s="874"/>
      <c r="G8" s="639"/>
    </row>
    <row r="9" spans="1:225" x14ac:dyDescent="0.2">
      <c r="A9" s="880" t="s">
        <v>185</v>
      </c>
      <c r="B9" s="881">
        <f>+'Grupos Familiares'!M33</f>
        <v>0</v>
      </c>
      <c r="C9" s="882"/>
      <c r="D9" s="882"/>
      <c r="G9" s="639"/>
    </row>
    <row r="10" spans="1:225" x14ac:dyDescent="0.2">
      <c r="A10" s="880" t="s">
        <v>161</v>
      </c>
      <c r="B10" s="883">
        <f>+I2</f>
        <v>42412</v>
      </c>
      <c r="C10" s="479"/>
      <c r="D10" s="479"/>
      <c r="G10" s="639"/>
      <c r="HN10" s="380"/>
      <c r="HO10" s="380"/>
      <c r="HP10" s="380"/>
      <c r="HQ10" s="380"/>
    </row>
    <row r="11" spans="1:225" x14ac:dyDescent="0.2">
      <c r="A11" s="451" t="s">
        <v>186</v>
      </c>
      <c r="B11" s="451">
        <f>B9/B10</f>
        <v>0</v>
      </c>
      <c r="C11" s="479"/>
      <c r="D11" s="479"/>
      <c r="E11" s="1"/>
      <c r="F11" s="1"/>
      <c r="G11" s="639"/>
      <c r="HN11" s="380"/>
      <c r="HO11" s="380"/>
      <c r="HP11" s="380"/>
      <c r="HQ11" s="380"/>
    </row>
    <row r="12" spans="1:225" x14ac:dyDescent="0.2">
      <c r="A12" s="479"/>
      <c r="B12" s="479"/>
      <c r="C12" s="479"/>
      <c r="D12" s="882"/>
      <c r="E12" s="380"/>
      <c r="G12" s="639"/>
      <c r="HN12" s="380"/>
      <c r="HO12" s="380"/>
      <c r="HP12" s="380"/>
      <c r="HQ12" s="380"/>
    </row>
    <row r="13" spans="1:225" ht="30" customHeight="1" x14ac:dyDescent="0.2">
      <c r="A13" s="884" t="s">
        <v>187</v>
      </c>
      <c r="B13" s="885">
        <f>+E17</f>
        <v>0</v>
      </c>
      <c r="D13" s="380"/>
      <c r="E13" s="380"/>
      <c r="F13" s="886"/>
      <c r="G13" s="639"/>
    </row>
    <row r="14" spans="1:225" ht="13.5" thickBot="1" x14ac:dyDescent="0.25">
      <c r="D14" s="380"/>
      <c r="E14" s="380"/>
      <c r="F14" s="886"/>
      <c r="G14" s="639"/>
    </row>
    <row r="15" spans="1:225" ht="45" customHeight="1" x14ac:dyDescent="0.2">
      <c r="A15" s="1523" t="s">
        <v>172</v>
      </c>
      <c r="B15" s="1524"/>
      <c r="C15" s="1524"/>
      <c r="D15" s="1524"/>
      <c r="E15" s="1524"/>
      <c r="F15" s="1525"/>
      <c r="G15" s="639"/>
    </row>
    <row r="16" spans="1:225" ht="38.25" customHeight="1" x14ac:dyDescent="0.2">
      <c r="A16" s="1520" t="s">
        <v>173</v>
      </c>
      <c r="B16" s="1521"/>
      <c r="C16" s="1521"/>
      <c r="D16" s="1521"/>
      <c r="E16" s="1521"/>
      <c r="F16" s="1522"/>
      <c r="G16" s="639"/>
    </row>
    <row r="17" spans="1:221" x14ac:dyDescent="0.2">
      <c r="A17" s="888" t="s">
        <v>187</v>
      </c>
      <c r="B17" s="889"/>
      <c r="C17" s="889"/>
      <c r="D17" s="890"/>
      <c r="E17" s="890">
        <f>SUM(E22:E28)</f>
        <v>0</v>
      </c>
      <c r="F17" s="887"/>
      <c r="G17" s="639"/>
    </row>
    <row r="18" spans="1:221" ht="12.75" customHeight="1" x14ac:dyDescent="0.2">
      <c r="A18" s="891"/>
      <c r="E18" s="380"/>
      <c r="F18" s="892"/>
      <c r="G18" s="639"/>
    </row>
    <row r="19" spans="1:221" s="898" customFormat="1" ht="12.75" customHeight="1" x14ac:dyDescent="0.2">
      <c r="A19" s="1526" t="s">
        <v>162</v>
      </c>
      <c r="B19" s="1527"/>
      <c r="C19" s="894" t="s">
        <v>163</v>
      </c>
      <c r="D19" s="894" t="s">
        <v>164</v>
      </c>
      <c r="E19" s="894" t="s">
        <v>165</v>
      </c>
      <c r="F19" s="895" t="s">
        <v>165</v>
      </c>
      <c r="G19" s="896"/>
      <c r="H19" s="897"/>
      <c r="I19" s="897"/>
      <c r="J19" s="897"/>
      <c r="K19" s="897"/>
      <c r="L19" s="897"/>
      <c r="M19" s="897"/>
      <c r="N19" s="897"/>
      <c r="O19" s="897"/>
      <c r="P19" s="897"/>
      <c r="Q19" s="897"/>
      <c r="R19" s="897"/>
      <c r="S19" s="897"/>
      <c r="T19" s="897"/>
      <c r="U19" s="897"/>
      <c r="V19" s="897"/>
      <c r="W19" s="897"/>
      <c r="X19" s="897"/>
      <c r="Y19" s="897"/>
      <c r="Z19" s="897"/>
      <c r="AA19" s="897"/>
      <c r="AB19" s="897"/>
      <c r="AC19" s="897"/>
      <c r="AD19" s="897"/>
      <c r="AE19" s="897"/>
      <c r="AF19" s="897"/>
      <c r="AG19" s="897"/>
      <c r="AH19" s="897"/>
      <c r="AI19" s="897"/>
      <c r="AJ19" s="897"/>
      <c r="AK19" s="897"/>
      <c r="AL19" s="897"/>
      <c r="AM19" s="897"/>
      <c r="AN19" s="897"/>
      <c r="AO19" s="897"/>
      <c r="AP19" s="897"/>
      <c r="AQ19" s="897"/>
      <c r="AR19" s="897"/>
      <c r="AS19" s="897"/>
      <c r="AT19" s="897"/>
      <c r="AU19" s="897"/>
      <c r="AV19" s="897"/>
      <c r="AW19" s="897"/>
      <c r="AX19" s="897"/>
      <c r="AY19" s="897"/>
      <c r="AZ19" s="897"/>
      <c r="BA19" s="897"/>
      <c r="BB19" s="897"/>
      <c r="BC19" s="897"/>
      <c r="BD19" s="897"/>
      <c r="BE19" s="897"/>
      <c r="BF19" s="897"/>
      <c r="BG19" s="897"/>
      <c r="BH19" s="897"/>
      <c r="BI19" s="897"/>
      <c r="BJ19" s="897"/>
      <c r="BK19" s="897"/>
      <c r="BL19" s="897"/>
      <c r="BM19" s="897"/>
      <c r="BN19" s="897"/>
      <c r="BO19" s="897"/>
      <c r="BP19" s="897"/>
      <c r="BQ19" s="897"/>
      <c r="BR19" s="897"/>
      <c r="BS19" s="897"/>
      <c r="BT19" s="897"/>
      <c r="BU19" s="897"/>
      <c r="BV19" s="897"/>
      <c r="BW19" s="897"/>
      <c r="BX19" s="897"/>
      <c r="BY19" s="897"/>
      <c r="BZ19" s="897"/>
      <c r="CA19" s="897"/>
      <c r="CB19" s="897"/>
      <c r="CC19" s="897"/>
      <c r="CD19" s="897"/>
      <c r="CE19" s="897"/>
      <c r="CF19" s="897"/>
      <c r="CG19" s="897"/>
      <c r="CH19" s="897"/>
      <c r="CI19" s="897"/>
      <c r="CJ19" s="897"/>
      <c r="CK19" s="897"/>
      <c r="CL19" s="897"/>
      <c r="CM19" s="897"/>
      <c r="CN19" s="897"/>
      <c r="CO19" s="897"/>
      <c r="CP19" s="897"/>
      <c r="CQ19" s="897"/>
      <c r="CR19" s="897"/>
      <c r="CS19" s="897"/>
      <c r="CT19" s="897"/>
      <c r="CU19" s="897"/>
      <c r="CV19" s="897"/>
      <c r="CW19" s="897"/>
      <c r="CX19" s="897"/>
      <c r="CY19" s="897"/>
      <c r="CZ19" s="897"/>
      <c r="DA19" s="897"/>
      <c r="DB19" s="897"/>
      <c r="DC19" s="897"/>
      <c r="DD19" s="897"/>
      <c r="DE19" s="897"/>
      <c r="DF19" s="897"/>
      <c r="DG19" s="897"/>
      <c r="DH19" s="897"/>
      <c r="DI19" s="897"/>
      <c r="DJ19" s="897"/>
      <c r="DK19" s="897"/>
      <c r="DL19" s="897"/>
      <c r="DM19" s="897"/>
      <c r="DN19" s="897"/>
      <c r="DO19" s="897"/>
      <c r="DP19" s="897"/>
      <c r="DQ19" s="897"/>
      <c r="DR19" s="897"/>
      <c r="DS19" s="897"/>
      <c r="DT19" s="897"/>
      <c r="DU19" s="897"/>
      <c r="DV19" s="897"/>
      <c r="DW19" s="897"/>
      <c r="DX19" s="897"/>
      <c r="DY19" s="897"/>
      <c r="DZ19" s="897"/>
      <c r="EA19" s="897"/>
      <c r="EB19" s="897"/>
      <c r="EC19" s="897"/>
      <c r="ED19" s="897"/>
      <c r="EE19" s="897"/>
      <c r="EF19" s="897"/>
      <c r="EG19" s="897"/>
      <c r="EH19" s="897"/>
      <c r="EI19" s="897"/>
      <c r="EJ19" s="897"/>
      <c r="EK19" s="897"/>
      <c r="EL19" s="897"/>
      <c r="EM19" s="897"/>
      <c r="EN19" s="897"/>
      <c r="EO19" s="897"/>
      <c r="EP19" s="897"/>
      <c r="EQ19" s="897"/>
      <c r="ER19" s="897"/>
      <c r="ES19" s="897"/>
      <c r="ET19" s="897"/>
      <c r="EU19" s="897"/>
      <c r="EV19" s="897"/>
      <c r="EW19" s="897"/>
      <c r="EX19" s="897"/>
      <c r="EY19" s="897"/>
      <c r="EZ19" s="897"/>
      <c r="FA19" s="897"/>
      <c r="FB19" s="897"/>
      <c r="FC19" s="897"/>
      <c r="FD19" s="897"/>
      <c r="FE19" s="897"/>
      <c r="FF19" s="897"/>
      <c r="FG19" s="897"/>
      <c r="FH19" s="897"/>
      <c r="FI19" s="897"/>
      <c r="FJ19" s="897"/>
      <c r="FK19" s="897"/>
      <c r="FL19" s="897"/>
      <c r="FM19" s="897"/>
      <c r="FN19" s="897"/>
      <c r="FO19" s="897"/>
      <c r="FP19" s="897"/>
      <c r="FQ19" s="897"/>
      <c r="FR19" s="897"/>
      <c r="FS19" s="897"/>
      <c r="FT19" s="897"/>
      <c r="FU19" s="897"/>
      <c r="FV19" s="897"/>
      <c r="FW19" s="897"/>
      <c r="FX19" s="897"/>
      <c r="FY19" s="897"/>
      <c r="FZ19" s="897"/>
      <c r="GA19" s="897"/>
      <c r="GB19" s="897"/>
      <c r="GC19" s="897"/>
      <c r="GD19" s="897"/>
      <c r="GE19" s="897"/>
      <c r="GF19" s="897"/>
      <c r="GG19" s="897"/>
      <c r="GH19" s="897"/>
      <c r="GI19" s="897"/>
      <c r="GJ19" s="897"/>
      <c r="GK19" s="897"/>
      <c r="GL19" s="897"/>
      <c r="GM19" s="897"/>
      <c r="GN19" s="897"/>
      <c r="GO19" s="897"/>
      <c r="GP19" s="897"/>
      <c r="GQ19" s="897"/>
      <c r="GR19" s="897"/>
      <c r="GS19" s="897"/>
      <c r="GT19" s="897"/>
      <c r="GU19" s="897"/>
      <c r="GV19" s="897"/>
      <c r="GW19" s="897"/>
      <c r="GX19" s="897"/>
      <c r="GY19" s="897"/>
      <c r="GZ19" s="897"/>
      <c r="HA19" s="897"/>
      <c r="HB19" s="897"/>
      <c r="HC19" s="897"/>
      <c r="HD19" s="897"/>
      <c r="HE19" s="897"/>
      <c r="HF19" s="897"/>
      <c r="HG19" s="897"/>
      <c r="HH19" s="897"/>
      <c r="HI19" s="897"/>
      <c r="HJ19" s="897"/>
      <c r="HK19" s="897"/>
      <c r="HL19" s="897"/>
      <c r="HM19" s="897"/>
    </row>
    <row r="20" spans="1:221" s="898" customFormat="1" ht="10.5" x14ac:dyDescent="0.2">
      <c r="A20" s="893" t="s">
        <v>166</v>
      </c>
      <c r="B20" s="894" t="s">
        <v>167</v>
      </c>
      <c r="C20" s="894" t="s">
        <v>165</v>
      </c>
      <c r="D20" s="894" t="s">
        <v>168</v>
      </c>
      <c r="E20" s="899" t="s">
        <v>169</v>
      </c>
      <c r="F20" s="900"/>
      <c r="G20" s="896"/>
      <c r="H20" s="897"/>
      <c r="I20" s="897"/>
      <c r="J20" s="897"/>
      <c r="K20" s="897"/>
      <c r="L20" s="897"/>
      <c r="M20" s="897"/>
      <c r="N20" s="897"/>
      <c r="O20" s="897"/>
      <c r="P20" s="897"/>
      <c r="Q20" s="897"/>
      <c r="R20" s="897"/>
      <c r="S20" s="897"/>
      <c r="T20" s="897"/>
      <c r="U20" s="897"/>
      <c r="V20" s="897"/>
      <c r="W20" s="897"/>
      <c r="X20" s="897"/>
      <c r="Y20" s="897"/>
      <c r="Z20" s="897"/>
      <c r="AA20" s="897"/>
      <c r="AB20" s="897"/>
      <c r="AC20" s="897"/>
      <c r="AD20" s="897"/>
      <c r="AE20" s="897"/>
      <c r="AF20" s="897"/>
      <c r="AG20" s="897"/>
      <c r="AH20" s="897"/>
      <c r="AI20" s="897"/>
      <c r="AJ20" s="897"/>
      <c r="AK20" s="897"/>
      <c r="AL20" s="897"/>
      <c r="AM20" s="897"/>
      <c r="AN20" s="897"/>
      <c r="AO20" s="897"/>
      <c r="AP20" s="897"/>
      <c r="AQ20" s="897"/>
      <c r="AR20" s="897"/>
      <c r="AS20" s="897"/>
      <c r="AT20" s="897"/>
      <c r="AU20" s="897"/>
      <c r="AV20" s="897"/>
      <c r="AW20" s="897"/>
      <c r="AX20" s="897"/>
      <c r="AY20" s="897"/>
      <c r="AZ20" s="897"/>
      <c r="BA20" s="897"/>
      <c r="BB20" s="897"/>
      <c r="BC20" s="897"/>
      <c r="BD20" s="897"/>
      <c r="BE20" s="897"/>
      <c r="BF20" s="897"/>
      <c r="BG20" s="897"/>
      <c r="BH20" s="897"/>
      <c r="BI20" s="897"/>
      <c r="BJ20" s="897"/>
      <c r="BK20" s="897"/>
      <c r="BL20" s="897"/>
      <c r="BM20" s="897"/>
      <c r="BN20" s="897"/>
      <c r="BO20" s="897"/>
      <c r="BP20" s="897"/>
      <c r="BQ20" s="897"/>
      <c r="BR20" s="897"/>
      <c r="BS20" s="897"/>
      <c r="BT20" s="897"/>
      <c r="BU20" s="897"/>
      <c r="BV20" s="897"/>
      <c r="BW20" s="897"/>
      <c r="BX20" s="897"/>
      <c r="BY20" s="897"/>
      <c r="BZ20" s="897"/>
      <c r="CA20" s="897"/>
      <c r="CB20" s="897"/>
      <c r="CC20" s="897"/>
      <c r="CD20" s="897"/>
      <c r="CE20" s="897"/>
      <c r="CF20" s="897"/>
      <c r="CG20" s="897"/>
      <c r="CH20" s="897"/>
      <c r="CI20" s="897"/>
      <c r="CJ20" s="897"/>
      <c r="CK20" s="897"/>
      <c r="CL20" s="897"/>
      <c r="CM20" s="897"/>
      <c r="CN20" s="897"/>
      <c r="CO20" s="897"/>
      <c r="CP20" s="897"/>
      <c r="CQ20" s="897"/>
      <c r="CR20" s="897"/>
      <c r="CS20" s="897"/>
      <c r="CT20" s="897"/>
      <c r="CU20" s="897"/>
      <c r="CV20" s="897"/>
      <c r="CW20" s="897"/>
      <c r="CX20" s="897"/>
      <c r="CY20" s="897"/>
      <c r="CZ20" s="897"/>
      <c r="DA20" s="897"/>
      <c r="DB20" s="897"/>
      <c r="DC20" s="897"/>
      <c r="DD20" s="897"/>
      <c r="DE20" s="897"/>
      <c r="DF20" s="897"/>
      <c r="DG20" s="897"/>
      <c r="DH20" s="897"/>
      <c r="DI20" s="897"/>
      <c r="DJ20" s="897"/>
      <c r="DK20" s="897"/>
      <c r="DL20" s="897"/>
      <c r="DM20" s="897"/>
      <c r="DN20" s="897"/>
      <c r="DO20" s="897"/>
      <c r="DP20" s="897"/>
      <c r="DQ20" s="897"/>
      <c r="DR20" s="897"/>
      <c r="DS20" s="897"/>
      <c r="DT20" s="897"/>
      <c r="DU20" s="897"/>
      <c r="DV20" s="897"/>
      <c r="DW20" s="897"/>
      <c r="DX20" s="897"/>
      <c r="DY20" s="897"/>
      <c r="DZ20" s="897"/>
      <c r="EA20" s="897"/>
      <c r="EB20" s="897"/>
      <c r="EC20" s="897"/>
      <c r="ED20" s="897"/>
      <c r="EE20" s="897"/>
      <c r="EF20" s="897"/>
      <c r="EG20" s="897"/>
      <c r="EH20" s="897"/>
      <c r="EI20" s="897"/>
      <c r="EJ20" s="897"/>
      <c r="EK20" s="897"/>
      <c r="EL20" s="897"/>
      <c r="EM20" s="897"/>
      <c r="EN20" s="897"/>
      <c r="EO20" s="897"/>
      <c r="EP20" s="897"/>
      <c r="EQ20" s="897"/>
      <c r="ER20" s="897"/>
      <c r="ES20" s="897"/>
      <c r="ET20" s="897"/>
      <c r="EU20" s="897"/>
      <c r="EV20" s="897"/>
      <c r="EW20" s="897"/>
      <c r="EX20" s="897"/>
      <c r="EY20" s="897"/>
      <c r="EZ20" s="897"/>
      <c r="FA20" s="897"/>
      <c r="FB20" s="897"/>
      <c r="FC20" s="897"/>
      <c r="FD20" s="897"/>
      <c r="FE20" s="897"/>
      <c r="FF20" s="897"/>
      <c r="FG20" s="897"/>
      <c r="FH20" s="897"/>
      <c r="FI20" s="897"/>
      <c r="FJ20" s="897"/>
      <c r="FK20" s="897"/>
      <c r="FL20" s="897"/>
      <c r="FM20" s="897"/>
      <c r="FN20" s="897"/>
      <c r="FO20" s="897"/>
      <c r="FP20" s="897"/>
      <c r="FQ20" s="897"/>
      <c r="FR20" s="897"/>
      <c r="FS20" s="897"/>
      <c r="FT20" s="897"/>
      <c r="FU20" s="897"/>
      <c r="FV20" s="897"/>
      <c r="FW20" s="897"/>
      <c r="FX20" s="897"/>
      <c r="FY20" s="897"/>
      <c r="FZ20" s="897"/>
      <c r="GA20" s="897"/>
      <c r="GB20" s="897"/>
      <c r="GC20" s="897"/>
      <c r="GD20" s="897"/>
      <c r="GE20" s="897"/>
      <c r="GF20" s="897"/>
      <c r="GG20" s="897"/>
      <c r="GH20" s="897"/>
      <c r="GI20" s="897"/>
      <c r="GJ20" s="897"/>
      <c r="GK20" s="897"/>
      <c r="GL20" s="897"/>
      <c r="GM20" s="897"/>
      <c r="GN20" s="897"/>
      <c r="GO20" s="897"/>
      <c r="GP20" s="897"/>
      <c r="GQ20" s="897"/>
      <c r="GR20" s="897"/>
      <c r="GS20" s="897"/>
      <c r="GT20" s="897"/>
      <c r="GU20" s="897"/>
      <c r="GV20" s="897"/>
      <c r="GW20" s="897"/>
      <c r="GX20" s="897"/>
      <c r="GY20" s="897"/>
      <c r="GZ20" s="897"/>
      <c r="HA20" s="897"/>
      <c r="HB20" s="897"/>
      <c r="HC20" s="897"/>
      <c r="HD20" s="897"/>
      <c r="HE20" s="897"/>
      <c r="HF20" s="897"/>
      <c r="HG20" s="897"/>
      <c r="HH20" s="897"/>
      <c r="HI20" s="897"/>
      <c r="HJ20" s="897"/>
      <c r="HK20" s="897"/>
      <c r="HL20" s="897"/>
      <c r="HM20" s="897"/>
    </row>
    <row r="21" spans="1:221" s="898" customFormat="1" ht="10.5" x14ac:dyDescent="0.2">
      <c r="A21" s="893"/>
      <c r="B21" s="894"/>
      <c r="C21" s="894"/>
      <c r="D21" s="894"/>
      <c r="E21" s="899"/>
      <c r="F21" s="900"/>
      <c r="G21" s="896"/>
      <c r="H21" s="897"/>
      <c r="I21" s="897"/>
      <c r="J21" s="897"/>
      <c r="K21" s="897"/>
      <c r="L21" s="897"/>
      <c r="M21" s="897"/>
      <c r="N21" s="897"/>
      <c r="O21" s="897"/>
      <c r="P21" s="897"/>
      <c r="Q21" s="897"/>
      <c r="R21" s="897"/>
      <c r="S21" s="897"/>
      <c r="T21" s="897"/>
      <c r="U21" s="897"/>
      <c r="V21" s="897"/>
      <c r="W21" s="897"/>
      <c r="X21" s="897"/>
      <c r="Y21" s="897"/>
      <c r="Z21" s="897"/>
      <c r="AA21" s="897"/>
      <c r="AB21" s="897"/>
      <c r="AC21" s="897"/>
      <c r="AD21" s="897"/>
      <c r="AE21" s="897"/>
      <c r="AF21" s="897"/>
      <c r="AG21" s="897"/>
      <c r="AH21" s="897"/>
      <c r="AI21" s="897"/>
      <c r="AJ21" s="897"/>
      <c r="AK21" s="897"/>
      <c r="AL21" s="897"/>
      <c r="AM21" s="897"/>
      <c r="AN21" s="897"/>
      <c r="AO21" s="897"/>
      <c r="AP21" s="897"/>
      <c r="AQ21" s="897"/>
      <c r="AR21" s="897"/>
      <c r="AS21" s="897"/>
      <c r="AT21" s="897"/>
      <c r="AU21" s="897"/>
      <c r="AV21" s="897"/>
      <c r="AW21" s="897"/>
      <c r="AX21" s="897"/>
      <c r="AY21" s="897"/>
      <c r="AZ21" s="897"/>
      <c r="BA21" s="897"/>
      <c r="BB21" s="897"/>
      <c r="BC21" s="897"/>
      <c r="BD21" s="897"/>
      <c r="BE21" s="897"/>
      <c r="BF21" s="897"/>
      <c r="BG21" s="897"/>
      <c r="BH21" s="897"/>
      <c r="BI21" s="897"/>
      <c r="BJ21" s="897"/>
      <c r="BK21" s="897"/>
      <c r="BL21" s="897"/>
      <c r="BM21" s="897"/>
      <c r="BN21" s="897"/>
      <c r="BO21" s="897"/>
      <c r="BP21" s="897"/>
      <c r="BQ21" s="897"/>
      <c r="BR21" s="897"/>
      <c r="BS21" s="897"/>
      <c r="BT21" s="897"/>
      <c r="BU21" s="897"/>
      <c r="BV21" s="897"/>
      <c r="BW21" s="897"/>
      <c r="BX21" s="897"/>
      <c r="BY21" s="897"/>
      <c r="BZ21" s="897"/>
      <c r="CA21" s="897"/>
      <c r="CB21" s="897"/>
      <c r="CC21" s="897"/>
      <c r="CD21" s="897"/>
      <c r="CE21" s="897"/>
      <c r="CF21" s="897"/>
      <c r="CG21" s="897"/>
      <c r="CH21" s="897"/>
      <c r="CI21" s="897"/>
      <c r="CJ21" s="897"/>
      <c r="CK21" s="897"/>
      <c r="CL21" s="897"/>
      <c r="CM21" s="897"/>
      <c r="CN21" s="897"/>
      <c r="CO21" s="897"/>
      <c r="CP21" s="897"/>
      <c r="CQ21" s="897"/>
      <c r="CR21" s="897"/>
      <c r="CS21" s="897"/>
      <c r="CT21" s="897"/>
      <c r="CU21" s="897"/>
      <c r="CV21" s="897"/>
      <c r="CW21" s="897"/>
      <c r="CX21" s="897"/>
      <c r="CY21" s="897"/>
      <c r="CZ21" s="897"/>
      <c r="DA21" s="897"/>
      <c r="DB21" s="897"/>
      <c r="DC21" s="897"/>
      <c r="DD21" s="897"/>
      <c r="DE21" s="897"/>
      <c r="DF21" s="897"/>
      <c r="DG21" s="897"/>
      <c r="DH21" s="897"/>
      <c r="DI21" s="897"/>
      <c r="DJ21" s="897"/>
      <c r="DK21" s="897"/>
      <c r="DL21" s="897"/>
      <c r="DM21" s="897"/>
      <c r="DN21" s="897"/>
      <c r="DO21" s="897"/>
      <c r="DP21" s="897"/>
      <c r="DQ21" s="897"/>
      <c r="DR21" s="897"/>
      <c r="DS21" s="897"/>
      <c r="DT21" s="897"/>
      <c r="DU21" s="897"/>
      <c r="DV21" s="897"/>
      <c r="DW21" s="897"/>
      <c r="DX21" s="897"/>
      <c r="DY21" s="897"/>
      <c r="DZ21" s="897"/>
      <c r="EA21" s="897"/>
      <c r="EB21" s="897"/>
      <c r="EC21" s="897"/>
      <c r="ED21" s="897"/>
      <c r="EE21" s="897"/>
      <c r="EF21" s="897"/>
      <c r="EG21" s="897"/>
      <c r="EH21" s="897"/>
      <c r="EI21" s="897"/>
      <c r="EJ21" s="897"/>
      <c r="EK21" s="897"/>
      <c r="EL21" s="897"/>
      <c r="EM21" s="897"/>
      <c r="EN21" s="897"/>
      <c r="EO21" s="897"/>
      <c r="EP21" s="897"/>
      <c r="EQ21" s="897"/>
      <c r="ER21" s="897"/>
      <c r="ES21" s="897"/>
      <c r="ET21" s="897"/>
      <c r="EU21" s="897"/>
      <c r="EV21" s="897"/>
      <c r="EW21" s="897"/>
      <c r="EX21" s="897"/>
      <c r="EY21" s="897"/>
      <c r="EZ21" s="897"/>
      <c r="FA21" s="897"/>
      <c r="FB21" s="897"/>
      <c r="FC21" s="897"/>
      <c r="FD21" s="897"/>
      <c r="FE21" s="897"/>
      <c r="FF21" s="897"/>
      <c r="FG21" s="897"/>
      <c r="FH21" s="897"/>
      <c r="FI21" s="897"/>
      <c r="FJ21" s="897"/>
      <c r="FK21" s="897"/>
      <c r="FL21" s="897"/>
      <c r="FM21" s="897"/>
      <c r="FN21" s="897"/>
      <c r="FO21" s="897"/>
      <c r="FP21" s="897"/>
      <c r="FQ21" s="897"/>
      <c r="FR21" s="897"/>
      <c r="FS21" s="897"/>
      <c r="FT21" s="897"/>
      <c r="FU21" s="897"/>
      <c r="FV21" s="897"/>
      <c r="FW21" s="897"/>
      <c r="FX21" s="897"/>
      <c r="FY21" s="897"/>
      <c r="FZ21" s="897"/>
      <c r="GA21" s="897"/>
      <c r="GB21" s="897"/>
      <c r="GC21" s="897"/>
      <c r="GD21" s="897"/>
      <c r="GE21" s="897"/>
      <c r="GF21" s="897"/>
      <c r="GG21" s="897"/>
      <c r="GH21" s="897"/>
      <c r="GI21" s="897"/>
      <c r="GJ21" s="897"/>
      <c r="GK21" s="897"/>
      <c r="GL21" s="897"/>
      <c r="GM21" s="897"/>
      <c r="GN21" s="897"/>
      <c r="GO21" s="897"/>
      <c r="GP21" s="897"/>
      <c r="GQ21" s="897"/>
      <c r="GR21" s="897"/>
      <c r="GS21" s="897"/>
      <c r="GT21" s="897"/>
      <c r="GU21" s="897"/>
      <c r="GV21" s="897"/>
      <c r="GW21" s="897"/>
      <c r="GX21" s="897"/>
      <c r="GY21" s="897"/>
      <c r="GZ21" s="897"/>
      <c r="HA21" s="897"/>
      <c r="HB21" s="897"/>
      <c r="HC21" s="897"/>
      <c r="HD21" s="897"/>
      <c r="HE21" s="897"/>
      <c r="HF21" s="897"/>
      <c r="HG21" s="897"/>
      <c r="HH21" s="897"/>
      <c r="HI21" s="897"/>
      <c r="HJ21" s="897"/>
      <c r="HK21" s="897"/>
      <c r="HL21" s="897"/>
      <c r="HM21" s="897"/>
    </row>
    <row r="22" spans="1:221" x14ac:dyDescent="0.2">
      <c r="A22" s="901">
        <v>0</v>
      </c>
      <c r="B22" s="873">
        <v>95</v>
      </c>
      <c r="C22" s="902">
        <v>0</v>
      </c>
      <c r="D22" s="82">
        <v>0</v>
      </c>
      <c r="E22" s="481">
        <f>ROUND(IF(+B$11&gt;A22,IF(B$11&lt;B22,IF(((B$11-0)*B$10*C22+D22*B$10)&gt;0,((B$11-0)*B$10*C22+D22*B$10),0),0),0),-3)</f>
        <v>0</v>
      </c>
      <c r="F22" s="903">
        <v>0</v>
      </c>
      <c r="G22" s="639"/>
      <c r="H22" s="380">
        <f>ROUND(IF(+B$11&gt;A22,IF(B$11&lt;B22,IF(((B$11-0)*B$10*C22+D22*B$10)&gt;0,((B$11-0)*B$10*C22+D22*B$10),0),0),0),-3)+ROUND(IF(+B$11&gt;A23,IF(B$11&lt;B23,IF(((B$11-B22)*B$10*C23+D23*B$10)&gt;0,((B$11-B22)*B$10*C23+D23*B$10),0),0),0),-3)+ROUND(IF(+B$11&gt;A24,IF(B$11&lt;B24,IF(((B$11-B23)*B$10*C24+D24*B$10)&gt;0,((B$11-B23)*B$10*C24+D24*B$10),0),0),0),-3)+ROUND(IF(+B$11&gt;A25,IF(B$11&lt;B25,IF(((B$11-B24)*B$10*C25+D25*B$10)&gt;0,((B$11-B24)*B$10*C25+D25*B$10),0),0),0),-3)+ROUND(IF(+B$11&gt;A26,IF(B$11&lt;B26,IF(((B$11-B25)*B$10*C26+D26*B$10)&gt;0,((B$11-B25)*B$10*C26+D26*B$10),0),0),0),-3)+ROUND(IF(+B$11&gt;A27,IF(B$11&lt;B27,IF(((B$11-B26)*B$10*C27+D27*B$10)&gt;0,((B$11-B26)*B$10*C27+D27*B$10),0),0),0),-3)+ROUND(IF(+B$11&gt;A28,IF(B$11&lt;B28,IF(((B$11-B27)*B$10*C28+D28*B$10)&gt;0,((B$11-B27)*B$10*C28+D28*B$10),0),0),0),-3)</f>
        <v>0</v>
      </c>
    </row>
    <row r="23" spans="1:221" ht="25.5" x14ac:dyDescent="0.2">
      <c r="A23" s="901">
        <f>+B22</f>
        <v>95</v>
      </c>
      <c r="B23" s="873">
        <v>150</v>
      </c>
      <c r="C23" s="902">
        <v>0.19</v>
      </c>
      <c r="D23" s="82">
        <v>0</v>
      </c>
      <c r="E23" s="481">
        <f t="shared" ref="E23:E28" si="0">ROUND(IF(+B$11&gt;A23,IF(B$11&lt;B23,IF(((B$11-B22)*B$10*C23+D23*B$10)&gt;0,((B$11-B22)*B$10*C23+D23*B$10),0),0),0),-3)</f>
        <v>0</v>
      </c>
      <c r="F23" s="904" t="s">
        <v>174</v>
      </c>
      <c r="G23" s="639"/>
    </row>
    <row r="24" spans="1:221" ht="25.5" x14ac:dyDescent="0.2">
      <c r="A24" s="901">
        <f t="shared" ref="A24:A28" si="1">+B23</f>
        <v>150</v>
      </c>
      <c r="B24" s="873">
        <v>360</v>
      </c>
      <c r="C24" s="902">
        <v>0.28000000000000003</v>
      </c>
      <c r="D24" s="82">
        <v>10</v>
      </c>
      <c r="E24" s="481">
        <f t="shared" si="0"/>
        <v>0</v>
      </c>
      <c r="F24" s="904" t="s">
        <v>175</v>
      </c>
      <c r="G24" s="639"/>
    </row>
    <row r="25" spans="1:221" ht="25.5" x14ac:dyDescent="0.2">
      <c r="A25" s="901">
        <f t="shared" si="1"/>
        <v>360</v>
      </c>
      <c r="B25" s="873">
        <v>640</v>
      </c>
      <c r="C25" s="902">
        <v>0.33</v>
      </c>
      <c r="D25" s="82">
        <v>69</v>
      </c>
      <c r="E25" s="481">
        <f t="shared" si="0"/>
        <v>0</v>
      </c>
      <c r="F25" s="904" t="s">
        <v>176</v>
      </c>
      <c r="G25" s="639"/>
    </row>
    <row r="26" spans="1:221" ht="25.5" x14ac:dyDescent="0.2">
      <c r="A26" s="901">
        <f t="shared" si="1"/>
        <v>640</v>
      </c>
      <c r="B26" s="873">
        <v>945</v>
      </c>
      <c r="C26" s="902">
        <v>0.35</v>
      </c>
      <c r="D26" s="82">
        <v>162</v>
      </c>
      <c r="E26" s="481">
        <f t="shared" si="0"/>
        <v>0</v>
      </c>
      <c r="F26" s="904" t="s">
        <v>177</v>
      </c>
      <c r="G26" s="639"/>
    </row>
    <row r="27" spans="1:221" ht="25.5" x14ac:dyDescent="0.2">
      <c r="A27" s="901">
        <f t="shared" si="1"/>
        <v>945</v>
      </c>
      <c r="B27" s="873">
        <v>2300</v>
      </c>
      <c r="C27" s="902">
        <v>0.37</v>
      </c>
      <c r="D27" s="82">
        <v>268</v>
      </c>
      <c r="E27" s="481">
        <f t="shared" si="0"/>
        <v>0</v>
      </c>
      <c r="F27" s="904" t="s">
        <v>178</v>
      </c>
      <c r="G27" s="639"/>
    </row>
    <row r="28" spans="1:221" ht="25.5" x14ac:dyDescent="0.2">
      <c r="A28" s="901">
        <f t="shared" si="1"/>
        <v>2300</v>
      </c>
      <c r="B28" s="873">
        <v>999999999999</v>
      </c>
      <c r="C28" s="902">
        <v>0.39</v>
      </c>
      <c r="D28" s="82">
        <v>770</v>
      </c>
      <c r="E28" s="481">
        <f t="shared" si="0"/>
        <v>0</v>
      </c>
      <c r="F28" s="904" t="s">
        <v>179</v>
      </c>
      <c r="G28" s="639"/>
    </row>
    <row r="29" spans="1:221" ht="13.5" thickBot="1" x14ac:dyDescent="0.25">
      <c r="A29" s="905"/>
      <c r="B29" s="906"/>
      <c r="C29" s="907"/>
      <c r="D29" s="770"/>
      <c r="E29" s="908"/>
      <c r="F29" s="909"/>
      <c r="G29" s="639"/>
    </row>
    <row r="30" spans="1:221" x14ac:dyDescent="0.2">
      <c r="B30" s="873"/>
      <c r="C30" s="902"/>
      <c r="D30" s="380"/>
      <c r="E30" s="380"/>
      <c r="G30" s="639"/>
    </row>
    <row r="31" spans="1:221" x14ac:dyDescent="0.2">
      <c r="A31" s="873"/>
      <c r="B31" s="902"/>
      <c r="D31" s="380"/>
      <c r="E31" s="380"/>
      <c r="F31" s="845"/>
      <c r="G31" s="639"/>
    </row>
    <row r="32" spans="1:221" ht="9.9499999999999993" customHeight="1" x14ac:dyDescent="0.2">
      <c r="A32" s="910"/>
      <c r="D32" s="380"/>
      <c r="E32" s="380"/>
      <c r="F32" s="845"/>
      <c r="G32" s="639"/>
    </row>
    <row r="33" spans="1:7" ht="9.9499999999999993" customHeight="1" x14ac:dyDescent="0.2">
      <c r="A33" s="897"/>
      <c r="D33" s="380"/>
      <c r="E33" s="380"/>
      <c r="F33" s="845"/>
      <c r="G33" s="639"/>
    </row>
    <row r="34" spans="1:7" ht="5.0999999999999996" customHeight="1" x14ac:dyDescent="0.2">
      <c r="A34" s="639"/>
      <c r="B34" s="639"/>
      <c r="C34" s="639"/>
      <c r="D34" s="639"/>
      <c r="E34" s="639"/>
      <c r="F34" s="639"/>
      <c r="G34" s="639"/>
    </row>
  </sheetData>
  <mergeCells count="4">
    <mergeCell ref="H1:I1"/>
    <mergeCell ref="A16:F16"/>
    <mergeCell ref="A15:F15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Grupos Familiares</vt:lpstr>
      <vt:lpstr>Facturas</vt:lpstr>
      <vt:lpstr>Cuentas de Cobro</vt:lpstr>
      <vt:lpstr>Consolidado Cobros</vt:lpstr>
      <vt:lpstr>Otras Asesorías y Préstamos</vt:lpstr>
      <vt:lpstr>Facturas año anterior</vt:lpstr>
      <vt:lpstr>C de C año anterior</vt:lpstr>
      <vt:lpstr>Asesorías AG anterior</vt:lpstr>
      <vt:lpstr>Códigos</vt:lpstr>
      <vt:lpstr>TABLA RetFte</vt:lpstr>
      <vt:lpstr>'TABLA RetFte'!_Toc464338185</vt:lpstr>
      <vt:lpstr>'Consolidado Cobros'!Área_de_impresión</vt:lpstr>
      <vt:lpstr>'Cuentas de Cobro'!Área_de_impresión</vt:lpstr>
      <vt:lpstr>Facturas!Área_de_impresión</vt:lpstr>
      <vt:lpstr>'Grupos Familiares'!Área_de_impresión</vt:lpstr>
      <vt:lpstr>Área_de_impresión</vt:lpstr>
      <vt:lpstr>'Consolidado Cobros'!Títulos_a_imprimir</vt:lpstr>
      <vt:lpstr>'Cuentas de Cobro'!Títulos_a_imprimir</vt:lpstr>
      <vt:lpstr>Facturas!Títulos_a_imprimir</vt:lpstr>
      <vt:lpstr>'Grupos Familiares'!Títulos_a_imprimir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GERMÁN FERNÁNDEZ</cp:lastModifiedBy>
  <cp:lastPrinted>2020-07-28T19:35:36Z</cp:lastPrinted>
  <dcterms:created xsi:type="dcterms:W3CDTF">2016-11-22T21:40:50Z</dcterms:created>
  <dcterms:modified xsi:type="dcterms:W3CDTF">2025-10-29T13:38:38Z</dcterms:modified>
</cp:coreProperties>
</file>